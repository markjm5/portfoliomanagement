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workbookPr codeName="ThisWorkbook"/>
  <mc:AlternateContent xmlns:mc="http://schemas.openxmlformats.org/markup-compatibility/2006">
    <mc:Choice Requires="x15">
      <x15ac:absPath xmlns:x15ac="http://schemas.microsoft.com/office/spreadsheetml/2010/11/ac" url="C:\Users\markj\Downloads\Trading_Excel_Files-2022-12-3-11-24-30\Trading_Excel_Files\01_Lagging_Coincident_Indicators\"/>
    </mc:Choice>
  </mc:AlternateContent>
  <xr:revisionPtr revIDLastSave="0" documentId="13_ncr:1_{7EC7819F-5C24-4560-B4C8-BA7B20B0D2D6}" xr6:coauthVersionLast="47" xr6:coauthVersionMax="47" xr10:uidLastSave="{00000000-0000-0000-0000-000000000000}"/>
  <bookViews>
    <workbookView xWindow="-110" yWindow="-110" windowWidth="19420" windowHeight="11500" activeTab="4" xr2:uid="{00000000-000D-0000-FFFF-FFFF00000000}"/>
  </bookViews>
  <sheets>
    <sheet name="Note" sheetId="1" r:id="rId1"/>
    <sheet name="Database" sheetId="2" r:id="rId2"/>
    <sheet name="PCE Deflator" sheetId="3" r:id="rId3"/>
    <sheet name="PCE Core" sheetId="4" r:id="rId4"/>
    <sheet name="PCE Core vs Core CPI"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70" i="4" l="1"/>
  <c r="F770" i="4"/>
  <c r="B770" i="3"/>
  <c r="C770" i="5"/>
  <c r="B770" i="5"/>
  <c r="C769" i="5"/>
  <c r="C768" i="5"/>
  <c r="C767" i="5"/>
  <c r="C766" i="5"/>
  <c r="C765" i="5"/>
  <c r="C764" i="5"/>
  <c r="C763" i="5"/>
  <c r="C762" i="5"/>
  <c r="C761" i="5"/>
  <c r="C760" i="5"/>
  <c r="C759" i="5"/>
  <c r="C758" i="5"/>
  <c r="F770" i="5" s="1"/>
  <c r="C757" i="5"/>
  <c r="C756" i="5"/>
  <c r="C755" i="5"/>
  <c r="F767" i="5" s="1"/>
  <c r="C754" i="5"/>
  <c r="F766" i="5" s="1"/>
  <c r="C753" i="5"/>
  <c r="C752" i="5"/>
  <c r="F764" i="5" s="1"/>
  <c r="C751" i="5"/>
  <c r="C750" i="5"/>
  <c r="C749" i="5"/>
  <c r="C748" i="5"/>
  <c r="C747" i="5"/>
  <c r="C746" i="5"/>
  <c r="C745" i="5"/>
  <c r="F757" i="5" s="1"/>
  <c r="C744" i="5"/>
  <c r="C743" i="5"/>
  <c r="C742" i="5"/>
  <c r="C741" i="5"/>
  <c r="C740" i="5"/>
  <c r="F752" i="5" s="1"/>
  <c r="C739" i="5"/>
  <c r="C738" i="5"/>
  <c r="F750" i="5" s="1"/>
  <c r="C737" i="5"/>
  <c r="C736" i="5"/>
  <c r="C735" i="5"/>
  <c r="F747" i="5" s="1"/>
  <c r="C734" i="5"/>
  <c r="C733" i="5"/>
  <c r="C732" i="5"/>
  <c r="F744" i="5" s="1"/>
  <c r="C731" i="5"/>
  <c r="C730" i="5"/>
  <c r="F742" i="5" s="1"/>
  <c r="C729" i="5"/>
  <c r="C728" i="5"/>
  <c r="E727" i="5"/>
  <c r="C727" i="5"/>
  <c r="C726" i="5"/>
  <c r="C725" i="5"/>
  <c r="C724" i="5"/>
  <c r="F736" i="5" s="1"/>
  <c r="C723" i="5"/>
  <c r="C722" i="5"/>
  <c r="F734" i="5" s="1"/>
  <c r="C721" i="5"/>
  <c r="C720" i="5"/>
  <c r="C719" i="5"/>
  <c r="C718" i="5"/>
  <c r="C717" i="5"/>
  <c r="C716" i="5"/>
  <c r="C715" i="5"/>
  <c r="C714" i="5"/>
  <c r="F726" i="5" s="1"/>
  <c r="C713" i="5"/>
  <c r="C712" i="5"/>
  <c r="C711" i="5"/>
  <c r="C710" i="5"/>
  <c r="C709" i="5"/>
  <c r="C708" i="5"/>
  <c r="F720" i="5" s="1"/>
  <c r="C707" i="5"/>
  <c r="C706" i="5"/>
  <c r="C705" i="5"/>
  <c r="C704" i="5"/>
  <c r="C703" i="5"/>
  <c r="C702" i="5"/>
  <c r="C701" i="5"/>
  <c r="C700" i="5"/>
  <c r="F712" i="5" s="1"/>
  <c r="C699" i="5"/>
  <c r="C698" i="5"/>
  <c r="F710" i="5" s="1"/>
  <c r="C697" i="5"/>
  <c r="C696" i="5"/>
  <c r="C695" i="5"/>
  <c r="C694" i="5"/>
  <c r="C693" i="5"/>
  <c r="C692" i="5"/>
  <c r="F704" i="5" s="1"/>
  <c r="C691" i="5"/>
  <c r="C690" i="5"/>
  <c r="F702" i="5" s="1"/>
  <c r="C689" i="5"/>
  <c r="C688" i="5"/>
  <c r="C687" i="5"/>
  <c r="C686" i="5"/>
  <c r="C685" i="5"/>
  <c r="C684" i="5"/>
  <c r="F696" i="5" s="1"/>
  <c r="C683" i="5"/>
  <c r="C682" i="5"/>
  <c r="F694" i="5" s="1"/>
  <c r="C681" i="5"/>
  <c r="C680" i="5"/>
  <c r="C679" i="5"/>
  <c r="F691" i="5" s="1"/>
  <c r="C678" i="5"/>
  <c r="C677" i="5"/>
  <c r="C676" i="5"/>
  <c r="C675" i="5"/>
  <c r="C674" i="5"/>
  <c r="F686" i="5" s="1"/>
  <c r="C673" i="5"/>
  <c r="C672" i="5"/>
  <c r="C671" i="5"/>
  <c r="C670" i="5"/>
  <c r="C669" i="5"/>
  <c r="C668" i="5"/>
  <c r="C667" i="5"/>
  <c r="C666" i="5"/>
  <c r="C665" i="5"/>
  <c r="C664" i="5"/>
  <c r="C663" i="5"/>
  <c r="C662" i="5"/>
  <c r="C661" i="5"/>
  <c r="C660" i="5"/>
  <c r="C659" i="5"/>
  <c r="C658" i="5"/>
  <c r="F670" i="5" s="1"/>
  <c r="C657" i="5"/>
  <c r="C656" i="5"/>
  <c r="C655" i="5"/>
  <c r="C654" i="5"/>
  <c r="C653" i="5"/>
  <c r="C652" i="5"/>
  <c r="C651" i="5"/>
  <c r="C650" i="5"/>
  <c r="C649" i="5"/>
  <c r="C648" i="5"/>
  <c r="C647" i="5"/>
  <c r="C646" i="5"/>
  <c r="C645" i="5"/>
  <c r="C644" i="5"/>
  <c r="F656" i="5" s="1"/>
  <c r="C643" i="5"/>
  <c r="C642" i="5"/>
  <c r="F654" i="5" s="1"/>
  <c r="C641" i="5"/>
  <c r="C640" i="5"/>
  <c r="C639" i="5"/>
  <c r="C638" i="5"/>
  <c r="C637" i="5"/>
  <c r="F649" i="5" s="1"/>
  <c r="C636" i="5"/>
  <c r="C635" i="5"/>
  <c r="C634" i="5"/>
  <c r="F646" i="5" s="1"/>
  <c r="C633" i="5"/>
  <c r="C632" i="5"/>
  <c r="C631" i="5"/>
  <c r="C630" i="5"/>
  <c r="C629" i="5"/>
  <c r="C628" i="5"/>
  <c r="F640" i="5" s="1"/>
  <c r="C627" i="5"/>
  <c r="C626" i="5"/>
  <c r="F638" i="5" s="1"/>
  <c r="C625" i="5"/>
  <c r="C624" i="5"/>
  <c r="C623" i="5"/>
  <c r="E623" i="5" s="1"/>
  <c r="C622" i="5"/>
  <c r="C621" i="5"/>
  <c r="C620" i="5"/>
  <c r="E620" i="5" s="1"/>
  <c r="C619" i="5"/>
  <c r="C618" i="5"/>
  <c r="C617" i="5"/>
  <c r="C616" i="5"/>
  <c r="C615" i="5"/>
  <c r="C614" i="5"/>
  <c r="C613" i="5"/>
  <c r="C612" i="5"/>
  <c r="C611" i="5"/>
  <c r="E611" i="5" s="1"/>
  <c r="C610" i="5"/>
  <c r="C609" i="5"/>
  <c r="C608" i="5"/>
  <c r="C607" i="5"/>
  <c r="C606" i="5"/>
  <c r="C605" i="5"/>
  <c r="C604" i="5"/>
  <c r="C603" i="5"/>
  <c r="C602" i="5"/>
  <c r="C601" i="5"/>
  <c r="C600" i="5"/>
  <c r="C599" i="5"/>
  <c r="C598" i="5"/>
  <c r="C597" i="5"/>
  <c r="C596" i="5"/>
  <c r="C595" i="5"/>
  <c r="C594" i="5"/>
  <c r="C593" i="5"/>
  <c r="C592" i="5"/>
  <c r="C591" i="5"/>
  <c r="C590" i="5"/>
  <c r="C589" i="5"/>
  <c r="C588" i="5"/>
  <c r="C587" i="5"/>
  <c r="C586" i="5"/>
  <c r="C585" i="5"/>
  <c r="C584" i="5"/>
  <c r="C583" i="5"/>
  <c r="C582" i="5"/>
  <c r="C581" i="5"/>
  <c r="C580" i="5"/>
  <c r="C579" i="5"/>
  <c r="C578" i="5"/>
  <c r="C577" i="5"/>
  <c r="C576" i="5"/>
  <c r="C575" i="5"/>
  <c r="C574" i="5"/>
  <c r="C573" i="5"/>
  <c r="C572" i="5"/>
  <c r="C571" i="5"/>
  <c r="C570" i="5"/>
  <c r="C569" i="5"/>
  <c r="C568" i="5"/>
  <c r="C567" i="5"/>
  <c r="B567" i="5"/>
  <c r="C566" i="5"/>
  <c r="E566" i="5" s="1"/>
  <c r="C565" i="5"/>
  <c r="C564" i="5"/>
  <c r="C563" i="5"/>
  <c r="C562" i="5"/>
  <c r="C561" i="5"/>
  <c r="C560" i="5"/>
  <c r="C559" i="5"/>
  <c r="C558" i="5"/>
  <c r="C557" i="5"/>
  <c r="C556" i="5"/>
  <c r="C555" i="5"/>
  <c r="C554" i="5"/>
  <c r="C553" i="5"/>
  <c r="C552" i="5"/>
  <c r="C551" i="5"/>
  <c r="C550" i="5"/>
  <c r="C549" i="5"/>
  <c r="C548" i="5"/>
  <c r="C547" i="5"/>
  <c r="C546" i="5"/>
  <c r="C545" i="5"/>
  <c r="C544" i="5"/>
  <c r="C543" i="5"/>
  <c r="C542" i="5"/>
  <c r="E542" i="5" s="1"/>
  <c r="C541" i="5"/>
  <c r="C540" i="5"/>
  <c r="C539" i="5"/>
  <c r="C538" i="5"/>
  <c r="C537" i="5"/>
  <c r="C536" i="5"/>
  <c r="C535" i="5"/>
  <c r="C534" i="5"/>
  <c r="C533" i="5"/>
  <c r="C532" i="5"/>
  <c r="C531" i="5"/>
  <c r="C530" i="5"/>
  <c r="C529" i="5"/>
  <c r="C528" i="5"/>
  <c r="C527" i="5"/>
  <c r="C526" i="5"/>
  <c r="C525" i="5"/>
  <c r="C524" i="5"/>
  <c r="C523" i="5"/>
  <c r="C522" i="5"/>
  <c r="C521" i="5"/>
  <c r="E521" i="5" s="1"/>
  <c r="C520" i="5"/>
  <c r="C519" i="5"/>
  <c r="C518" i="5"/>
  <c r="E518" i="5" s="1"/>
  <c r="C517" i="5"/>
  <c r="C516" i="5"/>
  <c r="C515" i="5"/>
  <c r="C514" i="5"/>
  <c r="C513" i="5"/>
  <c r="C512" i="5"/>
  <c r="C511" i="5"/>
  <c r="C510" i="5"/>
  <c r="C509" i="5"/>
  <c r="C508" i="5"/>
  <c r="C507" i="5"/>
  <c r="E507" i="5" s="1"/>
  <c r="C506" i="5"/>
  <c r="C505" i="5"/>
  <c r="C504" i="5"/>
  <c r="C503" i="5"/>
  <c r="C502" i="5"/>
  <c r="C501" i="5"/>
  <c r="C500" i="5"/>
  <c r="C499" i="5"/>
  <c r="C498" i="5"/>
  <c r="C497" i="5"/>
  <c r="C496" i="5"/>
  <c r="E270" i="5" s="1"/>
  <c r="C495" i="5"/>
  <c r="C494" i="5"/>
  <c r="E494" i="5" s="1"/>
  <c r="C493" i="5"/>
  <c r="C492" i="5"/>
  <c r="C491" i="5"/>
  <c r="C490" i="5"/>
  <c r="C489" i="5"/>
  <c r="C488" i="5"/>
  <c r="C487" i="5"/>
  <c r="C486" i="5"/>
  <c r="E486" i="5" s="1"/>
  <c r="C485" i="5"/>
  <c r="E485" i="5" s="1"/>
  <c r="C484" i="5"/>
  <c r="C483" i="5"/>
  <c r="C482" i="5"/>
  <c r="C481" i="5"/>
  <c r="B481" i="5"/>
  <c r="C480" i="5"/>
  <c r="C479" i="5"/>
  <c r="C478" i="5"/>
  <c r="C477" i="5"/>
  <c r="C476" i="5"/>
  <c r="C475" i="5"/>
  <c r="C474" i="5"/>
  <c r="C473" i="5"/>
  <c r="E473" i="5" s="1"/>
  <c r="C472" i="5"/>
  <c r="E472" i="5" s="1"/>
  <c r="C471" i="5"/>
  <c r="C470" i="5"/>
  <c r="C469" i="5"/>
  <c r="C468" i="5"/>
  <c r="C467" i="5"/>
  <c r="C466" i="5"/>
  <c r="C465" i="5"/>
  <c r="C464" i="5"/>
  <c r="C463" i="5"/>
  <c r="C462" i="5"/>
  <c r="E462" i="5" s="1"/>
  <c r="C461" i="5"/>
  <c r="E461" i="5" s="1"/>
  <c r="C460" i="5"/>
  <c r="C459" i="5"/>
  <c r="C458" i="5"/>
  <c r="C457" i="5"/>
  <c r="C456" i="5"/>
  <c r="C455" i="5"/>
  <c r="C454" i="5"/>
  <c r="C453" i="5"/>
  <c r="C452" i="5"/>
  <c r="C451" i="5"/>
  <c r="C450" i="5"/>
  <c r="C449" i="5"/>
  <c r="E449" i="5" s="1"/>
  <c r="C448" i="5"/>
  <c r="C447" i="5"/>
  <c r="C446" i="5"/>
  <c r="C445" i="5"/>
  <c r="C444" i="5"/>
  <c r="C443" i="5"/>
  <c r="C442" i="5"/>
  <c r="C441" i="5"/>
  <c r="C440" i="5"/>
  <c r="C439" i="5"/>
  <c r="C438" i="5"/>
  <c r="C437" i="5"/>
  <c r="E437" i="5" s="1"/>
  <c r="C436" i="5"/>
  <c r="C435" i="5"/>
  <c r="C434" i="5"/>
  <c r="C433" i="5"/>
  <c r="C432" i="5"/>
  <c r="C431" i="5"/>
  <c r="C430" i="5"/>
  <c r="C429" i="5"/>
  <c r="C428" i="5"/>
  <c r="E428" i="5" s="1"/>
  <c r="C427" i="5"/>
  <c r="C426" i="5"/>
  <c r="C425" i="5"/>
  <c r="C424" i="5"/>
  <c r="C423" i="5"/>
  <c r="C422" i="5"/>
  <c r="C421" i="5"/>
  <c r="C420" i="5"/>
  <c r="C419" i="5"/>
  <c r="C418" i="5"/>
  <c r="C417" i="5"/>
  <c r="C416" i="5"/>
  <c r="E416" i="5" s="1"/>
  <c r="C415" i="5"/>
  <c r="C414" i="5"/>
  <c r="C413" i="5"/>
  <c r="C412" i="5"/>
  <c r="C411" i="5"/>
  <c r="C410" i="5"/>
  <c r="C409" i="5"/>
  <c r="C408" i="5"/>
  <c r="C407" i="5"/>
  <c r="C406" i="5"/>
  <c r="C405" i="5"/>
  <c r="E405" i="5" s="1"/>
  <c r="C404" i="5"/>
  <c r="E404" i="5" s="1"/>
  <c r="C403" i="5"/>
  <c r="C402" i="5"/>
  <c r="C401" i="5"/>
  <c r="C400" i="5"/>
  <c r="C399" i="5"/>
  <c r="C398" i="5"/>
  <c r="C397" i="5"/>
  <c r="C396" i="5"/>
  <c r="C395" i="5"/>
  <c r="C394" i="5"/>
  <c r="C393" i="5"/>
  <c r="E393" i="5" s="1"/>
  <c r="E392" i="5"/>
  <c r="C392" i="5"/>
  <c r="C391" i="5"/>
  <c r="C390" i="5"/>
  <c r="C389" i="5"/>
  <c r="C388" i="5"/>
  <c r="C387" i="5"/>
  <c r="C386" i="5"/>
  <c r="C385" i="5"/>
  <c r="C384" i="5"/>
  <c r="C383" i="5"/>
  <c r="C382" i="5"/>
  <c r="E382" i="5" s="1"/>
  <c r="C381" i="5"/>
  <c r="C380" i="5"/>
  <c r="C379" i="5"/>
  <c r="C378" i="5"/>
  <c r="C377" i="5"/>
  <c r="C376" i="5"/>
  <c r="C375" i="5"/>
  <c r="C374" i="5"/>
  <c r="E374" i="5" s="1"/>
  <c r="C373" i="5"/>
  <c r="C372" i="5"/>
  <c r="C371" i="5"/>
  <c r="E371" i="5" s="1"/>
  <c r="C370" i="5"/>
  <c r="C369" i="5"/>
  <c r="C368" i="5"/>
  <c r="C367" i="5"/>
  <c r="C366" i="5"/>
  <c r="C365" i="5"/>
  <c r="C364" i="5"/>
  <c r="E364" i="5" s="1"/>
  <c r="C363" i="5"/>
  <c r="C362" i="5"/>
  <c r="C361" i="5"/>
  <c r="C360" i="5"/>
  <c r="C359" i="5"/>
  <c r="C358" i="5"/>
  <c r="C357" i="5"/>
  <c r="C356" i="5"/>
  <c r="C355" i="5"/>
  <c r="C354" i="5"/>
  <c r="C353" i="5"/>
  <c r="C352" i="5"/>
  <c r="C351" i="5"/>
  <c r="C350" i="5"/>
  <c r="C349" i="5"/>
  <c r="C348" i="5"/>
  <c r="C347" i="5"/>
  <c r="E347" i="5" s="1"/>
  <c r="C346" i="5"/>
  <c r="C345" i="5"/>
  <c r="C344" i="5"/>
  <c r="C343" i="5"/>
  <c r="C342" i="5"/>
  <c r="C341" i="5"/>
  <c r="C340" i="5"/>
  <c r="C339" i="5"/>
  <c r="C338" i="5"/>
  <c r="C337" i="5"/>
  <c r="C336" i="5"/>
  <c r="C335" i="5"/>
  <c r="C334" i="5"/>
  <c r="C333" i="5"/>
  <c r="C332" i="5"/>
  <c r="C331" i="5"/>
  <c r="E331" i="5" s="1"/>
  <c r="C330" i="5"/>
  <c r="C329" i="5"/>
  <c r="C328" i="5"/>
  <c r="C327" i="5"/>
  <c r="C326" i="5"/>
  <c r="C325" i="5"/>
  <c r="C324" i="5"/>
  <c r="C323" i="5"/>
  <c r="C322" i="5"/>
  <c r="C321" i="5"/>
  <c r="C320" i="5"/>
  <c r="C319" i="5"/>
  <c r="E319" i="5" s="1"/>
  <c r="C318" i="5"/>
  <c r="C317" i="5"/>
  <c r="C316" i="5"/>
  <c r="C315" i="5"/>
  <c r="C314" i="5"/>
  <c r="C313" i="5"/>
  <c r="C312" i="5"/>
  <c r="C311" i="5"/>
  <c r="C310" i="5"/>
  <c r="C309" i="5"/>
  <c r="C308" i="5"/>
  <c r="C307" i="5"/>
  <c r="C306" i="5"/>
  <c r="C305" i="5"/>
  <c r="C304" i="5"/>
  <c r="C303" i="5"/>
  <c r="C302" i="5"/>
  <c r="C301" i="5"/>
  <c r="C300" i="5"/>
  <c r="C299" i="5"/>
  <c r="C298" i="5"/>
  <c r="C297" i="5"/>
  <c r="C296" i="5"/>
  <c r="C295" i="5"/>
  <c r="C294" i="5"/>
  <c r="C293" i="5"/>
  <c r="C292" i="5"/>
  <c r="C291" i="5"/>
  <c r="C290" i="5"/>
  <c r="C289" i="5"/>
  <c r="C288" i="5"/>
  <c r="E288" i="5" s="1"/>
  <c r="C287" i="5"/>
  <c r="C286" i="5"/>
  <c r="C285" i="5"/>
  <c r="E285" i="5" s="1"/>
  <c r="C284" i="5"/>
  <c r="C283" i="5"/>
  <c r="C282" i="5"/>
  <c r="C281" i="5"/>
  <c r="C280" i="5"/>
  <c r="C279" i="5"/>
  <c r="C278" i="5"/>
  <c r="C277" i="5"/>
  <c r="C276" i="5"/>
  <c r="C275" i="5"/>
  <c r="E275" i="5" s="1"/>
  <c r="C274" i="5"/>
  <c r="C273" i="5"/>
  <c r="C272" i="5"/>
  <c r="C271" i="5"/>
  <c r="E271" i="5" s="1"/>
  <c r="C270" i="5"/>
  <c r="C269" i="5"/>
  <c r="C268" i="5"/>
  <c r="C267" i="5"/>
  <c r="C266" i="5"/>
  <c r="C265" i="5"/>
  <c r="E265" i="5" s="1"/>
  <c r="C264" i="5"/>
  <c r="E264" i="5" s="1"/>
  <c r="C263" i="5"/>
  <c r="E263" i="5" s="1"/>
  <c r="C262" i="5"/>
  <c r="E261" i="5"/>
  <c r="C261" i="5"/>
  <c r="C260" i="5"/>
  <c r="C259" i="5"/>
  <c r="C258" i="5"/>
  <c r="C257" i="5"/>
  <c r="C256" i="5"/>
  <c r="C255" i="5"/>
  <c r="C254" i="5"/>
  <c r="E254" i="5" s="1"/>
  <c r="C253" i="5"/>
  <c r="E253" i="5" s="1"/>
  <c r="C252" i="5"/>
  <c r="E252" i="5" s="1"/>
  <c r="C251" i="5"/>
  <c r="E251" i="5" s="1"/>
  <c r="C250" i="5"/>
  <c r="C249" i="5"/>
  <c r="C248" i="5"/>
  <c r="C247" i="5"/>
  <c r="C246" i="5"/>
  <c r="C245" i="5"/>
  <c r="C244" i="5"/>
  <c r="E244" i="5" s="1"/>
  <c r="C243" i="5"/>
  <c r="C242" i="5"/>
  <c r="E242" i="5" s="1"/>
  <c r="C241" i="5"/>
  <c r="E241" i="5" s="1"/>
  <c r="C240" i="5"/>
  <c r="E240" i="5" s="1"/>
  <c r="C239" i="5"/>
  <c r="C238" i="5"/>
  <c r="C237" i="5"/>
  <c r="C236" i="5"/>
  <c r="C235" i="5"/>
  <c r="C234" i="5"/>
  <c r="C233" i="5"/>
  <c r="E233" i="5" s="1"/>
  <c r="C232" i="5"/>
  <c r="C231" i="5"/>
  <c r="C230" i="5"/>
  <c r="C229" i="5"/>
  <c r="C228" i="5"/>
  <c r="C227" i="5"/>
  <c r="C226" i="5"/>
  <c r="C225" i="5"/>
  <c r="C224" i="5"/>
  <c r="C223" i="5"/>
  <c r="C222" i="5"/>
  <c r="C221" i="5"/>
  <c r="C220" i="5"/>
  <c r="C219" i="5"/>
  <c r="C218" i="5"/>
  <c r="C217" i="5"/>
  <c r="E217" i="5" s="1"/>
  <c r="C216" i="5"/>
  <c r="C215" i="5"/>
  <c r="C214" i="5"/>
  <c r="C213" i="5"/>
  <c r="C212" i="5"/>
  <c r="C211" i="5"/>
  <c r="C210" i="5"/>
  <c r="C209" i="5"/>
  <c r="E209" i="5" s="1"/>
  <c r="C208" i="5"/>
  <c r="E208" i="5" s="1"/>
  <c r="C207" i="5"/>
  <c r="C206" i="5"/>
  <c r="E206" i="5" s="1"/>
  <c r="C205" i="5"/>
  <c r="E205" i="5" s="1"/>
  <c r="C204" i="5"/>
  <c r="C203" i="5"/>
  <c r="C202" i="5"/>
  <c r="C201" i="5"/>
  <c r="C200" i="5"/>
  <c r="C199" i="5"/>
  <c r="C198" i="5"/>
  <c r="C197" i="5"/>
  <c r="E197" i="5" s="1"/>
  <c r="C196" i="5"/>
  <c r="E196" i="5" s="1"/>
  <c r="C195" i="5"/>
  <c r="C194" i="5"/>
  <c r="C193" i="5"/>
  <c r="C192" i="5"/>
  <c r="C191" i="5"/>
  <c r="C190" i="5"/>
  <c r="C189" i="5"/>
  <c r="C188" i="5"/>
  <c r="C187" i="5"/>
  <c r="C186" i="5"/>
  <c r="C185" i="5"/>
  <c r="C184" i="5"/>
  <c r="C183" i="5"/>
  <c r="C182" i="5"/>
  <c r="E182" i="5" s="1"/>
  <c r="C181" i="5"/>
  <c r="C180" i="5"/>
  <c r="C179" i="5"/>
  <c r="C178" i="5"/>
  <c r="C177" i="5"/>
  <c r="C176" i="5"/>
  <c r="C175" i="5"/>
  <c r="C174" i="5"/>
  <c r="C173" i="5"/>
  <c r="C172" i="5"/>
  <c r="E172" i="5" s="1"/>
  <c r="C171" i="5"/>
  <c r="C170" i="5"/>
  <c r="E170" i="5" s="1"/>
  <c r="C169" i="5"/>
  <c r="C168" i="5"/>
  <c r="C167" i="5"/>
  <c r="C166" i="5"/>
  <c r="C165" i="5"/>
  <c r="C164" i="5"/>
  <c r="C163" i="5"/>
  <c r="C162" i="5"/>
  <c r="C161" i="5"/>
  <c r="E161" i="5" s="1"/>
  <c r="C160" i="5"/>
  <c r="C159" i="5"/>
  <c r="C158" i="5"/>
  <c r="C157" i="5"/>
  <c r="E157" i="5" s="1"/>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E120" i="5" s="1"/>
  <c r="C119" i="5"/>
  <c r="C118" i="5"/>
  <c r="C117" i="5"/>
  <c r="C116" i="5"/>
  <c r="C115" i="5"/>
  <c r="C114" i="5"/>
  <c r="C113" i="5"/>
  <c r="C112" i="5"/>
  <c r="C111" i="5"/>
  <c r="C110" i="5"/>
  <c r="C109" i="5"/>
  <c r="C108" i="5"/>
  <c r="C107" i="5"/>
  <c r="C106" i="5"/>
  <c r="C105" i="5"/>
  <c r="C104" i="5"/>
  <c r="C103" i="5"/>
  <c r="C102" i="5"/>
  <c r="C101" i="5"/>
  <c r="E101" i="5" s="1"/>
  <c r="C100" i="5"/>
  <c r="C99" i="5"/>
  <c r="C98" i="5"/>
  <c r="C97" i="5"/>
  <c r="C96" i="5"/>
  <c r="C95" i="5"/>
  <c r="C94" i="5"/>
  <c r="C93" i="5"/>
  <c r="C92" i="5"/>
  <c r="C91" i="5"/>
  <c r="C90" i="5"/>
  <c r="C89" i="5"/>
  <c r="C88" i="5"/>
  <c r="C87" i="5"/>
  <c r="C86" i="5"/>
  <c r="C85" i="5"/>
  <c r="E85" i="5" s="1"/>
  <c r="C84" i="5"/>
  <c r="C83" i="5"/>
  <c r="E83" i="5" s="1"/>
  <c r="C82" i="5"/>
  <c r="C81" i="5"/>
  <c r="C80" i="5"/>
  <c r="C79" i="5"/>
  <c r="C78" i="5"/>
  <c r="C77" i="5"/>
  <c r="C76" i="5"/>
  <c r="C75" i="5"/>
  <c r="C74" i="5"/>
  <c r="C73" i="5"/>
  <c r="C72" i="5"/>
  <c r="C71" i="5"/>
  <c r="C70" i="5"/>
  <c r="C69" i="5"/>
  <c r="B69" i="5"/>
  <c r="C68" i="5"/>
  <c r="E68" i="5" s="1"/>
  <c r="C67" i="5"/>
  <c r="C66" i="5"/>
  <c r="C65" i="5"/>
  <c r="C64" i="5"/>
  <c r="C63" i="5"/>
  <c r="C62" i="5"/>
  <c r="C61" i="5"/>
  <c r="C60" i="5"/>
  <c r="C59" i="5"/>
  <c r="C58" i="5"/>
  <c r="C57" i="5"/>
  <c r="C56" i="5"/>
  <c r="C55" i="5"/>
  <c r="C54" i="5"/>
  <c r="C53" i="5"/>
  <c r="E53" i="5" s="1"/>
  <c r="C52" i="5"/>
  <c r="E52" i="5" s="1"/>
  <c r="C51" i="5"/>
  <c r="C50" i="5"/>
  <c r="C49" i="5"/>
  <c r="C48" i="5"/>
  <c r="C47" i="5"/>
  <c r="C46" i="5"/>
  <c r="C45" i="5"/>
  <c r="C44" i="5"/>
  <c r="E44" i="5" s="1"/>
  <c r="C43" i="5"/>
  <c r="E43" i="5" s="1"/>
  <c r="C42" i="5"/>
  <c r="E42" i="5" s="1"/>
  <c r="C41" i="5"/>
  <c r="E41" i="5" s="1"/>
  <c r="C40" i="5"/>
  <c r="C39" i="5"/>
  <c r="C38" i="5"/>
  <c r="C37" i="5"/>
  <c r="C36" i="5"/>
  <c r="C35" i="5"/>
  <c r="C34" i="5"/>
  <c r="E34" i="5" s="1"/>
  <c r="C33" i="5"/>
  <c r="E33" i="5" s="1"/>
  <c r="C32" i="5"/>
  <c r="C31" i="5"/>
  <c r="E31" i="5" s="1"/>
  <c r="C30" i="5"/>
  <c r="E30" i="5" s="1"/>
  <c r="C29" i="5"/>
  <c r="E29" i="5" s="1"/>
  <c r="C28" i="5"/>
  <c r="C27" i="5"/>
  <c r="C26" i="5"/>
  <c r="C25" i="5"/>
  <c r="C24" i="5"/>
  <c r="C23" i="5"/>
  <c r="C22" i="5"/>
  <c r="E22" i="5" s="1"/>
  <c r="C21" i="5"/>
  <c r="C20" i="5"/>
  <c r="C19" i="5"/>
  <c r="E19" i="5" s="1"/>
  <c r="C18" i="5"/>
  <c r="E18" i="5" s="1"/>
  <c r="C17" i="5"/>
  <c r="C16" i="5"/>
  <c r="C15" i="5"/>
  <c r="C14" i="5"/>
  <c r="C13" i="5"/>
  <c r="C12" i="5"/>
  <c r="C11" i="5"/>
  <c r="E11" i="5" s="1"/>
  <c r="C10" i="5"/>
  <c r="C9" i="5"/>
  <c r="C8" i="5"/>
  <c r="E8" i="5" s="1"/>
  <c r="C7" i="5"/>
  <c r="E7" i="5" s="1"/>
  <c r="C6" i="5"/>
  <c r="C5" i="5"/>
  <c r="F769" i="4"/>
  <c r="B769" i="4"/>
  <c r="F768" i="4"/>
  <c r="B768" i="4"/>
  <c r="F767" i="4"/>
  <c r="B767" i="4"/>
  <c r="F766" i="4"/>
  <c r="B766" i="4"/>
  <c r="B766" i="5" s="1"/>
  <c r="F765" i="4"/>
  <c r="B765" i="4"/>
  <c r="B765" i="5" s="1"/>
  <c r="F764" i="4"/>
  <c r="B764" i="4"/>
  <c r="B764" i="5" s="1"/>
  <c r="F763" i="4"/>
  <c r="B763" i="4"/>
  <c r="F762" i="4"/>
  <c r="B762" i="4"/>
  <c r="F761" i="4"/>
  <c r="B761" i="4"/>
  <c r="F760" i="4"/>
  <c r="B760" i="4"/>
  <c r="B760" i="5" s="1"/>
  <c r="F759" i="4"/>
  <c r="B759" i="4"/>
  <c r="F758" i="4"/>
  <c r="B758" i="4"/>
  <c r="F757" i="4"/>
  <c r="B757" i="4"/>
  <c r="F756" i="4"/>
  <c r="B756" i="4"/>
  <c r="F755" i="4"/>
  <c r="B755" i="4"/>
  <c r="B755" i="5" s="1"/>
  <c r="F754" i="4"/>
  <c r="B754" i="4"/>
  <c r="F753" i="4"/>
  <c r="B753" i="4"/>
  <c r="F752" i="4"/>
  <c r="B752" i="4"/>
  <c r="B752" i="5" s="1"/>
  <c r="F751" i="4"/>
  <c r="B751" i="4"/>
  <c r="F750" i="4"/>
  <c r="B750" i="4"/>
  <c r="F749" i="4"/>
  <c r="B749" i="4"/>
  <c r="F748" i="4"/>
  <c r="B748" i="4"/>
  <c r="F747" i="4"/>
  <c r="B747" i="4"/>
  <c r="F746" i="4"/>
  <c r="B746" i="4"/>
  <c r="F745" i="4"/>
  <c r="B745" i="4"/>
  <c r="F744" i="4"/>
  <c r="B744" i="4"/>
  <c r="F743" i="4"/>
  <c r="B743" i="4"/>
  <c r="B743" i="5" s="1"/>
  <c r="F742" i="4"/>
  <c r="B742" i="4"/>
  <c r="F741" i="4"/>
  <c r="B741" i="4"/>
  <c r="F740" i="4"/>
  <c r="B740" i="4"/>
  <c r="B740" i="5" s="1"/>
  <c r="F739" i="4"/>
  <c r="B739" i="4"/>
  <c r="F738" i="4"/>
  <c r="B738" i="4"/>
  <c r="F737" i="4"/>
  <c r="B737" i="4"/>
  <c r="B737" i="5" s="1"/>
  <c r="F736" i="4"/>
  <c r="B736" i="4"/>
  <c r="F735" i="4"/>
  <c r="B735" i="4"/>
  <c r="C735" i="4" s="1"/>
  <c r="F734" i="4"/>
  <c r="B734" i="4"/>
  <c r="B734" i="5" s="1"/>
  <c r="F733" i="4"/>
  <c r="B733" i="4"/>
  <c r="F732" i="4"/>
  <c r="B732" i="4"/>
  <c r="F731" i="4"/>
  <c r="B731" i="4"/>
  <c r="F730" i="4"/>
  <c r="B730" i="4"/>
  <c r="F729" i="4"/>
  <c r="B729" i="4"/>
  <c r="F728" i="4"/>
  <c r="B728" i="4"/>
  <c r="F727" i="4"/>
  <c r="B727" i="4"/>
  <c r="F726" i="4"/>
  <c r="B726" i="4"/>
  <c r="F725" i="4"/>
  <c r="B725" i="4"/>
  <c r="F724" i="4"/>
  <c r="B724" i="4"/>
  <c r="F723" i="4"/>
  <c r="B723" i="4"/>
  <c r="F722" i="4"/>
  <c r="B722" i="4"/>
  <c r="B722" i="5" s="1"/>
  <c r="F721" i="4"/>
  <c r="B721" i="4"/>
  <c r="F720" i="4"/>
  <c r="B720" i="4"/>
  <c r="F719" i="4"/>
  <c r="B719" i="4"/>
  <c r="B719" i="5" s="1"/>
  <c r="F718" i="4"/>
  <c r="B718" i="4"/>
  <c r="F717" i="4"/>
  <c r="B717" i="4"/>
  <c r="F716" i="4"/>
  <c r="B716" i="4"/>
  <c r="D716" i="4" s="1"/>
  <c r="G716" i="5" s="1"/>
  <c r="F715" i="4"/>
  <c r="B715" i="4"/>
  <c r="F714" i="4"/>
  <c r="B714" i="4"/>
  <c r="F713" i="4"/>
  <c r="B713" i="4"/>
  <c r="F712" i="4"/>
  <c r="B712" i="4"/>
  <c r="F711" i="4"/>
  <c r="B711" i="4"/>
  <c r="C711" i="4" s="1"/>
  <c r="F710" i="4"/>
  <c r="B710" i="4"/>
  <c r="F709" i="4"/>
  <c r="B709" i="4"/>
  <c r="F708" i="4"/>
  <c r="B708" i="4"/>
  <c r="F707" i="4"/>
  <c r="B707" i="4"/>
  <c r="F706" i="4"/>
  <c r="B706" i="4"/>
  <c r="F705" i="4"/>
  <c r="B705" i="4"/>
  <c r="F704" i="4"/>
  <c r="B704" i="4"/>
  <c r="F703" i="4"/>
  <c r="B703" i="4"/>
  <c r="F702" i="4"/>
  <c r="B702" i="4"/>
  <c r="F701" i="4"/>
  <c r="B701" i="4"/>
  <c r="F700" i="4"/>
  <c r="B700" i="4"/>
  <c r="F699" i="4"/>
  <c r="B699" i="4"/>
  <c r="F698" i="4"/>
  <c r="B698" i="4"/>
  <c r="B698" i="5" s="1"/>
  <c r="F697" i="4"/>
  <c r="B697" i="4"/>
  <c r="C697" i="4" s="1"/>
  <c r="F696" i="4"/>
  <c r="B696" i="4"/>
  <c r="F695" i="4"/>
  <c r="B695" i="4"/>
  <c r="B695" i="5" s="1"/>
  <c r="F694" i="4"/>
  <c r="B694" i="4"/>
  <c r="F693" i="4"/>
  <c r="B693" i="4"/>
  <c r="F692" i="4"/>
  <c r="B692" i="4"/>
  <c r="F691" i="4"/>
  <c r="B691" i="4"/>
  <c r="F690" i="4"/>
  <c r="B690" i="4"/>
  <c r="F689" i="4"/>
  <c r="B689" i="4"/>
  <c r="B689" i="5" s="1"/>
  <c r="F688" i="4"/>
  <c r="B688" i="4"/>
  <c r="F687" i="4"/>
  <c r="B687" i="4"/>
  <c r="F686" i="4"/>
  <c r="B686" i="4"/>
  <c r="F685" i="4"/>
  <c r="B685" i="4"/>
  <c r="C685" i="4" s="1"/>
  <c r="F684" i="4"/>
  <c r="B684" i="4"/>
  <c r="F683" i="4"/>
  <c r="B683" i="4"/>
  <c r="F682" i="4"/>
  <c r="B682" i="4"/>
  <c r="F681" i="4"/>
  <c r="B681" i="4"/>
  <c r="F680" i="4"/>
  <c r="B680" i="4"/>
  <c r="F679" i="4"/>
  <c r="B679" i="4"/>
  <c r="F678" i="4"/>
  <c r="B678" i="4"/>
  <c r="F677" i="4"/>
  <c r="B677" i="4"/>
  <c r="B677" i="5" s="1"/>
  <c r="F676" i="4"/>
  <c r="B676" i="4"/>
  <c r="F675" i="4"/>
  <c r="B675" i="4"/>
  <c r="F674" i="4"/>
  <c r="B674" i="4"/>
  <c r="F673" i="4"/>
  <c r="B673" i="4"/>
  <c r="C673" i="4" s="1"/>
  <c r="F672" i="4"/>
  <c r="B672" i="4"/>
  <c r="F671" i="4"/>
  <c r="B671" i="4"/>
  <c r="F670" i="4"/>
  <c r="B670" i="4"/>
  <c r="F669" i="4"/>
  <c r="B669" i="4"/>
  <c r="B669" i="5" s="1"/>
  <c r="F668" i="4"/>
  <c r="B668" i="4"/>
  <c r="F667" i="4"/>
  <c r="B667" i="4"/>
  <c r="C667" i="4" s="1"/>
  <c r="F666" i="4"/>
  <c r="B666" i="4"/>
  <c r="F665" i="4"/>
  <c r="B665" i="4"/>
  <c r="F664" i="4"/>
  <c r="B664" i="4"/>
  <c r="F663" i="4"/>
  <c r="B663" i="4"/>
  <c r="D675" i="4" s="1"/>
  <c r="G675" i="5" s="1"/>
  <c r="F662" i="4"/>
  <c r="B662" i="4"/>
  <c r="B662" i="5" s="1"/>
  <c r="F661" i="4"/>
  <c r="B661" i="4"/>
  <c r="F660" i="4"/>
  <c r="B660" i="4"/>
  <c r="F659" i="4"/>
  <c r="B659" i="4"/>
  <c r="B659" i="5" s="1"/>
  <c r="F658" i="4"/>
  <c r="B658" i="4"/>
  <c r="F657" i="4"/>
  <c r="B657" i="4"/>
  <c r="F656" i="4"/>
  <c r="B656" i="4"/>
  <c r="F655" i="4"/>
  <c r="B655" i="4"/>
  <c r="F654" i="4"/>
  <c r="B654" i="4"/>
  <c r="F653" i="4"/>
  <c r="B653" i="4"/>
  <c r="F652" i="4"/>
  <c r="B652" i="4"/>
  <c r="C652" i="4" s="1"/>
  <c r="F651" i="4"/>
  <c r="B651" i="4"/>
  <c r="F650" i="4"/>
  <c r="B650" i="4"/>
  <c r="D662" i="4" s="1"/>
  <c r="G662" i="5" s="1"/>
  <c r="F649" i="4"/>
  <c r="B649" i="4"/>
  <c r="F648" i="4"/>
  <c r="B648" i="4"/>
  <c r="C648" i="4" s="1"/>
  <c r="F647" i="4"/>
  <c r="B647" i="4"/>
  <c r="F646" i="4"/>
  <c r="B646" i="4"/>
  <c r="F645" i="4"/>
  <c r="B645" i="4"/>
  <c r="C645" i="4" s="1"/>
  <c r="F644" i="4"/>
  <c r="B644" i="4"/>
  <c r="B644" i="5" s="1"/>
  <c r="F643" i="4"/>
  <c r="B643" i="4"/>
  <c r="F642" i="4"/>
  <c r="B642" i="4"/>
  <c r="F641" i="4"/>
  <c r="B641" i="4"/>
  <c r="F640" i="4"/>
  <c r="B640" i="4"/>
  <c r="F639" i="4"/>
  <c r="B639" i="4"/>
  <c r="F638" i="4"/>
  <c r="B638" i="4"/>
  <c r="B638" i="5" s="1"/>
  <c r="F637" i="4"/>
  <c r="B637" i="4"/>
  <c r="F636" i="4"/>
  <c r="B636" i="4"/>
  <c r="F635" i="4"/>
  <c r="B635" i="4"/>
  <c r="F634" i="4"/>
  <c r="B634" i="4"/>
  <c r="C634" i="4" s="1"/>
  <c r="F633" i="4"/>
  <c r="B633" i="4"/>
  <c r="F632" i="4"/>
  <c r="B632" i="4"/>
  <c r="F631" i="4"/>
  <c r="B631" i="4"/>
  <c r="F630" i="4"/>
  <c r="B630" i="4"/>
  <c r="F629" i="4"/>
  <c r="B629" i="4"/>
  <c r="F628" i="4"/>
  <c r="B628" i="4"/>
  <c r="F627" i="4"/>
  <c r="B627" i="4"/>
  <c r="F626" i="4"/>
  <c r="B626" i="4"/>
  <c r="F625" i="4"/>
  <c r="B625" i="4"/>
  <c r="F624" i="4"/>
  <c r="B624" i="4"/>
  <c r="F623" i="4"/>
  <c r="B623" i="4"/>
  <c r="B623" i="5" s="1"/>
  <c r="F622" i="4"/>
  <c r="B622" i="4"/>
  <c r="F621" i="4"/>
  <c r="B621" i="4"/>
  <c r="F620" i="4"/>
  <c r="B620" i="4"/>
  <c r="F619" i="4"/>
  <c r="B619" i="4"/>
  <c r="C619" i="4" s="1"/>
  <c r="F618" i="4"/>
  <c r="B618" i="4"/>
  <c r="F617" i="4"/>
  <c r="B617" i="4"/>
  <c r="F616" i="4"/>
  <c r="B616" i="4"/>
  <c r="F615" i="4"/>
  <c r="B615" i="4"/>
  <c r="F614" i="4"/>
  <c r="B614" i="4"/>
  <c r="F613" i="4"/>
  <c r="B613" i="4"/>
  <c r="F612" i="4"/>
  <c r="B612" i="4"/>
  <c r="F611" i="4"/>
  <c r="B611" i="4"/>
  <c r="F610" i="4"/>
  <c r="B610" i="4"/>
  <c r="F609" i="4"/>
  <c r="B609" i="4"/>
  <c r="F608" i="4"/>
  <c r="B608" i="4"/>
  <c r="B608" i="5" s="1"/>
  <c r="F607" i="4"/>
  <c r="B607" i="4"/>
  <c r="F606" i="4"/>
  <c r="B606" i="4"/>
  <c r="F605" i="4"/>
  <c r="B605" i="4"/>
  <c r="B604" i="4"/>
  <c r="B603" i="4"/>
  <c r="B603" i="5" s="1"/>
  <c r="B602" i="4"/>
  <c r="B601" i="4"/>
  <c r="B600" i="4"/>
  <c r="B599" i="4"/>
  <c r="B598" i="4"/>
  <c r="B597" i="4"/>
  <c r="B596" i="4"/>
  <c r="B595" i="4"/>
  <c r="B594" i="4"/>
  <c r="B593" i="4"/>
  <c r="B593" i="5" s="1"/>
  <c r="B592" i="4"/>
  <c r="B591" i="4"/>
  <c r="C591" i="4" s="1"/>
  <c r="B590" i="4"/>
  <c r="B590" i="5" s="1"/>
  <c r="B589" i="4"/>
  <c r="B588" i="4"/>
  <c r="B587" i="4"/>
  <c r="C587" i="4" s="1"/>
  <c r="B586" i="4"/>
  <c r="B585" i="4"/>
  <c r="B584" i="4"/>
  <c r="B583" i="4"/>
  <c r="B583" i="5" s="1"/>
  <c r="B582" i="4"/>
  <c r="C582" i="4" s="1"/>
  <c r="B581" i="4"/>
  <c r="B580" i="4"/>
  <c r="B579" i="4"/>
  <c r="B578" i="4"/>
  <c r="B578" i="5" s="1"/>
  <c r="B577" i="4"/>
  <c r="B577" i="5" s="1"/>
  <c r="B576" i="4"/>
  <c r="B575" i="4"/>
  <c r="D587" i="4" s="1"/>
  <c r="G587" i="5" s="1"/>
  <c r="B574" i="4"/>
  <c r="B573" i="4"/>
  <c r="B572" i="4"/>
  <c r="B571" i="4"/>
  <c r="B570" i="4"/>
  <c r="B570" i="5" s="1"/>
  <c r="B569" i="4"/>
  <c r="B568" i="4"/>
  <c r="B567" i="4"/>
  <c r="B566" i="4"/>
  <c r="B565" i="4"/>
  <c r="B565" i="5" s="1"/>
  <c r="B564" i="4"/>
  <c r="D564" i="4" s="1"/>
  <c r="G564" i="5" s="1"/>
  <c r="B563" i="4"/>
  <c r="B563" i="5" s="1"/>
  <c r="B562" i="4"/>
  <c r="B561" i="4"/>
  <c r="B561" i="5" s="1"/>
  <c r="B560" i="4"/>
  <c r="B559" i="4"/>
  <c r="B558" i="4"/>
  <c r="B558" i="5" s="1"/>
  <c r="B557" i="4"/>
  <c r="B557" i="5" s="1"/>
  <c r="B556" i="4"/>
  <c r="B555" i="4"/>
  <c r="B555" i="5" s="1"/>
  <c r="B554" i="4"/>
  <c r="B554" i="5" s="1"/>
  <c r="B553" i="4"/>
  <c r="B552" i="4"/>
  <c r="B551" i="4"/>
  <c r="B550" i="4"/>
  <c r="B549" i="4"/>
  <c r="B549" i="5" s="1"/>
  <c r="B548" i="4"/>
  <c r="B548" i="5" s="1"/>
  <c r="B547" i="4"/>
  <c r="B546" i="4"/>
  <c r="B545" i="4"/>
  <c r="B544" i="4"/>
  <c r="B543" i="4"/>
  <c r="B543" i="5" s="1"/>
  <c r="B542" i="4"/>
  <c r="B542" i="5" s="1"/>
  <c r="B541" i="4"/>
  <c r="B540" i="4"/>
  <c r="B540" i="5" s="1"/>
  <c r="B539" i="4"/>
  <c r="B538" i="4"/>
  <c r="B537" i="4"/>
  <c r="B537" i="5" s="1"/>
  <c r="B536" i="4"/>
  <c r="B535" i="4"/>
  <c r="B535" i="5" s="1"/>
  <c r="B534" i="4"/>
  <c r="C535" i="4" s="1"/>
  <c r="B533" i="4"/>
  <c r="B532" i="4"/>
  <c r="B531" i="4"/>
  <c r="B530" i="4"/>
  <c r="B529" i="4"/>
  <c r="B528" i="4"/>
  <c r="B528" i="5" s="1"/>
  <c r="B527" i="4"/>
  <c r="B526" i="4"/>
  <c r="B525" i="4"/>
  <c r="C525" i="4" s="1"/>
  <c r="B524" i="4"/>
  <c r="B523" i="4"/>
  <c r="B523" i="5" s="1"/>
  <c r="B522" i="4"/>
  <c r="B521" i="4"/>
  <c r="B520" i="4"/>
  <c r="B519" i="4"/>
  <c r="B518" i="4"/>
  <c r="B517" i="4"/>
  <c r="B516" i="4"/>
  <c r="D528" i="4" s="1"/>
  <c r="G528" i="5" s="1"/>
  <c r="B515" i="4"/>
  <c r="B514" i="4"/>
  <c r="B513" i="4"/>
  <c r="B512" i="4"/>
  <c r="B512" i="5" s="1"/>
  <c r="B511" i="4"/>
  <c r="B510" i="4"/>
  <c r="B509" i="4"/>
  <c r="B508" i="4"/>
  <c r="B507" i="4"/>
  <c r="B507" i="5" s="1"/>
  <c r="B506" i="4"/>
  <c r="B505" i="4"/>
  <c r="B505" i="5" s="1"/>
  <c r="B504" i="4"/>
  <c r="B503" i="4"/>
  <c r="B502" i="4"/>
  <c r="C503" i="4" s="1"/>
  <c r="B501" i="4"/>
  <c r="B501" i="5" s="1"/>
  <c r="B500" i="4"/>
  <c r="B500" i="5" s="1"/>
  <c r="B499" i="4"/>
  <c r="B498" i="4"/>
  <c r="B497" i="4"/>
  <c r="B496" i="4"/>
  <c r="B496" i="5" s="1"/>
  <c r="B495" i="4"/>
  <c r="B494" i="4"/>
  <c r="B493" i="4"/>
  <c r="B493" i="5" s="1"/>
  <c r="B492" i="4"/>
  <c r="B492" i="5" s="1"/>
  <c r="B491" i="4"/>
  <c r="D491" i="4" s="1"/>
  <c r="G491" i="5" s="1"/>
  <c r="B490" i="4"/>
  <c r="B489" i="4"/>
  <c r="B488" i="4"/>
  <c r="B488" i="5" s="1"/>
  <c r="B487" i="4"/>
  <c r="B487" i="5" s="1"/>
  <c r="B486" i="4"/>
  <c r="B485" i="4"/>
  <c r="D497" i="4" s="1"/>
  <c r="G497" i="5" s="1"/>
  <c r="B484" i="4"/>
  <c r="B483" i="4"/>
  <c r="B482" i="4"/>
  <c r="B481" i="4"/>
  <c r="B480" i="4"/>
  <c r="B480" i="5" s="1"/>
  <c r="B479" i="4"/>
  <c r="B479" i="5" s="1"/>
  <c r="B478" i="4"/>
  <c r="B477" i="4"/>
  <c r="B477" i="5" s="1"/>
  <c r="B476" i="4"/>
  <c r="B476" i="5" s="1"/>
  <c r="B475" i="4"/>
  <c r="B475" i="5" s="1"/>
  <c r="B474" i="4"/>
  <c r="B473" i="4"/>
  <c r="B472" i="4"/>
  <c r="B471" i="4"/>
  <c r="C471" i="4" s="1"/>
  <c r="B470" i="4"/>
  <c r="B469" i="4"/>
  <c r="D469" i="4" s="1"/>
  <c r="G469" i="5" s="1"/>
  <c r="B468" i="4"/>
  <c r="B467" i="4"/>
  <c r="B467" i="5" s="1"/>
  <c r="B466" i="4"/>
  <c r="B465" i="4"/>
  <c r="B465" i="5" s="1"/>
  <c r="B464" i="4"/>
  <c r="B463" i="4"/>
  <c r="B462" i="4"/>
  <c r="B461" i="4"/>
  <c r="B460" i="4"/>
  <c r="B459" i="4"/>
  <c r="B458" i="4"/>
  <c r="C458" i="4" s="1"/>
  <c r="B457" i="4"/>
  <c r="B457" i="5" s="1"/>
  <c r="B456" i="4"/>
  <c r="B455" i="4"/>
  <c r="B455" i="5" s="1"/>
  <c r="B454" i="4"/>
  <c r="B453" i="4"/>
  <c r="B453" i="5" s="1"/>
  <c r="B452" i="4"/>
  <c r="B452" i="5" s="1"/>
  <c r="B451" i="4"/>
  <c r="B450" i="4"/>
  <c r="B449" i="4"/>
  <c r="B448" i="4"/>
  <c r="B447" i="4"/>
  <c r="B446" i="4"/>
  <c r="B445" i="4"/>
  <c r="B445" i="5" s="1"/>
  <c r="B444" i="4"/>
  <c r="B444" i="5" s="1"/>
  <c r="B443" i="4"/>
  <c r="B442" i="4"/>
  <c r="B441" i="4"/>
  <c r="B440" i="4"/>
  <c r="B440" i="5" s="1"/>
  <c r="B439" i="4"/>
  <c r="B439" i="5" s="1"/>
  <c r="B438" i="4"/>
  <c r="B437" i="4"/>
  <c r="B436" i="4"/>
  <c r="B435" i="4"/>
  <c r="B434" i="4"/>
  <c r="B433" i="4"/>
  <c r="B432" i="4"/>
  <c r="B431" i="4"/>
  <c r="B431" i="5" s="1"/>
  <c r="B430" i="4"/>
  <c r="B429" i="4"/>
  <c r="B429" i="5" s="1"/>
  <c r="B428" i="4"/>
  <c r="B427" i="4"/>
  <c r="B427" i="5" s="1"/>
  <c r="B426" i="4"/>
  <c r="B425" i="4"/>
  <c r="B425" i="5" s="1"/>
  <c r="B424" i="4"/>
  <c r="B424" i="5" s="1"/>
  <c r="B423" i="4"/>
  <c r="B422" i="4"/>
  <c r="B421" i="4"/>
  <c r="B420" i="4"/>
  <c r="B419" i="4"/>
  <c r="B419" i="5" s="1"/>
  <c r="B418" i="4"/>
  <c r="D430" i="4" s="1"/>
  <c r="G430" i="5" s="1"/>
  <c r="B417" i="4"/>
  <c r="B417" i="5" s="1"/>
  <c r="B416" i="4"/>
  <c r="B416" i="5" s="1"/>
  <c r="B415" i="4"/>
  <c r="B415" i="5" s="1"/>
  <c r="B414" i="4"/>
  <c r="B413" i="4"/>
  <c r="B412" i="4"/>
  <c r="B411" i="4"/>
  <c r="B411" i="5" s="1"/>
  <c r="B410" i="4"/>
  <c r="B409" i="4"/>
  <c r="B409" i="5" s="1"/>
  <c r="B408" i="4"/>
  <c r="B407" i="4"/>
  <c r="B406" i="4"/>
  <c r="B405" i="4"/>
  <c r="B405" i="5" s="1"/>
  <c r="B404" i="4"/>
  <c r="B404" i="5" s="1"/>
  <c r="B403" i="4"/>
  <c r="B402" i="4"/>
  <c r="B401" i="4"/>
  <c r="B400" i="4"/>
  <c r="B399" i="4"/>
  <c r="B399" i="5" s="1"/>
  <c r="B398" i="4"/>
  <c r="B397" i="4"/>
  <c r="B397" i="5" s="1"/>
  <c r="B396" i="4"/>
  <c r="D396" i="4" s="1"/>
  <c r="G396" i="5" s="1"/>
  <c r="B395" i="4"/>
  <c r="B394" i="4"/>
  <c r="B393" i="4"/>
  <c r="B393" i="5" s="1"/>
  <c r="B392" i="4"/>
  <c r="B392" i="5" s="1"/>
  <c r="B391" i="4"/>
  <c r="B391" i="5" s="1"/>
  <c r="B390" i="4"/>
  <c r="B389" i="4"/>
  <c r="B389" i="5" s="1"/>
  <c r="B388" i="4"/>
  <c r="B387" i="4"/>
  <c r="B386" i="4"/>
  <c r="B385" i="4"/>
  <c r="B384" i="4"/>
  <c r="B384" i="5" s="1"/>
  <c r="B383" i="4"/>
  <c r="B382" i="4"/>
  <c r="B381" i="4"/>
  <c r="D393" i="4" s="1"/>
  <c r="G393" i="5" s="1"/>
  <c r="B380" i="4"/>
  <c r="B379" i="4"/>
  <c r="B379" i="5" s="1"/>
  <c r="B378" i="4"/>
  <c r="B377" i="4"/>
  <c r="B376" i="4"/>
  <c r="B375" i="4"/>
  <c r="B374" i="4"/>
  <c r="B373" i="4"/>
  <c r="B372" i="4"/>
  <c r="D384" i="4" s="1"/>
  <c r="G384" i="5" s="1"/>
  <c r="B371" i="4"/>
  <c r="B371" i="5" s="1"/>
  <c r="B370" i="4"/>
  <c r="B369" i="4"/>
  <c r="B369" i="5" s="1"/>
  <c r="B368" i="4"/>
  <c r="B368" i="5" s="1"/>
  <c r="B367" i="4"/>
  <c r="B367" i="5" s="1"/>
  <c r="B366" i="4"/>
  <c r="B365" i="4"/>
  <c r="B364" i="4"/>
  <c r="B363" i="4"/>
  <c r="B362" i="4"/>
  <c r="C362" i="4" s="1"/>
  <c r="B361" i="4"/>
  <c r="B361" i="5" s="1"/>
  <c r="B360" i="4"/>
  <c r="B359" i="4"/>
  <c r="C359" i="4" s="1"/>
  <c r="B358" i="4"/>
  <c r="C358" i="4" s="1"/>
  <c r="B357" i="4"/>
  <c r="B357" i="5" s="1"/>
  <c r="B356" i="4"/>
  <c r="B356" i="5" s="1"/>
  <c r="B355" i="4"/>
  <c r="B354" i="4"/>
  <c r="B353" i="4"/>
  <c r="B352" i="4"/>
  <c r="B351" i="4"/>
  <c r="B350" i="4"/>
  <c r="B349" i="4"/>
  <c r="B348" i="4"/>
  <c r="B348" i="5" s="1"/>
  <c r="B347" i="4"/>
  <c r="B346" i="4"/>
  <c r="B345" i="4"/>
  <c r="B344" i="4"/>
  <c r="B344" i="5" s="1"/>
  <c r="B343" i="4"/>
  <c r="B343" i="5" s="1"/>
  <c r="B342" i="4"/>
  <c r="B341" i="4"/>
  <c r="C342" i="4" s="1"/>
  <c r="B340" i="4"/>
  <c r="B339" i="4"/>
  <c r="B338" i="4"/>
  <c r="B337" i="4"/>
  <c r="B337" i="5" s="1"/>
  <c r="B336" i="4"/>
  <c r="B336" i="5" s="1"/>
  <c r="B335" i="4"/>
  <c r="B334" i="4"/>
  <c r="C334" i="4" s="1"/>
  <c r="B333" i="4"/>
  <c r="B333" i="5" s="1"/>
  <c r="B332" i="4"/>
  <c r="B332" i="5" s="1"/>
  <c r="B331" i="4"/>
  <c r="B331" i="5" s="1"/>
  <c r="B330" i="4"/>
  <c r="B329" i="4"/>
  <c r="B328" i="4"/>
  <c r="B327" i="4"/>
  <c r="D327" i="4" s="1"/>
  <c r="G327" i="5" s="1"/>
  <c r="B326" i="4"/>
  <c r="B325" i="4"/>
  <c r="B324" i="4"/>
  <c r="B323" i="4"/>
  <c r="B323" i="5" s="1"/>
  <c r="B322" i="4"/>
  <c r="B321" i="4"/>
  <c r="B321" i="5" s="1"/>
  <c r="B320" i="4"/>
  <c r="B319" i="4"/>
  <c r="B318" i="4"/>
  <c r="B317" i="4"/>
  <c r="B316" i="4"/>
  <c r="B316" i="5" s="1"/>
  <c r="B315" i="4"/>
  <c r="B315" i="5" s="1"/>
  <c r="B314" i="4"/>
  <c r="B313" i="4"/>
  <c r="B312" i="4"/>
  <c r="B311" i="4"/>
  <c r="B311" i="5" s="1"/>
  <c r="B310" i="4"/>
  <c r="B309" i="4"/>
  <c r="B308" i="4"/>
  <c r="B308" i="5" s="1"/>
  <c r="B307" i="4"/>
  <c r="B306" i="4"/>
  <c r="B305" i="4"/>
  <c r="B304" i="4"/>
  <c r="B303" i="4"/>
  <c r="C303" i="4" s="1"/>
  <c r="B302" i="4"/>
  <c r="B301" i="4"/>
  <c r="B300" i="4"/>
  <c r="B300" i="5" s="1"/>
  <c r="B299" i="4"/>
  <c r="B298" i="4"/>
  <c r="B297" i="4"/>
  <c r="B296" i="4"/>
  <c r="B296" i="5" s="1"/>
  <c r="B295" i="4"/>
  <c r="B295" i="5" s="1"/>
  <c r="B294" i="4"/>
  <c r="B293" i="4"/>
  <c r="B292" i="4"/>
  <c r="B291" i="4"/>
  <c r="B290" i="4"/>
  <c r="B289" i="4"/>
  <c r="B288" i="4"/>
  <c r="B287" i="4"/>
  <c r="B287" i="5" s="1"/>
  <c r="B286" i="4"/>
  <c r="B285" i="4"/>
  <c r="B285" i="5" s="1"/>
  <c r="B284" i="4"/>
  <c r="D296" i="4" s="1"/>
  <c r="G296" i="5" s="1"/>
  <c r="B283" i="4"/>
  <c r="B283" i="5" s="1"/>
  <c r="B282" i="4"/>
  <c r="B281" i="4"/>
  <c r="B281" i="5" s="1"/>
  <c r="B280" i="4"/>
  <c r="B280" i="5" s="1"/>
  <c r="B279" i="4"/>
  <c r="B278" i="4"/>
  <c r="B277" i="4"/>
  <c r="B276" i="4"/>
  <c r="B275" i="4"/>
  <c r="B275" i="5" s="1"/>
  <c r="B274" i="4"/>
  <c r="B273" i="4"/>
  <c r="B273" i="5" s="1"/>
  <c r="B272" i="4"/>
  <c r="B271" i="4"/>
  <c r="B271" i="5" s="1"/>
  <c r="B270" i="4"/>
  <c r="B269" i="4"/>
  <c r="B268" i="4"/>
  <c r="B267" i="4"/>
  <c r="B267" i="5" s="1"/>
  <c r="B266" i="4"/>
  <c r="B265" i="4"/>
  <c r="B265" i="5" s="1"/>
  <c r="B264" i="4"/>
  <c r="B263" i="4"/>
  <c r="B262" i="4"/>
  <c r="B261" i="4"/>
  <c r="B260" i="4"/>
  <c r="B260" i="5" s="1"/>
  <c r="B259" i="4"/>
  <c r="C260" i="4" s="1"/>
  <c r="B258" i="4"/>
  <c r="B257" i="4"/>
  <c r="C257" i="4" s="1"/>
  <c r="B256" i="4"/>
  <c r="B255" i="4"/>
  <c r="B255" i="5" s="1"/>
  <c r="B254" i="4"/>
  <c r="B253" i="4"/>
  <c r="B253" i="5" s="1"/>
  <c r="B252" i="4"/>
  <c r="B252" i="5" s="1"/>
  <c r="B251" i="4"/>
  <c r="D251" i="4" s="1"/>
  <c r="G251" i="5" s="1"/>
  <c r="B250" i="4"/>
  <c r="B249" i="4"/>
  <c r="B249" i="5" s="1"/>
  <c r="B248" i="4"/>
  <c r="B248" i="5" s="1"/>
  <c r="B247" i="4"/>
  <c r="B246" i="4"/>
  <c r="B245" i="4"/>
  <c r="B244" i="4"/>
  <c r="B243" i="4"/>
  <c r="B242" i="4"/>
  <c r="B241" i="4"/>
  <c r="B240" i="4"/>
  <c r="B239" i="4"/>
  <c r="B239" i="5" s="1"/>
  <c r="B238" i="4"/>
  <c r="B237" i="4"/>
  <c r="D249" i="4" s="1"/>
  <c r="G249" i="5" s="1"/>
  <c r="B236" i="4"/>
  <c r="B235" i="4"/>
  <c r="B235" i="5" s="1"/>
  <c r="B234" i="4"/>
  <c r="B233" i="4"/>
  <c r="B232" i="4"/>
  <c r="B231" i="4"/>
  <c r="B230" i="4"/>
  <c r="B229" i="4"/>
  <c r="B228" i="4"/>
  <c r="B227" i="4"/>
  <c r="B226" i="4"/>
  <c r="C226" i="4" s="1"/>
  <c r="B225" i="4"/>
  <c r="B225" i="5" s="1"/>
  <c r="B224" i="4"/>
  <c r="B223" i="4"/>
  <c r="B223" i="5" s="1"/>
  <c r="B222" i="4"/>
  <c r="B221" i="4"/>
  <c r="B220" i="4"/>
  <c r="B219" i="4"/>
  <c r="B219" i="5" s="1"/>
  <c r="B218" i="4"/>
  <c r="B217" i="4"/>
  <c r="B217" i="5" s="1"/>
  <c r="B216" i="4"/>
  <c r="B215" i="4"/>
  <c r="B214" i="4"/>
  <c r="B213" i="4"/>
  <c r="B213" i="5" s="1"/>
  <c r="B212" i="4"/>
  <c r="B212" i="5" s="1"/>
  <c r="B211" i="4"/>
  <c r="B210" i="4"/>
  <c r="C210" i="4" s="1"/>
  <c r="B209" i="4"/>
  <c r="D209" i="4" s="1"/>
  <c r="G209" i="5" s="1"/>
  <c r="B208" i="4"/>
  <c r="B207" i="4"/>
  <c r="B206" i="4"/>
  <c r="B205" i="4"/>
  <c r="B205" i="5" s="1"/>
  <c r="B204" i="4"/>
  <c r="B203" i="4"/>
  <c r="D203" i="4" s="1"/>
  <c r="G203" i="5" s="1"/>
  <c r="B202" i="4"/>
  <c r="B201" i="4"/>
  <c r="B200" i="4"/>
  <c r="D200" i="4" s="1"/>
  <c r="G200" i="5" s="1"/>
  <c r="B199" i="4"/>
  <c r="B199" i="5" s="1"/>
  <c r="B198" i="4"/>
  <c r="B197" i="4"/>
  <c r="B197" i="5" s="1"/>
  <c r="B196" i="4"/>
  <c r="B195" i="4"/>
  <c r="B194" i="4"/>
  <c r="B193" i="4"/>
  <c r="B193" i="5" s="1"/>
  <c r="B192" i="4"/>
  <c r="B192" i="5" s="1"/>
  <c r="B191" i="4"/>
  <c r="B191" i="5" s="1"/>
  <c r="B190" i="4"/>
  <c r="B189" i="4"/>
  <c r="B189" i="5" s="1"/>
  <c r="B188" i="4"/>
  <c r="B187" i="4"/>
  <c r="D199" i="4" s="1"/>
  <c r="G199" i="5" s="1"/>
  <c r="B186" i="4"/>
  <c r="B185" i="4"/>
  <c r="B184" i="4"/>
  <c r="B184" i="5" s="1"/>
  <c r="B183" i="4"/>
  <c r="B182" i="4"/>
  <c r="B181" i="4"/>
  <c r="B180" i="4"/>
  <c r="B179" i="4"/>
  <c r="B178" i="4"/>
  <c r="B177" i="4"/>
  <c r="B177" i="5" s="1"/>
  <c r="B176" i="4"/>
  <c r="B175" i="4"/>
  <c r="B174" i="4"/>
  <c r="B173" i="4"/>
  <c r="B172" i="4"/>
  <c r="B171" i="4"/>
  <c r="B170" i="4"/>
  <c r="B169" i="4"/>
  <c r="B169" i="5" s="1"/>
  <c r="B168" i="4"/>
  <c r="D180" i="4" s="1"/>
  <c r="G180" i="5" s="1"/>
  <c r="B167" i="4"/>
  <c r="B167" i="5" s="1"/>
  <c r="B166" i="4"/>
  <c r="B165" i="4"/>
  <c r="B164" i="4"/>
  <c r="B163" i="4"/>
  <c r="B163" i="5" s="1"/>
  <c r="B162" i="4"/>
  <c r="B161" i="4"/>
  <c r="B160" i="4"/>
  <c r="B159" i="4"/>
  <c r="B159" i="5" s="1"/>
  <c r="B158" i="4"/>
  <c r="B157" i="4"/>
  <c r="B157" i="5" s="1"/>
  <c r="B156" i="4"/>
  <c r="B155" i="4"/>
  <c r="B154" i="4"/>
  <c r="C154" i="4" s="1"/>
  <c r="B153" i="4"/>
  <c r="B153" i="5" s="1"/>
  <c r="B152" i="4"/>
  <c r="B151" i="4"/>
  <c r="B151" i="5" s="1"/>
  <c r="B150" i="4"/>
  <c r="C150" i="4" s="1"/>
  <c r="B149" i="4"/>
  <c r="B149" i="5" s="1"/>
  <c r="B148" i="4"/>
  <c r="B147" i="4"/>
  <c r="B146" i="4"/>
  <c r="B145" i="4"/>
  <c r="B144" i="4"/>
  <c r="B144" i="5" s="1"/>
  <c r="B143" i="4"/>
  <c r="B143" i="5" s="1"/>
  <c r="B142" i="4"/>
  <c r="B141" i="4"/>
  <c r="B140" i="4"/>
  <c r="C139" i="4"/>
  <c r="B139" i="4"/>
  <c r="B138" i="4"/>
  <c r="B137" i="4"/>
  <c r="B136" i="4"/>
  <c r="B135" i="4"/>
  <c r="B135" i="5" s="1"/>
  <c r="B134" i="4"/>
  <c r="B133" i="4"/>
  <c r="B132" i="4"/>
  <c r="B131" i="4"/>
  <c r="B130" i="4"/>
  <c r="D142" i="4" s="1"/>
  <c r="G142" i="5" s="1"/>
  <c r="B129" i="4"/>
  <c r="B129" i="5" s="1"/>
  <c r="B128" i="4"/>
  <c r="B128" i="5" s="1"/>
  <c r="B127" i="4"/>
  <c r="B126" i="4"/>
  <c r="B125" i="4"/>
  <c r="B124" i="4"/>
  <c r="B124" i="5" s="1"/>
  <c r="B123" i="4"/>
  <c r="B122" i="4"/>
  <c r="D122" i="4" s="1"/>
  <c r="G122" i="5" s="1"/>
  <c r="B121" i="4"/>
  <c r="B120" i="4"/>
  <c r="B120" i="5" s="1"/>
  <c r="B119" i="4"/>
  <c r="B119" i="5" s="1"/>
  <c r="B118" i="4"/>
  <c r="B117" i="4"/>
  <c r="B117" i="5" s="1"/>
  <c r="B116" i="4"/>
  <c r="B116" i="5" s="1"/>
  <c r="B115" i="4"/>
  <c r="B115" i="5" s="1"/>
  <c r="B114" i="4"/>
  <c r="B113" i="4"/>
  <c r="B113" i="5" s="1"/>
  <c r="B112" i="4"/>
  <c r="B111" i="4"/>
  <c r="B111" i="5" s="1"/>
  <c r="B110" i="4"/>
  <c r="B110" i="5" s="1"/>
  <c r="B109" i="4"/>
  <c r="B109" i="5" s="1"/>
  <c r="B108" i="4"/>
  <c r="B107" i="4"/>
  <c r="B107" i="5" s="1"/>
  <c r="B106" i="4"/>
  <c r="B106" i="5" s="1"/>
  <c r="B105" i="4"/>
  <c r="B105" i="5" s="1"/>
  <c r="B104" i="4"/>
  <c r="B103" i="4"/>
  <c r="B103" i="5" s="1"/>
  <c r="B102" i="4"/>
  <c r="B102" i="5" s="1"/>
  <c r="B101" i="4"/>
  <c r="B101" i="5" s="1"/>
  <c r="B100" i="4"/>
  <c r="B100" i="5" s="1"/>
  <c r="B99" i="4"/>
  <c r="B98" i="4"/>
  <c r="B98" i="5" s="1"/>
  <c r="B97" i="4"/>
  <c r="B97" i="5" s="1"/>
  <c r="B96" i="4"/>
  <c r="B95" i="4"/>
  <c r="B94" i="4"/>
  <c r="B93" i="4"/>
  <c r="B93" i="5" s="1"/>
  <c r="B92" i="4"/>
  <c r="B92" i="5" s="1"/>
  <c r="B91" i="4"/>
  <c r="B90" i="4"/>
  <c r="B89" i="4"/>
  <c r="B89" i="5" s="1"/>
  <c r="B88" i="4"/>
  <c r="B87" i="4"/>
  <c r="B87" i="5" s="1"/>
  <c r="B86" i="4"/>
  <c r="B86" i="5" s="1"/>
  <c r="B85" i="4"/>
  <c r="B85" i="5" s="1"/>
  <c r="B84" i="4"/>
  <c r="B83" i="4"/>
  <c r="B82" i="4"/>
  <c r="B82" i="5" s="1"/>
  <c r="B81" i="4"/>
  <c r="B81" i="5" s="1"/>
  <c r="B80" i="4"/>
  <c r="B79" i="4"/>
  <c r="B78" i="4"/>
  <c r="B77" i="4"/>
  <c r="B77" i="5" s="1"/>
  <c r="B76" i="4"/>
  <c r="B76" i="5" s="1"/>
  <c r="B75" i="4"/>
  <c r="D75" i="4" s="1"/>
  <c r="G75" i="5" s="1"/>
  <c r="C74" i="4"/>
  <c r="B74" i="4"/>
  <c r="B74" i="5" s="1"/>
  <c r="B73" i="4"/>
  <c r="B73" i="5" s="1"/>
  <c r="B72" i="4"/>
  <c r="B72" i="5" s="1"/>
  <c r="B71" i="4"/>
  <c r="B70" i="4"/>
  <c r="B69" i="4"/>
  <c r="B68" i="4"/>
  <c r="B67" i="4"/>
  <c r="B67" i="5" s="1"/>
  <c r="B66" i="4"/>
  <c r="B66" i="5" s="1"/>
  <c r="B65" i="4"/>
  <c r="B65" i="5" s="1"/>
  <c r="B64" i="4"/>
  <c r="B64" i="5" s="1"/>
  <c r="B63" i="4"/>
  <c r="B63" i="5" s="1"/>
  <c r="B62" i="4"/>
  <c r="B61" i="4"/>
  <c r="B61" i="5" s="1"/>
  <c r="B60" i="4"/>
  <c r="B59" i="4"/>
  <c r="B59" i="5" s="1"/>
  <c r="B58" i="4"/>
  <c r="B58" i="5" s="1"/>
  <c r="B57" i="4"/>
  <c r="B56" i="4"/>
  <c r="B55" i="4"/>
  <c r="B54" i="4"/>
  <c r="B54" i="5" s="1"/>
  <c r="B53" i="4"/>
  <c r="B52" i="4"/>
  <c r="B51" i="4"/>
  <c r="B50" i="4"/>
  <c r="B49" i="4"/>
  <c r="B48" i="4"/>
  <c r="B47" i="4"/>
  <c r="B47" i="5" s="1"/>
  <c r="B46" i="4"/>
  <c r="B45" i="4"/>
  <c r="B44" i="4"/>
  <c r="B43" i="4"/>
  <c r="B42" i="4"/>
  <c r="B42" i="5" s="1"/>
  <c r="B41" i="4"/>
  <c r="B40" i="4"/>
  <c r="D40" i="4" s="1"/>
  <c r="G40" i="5" s="1"/>
  <c r="B39" i="4"/>
  <c r="B39" i="5" s="1"/>
  <c r="B38" i="4"/>
  <c r="B38" i="5" s="1"/>
  <c r="B37" i="4"/>
  <c r="B36" i="4"/>
  <c r="B35" i="4"/>
  <c r="B34" i="4"/>
  <c r="B33" i="4"/>
  <c r="B32" i="4"/>
  <c r="B32" i="5" s="1"/>
  <c r="B31" i="4"/>
  <c r="B31" i="5" s="1"/>
  <c r="B30" i="4"/>
  <c r="B29" i="4"/>
  <c r="B28" i="4"/>
  <c r="B28" i="5" s="1"/>
  <c r="B27" i="4"/>
  <c r="B27" i="5" s="1"/>
  <c r="B26" i="4"/>
  <c r="B25" i="4"/>
  <c r="B24" i="4"/>
  <c r="B24" i="5" s="1"/>
  <c r="B23" i="4"/>
  <c r="B23" i="5" s="1"/>
  <c r="B22" i="4"/>
  <c r="B21" i="4"/>
  <c r="B20" i="4"/>
  <c r="B19" i="4"/>
  <c r="B19" i="5" s="1"/>
  <c r="B18" i="4"/>
  <c r="B17" i="4"/>
  <c r="B16" i="4"/>
  <c r="B15" i="4"/>
  <c r="B14" i="4"/>
  <c r="B13" i="4"/>
  <c r="B12" i="4"/>
  <c r="B12" i="5" s="1"/>
  <c r="B11" i="4"/>
  <c r="B11" i="5" s="1"/>
  <c r="B10" i="4"/>
  <c r="B9" i="4"/>
  <c r="B8" i="4"/>
  <c r="B8" i="5" s="1"/>
  <c r="B7" i="4"/>
  <c r="B7" i="5" s="1"/>
  <c r="B6" i="4"/>
  <c r="B6" i="5" s="1"/>
  <c r="B5" i="4"/>
  <c r="B769" i="3"/>
  <c r="C769" i="3" s="1"/>
  <c r="B768" i="3"/>
  <c r="B767" i="3"/>
  <c r="C767" i="3" s="1"/>
  <c r="B766" i="3"/>
  <c r="B765" i="3"/>
  <c r="B764" i="3"/>
  <c r="D764" i="3" s="1"/>
  <c r="B763" i="3"/>
  <c r="D763" i="3" s="1"/>
  <c r="B762" i="3"/>
  <c r="B761" i="3"/>
  <c r="B760" i="3"/>
  <c r="B759" i="3"/>
  <c r="B758" i="3"/>
  <c r="B757" i="3"/>
  <c r="B756" i="3"/>
  <c r="B755" i="3"/>
  <c r="B754" i="3"/>
  <c r="B753" i="3"/>
  <c r="C753" i="3" s="1"/>
  <c r="B752" i="3"/>
  <c r="D752" i="3" s="1"/>
  <c r="B751" i="3"/>
  <c r="B750" i="3"/>
  <c r="B749" i="3"/>
  <c r="B748" i="3"/>
  <c r="C749" i="3" s="1"/>
  <c r="B747" i="3"/>
  <c r="B746" i="3"/>
  <c r="B745" i="3"/>
  <c r="B744" i="3"/>
  <c r="B743" i="3"/>
  <c r="B742" i="3"/>
  <c r="B741" i="3"/>
  <c r="C741" i="3" s="1"/>
  <c r="D740" i="3"/>
  <c r="B740" i="3"/>
  <c r="B739" i="3"/>
  <c r="C740" i="3" s="1"/>
  <c r="B738" i="3"/>
  <c r="B737" i="3"/>
  <c r="C737" i="3" s="1"/>
  <c r="B736" i="3"/>
  <c r="B735" i="3"/>
  <c r="B734" i="3"/>
  <c r="D734" i="3" s="1"/>
  <c r="D733" i="3"/>
  <c r="C733" i="3"/>
  <c r="B733" i="3"/>
  <c r="B732" i="3"/>
  <c r="B731" i="3"/>
  <c r="B730" i="3"/>
  <c r="B729" i="3"/>
  <c r="B728" i="3"/>
  <c r="C728" i="3" s="1"/>
  <c r="B727" i="3"/>
  <c r="B726" i="3"/>
  <c r="D726" i="3" s="1"/>
  <c r="B725" i="3"/>
  <c r="D724" i="3"/>
  <c r="C724" i="3"/>
  <c r="B724" i="3"/>
  <c r="D736" i="3" s="1"/>
  <c r="B723" i="3"/>
  <c r="D735" i="3" s="1"/>
  <c r="B722" i="3"/>
  <c r="B721" i="3"/>
  <c r="B720" i="3"/>
  <c r="C719" i="3"/>
  <c r="B719" i="3"/>
  <c r="B718" i="3"/>
  <c r="B717" i="3"/>
  <c r="B716" i="3"/>
  <c r="B715" i="3"/>
  <c r="D727" i="3" s="1"/>
  <c r="B714" i="3"/>
  <c r="C714" i="3" s="1"/>
  <c r="B713" i="3"/>
  <c r="B712" i="3"/>
  <c r="B711" i="3"/>
  <c r="B710" i="3"/>
  <c r="D709" i="3"/>
  <c r="B709" i="3"/>
  <c r="B708" i="3"/>
  <c r="B707" i="3"/>
  <c r="C708" i="3" s="1"/>
  <c r="B706" i="3"/>
  <c r="C705" i="3"/>
  <c r="B705" i="3"/>
  <c r="B704" i="3"/>
  <c r="B703" i="3"/>
  <c r="B702" i="3"/>
  <c r="D714" i="3" s="1"/>
  <c r="B701" i="3"/>
  <c r="C700" i="3"/>
  <c r="B700" i="3"/>
  <c r="B699" i="3"/>
  <c r="C699" i="3" s="1"/>
  <c r="B698" i="3"/>
  <c r="B697" i="3"/>
  <c r="B696" i="3"/>
  <c r="B695" i="3"/>
  <c r="B694" i="3"/>
  <c r="B693" i="3"/>
  <c r="B692" i="3"/>
  <c r="B691" i="3"/>
  <c r="D691" i="3" s="1"/>
  <c r="B690" i="3"/>
  <c r="D690" i="3" s="1"/>
  <c r="B689" i="3"/>
  <c r="C689" i="3" s="1"/>
  <c r="B688" i="3"/>
  <c r="B687" i="3"/>
  <c r="B686" i="3"/>
  <c r="B685" i="3"/>
  <c r="D697" i="3" s="1"/>
  <c r="B684" i="3"/>
  <c r="B683" i="3"/>
  <c r="B682" i="3"/>
  <c r="B681" i="3"/>
  <c r="B680" i="3"/>
  <c r="C680" i="3" s="1"/>
  <c r="C679" i="3"/>
  <c r="B679" i="3"/>
  <c r="B678" i="3"/>
  <c r="B677" i="3"/>
  <c r="B676" i="3"/>
  <c r="D688" i="3" s="1"/>
  <c r="B675" i="3"/>
  <c r="B674" i="3"/>
  <c r="B673" i="3"/>
  <c r="B672" i="3"/>
  <c r="B671" i="3"/>
  <c r="D670" i="3"/>
  <c r="B670" i="3"/>
  <c r="B669" i="3"/>
  <c r="B668" i="3"/>
  <c r="B667" i="3"/>
  <c r="B666" i="3"/>
  <c r="B665" i="3"/>
  <c r="C665" i="3" s="1"/>
  <c r="B664" i="3"/>
  <c r="C664" i="3" s="1"/>
  <c r="B663" i="3"/>
  <c r="B662" i="3"/>
  <c r="D662" i="3" s="1"/>
  <c r="B661" i="3"/>
  <c r="B660" i="3"/>
  <c r="C660" i="3" s="1"/>
  <c r="B659" i="3"/>
  <c r="B658" i="3"/>
  <c r="B657" i="3"/>
  <c r="D657" i="3" s="1"/>
  <c r="B656" i="3"/>
  <c r="C657" i="3" s="1"/>
  <c r="B655" i="3"/>
  <c r="D655" i="3" s="1"/>
  <c r="B654" i="3"/>
  <c r="B653" i="3"/>
  <c r="B652" i="3"/>
  <c r="B651" i="3"/>
  <c r="B650" i="3"/>
  <c r="B649" i="3"/>
  <c r="B648" i="3"/>
  <c r="B647" i="3"/>
  <c r="B646" i="3"/>
  <c r="D645" i="3"/>
  <c r="B645" i="3"/>
  <c r="B644" i="3"/>
  <c r="C645" i="3" s="1"/>
  <c r="B643" i="3"/>
  <c r="B642" i="3"/>
  <c r="B641" i="3"/>
  <c r="D653" i="3" s="1"/>
  <c r="B640" i="3"/>
  <c r="B639" i="3"/>
  <c r="B638" i="3"/>
  <c r="D638" i="3" s="1"/>
  <c r="B637" i="3"/>
  <c r="B636" i="3"/>
  <c r="B635" i="3"/>
  <c r="B634" i="3"/>
  <c r="B633" i="3"/>
  <c r="B632" i="3"/>
  <c r="D644" i="3" s="1"/>
  <c r="B631" i="3"/>
  <c r="B630" i="3"/>
  <c r="B629" i="3"/>
  <c r="B628" i="3"/>
  <c r="B627" i="3"/>
  <c r="D639" i="3" s="1"/>
  <c r="B626" i="3"/>
  <c r="C626" i="3" s="1"/>
  <c r="B625" i="3"/>
  <c r="B624" i="3"/>
  <c r="C625" i="3" s="1"/>
  <c r="B623" i="3"/>
  <c r="B622" i="3"/>
  <c r="B621" i="3"/>
  <c r="B620" i="3"/>
  <c r="B619" i="3"/>
  <c r="B618" i="3"/>
  <c r="B617" i="3"/>
  <c r="C617" i="3" s="1"/>
  <c r="B616" i="3"/>
  <c r="B615" i="3"/>
  <c r="B614" i="3"/>
  <c r="B613" i="3"/>
  <c r="D613" i="3" s="1"/>
  <c r="B612" i="3"/>
  <c r="D611" i="3"/>
  <c r="B611" i="3"/>
  <c r="C611" i="3" s="1"/>
  <c r="B610" i="3"/>
  <c r="B609" i="3"/>
  <c r="D621" i="3" s="1"/>
  <c r="B608" i="3"/>
  <c r="D608" i="3" s="1"/>
  <c r="D607" i="3"/>
  <c r="C607" i="3"/>
  <c r="B607" i="3"/>
  <c r="B606" i="3"/>
  <c r="B605" i="3"/>
  <c r="B604" i="3"/>
  <c r="B603" i="3"/>
  <c r="D603" i="3" s="1"/>
  <c r="B602" i="3"/>
  <c r="B601" i="3"/>
  <c r="B600" i="3"/>
  <c r="B599" i="3"/>
  <c r="C599" i="3" s="1"/>
  <c r="B598" i="3"/>
  <c r="B597" i="3"/>
  <c r="B596" i="3"/>
  <c r="B595" i="3"/>
  <c r="B594" i="3"/>
  <c r="B593" i="3"/>
  <c r="D605" i="3" s="1"/>
  <c r="D592" i="3"/>
  <c r="C592" i="3"/>
  <c r="B592" i="3"/>
  <c r="B591" i="3"/>
  <c r="B590" i="3"/>
  <c r="B589" i="3"/>
  <c r="B588" i="3"/>
  <c r="C588" i="3" s="1"/>
  <c r="B587" i="3"/>
  <c r="B586" i="3"/>
  <c r="B585" i="3"/>
  <c r="D584" i="3"/>
  <c r="C584" i="3"/>
  <c r="B584" i="3"/>
  <c r="B583" i="3"/>
  <c r="D595" i="3" s="1"/>
  <c r="B582" i="3"/>
  <c r="B581" i="3"/>
  <c r="B580" i="3"/>
  <c r="B579" i="3"/>
  <c r="B578" i="3"/>
  <c r="B577" i="3"/>
  <c r="B576" i="3"/>
  <c r="B575" i="3"/>
  <c r="B574" i="3"/>
  <c r="B573" i="3"/>
  <c r="C574" i="3" s="1"/>
  <c r="D572" i="3"/>
  <c r="B572" i="3"/>
  <c r="B571" i="3"/>
  <c r="B570" i="3"/>
  <c r="B569" i="3"/>
  <c r="B568" i="3"/>
  <c r="D568" i="3" s="1"/>
  <c r="B567" i="3"/>
  <c r="C566" i="3"/>
  <c r="B566" i="3"/>
  <c r="B565" i="3"/>
  <c r="C565" i="3" s="1"/>
  <c r="B564" i="3"/>
  <c r="D564" i="3" s="1"/>
  <c r="B563" i="3"/>
  <c r="B562" i="3"/>
  <c r="B561" i="3"/>
  <c r="C561" i="3" s="1"/>
  <c r="B560" i="3"/>
  <c r="B559" i="3"/>
  <c r="B558" i="3"/>
  <c r="C558" i="3" s="1"/>
  <c r="D557" i="3"/>
  <c r="C557" i="3"/>
  <c r="B557" i="3"/>
  <c r="B556" i="3"/>
  <c r="B555" i="3"/>
  <c r="C556" i="3" s="1"/>
  <c r="B554" i="3"/>
  <c r="B553" i="3"/>
  <c r="B552" i="3"/>
  <c r="B551" i="3"/>
  <c r="B550" i="3"/>
  <c r="B549" i="3"/>
  <c r="B548" i="3"/>
  <c r="B547" i="3"/>
  <c r="B546" i="3"/>
  <c r="B545" i="3"/>
  <c r="B544" i="3"/>
  <c r="D556" i="3" s="1"/>
  <c r="B543" i="3"/>
  <c r="B542" i="3"/>
  <c r="C542" i="3" s="1"/>
  <c r="B541" i="3"/>
  <c r="B540" i="3"/>
  <c r="D552" i="3" s="1"/>
  <c r="B539" i="3"/>
  <c r="B538" i="3"/>
  <c r="D538" i="3" s="1"/>
  <c r="B537" i="3"/>
  <c r="B536" i="3"/>
  <c r="B535" i="3"/>
  <c r="B534" i="3"/>
  <c r="B533" i="3"/>
  <c r="B532" i="3"/>
  <c r="D531" i="3"/>
  <c r="B531" i="3"/>
  <c r="B530" i="3"/>
  <c r="B529" i="3"/>
  <c r="C529" i="3" s="1"/>
  <c r="D528" i="3"/>
  <c r="B528" i="3"/>
  <c r="B527" i="3"/>
  <c r="B526" i="3"/>
  <c r="B525" i="3"/>
  <c r="C526" i="3" s="1"/>
  <c r="B524" i="3"/>
  <c r="B523" i="3"/>
  <c r="C522" i="3"/>
  <c r="B522" i="3"/>
  <c r="B521" i="3"/>
  <c r="B520" i="3"/>
  <c r="D519" i="3"/>
  <c r="B519" i="3"/>
  <c r="B518" i="3"/>
  <c r="B517" i="3"/>
  <c r="C517" i="3" s="1"/>
  <c r="B516" i="3"/>
  <c r="B515" i="3"/>
  <c r="B514" i="3"/>
  <c r="D526" i="3" s="1"/>
  <c r="B513" i="3"/>
  <c r="B512" i="3"/>
  <c r="B511" i="3"/>
  <c r="B510" i="3"/>
  <c r="B509" i="3"/>
  <c r="B508" i="3"/>
  <c r="C508" i="3" s="1"/>
  <c r="B507" i="3"/>
  <c r="B506" i="3"/>
  <c r="D506" i="3" s="1"/>
  <c r="B505" i="3"/>
  <c r="C505" i="3" s="1"/>
  <c r="B504" i="3"/>
  <c r="C504" i="3" s="1"/>
  <c r="B503" i="3"/>
  <c r="B502" i="3"/>
  <c r="B501" i="3"/>
  <c r="B500" i="3"/>
  <c r="B499" i="3"/>
  <c r="B498" i="3"/>
  <c r="B497" i="3"/>
  <c r="D497" i="3" s="1"/>
  <c r="B496" i="3"/>
  <c r="B495" i="3"/>
  <c r="B494" i="3"/>
  <c r="B493" i="3"/>
  <c r="B492" i="3"/>
  <c r="B491" i="3"/>
  <c r="C492" i="3" s="1"/>
  <c r="B490" i="3"/>
  <c r="B489" i="3"/>
  <c r="B488" i="3"/>
  <c r="D500" i="3" s="1"/>
  <c r="B487" i="3"/>
  <c r="D499" i="3" s="1"/>
  <c r="B486" i="3"/>
  <c r="B485" i="3"/>
  <c r="B484" i="3"/>
  <c r="D484" i="3" s="1"/>
  <c r="B483" i="3"/>
  <c r="C483" i="3" s="1"/>
  <c r="B482" i="3"/>
  <c r="B481" i="3"/>
  <c r="B480" i="3"/>
  <c r="B479" i="3"/>
  <c r="B478" i="3"/>
  <c r="B477" i="3"/>
  <c r="C478" i="3" s="1"/>
  <c r="B476" i="3"/>
  <c r="D476" i="3" s="1"/>
  <c r="B475" i="3"/>
  <c r="D475" i="3" s="1"/>
  <c r="B474" i="3"/>
  <c r="B473" i="3"/>
  <c r="C473" i="3" s="1"/>
  <c r="B472" i="3"/>
  <c r="B471" i="3"/>
  <c r="B470" i="3"/>
  <c r="D482" i="3" s="1"/>
  <c r="B469" i="3"/>
  <c r="B468" i="3"/>
  <c r="B467" i="3"/>
  <c r="C467" i="3" s="1"/>
  <c r="B466" i="3"/>
  <c r="B465" i="3"/>
  <c r="C466" i="3" s="1"/>
  <c r="B464" i="3"/>
  <c r="B463" i="3"/>
  <c r="B462" i="3"/>
  <c r="D474" i="3" s="1"/>
  <c r="D461" i="3"/>
  <c r="B461" i="3"/>
  <c r="D473" i="3" s="1"/>
  <c r="B460" i="3"/>
  <c r="B459" i="3"/>
  <c r="D459" i="3" s="1"/>
  <c r="B458" i="3"/>
  <c r="D458" i="3" s="1"/>
  <c r="B457" i="3"/>
  <c r="B456" i="3"/>
  <c r="C456" i="3" s="1"/>
  <c r="B455" i="3"/>
  <c r="B454" i="3"/>
  <c r="B453" i="3"/>
  <c r="D465" i="3" s="1"/>
  <c r="B452" i="3"/>
  <c r="B451" i="3"/>
  <c r="B450" i="3"/>
  <c r="B449" i="3"/>
  <c r="D449" i="3" s="1"/>
  <c r="B448" i="3"/>
  <c r="B447" i="3"/>
  <c r="B446" i="3"/>
  <c r="B445" i="3"/>
  <c r="B444" i="3"/>
  <c r="B443" i="3"/>
  <c r="B442" i="3"/>
  <c r="C442" i="3" s="1"/>
  <c r="B441" i="3"/>
  <c r="D441" i="3" s="1"/>
  <c r="B440" i="3"/>
  <c r="B439" i="3"/>
  <c r="B438" i="3"/>
  <c r="B437" i="3"/>
  <c r="B436" i="3"/>
  <c r="B435" i="3"/>
  <c r="B434" i="3"/>
  <c r="C434" i="3" s="1"/>
  <c r="B433" i="3"/>
  <c r="B432" i="3"/>
  <c r="D432" i="3" s="1"/>
  <c r="B431" i="3"/>
  <c r="B430" i="3"/>
  <c r="B429" i="3"/>
  <c r="B428" i="3"/>
  <c r="B427" i="3"/>
  <c r="B426" i="3"/>
  <c r="B425" i="3"/>
  <c r="B424" i="3"/>
  <c r="B423" i="3"/>
  <c r="D422" i="3"/>
  <c r="B422" i="3"/>
  <c r="B421" i="3"/>
  <c r="C421" i="3" s="1"/>
  <c r="B420" i="3"/>
  <c r="C420" i="3" s="1"/>
  <c r="B419" i="3"/>
  <c r="B418" i="3"/>
  <c r="D430" i="3" s="1"/>
  <c r="B417" i="3"/>
  <c r="B416" i="3"/>
  <c r="C417" i="3" s="1"/>
  <c r="B415" i="3"/>
  <c r="B414" i="3"/>
  <c r="D413" i="3"/>
  <c r="C413" i="3"/>
  <c r="B413" i="3"/>
  <c r="D425" i="3" s="1"/>
  <c r="B412" i="3"/>
  <c r="C412" i="3" s="1"/>
  <c r="B411" i="3"/>
  <c r="B410" i="3"/>
  <c r="B409" i="3"/>
  <c r="B408" i="3"/>
  <c r="B407" i="3"/>
  <c r="B406" i="3"/>
  <c r="B405" i="3"/>
  <c r="D417" i="3" s="1"/>
  <c r="B404" i="3"/>
  <c r="B403" i="3"/>
  <c r="B402" i="3"/>
  <c r="B401" i="3"/>
  <c r="B400" i="3"/>
  <c r="B399" i="3"/>
  <c r="B398" i="3"/>
  <c r="B397" i="3"/>
  <c r="B396" i="3"/>
  <c r="D408" i="3" s="1"/>
  <c r="B395" i="3"/>
  <c r="B394" i="3"/>
  <c r="B393" i="3"/>
  <c r="B392" i="3"/>
  <c r="D404" i="3" s="1"/>
  <c r="B391" i="3"/>
  <c r="B390" i="3"/>
  <c r="B389" i="3"/>
  <c r="B388" i="3"/>
  <c r="B387" i="3"/>
  <c r="D399" i="3" s="1"/>
  <c r="B386" i="3"/>
  <c r="B385" i="3"/>
  <c r="B384" i="3"/>
  <c r="C384" i="3" s="1"/>
  <c r="B383" i="3"/>
  <c r="B382" i="3"/>
  <c r="B381" i="3"/>
  <c r="B380" i="3"/>
  <c r="B379" i="3"/>
  <c r="D391" i="3" s="1"/>
  <c r="B378" i="3"/>
  <c r="D390" i="3" s="1"/>
  <c r="B377" i="3"/>
  <c r="B376" i="3"/>
  <c r="C376" i="3" s="1"/>
  <c r="B375" i="3"/>
  <c r="B374" i="3"/>
  <c r="B373" i="3"/>
  <c r="B372" i="3"/>
  <c r="D371" i="3"/>
  <c r="B371" i="3"/>
  <c r="D383" i="3" s="1"/>
  <c r="B370" i="3"/>
  <c r="D382" i="3" s="1"/>
  <c r="B369" i="3"/>
  <c r="B368" i="3"/>
  <c r="D380" i="3" s="1"/>
  <c r="C367" i="3"/>
  <c r="B367" i="3"/>
  <c r="B366" i="3"/>
  <c r="B365" i="3"/>
  <c r="B364" i="3"/>
  <c r="D363" i="3"/>
  <c r="C363" i="3"/>
  <c r="B363" i="3"/>
  <c r="B362" i="3"/>
  <c r="D374" i="3" s="1"/>
  <c r="B361" i="3"/>
  <c r="B360" i="3"/>
  <c r="B359" i="3"/>
  <c r="B358" i="3"/>
  <c r="B357" i="3"/>
  <c r="B356" i="3"/>
  <c r="C355" i="3"/>
  <c r="B355" i="3"/>
  <c r="D355" i="3" s="1"/>
  <c r="B354" i="3"/>
  <c r="D366" i="3" s="1"/>
  <c r="B353" i="3"/>
  <c r="B352" i="3"/>
  <c r="B351" i="3"/>
  <c r="B350" i="3"/>
  <c r="B349" i="3"/>
  <c r="B348" i="3"/>
  <c r="B347" i="3"/>
  <c r="D359" i="3" s="1"/>
  <c r="B346" i="3"/>
  <c r="D358" i="3" s="1"/>
  <c r="B345" i="3"/>
  <c r="B344" i="3"/>
  <c r="D356" i="3" s="1"/>
  <c r="B343" i="3"/>
  <c r="B342" i="3"/>
  <c r="B341" i="3"/>
  <c r="B340" i="3"/>
  <c r="B339" i="3"/>
  <c r="C339" i="3" s="1"/>
  <c r="B338" i="3"/>
  <c r="B337" i="3"/>
  <c r="B336" i="3"/>
  <c r="C336" i="3" s="1"/>
  <c r="B335" i="3"/>
  <c r="D335" i="3" s="1"/>
  <c r="B334" i="3"/>
  <c r="B333" i="3"/>
  <c r="B332" i="3"/>
  <c r="D344" i="3" s="1"/>
  <c r="B331" i="3"/>
  <c r="D331" i="3" s="1"/>
  <c r="B330" i="3"/>
  <c r="B329" i="3"/>
  <c r="D328" i="3"/>
  <c r="B328" i="3"/>
  <c r="B327" i="3"/>
  <c r="B326" i="3"/>
  <c r="D338" i="3" s="1"/>
  <c r="B325" i="3"/>
  <c r="B324" i="3"/>
  <c r="C324" i="3" s="1"/>
  <c r="D323" i="3"/>
  <c r="B323" i="3"/>
  <c r="B322" i="3"/>
  <c r="D334" i="3" s="1"/>
  <c r="B321" i="3"/>
  <c r="B320" i="3"/>
  <c r="B319" i="3"/>
  <c r="D319" i="3" s="1"/>
  <c r="B318" i="3"/>
  <c r="D330" i="3" s="1"/>
  <c r="B317" i="3"/>
  <c r="B316" i="3"/>
  <c r="D316" i="3" s="1"/>
  <c r="B315" i="3"/>
  <c r="B314" i="3"/>
  <c r="D326" i="3" s="1"/>
  <c r="B313" i="3"/>
  <c r="B312" i="3"/>
  <c r="B311" i="3"/>
  <c r="B310" i="3"/>
  <c r="B309" i="3"/>
  <c r="B308" i="3"/>
  <c r="D320" i="3" s="1"/>
  <c r="B307" i="3"/>
  <c r="B306" i="3"/>
  <c r="D318" i="3" s="1"/>
  <c r="B305" i="3"/>
  <c r="D317" i="3" s="1"/>
  <c r="C304" i="3"/>
  <c r="B304" i="3"/>
  <c r="B303" i="3"/>
  <c r="B302" i="3"/>
  <c r="B301" i="3"/>
  <c r="B300" i="3"/>
  <c r="B299" i="3"/>
  <c r="D299" i="3" s="1"/>
  <c r="B298" i="3"/>
  <c r="D310" i="3" s="1"/>
  <c r="B297" i="3"/>
  <c r="B296" i="3"/>
  <c r="C296" i="3" s="1"/>
  <c r="B295" i="3"/>
  <c r="B294" i="3"/>
  <c r="B293" i="3"/>
  <c r="B292" i="3"/>
  <c r="B291" i="3"/>
  <c r="C292" i="3" s="1"/>
  <c r="B290" i="3"/>
  <c r="D302" i="3" s="1"/>
  <c r="B289" i="3"/>
  <c r="B288" i="3"/>
  <c r="B287" i="3"/>
  <c r="C287" i="3" s="1"/>
  <c r="B286" i="3"/>
  <c r="B285" i="3"/>
  <c r="B284" i="3"/>
  <c r="B283" i="3"/>
  <c r="B282" i="3"/>
  <c r="D294" i="3" s="1"/>
  <c r="B281" i="3"/>
  <c r="B280" i="3"/>
  <c r="D292" i="3" s="1"/>
  <c r="B279" i="3"/>
  <c r="C280" i="3" s="1"/>
  <c r="B278" i="3"/>
  <c r="B277" i="3"/>
  <c r="B276" i="3"/>
  <c r="D288" i="3" s="1"/>
  <c r="B275" i="3"/>
  <c r="D275" i="3" s="1"/>
  <c r="B274" i="3"/>
  <c r="D286" i="3" s="1"/>
  <c r="B273" i="3"/>
  <c r="B272" i="3"/>
  <c r="D284" i="3" s="1"/>
  <c r="B271" i="3"/>
  <c r="D271" i="3" s="1"/>
  <c r="B270" i="3"/>
  <c r="D282" i="3" s="1"/>
  <c r="B269" i="3"/>
  <c r="B268" i="3"/>
  <c r="D280" i="3" s="1"/>
  <c r="B267" i="3"/>
  <c r="D267" i="3" s="1"/>
  <c r="B266" i="3"/>
  <c r="B265" i="3"/>
  <c r="B264" i="3"/>
  <c r="C264" i="3" s="1"/>
  <c r="B263" i="3"/>
  <c r="B262" i="3"/>
  <c r="B261" i="3"/>
  <c r="B260" i="3"/>
  <c r="D272" i="3" s="1"/>
  <c r="B259" i="3"/>
  <c r="C259" i="3" s="1"/>
  <c r="B258" i="3"/>
  <c r="B257" i="3"/>
  <c r="B256" i="3"/>
  <c r="B255" i="3"/>
  <c r="B254" i="3"/>
  <c r="D266" i="3" s="1"/>
  <c r="B253" i="3"/>
  <c r="B252" i="3"/>
  <c r="D264" i="3" s="1"/>
  <c r="D251" i="3"/>
  <c r="B251" i="3"/>
  <c r="D263" i="3" s="1"/>
  <c r="B250" i="3"/>
  <c r="B249" i="3"/>
  <c r="B248" i="3"/>
  <c r="B247" i="3"/>
  <c r="B246" i="3"/>
  <c r="D258" i="3" s="1"/>
  <c r="B245" i="3"/>
  <c r="B244" i="3"/>
  <c r="C244" i="3" s="1"/>
  <c r="D243" i="3"/>
  <c r="C243" i="3"/>
  <c r="B243" i="3"/>
  <c r="B242" i="3"/>
  <c r="B241" i="3"/>
  <c r="B240" i="3"/>
  <c r="B239" i="3"/>
  <c r="D239" i="3" s="1"/>
  <c r="B238" i="3"/>
  <c r="D250" i="3" s="1"/>
  <c r="B237" i="3"/>
  <c r="B236" i="3"/>
  <c r="D248" i="3" s="1"/>
  <c r="D235" i="3"/>
  <c r="C235" i="3"/>
  <c r="B235" i="3"/>
  <c r="B234" i="3"/>
  <c r="B233" i="3"/>
  <c r="B232" i="3"/>
  <c r="B231" i="3"/>
  <c r="D231" i="3" s="1"/>
  <c r="B230" i="3"/>
  <c r="D242" i="3" s="1"/>
  <c r="B229" i="3"/>
  <c r="D228" i="3"/>
  <c r="C228" i="3"/>
  <c r="B228" i="3"/>
  <c r="B227" i="3"/>
  <c r="B226" i="3"/>
  <c r="B225" i="3"/>
  <c r="B224" i="3"/>
  <c r="B223" i="3"/>
  <c r="B222" i="3"/>
  <c r="D234" i="3" s="1"/>
  <c r="B221" i="3"/>
  <c r="B220" i="3"/>
  <c r="C221" i="3" s="1"/>
  <c r="D219" i="3"/>
  <c r="B219" i="3"/>
  <c r="C219" i="3" s="1"/>
  <c r="B218" i="3"/>
  <c r="B217" i="3"/>
  <c r="B216" i="3"/>
  <c r="B215" i="3"/>
  <c r="B214" i="3"/>
  <c r="D226" i="3" s="1"/>
  <c r="B213" i="3"/>
  <c r="D225" i="3" s="1"/>
  <c r="B212" i="3"/>
  <c r="B211" i="3"/>
  <c r="C211" i="3" s="1"/>
  <c r="B210" i="3"/>
  <c r="B209" i="3"/>
  <c r="B208" i="3"/>
  <c r="C209" i="3" s="1"/>
  <c r="B207" i="3"/>
  <c r="D207" i="3" s="1"/>
  <c r="B206" i="3"/>
  <c r="D218" i="3" s="1"/>
  <c r="B205" i="3"/>
  <c r="D217" i="3" s="1"/>
  <c r="B204" i="3"/>
  <c r="B203" i="3"/>
  <c r="B202" i="3"/>
  <c r="D214" i="3" s="1"/>
  <c r="B201" i="3"/>
  <c r="B200" i="3"/>
  <c r="B199" i="3"/>
  <c r="D199" i="3" s="1"/>
  <c r="B198" i="3"/>
  <c r="D210" i="3" s="1"/>
  <c r="B197" i="3"/>
  <c r="D209" i="3" s="1"/>
  <c r="B196" i="3"/>
  <c r="B195" i="3"/>
  <c r="D195" i="3" s="1"/>
  <c r="B194" i="3"/>
  <c r="D206" i="3" s="1"/>
  <c r="B193" i="3"/>
  <c r="D205" i="3" s="1"/>
  <c r="D192" i="3"/>
  <c r="B192" i="3"/>
  <c r="C192" i="3" s="1"/>
  <c r="B191" i="3"/>
  <c r="B190" i="3"/>
  <c r="B189" i="3"/>
  <c r="D201" i="3" s="1"/>
  <c r="B188" i="3"/>
  <c r="D200" i="3" s="1"/>
  <c r="D187" i="3"/>
  <c r="B187" i="3"/>
  <c r="B186" i="3"/>
  <c r="D198" i="3" s="1"/>
  <c r="B185" i="3"/>
  <c r="B184" i="3"/>
  <c r="C185" i="3" s="1"/>
  <c r="B183" i="3"/>
  <c r="C183" i="3" s="1"/>
  <c r="B182" i="3"/>
  <c r="B181" i="3"/>
  <c r="B180" i="3"/>
  <c r="B179" i="3"/>
  <c r="B178" i="3"/>
  <c r="D190" i="3" s="1"/>
  <c r="B177" i="3"/>
  <c r="D189" i="3" s="1"/>
  <c r="B176" i="3"/>
  <c r="B175" i="3"/>
  <c r="D175" i="3" s="1"/>
  <c r="B174" i="3"/>
  <c r="D186" i="3" s="1"/>
  <c r="B173" i="3"/>
  <c r="B172" i="3"/>
  <c r="C173" i="3" s="1"/>
  <c r="B171" i="3"/>
  <c r="B170" i="3"/>
  <c r="D182" i="3" s="1"/>
  <c r="B169" i="3"/>
  <c r="D181" i="3" s="1"/>
  <c r="B168" i="3"/>
  <c r="C168" i="3" s="1"/>
  <c r="D167" i="3"/>
  <c r="B167" i="3"/>
  <c r="B166" i="3"/>
  <c r="B165" i="3"/>
  <c r="B164" i="3"/>
  <c r="B163" i="3"/>
  <c r="B162" i="3"/>
  <c r="B161" i="3"/>
  <c r="D173" i="3" s="1"/>
  <c r="B160" i="3"/>
  <c r="C161" i="3" s="1"/>
  <c r="B159" i="3"/>
  <c r="D159" i="3" s="1"/>
  <c r="B158" i="3"/>
  <c r="D170" i="3" s="1"/>
  <c r="B157" i="3"/>
  <c r="D169" i="3" s="1"/>
  <c r="B156" i="3"/>
  <c r="C156" i="3" s="1"/>
  <c r="B155" i="3"/>
  <c r="B154" i="3"/>
  <c r="B153" i="3"/>
  <c r="B152" i="3"/>
  <c r="D164" i="3" s="1"/>
  <c r="B151" i="3"/>
  <c r="B150" i="3"/>
  <c r="D162" i="3" s="1"/>
  <c r="B149" i="3"/>
  <c r="D161" i="3" s="1"/>
  <c r="B148" i="3"/>
  <c r="C149" i="3" s="1"/>
  <c r="B147" i="3"/>
  <c r="C147" i="3" s="1"/>
  <c r="B146" i="3"/>
  <c r="B145" i="3"/>
  <c r="B144" i="3"/>
  <c r="B143" i="3"/>
  <c r="B142" i="3"/>
  <c r="D154" i="3" s="1"/>
  <c r="B141" i="3"/>
  <c r="D153" i="3" s="1"/>
  <c r="B140" i="3"/>
  <c r="D152" i="3" s="1"/>
  <c r="B139" i="3"/>
  <c r="B138" i="3"/>
  <c r="D150" i="3" s="1"/>
  <c r="B137" i="3"/>
  <c r="B136" i="3"/>
  <c r="C137" i="3" s="1"/>
  <c r="B135" i="3"/>
  <c r="B134" i="3"/>
  <c r="D146" i="3" s="1"/>
  <c r="B133" i="3"/>
  <c r="D145" i="3" s="1"/>
  <c r="B132" i="3"/>
  <c r="D132" i="3" s="1"/>
  <c r="B131" i="3"/>
  <c r="B130" i="3"/>
  <c r="D142" i="3" s="1"/>
  <c r="B129" i="3"/>
  <c r="D141" i="3" s="1"/>
  <c r="B128" i="3"/>
  <c r="B127" i="3"/>
  <c r="B126" i="3"/>
  <c r="B125" i="3"/>
  <c r="D137" i="3" s="1"/>
  <c r="B124" i="3"/>
  <c r="C125" i="3" s="1"/>
  <c r="B123" i="3"/>
  <c r="B122" i="3"/>
  <c r="D134" i="3" s="1"/>
  <c r="B121" i="3"/>
  <c r="B120" i="3"/>
  <c r="D120" i="3" s="1"/>
  <c r="B119" i="3"/>
  <c r="B118" i="3"/>
  <c r="B117" i="3"/>
  <c r="B116" i="3"/>
  <c r="D128" i="3" s="1"/>
  <c r="B115" i="3"/>
  <c r="B114" i="3"/>
  <c r="D126" i="3" s="1"/>
  <c r="B113" i="3"/>
  <c r="D125" i="3" s="1"/>
  <c r="B112" i="3"/>
  <c r="C113" i="3" s="1"/>
  <c r="B111" i="3"/>
  <c r="C111" i="3" s="1"/>
  <c r="B110" i="3"/>
  <c r="B109" i="3"/>
  <c r="D121" i="3" s="1"/>
  <c r="B108" i="3"/>
  <c r="B107" i="3"/>
  <c r="B106" i="3"/>
  <c r="D118" i="3" s="1"/>
  <c r="B105" i="3"/>
  <c r="D117" i="3" s="1"/>
  <c r="B104" i="3"/>
  <c r="B103" i="3"/>
  <c r="B102" i="3"/>
  <c r="D114" i="3" s="1"/>
  <c r="B101" i="3"/>
  <c r="B100" i="3"/>
  <c r="C101" i="3" s="1"/>
  <c r="B99" i="3"/>
  <c r="B98" i="3"/>
  <c r="D110" i="3" s="1"/>
  <c r="B97" i="3"/>
  <c r="B96" i="3"/>
  <c r="B95" i="3"/>
  <c r="C95" i="3" s="1"/>
  <c r="B94" i="3"/>
  <c r="D106" i="3" s="1"/>
  <c r="B93" i="3"/>
  <c r="B92" i="3"/>
  <c r="D91" i="3"/>
  <c r="B91" i="3"/>
  <c r="C91" i="3" s="1"/>
  <c r="B90" i="3"/>
  <c r="B89" i="3"/>
  <c r="D101" i="3" s="1"/>
  <c r="B88" i="3"/>
  <c r="C89" i="3" s="1"/>
  <c r="B87" i="3"/>
  <c r="D87" i="3" s="1"/>
  <c r="B86" i="3"/>
  <c r="D98" i="3" s="1"/>
  <c r="B85" i="3"/>
  <c r="D97" i="3" s="1"/>
  <c r="B84" i="3"/>
  <c r="B83" i="3"/>
  <c r="B82" i="3"/>
  <c r="D94" i="3" s="1"/>
  <c r="B81" i="3"/>
  <c r="B80" i="3"/>
  <c r="B79" i="3"/>
  <c r="B78" i="3"/>
  <c r="D90" i="3" s="1"/>
  <c r="B77" i="3"/>
  <c r="D89" i="3" s="1"/>
  <c r="B76" i="3"/>
  <c r="C77" i="3" s="1"/>
  <c r="D75" i="3"/>
  <c r="B75" i="3"/>
  <c r="C75" i="3" s="1"/>
  <c r="B74" i="3"/>
  <c r="B73" i="3"/>
  <c r="B72" i="3"/>
  <c r="B71" i="3"/>
  <c r="B70" i="3"/>
  <c r="B69" i="3"/>
  <c r="D81" i="3" s="1"/>
  <c r="B68" i="3"/>
  <c r="B67" i="3"/>
  <c r="D67" i="3" s="1"/>
  <c r="B66" i="3"/>
  <c r="D78" i="3" s="1"/>
  <c r="B65" i="3"/>
  <c r="B64" i="3"/>
  <c r="C65" i="3" s="1"/>
  <c r="B63" i="3"/>
  <c r="C63" i="3" s="1"/>
  <c r="B62" i="3"/>
  <c r="D74" i="3" s="1"/>
  <c r="B61" i="3"/>
  <c r="B60" i="3"/>
  <c r="B59" i="3"/>
  <c r="B58" i="3"/>
  <c r="D70" i="3" s="1"/>
  <c r="B57" i="3"/>
  <c r="B56" i="3"/>
  <c r="D55" i="3"/>
  <c r="B55" i="3"/>
  <c r="C55" i="3" s="1"/>
  <c r="B54" i="3"/>
  <c r="B53" i="3"/>
  <c r="D65" i="3" s="1"/>
  <c r="B52" i="3"/>
  <c r="C53" i="3" s="1"/>
  <c r="B51" i="3"/>
  <c r="B50" i="3"/>
  <c r="D62" i="3" s="1"/>
  <c r="B49" i="3"/>
  <c r="D61" i="3" s="1"/>
  <c r="B48" i="3"/>
  <c r="D48" i="3" s="1"/>
  <c r="B47" i="3"/>
  <c r="B46" i="3"/>
  <c r="D58" i="3" s="1"/>
  <c r="B45" i="3"/>
  <c r="D57" i="3" s="1"/>
  <c r="B44" i="3"/>
  <c r="D56" i="3" s="1"/>
  <c r="B43" i="3"/>
  <c r="B42" i="3"/>
  <c r="D54" i="3" s="1"/>
  <c r="B41" i="3"/>
  <c r="D53" i="3" s="1"/>
  <c r="B40" i="3"/>
  <c r="C41" i="3" s="1"/>
  <c r="B39" i="3"/>
  <c r="C39" i="3" s="1"/>
  <c r="B38" i="3"/>
  <c r="B37" i="3"/>
  <c r="D49" i="3" s="1"/>
  <c r="B36" i="3"/>
  <c r="C36" i="3" s="1"/>
  <c r="B35" i="3"/>
  <c r="B34" i="3"/>
  <c r="B33" i="3"/>
  <c r="B32" i="3"/>
  <c r="D44" i="3" s="1"/>
  <c r="B31" i="3"/>
  <c r="D31" i="3" s="1"/>
  <c r="B30" i="3"/>
  <c r="D42" i="3" s="1"/>
  <c r="B29" i="3"/>
  <c r="B28" i="3"/>
  <c r="C29" i="3" s="1"/>
  <c r="B27" i="3"/>
  <c r="B26" i="3"/>
  <c r="D38" i="3" s="1"/>
  <c r="B25" i="3"/>
  <c r="B24" i="3"/>
  <c r="B23" i="3"/>
  <c r="B22" i="3"/>
  <c r="D34" i="3" s="1"/>
  <c r="B21" i="3"/>
  <c r="D33" i="3" s="1"/>
  <c r="B20" i="3"/>
  <c r="D32" i="3" s="1"/>
  <c r="B19" i="3"/>
  <c r="B18" i="3"/>
  <c r="D30" i="3" s="1"/>
  <c r="B17" i="3"/>
  <c r="D29" i="3" s="1"/>
  <c r="B16" i="3"/>
  <c r="B15" i="3"/>
  <c r="B14" i="3"/>
  <c r="B13" i="3"/>
  <c r="B12" i="3"/>
  <c r="B11" i="3"/>
  <c r="B10" i="3"/>
  <c r="D22" i="3" s="1"/>
  <c r="B9" i="3"/>
  <c r="B8" i="3"/>
  <c r="B7" i="3"/>
  <c r="B6" i="3"/>
  <c r="D18" i="3" s="1"/>
  <c r="B5" i="3"/>
  <c r="N31" i="1"/>
  <c r="Q22" i="1" s="1"/>
  <c r="N30" i="1"/>
  <c r="P22" i="1" s="1"/>
  <c r="Q23" i="1"/>
  <c r="P23" i="1"/>
  <c r="F693" i="5" l="1"/>
  <c r="F673" i="5"/>
  <c r="E673" i="5"/>
  <c r="E35" i="5"/>
  <c r="E138" i="5"/>
  <c r="E162" i="5"/>
  <c r="E198" i="5"/>
  <c r="E210" i="5"/>
  <c r="E349" i="5"/>
  <c r="E372" i="5"/>
  <c r="E59" i="5"/>
  <c r="E338" i="5"/>
  <c r="E362" i="5"/>
  <c r="E384" i="5"/>
  <c r="E429" i="5"/>
  <c r="E533" i="5"/>
  <c r="E603" i="5"/>
  <c r="E453" i="5"/>
  <c r="E580" i="5"/>
  <c r="E93" i="5"/>
  <c r="E153" i="5"/>
  <c r="E189" i="5"/>
  <c r="E304" i="5"/>
  <c r="E340" i="5"/>
  <c r="E420" i="5"/>
  <c r="E50" i="5"/>
  <c r="E61" i="5"/>
  <c r="E281" i="5"/>
  <c r="E293" i="5"/>
  <c r="E329" i="5"/>
  <c r="E341" i="5"/>
  <c r="E531" i="5"/>
  <c r="F661" i="5"/>
  <c r="E126" i="5"/>
  <c r="E150" i="5"/>
  <c r="E174" i="5"/>
  <c r="E222" i="5"/>
  <c r="E301" i="5"/>
  <c r="E337" i="5"/>
  <c r="E361" i="5"/>
  <c r="E383" i="5"/>
  <c r="E417" i="5"/>
  <c r="E544" i="5"/>
  <c r="E103" i="5"/>
  <c r="E187" i="5"/>
  <c r="E350" i="5"/>
  <c r="E395" i="5"/>
  <c r="E545" i="5"/>
  <c r="E615" i="5"/>
  <c r="E396" i="5"/>
  <c r="E49" i="5"/>
  <c r="E60" i="5"/>
  <c r="E141" i="5"/>
  <c r="E292" i="5"/>
  <c r="E62" i="5"/>
  <c r="E84" i="5"/>
  <c r="E95" i="5"/>
  <c r="E131" i="5"/>
  <c r="E155" i="5"/>
  <c r="E167" i="5"/>
  <c r="E179" i="5"/>
  <c r="E282" i="5"/>
  <c r="E294" i="5"/>
  <c r="E306" i="5"/>
  <c r="E330" i="5"/>
  <c r="E342" i="5"/>
  <c r="E354" i="5"/>
  <c r="E365" i="5"/>
  <c r="E23" i="5"/>
  <c r="E86" i="5"/>
  <c r="E109" i="5"/>
  <c r="E144" i="5"/>
  <c r="E245" i="5"/>
  <c r="E287" i="5"/>
  <c r="E309" i="5"/>
  <c r="E333" i="5"/>
  <c r="E387" i="5"/>
  <c r="E46" i="5"/>
  <c r="E67" i="5"/>
  <c r="E133" i="5"/>
  <c r="E223" i="5"/>
  <c r="E235" i="5"/>
  <c r="E276" i="5"/>
  <c r="E299" i="5"/>
  <c r="E432" i="5"/>
  <c r="E641" i="5"/>
  <c r="E27" i="5"/>
  <c r="E38" i="5"/>
  <c r="E90" i="5"/>
  <c r="E113" i="5"/>
  <c r="E136" i="5"/>
  <c r="E180" i="5"/>
  <c r="E191" i="5"/>
  <c r="E215" i="5"/>
  <c r="E313" i="5"/>
  <c r="E325" i="5"/>
  <c r="E458" i="5"/>
  <c r="E551" i="5"/>
  <c r="E604" i="5"/>
  <c r="E721" i="5"/>
  <c r="E12" i="5"/>
  <c r="E45" i="5"/>
  <c r="E76" i="5"/>
  <c r="E132" i="5"/>
  <c r="E156" i="5"/>
  <c r="E199" i="5"/>
  <c r="E234" i="5"/>
  <c r="E321" i="5"/>
  <c r="E398" i="5"/>
  <c r="E454" i="5"/>
  <c r="E547" i="5"/>
  <c r="E24" i="5"/>
  <c r="E77" i="5"/>
  <c r="E121" i="5"/>
  <c r="E145" i="5"/>
  <c r="E246" i="5"/>
  <c r="E355" i="5"/>
  <c r="E479" i="5"/>
  <c r="E14" i="5"/>
  <c r="E36" i="5"/>
  <c r="E58" i="5"/>
  <c r="E78" i="5"/>
  <c r="E122" i="5"/>
  <c r="E258" i="5"/>
  <c r="E277" i="5"/>
  <c r="E311" i="5"/>
  <c r="E323" i="5"/>
  <c r="E366" i="5"/>
  <c r="E422" i="5"/>
  <c r="E490" i="5"/>
  <c r="E525" i="5"/>
  <c r="F641" i="5"/>
  <c r="F653" i="5"/>
  <c r="E15" i="5"/>
  <c r="E37" i="5"/>
  <c r="E79" i="5"/>
  <c r="E112" i="5"/>
  <c r="E225" i="5"/>
  <c r="E237" i="5"/>
  <c r="E289" i="5"/>
  <c r="E312" i="5"/>
  <c r="E357" i="5"/>
  <c r="E413" i="5"/>
  <c r="E423" i="5"/>
  <c r="E515" i="5"/>
  <c r="E526" i="5"/>
  <c r="F689" i="5"/>
  <c r="F713" i="5"/>
  <c r="E6" i="5"/>
  <c r="E28" i="5"/>
  <c r="E39" i="5"/>
  <c r="E69" i="5"/>
  <c r="E91" i="5"/>
  <c r="E102" i="5"/>
  <c r="E114" i="5"/>
  <c r="E137" i="5"/>
  <c r="E149" i="5"/>
  <c r="E181" i="5"/>
  <c r="E192" i="5"/>
  <c r="E216" i="5"/>
  <c r="E227" i="5"/>
  <c r="E280" i="5"/>
  <c r="E302" i="5"/>
  <c r="E348" i="5"/>
  <c r="E359" i="5"/>
  <c r="E380" i="5"/>
  <c r="E415" i="5"/>
  <c r="E425" i="5"/>
  <c r="E471" i="5"/>
  <c r="E493" i="5"/>
  <c r="F645" i="5"/>
  <c r="F759" i="5"/>
  <c r="E599" i="5"/>
  <c r="E500" i="5"/>
  <c r="E465" i="5"/>
  <c r="E427" i="5"/>
  <c r="E411" i="5"/>
  <c r="E394" i="5"/>
  <c r="E385" i="5"/>
  <c r="E360" i="5"/>
  <c r="E336" i="5"/>
  <c r="E318" i="5"/>
  <c r="E229" i="5"/>
  <c r="E186" i="5"/>
  <c r="E169" i="5"/>
  <c r="E143" i="5"/>
  <c r="E125" i="5"/>
  <c r="E97" i="5"/>
  <c r="E26" i="5"/>
  <c r="E213" i="5"/>
  <c r="E204" i="5"/>
  <c r="E81" i="5"/>
  <c r="E377" i="5"/>
  <c r="E353" i="5"/>
  <c r="E73" i="5"/>
  <c r="E89" i="5"/>
  <c r="E239" i="5"/>
  <c r="E117" i="5"/>
  <c r="E717" i="5"/>
  <c r="F705" i="5"/>
  <c r="E476" i="5"/>
  <c r="E496" i="5"/>
  <c r="E528" i="5"/>
  <c r="E550" i="5"/>
  <c r="F662" i="5"/>
  <c r="F741" i="5"/>
  <c r="E753" i="5"/>
  <c r="F753" i="5"/>
  <c r="E653" i="5"/>
  <c r="F665" i="5"/>
  <c r="F643" i="5"/>
  <c r="F667" i="5"/>
  <c r="F655" i="5"/>
  <c r="E655" i="5"/>
  <c r="F657" i="5"/>
  <c r="E645" i="5"/>
  <c r="F648" i="5"/>
  <c r="E636" i="5"/>
  <c r="E529" i="5"/>
  <c r="E541" i="5"/>
  <c r="F664" i="5"/>
  <c r="E743" i="5"/>
  <c r="E98" i="5"/>
  <c r="E435" i="5"/>
  <c r="F701" i="5"/>
  <c r="E21" i="5"/>
  <c r="E64" i="5"/>
  <c r="E203" i="5"/>
  <c r="E268" i="5"/>
  <c r="E335" i="5"/>
  <c r="E399" i="5"/>
  <c r="E701" i="5"/>
  <c r="E47" i="5"/>
  <c r="E56" i="5"/>
  <c r="E100" i="5"/>
  <c r="E119" i="5"/>
  <c r="E175" i="5"/>
  <c r="E184" i="5"/>
  <c r="E193" i="5"/>
  <c r="E269" i="5"/>
  <c r="E297" i="5"/>
  <c r="E307" i="5"/>
  <c r="E316" i="5"/>
  <c r="E391" i="5"/>
  <c r="E410" i="5"/>
  <c r="E448" i="5"/>
  <c r="E563" i="5"/>
  <c r="F683" i="5"/>
  <c r="E71" i="5"/>
  <c r="E80" i="5"/>
  <c r="E163" i="5"/>
  <c r="E173" i="5"/>
  <c r="E201" i="5"/>
  <c r="E218" i="5"/>
  <c r="E228" i="5"/>
  <c r="E266" i="5"/>
  <c r="E305" i="5"/>
  <c r="E324" i="5"/>
  <c r="E20" i="5"/>
  <c r="E54" i="5"/>
  <c r="E72" i="5"/>
  <c r="E108" i="5"/>
  <c r="E249" i="5"/>
  <c r="E295" i="5"/>
  <c r="E314" i="5"/>
  <c r="E352" i="5"/>
  <c r="E369" i="5"/>
  <c r="E408" i="5"/>
  <c r="E503" i="5"/>
  <c r="E13" i="5"/>
  <c r="E55" i="5"/>
  <c r="E127" i="5"/>
  <c r="E146" i="5"/>
  <c r="E165" i="5"/>
  <c r="E230" i="5"/>
  <c r="E259" i="5"/>
  <c r="E379" i="5"/>
  <c r="E5" i="5"/>
  <c r="E32" i="5"/>
  <c r="E40" i="5"/>
  <c r="E66" i="5"/>
  <c r="E74" i="5"/>
  <c r="E110" i="5"/>
  <c r="E129" i="5"/>
  <c r="E139" i="5"/>
  <c r="E148" i="5"/>
  <c r="E185" i="5"/>
  <c r="E232" i="5"/>
  <c r="E278" i="5"/>
  <c r="E401" i="5"/>
  <c r="F672" i="5"/>
  <c r="F671" i="5"/>
  <c r="F707" i="5"/>
  <c r="F765" i="5"/>
  <c r="E16" i="5"/>
  <c r="E25" i="5"/>
  <c r="E96" i="5"/>
  <c r="E105" i="5"/>
  <c r="E115" i="5"/>
  <c r="E124" i="5"/>
  <c r="E158" i="5"/>
  <c r="E168" i="5"/>
  <c r="E177" i="5"/>
  <c r="E211" i="5"/>
  <c r="E273" i="5"/>
  <c r="E317" i="5"/>
  <c r="E326" i="5"/>
  <c r="E343" i="5"/>
  <c r="E445" i="5"/>
  <c r="F651" i="5"/>
  <c r="F659" i="5"/>
  <c r="F678" i="5"/>
  <c r="F699" i="5"/>
  <c r="E695" i="5"/>
  <c r="F725" i="5"/>
  <c r="F735" i="5"/>
  <c r="F758" i="5"/>
  <c r="D411" i="5"/>
  <c r="E9" i="5"/>
  <c r="E17" i="5"/>
  <c r="E48" i="5"/>
  <c r="E88" i="5"/>
  <c r="E134" i="5"/>
  <c r="E151" i="5"/>
  <c r="E220" i="5"/>
  <c r="E256" i="5"/>
  <c r="E290" i="5"/>
  <c r="E300" i="5"/>
  <c r="E482" i="5"/>
  <c r="F639" i="5"/>
  <c r="F647" i="5"/>
  <c r="F688" i="5"/>
  <c r="E687" i="5"/>
  <c r="F695" i="5"/>
  <c r="F728" i="5"/>
  <c r="F769" i="5"/>
  <c r="E10" i="5"/>
  <c r="E57" i="5"/>
  <c r="E65" i="5"/>
  <c r="E107" i="5"/>
  <c r="E160" i="5"/>
  <c r="E194" i="5"/>
  <c r="E221" i="5"/>
  <c r="E247" i="5"/>
  <c r="E257" i="5"/>
  <c r="E283" i="5"/>
  <c r="E328" i="5"/>
  <c r="E345" i="5"/>
  <c r="E367" i="5"/>
  <c r="E403" i="5"/>
  <c r="E576" i="5"/>
  <c r="F642" i="5"/>
  <c r="F680" i="5"/>
  <c r="F677" i="5"/>
  <c r="F687" i="5"/>
  <c r="F718" i="5"/>
  <c r="D425" i="5"/>
  <c r="C64" i="4"/>
  <c r="C130" i="4"/>
  <c r="D110" i="4"/>
  <c r="G110" i="5" s="1"/>
  <c r="C274" i="4"/>
  <c r="C327" i="4"/>
  <c r="C662" i="4"/>
  <c r="C122" i="4"/>
  <c r="C394" i="4"/>
  <c r="D395" i="4"/>
  <c r="G395" i="5" s="1"/>
  <c r="D405" i="4"/>
  <c r="G405" i="5" s="1"/>
  <c r="D517" i="4"/>
  <c r="G517" i="5" s="1"/>
  <c r="D276" i="4"/>
  <c r="G276" i="5" s="1"/>
  <c r="C144" i="4"/>
  <c r="C266" i="4"/>
  <c r="C287" i="4"/>
  <c r="C135" i="4"/>
  <c r="D431" i="4"/>
  <c r="G431" i="5" s="1"/>
  <c r="C712" i="4"/>
  <c r="C136" i="4"/>
  <c r="C288" i="4"/>
  <c r="C331" i="4"/>
  <c r="D555" i="4"/>
  <c r="G555" i="5" s="1"/>
  <c r="C15" i="4"/>
  <c r="C49" i="4"/>
  <c r="D181" i="4"/>
  <c r="G181" i="5" s="1"/>
  <c r="D311" i="4"/>
  <c r="G311" i="5" s="1"/>
  <c r="C376" i="4"/>
  <c r="C557" i="4"/>
  <c r="D567" i="4"/>
  <c r="G567" i="5" s="1"/>
  <c r="C724" i="4"/>
  <c r="C730" i="4"/>
  <c r="B711" i="5"/>
  <c r="D99" i="4"/>
  <c r="G99" i="5" s="1"/>
  <c r="C162" i="4"/>
  <c r="C185" i="4"/>
  <c r="C241" i="4"/>
  <c r="D283" i="4"/>
  <c r="G283" i="5" s="1"/>
  <c r="D582" i="4"/>
  <c r="G582" i="5" s="1"/>
  <c r="C198" i="4"/>
  <c r="C209" i="4"/>
  <c r="C369" i="4"/>
  <c r="C628" i="4"/>
  <c r="D674" i="4"/>
  <c r="G674" i="5" s="1"/>
  <c r="C450" i="4"/>
  <c r="C90" i="4"/>
  <c r="C318" i="4"/>
  <c r="C439" i="4"/>
  <c r="C612" i="4"/>
  <c r="C623" i="4"/>
  <c r="D265" i="4"/>
  <c r="G265" i="5" s="1"/>
  <c r="C406" i="4"/>
  <c r="C430" i="4"/>
  <c r="D320" i="4"/>
  <c r="G320" i="5" s="1"/>
  <c r="D373" i="4"/>
  <c r="G373" i="5" s="1"/>
  <c r="D441" i="4"/>
  <c r="G441" i="5" s="1"/>
  <c r="C613" i="4"/>
  <c r="C420" i="4"/>
  <c r="C555" i="4"/>
  <c r="C14" i="4"/>
  <c r="D443" i="4"/>
  <c r="G443" i="5" s="1"/>
  <c r="C466" i="4"/>
  <c r="D533" i="4"/>
  <c r="G533" i="5" s="1"/>
  <c r="D707" i="4"/>
  <c r="G707" i="5" s="1"/>
  <c r="C50" i="4"/>
  <c r="C84" i="4"/>
  <c r="D312" i="4"/>
  <c r="G312" i="5" s="1"/>
  <c r="C332" i="4"/>
  <c r="D467" i="4"/>
  <c r="G467" i="5" s="1"/>
  <c r="D477" i="4"/>
  <c r="G477" i="5" s="1"/>
  <c r="C684" i="4"/>
  <c r="C696" i="4"/>
  <c r="C748" i="4"/>
  <c r="D604" i="4"/>
  <c r="G604" i="5" s="1"/>
  <c r="D31" i="4"/>
  <c r="G31" i="5" s="1"/>
  <c r="D241" i="4"/>
  <c r="G241" i="5" s="1"/>
  <c r="C449" i="4"/>
  <c r="C480" i="4"/>
  <c r="D32" i="5"/>
  <c r="C163" i="4"/>
  <c r="D175" i="4"/>
  <c r="G175" i="5" s="1"/>
  <c r="C219" i="4"/>
  <c r="C370" i="4"/>
  <c r="C727" i="4"/>
  <c r="C275" i="4"/>
  <c r="C295" i="4"/>
  <c r="D328" i="4"/>
  <c r="G328" i="5" s="1"/>
  <c r="D529" i="4"/>
  <c r="G529" i="5" s="1"/>
  <c r="C699" i="4"/>
  <c r="C716" i="4"/>
  <c r="D319" i="4"/>
  <c r="G319" i="5" s="1"/>
  <c r="C635" i="4"/>
  <c r="D24" i="5"/>
  <c r="D103" i="4"/>
  <c r="G103" i="5" s="1"/>
  <c r="C222" i="4"/>
  <c r="C340" i="4"/>
  <c r="D519" i="4"/>
  <c r="G519" i="5" s="1"/>
  <c r="C624" i="4"/>
  <c r="C25" i="4"/>
  <c r="D287" i="4"/>
  <c r="G287" i="5" s="1"/>
  <c r="C353" i="4"/>
  <c r="C508" i="4"/>
  <c r="D299" i="4"/>
  <c r="G299" i="5" s="1"/>
  <c r="C432" i="4"/>
  <c r="D566" i="4"/>
  <c r="G566" i="5" s="1"/>
  <c r="C39" i="4"/>
  <c r="C184" i="4"/>
  <c r="D216" i="4"/>
  <c r="G216" i="5" s="1"/>
  <c r="C249" i="4"/>
  <c r="D457" i="4"/>
  <c r="G457" i="5" s="1"/>
  <c r="C478" i="4"/>
  <c r="D489" i="4"/>
  <c r="G489" i="5" s="1"/>
  <c r="D590" i="4"/>
  <c r="G590" i="5" s="1"/>
  <c r="D602" i="4"/>
  <c r="G602" i="5" s="1"/>
  <c r="C655" i="4"/>
  <c r="D731" i="4"/>
  <c r="G731" i="5" s="1"/>
  <c r="B335" i="5"/>
  <c r="D335" i="4"/>
  <c r="G335" i="5" s="1"/>
  <c r="B123" i="5"/>
  <c r="D123" i="5" s="1"/>
  <c r="D135" i="4"/>
  <c r="G135" i="5" s="1"/>
  <c r="C193" i="4"/>
  <c r="D211" i="4"/>
  <c r="G211" i="5" s="1"/>
  <c r="C211" i="4"/>
  <c r="C212" i="4"/>
  <c r="C319" i="4"/>
  <c r="D650" i="4"/>
  <c r="G650" i="5" s="1"/>
  <c r="B44" i="5"/>
  <c r="D44" i="5" s="1"/>
  <c r="C44" i="4"/>
  <c r="D44" i="4"/>
  <c r="G44" i="5" s="1"/>
  <c r="D347" i="4"/>
  <c r="G347" i="5" s="1"/>
  <c r="B511" i="5"/>
  <c r="D523" i="4"/>
  <c r="G523" i="5" s="1"/>
  <c r="C641" i="4"/>
  <c r="C752" i="4"/>
  <c r="B769" i="5"/>
  <c r="D769" i="5" s="1"/>
  <c r="C770" i="4"/>
  <c r="B261" i="5"/>
  <c r="D261" i="5" s="1"/>
  <c r="D261" i="4"/>
  <c r="G261" i="5" s="1"/>
  <c r="C261" i="4"/>
  <c r="C398" i="4"/>
  <c r="C440" i="4"/>
  <c r="B620" i="5"/>
  <c r="D620" i="5" s="1"/>
  <c r="D620" i="4"/>
  <c r="G620" i="5" s="1"/>
  <c r="D752" i="4"/>
  <c r="G752" i="5" s="1"/>
  <c r="B758" i="5"/>
  <c r="D758" i="5" s="1"/>
  <c r="D770" i="4"/>
  <c r="G770" i="5" s="1"/>
  <c r="C117" i="4"/>
  <c r="B301" i="5"/>
  <c r="D301" i="5" s="1"/>
  <c r="D301" i="4"/>
  <c r="G301" i="5" s="1"/>
  <c r="C301" i="4"/>
  <c r="C620" i="4"/>
  <c r="C703" i="4"/>
  <c r="C758" i="4"/>
  <c r="B18" i="5"/>
  <c r="D18" i="5" s="1"/>
  <c r="D30" i="4"/>
  <c r="G30" i="5" s="1"/>
  <c r="C380" i="4"/>
  <c r="D512" i="4"/>
  <c r="G512" i="5" s="1"/>
  <c r="C753" i="4"/>
  <c r="B650" i="5"/>
  <c r="D650" i="5" s="1"/>
  <c r="C235" i="4"/>
  <c r="D264" i="4"/>
  <c r="G264" i="5" s="1"/>
  <c r="B313" i="5"/>
  <c r="D313" i="5" s="1"/>
  <c r="D313" i="4"/>
  <c r="G313" i="5" s="1"/>
  <c r="C442" i="4"/>
  <c r="B513" i="5"/>
  <c r="D513" i="5" s="1"/>
  <c r="C513" i="4"/>
  <c r="C616" i="4"/>
  <c r="C680" i="4"/>
  <c r="B680" i="5"/>
  <c r="D680" i="5" s="1"/>
  <c r="B692" i="5"/>
  <c r="D692" i="5" s="1"/>
  <c r="C692" i="4"/>
  <c r="D692" i="4"/>
  <c r="G692" i="5" s="1"/>
  <c r="D88" i="4"/>
  <c r="G88" i="5" s="1"/>
  <c r="C88" i="4"/>
  <c r="B156" i="5"/>
  <c r="D156" i="5" s="1"/>
  <c r="D156" i="4"/>
  <c r="G156" i="5" s="1"/>
  <c r="C732" i="4"/>
  <c r="C156" i="4"/>
  <c r="C305" i="4"/>
  <c r="B536" i="5"/>
  <c r="D536" i="5" s="1"/>
  <c r="C536" i="4"/>
  <c r="D653" i="4"/>
  <c r="G653" i="5" s="1"/>
  <c r="C663" i="4"/>
  <c r="C681" i="4"/>
  <c r="D59" i="4"/>
  <c r="G59" i="5" s="1"/>
  <c r="B79" i="5"/>
  <c r="D79" i="5" s="1"/>
  <c r="D79" i="4"/>
  <c r="G79" i="5" s="1"/>
  <c r="C79" i="4"/>
  <c r="B227" i="5"/>
  <c r="C227" i="4"/>
  <c r="D575" i="4"/>
  <c r="G575" i="5" s="1"/>
  <c r="C644" i="4"/>
  <c r="C286" i="4"/>
  <c r="B52" i="5"/>
  <c r="D52" i="5" s="1"/>
  <c r="D64" i="4"/>
  <c r="G64" i="5" s="1"/>
  <c r="C335" i="4"/>
  <c r="C519" i="4"/>
  <c r="C541" i="4"/>
  <c r="D24" i="4"/>
  <c r="G24" i="5" s="1"/>
  <c r="D193" i="4"/>
  <c r="G193" i="5" s="1"/>
  <c r="C397" i="4"/>
  <c r="B459" i="5"/>
  <c r="D459" i="5" s="1"/>
  <c r="D471" i="4"/>
  <c r="G471" i="5" s="1"/>
  <c r="C16" i="4"/>
  <c r="B34" i="5"/>
  <c r="D34" i="5" s="1"/>
  <c r="C34" i="4"/>
  <c r="D124" i="4"/>
  <c r="G124" i="5" s="1"/>
  <c r="C379" i="4"/>
  <c r="C389" i="4"/>
  <c r="B460" i="5"/>
  <c r="D460" i="5" s="1"/>
  <c r="C460" i="4"/>
  <c r="B125" i="5"/>
  <c r="D125" i="5" s="1"/>
  <c r="D125" i="4"/>
  <c r="G125" i="5" s="1"/>
  <c r="C125" i="4"/>
  <c r="B224" i="5"/>
  <c r="D224" i="5" s="1"/>
  <c r="D224" i="4"/>
  <c r="G224" i="5" s="1"/>
  <c r="D252" i="4"/>
  <c r="G252" i="5" s="1"/>
  <c r="D379" i="4"/>
  <c r="G379" i="5" s="1"/>
  <c r="D389" i="4"/>
  <c r="G389" i="5" s="1"/>
  <c r="C501" i="4"/>
  <c r="C512" i="4"/>
  <c r="C625" i="4"/>
  <c r="B26" i="5"/>
  <c r="D26" i="5" s="1"/>
  <c r="C26" i="4"/>
  <c r="D117" i="4"/>
  <c r="G117" i="5" s="1"/>
  <c r="C164" i="4"/>
  <c r="B164" i="5"/>
  <c r="D164" i="5" s="1"/>
  <c r="D176" i="4"/>
  <c r="G176" i="5" s="1"/>
  <c r="C187" i="4"/>
  <c r="D215" i="4"/>
  <c r="G215" i="5" s="1"/>
  <c r="C224" i="4"/>
  <c r="C322" i="4"/>
  <c r="C18" i="4"/>
  <c r="C66" i="4"/>
  <c r="D118" i="4"/>
  <c r="G118" i="5" s="1"/>
  <c r="C118" i="4"/>
  <c r="B245" i="5"/>
  <c r="D245" i="5" s="1"/>
  <c r="D245" i="4"/>
  <c r="G245" i="5" s="1"/>
  <c r="D472" i="4"/>
  <c r="G472" i="5" s="1"/>
  <c r="D492" i="4"/>
  <c r="G492" i="5" s="1"/>
  <c r="C8" i="4"/>
  <c r="D18" i="4"/>
  <c r="G18" i="5" s="1"/>
  <c r="D66" i="4"/>
  <c r="G66" i="5" s="1"/>
  <c r="D235" i="4"/>
  <c r="G235" i="5" s="1"/>
  <c r="C246" i="4"/>
  <c r="D524" i="4"/>
  <c r="G524" i="5" s="1"/>
  <c r="C583" i="4"/>
  <c r="C9" i="4"/>
  <c r="C59" i="4"/>
  <c r="D78" i="4"/>
  <c r="G78" i="5" s="1"/>
  <c r="B179" i="5"/>
  <c r="D179" i="5" s="1"/>
  <c r="D191" i="4"/>
  <c r="G191" i="5" s="1"/>
  <c r="D179" i="4"/>
  <c r="G179" i="5" s="1"/>
  <c r="C294" i="4"/>
  <c r="B363" i="5"/>
  <c r="D363" i="5" s="1"/>
  <c r="C363" i="4"/>
  <c r="C565" i="4"/>
  <c r="C69" i="4"/>
  <c r="D68" i="4"/>
  <c r="G68" i="5" s="1"/>
  <c r="C68" i="4"/>
  <c r="B68" i="5"/>
  <c r="C129" i="4"/>
  <c r="C218" i="4"/>
  <c r="C276" i="4"/>
  <c r="D285" i="4"/>
  <c r="G285" i="5" s="1"/>
  <c r="C306" i="4"/>
  <c r="D325" i="4"/>
  <c r="G325" i="5" s="1"/>
  <c r="C364" i="4"/>
  <c r="C425" i="4"/>
  <c r="D565" i="4"/>
  <c r="G565" i="5" s="1"/>
  <c r="B112" i="5"/>
  <c r="D112" i="5" s="1"/>
  <c r="D112" i="4"/>
  <c r="G112" i="5" s="1"/>
  <c r="D129" i="4"/>
  <c r="G129" i="5" s="1"/>
  <c r="C343" i="4"/>
  <c r="B527" i="5"/>
  <c r="D527" i="5" s="1"/>
  <c r="D527" i="4"/>
  <c r="G527" i="5" s="1"/>
  <c r="C549" i="4"/>
  <c r="D595" i="4"/>
  <c r="G595" i="5" s="1"/>
  <c r="D644" i="4"/>
  <c r="G644" i="5" s="1"/>
  <c r="C659" i="4"/>
  <c r="C676" i="4"/>
  <c r="C688" i="4"/>
  <c r="C728" i="4"/>
  <c r="C31" i="4"/>
  <c r="C41" i="4"/>
  <c r="C103" i="4"/>
  <c r="C192" i="4"/>
  <c r="D229" i="4"/>
  <c r="G229" i="5" s="1"/>
  <c r="D257" i="4"/>
  <c r="G257" i="5" s="1"/>
  <c r="B396" i="5"/>
  <c r="D396" i="5" s="1"/>
  <c r="D408" i="4"/>
  <c r="G408" i="5" s="1"/>
  <c r="C405" i="4"/>
  <c r="C467" i="4"/>
  <c r="C527" i="4"/>
  <c r="D549" i="4"/>
  <c r="G549" i="5" s="1"/>
  <c r="C558" i="4"/>
  <c r="C723" i="4"/>
  <c r="B204" i="5"/>
  <c r="D204" i="5" s="1"/>
  <c r="D204" i="4"/>
  <c r="G204" i="5" s="1"/>
  <c r="C204" i="4"/>
  <c r="C514" i="4"/>
  <c r="B759" i="5"/>
  <c r="D759" i="5" s="1"/>
  <c r="C759" i="4"/>
  <c r="C418" i="4"/>
  <c r="D551" i="4"/>
  <c r="G551" i="5" s="1"/>
  <c r="C595" i="4"/>
  <c r="C646" i="4"/>
  <c r="C651" i="4"/>
  <c r="D656" i="4"/>
  <c r="G656" i="5" s="1"/>
  <c r="B418" i="5"/>
  <c r="D418" i="5" s="1"/>
  <c r="D19" i="4"/>
  <c r="G19" i="5" s="1"/>
  <c r="D55" i="4"/>
  <c r="G55" i="5" s="1"/>
  <c r="C113" i="4"/>
  <c r="C151" i="4"/>
  <c r="D427" i="4"/>
  <c r="G427" i="5" s="1"/>
  <c r="C487" i="4"/>
  <c r="C506" i="4"/>
  <c r="C631" i="4"/>
  <c r="C677" i="4"/>
  <c r="C89" i="4"/>
  <c r="D98" i="4"/>
  <c r="G98" i="5" s="1"/>
  <c r="C106" i="4"/>
  <c r="D113" i="4"/>
  <c r="G113" i="5" s="1"/>
  <c r="C745" i="4"/>
  <c r="C766" i="4"/>
  <c r="C73" i="4"/>
  <c r="B114" i="5"/>
  <c r="D114" i="5" s="1"/>
  <c r="D114" i="4"/>
  <c r="G114" i="5" s="1"/>
  <c r="B121" i="5"/>
  <c r="D121" i="5" s="1"/>
  <c r="D121" i="4"/>
  <c r="G121" i="5" s="1"/>
  <c r="C121" i="4"/>
  <c r="C143" i="4"/>
  <c r="C239" i="4"/>
  <c r="C316" i="4"/>
  <c r="D324" i="4"/>
  <c r="G324" i="5" s="1"/>
  <c r="D348" i="4"/>
  <c r="G348" i="5" s="1"/>
  <c r="C438" i="4"/>
  <c r="D455" i="4"/>
  <c r="G455" i="5" s="1"/>
  <c r="C472" i="4"/>
  <c r="D479" i="4"/>
  <c r="G479" i="5" s="1"/>
  <c r="C488" i="4"/>
  <c r="C497" i="4"/>
  <c r="C622" i="4"/>
  <c r="C643" i="4"/>
  <c r="B704" i="5"/>
  <c r="D704" i="5" s="1"/>
  <c r="D704" i="4"/>
  <c r="G704" i="5" s="1"/>
  <c r="C729" i="4"/>
  <c r="B140" i="5"/>
  <c r="D140" i="5" s="1"/>
  <c r="D140" i="4"/>
  <c r="G140" i="5" s="1"/>
  <c r="C140" i="4"/>
  <c r="D504" i="4"/>
  <c r="G504" i="5" s="1"/>
  <c r="D671" i="4"/>
  <c r="G671" i="5" s="1"/>
  <c r="C19" i="4"/>
  <c r="D169" i="4"/>
  <c r="G169" i="5" s="1"/>
  <c r="C189" i="4"/>
  <c r="C253" i="4"/>
  <c r="C296" i="4"/>
  <c r="C329" i="4"/>
  <c r="D560" i="4"/>
  <c r="G560" i="5" s="1"/>
  <c r="C45" i="4"/>
  <c r="C98" i="4"/>
  <c r="D126" i="4"/>
  <c r="G126" i="5" s="1"/>
  <c r="C126" i="4"/>
  <c r="D189" i="4"/>
  <c r="G189" i="5" s="1"/>
  <c r="C213" i="4"/>
  <c r="C254" i="4"/>
  <c r="C357" i="4"/>
  <c r="B383" i="5"/>
  <c r="D383" i="5" s="1"/>
  <c r="C383" i="4"/>
  <c r="D383" i="4"/>
  <c r="G383" i="5" s="1"/>
  <c r="C401" i="4"/>
  <c r="D409" i="4"/>
  <c r="G409" i="5" s="1"/>
  <c r="D437" i="4"/>
  <c r="G437" i="5" s="1"/>
  <c r="C542" i="4"/>
  <c r="C12" i="4"/>
  <c r="C29" i="4"/>
  <c r="C190" i="4"/>
  <c r="C214" i="4"/>
  <c r="B247" i="5"/>
  <c r="D247" i="5" s="1"/>
  <c r="C247" i="4"/>
  <c r="D323" i="4"/>
  <c r="G323" i="5" s="1"/>
  <c r="C419" i="4"/>
  <c r="D440" i="4"/>
  <c r="G440" i="5" s="1"/>
  <c r="C437" i="4"/>
  <c r="C479" i="4"/>
  <c r="C65" i="4"/>
  <c r="C107" i="4"/>
  <c r="C114" i="4"/>
  <c r="D128" i="4"/>
  <c r="G128" i="5" s="1"/>
  <c r="C199" i="4"/>
  <c r="C223" i="4"/>
  <c r="B240" i="5"/>
  <c r="D240" i="5" s="1"/>
  <c r="C240" i="4"/>
  <c r="C283" i="4"/>
  <c r="B309" i="5"/>
  <c r="D309" i="5" s="1"/>
  <c r="C309" i="4"/>
  <c r="C349" i="4"/>
  <c r="D359" i="4"/>
  <c r="G359" i="5" s="1"/>
  <c r="D411" i="4"/>
  <c r="G411" i="5" s="1"/>
  <c r="D429" i="4"/>
  <c r="G429" i="5" s="1"/>
  <c r="D488" i="4"/>
  <c r="G488" i="5" s="1"/>
  <c r="C498" i="4"/>
  <c r="D689" i="4"/>
  <c r="G689" i="5" s="1"/>
  <c r="C704" i="4"/>
  <c r="C481" i="4"/>
  <c r="D360" i="4"/>
  <c r="G360" i="5" s="1"/>
  <c r="C368" i="4"/>
  <c r="C392" i="4"/>
  <c r="D481" i="4"/>
  <c r="G481" i="5" s="1"/>
  <c r="C554" i="4"/>
  <c r="C608" i="4"/>
  <c r="C54" i="4"/>
  <c r="D368" i="4"/>
  <c r="G368" i="5" s="1"/>
  <c r="C415" i="4"/>
  <c r="C453" i="4"/>
  <c r="C507" i="4"/>
  <c r="C537" i="4"/>
  <c r="D554" i="4"/>
  <c r="G554" i="5" s="1"/>
  <c r="C561" i="4"/>
  <c r="D577" i="4"/>
  <c r="G577" i="5" s="1"/>
  <c r="C593" i="4"/>
  <c r="D608" i="4"/>
  <c r="G608" i="5" s="1"/>
  <c r="C765" i="4"/>
  <c r="D579" i="4"/>
  <c r="G579" i="5" s="1"/>
  <c r="C62" i="4"/>
  <c r="C108" i="4"/>
  <c r="C344" i="4"/>
  <c r="C476" i="4"/>
  <c r="C577" i="4"/>
  <c r="C93" i="4"/>
  <c r="C101" i="4"/>
  <c r="C175" i="4"/>
  <c r="C271" i="4"/>
  <c r="C324" i="4"/>
  <c r="C336" i="4"/>
  <c r="D344" i="4"/>
  <c r="G344" i="5" s="1"/>
  <c r="C6" i="4"/>
  <c r="D54" i="4"/>
  <c r="G54" i="5" s="1"/>
  <c r="D81" i="4"/>
  <c r="G81" i="5" s="1"/>
  <c r="C127" i="4"/>
  <c r="C141" i="4"/>
  <c r="C157" i="4"/>
  <c r="D184" i="4"/>
  <c r="G184" i="5" s="1"/>
  <c r="C191" i="4"/>
  <c r="C225" i="4"/>
  <c r="C248" i="4"/>
  <c r="D271" i="4"/>
  <c r="G271" i="5" s="1"/>
  <c r="D385" i="4"/>
  <c r="G385" i="5" s="1"/>
  <c r="C393" i="4"/>
  <c r="C399" i="4"/>
  <c r="D415" i="4"/>
  <c r="G415" i="5" s="1"/>
  <c r="C431" i="4"/>
  <c r="C445" i="4"/>
  <c r="C477" i="4"/>
  <c r="D499" i="4"/>
  <c r="G499" i="5" s="1"/>
  <c r="D507" i="4"/>
  <c r="G507" i="5" s="1"/>
  <c r="C523" i="4"/>
  <c r="D537" i="4"/>
  <c r="G537" i="5" s="1"/>
  <c r="D723" i="4"/>
  <c r="G723" i="5" s="1"/>
  <c r="C740" i="4"/>
  <c r="C760" i="4"/>
  <c r="C758" i="3"/>
  <c r="D758" i="3"/>
  <c r="D687" i="3"/>
  <c r="D675" i="3"/>
  <c r="C47" i="3"/>
  <c r="D47" i="3"/>
  <c r="D36" i="3"/>
  <c r="D749" i="3"/>
  <c r="C27" i="3"/>
  <c r="C139" i="3"/>
  <c r="D139" i="3"/>
  <c r="C291" i="3"/>
  <c r="C96" i="3"/>
  <c r="D108" i="3"/>
  <c r="D96" i="3"/>
  <c r="D274" i="3"/>
  <c r="C263" i="3"/>
  <c r="C514" i="3"/>
  <c r="C67" i="3"/>
  <c r="D426" i="3"/>
  <c r="D414" i="3"/>
  <c r="C414" i="3"/>
  <c r="C179" i="3"/>
  <c r="D179" i="3"/>
  <c r="C655" i="3"/>
  <c r="C68" i="3"/>
  <c r="D147" i="3"/>
  <c r="D168" i="3"/>
  <c r="C471" i="3"/>
  <c r="D483" i="3"/>
  <c r="D634" i="3"/>
  <c r="D622" i="3"/>
  <c r="C675" i="3"/>
  <c r="D646" i="3"/>
  <c r="C59" i="3"/>
  <c r="D59" i="3"/>
  <c r="C300" i="3"/>
  <c r="D624" i="3"/>
  <c r="C612" i="3"/>
  <c r="D17" i="3"/>
  <c r="D291" i="3"/>
  <c r="C17" i="3"/>
  <c r="C453" i="3"/>
  <c r="D554" i="3"/>
  <c r="C283" i="3"/>
  <c r="D283" i="3"/>
  <c r="C347" i="3"/>
  <c r="D434" i="3"/>
  <c r="D456" i="3"/>
  <c r="D444" i="3"/>
  <c r="D454" i="3"/>
  <c r="C513" i="3"/>
  <c r="D534" i="3"/>
  <c r="D522" i="3"/>
  <c r="D585" i="3"/>
  <c r="C585" i="3"/>
  <c r="C87" i="3"/>
  <c r="D99" i="3"/>
  <c r="D351" i="3"/>
  <c r="D339" i="3"/>
  <c r="D517" i="3"/>
  <c r="D505" i="3"/>
  <c r="D664" i="3"/>
  <c r="C393" i="3"/>
  <c r="C159" i="3"/>
  <c r="C48" i="3"/>
  <c r="C299" i="3"/>
  <c r="D508" i="3"/>
  <c r="C496" i="3"/>
  <c r="D496" i="3"/>
  <c r="D311" i="3"/>
  <c r="D95" i="3"/>
  <c r="C119" i="3"/>
  <c r="D119" i="3"/>
  <c r="D347" i="3"/>
  <c r="C422" i="3"/>
  <c r="C444" i="3"/>
  <c r="D578" i="3"/>
  <c r="D566" i="3"/>
  <c r="D588" i="3"/>
  <c r="D576" i="3"/>
  <c r="C693" i="3"/>
  <c r="D705" i="3"/>
  <c r="C255" i="3"/>
  <c r="D255" i="3"/>
  <c r="C435" i="3"/>
  <c r="D636" i="3"/>
  <c r="C636" i="3"/>
  <c r="C7" i="3"/>
  <c r="D211" i="3"/>
  <c r="D303" i="3"/>
  <c r="C340" i="3"/>
  <c r="D340" i="3"/>
  <c r="D406" i="3"/>
  <c r="D445" i="3"/>
  <c r="D39" i="3"/>
  <c r="C60" i="3"/>
  <c r="D60" i="3"/>
  <c r="C203" i="3"/>
  <c r="C275" i="3"/>
  <c r="C323" i="3"/>
  <c r="D376" i="3"/>
  <c r="D19" i="3"/>
  <c r="D163" i="3"/>
  <c r="D183" i="3"/>
  <c r="D203" i="3"/>
  <c r="C223" i="3"/>
  <c r="C231" i="3"/>
  <c r="C267" i="3"/>
  <c r="C315" i="3"/>
  <c r="C408" i="3"/>
  <c r="C468" i="3"/>
  <c r="D627" i="3"/>
  <c r="C743" i="3"/>
  <c r="C763" i="3"/>
  <c r="C123" i="3"/>
  <c r="C204" i="3"/>
  <c r="D223" i="3"/>
  <c r="D315" i="3"/>
  <c r="C397" i="3"/>
  <c r="C469" i="3"/>
  <c r="D489" i="3"/>
  <c r="D550" i="3"/>
  <c r="D737" i="3"/>
  <c r="D753" i="3"/>
  <c r="C11" i="3"/>
  <c r="D72" i="3"/>
  <c r="C103" i="3"/>
  <c r="D177" i="3"/>
  <c r="D197" i="3"/>
  <c r="C215" i="3"/>
  <c r="D343" i="3"/>
  <c r="D387" i="3"/>
  <c r="C460" i="3"/>
  <c r="C480" i="3"/>
  <c r="D492" i="3"/>
  <c r="D551" i="3"/>
  <c r="C619" i="3"/>
  <c r="D85" i="3"/>
  <c r="C84" i="3"/>
  <c r="D178" i="3"/>
  <c r="D215" i="3"/>
  <c r="D259" i="3"/>
  <c r="D268" i="3"/>
  <c r="D290" i="3"/>
  <c r="C307" i="3"/>
  <c r="C379" i="3"/>
  <c r="C388" i="3"/>
  <c r="D388" i="3"/>
  <c r="C470" i="3"/>
  <c r="D480" i="3"/>
  <c r="C530" i="3"/>
  <c r="C540" i="3"/>
  <c r="D683" i="3"/>
  <c r="D689" i="3"/>
  <c r="D699" i="3"/>
  <c r="C735" i="3"/>
  <c r="C120" i="3"/>
  <c r="C394" i="3"/>
  <c r="C423" i="3"/>
  <c r="C131" i="3"/>
  <c r="C151" i="3"/>
  <c r="D151" i="3"/>
  <c r="D171" i="3"/>
  <c r="C331" i="3"/>
  <c r="D435" i="3"/>
  <c r="D616" i="3"/>
  <c r="D659" i="3"/>
  <c r="C647" i="3"/>
  <c r="C762" i="3"/>
  <c r="D131" i="3"/>
  <c r="C212" i="3"/>
  <c r="D407" i="3"/>
  <c r="D436" i="3"/>
  <c r="C506" i="3"/>
  <c r="C627" i="3"/>
  <c r="C31" i="3"/>
  <c r="C51" i="3"/>
  <c r="D51" i="3"/>
  <c r="D111" i="3"/>
  <c r="C132" i="3"/>
  <c r="C239" i="3"/>
  <c r="C396" i="3"/>
  <c r="C488" i="3"/>
  <c r="D715" i="3"/>
  <c r="D295" i="3"/>
  <c r="C387" i="3"/>
  <c r="D560" i="3"/>
  <c r="D652" i="3"/>
  <c r="C640" i="3"/>
  <c r="C83" i="3"/>
  <c r="D83" i="3"/>
  <c r="D123" i="3"/>
  <c r="C175" i="3"/>
  <c r="C195" i="3"/>
  <c r="D204" i="3"/>
  <c r="C224" i="3"/>
  <c r="C316" i="3"/>
  <c r="C352" i="3"/>
  <c r="D352" i="3"/>
  <c r="D490" i="3"/>
  <c r="C610" i="3"/>
  <c r="D692" i="3"/>
  <c r="D754" i="3"/>
  <c r="D63" i="3"/>
  <c r="D105" i="3"/>
  <c r="D103" i="3"/>
  <c r="D84" i="3"/>
  <c r="C104" i="3"/>
  <c r="D115" i="3"/>
  <c r="D135" i="3"/>
  <c r="D156" i="3"/>
  <c r="C167" i="3"/>
  <c r="C176" i="3"/>
  <c r="C187" i="3"/>
  <c r="C197" i="3"/>
  <c r="C251" i="3"/>
  <c r="C269" i="3"/>
  <c r="D307" i="3"/>
  <c r="D327" i="3"/>
  <c r="C371" i="3"/>
  <c r="D379" i="3"/>
  <c r="C461" i="3"/>
  <c r="D470" i="3"/>
  <c r="C521" i="3"/>
  <c r="C531" i="3"/>
  <c r="D541" i="3"/>
  <c r="D565" i="3"/>
  <c r="D553" i="3"/>
  <c r="C553" i="3"/>
  <c r="D604" i="3"/>
  <c r="D631" i="3"/>
  <c r="C631" i="3"/>
  <c r="D643" i="3"/>
  <c r="D680" i="3"/>
  <c r="D719" i="3"/>
  <c r="C727" i="3"/>
  <c r="C747" i="3"/>
  <c r="D747" i="3"/>
  <c r="C216" i="3"/>
  <c r="D244" i="3"/>
  <c r="C247" i="3"/>
  <c r="D298" i="3"/>
  <c r="D314" i="3"/>
  <c r="D322" i="3"/>
  <c r="D368" i="3"/>
  <c r="C364" i="3"/>
  <c r="C372" i="3"/>
  <c r="D392" i="3"/>
  <c r="D421" i="3"/>
  <c r="D409" i="3"/>
  <c r="D438" i="3"/>
  <c r="C426" i="3"/>
  <c r="D547" i="3"/>
  <c r="C577" i="3"/>
  <c r="D586" i="3"/>
  <c r="C694" i="3"/>
  <c r="D741" i="3"/>
  <c r="C738" i="3"/>
  <c r="C23" i="3"/>
  <c r="D82" i="3"/>
  <c r="C79" i="3"/>
  <c r="C107" i="3"/>
  <c r="D174" i="3"/>
  <c r="C180" i="3"/>
  <c r="D238" i="3"/>
  <c r="C240" i="3"/>
  <c r="D247" i="3"/>
  <c r="C256" i="3"/>
  <c r="C271" i="3"/>
  <c r="C279" i="3"/>
  <c r="D306" i="3"/>
  <c r="D346" i="3"/>
  <c r="D364" i="3"/>
  <c r="C389" i="3"/>
  <c r="C409" i="3"/>
  <c r="D513" i="3"/>
  <c r="D521" i="3"/>
  <c r="D530" i="3"/>
  <c r="D548" i="3"/>
  <c r="C544" i="3"/>
  <c r="C578" i="3"/>
  <c r="D596" i="3"/>
  <c r="C615" i="3"/>
  <c r="C623" i="3"/>
  <c r="D694" i="3"/>
  <c r="D738" i="3"/>
  <c r="C14" i="3"/>
  <c r="C24" i="3"/>
  <c r="D46" i="3"/>
  <c r="C43" i="3"/>
  <c r="C71" i="3"/>
  <c r="D79" i="3"/>
  <c r="D138" i="3"/>
  <c r="C144" i="3"/>
  <c r="D165" i="3"/>
  <c r="D202" i="3"/>
  <c r="C227" i="3"/>
  <c r="D240" i="3"/>
  <c r="C248" i="3"/>
  <c r="D256" i="3"/>
  <c r="D279" i="3"/>
  <c r="C303" i="3"/>
  <c r="C311" i="3"/>
  <c r="C319" i="3"/>
  <c r="C327" i="3"/>
  <c r="D354" i="3"/>
  <c r="D370" i="3"/>
  <c r="D394" i="3"/>
  <c r="D412" i="3"/>
  <c r="C400" i="3"/>
  <c r="D428" i="3"/>
  <c r="D451" i="3"/>
  <c r="D460" i="3"/>
  <c r="D469" i="3"/>
  <c r="D486" i="3"/>
  <c r="D493" i="3"/>
  <c r="C501" i="3"/>
  <c r="C509" i="3"/>
  <c r="C518" i="3"/>
  <c r="C536" i="3"/>
  <c r="D544" i="3"/>
  <c r="C569" i="3"/>
  <c r="C579" i="3"/>
  <c r="D609" i="3"/>
  <c r="C641" i="3"/>
  <c r="C649" i="3"/>
  <c r="D661" i="3"/>
  <c r="C658" i="3"/>
  <c r="C668" i="3"/>
  <c r="D731" i="3"/>
  <c r="C748" i="3"/>
  <c r="D765" i="3"/>
  <c r="C16" i="3"/>
  <c r="D24" i="3"/>
  <c r="C35" i="3"/>
  <c r="D43" i="3"/>
  <c r="D71" i="3"/>
  <c r="C80" i="3"/>
  <c r="D102" i="3"/>
  <c r="C99" i="3"/>
  <c r="C108" i="3"/>
  <c r="D129" i="3"/>
  <c r="C127" i="3"/>
  <c r="D144" i="3"/>
  <c r="D166" i="3"/>
  <c r="D193" i="3"/>
  <c r="C191" i="3"/>
  <c r="D191" i="3"/>
  <c r="D227" i="3"/>
  <c r="D246" i="3"/>
  <c r="D261" i="3"/>
  <c r="D287" i="3"/>
  <c r="C295" i="3"/>
  <c r="C335" i="3"/>
  <c r="D378" i="3"/>
  <c r="D375" i="3"/>
  <c r="D395" i="3"/>
  <c r="C383" i="3"/>
  <c r="C430" i="3"/>
  <c r="D452" i="3"/>
  <c r="C448" i="3"/>
  <c r="C457" i="3"/>
  <c r="D478" i="3"/>
  <c r="C474" i="3"/>
  <c r="C493" i="3"/>
  <c r="D502" i="3"/>
  <c r="D509" i="3"/>
  <c r="D518" i="3"/>
  <c r="C528" i="3"/>
  <c r="D536" i="3"/>
  <c r="C545" i="3"/>
  <c r="C554" i="3"/>
  <c r="D582" i="3"/>
  <c r="C570" i="3"/>
  <c r="D580" i="3"/>
  <c r="C597" i="3"/>
  <c r="C616" i="3"/>
  <c r="C632" i="3"/>
  <c r="D641" i="3"/>
  <c r="C659" i="3"/>
  <c r="D669" i="3"/>
  <c r="C732" i="3"/>
  <c r="D761" i="3"/>
  <c r="C756" i="3"/>
  <c r="C115" i="3"/>
  <c r="C143" i="3"/>
  <c r="C207" i="3"/>
  <c r="D237" i="3"/>
  <c r="C348" i="3"/>
  <c r="C13" i="3"/>
  <c r="D109" i="3"/>
  <c r="D143" i="3"/>
  <c r="C171" i="3"/>
  <c r="C199" i="3"/>
  <c r="D216" i="3"/>
  <c r="C232" i="3"/>
  <c r="D107" i="3"/>
  <c r="C135" i="3"/>
  <c r="C163" i="3"/>
  <c r="D180" i="3"/>
  <c r="D229" i="3"/>
  <c r="D362" i="3"/>
  <c r="D386" i="3"/>
  <c r="D410" i="3"/>
  <c r="D35" i="3"/>
  <c r="D66" i="3"/>
  <c r="C72" i="3"/>
  <c r="D93" i="3"/>
  <c r="D130" i="3"/>
  <c r="D127" i="3"/>
  <c r="D157" i="3"/>
  <c r="C155" i="3"/>
  <c r="D155" i="3"/>
  <c r="D213" i="3"/>
  <c r="D222" i="3"/>
  <c r="D254" i="3"/>
  <c r="D262" i="3"/>
  <c r="D270" i="3"/>
  <c r="D278" i="3"/>
  <c r="D300" i="3"/>
  <c r="D324" i="3"/>
  <c r="D332" i="3"/>
  <c r="C328" i="3"/>
  <c r="C343" i="3"/>
  <c r="C351" i="3"/>
  <c r="C359" i="3"/>
  <c r="D367" i="3"/>
  <c r="C375" i="3"/>
  <c r="C401" i="3"/>
  <c r="C440" i="3"/>
  <c r="D448" i="3"/>
  <c r="D457" i="3"/>
  <c r="C494" i="3"/>
  <c r="D503" i="3"/>
  <c r="C510" i="3"/>
  <c r="C519" i="3"/>
  <c r="D537" i="3"/>
  <c r="D558" i="3"/>
  <c r="D574" i="3"/>
  <c r="D601" i="3"/>
  <c r="C633" i="3"/>
  <c r="D663" i="3"/>
  <c r="D770" i="3"/>
  <c r="C515" i="3"/>
  <c r="C532" i="3"/>
  <c r="D561" i="3"/>
  <c r="D563" i="3"/>
  <c r="D617" i="3"/>
  <c r="C620" i="3"/>
  <c r="D707" i="3"/>
  <c r="C703" i="3"/>
  <c r="C711" i="3"/>
  <c r="C8" i="3"/>
  <c r="C19" i="3"/>
  <c r="D41" i="3"/>
  <c r="D50" i="3"/>
  <c r="D68" i="3"/>
  <c r="D77" i="3"/>
  <c r="D86" i="3"/>
  <c r="D104" i="3"/>
  <c r="D113" i="3"/>
  <c r="D122" i="3"/>
  <c r="C128" i="3"/>
  <c r="D149" i="3"/>
  <c r="D158" i="3"/>
  <c r="D176" i="3"/>
  <c r="D185" i="3"/>
  <c r="D194" i="3"/>
  <c r="D212" i="3"/>
  <c r="D221" i="3"/>
  <c r="D230" i="3"/>
  <c r="D296" i="3"/>
  <c r="D304" i="3"/>
  <c r="D342" i="3"/>
  <c r="D350" i="3"/>
  <c r="C360" i="3"/>
  <c r="D403" i="3"/>
  <c r="D446" i="3"/>
  <c r="D455" i="3"/>
  <c r="C482" i="3"/>
  <c r="D504" i="3"/>
  <c r="D545" i="3"/>
  <c r="C541" i="3"/>
  <c r="C549" i="3"/>
  <c r="C580" i="3"/>
  <c r="C621" i="3"/>
  <c r="D629" i="3"/>
  <c r="D665" i="3"/>
  <c r="C695" i="3"/>
  <c r="C704" i="3"/>
  <c r="C713" i="3"/>
  <c r="D732" i="3"/>
  <c r="D759" i="3"/>
  <c r="C768" i="3"/>
  <c r="C465" i="3"/>
  <c r="D524" i="3"/>
  <c r="D549" i="3"/>
  <c r="D569" i="3"/>
  <c r="D619" i="3"/>
  <c r="D649" i="3"/>
  <c r="D700" i="3"/>
  <c r="D704" i="3"/>
  <c r="D748" i="3"/>
  <c r="D768" i="3"/>
  <c r="C770" i="3"/>
  <c r="C567" i="3"/>
  <c r="C568" i="3"/>
  <c r="B366" i="5"/>
  <c r="D378" i="4"/>
  <c r="G378" i="5" s="1"/>
  <c r="C367" i="4"/>
  <c r="B407" i="5"/>
  <c r="D407" i="5" s="1"/>
  <c r="D419" i="4"/>
  <c r="G419" i="5" s="1"/>
  <c r="C407" i="4"/>
  <c r="B484" i="5"/>
  <c r="D484" i="5" s="1"/>
  <c r="D496" i="4"/>
  <c r="G496" i="5" s="1"/>
  <c r="D73" i="3"/>
  <c r="D133" i="3"/>
  <c r="C305" i="3"/>
  <c r="D341" i="3"/>
  <c r="C329" i="3"/>
  <c r="D389" i="3"/>
  <c r="C377" i="3"/>
  <c r="C593" i="3"/>
  <c r="B94" i="5"/>
  <c r="D94" i="5" s="1"/>
  <c r="D106" i="4"/>
  <c r="G106" i="5" s="1"/>
  <c r="B152" i="5"/>
  <c r="D152" i="5" s="1"/>
  <c r="D164" i="4"/>
  <c r="G164" i="5" s="1"/>
  <c r="C153" i="4"/>
  <c r="B236" i="5"/>
  <c r="D236" i="5" s="1"/>
  <c r="D248" i="4"/>
  <c r="G248" i="5" s="1"/>
  <c r="C12" i="3"/>
  <c r="C61" i="3"/>
  <c r="C121" i="3"/>
  <c r="C169" i="3"/>
  <c r="C205" i="3"/>
  <c r="C217" i="3"/>
  <c r="C276" i="3"/>
  <c r="D396" i="3"/>
  <c r="C750" i="3"/>
  <c r="D762" i="3"/>
  <c r="D750" i="3"/>
  <c r="B60" i="5"/>
  <c r="D60" i="5" s="1"/>
  <c r="C61" i="4"/>
  <c r="D72" i="4"/>
  <c r="G72" i="5" s="1"/>
  <c r="B228" i="5"/>
  <c r="D228" i="5" s="1"/>
  <c r="C228" i="4"/>
  <c r="C236" i="4"/>
  <c r="B307" i="5"/>
  <c r="D307" i="5" s="1"/>
  <c r="C308" i="4"/>
  <c r="C116" i="3"/>
  <c r="C164" i="3"/>
  <c r="D276" i="3"/>
  <c r="C537" i="3"/>
  <c r="C581" i="3"/>
  <c r="D581" i="3"/>
  <c r="D656" i="3"/>
  <c r="C663" i="3"/>
  <c r="C697" i="3"/>
  <c r="C751" i="3"/>
  <c r="B20" i="5"/>
  <c r="D20" i="5" s="1"/>
  <c r="D32" i="4"/>
  <c r="G32" i="5" s="1"/>
  <c r="B272" i="5"/>
  <c r="D272" i="5" s="1"/>
  <c r="C273" i="4"/>
  <c r="B314" i="5"/>
  <c r="D314" i="5" s="1"/>
  <c r="D326" i="4"/>
  <c r="G326" i="5" s="1"/>
  <c r="C315" i="4"/>
  <c r="B550" i="5"/>
  <c r="D550" i="5" s="1"/>
  <c r="D562" i="4"/>
  <c r="G562" i="5" s="1"/>
  <c r="D20" i="3"/>
  <c r="D140" i="3"/>
  <c r="D188" i="3"/>
  <c r="D224" i="3"/>
  <c r="C236" i="3"/>
  <c r="D313" i="3"/>
  <c r="C301" i="3"/>
  <c r="D336" i="3"/>
  <c r="C410" i="3"/>
  <c r="D423" i="3"/>
  <c r="D725" i="3"/>
  <c r="C20" i="4"/>
  <c r="B95" i="5"/>
  <c r="D95" i="5" s="1"/>
  <c r="D107" i="4"/>
  <c r="G107" i="5" s="1"/>
  <c r="C95" i="4"/>
  <c r="B402" i="5"/>
  <c r="D402" i="5" s="1"/>
  <c r="D414" i="4"/>
  <c r="G414" i="5" s="1"/>
  <c r="C402" i="4"/>
  <c r="B473" i="5"/>
  <c r="D473" i="5" s="1"/>
  <c r="D485" i="4"/>
  <c r="G485" i="5" s="1"/>
  <c r="D556" i="4"/>
  <c r="G556" i="5" s="1"/>
  <c r="D27" i="3"/>
  <c r="D236" i="3"/>
  <c r="C260" i="3"/>
  <c r="D325" i="3"/>
  <c r="C313" i="3"/>
  <c r="C637" i="3"/>
  <c r="D20" i="4"/>
  <c r="G20" i="5" s="1"/>
  <c r="B170" i="5"/>
  <c r="D170" i="5" s="1"/>
  <c r="D182" i="4"/>
  <c r="G182" i="5" s="1"/>
  <c r="D272" i="4"/>
  <c r="G272" i="5" s="1"/>
  <c r="B462" i="5"/>
  <c r="D462" i="5" s="1"/>
  <c r="D474" i="4"/>
  <c r="G474" i="5" s="1"/>
  <c r="C473" i="4"/>
  <c r="B515" i="5"/>
  <c r="D515" i="5" s="1"/>
  <c r="C515" i="4"/>
  <c r="C543" i="4"/>
  <c r="D260" i="3"/>
  <c r="C272" i="3"/>
  <c r="C284" i="3"/>
  <c r="C386" i="3"/>
  <c r="C398" i="3"/>
  <c r="C425" i="3"/>
  <c r="C445" i="3"/>
  <c r="C458" i="3"/>
  <c r="D498" i="3"/>
  <c r="C498" i="3"/>
  <c r="C671" i="3"/>
  <c r="C720" i="3"/>
  <c r="D739" i="3"/>
  <c r="D48" i="4"/>
  <c r="G48" i="5" s="1"/>
  <c r="B36" i="5"/>
  <c r="D36" i="5" s="1"/>
  <c r="C55" i="4"/>
  <c r="C170" i="4"/>
  <c r="B231" i="5"/>
  <c r="D231" i="5" s="1"/>
  <c r="D243" i="4"/>
  <c r="G243" i="5" s="1"/>
  <c r="D231" i="4"/>
  <c r="G231" i="5" s="1"/>
  <c r="C231" i="4"/>
  <c r="B426" i="5"/>
  <c r="D426" i="5" s="1"/>
  <c r="D438" i="4"/>
  <c r="G438" i="5" s="1"/>
  <c r="C426" i="4"/>
  <c r="B474" i="5"/>
  <c r="D474" i="5" s="1"/>
  <c r="D486" i="4"/>
  <c r="G486" i="5" s="1"/>
  <c r="C474" i="4"/>
  <c r="C475" i="4"/>
  <c r="C502" i="4"/>
  <c r="B544" i="5"/>
  <c r="D544" i="5" s="1"/>
  <c r="C544" i="4"/>
  <c r="D621" i="4"/>
  <c r="G621" i="5" s="1"/>
  <c r="B609" i="5"/>
  <c r="D609" i="5" s="1"/>
  <c r="C609" i="4"/>
  <c r="B763" i="5"/>
  <c r="C763" i="4"/>
  <c r="D595" i="5"/>
  <c r="D770" i="5"/>
  <c r="D766" i="5"/>
  <c r="D764" i="5"/>
  <c r="D760" i="5"/>
  <c r="D752" i="5"/>
  <c r="D740" i="5"/>
  <c r="D734" i="5"/>
  <c r="D722" i="5"/>
  <c r="D698" i="5"/>
  <c r="D662" i="5"/>
  <c r="D652" i="5"/>
  <c r="D644" i="5"/>
  <c r="D638" i="5"/>
  <c r="D590" i="5"/>
  <c r="D623" i="5"/>
  <c r="D608" i="5"/>
  <c r="D570" i="5"/>
  <c r="D558" i="5"/>
  <c r="D593" i="5"/>
  <c r="D577" i="5"/>
  <c r="D565" i="5"/>
  <c r="D505" i="5"/>
  <c r="D755" i="5"/>
  <c r="D567" i="5"/>
  <c r="D548" i="5"/>
  <c r="D543" i="5"/>
  <c r="D512" i="5"/>
  <c r="D507" i="5"/>
  <c r="D497" i="5"/>
  <c r="D578" i="5"/>
  <c r="D535" i="5"/>
  <c r="D492" i="5"/>
  <c r="D480" i="5"/>
  <c r="D444" i="5"/>
  <c r="D737" i="5"/>
  <c r="D711" i="5"/>
  <c r="D689" i="5"/>
  <c r="D603" i="5"/>
  <c r="D523" i="5"/>
  <c r="D429" i="5"/>
  <c r="D417" i="5"/>
  <c r="D405" i="5"/>
  <c r="D393" i="5"/>
  <c r="D765" i="5"/>
  <c r="D555" i="5"/>
  <c r="D511" i="5"/>
  <c r="D455" i="5"/>
  <c r="D424" i="5"/>
  <c r="D549" i="5"/>
  <c r="D540" i="5"/>
  <c r="D477" i="5"/>
  <c r="D431" i="5"/>
  <c r="D419" i="5"/>
  <c r="D561" i="5"/>
  <c r="D488" i="5"/>
  <c r="D398" i="5"/>
  <c r="D392" i="5"/>
  <c r="D384" i="5"/>
  <c r="D361" i="5"/>
  <c r="D337" i="5"/>
  <c r="D325" i="5"/>
  <c r="D265" i="5"/>
  <c r="D253" i="5"/>
  <c r="D217" i="5"/>
  <c r="D205" i="5"/>
  <c r="D193" i="5"/>
  <c r="D169" i="5"/>
  <c r="D157" i="5"/>
  <c r="D109" i="5"/>
  <c r="D97" i="5"/>
  <c r="D719" i="5"/>
  <c r="D557" i="5"/>
  <c r="D457" i="5"/>
  <c r="D440" i="5"/>
  <c r="D389" i="5"/>
  <c r="D368" i="5"/>
  <c r="D356" i="5"/>
  <c r="D344" i="5"/>
  <c r="D332" i="5"/>
  <c r="D308" i="5"/>
  <c r="D296" i="5"/>
  <c r="D284" i="5"/>
  <c r="D260" i="5"/>
  <c r="D248" i="5"/>
  <c r="D212" i="5"/>
  <c r="D128" i="5"/>
  <c r="D116" i="5"/>
  <c r="D92" i="5"/>
  <c r="D68" i="5"/>
  <c r="D763" i="5"/>
  <c r="D693" i="5"/>
  <c r="D501" i="5"/>
  <c r="D481" i="5"/>
  <c r="D467" i="5"/>
  <c r="D315" i="5"/>
  <c r="D267" i="5"/>
  <c r="D255" i="5"/>
  <c r="D219" i="5"/>
  <c r="D159" i="5"/>
  <c r="D135" i="5"/>
  <c r="D111" i="5"/>
  <c r="D87" i="5"/>
  <c r="D743" i="5"/>
  <c r="D493" i="5"/>
  <c r="D476" i="5"/>
  <c r="D397" i="5"/>
  <c r="D106" i="5"/>
  <c r="D69" i="5"/>
  <c r="D583" i="5"/>
  <c r="D554" i="5"/>
  <c r="D415" i="5"/>
  <c r="D404" i="5"/>
  <c r="D367" i="5"/>
  <c r="D343" i="5"/>
  <c r="D331" i="5"/>
  <c r="D295" i="5"/>
  <c r="D283" i="5"/>
  <c r="D271" i="5"/>
  <c r="D235" i="5"/>
  <c r="D223" i="5"/>
  <c r="D211" i="5"/>
  <c r="D199" i="5"/>
  <c r="D175" i="5"/>
  <c r="D163" i="5"/>
  <c r="D151" i="5"/>
  <c r="D115" i="5"/>
  <c r="D103" i="5"/>
  <c r="D77" i="5"/>
  <c r="D563" i="5"/>
  <c r="D500" i="5"/>
  <c r="D487" i="5"/>
  <c r="D542" i="5"/>
  <c r="D416" i="5"/>
  <c r="D102" i="5"/>
  <c r="D63" i="5"/>
  <c r="D7" i="5"/>
  <c r="D659" i="5"/>
  <c r="D453" i="5"/>
  <c r="D379" i="5"/>
  <c r="D371" i="5"/>
  <c r="D184" i="5"/>
  <c r="D177" i="5"/>
  <c r="D129" i="5"/>
  <c r="D119" i="5"/>
  <c r="D105" i="5"/>
  <c r="D98" i="5"/>
  <c r="D72" i="5"/>
  <c r="D47" i="5"/>
  <c r="D23" i="5"/>
  <c r="D391" i="5"/>
  <c r="D362" i="5"/>
  <c r="D191" i="5"/>
  <c r="D143" i="5"/>
  <c r="D65" i="5"/>
  <c r="D12" i="5"/>
  <c r="D6" i="5"/>
  <c r="D357" i="5"/>
  <c r="D323" i="5"/>
  <c r="D280" i="5"/>
  <c r="D275" i="5"/>
  <c r="D227" i="5"/>
  <c r="D189" i="5"/>
  <c r="D124" i="5"/>
  <c r="D120" i="5"/>
  <c r="D89" i="5"/>
  <c r="D85" i="5"/>
  <c r="D31" i="5"/>
  <c r="D496" i="5"/>
  <c r="D479" i="5"/>
  <c r="D366" i="5"/>
  <c r="D93" i="5"/>
  <c r="D81" i="5"/>
  <c r="D59" i="5"/>
  <c r="D28" i="5"/>
  <c r="D19" i="5"/>
  <c r="D8" i="5"/>
  <c r="D110" i="5"/>
  <c r="D101" i="5"/>
  <c r="D73" i="5"/>
  <c r="D439" i="5"/>
  <c r="D197" i="5"/>
  <c r="D192" i="5"/>
  <c r="D61" i="5"/>
  <c r="D58" i="5"/>
  <c r="D39" i="5"/>
  <c r="D11" i="5"/>
  <c r="D677" i="5"/>
  <c r="D669" i="5"/>
  <c r="D475" i="5"/>
  <c r="D348" i="5"/>
  <c r="D300" i="5"/>
  <c r="D252" i="5"/>
  <c r="D86" i="5"/>
  <c r="D74" i="5"/>
  <c r="D67" i="5"/>
  <c r="D38" i="5"/>
  <c r="D409" i="5"/>
  <c r="D117" i="5"/>
  <c r="D82" i="5"/>
  <c r="D528" i="5"/>
  <c r="D695" i="5"/>
  <c r="D427" i="5"/>
  <c r="D335" i="5"/>
  <c r="D311" i="5"/>
  <c r="D287" i="5"/>
  <c r="D281" i="5"/>
  <c r="D239" i="5"/>
  <c r="D316" i="5"/>
  <c r="D144" i="5"/>
  <c r="D66" i="5"/>
  <c r="D369" i="5"/>
  <c r="D321" i="5"/>
  <c r="D273" i="5"/>
  <c r="D249" i="5"/>
  <c r="D225" i="5"/>
  <c r="D76" i="5"/>
  <c r="D333" i="5"/>
  <c r="D153" i="5"/>
  <c r="D630" i="5"/>
  <c r="D539" i="5"/>
  <c r="D452" i="5"/>
  <c r="D445" i="5"/>
  <c r="D213" i="5"/>
  <c r="D399" i="5"/>
  <c r="D64" i="5"/>
  <c r="D655" i="5"/>
  <c r="D27" i="5"/>
  <c r="D465" i="5"/>
  <c r="D42" i="5"/>
  <c r="D167" i="5"/>
  <c r="D113" i="5"/>
  <c r="D285" i="5"/>
  <c r="D537" i="5"/>
  <c r="D100" i="5"/>
  <c r="D336" i="5"/>
  <c r="D149" i="5"/>
  <c r="D107" i="5"/>
  <c r="D54" i="5"/>
  <c r="C28" i="3"/>
  <c r="C40" i="3"/>
  <c r="C52" i="3"/>
  <c r="C64" i="3"/>
  <c r="C76" i="3"/>
  <c r="C88" i="3"/>
  <c r="C100" i="3"/>
  <c r="C112" i="3"/>
  <c r="C124" i="3"/>
  <c r="C136" i="3"/>
  <c r="C148" i="3"/>
  <c r="C160" i="3"/>
  <c r="C172" i="3"/>
  <c r="C184" i="3"/>
  <c r="C196" i="3"/>
  <c r="C208" i="3"/>
  <c r="C220" i="3"/>
  <c r="C249" i="3"/>
  <c r="D273" i="3"/>
  <c r="C261" i="3"/>
  <c r="C308" i="3"/>
  <c r="C320" i="3"/>
  <c r="C332" i="3"/>
  <c r="C344" i="3"/>
  <c r="C356" i="3"/>
  <c r="C368" i="3"/>
  <c r="C380" i="3"/>
  <c r="D405" i="3"/>
  <c r="D418" i="3"/>
  <c r="C432" i="3"/>
  <c r="D472" i="3"/>
  <c r="C472" i="3"/>
  <c r="D479" i="3"/>
  <c r="C486" i="3"/>
  <c r="D532" i="3"/>
  <c r="D570" i="3"/>
  <c r="C590" i="3"/>
  <c r="D671" i="3"/>
  <c r="D685" i="3"/>
  <c r="C706" i="3"/>
  <c r="D706" i="3"/>
  <c r="D718" i="3"/>
  <c r="D720" i="3"/>
  <c r="C760" i="3"/>
  <c r="C761" i="3"/>
  <c r="D760" i="3"/>
  <c r="B22" i="5"/>
  <c r="D22" i="5" s="1"/>
  <c r="C22" i="4"/>
  <c r="D34" i="4"/>
  <c r="G34" i="5" s="1"/>
  <c r="B30" i="5"/>
  <c r="D30" i="5" s="1"/>
  <c r="C30" i="4"/>
  <c r="D42" i="4"/>
  <c r="G42" i="5" s="1"/>
  <c r="C36" i="4"/>
  <c r="B50" i="5"/>
  <c r="D50" i="5" s="1"/>
  <c r="D62" i="4"/>
  <c r="G62" i="5" s="1"/>
  <c r="B84" i="5"/>
  <c r="D84" i="5" s="1"/>
  <c r="D96" i="4"/>
  <c r="G96" i="5" s="1"/>
  <c r="B90" i="5"/>
  <c r="D90" i="5" s="1"/>
  <c r="D90" i="4"/>
  <c r="G90" i="5" s="1"/>
  <c r="D102" i="4"/>
  <c r="G102" i="5" s="1"/>
  <c r="B171" i="5"/>
  <c r="D171" i="5" s="1"/>
  <c r="D183" i="4"/>
  <c r="G183" i="5" s="1"/>
  <c r="D171" i="4"/>
  <c r="G171" i="5" s="1"/>
  <c r="C171" i="4"/>
  <c r="C205" i="4"/>
  <c r="B302" i="5"/>
  <c r="D302" i="5" s="1"/>
  <c r="D314" i="4"/>
  <c r="G314" i="5" s="1"/>
  <c r="C302" i="4"/>
  <c r="B377" i="5"/>
  <c r="D377" i="5" s="1"/>
  <c r="C377" i="4"/>
  <c r="C384" i="4"/>
  <c r="B463" i="5"/>
  <c r="D463" i="5" s="1"/>
  <c r="D475" i="4"/>
  <c r="G475" i="5" s="1"/>
  <c r="B503" i="5"/>
  <c r="D503" i="5" s="1"/>
  <c r="D515" i="4"/>
  <c r="G515" i="5" s="1"/>
  <c r="B509" i="5"/>
  <c r="D509" i="5" s="1"/>
  <c r="C509" i="4"/>
  <c r="D521" i="4"/>
  <c r="G521" i="5" s="1"/>
  <c r="B545" i="5"/>
  <c r="D545" i="5" s="1"/>
  <c r="D557" i="4"/>
  <c r="G557" i="5" s="1"/>
  <c r="B588" i="5"/>
  <c r="D588" i="5" s="1"/>
  <c r="C588" i="4"/>
  <c r="D600" i="4"/>
  <c r="G600" i="5" s="1"/>
  <c r="D588" i="4"/>
  <c r="G588" i="5" s="1"/>
  <c r="B733" i="5"/>
  <c r="D733" i="5" s="1"/>
  <c r="D745" i="4"/>
  <c r="G745" i="5" s="1"/>
  <c r="C733" i="4"/>
  <c r="B749" i="5"/>
  <c r="D749" i="5" s="1"/>
  <c r="D761" i="4"/>
  <c r="G761" i="5" s="1"/>
  <c r="C749" i="4"/>
  <c r="D640" i="3"/>
  <c r="D628" i="3"/>
  <c r="C365" i="3"/>
  <c r="D377" i="3"/>
  <c r="B158" i="5"/>
  <c r="D158" i="5" s="1"/>
  <c r="D170" i="4"/>
  <c r="G170" i="5" s="1"/>
  <c r="C159" i="4"/>
  <c r="C158" i="4"/>
  <c r="B617" i="5"/>
  <c r="D617" i="5" s="1"/>
  <c r="D629" i="4"/>
  <c r="G629" i="5" s="1"/>
  <c r="C436" i="3"/>
  <c r="C462" i="3"/>
  <c r="C516" i="3"/>
  <c r="C642" i="3"/>
  <c r="D654" i="3"/>
  <c r="C744" i="3"/>
  <c r="D756" i="3"/>
  <c r="B145" i="5"/>
  <c r="D145" i="5" s="1"/>
  <c r="D157" i="4"/>
  <c r="G157" i="5" s="1"/>
  <c r="B196" i="5"/>
  <c r="D196" i="5" s="1"/>
  <c r="D208" i="4"/>
  <c r="G208" i="5" s="1"/>
  <c r="C196" i="4"/>
  <c r="C197" i="4"/>
  <c r="D196" i="4"/>
  <c r="G196" i="5" s="1"/>
  <c r="B277" i="5"/>
  <c r="D277" i="5" s="1"/>
  <c r="C278" i="4"/>
  <c r="C277" i="4"/>
  <c r="D289" i="4"/>
  <c r="G289" i="5" s="1"/>
  <c r="B360" i="5"/>
  <c r="D360" i="5" s="1"/>
  <c r="C361" i="4"/>
  <c r="C360" i="4"/>
  <c r="D372" i="4"/>
  <c r="G372" i="5" s="1"/>
  <c r="C140" i="3"/>
  <c r="C476" i="3"/>
  <c r="D562" i="3"/>
  <c r="D301" i="3"/>
  <c r="C289" i="3"/>
  <c r="D437" i="3"/>
  <c r="C437" i="3"/>
  <c r="B75" i="5"/>
  <c r="D75" i="5" s="1"/>
  <c r="D87" i="4"/>
  <c r="G87" i="5" s="1"/>
  <c r="B390" i="5"/>
  <c r="D390" i="5" s="1"/>
  <c r="D402" i="4"/>
  <c r="G402" i="5" s="1"/>
  <c r="C391" i="4"/>
  <c r="D373" i="3"/>
  <c r="C361" i="3"/>
  <c r="D510" i="3"/>
  <c r="C524" i="3"/>
  <c r="C651" i="3"/>
  <c r="C691" i="3"/>
  <c r="D703" i="3"/>
  <c r="C692" i="3"/>
  <c r="C390" i="4"/>
  <c r="C117" i="3"/>
  <c r="C225" i="3"/>
  <c r="C392" i="3"/>
  <c r="D471" i="3"/>
  <c r="B141" i="5"/>
  <c r="D141" i="5" s="1"/>
  <c r="D153" i="4"/>
  <c r="G153" i="5" s="1"/>
  <c r="C142" i="4"/>
  <c r="D64" i="3"/>
  <c r="D76" i="3"/>
  <c r="D100" i="3"/>
  <c r="D112" i="3"/>
  <c r="D124" i="3"/>
  <c r="D148" i="3"/>
  <c r="D285" i="3"/>
  <c r="C273" i="3"/>
  <c r="C285" i="3"/>
  <c r="D297" i="3"/>
  <c r="D309" i="3"/>
  <c r="C297" i="3"/>
  <c r="D308" i="3"/>
  <c r="C419" i="3"/>
  <c r="C527" i="3"/>
  <c r="D539" i="3"/>
  <c r="D533" i="3"/>
  <c r="C533" i="3"/>
  <c r="D540" i="3"/>
  <c r="C546" i="3"/>
  <c r="D546" i="3"/>
  <c r="C559" i="3"/>
  <c r="D559" i="3"/>
  <c r="C560" i="3"/>
  <c r="C571" i="3"/>
  <c r="D583" i="3"/>
  <c r="C618" i="3"/>
  <c r="D630" i="3"/>
  <c r="C652" i="3"/>
  <c r="C666" i="3"/>
  <c r="D678" i="3"/>
  <c r="D684" i="3"/>
  <c r="C672" i="3"/>
  <c r="D672" i="3"/>
  <c r="C686" i="3"/>
  <c r="D698" i="3"/>
  <c r="C687" i="3"/>
  <c r="C721" i="3"/>
  <c r="B10" i="5"/>
  <c r="D10" i="5" s="1"/>
  <c r="D22" i="4"/>
  <c r="G22" i="5" s="1"/>
  <c r="C11" i="4"/>
  <c r="D36" i="4"/>
  <c r="G36" i="5" s="1"/>
  <c r="B56" i="5"/>
  <c r="D56" i="5" s="1"/>
  <c r="C56" i="4"/>
  <c r="D56" i="4"/>
  <c r="G56" i="5" s="1"/>
  <c r="C57" i="4"/>
  <c r="B70" i="5"/>
  <c r="D70" i="5" s="1"/>
  <c r="C70" i="4"/>
  <c r="D82" i="4"/>
  <c r="G82" i="5" s="1"/>
  <c r="B104" i="5"/>
  <c r="D104" i="5" s="1"/>
  <c r="C104" i="4"/>
  <c r="C105" i="4"/>
  <c r="D116" i="4"/>
  <c r="G116" i="5" s="1"/>
  <c r="D141" i="4"/>
  <c r="G141" i="5" s="1"/>
  <c r="B200" i="5"/>
  <c r="D200" i="5" s="1"/>
  <c r="D212" i="4"/>
  <c r="G212" i="5" s="1"/>
  <c r="D205" i="4"/>
  <c r="G205" i="5" s="1"/>
  <c r="C427" i="4"/>
  <c r="B433" i="5"/>
  <c r="D433" i="5" s="1"/>
  <c r="C433" i="4"/>
  <c r="D445" i="4"/>
  <c r="G445" i="5" s="1"/>
  <c r="B456" i="5"/>
  <c r="D456" i="5" s="1"/>
  <c r="C457" i="4"/>
  <c r="C456" i="4"/>
  <c r="C463" i="4"/>
  <c r="B531" i="5"/>
  <c r="D531" i="5" s="1"/>
  <c r="C531" i="4"/>
  <c r="D543" i="4"/>
  <c r="G543" i="5" s="1"/>
  <c r="C532" i="4"/>
  <c r="B538" i="5"/>
  <c r="D538" i="5" s="1"/>
  <c r="D550" i="4"/>
  <c r="G550" i="5" s="1"/>
  <c r="C545" i="4"/>
  <c r="B589" i="5"/>
  <c r="D589" i="5" s="1"/>
  <c r="C590" i="4"/>
  <c r="C589" i="4"/>
  <c r="D601" i="4"/>
  <c r="G601" i="5" s="1"/>
  <c r="B605" i="5"/>
  <c r="D605" i="5" s="1"/>
  <c r="D617" i="4"/>
  <c r="G617" i="5" s="1"/>
  <c r="C605" i="4"/>
  <c r="D605" i="4"/>
  <c r="G605" i="5" s="1"/>
  <c r="B690" i="5"/>
  <c r="D690" i="5" s="1"/>
  <c r="D702" i="4"/>
  <c r="G702" i="5" s="1"/>
  <c r="C690" i="4"/>
  <c r="C691" i="4"/>
  <c r="D749" i="4"/>
  <c r="G749" i="5" s="1"/>
  <c r="D293" i="3"/>
  <c r="C281" i="3"/>
  <c r="C710" i="3"/>
  <c r="D722" i="3"/>
  <c r="D37" i="3"/>
  <c r="D25" i="3"/>
  <c r="D353" i="3"/>
  <c r="C341" i="3"/>
  <c r="D515" i="3"/>
  <c r="C696" i="3"/>
  <c r="D708" i="3"/>
  <c r="D710" i="3"/>
  <c r="B46" i="5"/>
  <c r="D46" i="5" s="1"/>
  <c r="D58" i="4"/>
  <c r="G58" i="5" s="1"/>
  <c r="D46" i="4"/>
  <c r="G46" i="5" s="1"/>
  <c r="B291" i="5"/>
  <c r="D291" i="5" s="1"/>
  <c r="C291" i="4"/>
  <c r="D303" i="4"/>
  <c r="G303" i="5" s="1"/>
  <c r="B401" i="5"/>
  <c r="D401" i="5" s="1"/>
  <c r="D413" i="4"/>
  <c r="G413" i="5" s="1"/>
  <c r="D407" i="4"/>
  <c r="G407" i="5" s="1"/>
  <c r="C484" i="4"/>
  <c r="B520" i="5"/>
  <c r="D520" i="5" s="1"/>
  <c r="D532" i="4"/>
  <c r="G532" i="5" s="1"/>
  <c r="C37" i="3"/>
  <c r="C73" i="3"/>
  <c r="C85" i="3"/>
  <c r="C97" i="3"/>
  <c r="C133" i="3"/>
  <c r="C157" i="3"/>
  <c r="D241" i="3"/>
  <c r="C229" i="3"/>
  <c r="C415" i="3"/>
  <c r="D415" i="3"/>
  <c r="C449" i="3"/>
  <c r="C656" i="3"/>
  <c r="D668" i="3"/>
  <c r="D723" i="3"/>
  <c r="D711" i="3"/>
  <c r="C46" i="4"/>
  <c r="C152" i="4"/>
  <c r="B292" i="5"/>
  <c r="D292" i="5" s="1"/>
  <c r="D304" i="4"/>
  <c r="G304" i="5" s="1"/>
  <c r="C292" i="4"/>
  <c r="D292" i="4"/>
  <c r="G292" i="5" s="1"/>
  <c r="C20" i="3"/>
  <c r="C32" i="3"/>
  <c r="C44" i="3"/>
  <c r="C56" i="3"/>
  <c r="C92" i="3"/>
  <c r="C152" i="3"/>
  <c r="C188" i="3"/>
  <c r="C312" i="3"/>
  <c r="C575" i="3"/>
  <c r="D587" i="3"/>
  <c r="C602" i="3"/>
  <c r="D614" i="3"/>
  <c r="D642" i="3"/>
  <c r="C730" i="3"/>
  <c r="D742" i="3"/>
  <c r="B108" i="5"/>
  <c r="D108" i="5" s="1"/>
  <c r="C109" i="4"/>
  <c r="D120" i="4"/>
  <c r="G120" i="5" s="1"/>
  <c r="C145" i="4"/>
  <c r="D236" i="4"/>
  <c r="G236" i="5" s="1"/>
  <c r="B355" i="5"/>
  <c r="D355" i="5" s="1"/>
  <c r="D367" i="4"/>
  <c r="G367" i="5" s="1"/>
  <c r="C356" i="4"/>
  <c r="D401" i="4"/>
  <c r="G401" i="5" s="1"/>
  <c r="B521" i="5"/>
  <c r="D521" i="5" s="1"/>
  <c r="C521" i="4"/>
  <c r="B569" i="5"/>
  <c r="D569" i="5" s="1"/>
  <c r="D581" i="4"/>
  <c r="G581" i="5" s="1"/>
  <c r="D569" i="4"/>
  <c r="G569" i="5" s="1"/>
  <c r="C569" i="4"/>
  <c r="B631" i="5"/>
  <c r="D631" i="5" s="1"/>
  <c r="D643" i="4"/>
  <c r="G643" i="5" s="1"/>
  <c r="D80" i="3"/>
  <c r="D92" i="3"/>
  <c r="D116" i="3"/>
  <c r="D312" i="3"/>
  <c r="D348" i="3"/>
  <c r="D360" i="3"/>
  <c r="D384" i="3"/>
  <c r="C450" i="3"/>
  <c r="D450" i="3"/>
  <c r="C497" i="3"/>
  <c r="C563" i="3"/>
  <c r="C564" i="3"/>
  <c r="D575" i="3"/>
  <c r="C582" i="3"/>
  <c r="D602" i="3"/>
  <c r="D676" i="3"/>
  <c r="B35" i="5"/>
  <c r="D35" i="5" s="1"/>
  <c r="C35" i="4"/>
  <c r="D47" i="4"/>
  <c r="G47" i="5" s="1"/>
  <c r="D145" i="4"/>
  <c r="G145" i="5" s="1"/>
  <c r="B341" i="5"/>
  <c r="D341" i="5" s="1"/>
  <c r="C341" i="4"/>
  <c r="D353" i="4"/>
  <c r="G353" i="5" s="1"/>
  <c r="B468" i="5"/>
  <c r="D468" i="5" s="1"/>
  <c r="D480" i="4"/>
  <c r="G480" i="5" s="1"/>
  <c r="C550" i="4"/>
  <c r="B626" i="5"/>
  <c r="D626" i="5" s="1"/>
  <c r="C626" i="4"/>
  <c r="D638" i="4"/>
  <c r="G638" i="5" s="1"/>
  <c r="C627" i="4"/>
  <c r="D45" i="3"/>
  <c r="D69" i="3"/>
  <c r="C337" i="3"/>
  <c r="D349" i="3"/>
  <c r="C385" i="3"/>
  <c r="D615" i="3"/>
  <c r="C604" i="3"/>
  <c r="C677" i="3"/>
  <c r="D677" i="3"/>
  <c r="C739" i="3"/>
  <c r="D751" i="3"/>
  <c r="C759" i="3"/>
  <c r="D35" i="4"/>
  <c r="G35" i="5" s="1"/>
  <c r="C75" i="4"/>
  <c r="B146" i="5"/>
  <c r="D146" i="5" s="1"/>
  <c r="D158" i="4"/>
  <c r="G158" i="5" s="1"/>
  <c r="C146" i="4"/>
  <c r="D355" i="4"/>
  <c r="G355" i="5" s="1"/>
  <c r="B403" i="5"/>
  <c r="D403" i="5" s="1"/>
  <c r="D403" i="4"/>
  <c r="G403" i="5" s="1"/>
  <c r="C403" i="4"/>
  <c r="C404" i="4"/>
  <c r="B502" i="5"/>
  <c r="D502" i="5" s="1"/>
  <c r="D514" i="4"/>
  <c r="G514" i="5" s="1"/>
  <c r="C15" i="3"/>
  <c r="C33" i="3"/>
  <c r="C57" i="3"/>
  <c r="C153" i="3"/>
  <c r="C201" i="3"/>
  <c r="C213" i="3"/>
  <c r="D249" i="3"/>
  <c r="C237" i="3"/>
  <c r="C405" i="3"/>
  <c r="C479" i="3"/>
  <c r="D491" i="3"/>
  <c r="C511" i="3"/>
  <c r="D511" i="3"/>
  <c r="D589" i="3"/>
  <c r="C603" i="3"/>
  <c r="D637" i="3"/>
  <c r="B21" i="5"/>
  <c r="D21" i="5" s="1"/>
  <c r="D33" i="4"/>
  <c r="G33" i="5" s="1"/>
  <c r="C21" i="4"/>
  <c r="B147" i="5"/>
  <c r="D147" i="5" s="1"/>
  <c r="C147" i="4"/>
  <c r="D159" i="4"/>
  <c r="G159" i="5" s="1"/>
  <c r="D147" i="4"/>
  <c r="G147" i="5" s="1"/>
  <c r="B259" i="5"/>
  <c r="D259" i="5" s="1"/>
  <c r="D259" i="4"/>
  <c r="G259" i="5" s="1"/>
  <c r="C259" i="4"/>
  <c r="B432" i="5"/>
  <c r="D432" i="5" s="1"/>
  <c r="D444" i="4"/>
  <c r="G444" i="5" s="1"/>
  <c r="D468" i="4"/>
  <c r="G468" i="5" s="1"/>
  <c r="D21" i="3"/>
  <c r="D28" i="3"/>
  <c r="D40" i="3"/>
  <c r="D52" i="3"/>
  <c r="D88" i="3"/>
  <c r="D136" i="3"/>
  <c r="D160" i="3"/>
  <c r="D172" i="3"/>
  <c r="D184" i="3"/>
  <c r="D196" i="3"/>
  <c r="D208" i="3"/>
  <c r="D220" i="3"/>
  <c r="C9" i="3"/>
  <c r="D23" i="3"/>
  <c r="D233" i="3"/>
  <c r="D232" i="3"/>
  <c r="C268" i="3"/>
  <c r="C309" i="3"/>
  <c r="D321" i="3"/>
  <c r="D333" i="3"/>
  <c r="C321" i="3"/>
  <c r="C333" i="3"/>
  <c r="D345" i="3"/>
  <c r="C345" i="3"/>
  <c r="D357" i="3"/>
  <c r="C357" i="3"/>
  <c r="D369" i="3"/>
  <c r="D381" i="3"/>
  <c r="C369" i="3"/>
  <c r="D393" i="3"/>
  <c r="C381" i="3"/>
  <c r="C406" i="3"/>
  <c r="D419" i="3"/>
  <c r="C433" i="3"/>
  <c r="D440" i="3"/>
  <c r="D453" i="3"/>
  <c r="D466" i="3"/>
  <c r="D520" i="3"/>
  <c r="C520" i="3"/>
  <c r="D527" i="3"/>
  <c r="C534" i="3"/>
  <c r="D571" i="3"/>
  <c r="D597" i="3"/>
  <c r="D618" i="3"/>
  <c r="D632" i="3"/>
  <c r="C646" i="3"/>
  <c r="D658" i="3"/>
  <c r="D666" i="3"/>
  <c r="C673" i="3"/>
  <c r="D686" i="3"/>
  <c r="C715" i="3"/>
  <c r="C734" i="3"/>
  <c r="D746" i="3"/>
  <c r="C754" i="3"/>
  <c r="D766" i="3"/>
  <c r="C10" i="4"/>
  <c r="C37" i="4"/>
  <c r="D50" i="4"/>
  <c r="G50" i="5" s="1"/>
  <c r="D70" i="4"/>
  <c r="G70" i="5" s="1"/>
  <c r="D84" i="4"/>
  <c r="G84" i="5" s="1"/>
  <c r="D104" i="4"/>
  <c r="G104" i="5" s="1"/>
  <c r="B136" i="5"/>
  <c r="D136" i="5" s="1"/>
  <c r="D136" i="4"/>
  <c r="G136" i="5" s="1"/>
  <c r="D148" i="4"/>
  <c r="G148" i="5" s="1"/>
  <c r="C200" i="4"/>
  <c r="B206" i="5"/>
  <c r="D206" i="5" s="1"/>
  <c r="D218" i="4"/>
  <c r="G218" i="5" s="1"/>
  <c r="C206" i="4"/>
  <c r="B420" i="5"/>
  <c r="D420" i="5" s="1"/>
  <c r="D432" i="4"/>
  <c r="G432" i="5" s="1"/>
  <c r="D456" i="4"/>
  <c r="G456" i="5" s="1"/>
  <c r="D503" i="4"/>
  <c r="G503" i="5" s="1"/>
  <c r="C538" i="4"/>
  <c r="D589" i="4"/>
  <c r="G589" i="5" s="1"/>
  <c r="B596" i="5"/>
  <c r="D596" i="5" s="1"/>
  <c r="C596" i="4"/>
  <c r="B720" i="5"/>
  <c r="D720" i="5" s="1"/>
  <c r="D732" i="4"/>
  <c r="G732" i="5" s="1"/>
  <c r="C720" i="4"/>
  <c r="C721" i="4"/>
  <c r="D365" i="3"/>
  <c r="C353" i="3"/>
  <c r="C428" i="3"/>
  <c r="B40" i="5"/>
  <c r="D40" i="5" s="1"/>
  <c r="D52" i="4"/>
  <c r="G52" i="5" s="1"/>
  <c r="C25" i="3"/>
  <c r="C49" i="3"/>
  <c r="C145" i="3"/>
  <c r="C390" i="3"/>
  <c r="C523" i="3"/>
  <c r="D535" i="3"/>
  <c r="C608" i="3"/>
  <c r="D620" i="3"/>
  <c r="C609" i="3"/>
  <c r="D696" i="3"/>
  <c r="D92" i="4"/>
  <c r="G92" i="5" s="1"/>
  <c r="D80" i="4"/>
  <c r="G80" i="5" s="1"/>
  <c r="C81" i="4"/>
  <c r="C94" i="4"/>
  <c r="B395" i="5"/>
  <c r="D395" i="5" s="1"/>
  <c r="C396" i="4"/>
  <c r="C395" i="4"/>
  <c r="D265" i="3"/>
  <c r="C253" i="3"/>
  <c r="C690" i="3"/>
  <c r="D702" i="3"/>
  <c r="C307" i="4"/>
  <c r="D372" i="3"/>
  <c r="D745" i="3"/>
  <c r="D757" i="3"/>
  <c r="D337" i="3"/>
  <c r="C325" i="3"/>
  <c r="C589" i="3"/>
  <c r="C745" i="3"/>
  <c r="B258" i="5"/>
  <c r="D258" i="5" s="1"/>
  <c r="D270" i="4"/>
  <c r="G270" i="5" s="1"/>
  <c r="C258" i="4"/>
  <c r="C69" i="3"/>
  <c r="C105" i="3"/>
  <c r="C418" i="3"/>
  <c r="B16" i="5"/>
  <c r="D16" i="5" s="1"/>
  <c r="C17" i="4"/>
  <c r="D28" i="4"/>
  <c r="G28" i="5" s="1"/>
  <c r="C233" i="3"/>
  <c r="D245" i="3"/>
  <c r="D400" i="3"/>
  <c r="C427" i="3"/>
  <c r="D439" i="3"/>
  <c r="D679" i="3"/>
  <c r="D667" i="3"/>
  <c r="D713" i="3"/>
  <c r="D701" i="3"/>
  <c r="B51" i="5"/>
  <c r="D51" i="5" s="1"/>
  <c r="D63" i="4"/>
  <c r="G63" i="5" s="1"/>
  <c r="C52" i="4"/>
  <c r="D51" i="4"/>
  <c r="G51" i="5" s="1"/>
  <c r="B71" i="5"/>
  <c r="D71" i="5" s="1"/>
  <c r="D83" i="4"/>
  <c r="G83" i="5" s="1"/>
  <c r="C71" i="4"/>
  <c r="D71" i="4"/>
  <c r="G71" i="5" s="1"/>
  <c r="B99" i="5"/>
  <c r="D99" i="5" s="1"/>
  <c r="C100" i="4"/>
  <c r="D111" i="4"/>
  <c r="G111" i="5" s="1"/>
  <c r="B207" i="5"/>
  <c r="D207" i="5" s="1"/>
  <c r="C207" i="4"/>
  <c r="D219" i="4"/>
  <c r="G219" i="5" s="1"/>
  <c r="D240" i="4"/>
  <c r="G240" i="5" s="1"/>
  <c r="B330" i="5"/>
  <c r="D330" i="5" s="1"/>
  <c r="D342" i="4"/>
  <c r="G342" i="5" s="1"/>
  <c r="C330" i="4"/>
  <c r="B413" i="5"/>
  <c r="D413" i="5" s="1"/>
  <c r="C413" i="4"/>
  <c r="D425" i="4"/>
  <c r="G425" i="5" s="1"/>
  <c r="C414" i="4"/>
  <c r="B533" i="5"/>
  <c r="D533" i="5" s="1"/>
  <c r="D545" i="4"/>
  <c r="G545" i="5" s="1"/>
  <c r="B539" i="5"/>
  <c r="C540" i="4"/>
  <c r="C539" i="4"/>
  <c r="D539" i="4"/>
  <c r="G539" i="5" s="1"/>
  <c r="B597" i="5"/>
  <c r="D597" i="5" s="1"/>
  <c r="D609" i="4"/>
  <c r="G609" i="5" s="1"/>
  <c r="C597" i="4"/>
  <c r="B686" i="5"/>
  <c r="D686" i="5" s="1"/>
  <c r="D698" i="4"/>
  <c r="G698" i="5" s="1"/>
  <c r="C687" i="4"/>
  <c r="C686" i="4"/>
  <c r="B705" i="5"/>
  <c r="D705" i="5" s="1"/>
  <c r="D717" i="4"/>
  <c r="G717" i="5" s="1"/>
  <c r="C705" i="4"/>
  <c r="D305" i="3"/>
  <c r="C293" i="3"/>
  <c r="C475" i="3"/>
  <c r="D487" i="3"/>
  <c r="D693" i="3"/>
  <c r="D681" i="3"/>
  <c r="B195" i="5"/>
  <c r="D195" i="5" s="1"/>
  <c r="C195" i="4"/>
  <c r="D207" i="4"/>
  <c r="G207" i="5" s="1"/>
  <c r="B284" i="5"/>
  <c r="C285" i="4"/>
  <c r="C284" i="4"/>
  <c r="B372" i="5"/>
  <c r="D372" i="5" s="1"/>
  <c r="C372" i="4"/>
  <c r="C252" i="3"/>
  <c r="D329" i="3"/>
  <c r="C317" i="3"/>
  <c r="D401" i="3"/>
  <c r="C489" i="3"/>
  <c r="C502" i="3"/>
  <c r="D567" i="3"/>
  <c r="C628" i="3"/>
  <c r="C662" i="3"/>
  <c r="D674" i="3"/>
  <c r="C681" i="3"/>
  <c r="C729" i="3"/>
  <c r="B183" i="5"/>
  <c r="D183" i="5" s="1"/>
  <c r="C183" i="4"/>
  <c r="D195" i="4"/>
  <c r="G195" i="5" s="1"/>
  <c r="D284" i="4"/>
  <c r="G284" i="5" s="1"/>
  <c r="B354" i="5"/>
  <c r="D354" i="5" s="1"/>
  <c r="D366" i="4"/>
  <c r="G366" i="5" s="1"/>
  <c r="C366" i="4"/>
  <c r="B451" i="5"/>
  <c r="D451" i="5" s="1"/>
  <c r="C452" i="4"/>
  <c r="D451" i="4"/>
  <c r="G451" i="5" s="1"/>
  <c r="D463" i="4"/>
  <c r="G463" i="5" s="1"/>
  <c r="C451" i="4"/>
  <c r="B635" i="5"/>
  <c r="D635" i="5" s="1"/>
  <c r="D647" i="4"/>
  <c r="G647" i="5" s="1"/>
  <c r="B653" i="5"/>
  <c r="D653" i="5" s="1"/>
  <c r="D665" i="4"/>
  <c r="G665" i="5" s="1"/>
  <c r="C653" i="4"/>
  <c r="C109" i="3"/>
  <c r="C181" i="3"/>
  <c r="C193" i="3"/>
  <c r="D253" i="3"/>
  <c r="C241" i="3"/>
  <c r="D252" i="3"/>
  <c r="C288" i="3"/>
  <c r="C402" i="3"/>
  <c r="D402" i="3"/>
  <c r="C562" i="3"/>
  <c r="D593" i="3"/>
  <c r="D729" i="3"/>
  <c r="C764" i="3"/>
  <c r="C40" i="4"/>
  <c r="B131" i="5"/>
  <c r="D131" i="5" s="1"/>
  <c r="D143" i="4"/>
  <c r="G143" i="5" s="1"/>
  <c r="C131" i="4"/>
  <c r="B176" i="5"/>
  <c r="D176" i="5" s="1"/>
  <c r="D188" i="4"/>
  <c r="G188" i="5" s="1"/>
  <c r="C177" i="4"/>
  <c r="B320" i="5"/>
  <c r="D320" i="5" s="1"/>
  <c r="C321" i="4"/>
  <c r="C320" i="4"/>
  <c r="D332" i="4"/>
  <c r="G332" i="5" s="1"/>
  <c r="C354" i="4"/>
  <c r="B485" i="5"/>
  <c r="D485" i="5" s="1"/>
  <c r="C485" i="4"/>
  <c r="C486" i="4"/>
  <c r="C520" i="4"/>
  <c r="B562" i="5"/>
  <c r="D562" i="5" s="1"/>
  <c r="C562" i="4"/>
  <c r="D574" i="4"/>
  <c r="G574" i="5" s="1"/>
  <c r="C617" i="4"/>
  <c r="B649" i="5"/>
  <c r="D649" i="5" s="1"/>
  <c r="D661" i="4"/>
  <c r="G661" i="5" s="1"/>
  <c r="C649" i="4"/>
  <c r="C200" i="3"/>
  <c r="D277" i="3"/>
  <c r="C265" i="3"/>
  <c r="D462" i="3"/>
  <c r="D523" i="3"/>
  <c r="C550" i="3"/>
  <c r="D606" i="3"/>
  <c r="D594" i="3"/>
  <c r="C594" i="3"/>
  <c r="C676" i="3"/>
  <c r="C725" i="3"/>
  <c r="D744" i="3"/>
  <c r="D39" i="4"/>
  <c r="G39" i="5" s="1"/>
  <c r="C27" i="4"/>
  <c r="C60" i="4"/>
  <c r="C80" i="4"/>
  <c r="D94" i="4"/>
  <c r="G94" i="5" s="1"/>
  <c r="D152" i="4"/>
  <c r="G152" i="5" s="1"/>
  <c r="C176" i="4"/>
  <c r="D277" i="4"/>
  <c r="G277" i="5" s="1"/>
  <c r="B556" i="5"/>
  <c r="D556" i="5" s="1"/>
  <c r="C556" i="4"/>
  <c r="D568" i="4"/>
  <c r="G568" i="5" s="1"/>
  <c r="D635" i="4"/>
  <c r="G635" i="5" s="1"/>
  <c r="D289" i="3"/>
  <c r="C277" i="3"/>
  <c r="C431" i="3"/>
  <c r="D443" i="3"/>
  <c r="C463" i="3"/>
  <c r="D463" i="3"/>
  <c r="C484" i="3"/>
  <c r="D635" i="3"/>
  <c r="D623" i="3"/>
  <c r="B15" i="5"/>
  <c r="D15" i="5" s="1"/>
  <c r="D27" i="4"/>
  <c r="G27" i="5" s="1"/>
  <c r="D53" i="4"/>
  <c r="G53" i="5" s="1"/>
  <c r="B41" i="5"/>
  <c r="D41" i="5" s="1"/>
  <c r="C272" i="4"/>
  <c r="D307" i="4"/>
  <c r="G307" i="5" s="1"/>
  <c r="C314" i="4"/>
  <c r="C355" i="4"/>
  <c r="B461" i="5"/>
  <c r="D461" i="5" s="1"/>
  <c r="C461" i="4"/>
  <c r="D473" i="4"/>
  <c r="G473" i="5" s="1"/>
  <c r="C563" i="4"/>
  <c r="D361" i="3"/>
  <c r="C349" i="3"/>
  <c r="D385" i="3"/>
  <c r="C373" i="3"/>
  <c r="D397" i="3"/>
  <c r="D424" i="3"/>
  <c r="C424" i="3"/>
  <c r="D431" i="3"/>
  <c r="C438" i="3"/>
  <c r="B55" i="5"/>
  <c r="D55" i="5" s="1"/>
  <c r="D67" i="4"/>
  <c r="G67" i="5" s="1"/>
  <c r="C468" i="4"/>
  <c r="B508" i="5"/>
  <c r="D508" i="5" s="1"/>
  <c r="D520" i="4"/>
  <c r="G520" i="5" s="1"/>
  <c r="B551" i="5"/>
  <c r="D551" i="5" s="1"/>
  <c r="D563" i="4"/>
  <c r="G563" i="5" s="1"/>
  <c r="C551" i="4"/>
  <c r="C570" i="4"/>
  <c r="C618" i="4"/>
  <c r="C21" i="3"/>
  <c r="C45" i="3"/>
  <c r="C81" i="3"/>
  <c r="C93" i="3"/>
  <c r="C129" i="3"/>
  <c r="C141" i="3"/>
  <c r="C165" i="3"/>
  <c r="C177" i="3"/>
  <c r="C189" i="3"/>
  <c r="D485" i="3"/>
  <c r="C485" i="3"/>
  <c r="C576" i="3"/>
  <c r="D651" i="3"/>
  <c r="C685" i="3"/>
  <c r="D21" i="4"/>
  <c r="G21" i="5" s="1"/>
  <c r="B9" i="5"/>
  <c r="D9" i="5" s="1"/>
  <c r="D217" i="4"/>
  <c r="G217" i="5" s="1"/>
  <c r="B266" i="5"/>
  <c r="D266" i="5" s="1"/>
  <c r="D278" i="4"/>
  <c r="G278" i="5" s="1"/>
  <c r="B349" i="5"/>
  <c r="D349" i="5" s="1"/>
  <c r="D361" i="4"/>
  <c r="G361" i="5" s="1"/>
  <c r="C462" i="4"/>
  <c r="D257" i="3"/>
  <c r="C245" i="3"/>
  <c r="C598" i="3"/>
  <c r="D610" i="3"/>
  <c r="C10" i="3"/>
  <c r="D269" i="3"/>
  <c r="C257" i="3"/>
  <c r="D281" i="3"/>
  <c r="D427" i="3"/>
  <c r="C441" i="3"/>
  <c r="C454" i="3"/>
  <c r="D467" i="3"/>
  <c r="C481" i="3"/>
  <c r="D488" i="3"/>
  <c r="D501" i="3"/>
  <c r="D514" i="3"/>
  <c r="C572" i="3"/>
  <c r="D579" i="3"/>
  <c r="D598" i="3"/>
  <c r="C613" i="3"/>
  <c r="D625" i="3"/>
  <c r="C661" i="3"/>
  <c r="D673" i="3"/>
  <c r="C667" i="3"/>
  <c r="C701" i="3"/>
  <c r="D716" i="3"/>
  <c r="C716" i="3"/>
  <c r="D728" i="3"/>
  <c r="D767" i="3"/>
  <c r="C755" i="3"/>
  <c r="D755" i="3"/>
  <c r="B25" i="5"/>
  <c r="D25" i="5" s="1"/>
  <c r="D37" i="4"/>
  <c r="G37" i="5" s="1"/>
  <c r="B45" i="5"/>
  <c r="D45" i="5" s="1"/>
  <c r="D57" i="4"/>
  <c r="G57" i="5" s="1"/>
  <c r="C51" i="4"/>
  <c r="C85" i="4"/>
  <c r="C99" i="4"/>
  <c r="D177" i="4"/>
  <c r="G177" i="5" s="1"/>
  <c r="B165" i="5"/>
  <c r="D165" i="5" s="1"/>
  <c r="C165" i="4"/>
  <c r="D165" i="4"/>
  <c r="G165" i="5" s="1"/>
  <c r="B194" i="5"/>
  <c r="D194" i="5" s="1"/>
  <c r="D206" i="4"/>
  <c r="G206" i="5" s="1"/>
  <c r="C194" i="4"/>
  <c r="D213" i="4"/>
  <c r="G213" i="5" s="1"/>
  <c r="B201" i="5"/>
  <c r="D201" i="5" s="1"/>
  <c r="C201" i="4"/>
  <c r="B241" i="5"/>
  <c r="D241" i="5" s="1"/>
  <c r="D253" i="4"/>
  <c r="G253" i="5" s="1"/>
  <c r="B289" i="5"/>
  <c r="D289" i="5" s="1"/>
  <c r="C289" i="4"/>
  <c r="B319" i="5"/>
  <c r="D319" i="5" s="1"/>
  <c r="D331" i="4"/>
  <c r="G331" i="5" s="1"/>
  <c r="B365" i="5"/>
  <c r="D365" i="5" s="1"/>
  <c r="C365" i="4"/>
  <c r="D377" i="4"/>
  <c r="G377" i="5" s="1"/>
  <c r="C371" i="4"/>
  <c r="D420" i="4"/>
  <c r="G420" i="5" s="1"/>
  <c r="B483" i="5"/>
  <c r="D483" i="5" s="1"/>
  <c r="C483" i="4"/>
  <c r="D495" i="4"/>
  <c r="G495" i="5" s="1"/>
  <c r="B498" i="5"/>
  <c r="D498" i="5" s="1"/>
  <c r="D510" i="4"/>
  <c r="G510" i="5" s="1"/>
  <c r="C533" i="4"/>
  <c r="B639" i="5"/>
  <c r="D639" i="5" s="1"/>
  <c r="D651" i="4"/>
  <c r="G651" i="5" s="1"/>
  <c r="C640" i="4"/>
  <c r="C639" i="4"/>
  <c r="B648" i="5"/>
  <c r="D648" i="5" s="1"/>
  <c r="D660" i="4"/>
  <c r="G660" i="5" s="1"/>
  <c r="B701" i="5"/>
  <c r="D701" i="5" s="1"/>
  <c r="C701" i="4"/>
  <c r="C702" i="4"/>
  <c r="D713" i="4"/>
  <c r="G713" i="5" s="1"/>
  <c r="D701" i="4"/>
  <c r="G701" i="5" s="1"/>
  <c r="B80" i="5"/>
  <c r="D80" i="5" s="1"/>
  <c r="C507" i="3"/>
  <c r="C648" i="3"/>
  <c r="D660" i="3"/>
  <c r="B297" i="5"/>
  <c r="D297" i="5" s="1"/>
  <c r="D309" i="4"/>
  <c r="G309" i="5" s="1"/>
  <c r="C446" i="3"/>
  <c r="C653" i="3"/>
  <c r="C32" i="4"/>
  <c r="B91" i="5"/>
  <c r="D91" i="5" s="1"/>
  <c r="C91" i="4"/>
  <c r="B137" i="5"/>
  <c r="D137" i="5" s="1"/>
  <c r="D149" i="4"/>
  <c r="G149" i="5" s="1"/>
  <c r="B202" i="5"/>
  <c r="D202" i="5" s="1"/>
  <c r="D214" i="4"/>
  <c r="G214" i="5" s="1"/>
  <c r="C202" i="4"/>
  <c r="C237" i="4"/>
  <c r="B410" i="5"/>
  <c r="D410" i="5" s="1"/>
  <c r="D422" i="4"/>
  <c r="G422" i="5" s="1"/>
  <c r="D428" i="4"/>
  <c r="G428" i="5" s="1"/>
  <c r="B464" i="5"/>
  <c r="D464" i="5" s="1"/>
  <c r="C465" i="4"/>
  <c r="C464" i="4"/>
  <c r="C528" i="4"/>
  <c r="C403" i="3"/>
  <c r="D420" i="3"/>
  <c r="D433" i="3"/>
  <c r="C451" i="3"/>
  <c r="C464" i="3"/>
  <c r="D468" i="3"/>
  <c r="C490" i="3"/>
  <c r="D494" i="3"/>
  <c r="C499" i="3"/>
  <c r="C512" i="3"/>
  <c r="D516" i="3"/>
  <c r="C525" i="3"/>
  <c r="D529" i="3"/>
  <c r="C538" i="3"/>
  <c r="D542" i="3"/>
  <c r="C547" i="3"/>
  <c r="C573" i="3"/>
  <c r="D577" i="3"/>
  <c r="C586" i="3"/>
  <c r="D590" i="3"/>
  <c r="C595" i="3"/>
  <c r="C600" i="3"/>
  <c r="D612" i="3"/>
  <c r="C624" i="3"/>
  <c r="C629" i="3"/>
  <c r="D633" i="3"/>
  <c r="C683" i="3"/>
  <c r="D695" i="3"/>
  <c r="C707" i="3"/>
  <c r="C712" i="3"/>
  <c r="C717" i="3"/>
  <c r="C722" i="3"/>
  <c r="C23" i="4"/>
  <c r="C47" i="4"/>
  <c r="D76" i="4"/>
  <c r="G76" i="5" s="1"/>
  <c r="D86" i="4"/>
  <c r="G86" i="5" s="1"/>
  <c r="D91" i="4"/>
  <c r="G91" i="5" s="1"/>
  <c r="D115" i="4"/>
  <c r="G115" i="5" s="1"/>
  <c r="D119" i="4"/>
  <c r="G119" i="5" s="1"/>
  <c r="D123" i="4"/>
  <c r="G123" i="5" s="1"/>
  <c r="D127" i="4"/>
  <c r="G127" i="5" s="1"/>
  <c r="B132" i="5"/>
  <c r="D132" i="5" s="1"/>
  <c r="D144" i="4"/>
  <c r="G144" i="5" s="1"/>
  <c r="C137" i="4"/>
  <c r="B161" i="5"/>
  <c r="D161" i="5" s="1"/>
  <c r="D173" i="4"/>
  <c r="G173" i="5" s="1"/>
  <c r="B166" i="5"/>
  <c r="D166" i="5" s="1"/>
  <c r="D178" i="4"/>
  <c r="G178" i="5" s="1"/>
  <c r="B172" i="5"/>
  <c r="D172" i="5" s="1"/>
  <c r="C172" i="4"/>
  <c r="B232" i="5"/>
  <c r="D232" i="5" s="1"/>
  <c r="D244" i="4"/>
  <c r="G244" i="5" s="1"/>
  <c r="C255" i="4"/>
  <c r="B262" i="5"/>
  <c r="D262" i="5" s="1"/>
  <c r="D274" i="4"/>
  <c r="G274" i="5" s="1"/>
  <c r="D267" i="4"/>
  <c r="G267" i="5" s="1"/>
  <c r="B293" i="5"/>
  <c r="D293" i="5" s="1"/>
  <c r="D305" i="4"/>
  <c r="G305" i="5" s="1"/>
  <c r="D297" i="4"/>
  <c r="G297" i="5" s="1"/>
  <c r="D337" i="4"/>
  <c r="G337" i="5" s="1"/>
  <c r="B351" i="5"/>
  <c r="D351" i="5" s="1"/>
  <c r="C351" i="4"/>
  <c r="B375" i="5"/>
  <c r="D375" i="5" s="1"/>
  <c r="D387" i="4"/>
  <c r="G387" i="5" s="1"/>
  <c r="D380" i="4"/>
  <c r="G380" i="5" s="1"/>
  <c r="C410" i="4"/>
  <c r="D416" i="4"/>
  <c r="G416" i="5" s="1"/>
  <c r="B436" i="5"/>
  <c r="D436" i="5" s="1"/>
  <c r="D448" i="4"/>
  <c r="G448" i="5" s="1"/>
  <c r="B446" i="5"/>
  <c r="D446" i="5" s="1"/>
  <c r="D458" i="4"/>
  <c r="G458" i="5" s="1"/>
  <c r="D464" i="4"/>
  <c r="G464" i="5" s="1"/>
  <c r="C493" i="4"/>
  <c r="D540" i="4"/>
  <c r="G540" i="5" s="1"/>
  <c r="B547" i="5"/>
  <c r="D547" i="5" s="1"/>
  <c r="D547" i="4"/>
  <c r="G547" i="5" s="1"/>
  <c r="C547" i="4"/>
  <c r="B559" i="5"/>
  <c r="D559" i="5" s="1"/>
  <c r="C559" i="4"/>
  <c r="D571" i="4"/>
  <c r="G571" i="5" s="1"/>
  <c r="B573" i="5"/>
  <c r="D573" i="5" s="1"/>
  <c r="D585" i="4"/>
  <c r="G585" i="5" s="1"/>
  <c r="C578" i="4"/>
  <c r="B585" i="5"/>
  <c r="D585" i="5" s="1"/>
  <c r="C585" i="4"/>
  <c r="D597" i="4"/>
  <c r="G597" i="5" s="1"/>
  <c r="B600" i="5"/>
  <c r="D600" i="5" s="1"/>
  <c r="C600" i="4"/>
  <c r="D612" i="4"/>
  <c r="G612" i="5" s="1"/>
  <c r="B606" i="5"/>
  <c r="D606" i="5" s="1"/>
  <c r="D618" i="4"/>
  <c r="G618" i="5" s="1"/>
  <c r="C607" i="4"/>
  <c r="B610" i="5"/>
  <c r="D610" i="5" s="1"/>
  <c r="D622" i="4"/>
  <c r="G622" i="5" s="1"/>
  <c r="C610" i="4"/>
  <c r="B664" i="5"/>
  <c r="D664" i="5" s="1"/>
  <c r="D676" i="4"/>
  <c r="G676" i="5" s="1"/>
  <c r="C664" i="4"/>
  <c r="B187" i="5"/>
  <c r="D187" i="5" s="1"/>
  <c r="C411" i="3"/>
  <c r="B5" i="5"/>
  <c r="D5" i="5" s="1"/>
  <c r="D17" i="4"/>
  <c r="G17" i="5" s="1"/>
  <c r="C160" i="4"/>
  <c r="D172" i="4"/>
  <c r="G172" i="5" s="1"/>
  <c r="B160" i="5"/>
  <c r="D160" i="5" s="1"/>
  <c r="B237" i="5"/>
  <c r="D237" i="5" s="1"/>
  <c r="C238" i="4"/>
  <c r="D237" i="4"/>
  <c r="G237" i="5" s="1"/>
  <c r="B279" i="5"/>
  <c r="D279" i="5" s="1"/>
  <c r="D291" i="4"/>
  <c r="G291" i="5" s="1"/>
  <c r="C280" i="4"/>
  <c r="C279" i="4"/>
  <c r="D349" i="4"/>
  <c r="G349" i="5" s="1"/>
  <c r="B385" i="5"/>
  <c r="D385" i="5" s="1"/>
  <c r="D397" i="4"/>
  <c r="G397" i="5" s="1"/>
  <c r="B428" i="5"/>
  <c r="D428" i="5" s="1"/>
  <c r="C429" i="4"/>
  <c r="C428" i="4"/>
  <c r="B510" i="5"/>
  <c r="D510" i="5" s="1"/>
  <c r="D522" i="4"/>
  <c r="G522" i="5" s="1"/>
  <c r="B571" i="5"/>
  <c r="D571" i="5" s="1"/>
  <c r="C571" i="4"/>
  <c r="B636" i="5"/>
  <c r="D636" i="5" s="1"/>
  <c r="D648" i="4"/>
  <c r="G648" i="5" s="1"/>
  <c r="C636" i="4"/>
  <c r="D411" i="3"/>
  <c r="C551" i="3"/>
  <c r="C736" i="3"/>
  <c r="C42" i="4"/>
  <c r="C76" i="4"/>
  <c r="B96" i="5"/>
  <c r="D96" i="5" s="1"/>
  <c r="C96" i="4"/>
  <c r="D108" i="4"/>
  <c r="G108" i="5" s="1"/>
  <c r="C111" i="4"/>
  <c r="C119" i="4"/>
  <c r="B185" i="5"/>
  <c r="D185" i="5" s="1"/>
  <c r="D197" i="4"/>
  <c r="G197" i="5" s="1"/>
  <c r="B243" i="5"/>
  <c r="D243" i="5" s="1"/>
  <c r="C243" i="4"/>
  <c r="D255" i="4"/>
  <c r="G255" i="5" s="1"/>
  <c r="C244" i="4"/>
  <c r="C267" i="4"/>
  <c r="D279" i="4"/>
  <c r="G279" i="5" s="1"/>
  <c r="C297" i="4"/>
  <c r="C385" i="4"/>
  <c r="C416" i="4"/>
  <c r="B435" i="5"/>
  <c r="D435" i="5" s="1"/>
  <c r="C435" i="4"/>
  <c r="D447" i="4"/>
  <c r="G447" i="5" s="1"/>
  <c r="B516" i="5"/>
  <c r="D516" i="5" s="1"/>
  <c r="C516" i="4"/>
  <c r="B599" i="5"/>
  <c r="D599" i="5" s="1"/>
  <c r="D611" i="4"/>
  <c r="G611" i="5" s="1"/>
  <c r="C599" i="4"/>
  <c r="B632" i="5"/>
  <c r="D632" i="5" s="1"/>
  <c r="C632" i="4"/>
  <c r="C633" i="4"/>
  <c r="B674" i="5"/>
  <c r="D674" i="5" s="1"/>
  <c r="D686" i="4"/>
  <c r="G686" i="5" s="1"/>
  <c r="C674" i="4"/>
  <c r="C6" i="3"/>
  <c r="D398" i="3"/>
  <c r="C416" i="3"/>
  <c r="C477" i="3"/>
  <c r="C18" i="3"/>
  <c r="C22" i="3"/>
  <c r="C26" i="3"/>
  <c r="C30" i="3"/>
  <c r="C34" i="3"/>
  <c r="C38" i="3"/>
  <c r="C42" i="3"/>
  <c r="C46" i="3"/>
  <c r="C50" i="3"/>
  <c r="C54" i="3"/>
  <c r="C58" i="3"/>
  <c r="C62" i="3"/>
  <c r="C66" i="3"/>
  <c r="C70" i="3"/>
  <c r="C74" i="3"/>
  <c r="C78" i="3"/>
  <c r="C82" i="3"/>
  <c r="C86" i="3"/>
  <c r="C90" i="3"/>
  <c r="C94" i="3"/>
  <c r="C98" i="3"/>
  <c r="C102" i="3"/>
  <c r="C106" i="3"/>
  <c r="C110" i="3"/>
  <c r="C114" i="3"/>
  <c r="C118" i="3"/>
  <c r="C122" i="3"/>
  <c r="C126" i="3"/>
  <c r="C130" i="3"/>
  <c r="C134" i="3"/>
  <c r="C138" i="3"/>
  <c r="C142" i="3"/>
  <c r="C146" i="3"/>
  <c r="C150" i="3"/>
  <c r="C154" i="3"/>
  <c r="C158" i="3"/>
  <c r="C162" i="3"/>
  <c r="C166" i="3"/>
  <c r="C170" i="3"/>
  <c r="C174" i="3"/>
  <c r="C178" i="3"/>
  <c r="C182" i="3"/>
  <c r="C186" i="3"/>
  <c r="C190" i="3"/>
  <c r="C194" i="3"/>
  <c r="C198" i="3"/>
  <c r="C202" i="3"/>
  <c r="C206" i="3"/>
  <c r="C210" i="3"/>
  <c r="C214" i="3"/>
  <c r="C218" i="3"/>
  <c r="C222" i="3"/>
  <c r="C226" i="3"/>
  <c r="C230" i="3"/>
  <c r="C234" i="3"/>
  <c r="C238" i="3"/>
  <c r="C242" i="3"/>
  <c r="C246" i="3"/>
  <c r="C250" i="3"/>
  <c r="C254" i="3"/>
  <c r="C258" i="3"/>
  <c r="C262" i="3"/>
  <c r="C266" i="3"/>
  <c r="C270" i="3"/>
  <c r="C274" i="3"/>
  <c r="C278" i="3"/>
  <c r="C282" i="3"/>
  <c r="C286" i="3"/>
  <c r="C290" i="3"/>
  <c r="C294" i="3"/>
  <c r="C298" i="3"/>
  <c r="C302" i="3"/>
  <c r="C306" i="3"/>
  <c r="C310" i="3"/>
  <c r="C314" i="3"/>
  <c r="C318" i="3"/>
  <c r="C322" i="3"/>
  <c r="C326" i="3"/>
  <c r="C330" i="3"/>
  <c r="C334" i="3"/>
  <c r="C338" i="3"/>
  <c r="C342" i="3"/>
  <c r="C346" i="3"/>
  <c r="C350" i="3"/>
  <c r="C354" i="3"/>
  <c r="C358" i="3"/>
  <c r="C362" i="3"/>
  <c r="C366" i="3"/>
  <c r="C370" i="3"/>
  <c r="C374" i="3"/>
  <c r="C378" i="3"/>
  <c r="C382" i="3"/>
  <c r="C399" i="3"/>
  <c r="D416" i="3"/>
  <c r="D429" i="3"/>
  <c r="D442" i="3"/>
  <c r="C447" i="3"/>
  <c r="D464" i="3"/>
  <c r="D477" i="3"/>
  <c r="C495" i="3"/>
  <c r="D512" i="3"/>
  <c r="D525" i="3"/>
  <c r="C543" i="3"/>
  <c r="D573" i="3"/>
  <c r="C591" i="3"/>
  <c r="D600" i="3"/>
  <c r="C605" i="3"/>
  <c r="C634" i="3"/>
  <c r="C639" i="3"/>
  <c r="C644" i="3"/>
  <c r="C654" i="3"/>
  <c r="C688" i="3"/>
  <c r="C698" i="3"/>
  <c r="D712" i="3"/>
  <c r="D717" i="3"/>
  <c r="B13" i="5"/>
  <c r="D13" i="5" s="1"/>
  <c r="D25" i="4"/>
  <c r="G25" i="5" s="1"/>
  <c r="D23" i="4"/>
  <c r="G23" i="5" s="1"/>
  <c r="C28" i="4"/>
  <c r="B33" i="5"/>
  <c r="D33" i="5" s="1"/>
  <c r="D45" i="4"/>
  <c r="G45" i="5" s="1"/>
  <c r="C38" i="4"/>
  <c r="B43" i="5"/>
  <c r="D43" i="5" s="1"/>
  <c r="C43" i="4"/>
  <c r="B48" i="5"/>
  <c r="D48" i="5" s="1"/>
  <c r="C48" i="4"/>
  <c r="D60" i="4"/>
  <c r="G60" i="5" s="1"/>
  <c r="B53" i="5"/>
  <c r="D53" i="5" s="1"/>
  <c r="D65" i="4"/>
  <c r="G65" i="5" s="1"/>
  <c r="C67" i="4"/>
  <c r="C72" i="4"/>
  <c r="C132" i="4"/>
  <c r="B138" i="5"/>
  <c r="D138" i="5" s="1"/>
  <c r="D150" i="4"/>
  <c r="G150" i="5" s="1"/>
  <c r="C138" i="4"/>
  <c r="B155" i="5"/>
  <c r="D155" i="5" s="1"/>
  <c r="C155" i="4"/>
  <c r="D167" i="4"/>
  <c r="G167" i="5" s="1"/>
  <c r="C161" i="4"/>
  <c r="C166" i="4"/>
  <c r="B173" i="5"/>
  <c r="D173" i="5" s="1"/>
  <c r="C173" i="4"/>
  <c r="D185" i="4"/>
  <c r="G185" i="5" s="1"/>
  <c r="C174" i="4"/>
  <c r="B180" i="5"/>
  <c r="D180" i="5" s="1"/>
  <c r="D192" i="4"/>
  <c r="G192" i="5" s="1"/>
  <c r="B186" i="5"/>
  <c r="D186" i="5" s="1"/>
  <c r="D198" i="4"/>
  <c r="G198" i="5" s="1"/>
  <c r="C186" i="4"/>
  <c r="B215" i="5"/>
  <c r="D215" i="5" s="1"/>
  <c r="D227" i="4"/>
  <c r="G227" i="5" s="1"/>
  <c r="B220" i="5"/>
  <c r="D220" i="5" s="1"/>
  <c r="D232" i="4"/>
  <c r="G232" i="5" s="1"/>
  <c r="C232" i="4"/>
  <c r="B250" i="5"/>
  <c r="D250" i="5" s="1"/>
  <c r="D262" i="4"/>
  <c r="G262" i="5" s="1"/>
  <c r="B256" i="5"/>
  <c r="D256" i="5" s="1"/>
  <c r="C256" i="4"/>
  <c r="D268" i="4"/>
  <c r="G268" i="5" s="1"/>
  <c r="C262" i="4"/>
  <c r="B268" i="5"/>
  <c r="D268" i="5" s="1"/>
  <c r="D280" i="4"/>
  <c r="G280" i="5" s="1"/>
  <c r="C268" i="4"/>
  <c r="C293" i="4"/>
  <c r="B298" i="5"/>
  <c r="D298" i="5" s="1"/>
  <c r="D310" i="4"/>
  <c r="G310" i="5" s="1"/>
  <c r="B304" i="5"/>
  <c r="D304" i="5" s="1"/>
  <c r="C304" i="4"/>
  <c r="D316" i="4"/>
  <c r="G316" i="5" s="1"/>
  <c r="B310" i="5"/>
  <c r="D310" i="5" s="1"/>
  <c r="D322" i="4"/>
  <c r="G322" i="5" s="1"/>
  <c r="C311" i="4"/>
  <c r="C310" i="4"/>
  <c r="B328" i="5"/>
  <c r="D328" i="5" s="1"/>
  <c r="D340" i="4"/>
  <c r="G340" i="5" s="1"/>
  <c r="C333" i="4"/>
  <c r="B338" i="5"/>
  <c r="D338" i="5" s="1"/>
  <c r="D350" i="4"/>
  <c r="G350" i="5" s="1"/>
  <c r="C338" i="4"/>
  <c r="B345" i="5"/>
  <c r="D345" i="5" s="1"/>
  <c r="D357" i="4"/>
  <c r="G357" i="5" s="1"/>
  <c r="C346" i="4"/>
  <c r="C345" i="4"/>
  <c r="C375" i="4"/>
  <c r="B381" i="5"/>
  <c r="D381" i="5" s="1"/>
  <c r="C382" i="4"/>
  <c r="D381" i="4"/>
  <c r="G381" i="5" s="1"/>
  <c r="B423" i="5"/>
  <c r="D423" i="5" s="1"/>
  <c r="D435" i="4"/>
  <c r="G435" i="5" s="1"/>
  <c r="C424" i="4"/>
  <c r="C423" i="4"/>
  <c r="C436" i="4"/>
  <c r="B441" i="5"/>
  <c r="D441" i="5" s="1"/>
  <c r="D453" i="4"/>
  <c r="G453" i="5" s="1"/>
  <c r="C446" i="4"/>
  <c r="D493" i="4"/>
  <c r="G493" i="5" s="1"/>
  <c r="D505" i="4"/>
  <c r="G505" i="5" s="1"/>
  <c r="C511" i="4"/>
  <c r="B524" i="5"/>
  <c r="D524" i="5" s="1"/>
  <c r="D536" i="4"/>
  <c r="G536" i="5" s="1"/>
  <c r="B529" i="5"/>
  <c r="D529" i="5" s="1"/>
  <c r="D541" i="4"/>
  <c r="G541" i="5" s="1"/>
  <c r="D559" i="4"/>
  <c r="G559" i="5" s="1"/>
  <c r="C573" i="4"/>
  <c r="D578" i="4"/>
  <c r="G578" i="5" s="1"/>
  <c r="B601" i="5"/>
  <c r="D601" i="5" s="1"/>
  <c r="D613" i="4"/>
  <c r="G613" i="5" s="1"/>
  <c r="C606" i="4"/>
  <c r="B660" i="5"/>
  <c r="D660" i="5" s="1"/>
  <c r="D672" i="4"/>
  <c r="G672" i="5" s="1"/>
  <c r="C661" i="4"/>
  <c r="C660" i="4"/>
  <c r="D691" i="4"/>
  <c r="G691" i="5" s="1"/>
  <c r="B679" i="5"/>
  <c r="D679" i="5" s="1"/>
  <c r="C679" i="4"/>
  <c r="B693" i="5"/>
  <c r="D705" i="4"/>
  <c r="G705" i="5" s="1"/>
  <c r="C694" i="4"/>
  <c r="B707" i="5"/>
  <c r="D707" i="5" s="1"/>
  <c r="D719" i="4"/>
  <c r="G719" i="5" s="1"/>
  <c r="C555" i="3"/>
  <c r="C731" i="3"/>
  <c r="D743" i="3"/>
  <c r="B421" i="5"/>
  <c r="D421" i="5" s="1"/>
  <c r="C422" i="4"/>
  <c r="C421" i="4"/>
  <c r="D433" i="4"/>
  <c r="G433" i="5" s="1"/>
  <c r="B499" i="5"/>
  <c r="D499" i="5" s="1"/>
  <c r="D511" i="4"/>
  <c r="G511" i="5" s="1"/>
  <c r="B534" i="5"/>
  <c r="D534" i="5" s="1"/>
  <c r="D546" i="4"/>
  <c r="G546" i="5" s="1"/>
  <c r="D583" i="4"/>
  <c r="G583" i="5" s="1"/>
  <c r="B614" i="5"/>
  <c r="D614" i="5" s="1"/>
  <c r="C614" i="4"/>
  <c r="D626" i="4"/>
  <c r="G626" i="5" s="1"/>
  <c r="C615" i="4"/>
  <c r="B725" i="5"/>
  <c r="D725" i="5" s="1"/>
  <c r="D737" i="4"/>
  <c r="G737" i="5" s="1"/>
  <c r="C725" i="4"/>
  <c r="C407" i="3"/>
  <c r="C455" i="3"/>
  <c r="C503" i="3"/>
  <c r="D507" i="3"/>
  <c r="C682" i="3"/>
  <c r="C746" i="3"/>
  <c r="C86" i="4"/>
  <c r="C115" i="4"/>
  <c r="C123" i="4"/>
  <c r="D131" i="4"/>
  <c r="G131" i="5" s="1"/>
  <c r="B148" i="5"/>
  <c r="D148" i="5" s="1"/>
  <c r="C149" i="4"/>
  <c r="C148" i="4"/>
  <c r="D160" i="4"/>
  <c r="G160" i="5" s="1"/>
  <c r="B214" i="5"/>
  <c r="D214" i="5" s="1"/>
  <c r="D226" i="4"/>
  <c r="G226" i="5" s="1"/>
  <c r="B303" i="5"/>
  <c r="D303" i="5" s="1"/>
  <c r="D315" i="4"/>
  <c r="G315" i="5" s="1"/>
  <c r="C337" i="4"/>
  <c r="D421" i="4"/>
  <c r="G421" i="5" s="1"/>
  <c r="B458" i="5"/>
  <c r="D458" i="5" s="1"/>
  <c r="D470" i="4"/>
  <c r="G470" i="5" s="1"/>
  <c r="C499" i="4"/>
  <c r="C510" i="4"/>
  <c r="C534" i="4"/>
  <c r="B546" i="5"/>
  <c r="D546" i="5" s="1"/>
  <c r="D558" i="4"/>
  <c r="G558" i="5" s="1"/>
  <c r="C546" i="4"/>
  <c r="B584" i="5"/>
  <c r="D584" i="5" s="1"/>
  <c r="C584" i="4"/>
  <c r="D596" i="4"/>
  <c r="G596" i="5" s="1"/>
  <c r="B678" i="5"/>
  <c r="D678" i="5" s="1"/>
  <c r="D690" i="4"/>
  <c r="G690" i="5" s="1"/>
  <c r="C678" i="4"/>
  <c r="C429" i="3"/>
  <c r="D481" i="3"/>
  <c r="D26" i="3"/>
  <c r="C395" i="3"/>
  <c r="C443" i="3"/>
  <c r="D447" i="3"/>
  <c r="C491" i="3"/>
  <c r="D495" i="3"/>
  <c r="C539" i="3"/>
  <c r="D543" i="3"/>
  <c r="C552" i="3"/>
  <c r="D599" i="3"/>
  <c r="C587" i="3"/>
  <c r="D591" i="3"/>
  <c r="C635" i="3"/>
  <c r="D647" i="3"/>
  <c r="C669" i="3"/>
  <c r="C674" i="3"/>
  <c r="D730" i="3"/>
  <c r="C723" i="3"/>
  <c r="C742" i="3"/>
  <c r="C752" i="3"/>
  <c r="C757" i="3"/>
  <c r="D769" i="3"/>
  <c r="C7" i="4"/>
  <c r="C13" i="4"/>
  <c r="C33" i="4"/>
  <c r="D38" i="4"/>
  <c r="G38" i="5" s="1"/>
  <c r="D43" i="4"/>
  <c r="G43" i="5" s="1"/>
  <c r="C53" i="4"/>
  <c r="C58" i="4"/>
  <c r="C63" i="4"/>
  <c r="C77" i="4"/>
  <c r="C82" i="4"/>
  <c r="C87" i="4"/>
  <c r="C92" i="4"/>
  <c r="C97" i="4"/>
  <c r="C102" i="4"/>
  <c r="C112" i="4"/>
  <c r="C116" i="4"/>
  <c r="C120" i="4"/>
  <c r="C124" i="4"/>
  <c r="C128" i="4"/>
  <c r="D132" i="4"/>
  <c r="G132" i="5" s="1"/>
  <c r="B150" i="5"/>
  <c r="D150" i="5" s="1"/>
  <c r="D162" i="4"/>
  <c r="G162" i="5" s="1"/>
  <c r="D155" i="4"/>
  <c r="G155" i="5" s="1"/>
  <c r="D161" i="4"/>
  <c r="G161" i="5" s="1"/>
  <c r="C180" i="4"/>
  <c r="B210" i="5"/>
  <c r="D210" i="5" s="1"/>
  <c r="D222" i="4"/>
  <c r="G222" i="5" s="1"/>
  <c r="C215" i="4"/>
  <c r="C220" i="4"/>
  <c r="B233" i="5"/>
  <c r="D233" i="5" s="1"/>
  <c r="C233" i="4"/>
  <c r="C245" i="4"/>
  <c r="C250" i="4"/>
  <c r="B257" i="5"/>
  <c r="D257" i="5" s="1"/>
  <c r="D269" i="4"/>
  <c r="G269" i="5" s="1"/>
  <c r="B263" i="5"/>
  <c r="D263" i="5" s="1"/>
  <c r="D275" i="4"/>
  <c r="G275" i="5" s="1"/>
  <c r="C263" i="4"/>
  <c r="B269" i="5"/>
  <c r="D269" i="5" s="1"/>
  <c r="C269" i="4"/>
  <c r="D281" i="4"/>
  <c r="G281" i="5" s="1"/>
  <c r="C270" i="4"/>
  <c r="C281" i="4"/>
  <c r="D293" i="4"/>
  <c r="G293" i="5" s="1"/>
  <c r="C298" i="4"/>
  <c r="B317" i="5"/>
  <c r="D317" i="5" s="1"/>
  <c r="C317" i="4"/>
  <c r="D329" i="4"/>
  <c r="G329" i="5" s="1"/>
  <c r="C323" i="4"/>
  <c r="C328" i="4"/>
  <c r="D333" i="4"/>
  <c r="G333" i="5" s="1"/>
  <c r="B339" i="5"/>
  <c r="D339" i="5" s="1"/>
  <c r="C339" i="4"/>
  <c r="D351" i="4"/>
  <c r="G351" i="5" s="1"/>
  <c r="D345" i="4"/>
  <c r="G345" i="5" s="1"/>
  <c r="D370" i="4"/>
  <c r="G370" i="5" s="1"/>
  <c r="B358" i="5"/>
  <c r="D358" i="5" s="1"/>
  <c r="D375" i="4"/>
  <c r="G375" i="5" s="1"/>
  <c r="C381" i="4"/>
  <c r="B387" i="5"/>
  <c r="D387" i="5" s="1"/>
  <c r="C387" i="4"/>
  <c r="D399" i="4"/>
  <c r="G399" i="5" s="1"/>
  <c r="C388" i="4"/>
  <c r="C411" i="4"/>
  <c r="C417" i="4"/>
  <c r="D423" i="4"/>
  <c r="G423" i="5" s="1"/>
  <c r="D436" i="4"/>
  <c r="G436" i="5" s="1"/>
  <c r="C441" i="4"/>
  <c r="B447" i="5"/>
  <c r="D447" i="5" s="1"/>
  <c r="D459" i="4"/>
  <c r="G459" i="5" s="1"/>
  <c r="C459" i="4"/>
  <c r="D476" i="4"/>
  <c r="G476" i="5" s="1"/>
  <c r="B494" i="5"/>
  <c r="D494" i="5" s="1"/>
  <c r="D506" i="4"/>
  <c r="G506" i="5" s="1"/>
  <c r="C494" i="4"/>
  <c r="C500" i="4"/>
  <c r="C524" i="4"/>
  <c r="C529" i="4"/>
  <c r="C548" i="4"/>
  <c r="C560" i="4"/>
  <c r="D572" i="4"/>
  <c r="G572" i="5" s="1"/>
  <c r="B560" i="5"/>
  <c r="D560" i="5" s="1"/>
  <c r="D573" i="4"/>
  <c r="G573" i="5" s="1"/>
  <c r="B579" i="5"/>
  <c r="D579" i="5" s="1"/>
  <c r="D591" i="4"/>
  <c r="G591" i="5" s="1"/>
  <c r="C579" i="4"/>
  <c r="C586" i="4"/>
  <c r="C601" i="4"/>
  <c r="B665" i="5"/>
  <c r="D665" i="5" s="1"/>
  <c r="C665" i="4"/>
  <c r="D677" i="4"/>
  <c r="G677" i="5" s="1"/>
  <c r="C689" i="4"/>
  <c r="C693" i="4"/>
  <c r="C707" i="4"/>
  <c r="C459" i="3"/>
  <c r="C614" i="3"/>
  <c r="D626" i="3"/>
  <c r="C638" i="3"/>
  <c r="C765" i="3"/>
  <c r="D190" i="4"/>
  <c r="G190" i="5" s="1"/>
  <c r="B178" i="5"/>
  <c r="D178" i="5" s="1"/>
  <c r="C179" i="4"/>
  <c r="C178" i="4"/>
  <c r="B380" i="5"/>
  <c r="D380" i="5" s="1"/>
  <c r="D392" i="4"/>
  <c r="G392" i="5" s="1"/>
  <c r="D555" i="3"/>
  <c r="D648" i="3"/>
  <c r="C702" i="3"/>
  <c r="C391" i="3"/>
  <c r="C404" i="3"/>
  <c r="C439" i="3"/>
  <c r="C452" i="3"/>
  <c r="C487" i="3"/>
  <c r="C500" i="3"/>
  <c r="C535" i="3"/>
  <c r="C548" i="3"/>
  <c r="C583" i="3"/>
  <c r="C596" i="3"/>
  <c r="C601" i="3"/>
  <c r="C606" i="3"/>
  <c r="C650" i="3"/>
  <c r="C684" i="3"/>
  <c r="B14" i="5"/>
  <c r="D14" i="5" s="1"/>
  <c r="D26" i="4"/>
  <c r="G26" i="5" s="1"/>
  <c r="C24" i="4"/>
  <c r="B29" i="5"/>
  <c r="D29" i="5" s="1"/>
  <c r="D41" i="4"/>
  <c r="G41" i="5" s="1"/>
  <c r="B49" i="5"/>
  <c r="D49" i="5" s="1"/>
  <c r="D61" i="4"/>
  <c r="G61" i="5" s="1"/>
  <c r="B78" i="5"/>
  <c r="D78" i="5" s="1"/>
  <c r="C78" i="4"/>
  <c r="B83" i="5"/>
  <c r="D83" i="5" s="1"/>
  <c r="C83" i="4"/>
  <c r="D95" i="4"/>
  <c r="G95" i="5" s="1"/>
  <c r="B88" i="5"/>
  <c r="D88" i="5" s="1"/>
  <c r="D100" i="4"/>
  <c r="G100" i="5" s="1"/>
  <c r="B133" i="5"/>
  <c r="D133" i="5" s="1"/>
  <c r="C133" i="4"/>
  <c r="C134" i="4"/>
  <c r="D133" i="4"/>
  <c r="G133" i="5" s="1"/>
  <c r="B162" i="5"/>
  <c r="D162" i="5" s="1"/>
  <c r="D174" i="4"/>
  <c r="G174" i="5" s="1"/>
  <c r="C167" i="4"/>
  <c r="B175" i="5"/>
  <c r="D187" i="4"/>
  <c r="G187" i="5" s="1"/>
  <c r="B221" i="5"/>
  <c r="D221" i="5" s="1"/>
  <c r="C221" i="4"/>
  <c r="D233" i="4"/>
  <c r="G233" i="5" s="1"/>
  <c r="D239" i="4"/>
  <c r="G239" i="5" s="1"/>
  <c r="B251" i="5"/>
  <c r="D251" i="5" s="1"/>
  <c r="C252" i="4"/>
  <c r="C251" i="4"/>
  <c r="D263" i="4"/>
  <c r="G263" i="5" s="1"/>
  <c r="B282" i="5"/>
  <c r="D282" i="5" s="1"/>
  <c r="D294" i="4"/>
  <c r="G294" i="5" s="1"/>
  <c r="C282" i="4"/>
  <c r="B318" i="5"/>
  <c r="D318" i="5" s="1"/>
  <c r="D330" i="4"/>
  <c r="G330" i="5" s="1"/>
  <c r="B340" i="5"/>
  <c r="D340" i="5" s="1"/>
  <c r="D352" i="4"/>
  <c r="G352" i="5" s="1"/>
  <c r="D363" i="4"/>
  <c r="G363" i="5" s="1"/>
  <c r="B376" i="5"/>
  <c r="D376" i="5" s="1"/>
  <c r="D388" i="4"/>
  <c r="G388" i="5" s="1"/>
  <c r="B406" i="5"/>
  <c r="D406" i="5" s="1"/>
  <c r="D418" i="4"/>
  <c r="G418" i="5" s="1"/>
  <c r="B437" i="5"/>
  <c r="D437" i="5" s="1"/>
  <c r="D449" i="4"/>
  <c r="G449" i="5" s="1"/>
  <c r="C447" i="4"/>
  <c r="B495" i="5"/>
  <c r="D495" i="5" s="1"/>
  <c r="C495" i="4"/>
  <c r="B519" i="5"/>
  <c r="D519" i="5" s="1"/>
  <c r="D531" i="4"/>
  <c r="G531" i="5" s="1"/>
  <c r="B574" i="5"/>
  <c r="D574" i="5" s="1"/>
  <c r="D586" i="4"/>
  <c r="G586" i="5" s="1"/>
  <c r="C574" i="4"/>
  <c r="B580" i="5"/>
  <c r="D580" i="5" s="1"/>
  <c r="C580" i="4"/>
  <c r="D580" i="4"/>
  <c r="G580" i="5" s="1"/>
  <c r="D592" i="4"/>
  <c r="G592" i="5" s="1"/>
  <c r="B647" i="5"/>
  <c r="D647" i="5" s="1"/>
  <c r="C647" i="4"/>
  <c r="D659" i="4"/>
  <c r="G659" i="5" s="1"/>
  <c r="B656" i="5"/>
  <c r="D656" i="5" s="1"/>
  <c r="D668" i="4"/>
  <c r="G668" i="5" s="1"/>
  <c r="C656" i="4"/>
  <c r="C675" i="4"/>
  <c r="B685" i="5"/>
  <c r="D685" i="5" s="1"/>
  <c r="D697" i="4"/>
  <c r="G697" i="5" s="1"/>
  <c r="B761" i="5"/>
  <c r="D761" i="5" s="1"/>
  <c r="C761" i="4"/>
  <c r="C643" i="3"/>
  <c r="B37" i="5"/>
  <c r="D37" i="5" s="1"/>
  <c r="D49" i="4"/>
  <c r="G49" i="5" s="1"/>
  <c r="B62" i="5"/>
  <c r="D62" i="5" s="1"/>
  <c r="D74" i="4"/>
  <c r="G74" i="5" s="1"/>
  <c r="B127" i="5"/>
  <c r="D127" i="5" s="1"/>
  <c r="D139" i="4"/>
  <c r="G139" i="5" s="1"/>
  <c r="B504" i="5"/>
  <c r="D504" i="5" s="1"/>
  <c r="C505" i="4"/>
  <c r="C504" i="4"/>
  <c r="D516" i="4"/>
  <c r="G516" i="5" s="1"/>
  <c r="B350" i="5"/>
  <c r="D350" i="5" s="1"/>
  <c r="D362" i="4"/>
  <c r="G362" i="5" s="1"/>
  <c r="C350" i="4"/>
  <c r="D650" i="3"/>
  <c r="D682" i="3"/>
  <c r="C709" i="3"/>
  <c r="D721" i="3"/>
  <c r="B168" i="5"/>
  <c r="D168" i="5" s="1"/>
  <c r="C168" i="4"/>
  <c r="C169" i="4"/>
  <c r="D168" i="4"/>
  <c r="G168" i="5" s="1"/>
  <c r="B181" i="5"/>
  <c r="D181" i="5" s="1"/>
  <c r="C181" i="4"/>
  <c r="C182" i="4"/>
  <c r="B188" i="5"/>
  <c r="D188" i="5" s="1"/>
  <c r="C188" i="4"/>
  <c r="B211" i="5"/>
  <c r="D223" i="4"/>
  <c r="G223" i="5" s="1"/>
  <c r="B216" i="5"/>
  <c r="D216" i="5" s="1"/>
  <c r="C217" i="4"/>
  <c r="C216" i="4"/>
  <c r="D228" i="4"/>
  <c r="G228" i="5" s="1"/>
  <c r="B222" i="5"/>
  <c r="D222" i="5" s="1"/>
  <c r="D234" i="4"/>
  <c r="G234" i="5" s="1"/>
  <c r="B246" i="5"/>
  <c r="D246" i="5" s="1"/>
  <c r="D258" i="4"/>
  <c r="G258" i="5" s="1"/>
  <c r="B276" i="5"/>
  <c r="D276" i="5" s="1"/>
  <c r="D288" i="4"/>
  <c r="G288" i="5" s="1"/>
  <c r="B288" i="5"/>
  <c r="D288" i="5" s="1"/>
  <c r="D300" i="4"/>
  <c r="G300" i="5" s="1"/>
  <c r="B312" i="5"/>
  <c r="D312" i="5" s="1"/>
  <c r="C313" i="4"/>
  <c r="C312" i="4"/>
  <c r="B324" i="5"/>
  <c r="D324" i="5" s="1"/>
  <c r="D336" i="4"/>
  <c r="G336" i="5" s="1"/>
  <c r="B329" i="5"/>
  <c r="D329" i="5" s="1"/>
  <c r="D341" i="4"/>
  <c r="G341" i="5" s="1"/>
  <c r="B359" i="5"/>
  <c r="D359" i="5" s="1"/>
  <c r="D371" i="4"/>
  <c r="G371" i="5" s="1"/>
  <c r="B364" i="5"/>
  <c r="D364" i="5" s="1"/>
  <c r="D376" i="4"/>
  <c r="G376" i="5" s="1"/>
  <c r="B394" i="5"/>
  <c r="D394" i="5" s="1"/>
  <c r="D406" i="4"/>
  <c r="G406" i="5" s="1"/>
  <c r="B400" i="5"/>
  <c r="D400" i="5" s="1"/>
  <c r="C400" i="4"/>
  <c r="D412" i="4"/>
  <c r="G412" i="5" s="1"/>
  <c r="B412" i="5"/>
  <c r="D412" i="5" s="1"/>
  <c r="D424" i="4"/>
  <c r="G424" i="5" s="1"/>
  <c r="C412" i="4"/>
  <c r="B442" i="5"/>
  <c r="D442" i="5" s="1"/>
  <c r="D454" i="4"/>
  <c r="G454" i="5" s="1"/>
  <c r="B448" i="5"/>
  <c r="D448" i="5" s="1"/>
  <c r="C448" i="4"/>
  <c r="D460" i="4"/>
  <c r="G460" i="5" s="1"/>
  <c r="B454" i="5"/>
  <c r="D454" i="5" s="1"/>
  <c r="D466" i="4"/>
  <c r="G466" i="5" s="1"/>
  <c r="C455" i="4"/>
  <c r="C454" i="4"/>
  <c r="B472" i="5"/>
  <c r="D472" i="5" s="1"/>
  <c r="D484" i="4"/>
  <c r="G484" i="5" s="1"/>
  <c r="D494" i="4"/>
  <c r="G494" i="5" s="1"/>
  <c r="B482" i="5"/>
  <c r="D482" i="5" s="1"/>
  <c r="C482" i="4"/>
  <c r="B489" i="5"/>
  <c r="D489" i="5" s="1"/>
  <c r="D501" i="4"/>
  <c r="G501" i="5" s="1"/>
  <c r="C490" i="4"/>
  <c r="C489" i="4"/>
  <c r="B525" i="5"/>
  <c r="D525" i="5" s="1"/>
  <c r="C526" i="4"/>
  <c r="D525" i="4"/>
  <c r="G525" i="5" s="1"/>
  <c r="B602" i="5"/>
  <c r="D602" i="5" s="1"/>
  <c r="D614" i="4"/>
  <c r="G614" i="5" s="1"/>
  <c r="C603" i="4"/>
  <c r="C602" i="4"/>
  <c r="B629" i="5"/>
  <c r="D629" i="5" s="1"/>
  <c r="C629" i="4"/>
  <c r="C630" i="4"/>
  <c r="D641" i="4"/>
  <c r="G641" i="5" s="1"/>
  <c r="B666" i="5"/>
  <c r="D666" i="5" s="1"/>
  <c r="D678" i="4"/>
  <c r="G678" i="5" s="1"/>
  <c r="C666" i="4"/>
  <c r="B757" i="5"/>
  <c r="D757" i="5" s="1"/>
  <c r="D769" i="4"/>
  <c r="G769" i="5" s="1"/>
  <c r="C757" i="4"/>
  <c r="B566" i="5"/>
  <c r="D566" i="5" s="1"/>
  <c r="C567" i="4"/>
  <c r="C566" i="4"/>
  <c r="C572" i="4"/>
  <c r="B572" i="5"/>
  <c r="D572" i="5" s="1"/>
  <c r="D584" i="4"/>
  <c r="G584" i="5" s="1"/>
  <c r="B594" i="5"/>
  <c r="D594" i="5" s="1"/>
  <c r="D606" i="4"/>
  <c r="G606" i="5" s="1"/>
  <c r="C594" i="4"/>
  <c r="D625" i="4"/>
  <c r="G625" i="5" s="1"/>
  <c r="B613" i="5"/>
  <c r="D613" i="5" s="1"/>
  <c r="B621" i="5"/>
  <c r="D621" i="5" s="1"/>
  <c r="D633" i="4"/>
  <c r="G633" i="5" s="1"/>
  <c r="C621" i="4"/>
  <c r="B652" i="5"/>
  <c r="D664" i="4"/>
  <c r="G664" i="5" s="1"/>
  <c r="B670" i="5"/>
  <c r="D670" i="5" s="1"/>
  <c r="D682" i="4"/>
  <c r="G682" i="5" s="1"/>
  <c r="C671" i="4"/>
  <c r="C670" i="4"/>
  <c r="B697" i="5"/>
  <c r="D697" i="5" s="1"/>
  <c r="D709" i="4"/>
  <c r="G709" i="5" s="1"/>
  <c r="B716" i="5"/>
  <c r="D716" i="5" s="1"/>
  <c r="D728" i="4"/>
  <c r="G728" i="5" s="1"/>
  <c r="B721" i="5"/>
  <c r="D721" i="5" s="1"/>
  <c r="D733" i="4"/>
  <c r="G733" i="5" s="1"/>
  <c r="C722" i="4"/>
  <c r="B745" i="5"/>
  <c r="D745" i="5" s="1"/>
  <c r="D757" i="4"/>
  <c r="G757" i="5" s="1"/>
  <c r="B754" i="5"/>
  <c r="D754" i="5" s="1"/>
  <c r="D766" i="4"/>
  <c r="G766" i="5" s="1"/>
  <c r="C754" i="4"/>
  <c r="C630" i="3"/>
  <c r="C678" i="3"/>
  <c r="C726" i="3"/>
  <c r="B17" i="5"/>
  <c r="D17" i="5" s="1"/>
  <c r="D29" i="4"/>
  <c r="G29" i="5" s="1"/>
  <c r="B139" i="5"/>
  <c r="D139" i="5" s="1"/>
  <c r="D151" i="4"/>
  <c r="G151" i="5" s="1"/>
  <c r="D201" i="4"/>
  <c r="G201" i="5" s="1"/>
  <c r="B242" i="5"/>
  <c r="D242" i="5" s="1"/>
  <c r="D254" i="4"/>
  <c r="G254" i="5" s="1"/>
  <c r="C242" i="4"/>
  <c r="B294" i="5"/>
  <c r="D294" i="5" s="1"/>
  <c r="D306" i="4"/>
  <c r="G306" i="5" s="1"/>
  <c r="B299" i="5"/>
  <c r="D299" i="5" s="1"/>
  <c r="C300" i="4"/>
  <c r="C299" i="4"/>
  <c r="B305" i="5"/>
  <c r="D305" i="5" s="1"/>
  <c r="D317" i="4"/>
  <c r="G317" i="5" s="1"/>
  <c r="B325" i="5"/>
  <c r="C326" i="4"/>
  <c r="C325" i="4"/>
  <c r="B386" i="5"/>
  <c r="D386" i="5" s="1"/>
  <c r="D398" i="4"/>
  <c r="G398" i="5" s="1"/>
  <c r="C386" i="4"/>
  <c r="B438" i="5"/>
  <c r="D438" i="5" s="1"/>
  <c r="D450" i="4"/>
  <c r="G450" i="5" s="1"/>
  <c r="B443" i="5"/>
  <c r="D443" i="5" s="1"/>
  <c r="C444" i="4"/>
  <c r="C443" i="4"/>
  <c r="B449" i="5"/>
  <c r="D449" i="5" s="1"/>
  <c r="D461" i="4"/>
  <c r="G461" i="5" s="1"/>
  <c r="B469" i="5"/>
  <c r="D469" i="5" s="1"/>
  <c r="C470" i="4"/>
  <c r="C469" i="4"/>
  <c r="D542" i="4"/>
  <c r="G542" i="5" s="1"/>
  <c r="B530" i="5"/>
  <c r="D530" i="5" s="1"/>
  <c r="C530" i="4"/>
  <c r="B541" i="5"/>
  <c r="D541" i="5" s="1"/>
  <c r="D553" i="4"/>
  <c r="G553" i="5" s="1"/>
  <c r="B591" i="5"/>
  <c r="D591" i="5" s="1"/>
  <c r="D603" i="4"/>
  <c r="G603" i="5" s="1"/>
  <c r="B627" i="5"/>
  <c r="D627" i="5" s="1"/>
  <c r="D639" i="4"/>
  <c r="G639" i="5" s="1"/>
  <c r="B641" i="5"/>
  <c r="D641" i="5" s="1"/>
  <c r="C642" i="4"/>
  <c r="B667" i="5"/>
  <c r="D667" i="5" s="1"/>
  <c r="D679" i="4"/>
  <c r="G679" i="5" s="1"/>
  <c r="B681" i="5"/>
  <c r="D681" i="5" s="1"/>
  <c r="D693" i="4"/>
  <c r="G693" i="5" s="1"/>
  <c r="B663" i="5"/>
  <c r="D663" i="5" s="1"/>
  <c r="C622" i="3"/>
  <c r="C670" i="3"/>
  <c r="C718" i="3"/>
  <c r="C766" i="3"/>
  <c r="B57" i="5"/>
  <c r="D57" i="5" s="1"/>
  <c r="D69" i="4"/>
  <c r="G69" i="5" s="1"/>
  <c r="D163" i="4"/>
  <c r="G163" i="5" s="1"/>
  <c r="B218" i="5"/>
  <c r="D218" i="5" s="1"/>
  <c r="D230" i="4"/>
  <c r="G230" i="5" s="1"/>
  <c r="B244" i="5"/>
  <c r="D244" i="5" s="1"/>
  <c r="D256" i="4"/>
  <c r="G256" i="5" s="1"/>
  <c r="B264" i="5"/>
  <c r="D264" i="5" s="1"/>
  <c r="C265" i="4"/>
  <c r="C264" i="4"/>
  <c r="B270" i="5"/>
  <c r="D270" i="5" s="1"/>
  <c r="D282" i="4"/>
  <c r="G282" i="5" s="1"/>
  <c r="B346" i="5"/>
  <c r="D346" i="5" s="1"/>
  <c r="D358" i="4"/>
  <c r="G358" i="5" s="1"/>
  <c r="B362" i="5"/>
  <c r="D374" i="4"/>
  <c r="G374" i="5" s="1"/>
  <c r="B388" i="5"/>
  <c r="D388" i="5" s="1"/>
  <c r="D400" i="4"/>
  <c r="G400" i="5" s="1"/>
  <c r="B408" i="5"/>
  <c r="D408" i="5" s="1"/>
  <c r="C409" i="4"/>
  <c r="C408" i="4"/>
  <c r="B414" i="5"/>
  <c r="D414" i="5" s="1"/>
  <c r="D426" i="4"/>
  <c r="G426" i="5" s="1"/>
  <c r="B490" i="5"/>
  <c r="D490" i="5" s="1"/>
  <c r="D502" i="4"/>
  <c r="G502" i="5" s="1"/>
  <c r="B506" i="5"/>
  <c r="D506" i="5" s="1"/>
  <c r="D518" i="4"/>
  <c r="G518" i="5" s="1"/>
  <c r="B532" i="5"/>
  <c r="D532" i="5" s="1"/>
  <c r="D544" i="4"/>
  <c r="G544" i="5" s="1"/>
  <c r="B552" i="5"/>
  <c r="D552" i="5" s="1"/>
  <c r="C552" i="4"/>
  <c r="B564" i="5"/>
  <c r="D564" i="5" s="1"/>
  <c r="C564" i="4"/>
  <c r="D576" i="4"/>
  <c r="G576" i="5" s="1"/>
  <c r="B575" i="5"/>
  <c r="D575" i="5" s="1"/>
  <c r="C575" i="4"/>
  <c r="D593" i="4"/>
  <c r="G593" i="5" s="1"/>
  <c r="B611" i="5"/>
  <c r="D611" i="5" s="1"/>
  <c r="C611" i="4"/>
  <c r="D628" i="4"/>
  <c r="G628" i="5" s="1"/>
  <c r="B616" i="5"/>
  <c r="D616" i="5" s="1"/>
  <c r="D623" i="4"/>
  <c r="G623" i="5" s="1"/>
  <c r="D632" i="4"/>
  <c r="G632" i="5" s="1"/>
  <c r="B118" i="5"/>
  <c r="D118" i="5" s="1"/>
  <c r="D130" i="4"/>
  <c r="G130" i="5" s="1"/>
  <c r="B122" i="5"/>
  <c r="D122" i="5" s="1"/>
  <c r="D134" i="4"/>
  <c r="G134" i="5" s="1"/>
  <c r="B126" i="5"/>
  <c r="D126" i="5" s="1"/>
  <c r="D138" i="4"/>
  <c r="G138" i="5" s="1"/>
  <c r="B154" i="5"/>
  <c r="D154" i="5" s="1"/>
  <c r="D166" i="4"/>
  <c r="G166" i="5" s="1"/>
  <c r="B174" i="5"/>
  <c r="D174" i="5" s="1"/>
  <c r="D186" i="4"/>
  <c r="G186" i="5" s="1"/>
  <c r="B198" i="5"/>
  <c r="D198" i="5" s="1"/>
  <c r="D210" i="4"/>
  <c r="G210" i="5" s="1"/>
  <c r="B203" i="5"/>
  <c r="D203" i="5" s="1"/>
  <c r="C203" i="4"/>
  <c r="B208" i="5"/>
  <c r="D208" i="5" s="1"/>
  <c r="C208" i="4"/>
  <c r="D220" i="4"/>
  <c r="G220" i="5" s="1"/>
  <c r="B234" i="5"/>
  <c r="D234" i="5" s="1"/>
  <c r="D246" i="4"/>
  <c r="G246" i="5" s="1"/>
  <c r="C234" i="4"/>
  <c r="B254" i="5"/>
  <c r="D254" i="5" s="1"/>
  <c r="D266" i="4"/>
  <c r="G266" i="5" s="1"/>
  <c r="B306" i="5"/>
  <c r="D306" i="5" s="1"/>
  <c r="D318" i="4"/>
  <c r="G318" i="5" s="1"/>
  <c r="B327" i="5"/>
  <c r="D327" i="5" s="1"/>
  <c r="D339" i="4"/>
  <c r="G339" i="5" s="1"/>
  <c r="B352" i="5"/>
  <c r="D352" i="5" s="1"/>
  <c r="C352" i="4"/>
  <c r="D364" i="4"/>
  <c r="G364" i="5" s="1"/>
  <c r="B378" i="5"/>
  <c r="D378" i="5" s="1"/>
  <c r="D390" i="4"/>
  <c r="G390" i="5" s="1"/>
  <c r="C378" i="4"/>
  <c r="B398" i="5"/>
  <c r="D410" i="4"/>
  <c r="G410" i="5" s="1"/>
  <c r="B450" i="5"/>
  <c r="D450" i="5" s="1"/>
  <c r="D462" i="4"/>
  <c r="G462" i="5" s="1"/>
  <c r="B471" i="5"/>
  <c r="D471" i="5" s="1"/>
  <c r="D483" i="4"/>
  <c r="G483" i="5" s="1"/>
  <c r="C496" i="4"/>
  <c r="D508" i="4"/>
  <c r="G508" i="5" s="1"/>
  <c r="B522" i="5"/>
  <c r="D522" i="5" s="1"/>
  <c r="D534" i="4"/>
  <c r="G534" i="5" s="1"/>
  <c r="C522" i="4"/>
  <c r="B553" i="5"/>
  <c r="D553" i="5" s="1"/>
  <c r="C553" i="4"/>
  <c r="B587" i="5"/>
  <c r="D587" i="5" s="1"/>
  <c r="D599" i="4"/>
  <c r="G599" i="5" s="1"/>
  <c r="B592" i="5"/>
  <c r="D592" i="5" s="1"/>
  <c r="C592" i="4"/>
  <c r="B628" i="5"/>
  <c r="D628" i="5" s="1"/>
  <c r="D640" i="4"/>
  <c r="G640" i="5" s="1"/>
  <c r="D649" i="4"/>
  <c r="G649" i="5" s="1"/>
  <c r="B637" i="5"/>
  <c r="D637" i="5" s="1"/>
  <c r="C638" i="4"/>
  <c r="C637" i="4"/>
  <c r="B655" i="5"/>
  <c r="D667" i="4"/>
  <c r="G667" i="5" s="1"/>
  <c r="B668" i="5"/>
  <c r="D668" i="5" s="1"/>
  <c r="D680" i="4"/>
  <c r="G680" i="5" s="1"/>
  <c r="C669" i="4"/>
  <c r="C668" i="4"/>
  <c r="B682" i="5"/>
  <c r="D682" i="5" s="1"/>
  <c r="D694" i="4"/>
  <c r="G694" i="5" s="1"/>
  <c r="C682" i="4"/>
  <c r="B130" i="5"/>
  <c r="D130" i="5" s="1"/>
  <c r="C110" i="4"/>
  <c r="B209" i="5"/>
  <c r="D209" i="5" s="1"/>
  <c r="D221" i="4"/>
  <c r="G221" i="5" s="1"/>
  <c r="B229" i="5"/>
  <c r="D229" i="5" s="1"/>
  <c r="C230" i="4"/>
  <c r="C229" i="4"/>
  <c r="B290" i="5"/>
  <c r="D290" i="5" s="1"/>
  <c r="D302" i="4"/>
  <c r="G302" i="5" s="1"/>
  <c r="C290" i="4"/>
  <c r="B342" i="5"/>
  <c r="D342" i="5" s="1"/>
  <c r="D354" i="4"/>
  <c r="G354" i="5" s="1"/>
  <c r="B347" i="5"/>
  <c r="D347" i="5" s="1"/>
  <c r="C348" i="4"/>
  <c r="C347" i="4"/>
  <c r="B353" i="5"/>
  <c r="D353" i="5" s="1"/>
  <c r="D365" i="4"/>
  <c r="G365" i="5" s="1"/>
  <c r="B373" i="5"/>
  <c r="D373" i="5" s="1"/>
  <c r="C374" i="4"/>
  <c r="C373" i="4"/>
  <c r="B434" i="5"/>
  <c r="D434" i="5" s="1"/>
  <c r="D446" i="4"/>
  <c r="G446" i="5" s="1"/>
  <c r="C434" i="4"/>
  <c r="B486" i="5"/>
  <c r="D486" i="5" s="1"/>
  <c r="D498" i="4"/>
  <c r="G498" i="5" s="1"/>
  <c r="B491" i="5"/>
  <c r="D491" i="5" s="1"/>
  <c r="C492" i="4"/>
  <c r="C491" i="4"/>
  <c r="B497" i="5"/>
  <c r="D509" i="4"/>
  <c r="G509" i="5" s="1"/>
  <c r="B517" i="5"/>
  <c r="D517" i="5" s="1"/>
  <c r="C518" i="4"/>
  <c r="C517" i="4"/>
  <c r="B582" i="5"/>
  <c r="D582" i="5" s="1"/>
  <c r="D594" i="4"/>
  <c r="G594" i="5" s="1"/>
  <c r="B598" i="5"/>
  <c r="D598" i="5" s="1"/>
  <c r="D610" i="4"/>
  <c r="G610" i="5" s="1"/>
  <c r="C598" i="4"/>
  <c r="B612" i="5"/>
  <c r="D612" i="5" s="1"/>
  <c r="D624" i="4"/>
  <c r="G624" i="5" s="1"/>
  <c r="B624" i="5"/>
  <c r="D624" i="5" s="1"/>
  <c r="D636" i="4"/>
  <c r="G636" i="5" s="1"/>
  <c r="B753" i="5"/>
  <c r="D753" i="5" s="1"/>
  <c r="D765" i="4"/>
  <c r="G765" i="5" s="1"/>
  <c r="C762" i="4"/>
  <c r="D137" i="4"/>
  <c r="G137" i="5" s="1"/>
  <c r="B142" i="5"/>
  <c r="D142" i="5" s="1"/>
  <c r="D154" i="4"/>
  <c r="G154" i="5" s="1"/>
  <c r="B190" i="5"/>
  <c r="D190" i="5" s="1"/>
  <c r="D202" i="4"/>
  <c r="G202" i="5" s="1"/>
  <c r="B238" i="5"/>
  <c r="D238" i="5" s="1"/>
  <c r="D250" i="4"/>
  <c r="G250" i="5" s="1"/>
  <c r="B286" i="5"/>
  <c r="D286" i="5" s="1"/>
  <c r="D298" i="4"/>
  <c r="G298" i="5" s="1"/>
  <c r="B334" i="5"/>
  <c r="D334" i="5" s="1"/>
  <c r="D346" i="4"/>
  <c r="G346" i="5" s="1"/>
  <c r="B382" i="5"/>
  <c r="D382" i="5" s="1"/>
  <c r="D394" i="4"/>
  <c r="G394" i="5" s="1"/>
  <c r="B430" i="5"/>
  <c r="D430" i="5" s="1"/>
  <c r="D442" i="4"/>
  <c r="G442" i="5" s="1"/>
  <c r="B478" i="5"/>
  <c r="D478" i="5" s="1"/>
  <c r="D490" i="4"/>
  <c r="G490" i="5" s="1"/>
  <c r="B526" i="5"/>
  <c r="D526" i="5" s="1"/>
  <c r="D538" i="4"/>
  <c r="G538" i="5" s="1"/>
  <c r="D552" i="4"/>
  <c r="G552" i="5" s="1"/>
  <c r="D561" i="4"/>
  <c r="G561" i="5" s="1"/>
  <c r="D570" i="4"/>
  <c r="G570" i="5" s="1"/>
  <c r="D630" i="4"/>
  <c r="G630" i="5" s="1"/>
  <c r="B618" i="5"/>
  <c r="D618" i="5" s="1"/>
  <c r="B645" i="5"/>
  <c r="D645" i="5" s="1"/>
  <c r="D657" i="4"/>
  <c r="G657" i="5" s="1"/>
  <c r="B750" i="5"/>
  <c r="D750" i="5" s="1"/>
  <c r="D762" i="4"/>
  <c r="G762" i="5" s="1"/>
  <c r="C750" i="4"/>
  <c r="B700" i="5"/>
  <c r="D700" i="5" s="1"/>
  <c r="D712" i="4"/>
  <c r="G712" i="5" s="1"/>
  <c r="B736" i="5"/>
  <c r="D736" i="5" s="1"/>
  <c r="D748" i="4"/>
  <c r="G748" i="5" s="1"/>
  <c r="C736" i="4"/>
  <c r="B741" i="5"/>
  <c r="D741" i="5" s="1"/>
  <c r="D753" i="4"/>
  <c r="G753" i="5" s="1"/>
  <c r="C742" i="4"/>
  <c r="B746" i="5"/>
  <c r="D746" i="5" s="1"/>
  <c r="D758" i="4"/>
  <c r="G758" i="5" s="1"/>
  <c r="C747" i="4"/>
  <c r="D73" i="4"/>
  <c r="G73" i="5" s="1"/>
  <c r="D77" i="4"/>
  <c r="G77" i="5" s="1"/>
  <c r="D85" i="4"/>
  <c r="G85" i="5" s="1"/>
  <c r="D89" i="4"/>
  <c r="G89" i="5" s="1"/>
  <c r="D93" i="4"/>
  <c r="G93" i="5" s="1"/>
  <c r="D97" i="4"/>
  <c r="G97" i="5" s="1"/>
  <c r="D101" i="4"/>
  <c r="G101" i="5" s="1"/>
  <c r="D105" i="4"/>
  <c r="G105" i="5" s="1"/>
  <c r="D109" i="4"/>
  <c r="G109" i="5" s="1"/>
  <c r="B134" i="5"/>
  <c r="D134" i="5" s="1"/>
  <c r="D146" i="4"/>
  <c r="G146" i="5" s="1"/>
  <c r="B182" i="5"/>
  <c r="D182" i="5" s="1"/>
  <c r="D194" i="4"/>
  <c r="G194" i="5" s="1"/>
  <c r="D225" i="4"/>
  <c r="G225" i="5" s="1"/>
  <c r="B230" i="5"/>
  <c r="D230" i="5" s="1"/>
  <c r="D242" i="4"/>
  <c r="G242" i="5" s="1"/>
  <c r="D247" i="4"/>
  <c r="G247" i="5" s="1"/>
  <c r="D260" i="4"/>
  <c r="G260" i="5" s="1"/>
  <c r="D273" i="4"/>
  <c r="G273" i="5" s="1"/>
  <c r="B278" i="5"/>
  <c r="D278" i="5" s="1"/>
  <c r="D290" i="4"/>
  <c r="G290" i="5" s="1"/>
  <c r="D295" i="4"/>
  <c r="G295" i="5" s="1"/>
  <c r="D308" i="4"/>
  <c r="G308" i="5" s="1"/>
  <c r="D321" i="4"/>
  <c r="G321" i="5" s="1"/>
  <c r="B326" i="5"/>
  <c r="D326" i="5" s="1"/>
  <c r="D338" i="4"/>
  <c r="G338" i="5" s="1"/>
  <c r="D343" i="4"/>
  <c r="G343" i="5" s="1"/>
  <c r="D356" i="4"/>
  <c r="G356" i="5" s="1"/>
  <c r="D369" i="4"/>
  <c r="G369" i="5" s="1"/>
  <c r="B374" i="5"/>
  <c r="D374" i="5" s="1"/>
  <c r="D386" i="4"/>
  <c r="G386" i="5" s="1"/>
  <c r="D391" i="4"/>
  <c r="G391" i="5" s="1"/>
  <c r="D404" i="4"/>
  <c r="G404" i="5" s="1"/>
  <c r="D417" i="4"/>
  <c r="G417" i="5" s="1"/>
  <c r="B422" i="5"/>
  <c r="D422" i="5" s="1"/>
  <c r="D434" i="4"/>
  <c r="G434" i="5" s="1"/>
  <c r="D439" i="4"/>
  <c r="G439" i="5" s="1"/>
  <c r="D452" i="4"/>
  <c r="G452" i="5" s="1"/>
  <c r="D465" i="4"/>
  <c r="G465" i="5" s="1"/>
  <c r="B470" i="5"/>
  <c r="D470" i="5" s="1"/>
  <c r="D482" i="4"/>
  <c r="G482" i="5" s="1"/>
  <c r="D487" i="4"/>
  <c r="G487" i="5" s="1"/>
  <c r="D500" i="4"/>
  <c r="G500" i="5" s="1"/>
  <c r="D513" i="4"/>
  <c r="G513" i="5" s="1"/>
  <c r="B518" i="5"/>
  <c r="D518" i="5" s="1"/>
  <c r="D530" i="4"/>
  <c r="G530" i="5" s="1"/>
  <c r="D535" i="4"/>
  <c r="G535" i="5" s="1"/>
  <c r="D548" i="4"/>
  <c r="G548" i="5" s="1"/>
  <c r="C576" i="4"/>
  <c r="B576" i="5"/>
  <c r="D576" i="5" s="1"/>
  <c r="B615" i="5"/>
  <c r="D615" i="5" s="1"/>
  <c r="D627" i="4"/>
  <c r="G627" i="5" s="1"/>
  <c r="D642" i="4"/>
  <c r="G642" i="5" s="1"/>
  <c r="B630" i="5"/>
  <c r="B634" i="5"/>
  <c r="D634" i="5" s="1"/>
  <c r="D646" i="4"/>
  <c r="G646" i="5" s="1"/>
  <c r="B642" i="5"/>
  <c r="D642" i="5" s="1"/>
  <c r="D654" i="4"/>
  <c r="G654" i="5" s="1"/>
  <c r="C650" i="4"/>
  <c r="B671" i="5"/>
  <c r="D671" i="5" s="1"/>
  <c r="D683" i="4"/>
  <c r="G683" i="5" s="1"/>
  <c r="B696" i="5"/>
  <c r="D696" i="5" s="1"/>
  <c r="D708" i="4"/>
  <c r="G708" i="5" s="1"/>
  <c r="C700" i="4"/>
  <c r="B709" i="5"/>
  <c r="D709" i="5" s="1"/>
  <c r="D721" i="4"/>
  <c r="G721" i="5" s="1"/>
  <c r="C709" i="4"/>
  <c r="B728" i="5"/>
  <c r="D728" i="5" s="1"/>
  <c r="D740" i="4"/>
  <c r="G740" i="5" s="1"/>
  <c r="C741" i="4"/>
  <c r="C746" i="4"/>
  <c r="B226" i="5"/>
  <c r="D226" i="5" s="1"/>
  <c r="D238" i="4"/>
  <c r="G238" i="5" s="1"/>
  <c r="B274" i="5"/>
  <c r="D274" i="5" s="1"/>
  <c r="D286" i="4"/>
  <c r="G286" i="5" s="1"/>
  <c r="B322" i="5"/>
  <c r="D322" i="5" s="1"/>
  <c r="D334" i="4"/>
  <c r="G334" i="5" s="1"/>
  <c r="B370" i="5"/>
  <c r="D370" i="5" s="1"/>
  <c r="D382" i="4"/>
  <c r="G382" i="5" s="1"/>
  <c r="B466" i="5"/>
  <c r="D466" i="5" s="1"/>
  <c r="D478" i="4"/>
  <c r="G478" i="5" s="1"/>
  <c r="B514" i="5"/>
  <c r="D514" i="5" s="1"/>
  <c r="D526" i="4"/>
  <c r="G526" i="5" s="1"/>
  <c r="B581" i="5"/>
  <c r="D581" i="5" s="1"/>
  <c r="C581" i="4"/>
  <c r="B586" i="5"/>
  <c r="D586" i="5" s="1"/>
  <c r="D598" i="4"/>
  <c r="G598" i="5" s="1"/>
  <c r="B595" i="5"/>
  <c r="D607" i="4"/>
  <c r="G607" i="5" s="1"/>
  <c r="B604" i="5"/>
  <c r="D604" i="5" s="1"/>
  <c r="D616" i="4"/>
  <c r="G616" i="5" s="1"/>
  <c r="C604" i="4"/>
  <c r="D631" i="4"/>
  <c r="G631" i="5" s="1"/>
  <c r="B619" i="5"/>
  <c r="D619" i="5" s="1"/>
  <c r="B646" i="5"/>
  <c r="D646" i="5" s="1"/>
  <c r="D658" i="4"/>
  <c r="G658" i="5" s="1"/>
  <c r="B654" i="5"/>
  <c r="D654" i="5" s="1"/>
  <c r="D666" i="4"/>
  <c r="G666" i="5" s="1"/>
  <c r="C654" i="4"/>
  <c r="B675" i="5"/>
  <c r="D675" i="5" s="1"/>
  <c r="D687" i="4"/>
  <c r="G687" i="5" s="1"/>
  <c r="B732" i="5"/>
  <c r="D732" i="5" s="1"/>
  <c r="D744" i="4"/>
  <c r="G744" i="5" s="1"/>
  <c r="D727" i="4"/>
  <c r="G727" i="5" s="1"/>
  <c r="B715" i="5"/>
  <c r="D715" i="5" s="1"/>
  <c r="C715" i="4"/>
  <c r="B657" i="5"/>
  <c r="D657" i="5" s="1"/>
  <c r="D669" i="4"/>
  <c r="G669" i="5" s="1"/>
  <c r="B683" i="5"/>
  <c r="D683" i="5" s="1"/>
  <c r="C683" i="4"/>
  <c r="B713" i="5"/>
  <c r="D713" i="5" s="1"/>
  <c r="D725" i="4"/>
  <c r="G725" i="5" s="1"/>
  <c r="C713" i="4"/>
  <c r="B717" i="5"/>
  <c r="D717" i="5" s="1"/>
  <c r="D729" i="4"/>
  <c r="G729" i="5" s="1"/>
  <c r="B738" i="5"/>
  <c r="D738" i="5" s="1"/>
  <c r="D750" i="4"/>
  <c r="G750" i="5" s="1"/>
  <c r="C738" i="4"/>
  <c r="D746" i="4"/>
  <c r="G746" i="5" s="1"/>
  <c r="B767" i="5"/>
  <c r="D767" i="5" s="1"/>
  <c r="C767" i="4"/>
  <c r="F723" i="5"/>
  <c r="F711" i="5"/>
  <c r="B568" i="5"/>
  <c r="D568" i="5" s="1"/>
  <c r="C568" i="4"/>
  <c r="B607" i="5"/>
  <c r="D607" i="5" s="1"/>
  <c r="D619" i="4"/>
  <c r="G619" i="5" s="1"/>
  <c r="B625" i="5"/>
  <c r="D625" i="5" s="1"/>
  <c r="D637" i="4"/>
  <c r="G637" i="5" s="1"/>
  <c r="B643" i="5"/>
  <c r="D643" i="5" s="1"/>
  <c r="D655" i="4"/>
  <c r="G655" i="5" s="1"/>
  <c r="C657" i="4"/>
  <c r="B661" i="5"/>
  <c r="D661" i="5" s="1"/>
  <c r="D673" i="4"/>
  <c r="G673" i="5" s="1"/>
  <c r="B672" i="5"/>
  <c r="D672" i="5" s="1"/>
  <c r="D684" i="4"/>
  <c r="G684" i="5" s="1"/>
  <c r="C672" i="4"/>
  <c r="B687" i="5"/>
  <c r="D687" i="5" s="1"/>
  <c r="D699" i="4"/>
  <c r="G699" i="5" s="1"/>
  <c r="B691" i="5"/>
  <c r="D691" i="5" s="1"/>
  <c r="D703" i="4"/>
  <c r="G703" i="5" s="1"/>
  <c r="C698" i="4"/>
  <c r="B702" i="5"/>
  <c r="D702" i="5" s="1"/>
  <c r="D714" i="4"/>
  <c r="G714" i="5" s="1"/>
  <c r="C717" i="4"/>
  <c r="C734" i="4"/>
  <c r="D767" i="4"/>
  <c r="G767" i="5" s="1"/>
  <c r="B706" i="5"/>
  <c r="D706" i="5" s="1"/>
  <c r="D718" i="4"/>
  <c r="G718" i="5" s="1"/>
  <c r="B710" i="5"/>
  <c r="D710" i="5" s="1"/>
  <c r="D722" i="4"/>
  <c r="G722" i="5" s="1"/>
  <c r="D734" i="4"/>
  <c r="G734" i="5" s="1"/>
  <c r="B739" i="5"/>
  <c r="D739" i="5" s="1"/>
  <c r="D751" i="4"/>
  <c r="G751" i="5" s="1"/>
  <c r="B751" i="5"/>
  <c r="D751" i="5" s="1"/>
  <c r="D763" i="4"/>
  <c r="G763" i="5" s="1"/>
  <c r="C751" i="4"/>
  <c r="D755" i="4"/>
  <c r="G755" i="5" s="1"/>
  <c r="B622" i="5"/>
  <c r="D622" i="5" s="1"/>
  <c r="D634" i="4"/>
  <c r="G634" i="5" s="1"/>
  <c r="D652" i="4"/>
  <c r="G652" i="5" s="1"/>
  <c r="B640" i="5"/>
  <c r="D640" i="5" s="1"/>
  <c r="D681" i="4"/>
  <c r="G681" i="5" s="1"/>
  <c r="B673" i="5"/>
  <c r="D673" i="5" s="1"/>
  <c r="D685" i="4"/>
  <c r="G685" i="5" s="1"/>
  <c r="B684" i="5"/>
  <c r="D684" i="5" s="1"/>
  <c r="D696" i="4"/>
  <c r="G696" i="5" s="1"/>
  <c r="C695" i="4"/>
  <c r="C706" i="4"/>
  <c r="C710" i="4"/>
  <c r="B714" i="5"/>
  <c r="D714" i="5" s="1"/>
  <c r="D726" i="4"/>
  <c r="G726" i="5" s="1"/>
  <c r="B718" i="5"/>
  <c r="D718" i="5" s="1"/>
  <c r="D730" i="4"/>
  <c r="G730" i="5" s="1"/>
  <c r="C718" i="4"/>
  <c r="B727" i="5"/>
  <c r="D727" i="5" s="1"/>
  <c r="D739" i="4"/>
  <c r="G739" i="5" s="1"/>
  <c r="C739" i="4"/>
  <c r="C743" i="4"/>
  <c r="C764" i="4"/>
  <c r="B768" i="5"/>
  <c r="D768" i="5" s="1"/>
  <c r="C769" i="4"/>
  <c r="B633" i="5"/>
  <c r="D633" i="5" s="1"/>
  <c r="D645" i="4"/>
  <c r="G645" i="5" s="1"/>
  <c r="D663" i="4"/>
  <c r="G663" i="5" s="1"/>
  <c r="B651" i="5"/>
  <c r="D651" i="5" s="1"/>
  <c r="C658" i="4"/>
  <c r="B688" i="5"/>
  <c r="D688" i="5" s="1"/>
  <c r="D700" i="4"/>
  <c r="G700" i="5" s="1"/>
  <c r="D695" i="4"/>
  <c r="G695" i="5" s="1"/>
  <c r="B699" i="5"/>
  <c r="D699" i="5" s="1"/>
  <c r="D711" i="4"/>
  <c r="G711" i="5" s="1"/>
  <c r="B703" i="5"/>
  <c r="D703" i="5" s="1"/>
  <c r="D715" i="4"/>
  <c r="G715" i="5" s="1"/>
  <c r="D710" i="4"/>
  <c r="G710" i="5" s="1"/>
  <c r="C714" i="4"/>
  <c r="B723" i="5"/>
  <c r="D723" i="5" s="1"/>
  <c r="D735" i="4"/>
  <c r="G735" i="5" s="1"/>
  <c r="B731" i="5"/>
  <c r="D731" i="5" s="1"/>
  <c r="D743" i="4"/>
  <c r="G743" i="5" s="1"/>
  <c r="C731" i="4"/>
  <c r="B735" i="5"/>
  <c r="D735" i="5" s="1"/>
  <c r="D747" i="4"/>
  <c r="G747" i="5" s="1"/>
  <c r="B756" i="5"/>
  <c r="D756" i="5" s="1"/>
  <c r="D768" i="4"/>
  <c r="G768" i="5" s="1"/>
  <c r="C756" i="4"/>
  <c r="D764" i="4"/>
  <c r="G764" i="5" s="1"/>
  <c r="C768" i="4"/>
  <c r="B724" i="5"/>
  <c r="D724" i="5" s="1"/>
  <c r="D736" i="4"/>
  <c r="G736" i="5" s="1"/>
  <c r="B742" i="5"/>
  <c r="D742" i="5" s="1"/>
  <c r="D754" i="4"/>
  <c r="G754" i="5" s="1"/>
  <c r="B729" i="5"/>
  <c r="D729" i="5" s="1"/>
  <c r="D741" i="4"/>
  <c r="G741" i="5" s="1"/>
  <c r="B747" i="5"/>
  <c r="D747" i="5" s="1"/>
  <c r="D759" i="4"/>
  <c r="G759" i="5" s="1"/>
  <c r="B708" i="5"/>
  <c r="D708" i="5" s="1"/>
  <c r="D720" i="4"/>
  <c r="G720" i="5" s="1"/>
  <c r="B726" i="5"/>
  <c r="D726" i="5" s="1"/>
  <c r="D738" i="4"/>
  <c r="G738" i="5" s="1"/>
  <c r="B744" i="5"/>
  <c r="D744" i="5" s="1"/>
  <c r="D756" i="4"/>
  <c r="G756" i="5" s="1"/>
  <c r="E711" i="5"/>
  <c r="B762" i="5"/>
  <c r="D762" i="5" s="1"/>
  <c r="B658" i="5"/>
  <c r="D658" i="5" s="1"/>
  <c r="D670" i="4"/>
  <c r="G670" i="5" s="1"/>
  <c r="B676" i="5"/>
  <c r="D676" i="5" s="1"/>
  <c r="D688" i="4"/>
  <c r="G688" i="5" s="1"/>
  <c r="B694" i="5"/>
  <c r="D694" i="5" s="1"/>
  <c r="D706" i="4"/>
  <c r="G706" i="5" s="1"/>
  <c r="C708" i="4"/>
  <c r="B712" i="5"/>
  <c r="D712" i="5" s="1"/>
  <c r="D724" i="4"/>
  <c r="G724" i="5" s="1"/>
  <c r="C719" i="4"/>
  <c r="C726" i="4"/>
  <c r="B730" i="5"/>
  <c r="D730" i="5" s="1"/>
  <c r="D742" i="4"/>
  <c r="G742" i="5" s="1"/>
  <c r="C737" i="4"/>
  <c r="C744" i="4"/>
  <c r="B748" i="5"/>
  <c r="D748" i="5" s="1"/>
  <c r="D760" i="4"/>
  <c r="G760" i="5" s="1"/>
  <c r="C755" i="4"/>
  <c r="F739" i="5"/>
  <c r="F727" i="5"/>
  <c r="D615" i="4"/>
  <c r="G615" i="5" s="1"/>
  <c r="E705" i="5"/>
  <c r="E631" i="5"/>
  <c r="E619" i="5"/>
  <c r="E607" i="5"/>
  <c r="E595" i="5"/>
  <c r="E770" i="5"/>
  <c r="E768" i="5"/>
  <c r="E766" i="5"/>
  <c r="E764" i="5"/>
  <c r="E762" i="5"/>
  <c r="E760" i="5"/>
  <c r="E758" i="5"/>
  <c r="E756" i="5"/>
  <c r="E754" i="5"/>
  <c r="E752" i="5"/>
  <c r="E750" i="5"/>
  <c r="E748" i="5"/>
  <c r="E746" i="5"/>
  <c r="E744" i="5"/>
  <c r="E742" i="5"/>
  <c r="E740" i="5"/>
  <c r="E738" i="5"/>
  <c r="E736" i="5"/>
  <c r="E734" i="5"/>
  <c r="E732" i="5"/>
  <c r="E730" i="5"/>
  <c r="E728" i="5"/>
  <c r="E726" i="5"/>
  <c r="E724" i="5"/>
  <c r="E722" i="5"/>
  <c r="E720" i="5"/>
  <c r="E718" i="5"/>
  <c r="E716" i="5"/>
  <c r="E714" i="5"/>
  <c r="E712" i="5"/>
  <c r="E710" i="5"/>
  <c r="E708" i="5"/>
  <c r="E706" i="5"/>
  <c r="E704" i="5"/>
  <c r="E702" i="5"/>
  <c r="E700" i="5"/>
  <c r="E698" i="5"/>
  <c r="E696" i="5"/>
  <c r="E694" i="5"/>
  <c r="E692" i="5"/>
  <c r="E690" i="5"/>
  <c r="E688" i="5"/>
  <c r="E686" i="5"/>
  <c r="E684" i="5"/>
  <c r="E682" i="5"/>
  <c r="E680" i="5"/>
  <c r="E678" i="5"/>
  <c r="E676" i="5"/>
  <c r="E674" i="5"/>
  <c r="E672" i="5"/>
  <c r="E670" i="5"/>
  <c r="E668" i="5"/>
  <c r="E666" i="5"/>
  <c r="E664" i="5"/>
  <c r="E662" i="5"/>
  <c r="E660" i="5"/>
  <c r="E658" i="5"/>
  <c r="E656" i="5"/>
  <c r="E654" i="5"/>
  <c r="E652" i="5"/>
  <c r="E650" i="5"/>
  <c r="E648" i="5"/>
  <c r="E646" i="5"/>
  <c r="E644" i="5"/>
  <c r="E642" i="5"/>
  <c r="E640" i="5"/>
  <c r="E638" i="5"/>
  <c r="E626" i="5"/>
  <c r="E614" i="5"/>
  <c r="E602" i="5"/>
  <c r="E590" i="5"/>
  <c r="E633" i="5"/>
  <c r="E621" i="5"/>
  <c r="E609" i="5"/>
  <c r="E597" i="5"/>
  <c r="E585" i="5"/>
  <c r="E629" i="5"/>
  <c r="E617" i="5"/>
  <c r="E605" i="5"/>
  <c r="E593" i="5"/>
  <c r="E587" i="5"/>
  <c r="E577" i="5"/>
  <c r="E565" i="5"/>
  <c r="E767" i="5"/>
  <c r="E761" i="5"/>
  <c r="E755" i="5"/>
  <c r="E747" i="5"/>
  <c r="E739" i="5"/>
  <c r="E731" i="5"/>
  <c r="E723" i="5"/>
  <c r="E715" i="5"/>
  <c r="E707" i="5"/>
  <c r="E699" i="5"/>
  <c r="E691" i="5"/>
  <c r="E683" i="5"/>
  <c r="E675" i="5"/>
  <c r="E667" i="5"/>
  <c r="E659" i="5"/>
  <c r="E651" i="5"/>
  <c r="E643" i="5"/>
  <c r="E584" i="5"/>
  <c r="E572" i="5"/>
  <c r="E560" i="5"/>
  <c r="E548" i="5"/>
  <c r="E536" i="5"/>
  <c r="E524" i="5"/>
  <c r="E512" i="5"/>
  <c r="E637" i="5"/>
  <c r="E628" i="5"/>
  <c r="E625" i="5"/>
  <c r="E713" i="5"/>
  <c r="E685" i="5"/>
  <c r="E679" i="5"/>
  <c r="E578" i="5"/>
  <c r="E564" i="5"/>
  <c r="E556" i="5"/>
  <c r="E535" i="5"/>
  <c r="E530" i="5"/>
  <c r="E492" i="5"/>
  <c r="E480" i="5"/>
  <c r="E468" i="5"/>
  <c r="E456" i="5"/>
  <c r="E444" i="5"/>
  <c r="E751" i="5"/>
  <c r="E725" i="5"/>
  <c r="E719" i="5"/>
  <c r="E657" i="5"/>
  <c r="E635" i="5"/>
  <c r="E624" i="5"/>
  <c r="E613" i="5"/>
  <c r="E610" i="5"/>
  <c r="E600" i="5"/>
  <c r="E575" i="5"/>
  <c r="E553" i="5"/>
  <c r="E540" i="5"/>
  <c r="E522" i="5"/>
  <c r="E517" i="5"/>
  <c r="E504" i="5"/>
  <c r="E499" i="5"/>
  <c r="E487" i="5"/>
  <c r="E475" i="5"/>
  <c r="E463" i="5"/>
  <c r="E451" i="5"/>
  <c r="E439" i="5"/>
  <c r="E769" i="5"/>
  <c r="E757" i="5"/>
  <c r="E729" i="5"/>
  <c r="E627" i="5"/>
  <c r="E588" i="5"/>
  <c r="E581" i="5"/>
  <c r="E562" i="5"/>
  <c r="E765" i="5"/>
  <c r="E741" i="5"/>
  <c r="E737" i="5"/>
  <c r="E733" i="5"/>
  <c r="E671" i="5"/>
  <c r="E639" i="5"/>
  <c r="E618" i="5"/>
  <c r="E574" i="5"/>
  <c r="E571" i="5"/>
  <c r="E555" i="5"/>
  <c r="E552" i="5"/>
  <c r="E520" i="5"/>
  <c r="E511" i="5"/>
  <c r="E491" i="5"/>
  <c r="E483" i="5"/>
  <c r="E469" i="5"/>
  <c r="E455" i="5"/>
  <c r="E447" i="5"/>
  <c r="E436" i="5"/>
  <c r="E424" i="5"/>
  <c r="E412" i="5"/>
  <c r="E400" i="5"/>
  <c r="E388" i="5"/>
  <c r="E376" i="5"/>
  <c r="E749" i="5"/>
  <c r="E745" i="5"/>
  <c r="E681" i="5"/>
  <c r="E649" i="5"/>
  <c r="E622" i="5"/>
  <c r="E606" i="5"/>
  <c r="E591" i="5"/>
  <c r="E568" i="5"/>
  <c r="E549" i="5"/>
  <c r="E508" i="5"/>
  <c r="E502" i="5"/>
  <c r="E477" i="5"/>
  <c r="E466" i="5"/>
  <c r="E441" i="5"/>
  <c r="E431" i="5"/>
  <c r="E419" i="5"/>
  <c r="E407" i="5"/>
  <c r="E759" i="5"/>
  <c r="E703" i="5"/>
  <c r="E677" i="5"/>
  <c r="E663" i="5"/>
  <c r="E634" i="5"/>
  <c r="E630" i="5"/>
  <c r="E598" i="5"/>
  <c r="E583" i="5"/>
  <c r="E561" i="5"/>
  <c r="E558" i="5"/>
  <c r="E546" i="5"/>
  <c r="E543" i="5"/>
  <c r="E537" i="5"/>
  <c r="E534" i="5"/>
  <c r="E505" i="5"/>
  <c r="E488" i="5"/>
  <c r="E474" i="5"/>
  <c r="E452" i="5"/>
  <c r="E438" i="5"/>
  <c r="E426" i="5"/>
  <c r="E414" i="5"/>
  <c r="E402" i="5"/>
  <c r="E390" i="5"/>
  <c r="E735" i="5"/>
  <c r="E689" i="5"/>
  <c r="E661" i="5"/>
  <c r="E647" i="5"/>
  <c r="E616" i="5"/>
  <c r="E612" i="5"/>
  <c r="E592" i="5"/>
  <c r="E570" i="5"/>
  <c r="E557" i="5"/>
  <c r="E538" i="5"/>
  <c r="E516" i="5"/>
  <c r="E498" i="5"/>
  <c r="E495" i="5"/>
  <c r="E478" i="5"/>
  <c r="E464" i="5"/>
  <c r="E457" i="5"/>
  <c r="E440" i="5"/>
  <c r="E389" i="5"/>
  <c r="E381" i="5"/>
  <c r="E378" i="5"/>
  <c r="E373" i="5"/>
  <c r="E368" i="5"/>
  <c r="E356" i="5"/>
  <c r="E344" i="5"/>
  <c r="E332" i="5"/>
  <c r="E320" i="5"/>
  <c r="E308" i="5"/>
  <c r="E296" i="5"/>
  <c r="E284" i="5"/>
  <c r="E272" i="5"/>
  <c r="E260" i="5"/>
  <c r="E248" i="5"/>
  <c r="E236" i="5"/>
  <c r="E224" i="5"/>
  <c r="E212" i="5"/>
  <c r="E200" i="5"/>
  <c r="E188" i="5"/>
  <c r="E176" i="5"/>
  <c r="E164" i="5"/>
  <c r="E152" i="5"/>
  <c r="E140" i="5"/>
  <c r="E128" i="5"/>
  <c r="E116" i="5"/>
  <c r="E104" i="5"/>
  <c r="E92" i="5"/>
  <c r="E763" i="5"/>
  <c r="E693" i="5"/>
  <c r="E582" i="5"/>
  <c r="E509" i="5"/>
  <c r="E501" i="5"/>
  <c r="E481" i="5"/>
  <c r="E467" i="5"/>
  <c r="E460" i="5"/>
  <c r="E450" i="5"/>
  <c r="E443" i="5"/>
  <c r="E363" i="5"/>
  <c r="E351" i="5"/>
  <c r="E339" i="5"/>
  <c r="E327" i="5"/>
  <c r="E315" i="5"/>
  <c r="E303" i="5"/>
  <c r="E291" i="5"/>
  <c r="E279" i="5"/>
  <c r="E267" i="5"/>
  <c r="E255" i="5"/>
  <c r="E243" i="5"/>
  <c r="E231" i="5"/>
  <c r="E219" i="5"/>
  <c r="E207" i="5"/>
  <c r="E195" i="5"/>
  <c r="E183" i="5"/>
  <c r="E171" i="5"/>
  <c r="E159" i="5"/>
  <c r="E147" i="5"/>
  <c r="E135" i="5"/>
  <c r="E123" i="5"/>
  <c r="E111" i="5"/>
  <c r="E99" i="5"/>
  <c r="E87" i="5"/>
  <c r="E75" i="5"/>
  <c r="E63" i="5"/>
  <c r="E51" i="5"/>
  <c r="E697" i="5"/>
  <c r="E665" i="5"/>
  <c r="E601" i="5"/>
  <c r="E586" i="5"/>
  <c r="E523" i="5"/>
  <c r="E519" i="5"/>
  <c r="E484" i="5"/>
  <c r="E470" i="5"/>
  <c r="E446" i="5"/>
  <c r="E433" i="5"/>
  <c r="E430" i="5"/>
  <c r="E421" i="5"/>
  <c r="E418" i="5"/>
  <c r="E409" i="5"/>
  <c r="E406" i="5"/>
  <c r="E397" i="5"/>
  <c r="E386" i="5"/>
  <c r="E375" i="5"/>
  <c r="E370" i="5"/>
  <c r="E358" i="5"/>
  <c r="E346" i="5"/>
  <c r="E334" i="5"/>
  <c r="E322" i="5"/>
  <c r="E310" i="5"/>
  <c r="E298" i="5"/>
  <c r="E286" i="5"/>
  <c r="E274" i="5"/>
  <c r="E262" i="5"/>
  <c r="E250" i="5"/>
  <c r="E238" i="5"/>
  <c r="E226" i="5"/>
  <c r="E214" i="5"/>
  <c r="E202" i="5"/>
  <c r="E190" i="5"/>
  <c r="E178" i="5"/>
  <c r="E166" i="5"/>
  <c r="E154" i="5"/>
  <c r="E142" i="5"/>
  <c r="E130" i="5"/>
  <c r="E118" i="5"/>
  <c r="E106" i="5"/>
  <c r="E94" i="5"/>
  <c r="E82" i="5"/>
  <c r="E70" i="5"/>
  <c r="E513" i="5"/>
  <c r="E539" i="5"/>
  <c r="E567" i="5"/>
  <c r="E594" i="5"/>
  <c r="F675" i="5"/>
  <c r="F663" i="5"/>
  <c r="F669" i="5"/>
  <c r="F681" i="5"/>
  <c r="E573" i="5"/>
  <c r="E632" i="5"/>
  <c r="E669" i="5"/>
  <c r="E709" i="5"/>
  <c r="E434" i="5"/>
  <c r="E510" i="5"/>
  <c r="E514" i="5"/>
  <c r="E527" i="5"/>
  <c r="E554" i="5"/>
  <c r="E559" i="5"/>
  <c r="E589" i="5"/>
  <c r="E608" i="5"/>
  <c r="F755" i="5"/>
  <c r="F743" i="5"/>
  <c r="E442" i="5"/>
  <c r="E459" i="5"/>
  <c r="E489" i="5"/>
  <c r="E497" i="5"/>
  <c r="E506" i="5"/>
  <c r="E532" i="5"/>
  <c r="E569" i="5"/>
  <c r="E579" i="5"/>
  <c r="E596" i="5"/>
  <c r="F717" i="5"/>
  <c r="F729" i="5"/>
  <c r="F751" i="5"/>
  <c r="F763" i="5"/>
  <c r="F768" i="5"/>
  <c r="F731" i="5"/>
  <c r="F719" i="5"/>
  <c r="F679" i="5"/>
  <c r="F715" i="5"/>
  <c r="F703" i="5"/>
  <c r="F709" i="5"/>
  <c r="F721" i="5"/>
  <c r="F733" i="5"/>
  <c r="F745" i="5"/>
  <c r="F685" i="5"/>
  <c r="F697" i="5"/>
  <c r="F737" i="5"/>
  <c r="F761" i="5"/>
  <c r="F749" i="5"/>
  <c r="F760" i="5"/>
  <c r="F652" i="5"/>
  <c r="F660" i="5"/>
  <c r="F668" i="5"/>
  <c r="F676" i="5"/>
  <c r="F684" i="5"/>
  <c r="F692" i="5"/>
  <c r="F700" i="5"/>
  <c r="F708" i="5"/>
  <c r="F716" i="5"/>
  <c r="F724" i="5"/>
  <c r="F732" i="5"/>
  <c r="F740" i="5"/>
  <c r="F748" i="5"/>
  <c r="F756" i="5"/>
  <c r="F644" i="5"/>
  <c r="F650" i="5"/>
  <c r="F658" i="5"/>
  <c r="F666" i="5"/>
  <c r="F674" i="5"/>
  <c r="F682" i="5"/>
  <c r="F690" i="5"/>
  <c r="F698" i="5"/>
  <c r="F706" i="5"/>
  <c r="F714" i="5"/>
  <c r="F722" i="5"/>
  <c r="F730" i="5"/>
  <c r="F738" i="5"/>
  <c r="F746" i="5"/>
  <c r="F754" i="5"/>
  <c r="F762" i="5"/>
</calcChain>
</file>

<file path=xl/sharedStrings.xml><?xml version="1.0" encoding="utf-8"?>
<sst xmlns="http://schemas.openxmlformats.org/spreadsheetml/2006/main" count="54" uniqueCount="40">
  <si>
    <t>Personal Consumption Expenditures - PCE</t>
  </si>
  <si>
    <t>Definition</t>
  </si>
  <si>
    <t>The PCE price index, released each month in the Personal Income and Outlays report, reflects changes in the prices of goods and services purchased by consumers in the United States. Quarterly and annual data are included in the GDP release.</t>
  </si>
  <si>
    <t>https://www.bea.gov/data/personal-consumption-expenditures-price-index</t>
  </si>
  <si>
    <t>Process / TO DO LIST</t>
  </si>
  <si>
    <t>Summary</t>
  </si>
  <si>
    <t>TO DO LIST</t>
  </si>
  <si>
    <t>Comments</t>
  </si>
  <si>
    <t>* To modify</t>
  </si>
  <si>
    <t>Database</t>
  </si>
  <si>
    <t>Create data on Fred</t>
  </si>
  <si>
    <t>mom</t>
  </si>
  <si>
    <t>yoy</t>
  </si>
  <si>
    <t>https://research.stlouisfed.org/useraccount/datalists</t>
  </si>
  <si>
    <t>PCE Deflator</t>
  </si>
  <si>
    <t>PCEPI</t>
  </si>
  <si>
    <t>Personal Consumption Expenditures: Chain-type Price Index (PCEPI)</t>
  </si>
  <si>
    <t>PCE Core</t>
  </si>
  <si>
    <t>PCEPILFE</t>
  </si>
  <si>
    <t>Personal Consumption Expenditures Excluding Food and Energy (Chain-Type Price Index)</t>
  </si>
  <si>
    <t>Fed Funds Target</t>
  </si>
  <si>
    <t>https://fred.stlouisfed.org/series/DFEDTARL</t>
  </si>
  <si>
    <t>https://fred.stlouisfed.org/series/DFEDTARU</t>
  </si>
  <si>
    <t>Fed Funds Rate</t>
  </si>
  <si>
    <t>https://fred.stlouisfed.org/series/FEDFUNDs</t>
  </si>
  <si>
    <t>DATE</t>
  </si>
  <si>
    <t>DFEDTARU</t>
  </si>
  <si>
    <t>CPILFESL</t>
  </si>
  <si>
    <t>Date</t>
  </si>
  <si>
    <t>Value</t>
  </si>
  <si>
    <t>PCE Core MoM</t>
  </si>
  <si>
    <t>PCE Core YoY</t>
  </si>
  <si>
    <t>Fed Target</t>
  </si>
  <si>
    <t>Fed Fund Target</t>
  </si>
  <si>
    <t>Core PCE</t>
  </si>
  <si>
    <t>Core CPI</t>
  </si>
  <si>
    <t>Core PCE base 2000</t>
  </si>
  <si>
    <t>Core CPI base 2000</t>
  </si>
  <si>
    <t>Core CPI yoy</t>
  </si>
  <si>
    <t>Core PCE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</si>
</sst>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
    <numFmt numFmtId="166" formatCode="mm/dd/yyyy"/>
    <numFmt numFmtId="167" formatCode="yyyy\-mm\-dd"/>
    <numFmt numFmtId="168" formatCode="0.000"/>
    <numFmt numFmtId="169" formatCode="dd\-mm\-yyyy"/>
  </numFmts>
  <fonts count="18" x14ac:knownFonts="1">
    <font>
      <sz val="11"/>
      <color theme="1"/>
      <name val="Calibri"/>
      <family val="2"/>
      <scheme val="minor"/>
    </font>
    <font>
      <sz val="8"/>
      <color theme="1"/>
      <name val="Calibri"/>
      <family val="2"/>
      <scheme val="minor"/>
    </font>
    <font>
      <u/>
      <sz val="11"/>
      <color theme="10"/>
      <name val="Calibri"/>
      <family val="2"/>
      <scheme val="minor"/>
    </font>
    <font>
      <sz val="10"/>
      <color rgb="FF333333"/>
      <name val="Verdana"/>
      <family val="2"/>
    </font>
    <font>
      <sz val="8"/>
      <color theme="1"/>
      <name val="Calibri"/>
      <family val="2"/>
      <scheme val="minor"/>
    </font>
    <font>
      <sz val="10"/>
      <name val="Arial"/>
      <family val="2"/>
    </font>
    <font>
      <sz val="11"/>
      <color theme="1"/>
      <name val="Calibri"/>
      <family val="2"/>
      <scheme val="minor"/>
    </font>
    <font>
      <sz val="10"/>
      <color theme="0"/>
      <name val="Calibri"/>
      <family val="2"/>
      <scheme val="minor"/>
    </font>
    <font>
      <b/>
      <sz val="10"/>
      <color theme="0"/>
      <name val="Calibri"/>
      <family val="2"/>
      <scheme val="minor"/>
    </font>
    <font>
      <sz val="10"/>
      <color theme="1"/>
      <name val="Calibri"/>
      <family val="2"/>
      <scheme val="minor"/>
    </font>
    <font>
      <sz val="10"/>
      <name val="Arial"/>
      <family val="2"/>
    </font>
    <font>
      <b/>
      <sz val="11"/>
      <color theme="1"/>
      <name val="Calibri"/>
      <family val="2"/>
      <scheme val="minor"/>
    </font>
    <font>
      <b/>
      <sz val="11"/>
      <color theme="0"/>
      <name val="Calibri"/>
      <family val="2"/>
      <scheme val="minor"/>
    </font>
    <font>
      <sz val="11"/>
      <color rgb="FF00B0F0"/>
      <name val="Calibri"/>
      <family val="2"/>
      <scheme val="minor"/>
    </font>
    <font>
      <b/>
      <sz val="11"/>
      <color rgb="FF00B0F0"/>
      <name val="Calibri"/>
      <family val="2"/>
      <scheme val="minor"/>
    </font>
    <font>
      <sz val="9"/>
      <color theme="1"/>
      <name val="Calibri"/>
      <family val="2"/>
      <scheme val="minor"/>
    </font>
    <font>
      <sz val="11"/>
      <name val="Calibri"/>
      <family val="2"/>
      <scheme val="minor"/>
    </font>
    <font>
      <sz val="11"/>
      <color rgb="FF333333"/>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2"/>
      </patternFill>
    </fill>
    <fill>
      <patternFill patternType="solid">
        <fgColor theme="4" tint="0.79998168889431442"/>
        <bgColor indexed="64"/>
      </patternFill>
    </fill>
  </fills>
  <borders count="2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8">
    <xf numFmtId="0" fontId="0"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4">
    <xf numFmtId="0" fontId="0" fillId="0" borderId="0" xfId="0"/>
    <xf numFmtId="10" fontId="1" fillId="0" borderId="0" xfId="0" applyNumberFormat="1" applyFont="1" applyAlignment="1">
      <alignment horizontal="center" vertical="center"/>
    </xf>
    <xf numFmtId="2" fontId="1" fillId="0" borderId="0" xfId="0" applyNumberFormat="1" applyFont="1" applyAlignment="1">
      <alignment horizontal="center" vertical="center"/>
    </xf>
    <xf numFmtId="0" fontId="1" fillId="0" borderId="0" xfId="0" applyFont="1" applyAlignment="1">
      <alignment horizontal="center" vertical="center"/>
    </xf>
    <xf numFmtId="10"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1" fillId="2" borderId="0" xfId="0" applyFont="1" applyFill="1" applyAlignment="1">
      <alignment horizontal="center" vertical="center"/>
    </xf>
    <xf numFmtId="10" fontId="1" fillId="2" borderId="4" xfId="0" applyNumberFormat="1" applyFont="1" applyFill="1" applyBorder="1" applyAlignment="1">
      <alignment horizontal="center"/>
    </xf>
    <xf numFmtId="10" fontId="1" fillId="2" borderId="4" xfId="0" applyNumberFormat="1" applyFont="1" applyFill="1" applyBorder="1" applyAlignment="1">
      <alignment horizontal="center" vertical="center"/>
    </xf>
    <xf numFmtId="10" fontId="4" fillId="2" borderId="4" xfId="0" applyNumberFormat="1" applyFont="1" applyFill="1" applyBorder="1" applyAlignment="1">
      <alignment horizontal="center" vertical="center"/>
    </xf>
    <xf numFmtId="0" fontId="3" fillId="2" borderId="0" xfId="0" applyFont="1" applyFill="1" applyAlignment="1">
      <alignment horizontal="left"/>
    </xf>
    <xf numFmtId="2" fontId="0" fillId="2" borderId="0" xfId="0" applyNumberFormat="1" applyFill="1"/>
    <xf numFmtId="0" fontId="0" fillId="2" borderId="0" xfId="0" applyFill="1" applyAlignment="1">
      <alignment horizontal="center"/>
    </xf>
    <xf numFmtId="0" fontId="0" fillId="0" borderId="0" xfId="0" applyAlignment="1">
      <alignment horizontal="center"/>
    </xf>
    <xf numFmtId="0" fontId="3" fillId="2" borderId="0" xfId="0" applyFont="1" applyFill="1"/>
    <xf numFmtId="0" fontId="0" fillId="2" borderId="4" xfId="0" applyFill="1" applyBorder="1" applyAlignment="1">
      <alignment horizontal="center"/>
    </xf>
    <xf numFmtId="9" fontId="0" fillId="2" borderId="4" xfId="6" applyFont="1" applyFill="1" applyBorder="1" applyAlignment="1">
      <alignment horizontal="center"/>
    </xf>
    <xf numFmtId="10" fontId="0" fillId="2" borderId="0" xfId="6" applyNumberFormat="1" applyFont="1" applyFill="1"/>
    <xf numFmtId="0" fontId="7" fillId="3" borderId="5" xfId="0" applyFont="1" applyFill="1" applyBorder="1" applyAlignment="1">
      <alignment horizontal="center" vertical="center" wrapText="1"/>
    </xf>
    <xf numFmtId="10" fontId="7" fillId="3" borderId="6" xfId="0" applyNumberFormat="1" applyFont="1" applyFill="1" applyBorder="1" applyAlignment="1">
      <alignment horizontal="center" vertical="center" wrapText="1"/>
    </xf>
    <xf numFmtId="2" fontId="7" fillId="3" borderId="6" xfId="0" applyNumberFormat="1" applyFont="1" applyFill="1" applyBorder="1" applyAlignment="1">
      <alignment horizontal="center" vertical="center" wrapText="1"/>
    </xf>
    <xf numFmtId="0" fontId="7" fillId="3" borderId="6"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9" fillId="3" borderId="5" xfId="0" applyFont="1" applyFill="1" applyBorder="1" applyAlignment="1">
      <alignment horizontal="center" vertical="center"/>
    </xf>
    <xf numFmtId="10" fontId="9" fillId="3" borderId="6" xfId="0" applyNumberFormat="1" applyFont="1" applyFill="1" applyBorder="1" applyAlignment="1">
      <alignment horizontal="center" vertical="center"/>
    </xf>
    <xf numFmtId="2" fontId="9" fillId="3" borderId="7" xfId="0" applyNumberFormat="1" applyFont="1" applyFill="1" applyBorder="1" applyAlignment="1">
      <alignment horizontal="center" vertical="center"/>
    </xf>
    <xf numFmtId="2" fontId="0" fillId="2" borderId="4" xfId="0" applyNumberFormat="1" applyFill="1" applyBorder="1" applyAlignment="1">
      <alignment horizontal="center"/>
    </xf>
    <xf numFmtId="10" fontId="0" fillId="2" borderId="4" xfId="6" applyNumberFormat="1" applyFont="1" applyFill="1" applyBorder="1" applyAlignment="1">
      <alignment horizontal="center"/>
    </xf>
    <xf numFmtId="2" fontId="0" fillId="2" borderId="8" xfId="0" applyNumberFormat="1" applyFill="1" applyBorder="1" applyAlignment="1">
      <alignment horizontal="center"/>
    </xf>
    <xf numFmtId="10" fontId="0" fillId="2" borderId="8" xfId="6" applyNumberFormat="1" applyFont="1" applyFill="1" applyBorder="1" applyAlignment="1">
      <alignment horizontal="center"/>
    </xf>
    <xf numFmtId="0" fontId="8" fillId="4" borderId="1"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8" fillId="4" borderId="3" xfId="0" applyFont="1" applyFill="1" applyBorder="1" applyAlignment="1">
      <alignment horizontal="center" vertical="center" wrapText="1"/>
    </xf>
    <xf numFmtId="10" fontId="0" fillId="2" borderId="0" xfId="0" applyNumberFormat="1" applyFill="1"/>
    <xf numFmtId="0" fontId="0" fillId="0" borderId="0" xfId="0"/>
    <xf numFmtId="0" fontId="0" fillId="2" borderId="0" xfId="0" applyFill="1" applyAlignment="1">
      <alignment vertical="center"/>
    </xf>
    <xf numFmtId="0" fontId="13" fillId="2" borderId="0" xfId="0" applyFont="1" applyFill="1"/>
    <xf numFmtId="14" fontId="14" fillId="2" borderId="12" xfId="0" applyNumberFormat="1" applyFont="1" applyFill="1" applyBorder="1" applyAlignment="1">
      <alignment horizontal="center"/>
    </xf>
    <xf numFmtId="14" fontId="11" fillId="2" borderId="12" xfId="0" applyNumberFormat="1" applyFont="1" applyFill="1" applyBorder="1" applyAlignment="1">
      <alignment horizontal="center"/>
    </xf>
    <xf numFmtId="0" fontId="11" fillId="2" borderId="13" xfId="0" applyFont="1" applyFill="1" applyBorder="1" applyAlignment="1">
      <alignment horizontal="center"/>
    </xf>
    <xf numFmtId="0" fontId="15" fillId="2" borderId="17" xfId="0" applyFont="1" applyFill="1" applyBorder="1" applyAlignment="1">
      <alignment horizontal="center"/>
    </xf>
    <xf numFmtId="0" fontId="16" fillId="2" borderId="0" xfId="3" applyFont="1" applyFill="1"/>
    <xf numFmtId="0" fontId="15" fillId="2" borderId="21" xfId="0" applyFont="1" applyFill="1" applyBorder="1" applyAlignment="1">
      <alignment horizontal="center"/>
    </xf>
    <xf numFmtId="0" fontId="11" fillId="2" borderId="0" xfId="0" applyFont="1" applyFill="1"/>
    <xf numFmtId="0" fontId="0" fillId="0" borderId="0" xfId="0" applyAlignment="1">
      <alignment vertical="center"/>
    </xf>
    <xf numFmtId="14" fontId="11" fillId="2" borderId="22" xfId="0" applyNumberFormat="1" applyFont="1" applyFill="1" applyBorder="1" applyAlignment="1">
      <alignment horizontal="center"/>
    </xf>
    <xf numFmtId="0" fontId="10" fillId="2" borderId="0" xfId="2" applyFill="1"/>
    <xf numFmtId="164" fontId="0" fillId="2" borderId="15" xfId="6" applyNumberFormat="1" applyFont="1" applyFill="1" applyBorder="1" applyAlignment="1">
      <alignment horizontal="center"/>
    </xf>
    <xf numFmtId="164" fontId="0" fillId="2" borderId="16" xfId="6" applyNumberFormat="1" applyFont="1" applyFill="1" applyBorder="1" applyAlignment="1">
      <alignment horizontal="center"/>
    </xf>
    <xf numFmtId="164" fontId="0" fillId="2" borderId="19" xfId="6" applyNumberFormat="1" applyFont="1" applyFill="1" applyBorder="1" applyAlignment="1">
      <alignment horizontal="center"/>
    </xf>
    <xf numFmtId="164" fontId="0" fillId="2" borderId="20" xfId="6" applyNumberFormat="1" applyFont="1" applyFill="1" applyBorder="1" applyAlignment="1">
      <alignment horizontal="center"/>
    </xf>
    <xf numFmtId="165" fontId="1" fillId="0" borderId="0" xfId="0" applyNumberFormat="1" applyFont="1" applyAlignment="1">
      <alignment horizontal="center" vertical="center"/>
    </xf>
    <xf numFmtId="166" fontId="1" fillId="2" borderId="0" xfId="0" applyNumberFormat="1" applyFont="1" applyFill="1"/>
    <xf numFmtId="165" fontId="1" fillId="2" borderId="0" xfId="0" applyNumberFormat="1" applyFont="1" applyFill="1" applyAlignment="1">
      <alignment horizontal="center" vertical="center"/>
    </xf>
    <xf numFmtId="165" fontId="0" fillId="2" borderId="0" xfId="0" applyNumberFormat="1" applyFill="1" applyAlignment="1">
      <alignment horizontal="center"/>
    </xf>
    <xf numFmtId="165" fontId="0" fillId="2" borderId="0" xfId="0" applyNumberFormat="1" applyFill="1"/>
    <xf numFmtId="165" fontId="9" fillId="3" borderId="6" xfId="0" applyNumberFormat="1" applyFont="1" applyFill="1" applyBorder="1" applyAlignment="1">
      <alignment horizontal="center" vertical="center"/>
    </xf>
    <xf numFmtId="167" fontId="5" fillId="2" borderId="4" xfId="2" applyNumberFormat="1" applyFont="1" applyFill="1" applyBorder="1" applyAlignment="1">
      <alignment horizontal="center"/>
    </xf>
    <xf numFmtId="168" fontId="0" fillId="2" borderId="4" xfId="0" applyNumberFormat="1" applyFill="1" applyBorder="1" applyAlignment="1">
      <alignment horizontal="center"/>
    </xf>
    <xf numFmtId="165" fontId="7" fillId="3" borderId="6" xfId="0" applyNumberFormat="1" applyFont="1" applyFill="1" applyBorder="1" applyAlignment="1">
      <alignment horizontal="center" vertical="center" wrapText="1"/>
    </xf>
    <xf numFmtId="167" fontId="0" fillId="2" borderId="4" xfId="0" applyNumberFormat="1" applyFill="1" applyBorder="1" applyAlignment="1">
      <alignment horizontal="center"/>
    </xf>
    <xf numFmtId="167" fontId="0" fillId="5" borderId="8" xfId="0" applyNumberFormat="1" applyFill="1" applyBorder="1" applyAlignment="1">
      <alignment horizontal="center"/>
    </xf>
    <xf numFmtId="167" fontId="0" fillId="2" borderId="8" xfId="0" applyNumberFormat="1" applyFill="1" applyBorder="1" applyAlignment="1">
      <alignment horizontal="center"/>
    </xf>
    <xf numFmtId="167" fontId="0" fillId="5" borderId="4" xfId="0" applyNumberFormat="1" applyFill="1" applyBorder="1" applyAlignment="1">
      <alignment horizontal="center"/>
    </xf>
    <xf numFmtId="0" fontId="0" fillId="2" borderId="0" xfId="0" applyFill="1"/>
    <xf numFmtId="0" fontId="2" fillId="2" borderId="0" xfId="1" applyFill="1"/>
    <xf numFmtId="169" fontId="0" fillId="0" borderId="0" xfId="0" applyNumberFormat="1"/>
    <xf numFmtId="0" fontId="17" fillId="2" borderId="0" xfId="0" applyFont="1" applyFill="1" applyAlignment="1">
      <alignment wrapText="1"/>
    </xf>
    <xf numFmtId="0" fontId="0" fillId="2" borderId="0" xfId="0" applyFill="1"/>
    <xf numFmtId="0" fontId="0" fillId="2" borderId="0" xfId="0" applyFill="1" applyAlignment="1">
      <alignment wrapText="1"/>
    </xf>
    <xf numFmtId="0" fontId="11" fillId="2" borderId="18" xfId="0" applyFont="1" applyFill="1" applyBorder="1" applyAlignment="1">
      <alignment wrapText="1"/>
    </xf>
    <xf numFmtId="0" fontId="0" fillId="0" borderId="24" xfId="0" applyBorder="1"/>
    <xf numFmtId="0" fontId="2" fillId="2" borderId="0" xfId="1" applyFill="1"/>
    <xf numFmtId="0" fontId="11" fillId="6" borderId="4" xfId="0" applyFont="1" applyFill="1" applyBorder="1" applyAlignment="1">
      <alignment horizontal="center"/>
    </xf>
    <xf numFmtId="0" fontId="0" fillId="0" borderId="10" xfId="0" applyBorder="1"/>
    <xf numFmtId="0" fontId="0" fillId="0" borderId="11" xfId="0" applyBorder="1"/>
    <xf numFmtId="0" fontId="11" fillId="2" borderId="9" xfId="0" applyFont="1" applyFill="1" applyBorder="1" applyAlignment="1">
      <alignment horizontal="center" vertical="center"/>
    </xf>
    <xf numFmtId="0" fontId="0" fillId="0" borderId="9" xfId="0" applyBorder="1"/>
    <xf numFmtId="0" fontId="12" fillId="3" borderId="22" xfId="0" applyFont="1" applyFill="1" applyBorder="1" applyAlignment="1">
      <alignment horizontal="center"/>
    </xf>
    <xf numFmtId="0" fontId="0" fillId="0" borderId="2" xfId="0" applyBorder="1"/>
    <xf numFmtId="0" fontId="0" fillId="0" borderId="3" xfId="0" applyBorder="1"/>
    <xf numFmtId="0" fontId="0" fillId="2" borderId="0" xfId="0" applyFill="1" applyAlignment="1">
      <alignment vertical="center" wrapText="1"/>
    </xf>
    <xf numFmtId="0" fontId="11" fillId="2" borderId="14" xfId="0" applyFont="1" applyFill="1" applyBorder="1" applyAlignment="1">
      <alignment wrapText="1"/>
    </xf>
    <xf numFmtId="0" fontId="0" fillId="0" borderId="23" xfId="0" applyBorder="1"/>
  </cellXfs>
  <cellStyles count="8">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7" xr:uid="{00000000-0005-0000-0000-000007000000}"/>
    <cellStyle name="Percent" xfId="6" builtinId="5"/>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strike val="0"/>
        <condense val="0"/>
        <extend val="0"/>
        <outline val="0"/>
        <shadow val="0"/>
        <vertAlign val="baseline"/>
        <sz val="11"/>
        <color theme="1"/>
        <name val="Calibri"/>
        <family val="2"/>
        <scheme val="minor"/>
      </font>
      <fill>
        <patternFill>
          <bgColor theme="0"/>
        </patternFill>
      </fill>
      <alignment horizontal="center"/>
    </dxf>
    <dxf>
      <border>
        <bottom style="medium">
          <color indexed="64"/>
        </bottom>
      </border>
    </dxf>
    <dxf>
      <font>
        <b/>
        <strike val="0"/>
        <condense val="0"/>
        <extend val="0"/>
        <outline val="0"/>
        <shadow val="0"/>
        <vertAlign val="baseline"/>
        <sz val="10"/>
        <color theme="0"/>
        <name val="Calibri"/>
        <family val="2"/>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0"/>
        <name val="Calibri"/>
        <family val="2"/>
        <scheme val="minor"/>
      </font>
      <fill>
        <patternFill patternType="solid">
          <fgColor indexed="64"/>
          <bgColor rgb="FF00B050"/>
        </patternFill>
      </fill>
      <alignment horizontal="center" vertical="center" wrapText="1"/>
      <border outline="0">
        <left/>
        <right/>
        <top/>
        <bottom/>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1"/>
        <name val="Calibri"/>
        <family val="2"/>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2"/>
          <c:order val="0"/>
          <c:tx>
            <c:strRef>
              <c:f>'PCE Core'!$D$4</c:f>
              <c:strCache>
                <c:ptCount val="1"/>
                <c:pt idx="0">
                  <c:v>PCE Core YoY</c:v>
                </c:pt>
              </c:strCache>
            </c:strRef>
          </c:tx>
          <c:spPr>
            <a:ln w="28575" cap="rnd">
              <a:solidFill>
                <a:srgbClr val="00B050"/>
              </a:solidFill>
              <a:prstDash val="solid"/>
              <a:round/>
            </a:ln>
          </c:spPr>
          <c:marker>
            <c:symbol val="none"/>
          </c:marker>
          <c:cat>
            <c:numRef>
              <c:f>'PCE Core'!$A$497:$A$755</c:f>
              <c:numCache>
                <c:formatCode>yyyy\-mm\-dd</c:formatCode>
                <c:ptCount val="25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numCache>
            </c:numRef>
          </c:cat>
          <c:val>
            <c:numRef>
              <c:f>'PCE Core'!$D$497:$D$755</c:f>
              <c:numCache>
                <c:formatCode>0.00%</c:formatCode>
                <c:ptCount val="259"/>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1.9020189346412732E-2</c:v>
                </c:pt>
                <c:pt idx="205">
                  <c:v>1.9407985270810217E-2</c:v>
                </c:pt>
                <c:pt idx="206">
                  <c:v>1.7465717724434032E-2</c:v>
                </c:pt>
                <c:pt idx="207">
                  <c:v>1.7336887678898939E-2</c:v>
                </c:pt>
                <c:pt idx="208">
                  <c:v>1.6715747347755511E-2</c:v>
                </c:pt>
                <c:pt idx="209">
                  <c:v>1.6959378564627644E-2</c:v>
                </c:pt>
                <c:pt idx="210">
                  <c:v>1.5848367636955657E-2</c:v>
                </c:pt>
                <c:pt idx="211">
                  <c:v>1.5198767565942689E-2</c:v>
                </c:pt>
                <c:pt idx="212">
                  <c:v>1.5350115876486081E-2</c:v>
                </c:pt>
                <c:pt idx="213">
                  <c:v>1.6507865126432264E-2</c:v>
                </c:pt>
                <c:pt idx="214">
                  <c:v>1.6790118832463945E-2</c:v>
                </c:pt>
                <c:pt idx="215">
                  <c:v>1.6955175864358615E-2</c:v>
                </c:pt>
                <c:pt idx="216">
                  <c:v>1.7489855883587521E-2</c:v>
                </c:pt>
                <c:pt idx="217">
                  <c:v>1.7660640140019043E-2</c:v>
                </c:pt>
                <c:pt idx="218">
                  <c:v>2.0472411609105411E-2</c:v>
                </c:pt>
                <c:pt idx="219">
                  <c:v>1.9791860249024303E-2</c:v>
                </c:pt>
                <c:pt idx="220">
                  <c:v>2.0766995608945581E-2</c:v>
                </c:pt>
                <c:pt idx="221">
                  <c:v>2.0365975749935004E-2</c:v>
                </c:pt>
                <c:pt idx="222">
                  <c:v>2.1104121696111686E-2</c:v>
                </c:pt>
                <c:pt idx="223">
                  <c:v>2.0097340710994293E-2</c:v>
                </c:pt>
                <c:pt idx="224">
                  <c:v>2.0893591461442457E-2</c:v>
                </c:pt>
                <c:pt idx="225">
                  <c:v>1.9603867316749551E-2</c:v>
                </c:pt>
                <c:pt idx="226">
                  <c:v>2.071245694498176E-2</c:v>
                </c:pt>
                <c:pt idx="227">
                  <c:v>2.0847510621470965E-2</c:v>
                </c:pt>
                <c:pt idx="228">
                  <c:v>1.883021635496885E-2</c:v>
                </c:pt>
                <c:pt idx="229">
                  <c:v>1.7345006449488033E-2</c:v>
                </c:pt>
                <c:pt idx="230">
                  <c:v>1.6319526843248541E-2</c:v>
                </c:pt>
                <c:pt idx="231">
                  <c:v>1.7312072892938547E-2</c:v>
                </c:pt>
                <c:pt idx="232">
                  <c:v>1.6524791734875706E-2</c:v>
                </c:pt>
                <c:pt idx="233">
                  <c:v>1.7506563825824741E-2</c:v>
                </c:pt>
                <c:pt idx="234">
                  <c:v>1.7583175314600952E-2</c:v>
                </c:pt>
                <c:pt idx="235">
                  <c:v>1.8358942728080845E-2</c:v>
                </c:pt>
                <c:pt idx="236">
                  <c:v>1.6863391143777832E-2</c:v>
                </c:pt>
                <c:pt idx="237">
                  <c:v>1.6903801999529861E-2</c:v>
                </c:pt>
                <c:pt idx="238">
                  <c:v>1.5275509559599731E-2</c:v>
                </c:pt>
                <c:pt idx="239">
                  <c:v>1.5881595185975959E-2</c:v>
                </c:pt>
                <c:pt idx="240">
                  <c:v>1.6862526319578124E-2</c:v>
                </c:pt>
                <c:pt idx="241">
                  <c:v>1.7975487154585679E-2</c:v>
                </c:pt>
                <c:pt idx="242">
                  <c:v>1.610237988325107E-2</c:v>
                </c:pt>
                <c:pt idx="243">
                  <c:v>9.1177787729511926E-3</c:v>
                </c:pt>
                <c:pt idx="244">
                  <c:v>9.3582528875489294E-3</c:v>
                </c:pt>
                <c:pt idx="245">
                  <c:v>9.3839285714285882E-3</c:v>
                </c:pt>
                <c:pt idx="246">
                  <c:v>1.1305580570093714E-2</c:v>
                </c:pt>
                <c:pt idx="247">
                  <c:v>1.346753362429857E-2</c:v>
                </c:pt>
                <c:pt idx="248">
                  <c:v>1.4598670096760703E-2</c:v>
                </c:pt>
                <c:pt idx="249">
                  <c:v>1.3520480728203678E-2</c:v>
                </c:pt>
                <c:pt idx="250">
                  <c:v>1.3543777327503474E-2</c:v>
                </c:pt>
                <c:pt idx="251">
                  <c:v>1.4631291455325714E-2</c:v>
                </c:pt>
                <c:pt idx="252">
                  <c:v>1.5698003681155325E-2</c:v>
                </c:pt>
                <c:pt idx="253">
                  <c:v>1.5626380227196361E-2</c:v>
                </c:pt>
                <c:pt idx="254">
                  <c:v>2.0451994378794913E-2</c:v>
                </c:pt>
                <c:pt idx="255">
                  <c:v>3.1224482550502364E-2</c:v>
                </c:pt>
                <c:pt idx="256">
                  <c:v>3.5171380707150424E-2</c:v>
                </c:pt>
                <c:pt idx="257">
                  <c:v>3.8018239555598819E-2</c:v>
                </c:pt>
                <c:pt idx="258">
                  <c:v>3.8668723826317038E-2</c:v>
                </c:pt>
              </c:numCache>
            </c:numRef>
          </c:val>
          <c:smooth val="0"/>
          <c:extLst>
            <c:ext xmlns:c16="http://schemas.microsoft.com/office/drawing/2014/chart" uri="{C3380CC4-5D6E-409C-BE32-E72D297353CC}">
              <c16:uniqueId val="{00000000-C17F-4366-A341-02FC743CA874}"/>
            </c:ext>
          </c:extLst>
        </c:ser>
        <c:dLbls>
          <c:showLegendKey val="0"/>
          <c:showVal val="0"/>
          <c:showCatName val="0"/>
          <c:showSerName val="0"/>
          <c:showPercent val="0"/>
          <c:showBubbleSize val="0"/>
        </c:dLbls>
        <c:smooth val="0"/>
        <c:axId val="615699024"/>
        <c:axId val="495403552"/>
      </c:lineChart>
      <c:dateAx>
        <c:axId val="615699024"/>
        <c:scaling>
          <c:orientation val="minMax"/>
          <c:max val="44805"/>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since 2000</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1">
                  <a:lumMod val="75000"/>
                </a:schemeClr>
              </a:solidFill>
              <a:prstDash val="solid"/>
              <a:round/>
            </a:ln>
          </c:spPr>
          <c:marker>
            <c:symbol val="none"/>
          </c:marker>
          <c:cat>
            <c:numRef>
              <c:f>'PCE Deflator'!$A$497:$A$778</c:f>
              <c:numCache>
                <c:formatCode>yyyy\-mm\-dd</c:formatCode>
                <c:ptCount val="28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'PCE Deflator'!$D$497:$D$778</c:f>
              <c:numCache>
                <c:formatCode>0.00%</c:formatCode>
                <c:ptCount val="282"/>
                <c:pt idx="0">
                  <c:v>2.1886212877514077E-2</c:v>
                </c:pt>
                <c:pt idx="1">
                  <c:v>2.5674315086640909E-2</c:v>
                </c:pt>
                <c:pt idx="2">
                  <c:v>2.9308587389629454E-2</c:v>
                </c:pt>
                <c:pt idx="3">
                  <c:v>2.3502753405527779E-2</c:v>
                </c:pt>
                <c:pt idx="4">
                  <c:v>2.3698242380356754E-2</c:v>
                </c:pt>
                <c:pt idx="5">
                  <c:v>2.6849524210637233E-2</c:v>
                </c:pt>
                <c:pt idx="6">
                  <c:v>2.6686444126488251E-2</c:v>
                </c:pt>
                <c:pt idx="7">
                  <c:v>2.4764475425516588E-2</c:v>
                </c:pt>
                <c:pt idx="8">
                  <c:v>2.548535766976092E-2</c:v>
                </c:pt>
                <c:pt idx="9">
                  <c:v>2.5142395370358329E-2</c:v>
                </c:pt>
                <c:pt idx="10">
                  <c:v>2.5653713928534206E-2</c:v>
                </c:pt>
                <c:pt idx="11">
                  <c:v>2.4853839158113507E-2</c:v>
                </c:pt>
                <c:pt idx="12">
                  <c:v>2.7014770665975556E-2</c:v>
                </c:pt>
                <c:pt idx="13">
                  <c:v>2.5393299062282146E-2</c:v>
                </c:pt>
                <c:pt idx="14">
                  <c:v>2.1091891196707617E-2</c:v>
                </c:pt>
                <c:pt idx="15">
                  <c:v>2.3735358475994443E-2</c:v>
                </c:pt>
                <c:pt idx="16">
                  <c:v>2.5567487621374826E-2</c:v>
                </c:pt>
                <c:pt idx="17">
                  <c:v>2.3917250926056469E-2</c:v>
                </c:pt>
                <c:pt idx="18">
                  <c:v>2.1019254864858023E-2</c:v>
                </c:pt>
                <c:pt idx="19">
                  <c:v>2.0956667391220905E-2</c:v>
                </c:pt>
                <c:pt idx="20">
                  <c:v>1.3138964924565491E-2</c:v>
                </c:pt>
                <c:pt idx="21">
                  <c:v>1.5320653003102251E-2</c:v>
                </c:pt>
                <c:pt idx="22">
                  <c:v>1.321703359488074E-2</c:v>
                </c:pt>
                <c:pt idx="23">
                  <c:v>1.0623328220275702E-2</c:v>
                </c:pt>
                <c:pt idx="24">
                  <c:v>6.661199772913717E-3</c:v>
                </c:pt>
                <c:pt idx="25">
                  <c:v>6.7768428477855179E-3</c:v>
                </c:pt>
                <c:pt idx="26">
                  <c:v>9.4338434410228544E-3</c:v>
                </c:pt>
                <c:pt idx="27">
                  <c:v>1.1881710966379072E-2</c:v>
                </c:pt>
                <c:pt idx="28">
                  <c:v>9.8817451061536561E-3</c:v>
                </c:pt>
                <c:pt idx="29">
                  <c:v>9.3509419790949472E-3</c:v>
                </c:pt>
                <c:pt idx="30">
                  <c:v>1.1921160059104888E-2</c:v>
                </c:pt>
                <c:pt idx="31">
                  <c:v>1.4039174431419636E-2</c:v>
                </c:pt>
                <c:pt idx="32">
                  <c:v>1.9327192530505004E-2</c:v>
                </c:pt>
                <c:pt idx="33">
                  <c:v>1.7593949184166711E-2</c:v>
                </c:pt>
                <c:pt idx="34">
                  <c:v>1.9297520143353085E-2</c:v>
                </c:pt>
                <c:pt idx="35">
                  <c:v>2.1324368735966718E-2</c:v>
                </c:pt>
                <c:pt idx="36">
                  <c:v>2.3448172145426226E-2</c:v>
                </c:pt>
                <c:pt idx="37">
                  <c:v>2.6061606986462458E-2</c:v>
                </c:pt>
                <c:pt idx="38">
                  <c:v>2.5890896386504148E-2</c:v>
                </c:pt>
                <c:pt idx="39">
                  <c:v>1.9893388337330224E-2</c:v>
                </c:pt>
                <c:pt idx="40">
                  <c:v>1.8067576461238508E-2</c:v>
                </c:pt>
                <c:pt idx="41">
                  <c:v>1.7883718622879168E-2</c:v>
                </c:pt>
                <c:pt idx="42">
                  <c:v>1.8623932681598756E-2</c:v>
                </c:pt>
                <c:pt idx="43">
                  <c:v>2.0057058874384141E-2</c:v>
                </c:pt>
                <c:pt idx="44">
                  <c:v>2.1414041792516908E-2</c:v>
                </c:pt>
                <c:pt idx="45">
                  <c:v>1.9689399719425984E-2</c:v>
                </c:pt>
                <c:pt idx="46">
                  <c:v>1.9964840244397122E-2</c:v>
                </c:pt>
                <c:pt idx="47">
                  <c:v>2.1235307844413593E-2</c:v>
                </c:pt>
                <c:pt idx="48">
                  <c:v>2.2127253134796264E-2</c:v>
                </c:pt>
                <c:pt idx="49">
                  <c:v>1.9997805118950367E-2</c:v>
                </c:pt>
                <c:pt idx="50">
                  <c:v>1.8961553898734013E-2</c:v>
                </c:pt>
                <c:pt idx="51">
                  <c:v>2.2587719298245604E-2</c:v>
                </c:pt>
                <c:pt idx="52">
                  <c:v>2.7077793769667978E-2</c:v>
                </c:pt>
                <c:pt idx="53">
                  <c:v>2.8912932231888355E-2</c:v>
                </c:pt>
                <c:pt idx="54">
                  <c:v>2.6848083581364368E-2</c:v>
                </c:pt>
                <c:pt idx="55">
                  <c:v>2.3924545663676085E-2</c:v>
                </c:pt>
                <c:pt idx="56">
                  <c:v>2.2727272727272672E-2</c:v>
                </c:pt>
                <c:pt idx="57">
                  <c:v>2.6996693297289581E-2</c:v>
                </c:pt>
                <c:pt idx="58">
                  <c:v>2.9650342907421121E-2</c:v>
                </c:pt>
                <c:pt idx="59">
                  <c:v>2.7937462417318017E-2</c:v>
                </c:pt>
                <c:pt idx="60">
                  <c:v>2.5326161181727667E-2</c:v>
                </c:pt>
                <c:pt idx="61">
                  <c:v>2.5989551578620096E-2</c:v>
                </c:pt>
                <c:pt idx="62">
                  <c:v>2.7477380696602834E-2</c:v>
                </c:pt>
                <c:pt idx="63">
                  <c:v>2.8439011604355809E-2</c:v>
                </c:pt>
                <c:pt idx="64">
                  <c:v>2.5698881314870692E-2</c:v>
                </c:pt>
                <c:pt idx="65">
                  <c:v>2.3399291863535697E-2</c:v>
                </c:pt>
                <c:pt idx="66">
                  <c:v>2.6796805678793261E-2</c:v>
                </c:pt>
                <c:pt idx="67">
                  <c:v>3.0401210845581689E-2</c:v>
                </c:pt>
                <c:pt idx="68">
                  <c:v>3.8307665073464274E-2</c:v>
                </c:pt>
                <c:pt idx="69">
                  <c:v>3.5511580629619517E-2</c:v>
                </c:pt>
                <c:pt idx="70">
                  <c:v>2.9393517272056791E-2</c:v>
                </c:pt>
                <c:pt idx="71">
                  <c:v>2.883951657248492E-2</c:v>
                </c:pt>
                <c:pt idx="72">
                  <c:v>3.2470643220190581E-2</c:v>
                </c:pt>
                <c:pt idx="73">
                  <c:v>3.0224997960919667E-2</c:v>
                </c:pt>
                <c:pt idx="74">
                  <c:v>2.9135687732341955E-2</c:v>
                </c:pt>
                <c:pt idx="75">
                  <c:v>3.102373698173095E-2</c:v>
                </c:pt>
                <c:pt idx="76">
                  <c:v>3.3217552390876461E-2</c:v>
                </c:pt>
                <c:pt idx="77">
                  <c:v>3.5129537275956649E-2</c:v>
                </c:pt>
                <c:pt idx="78">
                  <c:v>3.4278142643161584E-2</c:v>
                </c:pt>
                <c:pt idx="79">
                  <c:v>3.3360110167546433E-2</c:v>
                </c:pt>
                <c:pt idx="80">
                  <c:v>2.0811311533171971E-2</c:v>
                </c:pt>
                <c:pt idx="81">
                  <c:v>1.6772392505759227E-2</c:v>
                </c:pt>
                <c:pt idx="82">
                  <c:v>1.9240828765721224E-2</c:v>
                </c:pt>
                <c:pt idx="83">
                  <c:v>2.2868384543655709E-2</c:v>
                </c:pt>
                <c:pt idx="84">
                  <c:v>2.1332216739848704E-2</c:v>
                </c:pt>
                <c:pt idx="85">
                  <c:v>2.3886809097797876E-2</c:v>
                </c:pt>
                <c:pt idx="86">
                  <c:v>2.565810267756367E-2</c:v>
                </c:pt>
                <c:pt idx="87">
                  <c:v>2.3314868706389994E-2</c:v>
                </c:pt>
                <c:pt idx="88">
                  <c:v>2.3532312105693634E-2</c:v>
                </c:pt>
                <c:pt idx="89">
                  <c:v>2.3172626566359933E-2</c:v>
                </c:pt>
                <c:pt idx="90">
                  <c:v>2.1244360274048867E-2</c:v>
                </c:pt>
                <c:pt idx="91">
                  <c:v>1.8734660788254996E-2</c:v>
                </c:pt>
                <c:pt idx="92">
                  <c:v>2.5341825145860201E-2</c:v>
                </c:pt>
                <c:pt idx="93">
                  <c:v>3.0893201933057293E-2</c:v>
                </c:pt>
                <c:pt idx="94">
                  <c:v>3.5992413254490672E-2</c:v>
                </c:pt>
                <c:pt idx="95">
                  <c:v>3.4719674482206635E-2</c:v>
                </c:pt>
                <c:pt idx="96">
                  <c:v>3.3884031956032831E-2</c:v>
                </c:pt>
                <c:pt idx="97">
                  <c:v>3.2729843475571452E-2</c:v>
                </c:pt>
                <c:pt idx="98">
                  <c:v>3.1905878209572872E-2</c:v>
                </c:pt>
                <c:pt idx="99">
                  <c:v>3.1403034894701004E-2</c:v>
                </c:pt>
                <c:pt idx="100">
                  <c:v>3.2822781068327929E-2</c:v>
                </c:pt>
                <c:pt idx="101">
                  <c:v>3.8117816719835731E-2</c:v>
                </c:pt>
                <c:pt idx="102">
                  <c:v>4.1353957587922124E-2</c:v>
                </c:pt>
                <c:pt idx="103">
                  <c:v>3.9810757189264627E-2</c:v>
                </c:pt>
                <c:pt idx="104">
                  <c:v>3.6671444705064823E-2</c:v>
                </c:pt>
                <c:pt idx="105">
                  <c:v>2.6719499388309562E-2</c:v>
                </c:pt>
                <c:pt idx="106">
                  <c:v>9.2616524511070844E-3</c:v>
                </c:pt>
                <c:pt idx="107">
                  <c:v>1.289324394017431E-3</c:v>
                </c:pt>
                <c:pt idx="108">
                  <c:v>-1.1146001907681011E-3</c:v>
                </c:pt>
                <c:pt idx="109">
                  <c:v>-1.3156205878578344E-3</c:v>
                </c:pt>
                <c:pt idx="110">
                  <c:v>-5.2581058020478794E-3</c:v>
                </c:pt>
                <c:pt idx="111">
                  <c:v>-5.6741967764600814E-3</c:v>
                </c:pt>
                <c:pt idx="112">
                  <c:v>-8.8936472433933517E-3</c:v>
                </c:pt>
                <c:pt idx="113">
                  <c:v>-1.0187221772029378E-2</c:v>
                </c:pt>
                <c:pt idx="114">
                  <c:v>-1.4665367734095843E-2</c:v>
                </c:pt>
                <c:pt idx="115">
                  <c:v>-1.1007904723963655E-2</c:v>
                </c:pt>
                <c:pt idx="116">
                  <c:v>-1.0223642172523952E-2</c:v>
                </c:pt>
                <c:pt idx="117">
                  <c:v>1.265355617651759E-4</c:v>
                </c:pt>
                <c:pt idx="118">
                  <c:v>1.4597293951940003E-2</c:v>
                </c:pt>
                <c:pt idx="119">
                  <c:v>2.0903081809597473E-2</c:v>
                </c:pt>
                <c:pt idx="120">
                  <c:v>2.3014280656202011E-2</c:v>
                </c:pt>
                <c:pt idx="121">
                  <c:v>2.1163341151774134E-2</c:v>
                </c:pt>
                <c:pt idx="122">
                  <c:v>2.3727577814232344E-2</c:v>
                </c:pt>
                <c:pt idx="123">
                  <c:v>2.2815601546021993E-2</c:v>
                </c:pt>
                <c:pt idx="124">
                  <c:v>2.2075338509914576E-2</c:v>
                </c:pt>
                <c:pt idx="125">
                  <c:v>1.5618853199791696E-2</c:v>
                </c:pt>
                <c:pt idx="126">
                  <c:v>1.6382637168706044E-2</c:v>
                </c:pt>
                <c:pt idx="127">
                  <c:v>1.4829969470827689E-2</c:v>
                </c:pt>
                <c:pt idx="128">
                  <c:v>1.4192128184233021E-2</c:v>
                </c:pt>
                <c:pt idx="129">
                  <c:v>1.3579765306230149E-2</c:v>
                </c:pt>
                <c:pt idx="130">
                  <c:v>1.3072651550208184E-2</c:v>
                </c:pt>
                <c:pt idx="131">
                  <c:v>1.4767710742064339E-2</c:v>
                </c:pt>
                <c:pt idx="132">
                  <c:v>1.5595502789780539E-2</c:v>
                </c:pt>
                <c:pt idx="133">
                  <c:v>1.8459279458807543E-2</c:v>
                </c:pt>
                <c:pt idx="134">
                  <c:v>2.1114369501466182E-2</c:v>
                </c:pt>
                <c:pt idx="135">
                  <c:v>2.4871247330737395E-2</c:v>
                </c:pt>
                <c:pt idx="136">
                  <c:v>2.7667901467110415E-2</c:v>
                </c:pt>
                <c:pt idx="137">
                  <c:v>2.7888863298507163E-2</c:v>
                </c:pt>
                <c:pt idx="138">
                  <c:v>2.8754027028157769E-2</c:v>
                </c:pt>
                <c:pt idx="139">
                  <c:v>2.9759231211155833E-2</c:v>
                </c:pt>
                <c:pt idx="140">
                  <c:v>3.0188876134822087E-2</c:v>
                </c:pt>
                <c:pt idx="141">
                  <c:v>2.6941280490976119E-2</c:v>
                </c:pt>
                <c:pt idx="142">
                  <c:v>2.7001775203214042E-2</c:v>
                </c:pt>
                <c:pt idx="143">
                  <c:v>2.5262830804288084E-2</c:v>
                </c:pt>
                <c:pt idx="144">
                  <c:v>2.5693189445964784E-2</c:v>
                </c:pt>
                <c:pt idx="145">
                  <c:v>2.5127439369754364E-2</c:v>
                </c:pt>
                <c:pt idx="146">
                  <c:v>2.2965044719783421E-2</c:v>
                </c:pt>
                <c:pt idx="147">
                  <c:v>1.9998365812803839E-2</c:v>
                </c:pt>
                <c:pt idx="148">
                  <c:v>1.576278435126165E-2</c:v>
                </c:pt>
                <c:pt idx="149">
                  <c:v>1.5460452610351642E-2</c:v>
                </c:pt>
                <c:pt idx="150">
                  <c:v>1.4102264292904136E-2</c:v>
                </c:pt>
                <c:pt idx="151">
                  <c:v>1.5124158078389998E-2</c:v>
                </c:pt>
                <c:pt idx="152">
                  <c:v>1.6774206618518542E-2</c:v>
                </c:pt>
                <c:pt idx="153">
                  <c:v>1.9772094201063687E-2</c:v>
                </c:pt>
                <c:pt idx="154">
                  <c:v>1.699215591136986E-2</c:v>
                </c:pt>
                <c:pt idx="155">
                  <c:v>1.6255152347854289E-2</c:v>
                </c:pt>
                <c:pt idx="156">
                  <c:v>1.4739788367246388E-2</c:v>
                </c:pt>
                <c:pt idx="157">
                  <c:v>1.6183635541714845E-2</c:v>
                </c:pt>
                <c:pt idx="158">
                  <c:v>1.2914222690128808E-2</c:v>
                </c:pt>
                <c:pt idx="159">
                  <c:v>1.0794464582540634E-2</c:v>
                </c:pt>
                <c:pt idx="160">
                  <c:v>1.2590973795537024E-2</c:v>
                </c:pt>
                <c:pt idx="161">
                  <c:v>1.5285244323196672E-2</c:v>
                </c:pt>
                <c:pt idx="162">
                  <c:v>1.6182073390816166E-2</c:v>
                </c:pt>
                <c:pt idx="163">
                  <c:v>1.4339245565825652E-2</c:v>
                </c:pt>
                <c:pt idx="164">
                  <c:v>1.1665786668526208E-2</c:v>
                </c:pt>
                <c:pt idx="165">
                  <c:v>1.0379729233091842E-2</c:v>
                </c:pt>
                <c:pt idx="166">
                  <c:v>1.2643004105000603E-2</c:v>
                </c:pt>
                <c:pt idx="167">
                  <c:v>1.4822104917837222E-2</c:v>
                </c:pt>
                <c:pt idx="168">
                  <c:v>1.4793574568148666E-2</c:v>
                </c:pt>
                <c:pt idx="169">
                  <c:v>1.1684922298232312E-2</c:v>
                </c:pt>
                <c:pt idx="170">
                  <c:v>1.5046078615760869E-2</c:v>
                </c:pt>
                <c:pt idx="171">
                  <c:v>1.7811856078617867E-2</c:v>
                </c:pt>
                <c:pt idx="172">
                  <c:v>1.8899118899118817E-2</c:v>
                </c:pt>
                <c:pt idx="173">
                  <c:v>1.7850792270913209E-2</c:v>
                </c:pt>
                <c:pt idx="174">
                  <c:v>1.8114726601811459E-2</c:v>
                </c:pt>
                <c:pt idx="175">
                  <c:v>1.6422027386464401E-2</c:v>
                </c:pt>
                <c:pt idx="176">
                  <c:v>1.627769571639592E-2</c:v>
                </c:pt>
                <c:pt idx="177">
                  <c:v>1.4303690450443489E-2</c:v>
                </c:pt>
                <c:pt idx="178">
                  <c:v>1.1945308742552573E-2</c:v>
                </c:pt>
                <c:pt idx="179">
                  <c:v>8.3852513616237065E-3</c:v>
                </c:pt>
                <c:pt idx="180">
                  <c:v>1.8283501828349948E-3</c:v>
                </c:pt>
                <c:pt idx="181">
                  <c:v>2.892376243428702E-3</c:v>
                </c:pt>
                <c:pt idx="182">
                  <c:v>2.8085778648956699E-3</c:v>
                </c:pt>
                <c:pt idx="183">
                  <c:v>1.6351638083742983E-3</c:v>
                </c:pt>
                <c:pt idx="184">
                  <c:v>2.3027817992791319E-3</c:v>
                </c:pt>
                <c:pt idx="185">
                  <c:v>3.1154462075993396E-3</c:v>
                </c:pt>
                <c:pt idx="186">
                  <c:v>2.4324062409148638E-3</c:v>
                </c:pt>
                <c:pt idx="187">
                  <c:v>2.5684018725102139E-3</c:v>
                </c:pt>
                <c:pt idx="188">
                  <c:v>8.3330910923130647E-4</c:v>
                </c:pt>
                <c:pt idx="189">
                  <c:v>9.4013200616410828E-4</c:v>
                </c:pt>
                <c:pt idx="190">
                  <c:v>2.3181826999554241E-3</c:v>
                </c:pt>
                <c:pt idx="191">
                  <c:v>3.0406061783563474E-3</c:v>
                </c:pt>
                <c:pt idx="192">
                  <c:v>8.2076806714487284E-3</c:v>
                </c:pt>
                <c:pt idx="193">
                  <c:v>5.9239628193386608E-3</c:v>
                </c:pt>
                <c:pt idx="194">
                  <c:v>6.3210510449182777E-3</c:v>
                </c:pt>
                <c:pt idx="195">
                  <c:v>8.8718297541540841E-3</c:v>
                </c:pt>
                <c:pt idx="196">
                  <c:v>7.9588196517895032E-3</c:v>
                </c:pt>
                <c:pt idx="197">
                  <c:v>7.9240682688958806E-3</c:v>
                </c:pt>
                <c:pt idx="198">
                  <c:v>7.5115283108245379E-3</c:v>
                </c:pt>
                <c:pt idx="199">
                  <c:v>9.0098799327159394E-3</c:v>
                </c:pt>
                <c:pt idx="200">
                  <c:v>1.22568714964808E-2</c:v>
                </c:pt>
                <c:pt idx="201">
                  <c:v>1.4640664639696346E-2</c:v>
                </c:pt>
                <c:pt idx="202">
                  <c:v>1.4409166126363162E-2</c:v>
                </c:pt>
                <c:pt idx="203">
                  <c:v>1.7084249368057063E-2</c:v>
                </c:pt>
                <c:pt idx="204">
                  <c:v>2.0347317677579267E-2</c:v>
                </c:pt>
                <c:pt idx="205">
                  <c:v>2.2548962631487077E-2</c:v>
                </c:pt>
                <c:pt idx="206">
                  <c:v>1.9626791391656496E-2</c:v>
                </c:pt>
                <c:pt idx="207">
                  <c:v>1.8502643922830266E-2</c:v>
                </c:pt>
                <c:pt idx="208">
                  <c:v>1.6705617588505098E-2</c:v>
                </c:pt>
                <c:pt idx="209">
                  <c:v>1.5742740580753544E-2</c:v>
                </c:pt>
                <c:pt idx="210">
                  <c:v>1.558272083517238E-2</c:v>
                </c:pt>
                <c:pt idx="211">
                  <c:v>1.6469618870600038E-2</c:v>
                </c:pt>
                <c:pt idx="212">
                  <c:v>1.8516570226196669E-2</c:v>
                </c:pt>
                <c:pt idx="213">
                  <c:v>1.7769549367281839E-2</c:v>
                </c:pt>
                <c:pt idx="214">
                  <c:v>1.9069696449354259E-2</c:v>
                </c:pt>
                <c:pt idx="215">
                  <c:v>1.8692211737147395E-2</c:v>
                </c:pt>
                <c:pt idx="216">
                  <c:v>1.8537492410443168E-2</c:v>
                </c:pt>
                <c:pt idx="217">
                  <c:v>1.9465757317419789E-2</c:v>
                </c:pt>
                <c:pt idx="218">
                  <c:v>2.1466752596861025E-2</c:v>
                </c:pt>
                <c:pt idx="219">
                  <c:v>2.1221062187925552E-2</c:v>
                </c:pt>
                <c:pt idx="220">
                  <c:v>2.3450063378549664E-2</c:v>
                </c:pt>
                <c:pt idx="221">
                  <c:v>2.3645040873222091E-2</c:v>
                </c:pt>
                <c:pt idx="222">
                  <c:v>2.4328716388579232E-2</c:v>
                </c:pt>
                <c:pt idx="223">
                  <c:v>2.2706493359599518E-2</c:v>
                </c:pt>
                <c:pt idx="224">
                  <c:v>2.1100374679550383E-2</c:v>
                </c:pt>
                <c:pt idx="225">
                  <c:v>2.1341234716075411E-2</c:v>
                </c:pt>
                <c:pt idx="226">
                  <c:v>2.0070208284577496E-2</c:v>
                </c:pt>
                <c:pt idx="227">
                  <c:v>1.8797906150682331E-2</c:v>
                </c:pt>
                <c:pt idx="228">
                  <c:v>1.504256627112022E-2</c:v>
                </c:pt>
                <c:pt idx="229">
                  <c:v>1.4132404181184676E-2</c:v>
                </c:pt>
                <c:pt idx="230">
                  <c:v>1.5457843510210869E-2</c:v>
                </c:pt>
                <c:pt idx="231">
                  <c:v>1.659443641886137E-2</c:v>
                </c:pt>
                <c:pt idx="232">
                  <c:v>1.5370680173393813E-2</c:v>
                </c:pt>
                <c:pt idx="233">
                  <c:v>1.4937636751387219E-2</c:v>
                </c:pt>
                <c:pt idx="234">
                  <c:v>1.5468053902985624E-2</c:v>
                </c:pt>
                <c:pt idx="235">
                  <c:v>1.5022764557335439E-2</c:v>
                </c:pt>
                <c:pt idx="236">
                  <c:v>1.3509536684507661E-2</c:v>
                </c:pt>
                <c:pt idx="237">
                  <c:v>1.3761889023539304E-2</c:v>
                </c:pt>
                <c:pt idx="238">
                  <c:v>1.3765382815296094E-2</c:v>
                </c:pt>
                <c:pt idx="239">
                  <c:v>1.6010496279509359E-2</c:v>
                </c:pt>
                <c:pt idx="240">
                  <c:v>1.8049680207750246E-2</c:v>
                </c:pt>
                <c:pt idx="241">
                  <c:v>1.762776464552061E-2</c:v>
                </c:pt>
                <c:pt idx="242">
                  <c:v>1.2618440649470503E-2</c:v>
                </c:pt>
                <c:pt idx="243">
                  <c:v>4.1628711969392751E-3</c:v>
                </c:pt>
                <c:pt idx="244">
                  <c:v>4.5241042819691227E-3</c:v>
                </c:pt>
                <c:pt idx="245">
                  <c:v>7.3770864601809504E-3</c:v>
                </c:pt>
                <c:pt idx="246">
                  <c:v>8.8833178919832927E-3</c:v>
                </c:pt>
                <c:pt idx="247">
                  <c:v>1.1613336723204849E-2</c:v>
                </c:pt>
                <c:pt idx="248">
                  <c:v>1.2757810302430934E-2</c:v>
                </c:pt>
                <c:pt idx="249">
                  <c:v>1.1093703304565121E-2</c:v>
                </c:pt>
                <c:pt idx="250">
                  <c:v>1.0835619042446322E-2</c:v>
                </c:pt>
                <c:pt idx="251">
                  <c:v>1.276910851033089E-2</c:v>
                </c:pt>
                <c:pt idx="252">
                  <c:v>1.4773218921257533E-2</c:v>
                </c:pt>
                <c:pt idx="253">
                  <c:v>1.7025299360763531E-2</c:v>
                </c:pt>
                <c:pt idx="254">
                  <c:v>2.5337472027719691E-2</c:v>
                </c:pt>
                <c:pt idx="255">
                  <c:v>3.6294529060115974E-2</c:v>
                </c:pt>
                <c:pt idx="256">
                  <c:v>4.0470127681168692E-2</c:v>
                </c:pt>
                <c:pt idx="257">
                  <c:v>4.2547812110595447E-2</c:v>
                </c:pt>
                <c:pt idx="258">
                  <c:v>4.4241573033707876E-2</c:v>
                </c:pt>
                <c:pt idx="259">
                  <c:v>4.5175072479378166E-2</c:v>
                </c:pt>
                <c:pt idx="260">
                  <c:v>4.6544757331135327E-2</c:v>
                </c:pt>
                <c:pt idx="261">
                  <c:v>5.2226640871309862E-2</c:v>
                </c:pt>
                <c:pt idx="262">
                  <c:v>5.8513782171833915E-2</c:v>
                </c:pt>
                <c:pt idx="263">
                  <c:v>5.9661168078466234E-2</c:v>
                </c:pt>
                <c:pt idx="264">
                  <c:v>6.1163763623282338E-2</c:v>
                </c:pt>
                <c:pt idx="265">
                  <c:v>6.3889306928940071E-2</c:v>
                </c:pt>
                <c:pt idx="266">
                  <c:v>6.7665798366657218E-2</c:v>
                </c:pt>
                <c:pt idx="267">
                  <c:v>6.4120520317232463E-2</c:v>
                </c:pt>
                <c:pt idx="268">
                  <c:v>6.5154721779496369E-2</c:v>
                </c:pt>
                <c:pt idx="269">
                  <c:v>6.9756967901747846E-2</c:v>
                </c:pt>
                <c:pt idx="270">
                  <c:v>6.3792181815046645E-2</c:v>
                </c:pt>
                <c:pt idx="271">
                  <c:v>6.2399093126309563E-2</c:v>
                </c:pt>
                <c:pt idx="272">
                  <c:v>6.2718306965276291E-2</c:v>
                </c:pt>
                <c:pt idx="273">
                  <c:v>6.0189480673141567E-2</c:v>
                </c:pt>
              </c:numCache>
            </c:numRef>
          </c:val>
          <c:smooth val="0"/>
          <c:extLst>
            <c:ext xmlns:c16="http://schemas.microsoft.com/office/drawing/2014/chart" uri="{C3380CC4-5D6E-409C-BE32-E72D297353CC}">
              <c16:uniqueId val="{00000000-72A3-4A75-BE35-6208DA984573}"/>
            </c:ext>
          </c:extLst>
        </c:ser>
        <c:dLbls>
          <c:showLegendKey val="0"/>
          <c:showVal val="0"/>
          <c:showCatName val="0"/>
          <c:showSerName val="0"/>
          <c:showPercent val="0"/>
          <c:showBubbleSize val="0"/>
        </c:dLbls>
        <c:smooth val="0"/>
        <c:axId val="502336976"/>
        <c:axId val="502336584"/>
      </c:lineChart>
      <c:dateAx>
        <c:axId val="502336976"/>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584"/>
        <c:crosses val="autoZero"/>
        <c:auto val="0"/>
        <c:lblOffset val="100"/>
        <c:baseTimeUnit val="months"/>
      </c:dateAx>
      <c:valAx>
        <c:axId val="502336584"/>
        <c:scaling>
          <c:orientation val="minMax"/>
          <c:max val="7.0000000000000007E-2"/>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97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Core'!$D$4</c:f>
              <c:strCache>
                <c:ptCount val="1"/>
                <c:pt idx="0">
                  <c:v>PCE Core YoY</c:v>
                </c:pt>
              </c:strCache>
            </c:strRef>
          </c:tx>
          <c:spPr>
            <a:ln w="28575" cap="rnd">
              <a:solidFill>
                <a:srgbClr val="00B050"/>
              </a:solidFill>
              <a:prstDash val="solid"/>
              <a:round/>
            </a:ln>
          </c:spPr>
          <c:marker>
            <c:symbol val="none"/>
          </c:marker>
          <c:cat>
            <c:numRef>
              <c:f>'PCE Core'!$A$497:$A$788</c:f>
              <c:numCache>
                <c:formatCode>yyyy\-mm\-dd</c:formatCode>
                <c:ptCount val="29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'PCE Core'!$D$497:$D$788</c:f>
              <c:numCache>
                <c:formatCode>0.00%</c:formatCode>
                <c:ptCount val="292"/>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1.9020189346412732E-2</c:v>
                </c:pt>
                <c:pt idx="205">
                  <c:v>1.9407985270810217E-2</c:v>
                </c:pt>
                <c:pt idx="206">
                  <c:v>1.7465717724434032E-2</c:v>
                </c:pt>
                <c:pt idx="207">
                  <c:v>1.7336887678898939E-2</c:v>
                </c:pt>
                <c:pt idx="208">
                  <c:v>1.6715747347755511E-2</c:v>
                </c:pt>
                <c:pt idx="209">
                  <c:v>1.6959378564627644E-2</c:v>
                </c:pt>
                <c:pt idx="210">
                  <c:v>1.5848367636955657E-2</c:v>
                </c:pt>
                <c:pt idx="211">
                  <c:v>1.5198767565942689E-2</c:v>
                </c:pt>
                <c:pt idx="212">
                  <c:v>1.5350115876486081E-2</c:v>
                </c:pt>
                <c:pt idx="213">
                  <c:v>1.6507865126432264E-2</c:v>
                </c:pt>
                <c:pt idx="214">
                  <c:v>1.6790118832463945E-2</c:v>
                </c:pt>
                <c:pt idx="215">
                  <c:v>1.6955175864358615E-2</c:v>
                </c:pt>
                <c:pt idx="216">
                  <c:v>1.7489855883587521E-2</c:v>
                </c:pt>
                <c:pt idx="217">
                  <c:v>1.7660640140019043E-2</c:v>
                </c:pt>
                <c:pt idx="218">
                  <c:v>2.0472411609105411E-2</c:v>
                </c:pt>
                <c:pt idx="219">
                  <c:v>1.9791860249024303E-2</c:v>
                </c:pt>
                <c:pt idx="220">
                  <c:v>2.0766995608945581E-2</c:v>
                </c:pt>
                <c:pt idx="221">
                  <c:v>2.0365975749935004E-2</c:v>
                </c:pt>
                <c:pt idx="222">
                  <c:v>2.1104121696111686E-2</c:v>
                </c:pt>
                <c:pt idx="223">
                  <c:v>2.0097340710994293E-2</c:v>
                </c:pt>
                <c:pt idx="224">
                  <c:v>2.0893591461442457E-2</c:v>
                </c:pt>
                <c:pt idx="225">
                  <c:v>1.9603867316749551E-2</c:v>
                </c:pt>
                <c:pt idx="226">
                  <c:v>2.071245694498176E-2</c:v>
                </c:pt>
                <c:pt idx="227">
                  <c:v>2.0847510621470965E-2</c:v>
                </c:pt>
                <c:pt idx="228">
                  <c:v>1.883021635496885E-2</c:v>
                </c:pt>
                <c:pt idx="229">
                  <c:v>1.7345006449488033E-2</c:v>
                </c:pt>
                <c:pt idx="230">
                  <c:v>1.6319526843248541E-2</c:v>
                </c:pt>
                <c:pt idx="231">
                  <c:v>1.7312072892938547E-2</c:v>
                </c:pt>
                <c:pt idx="232">
                  <c:v>1.6524791734875706E-2</c:v>
                </c:pt>
                <c:pt idx="233">
                  <c:v>1.7506563825824741E-2</c:v>
                </c:pt>
                <c:pt idx="234">
                  <c:v>1.7583175314600952E-2</c:v>
                </c:pt>
                <c:pt idx="235">
                  <c:v>1.8358942728080845E-2</c:v>
                </c:pt>
                <c:pt idx="236">
                  <c:v>1.6863391143777832E-2</c:v>
                </c:pt>
                <c:pt idx="237">
                  <c:v>1.6903801999529861E-2</c:v>
                </c:pt>
                <c:pt idx="238">
                  <c:v>1.5275509559599731E-2</c:v>
                </c:pt>
                <c:pt idx="239">
                  <c:v>1.5881595185975959E-2</c:v>
                </c:pt>
                <c:pt idx="240">
                  <c:v>1.6862526319578124E-2</c:v>
                </c:pt>
                <c:pt idx="241">
                  <c:v>1.7975487154585679E-2</c:v>
                </c:pt>
                <c:pt idx="242">
                  <c:v>1.610237988325107E-2</c:v>
                </c:pt>
                <c:pt idx="243">
                  <c:v>9.1177787729511926E-3</c:v>
                </c:pt>
                <c:pt idx="244">
                  <c:v>9.3582528875489294E-3</c:v>
                </c:pt>
                <c:pt idx="245">
                  <c:v>9.3839285714285882E-3</c:v>
                </c:pt>
                <c:pt idx="246">
                  <c:v>1.1305580570093714E-2</c:v>
                </c:pt>
                <c:pt idx="247">
                  <c:v>1.346753362429857E-2</c:v>
                </c:pt>
                <c:pt idx="248">
                  <c:v>1.4598670096760703E-2</c:v>
                </c:pt>
                <c:pt idx="249">
                  <c:v>1.3520480728203678E-2</c:v>
                </c:pt>
                <c:pt idx="250">
                  <c:v>1.3543777327503474E-2</c:v>
                </c:pt>
                <c:pt idx="251">
                  <c:v>1.4631291455325714E-2</c:v>
                </c:pt>
                <c:pt idx="252">
                  <c:v>1.5698003681155325E-2</c:v>
                </c:pt>
                <c:pt idx="253">
                  <c:v>1.5626380227196361E-2</c:v>
                </c:pt>
                <c:pt idx="254">
                  <c:v>2.0451994378794913E-2</c:v>
                </c:pt>
                <c:pt idx="255">
                  <c:v>3.1224482550502364E-2</c:v>
                </c:pt>
                <c:pt idx="256">
                  <c:v>3.5171380707150424E-2</c:v>
                </c:pt>
                <c:pt idx="257">
                  <c:v>3.8018239555598819E-2</c:v>
                </c:pt>
                <c:pt idx="258">
                  <c:v>3.8668723826317038E-2</c:v>
                </c:pt>
                <c:pt idx="259">
                  <c:v>3.8819848482185247E-2</c:v>
                </c:pt>
                <c:pt idx="260">
                  <c:v>3.9191430000263199E-2</c:v>
                </c:pt>
                <c:pt idx="261">
                  <c:v>4.3081294894621036E-2</c:v>
                </c:pt>
                <c:pt idx="262">
                  <c:v>4.8181467452300827E-2</c:v>
                </c:pt>
                <c:pt idx="263">
                  <c:v>5.0436104944853268E-2</c:v>
                </c:pt>
                <c:pt idx="264">
                  <c:v>5.2090048962380855E-2</c:v>
                </c:pt>
                <c:pt idx="265">
                  <c:v>5.4185692541856963E-2</c:v>
                </c:pt>
                <c:pt idx="266">
                  <c:v>5.3647678356444413E-2</c:v>
                </c:pt>
                <c:pt idx="267">
                  <c:v>5.0298659046700923E-2</c:v>
                </c:pt>
                <c:pt idx="268">
                  <c:v>4.8815364723813377E-2</c:v>
                </c:pt>
                <c:pt idx="269">
                  <c:v>5.0354072041517116E-2</c:v>
                </c:pt>
                <c:pt idx="270">
                  <c:v>4.6914125166580257E-2</c:v>
                </c:pt>
                <c:pt idx="271">
                  <c:v>4.9162852477601396E-2</c:v>
                </c:pt>
                <c:pt idx="272">
                  <c:v>5.1821083025176073E-2</c:v>
                </c:pt>
                <c:pt idx="273">
                  <c:v>4.9844865423908362E-2</c:v>
                </c:pt>
              </c:numCache>
            </c:numRef>
          </c:val>
          <c:smooth val="0"/>
          <c:extLst>
            <c:ext xmlns:c16="http://schemas.microsoft.com/office/drawing/2014/chart" uri="{C3380CC4-5D6E-409C-BE32-E72D297353CC}">
              <c16:uniqueId val="{00000000-BD80-44C7-A1E3-9E2029D307B9}"/>
            </c:ext>
          </c:extLst>
        </c:ser>
        <c:ser>
          <c:idx val="1"/>
          <c:order val="1"/>
          <c:tx>
            <c:strRef>
              <c:f>'PCE Core'!$E$4</c:f>
              <c:strCache>
                <c:ptCount val="1"/>
                <c:pt idx="0">
                  <c:v>Fed Target</c:v>
                </c:pt>
              </c:strCache>
            </c:strRef>
          </c:tx>
          <c:spPr>
            <a:ln w="28575" cap="rnd">
              <a:solidFill>
                <a:srgbClr val="FF0000"/>
              </a:solidFill>
              <a:prstDash val="solid"/>
              <a:round/>
            </a:ln>
          </c:spPr>
          <c:marker>
            <c:symbol val="none"/>
          </c:marker>
          <c:cat>
            <c:numRef>
              <c:f>'PCE Core'!$A$497:$A$788</c:f>
              <c:numCache>
                <c:formatCode>yyyy\-mm\-dd</c:formatCode>
                <c:ptCount val="29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'PCE Core'!$E$497:$E$771</c:f>
              <c:numCache>
                <c:formatCode>0%</c:formatCode>
                <c:ptCount val="275"/>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pt idx="227">
                  <c:v>0.02</c:v>
                </c:pt>
                <c:pt idx="228">
                  <c:v>0.02</c:v>
                </c:pt>
                <c:pt idx="229">
                  <c:v>0.02</c:v>
                </c:pt>
                <c:pt idx="230">
                  <c:v>0.02</c:v>
                </c:pt>
                <c:pt idx="231">
                  <c:v>0.02</c:v>
                </c:pt>
                <c:pt idx="232">
                  <c:v>0.02</c:v>
                </c:pt>
                <c:pt idx="233">
                  <c:v>0.02</c:v>
                </c:pt>
                <c:pt idx="234">
                  <c:v>0.02</c:v>
                </c:pt>
                <c:pt idx="235">
                  <c:v>0.02</c:v>
                </c:pt>
                <c:pt idx="236">
                  <c:v>0.02</c:v>
                </c:pt>
                <c:pt idx="237">
                  <c:v>0.02</c:v>
                </c:pt>
                <c:pt idx="238">
                  <c:v>0.02</c:v>
                </c:pt>
                <c:pt idx="239">
                  <c:v>0.02</c:v>
                </c:pt>
                <c:pt idx="240">
                  <c:v>0.02</c:v>
                </c:pt>
                <c:pt idx="241">
                  <c:v>0.02</c:v>
                </c:pt>
                <c:pt idx="242">
                  <c:v>0.02</c:v>
                </c:pt>
                <c:pt idx="243">
                  <c:v>0.02</c:v>
                </c:pt>
                <c:pt idx="244">
                  <c:v>0.02</c:v>
                </c:pt>
                <c:pt idx="245">
                  <c:v>0.02</c:v>
                </c:pt>
                <c:pt idx="246">
                  <c:v>0.02</c:v>
                </c:pt>
                <c:pt idx="247">
                  <c:v>0.02</c:v>
                </c:pt>
                <c:pt idx="248">
                  <c:v>0.02</c:v>
                </c:pt>
                <c:pt idx="249">
                  <c:v>0.02</c:v>
                </c:pt>
                <c:pt idx="250">
                  <c:v>0.02</c:v>
                </c:pt>
                <c:pt idx="251">
                  <c:v>0.02</c:v>
                </c:pt>
                <c:pt idx="252">
                  <c:v>0.02</c:v>
                </c:pt>
                <c:pt idx="253">
                  <c:v>0.02</c:v>
                </c:pt>
                <c:pt idx="254">
                  <c:v>0.02</c:v>
                </c:pt>
                <c:pt idx="255">
                  <c:v>0.02</c:v>
                </c:pt>
                <c:pt idx="256">
                  <c:v>0.02</c:v>
                </c:pt>
                <c:pt idx="257">
                  <c:v>0.02</c:v>
                </c:pt>
                <c:pt idx="258">
                  <c:v>0.02</c:v>
                </c:pt>
                <c:pt idx="259">
                  <c:v>0.02</c:v>
                </c:pt>
                <c:pt idx="260">
                  <c:v>0.02</c:v>
                </c:pt>
                <c:pt idx="261">
                  <c:v>0.02</c:v>
                </c:pt>
                <c:pt idx="262">
                  <c:v>0.02</c:v>
                </c:pt>
                <c:pt idx="263">
                  <c:v>0.02</c:v>
                </c:pt>
                <c:pt idx="264">
                  <c:v>0.02</c:v>
                </c:pt>
                <c:pt idx="265">
                  <c:v>0.02</c:v>
                </c:pt>
                <c:pt idx="266">
                  <c:v>0.02</c:v>
                </c:pt>
                <c:pt idx="267">
                  <c:v>0.02</c:v>
                </c:pt>
                <c:pt idx="268">
                  <c:v>0.02</c:v>
                </c:pt>
                <c:pt idx="269">
                  <c:v>0.02</c:v>
                </c:pt>
                <c:pt idx="270">
                  <c:v>0.02</c:v>
                </c:pt>
                <c:pt idx="271">
                  <c:v>0.02</c:v>
                </c:pt>
                <c:pt idx="272">
                  <c:v>0.02</c:v>
                </c:pt>
                <c:pt idx="273">
                  <c:v>0.02</c:v>
                </c:pt>
              </c:numCache>
            </c:numRef>
          </c:val>
          <c:smooth val="0"/>
          <c:extLst>
            <c:ext xmlns:c16="http://schemas.microsoft.com/office/drawing/2014/chart" uri="{C3380CC4-5D6E-409C-BE32-E72D297353CC}">
              <c16:uniqueId val="{00000001-BD80-44C7-A1E3-9E2029D307B9}"/>
            </c:ext>
          </c:extLst>
        </c:ser>
        <c:dLbls>
          <c:showLegendKey val="0"/>
          <c:showVal val="0"/>
          <c:showCatName val="0"/>
          <c:showSerName val="0"/>
          <c:showPercent val="0"/>
          <c:showBubbleSize val="0"/>
        </c:dLbls>
        <c:smooth val="0"/>
        <c:axId val="615699024"/>
        <c:axId val="495403552"/>
      </c:lineChart>
      <c:dateAx>
        <c:axId val="615699024"/>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majorUnit val="12"/>
        <c:major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c:rich>
      </c:tx>
      <c:overlay val="0"/>
      <c:spPr>
        <a:noFill/>
        <a:ln>
          <a:noFill/>
          <a:prstDash val="solid"/>
        </a:ln>
      </c:spPr>
    </c:title>
    <c:autoTitleDeleted val="0"/>
    <c:plotArea>
      <c:layout/>
      <c:lineChart>
        <c:grouping val="standard"/>
        <c:varyColors val="0"/>
        <c:ser>
          <c:idx val="2"/>
          <c:order val="0"/>
          <c:tx>
            <c:strRef>
              <c:f>'PCE Core'!$D$4</c:f>
              <c:strCache>
                <c:ptCount val="1"/>
                <c:pt idx="0">
                  <c:v>PCE Core YoY</c:v>
                </c:pt>
              </c:strCache>
            </c:strRef>
          </c:tx>
          <c:spPr>
            <a:ln w="28575" cap="rnd">
              <a:solidFill>
                <a:schemeClr val="accent3"/>
              </a:solidFill>
              <a:prstDash val="solid"/>
              <a:round/>
            </a:ln>
          </c:spPr>
          <c:marker>
            <c:symbol val="none"/>
          </c:marker>
          <c:cat>
            <c:numRef>
              <c:f>'PCE Core'!$A$149:$A$786</c:f>
              <c:numCache>
                <c:formatCode>yyyy\-mm\-dd</c:formatCode>
                <c:ptCount val="638"/>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numCache>
            </c:numRef>
          </c:cat>
          <c:val>
            <c:numRef>
              <c:f>'PCE Core'!$D$149:$D$786</c:f>
              <c:numCache>
                <c:formatCode>0.00%</c:formatCode>
                <c:ptCount val="638"/>
                <c:pt idx="0">
                  <c:v>5.0259163272861833E-2</c:v>
                </c:pt>
                <c:pt idx="1">
                  <c:v>5.0205154211424199E-2</c:v>
                </c:pt>
                <c:pt idx="2">
                  <c:v>4.965092779717082E-2</c:v>
                </c:pt>
                <c:pt idx="3">
                  <c:v>4.9503591526742038E-2</c:v>
                </c:pt>
                <c:pt idx="4">
                  <c:v>5.0378407951126122E-2</c:v>
                </c:pt>
                <c:pt idx="5">
                  <c:v>5.0649586626692195E-2</c:v>
                </c:pt>
                <c:pt idx="6">
                  <c:v>5.068331975744416E-2</c:v>
                </c:pt>
                <c:pt idx="7">
                  <c:v>4.8570397763146103E-2</c:v>
                </c:pt>
                <c:pt idx="8">
                  <c:v>4.5897516504244042E-2</c:v>
                </c:pt>
                <c:pt idx="9">
                  <c:v>4.2456203074722886E-2</c:v>
                </c:pt>
                <c:pt idx="10">
                  <c:v>3.9436243997865925E-2</c:v>
                </c:pt>
                <c:pt idx="11">
                  <c:v>3.7469586374695919E-2</c:v>
                </c:pt>
                <c:pt idx="12">
                  <c:v>3.7807349960341963E-2</c:v>
                </c:pt>
                <c:pt idx="13">
                  <c:v>3.6654960491659228E-2</c:v>
                </c:pt>
                <c:pt idx="14">
                  <c:v>3.5400166280138166E-2</c:v>
                </c:pt>
                <c:pt idx="15">
                  <c:v>3.3916038188238316E-2</c:v>
                </c:pt>
                <c:pt idx="16">
                  <c:v>3.1815616997265372E-2</c:v>
                </c:pt>
                <c:pt idx="17">
                  <c:v>2.9832677590903096E-2</c:v>
                </c:pt>
                <c:pt idx="18">
                  <c:v>2.8856921354121875E-2</c:v>
                </c:pt>
                <c:pt idx="19">
                  <c:v>2.954711625306428E-2</c:v>
                </c:pt>
                <c:pt idx="20">
                  <c:v>3.130233157284551E-2</c:v>
                </c:pt>
                <c:pt idx="21">
                  <c:v>3.0266655234502251E-2</c:v>
                </c:pt>
                <c:pt idx="22">
                  <c:v>3.0625775268403162E-2</c:v>
                </c:pt>
                <c:pt idx="23">
                  <c:v>3.0530445164591399E-2</c:v>
                </c:pt>
                <c:pt idx="24">
                  <c:v>2.6791779891304358E-2</c:v>
                </c:pt>
                <c:pt idx="25">
                  <c:v>2.7270802456066143E-2</c:v>
                </c:pt>
                <c:pt idx="26">
                  <c:v>2.9371988842870438E-2</c:v>
                </c:pt>
                <c:pt idx="27">
                  <c:v>3.2929965847282638E-2</c:v>
                </c:pt>
                <c:pt idx="28">
                  <c:v>3.4536429412754567E-2</c:v>
                </c:pt>
                <c:pt idx="29">
                  <c:v>3.6945295772282741E-2</c:v>
                </c:pt>
                <c:pt idx="30">
                  <c:v>3.8387474882786252E-2</c:v>
                </c:pt>
                <c:pt idx="31">
                  <c:v>4.1064416409056753E-2</c:v>
                </c:pt>
                <c:pt idx="32">
                  <c:v>4.2801232409026509E-2</c:v>
                </c:pt>
                <c:pt idx="33">
                  <c:v>4.623002663115848E-2</c:v>
                </c:pt>
                <c:pt idx="34">
                  <c:v>4.8516289686657006E-2</c:v>
                </c:pt>
                <c:pt idx="35">
                  <c:v>5.1142005958291985E-2</c:v>
                </c:pt>
                <c:pt idx="36">
                  <c:v>5.5658933961874046E-2</c:v>
                </c:pt>
                <c:pt idx="37">
                  <c:v>5.9070860299270368E-2</c:v>
                </c:pt>
                <c:pt idx="38">
                  <c:v>6.3020897483269708E-2</c:v>
                </c:pt>
                <c:pt idx="39">
                  <c:v>6.4821618091272654E-2</c:v>
                </c:pt>
                <c:pt idx="40">
                  <c:v>7.0914487862399858E-2</c:v>
                </c:pt>
                <c:pt idx="41">
                  <c:v>7.7250091096805446E-2</c:v>
                </c:pt>
                <c:pt idx="42">
                  <c:v>8.2160854666397914E-2</c:v>
                </c:pt>
                <c:pt idx="43">
                  <c:v>8.7476425504594515E-2</c:v>
                </c:pt>
                <c:pt idx="44">
                  <c:v>9.1791104367962936E-2</c:v>
                </c:pt>
                <c:pt idx="45">
                  <c:v>9.6090363122936812E-2</c:v>
                </c:pt>
                <c:pt idx="46">
                  <c:v>9.8796706776440882E-2</c:v>
                </c:pt>
                <c:pt idx="47">
                  <c:v>0.10045662100456619</c:v>
                </c:pt>
                <c:pt idx="48">
                  <c:v>0.10145324924595557</c:v>
                </c:pt>
                <c:pt idx="49">
                  <c:v>0.10221080491981945</c:v>
                </c:pt>
                <c:pt idx="50">
                  <c:v>9.9412946083732495E-2</c:v>
                </c:pt>
                <c:pt idx="51">
                  <c:v>9.6526872651997275E-2</c:v>
                </c:pt>
                <c:pt idx="52">
                  <c:v>9.0670919239093359E-2</c:v>
                </c:pt>
                <c:pt idx="53">
                  <c:v>8.4902469275002834E-2</c:v>
                </c:pt>
                <c:pt idx="54">
                  <c:v>8.1995306038818327E-2</c:v>
                </c:pt>
                <c:pt idx="55">
                  <c:v>7.5384672152319074E-2</c:v>
                </c:pt>
                <c:pt idx="56">
                  <c:v>7.1567014079356409E-2</c:v>
                </c:pt>
                <c:pt idx="57">
                  <c:v>6.8543851373417009E-2</c:v>
                </c:pt>
                <c:pt idx="58">
                  <c:v>6.7831412103746366E-2</c:v>
                </c:pt>
                <c:pt idx="59">
                  <c:v>6.6783516955215366E-2</c:v>
                </c:pt>
                <c:pt idx="60">
                  <c:v>6.6040755361143691E-2</c:v>
                </c:pt>
                <c:pt idx="61">
                  <c:v>6.2751606751889163E-2</c:v>
                </c:pt>
                <c:pt idx="62">
                  <c:v>6.0739127380032287E-2</c:v>
                </c:pt>
                <c:pt idx="63">
                  <c:v>5.9711928401622219E-2</c:v>
                </c:pt>
                <c:pt idx="64">
                  <c:v>6.0261096605744059E-2</c:v>
                </c:pt>
                <c:pt idx="65">
                  <c:v>5.9343171897734394E-2</c:v>
                </c:pt>
                <c:pt idx="66">
                  <c:v>5.8669604737639464E-2</c:v>
                </c:pt>
                <c:pt idx="67">
                  <c:v>6.1110348613779938E-2</c:v>
                </c:pt>
                <c:pt idx="68">
                  <c:v>6.1565763429117536E-2</c:v>
                </c:pt>
                <c:pt idx="69">
                  <c:v>6.1464276011953228E-2</c:v>
                </c:pt>
                <c:pt idx="70">
                  <c:v>5.930573828559859E-2</c:v>
                </c:pt>
                <c:pt idx="71">
                  <c:v>5.8612480300439293E-2</c:v>
                </c:pt>
                <c:pt idx="72">
                  <c:v>5.9614358153189308E-2</c:v>
                </c:pt>
                <c:pt idx="73">
                  <c:v>6.1903970759262322E-2</c:v>
                </c:pt>
                <c:pt idx="74">
                  <c:v>6.2891207153502271E-2</c:v>
                </c:pt>
                <c:pt idx="75">
                  <c:v>6.4034045922406926E-2</c:v>
                </c:pt>
                <c:pt idx="76">
                  <c:v>6.4387969529813571E-2</c:v>
                </c:pt>
                <c:pt idx="77">
                  <c:v>6.6450832270512322E-2</c:v>
                </c:pt>
                <c:pt idx="78">
                  <c:v>6.7158839599323575E-2</c:v>
                </c:pt>
                <c:pt idx="79">
                  <c:v>6.6224737267582809E-2</c:v>
                </c:pt>
                <c:pt idx="80">
                  <c:v>6.452131421590683E-2</c:v>
                </c:pt>
                <c:pt idx="81">
                  <c:v>6.446349734467989E-2</c:v>
                </c:pt>
                <c:pt idx="82">
                  <c:v>6.5093468360880244E-2</c:v>
                </c:pt>
                <c:pt idx="83">
                  <c:v>6.4837984226030237E-2</c:v>
                </c:pt>
                <c:pt idx="84">
                  <c:v>6.4729402134559105E-2</c:v>
                </c:pt>
                <c:pt idx="85">
                  <c:v>6.2300519431754173E-2</c:v>
                </c:pt>
                <c:pt idx="86">
                  <c:v>6.353212438462022E-2</c:v>
                </c:pt>
                <c:pt idx="87">
                  <c:v>6.5141227172666086E-2</c:v>
                </c:pt>
                <c:pt idx="88">
                  <c:v>6.5983897337816441E-2</c:v>
                </c:pt>
                <c:pt idx="89">
                  <c:v>6.5560700377173514E-2</c:v>
                </c:pt>
                <c:pt idx="90">
                  <c:v>6.521805382013228E-2</c:v>
                </c:pt>
                <c:pt idx="91">
                  <c:v>6.5750765778060813E-2</c:v>
                </c:pt>
                <c:pt idx="92">
                  <c:v>6.7345151451091836E-2</c:v>
                </c:pt>
                <c:pt idx="93">
                  <c:v>7.0026748414630427E-2</c:v>
                </c:pt>
                <c:pt idx="94">
                  <c:v>7.0234713709074498E-2</c:v>
                </c:pt>
                <c:pt idx="95">
                  <c:v>6.8891665179368053E-2</c:v>
                </c:pt>
                <c:pt idx="96">
                  <c:v>6.7979538129453843E-2</c:v>
                </c:pt>
                <c:pt idx="97">
                  <c:v>6.7336298565495348E-2</c:v>
                </c:pt>
                <c:pt idx="98">
                  <c:v>6.770573931386048E-2</c:v>
                </c:pt>
                <c:pt idx="99">
                  <c:v>7.061768644117139E-2</c:v>
                </c:pt>
                <c:pt idx="100">
                  <c:v>7.3619631901840607E-2</c:v>
                </c:pt>
                <c:pt idx="101">
                  <c:v>7.3642406975740232E-2</c:v>
                </c:pt>
                <c:pt idx="102">
                  <c:v>7.2726232369181312E-2</c:v>
                </c:pt>
                <c:pt idx="103">
                  <c:v>7.4073020118949423E-2</c:v>
                </c:pt>
                <c:pt idx="104">
                  <c:v>7.5234134057663438E-2</c:v>
                </c:pt>
                <c:pt idx="105">
                  <c:v>7.5162205432126553E-2</c:v>
                </c:pt>
                <c:pt idx="106">
                  <c:v>7.6269765882550272E-2</c:v>
                </c:pt>
                <c:pt idx="107">
                  <c:v>7.9785161685312092E-2</c:v>
                </c:pt>
                <c:pt idx="108">
                  <c:v>8.2424275984273682E-2</c:v>
                </c:pt>
                <c:pt idx="109">
                  <c:v>8.9692286463364149E-2</c:v>
                </c:pt>
                <c:pt idx="110">
                  <c:v>9.3485896169465371E-2</c:v>
                </c:pt>
                <c:pt idx="111">
                  <c:v>8.9070146818923224E-2</c:v>
                </c:pt>
                <c:pt idx="112">
                  <c:v>8.8355795148247943E-2</c:v>
                </c:pt>
                <c:pt idx="113">
                  <c:v>8.9471427039777021E-2</c:v>
                </c:pt>
                <c:pt idx="114">
                  <c:v>9.1665555407387786E-2</c:v>
                </c:pt>
                <c:pt idx="115">
                  <c:v>9.2306061890631674E-2</c:v>
                </c:pt>
                <c:pt idx="116">
                  <c:v>9.5100257881164066E-2</c:v>
                </c:pt>
                <c:pt idx="117">
                  <c:v>9.6136262702787412E-2</c:v>
                </c:pt>
                <c:pt idx="118">
                  <c:v>9.7731284394143927E-2</c:v>
                </c:pt>
                <c:pt idx="119">
                  <c:v>9.6466585912734076E-2</c:v>
                </c:pt>
                <c:pt idx="120">
                  <c:v>9.7633968538176241E-2</c:v>
                </c:pt>
                <c:pt idx="121">
                  <c:v>9.4744839812587051E-2</c:v>
                </c:pt>
                <c:pt idx="122">
                  <c:v>9.0712905573260449E-2</c:v>
                </c:pt>
                <c:pt idx="123">
                  <c:v>9.2071100459356972E-2</c:v>
                </c:pt>
                <c:pt idx="124">
                  <c:v>9.0816781415622411E-2</c:v>
                </c:pt>
                <c:pt idx="125">
                  <c:v>8.9037051616395205E-2</c:v>
                </c:pt>
                <c:pt idx="126">
                  <c:v>8.7950747581354294E-2</c:v>
                </c:pt>
                <c:pt idx="127">
                  <c:v>8.7367808285631038E-2</c:v>
                </c:pt>
                <c:pt idx="128">
                  <c:v>8.4294502114571387E-2</c:v>
                </c:pt>
                <c:pt idx="129">
                  <c:v>8.1841797945613512E-2</c:v>
                </c:pt>
                <c:pt idx="130">
                  <c:v>7.9666107025467614E-2</c:v>
                </c:pt>
                <c:pt idx="131">
                  <c:v>7.7143663031214837E-2</c:v>
                </c:pt>
                <c:pt idx="132">
                  <c:v>7.4478001491424264E-2</c:v>
                </c:pt>
                <c:pt idx="133">
                  <c:v>7.0790727802711381E-2</c:v>
                </c:pt>
                <c:pt idx="134">
                  <c:v>6.9525606220954272E-2</c:v>
                </c:pt>
                <c:pt idx="135">
                  <c:v>6.6934893928310105E-2</c:v>
                </c:pt>
                <c:pt idx="136">
                  <c:v>6.5433079804745095E-2</c:v>
                </c:pt>
                <c:pt idx="137">
                  <c:v>6.544674121766629E-2</c:v>
                </c:pt>
                <c:pt idx="138">
                  <c:v>6.5930117668193816E-2</c:v>
                </c:pt>
                <c:pt idx="139">
                  <c:v>6.3707338835601202E-2</c:v>
                </c:pt>
                <c:pt idx="140">
                  <c:v>6.0699406081021118E-2</c:v>
                </c:pt>
                <c:pt idx="141">
                  <c:v>6.1088714118916927E-2</c:v>
                </c:pt>
                <c:pt idx="142">
                  <c:v>5.8828682815716848E-2</c:v>
                </c:pt>
                <c:pt idx="143">
                  <c:v>5.8307511019944941E-2</c:v>
                </c:pt>
                <c:pt idx="144">
                  <c:v>5.9035308406350337E-2</c:v>
                </c:pt>
                <c:pt idx="145">
                  <c:v>5.8873093375966842E-2</c:v>
                </c:pt>
                <c:pt idx="146">
                  <c:v>5.5605747719841697E-2</c:v>
                </c:pt>
                <c:pt idx="147">
                  <c:v>5.4636612958519119E-2</c:v>
                </c:pt>
                <c:pt idx="148">
                  <c:v>5.0418735482771107E-2</c:v>
                </c:pt>
                <c:pt idx="149">
                  <c:v>5.0061490182774358E-2</c:v>
                </c:pt>
                <c:pt idx="150">
                  <c:v>5.0307575629897995E-2</c:v>
                </c:pt>
                <c:pt idx="151">
                  <c:v>5.0895441009940014E-2</c:v>
                </c:pt>
                <c:pt idx="152">
                  <c:v>5.125044397551351E-2</c:v>
                </c:pt>
                <c:pt idx="153">
                  <c:v>4.6485072457750375E-2</c:v>
                </c:pt>
                <c:pt idx="154">
                  <c:v>4.5072811517458254E-2</c:v>
                </c:pt>
                <c:pt idx="155">
                  <c:v>4.2517217204833285E-2</c:v>
                </c:pt>
                <c:pt idx="156">
                  <c:v>3.8890026622977698E-2</c:v>
                </c:pt>
                <c:pt idx="157">
                  <c:v>4.1582501887331348E-2</c:v>
                </c:pt>
                <c:pt idx="158">
                  <c:v>4.419945795040036E-2</c:v>
                </c:pt>
                <c:pt idx="159">
                  <c:v>4.5934744626386484E-2</c:v>
                </c:pt>
                <c:pt idx="160">
                  <c:v>4.684235084089014E-2</c:v>
                </c:pt>
                <c:pt idx="161">
                  <c:v>4.4443995719160655E-2</c:v>
                </c:pt>
                <c:pt idx="162">
                  <c:v>4.194078947368423E-2</c:v>
                </c:pt>
                <c:pt idx="163">
                  <c:v>4.0009578352922445E-2</c:v>
                </c:pt>
                <c:pt idx="164">
                  <c:v>3.7403609189919661E-2</c:v>
                </c:pt>
                <c:pt idx="165">
                  <c:v>3.7893066164070954E-2</c:v>
                </c:pt>
                <c:pt idx="166">
                  <c:v>3.7666013498802497E-2</c:v>
                </c:pt>
                <c:pt idx="167">
                  <c:v>4.1020569620253126E-2</c:v>
                </c:pt>
                <c:pt idx="168">
                  <c:v>4.3347986358887383E-2</c:v>
                </c:pt>
                <c:pt idx="169">
                  <c:v>4.2214343082136792E-2</c:v>
                </c:pt>
                <c:pt idx="170">
                  <c:v>4.1918738534795739E-2</c:v>
                </c:pt>
                <c:pt idx="171">
                  <c:v>3.8265058368782044E-2</c:v>
                </c:pt>
                <c:pt idx="172">
                  <c:v>3.945583504515332E-2</c:v>
                </c:pt>
                <c:pt idx="173">
                  <c:v>4.0426107802954164E-2</c:v>
                </c:pt>
                <c:pt idx="174">
                  <c:v>3.9001289776117894E-2</c:v>
                </c:pt>
                <c:pt idx="175">
                  <c:v>4.0657738209447784E-2</c:v>
                </c:pt>
                <c:pt idx="176">
                  <c:v>4.1208475420514125E-2</c:v>
                </c:pt>
                <c:pt idx="177">
                  <c:v>4.0542865334990005E-2</c:v>
                </c:pt>
                <c:pt idx="178">
                  <c:v>4.089573875557926E-2</c:v>
                </c:pt>
                <c:pt idx="179">
                  <c:v>3.9594178667781345E-2</c:v>
                </c:pt>
                <c:pt idx="180">
                  <c:v>3.941203143893602E-2</c:v>
                </c:pt>
                <c:pt idx="181">
                  <c:v>3.6688970754078606E-2</c:v>
                </c:pt>
                <c:pt idx="182">
                  <c:v>3.6224011987263487E-2</c:v>
                </c:pt>
                <c:pt idx="183">
                  <c:v>3.6873515050605141E-2</c:v>
                </c:pt>
                <c:pt idx="184">
                  <c:v>3.5049778142361807E-2</c:v>
                </c:pt>
                <c:pt idx="185">
                  <c:v>3.4748676019697194E-2</c:v>
                </c:pt>
                <c:pt idx="186">
                  <c:v>3.359086950882853E-2</c:v>
                </c:pt>
                <c:pt idx="187">
                  <c:v>3.0680162988365903E-2</c:v>
                </c:pt>
                <c:pt idx="188">
                  <c:v>3.1941710059062801E-2</c:v>
                </c:pt>
                <c:pt idx="189">
                  <c:v>3.3764420604012066E-2</c:v>
                </c:pt>
                <c:pt idx="190">
                  <c:v>3.3424958768554114E-2</c:v>
                </c:pt>
                <c:pt idx="191">
                  <c:v>3.1945612047223904E-2</c:v>
                </c:pt>
                <c:pt idx="192">
                  <c:v>2.8847202530264952E-2</c:v>
                </c:pt>
                <c:pt idx="193">
                  <c:v>2.824715352817463E-2</c:v>
                </c:pt>
                <c:pt idx="194">
                  <c:v>2.8161376617742751E-2</c:v>
                </c:pt>
                <c:pt idx="195">
                  <c:v>3.0654590069284029E-2</c:v>
                </c:pt>
                <c:pt idx="196">
                  <c:v>3.1791491047948421E-2</c:v>
                </c:pt>
                <c:pt idx="197">
                  <c:v>3.1534524557780372E-2</c:v>
                </c:pt>
                <c:pt idx="198">
                  <c:v>3.2319936901731565E-2</c:v>
                </c:pt>
                <c:pt idx="199">
                  <c:v>3.3666660703744078E-2</c:v>
                </c:pt>
                <c:pt idx="200">
                  <c:v>3.4358562895604877E-2</c:v>
                </c:pt>
                <c:pt idx="201">
                  <c:v>3.5291608913530177E-2</c:v>
                </c:pt>
                <c:pt idx="202">
                  <c:v>3.5251977160690846E-2</c:v>
                </c:pt>
                <c:pt idx="203">
                  <c:v>3.6110225622498521E-2</c:v>
                </c:pt>
                <c:pt idx="204">
                  <c:v>3.851522057914171E-2</c:v>
                </c:pt>
                <c:pt idx="205">
                  <c:v>3.8579539443523686E-2</c:v>
                </c:pt>
                <c:pt idx="206">
                  <c:v>3.9942336767343017E-2</c:v>
                </c:pt>
                <c:pt idx="207">
                  <c:v>4.057910123768018E-2</c:v>
                </c:pt>
                <c:pt idx="208">
                  <c:v>4.1216416737950123E-2</c:v>
                </c:pt>
                <c:pt idx="209">
                  <c:v>4.2739506624188267E-2</c:v>
                </c:pt>
                <c:pt idx="210">
                  <c:v>4.4296653874871972E-2</c:v>
                </c:pt>
                <c:pt idx="211">
                  <c:v>4.3369157018500255E-2</c:v>
                </c:pt>
                <c:pt idx="212">
                  <c:v>4.4835551265255451E-2</c:v>
                </c:pt>
                <c:pt idx="213">
                  <c:v>4.4335736354274041E-2</c:v>
                </c:pt>
                <c:pt idx="214">
                  <c:v>4.5013874139289513E-2</c:v>
                </c:pt>
                <c:pt idx="215">
                  <c:v>4.6269549611144357E-2</c:v>
                </c:pt>
                <c:pt idx="216">
                  <c:v>4.6630714006226495E-2</c:v>
                </c:pt>
                <c:pt idx="217">
                  <c:v>4.7129129740925542E-2</c:v>
                </c:pt>
                <c:pt idx="218">
                  <c:v>4.5795719647022955E-2</c:v>
                </c:pt>
                <c:pt idx="219">
                  <c:v>4.4228731010581883E-2</c:v>
                </c:pt>
                <c:pt idx="220">
                  <c:v>4.3793172825430923E-2</c:v>
                </c:pt>
                <c:pt idx="221">
                  <c:v>4.2139708828636317E-2</c:v>
                </c:pt>
                <c:pt idx="222">
                  <c:v>4.0588626538077863E-2</c:v>
                </c:pt>
                <c:pt idx="223">
                  <c:v>3.9476521421818164E-2</c:v>
                </c:pt>
                <c:pt idx="224">
                  <c:v>3.7500206226387132E-2</c:v>
                </c:pt>
                <c:pt idx="225">
                  <c:v>3.7325575661949502E-2</c:v>
                </c:pt>
                <c:pt idx="226">
                  <c:v>3.7239796754630364E-2</c:v>
                </c:pt>
                <c:pt idx="227">
                  <c:v>3.6757498529700054E-2</c:v>
                </c:pt>
                <c:pt idx="228">
                  <c:v>3.5499496115210895E-2</c:v>
                </c:pt>
                <c:pt idx="229">
                  <c:v>3.7906546904893285E-2</c:v>
                </c:pt>
                <c:pt idx="230">
                  <c:v>3.9765287813394015E-2</c:v>
                </c:pt>
                <c:pt idx="231">
                  <c:v>3.9391010149830839E-2</c:v>
                </c:pt>
                <c:pt idx="232">
                  <c:v>3.9450012850167103E-2</c:v>
                </c:pt>
                <c:pt idx="233">
                  <c:v>4.0740147388657354E-2</c:v>
                </c:pt>
                <c:pt idx="234">
                  <c:v>4.0699253767117763E-2</c:v>
                </c:pt>
                <c:pt idx="235">
                  <c:v>4.3546250937465086E-2</c:v>
                </c:pt>
                <c:pt idx="236">
                  <c:v>4.3586807874566556E-2</c:v>
                </c:pt>
                <c:pt idx="237">
                  <c:v>4.3350128339195694E-2</c:v>
                </c:pt>
                <c:pt idx="238">
                  <c:v>4.1828640055624124E-2</c:v>
                </c:pt>
                <c:pt idx="239">
                  <c:v>4.0323343102959208E-2</c:v>
                </c:pt>
                <c:pt idx="240">
                  <c:v>4.1503155118826976E-2</c:v>
                </c:pt>
                <c:pt idx="241">
                  <c:v>3.9318295426143395E-2</c:v>
                </c:pt>
                <c:pt idx="242">
                  <c:v>3.6518819084930799E-2</c:v>
                </c:pt>
                <c:pt idx="243">
                  <c:v>3.5495621173370628E-2</c:v>
                </c:pt>
                <c:pt idx="244">
                  <c:v>3.6469279268141912E-2</c:v>
                </c:pt>
                <c:pt idx="245">
                  <c:v>3.4681280113295264E-2</c:v>
                </c:pt>
                <c:pt idx="246">
                  <c:v>3.5207591205011768E-2</c:v>
                </c:pt>
                <c:pt idx="247">
                  <c:v>3.3762500382274664E-2</c:v>
                </c:pt>
                <c:pt idx="248">
                  <c:v>3.4284669419598644E-2</c:v>
                </c:pt>
                <c:pt idx="249">
                  <c:v>3.3044798785117721E-2</c:v>
                </c:pt>
                <c:pt idx="250">
                  <c:v>3.3733258505361886E-2</c:v>
                </c:pt>
                <c:pt idx="251">
                  <c:v>3.4837400221141714E-2</c:v>
                </c:pt>
                <c:pt idx="252">
                  <c:v>3.250941974378313E-2</c:v>
                </c:pt>
                <c:pt idx="253">
                  <c:v>3.2465092510483469E-2</c:v>
                </c:pt>
                <c:pt idx="254">
                  <c:v>3.2892368610511126E-2</c:v>
                </c:pt>
                <c:pt idx="255">
                  <c:v>3.4218995584162665E-2</c:v>
                </c:pt>
                <c:pt idx="256">
                  <c:v>3.1548187022900756E-2</c:v>
                </c:pt>
                <c:pt idx="257">
                  <c:v>3.0141632944537172E-2</c:v>
                </c:pt>
                <c:pt idx="258">
                  <c:v>3.0880586167514476E-2</c:v>
                </c:pt>
                <c:pt idx="259">
                  <c:v>2.9006301215868394E-2</c:v>
                </c:pt>
                <c:pt idx="260">
                  <c:v>2.6562753215375039E-2</c:v>
                </c:pt>
                <c:pt idx="261">
                  <c:v>2.8253902919471923E-2</c:v>
                </c:pt>
                <c:pt idx="262">
                  <c:v>2.8582747641336306E-2</c:v>
                </c:pt>
                <c:pt idx="263">
                  <c:v>2.7956265277147535E-2</c:v>
                </c:pt>
                <c:pt idx="264">
                  <c:v>2.8143109463266487E-2</c:v>
                </c:pt>
                <c:pt idx="265">
                  <c:v>2.7324472653690993E-2</c:v>
                </c:pt>
                <c:pt idx="266">
                  <c:v>2.6980323821970582E-2</c:v>
                </c:pt>
                <c:pt idx="267">
                  <c:v>2.6602596575530942E-2</c:v>
                </c:pt>
                <c:pt idx="268">
                  <c:v>2.8632132739781387E-2</c:v>
                </c:pt>
                <c:pt idx="269">
                  <c:v>2.8811992721180645E-2</c:v>
                </c:pt>
                <c:pt idx="270">
                  <c:v>2.7077967857502626E-2</c:v>
                </c:pt>
                <c:pt idx="271">
                  <c:v>2.8044906349274912E-2</c:v>
                </c:pt>
                <c:pt idx="272">
                  <c:v>2.7913318025258222E-2</c:v>
                </c:pt>
                <c:pt idx="273">
                  <c:v>2.5676216618059224E-2</c:v>
                </c:pt>
                <c:pt idx="274">
                  <c:v>2.6062395686224135E-2</c:v>
                </c:pt>
                <c:pt idx="275">
                  <c:v>2.461875809827568E-2</c:v>
                </c:pt>
                <c:pt idx="276">
                  <c:v>2.2474621991907411E-2</c:v>
                </c:pt>
                <c:pt idx="277">
                  <c:v>2.2715034717302095E-2</c:v>
                </c:pt>
                <c:pt idx="278">
                  <c:v>2.3995022835569799E-2</c:v>
                </c:pt>
                <c:pt idx="279">
                  <c:v>2.2543670430994426E-2</c:v>
                </c:pt>
                <c:pt idx="280">
                  <c:v>2.1371664629262752E-2</c:v>
                </c:pt>
                <c:pt idx="281">
                  <c:v>2.2656765444923347E-2</c:v>
                </c:pt>
                <c:pt idx="282">
                  <c:v>2.2679834699166488E-2</c:v>
                </c:pt>
                <c:pt idx="283">
                  <c:v>2.1924550462820519E-2</c:v>
                </c:pt>
                <c:pt idx="284">
                  <c:v>2.1947643979057629E-2</c:v>
                </c:pt>
                <c:pt idx="285">
                  <c:v>2.2649977698483498E-2</c:v>
                </c:pt>
                <c:pt idx="286">
                  <c:v>2.1896896896896938E-2</c:v>
                </c:pt>
                <c:pt idx="287">
                  <c:v>2.1789883268482659E-2</c:v>
                </c:pt>
                <c:pt idx="288">
                  <c:v>2.350801188591738E-2</c:v>
                </c:pt>
                <c:pt idx="289">
                  <c:v>2.2972579773599563E-2</c:v>
                </c:pt>
                <c:pt idx="290">
                  <c:v>2.1996685998343049E-2</c:v>
                </c:pt>
                <c:pt idx="291">
                  <c:v>2.2832561217736483E-2</c:v>
                </c:pt>
                <c:pt idx="292">
                  <c:v>2.2300178841656478E-2</c:v>
                </c:pt>
                <c:pt idx="293">
                  <c:v>2.0919410852287559E-2</c:v>
                </c:pt>
                <c:pt idx="294">
                  <c:v>2.0396142677113448E-2</c:v>
                </c:pt>
                <c:pt idx="295">
                  <c:v>2.1686779957857977E-2</c:v>
                </c:pt>
                <c:pt idx="296">
                  <c:v>2.1489951773979714E-2</c:v>
                </c:pt>
                <c:pt idx="297">
                  <c:v>2.1575869917812678E-2</c:v>
                </c:pt>
                <c:pt idx="298">
                  <c:v>2.0366515652422347E-2</c:v>
                </c:pt>
                <c:pt idx="299">
                  <c:v>2.1447611794146421E-2</c:v>
                </c:pt>
                <c:pt idx="300">
                  <c:v>2.006484785174532E-2</c:v>
                </c:pt>
                <c:pt idx="301">
                  <c:v>1.9734257967520333E-2</c:v>
                </c:pt>
                <c:pt idx="302">
                  <c:v>1.9577641765635739E-2</c:v>
                </c:pt>
                <c:pt idx="303">
                  <c:v>1.8615874042920311E-2</c:v>
                </c:pt>
                <c:pt idx="304">
                  <c:v>1.8637886719328103E-2</c:v>
                </c:pt>
                <c:pt idx="305">
                  <c:v>1.85411764705883E-2</c:v>
                </c:pt>
                <c:pt idx="306">
                  <c:v>1.8847408481333958E-2</c:v>
                </c:pt>
                <c:pt idx="307">
                  <c:v>1.7289175181797442E-2</c:v>
                </c:pt>
                <c:pt idx="308">
                  <c:v>1.9018322856760694E-2</c:v>
                </c:pt>
                <c:pt idx="309">
                  <c:v>1.8958800298858023E-2</c:v>
                </c:pt>
                <c:pt idx="310">
                  <c:v>1.9639999999999987E-2</c:v>
                </c:pt>
                <c:pt idx="311">
                  <c:v>1.8613940483323294E-2</c:v>
                </c:pt>
                <c:pt idx="312">
                  <c:v>1.8539699428115515E-2</c:v>
                </c:pt>
                <c:pt idx="313">
                  <c:v>1.9299224311975387E-2</c:v>
                </c:pt>
                <c:pt idx="314">
                  <c:v>1.9387241260501894E-2</c:v>
                </c:pt>
                <c:pt idx="315">
                  <c:v>1.9982796268113612E-2</c:v>
                </c:pt>
                <c:pt idx="316">
                  <c:v>1.8957408581695232E-2</c:v>
                </c:pt>
                <c:pt idx="317">
                  <c:v>1.9682128996488628E-2</c:v>
                </c:pt>
                <c:pt idx="318">
                  <c:v>1.8446051886108691E-2</c:v>
                </c:pt>
                <c:pt idx="319">
                  <c:v>1.7179642452805254E-2</c:v>
                </c:pt>
                <c:pt idx="320">
                  <c:v>1.62090508189838E-2</c:v>
                </c:pt>
                <c:pt idx="321">
                  <c:v>1.5345737367917943E-2</c:v>
                </c:pt>
                <c:pt idx="322">
                  <c:v>1.4318779176964403E-2</c:v>
                </c:pt>
                <c:pt idx="323">
                  <c:v>1.4509234931963445E-2</c:v>
                </c:pt>
                <c:pt idx="324">
                  <c:v>1.4990076256137E-2</c:v>
                </c:pt>
                <c:pt idx="325">
                  <c:v>1.3773602116209096E-2</c:v>
                </c:pt>
                <c:pt idx="326">
                  <c:v>1.2427689307767347E-2</c:v>
                </c:pt>
                <c:pt idx="327">
                  <c:v>1.2312682452156965E-2</c:v>
                </c:pt>
                <c:pt idx="328">
                  <c:v>1.2563042097211161E-2</c:v>
                </c:pt>
                <c:pt idx="329">
                  <c:v>9.7999870541781442E-3</c:v>
                </c:pt>
                <c:pt idx="330">
                  <c:v>1.1966829243049501E-2</c:v>
                </c:pt>
                <c:pt idx="331">
                  <c:v>1.433988636804851E-2</c:v>
                </c:pt>
                <c:pt idx="332">
                  <c:v>1.2062975447841158E-2</c:v>
                </c:pt>
                <c:pt idx="333">
                  <c:v>1.249597008188786E-2</c:v>
                </c:pt>
                <c:pt idx="334">
                  <c:v>1.2376237623762479E-2</c:v>
                </c:pt>
                <c:pt idx="335">
                  <c:v>1.3528661435584208E-2</c:v>
                </c:pt>
                <c:pt idx="336">
                  <c:v>1.3430762105696456E-2</c:v>
                </c:pt>
                <c:pt idx="337">
                  <c:v>1.2223964626339923E-2</c:v>
                </c:pt>
                <c:pt idx="338">
                  <c:v>1.1453371168834452E-2</c:v>
                </c:pt>
                <c:pt idx="339">
                  <c:v>1.2188557366963927E-2</c:v>
                </c:pt>
                <c:pt idx="340">
                  <c:v>1.2176696542893824E-2</c:v>
                </c:pt>
                <c:pt idx="341">
                  <c:v>1.3974000666649618E-2</c:v>
                </c:pt>
                <c:pt idx="342">
                  <c:v>1.2950320881593482E-2</c:v>
                </c:pt>
                <c:pt idx="343">
                  <c:v>1.1457735247208882E-2</c:v>
                </c:pt>
                <c:pt idx="344">
                  <c:v>1.4318347136968643E-2</c:v>
                </c:pt>
                <c:pt idx="345">
                  <c:v>1.4073923121991034E-2</c:v>
                </c:pt>
                <c:pt idx="346">
                  <c:v>1.4860941320293237E-2</c:v>
                </c:pt>
                <c:pt idx="347">
                  <c:v>1.4403213709113686E-2</c:v>
                </c:pt>
                <c:pt idx="348">
                  <c:v>1.5372702345892131E-2</c:v>
                </c:pt>
                <c:pt idx="349">
                  <c:v>1.7231964850347298E-2</c:v>
                </c:pt>
                <c:pt idx="350">
                  <c:v>1.9003973442677059E-2</c:v>
                </c:pt>
                <c:pt idx="351">
                  <c:v>1.7068692624248167E-2</c:v>
                </c:pt>
                <c:pt idx="352">
                  <c:v>1.7178783317099138E-2</c:v>
                </c:pt>
                <c:pt idx="353">
                  <c:v>1.7422748191978962E-2</c:v>
                </c:pt>
                <c:pt idx="354">
                  <c:v>1.790875244525774E-2</c:v>
                </c:pt>
                <c:pt idx="355">
                  <c:v>1.8720119082159235E-2</c:v>
                </c:pt>
                <c:pt idx="356">
                  <c:v>1.8494520840934524E-2</c:v>
                </c:pt>
                <c:pt idx="357">
                  <c:v>1.8186613747974645E-2</c:v>
                </c:pt>
                <c:pt idx="358">
                  <c:v>1.9009975531714671E-2</c:v>
                </c:pt>
                <c:pt idx="359">
                  <c:v>1.8710211038147212E-2</c:v>
                </c:pt>
                <c:pt idx="360">
                  <c:v>2.0065760686111545E-2</c:v>
                </c:pt>
                <c:pt idx="361">
                  <c:v>2.0348038848525825E-2</c:v>
                </c:pt>
                <c:pt idx="362">
                  <c:v>1.932228728042858E-2</c:v>
                </c:pt>
                <c:pt idx="363">
                  <c:v>2.0268167274628691E-2</c:v>
                </c:pt>
                <c:pt idx="364">
                  <c:v>1.9413249760598848E-2</c:v>
                </c:pt>
                <c:pt idx="365">
                  <c:v>2.0927053560333014E-2</c:v>
                </c:pt>
                <c:pt idx="366">
                  <c:v>2.1226473578495837E-2</c:v>
                </c:pt>
                <c:pt idx="367">
                  <c:v>2.0419282538974959E-2</c:v>
                </c:pt>
                <c:pt idx="368">
                  <c:v>1.2179906859535655E-2</c:v>
                </c:pt>
                <c:pt idx="369">
                  <c:v>1.7874104136085121E-2</c:v>
                </c:pt>
                <c:pt idx="370">
                  <c:v>1.813816032508328E-2</c:v>
                </c:pt>
                <c:pt idx="371">
                  <c:v>1.7382425666449295E-2</c:v>
                </c:pt>
                <c:pt idx="372">
                  <c:v>1.4192567898813624E-2</c:v>
                </c:pt>
                <c:pt idx="373">
                  <c:v>1.4326612508564063E-2</c:v>
                </c:pt>
                <c:pt idx="374">
                  <c:v>1.4482834480145711E-2</c:v>
                </c:pt>
                <c:pt idx="375">
                  <c:v>1.5704506351356375E-2</c:v>
                </c:pt>
                <c:pt idx="376">
                  <c:v>1.6603635476393853E-2</c:v>
                </c:pt>
                <c:pt idx="377">
                  <c:v>1.5933490761253225E-2</c:v>
                </c:pt>
                <c:pt idx="378">
                  <c:v>1.5370419833426479E-2</c:v>
                </c:pt>
                <c:pt idx="379">
                  <c:v>1.6879838846685813E-2</c:v>
                </c:pt>
                <c:pt idx="380">
                  <c:v>2.4347380368322836E-2</c:v>
                </c:pt>
                <c:pt idx="381">
                  <c:v>1.8044985214988488E-2</c:v>
                </c:pt>
                <c:pt idx="382">
                  <c:v>1.698051594644602E-2</c:v>
                </c:pt>
                <c:pt idx="383">
                  <c:v>1.7690019588401829E-2</c:v>
                </c:pt>
                <c:pt idx="384">
                  <c:v>1.7800604229607237E-2</c:v>
                </c:pt>
                <c:pt idx="385">
                  <c:v>1.7272365421496402E-2</c:v>
                </c:pt>
                <c:pt idx="386">
                  <c:v>1.7685468520347969E-2</c:v>
                </c:pt>
                <c:pt idx="387">
                  <c:v>1.5978279151349122E-2</c:v>
                </c:pt>
                <c:pt idx="388">
                  <c:v>1.6308456636785765E-2</c:v>
                </c:pt>
                <c:pt idx="389">
                  <c:v>1.5276230185830917E-2</c:v>
                </c:pt>
                <c:pt idx="390">
                  <c:v>1.5747560742299514E-2</c:v>
                </c:pt>
                <c:pt idx="391">
                  <c:v>1.4893134599090715E-2</c:v>
                </c:pt>
                <c:pt idx="392">
                  <c:v>1.4654371291729263E-2</c:v>
                </c:pt>
                <c:pt idx="393">
                  <c:v>1.5653830129158951E-2</c:v>
                </c:pt>
                <c:pt idx="394">
                  <c:v>1.6054800385315142E-2</c:v>
                </c:pt>
                <c:pt idx="395">
                  <c:v>1.6384482861046643E-2</c:v>
                </c:pt>
                <c:pt idx="396">
                  <c:v>1.828479156524947E-2</c:v>
                </c:pt>
                <c:pt idx="397">
                  <c:v>1.8532351581119082E-2</c:v>
                </c:pt>
                <c:pt idx="398">
                  <c:v>1.8609276227004791E-2</c:v>
                </c:pt>
                <c:pt idx="399">
                  <c:v>2.012581591145585E-2</c:v>
                </c:pt>
                <c:pt idx="400">
                  <c:v>2.0049592631951912E-2</c:v>
                </c:pt>
                <c:pt idx="401">
                  <c:v>2.1088531709504664E-2</c:v>
                </c:pt>
                <c:pt idx="402">
                  <c:v>1.9764800056504515E-2</c:v>
                </c:pt>
                <c:pt idx="403">
                  <c:v>1.9001704979716615E-2</c:v>
                </c:pt>
                <c:pt idx="404">
                  <c:v>1.9480061998027241E-2</c:v>
                </c:pt>
                <c:pt idx="405">
                  <c:v>1.9831223628692069E-2</c:v>
                </c:pt>
                <c:pt idx="406">
                  <c:v>2.0623383311679958E-2</c:v>
                </c:pt>
                <c:pt idx="407">
                  <c:v>2.0656036659496987E-2</c:v>
                </c:pt>
                <c:pt idx="408">
                  <c:v>2.171099425160028E-2</c:v>
                </c:pt>
                <c:pt idx="409">
                  <c:v>2.17457102279341E-2</c:v>
                </c:pt>
                <c:pt idx="410">
                  <c:v>2.2557701694442371E-2</c:v>
                </c:pt>
                <c:pt idx="411">
                  <c:v>2.1084965805030748E-2</c:v>
                </c:pt>
                <c:pt idx="412">
                  <c:v>2.1773857480205584E-2</c:v>
                </c:pt>
                <c:pt idx="413">
                  <c:v>2.0861022825772811E-2</c:v>
                </c:pt>
                <c:pt idx="414">
                  <c:v>2.1147896753936298E-2</c:v>
                </c:pt>
                <c:pt idx="415">
                  <c:v>2.1589873184015822E-2</c:v>
                </c:pt>
                <c:pt idx="416">
                  <c:v>2.1941190698317282E-2</c:v>
                </c:pt>
                <c:pt idx="417">
                  <c:v>2.2640555325702187E-2</c:v>
                </c:pt>
                <c:pt idx="418">
                  <c:v>2.3062191080172888E-2</c:v>
                </c:pt>
                <c:pt idx="419">
                  <c:v>2.2803541363631153E-2</c:v>
                </c:pt>
                <c:pt idx="420">
                  <c:v>2.1432239657631955E-2</c:v>
                </c:pt>
                <c:pt idx="421">
                  <c:v>2.1385439216133183E-2</c:v>
                </c:pt>
                <c:pt idx="422">
                  <c:v>2.1673656335595155E-2</c:v>
                </c:pt>
                <c:pt idx="423">
                  <c:v>2.3612482829865229E-2</c:v>
                </c:pt>
                <c:pt idx="424">
                  <c:v>2.4085466018647434E-2</c:v>
                </c:pt>
                <c:pt idx="425">
                  <c:v>2.5959470168685682E-2</c:v>
                </c:pt>
                <c:pt idx="426">
                  <c:v>2.5457834049287923E-2</c:v>
                </c:pt>
                <c:pt idx="427">
                  <c:v>2.6702209370623103E-2</c:v>
                </c:pt>
                <c:pt idx="428">
                  <c:v>2.6057163465873365E-2</c:v>
                </c:pt>
                <c:pt idx="429">
                  <c:v>2.4971342518711585E-2</c:v>
                </c:pt>
                <c:pt idx="430">
                  <c:v>2.2844972536711253E-2</c:v>
                </c:pt>
                <c:pt idx="431">
                  <c:v>2.3157376094600318E-2</c:v>
                </c:pt>
                <c:pt idx="432">
                  <c:v>2.5004748444186223E-2</c:v>
                </c:pt>
                <c:pt idx="433">
                  <c:v>2.5566945910069354E-2</c:v>
                </c:pt>
                <c:pt idx="434">
                  <c:v>2.3783567312612532E-2</c:v>
                </c:pt>
                <c:pt idx="435">
                  <c:v>2.2114030320841974E-2</c:v>
                </c:pt>
                <c:pt idx="436">
                  <c:v>2.0764422810996289E-2</c:v>
                </c:pt>
                <c:pt idx="437">
                  <c:v>1.9873542036789798E-2</c:v>
                </c:pt>
                <c:pt idx="438">
                  <c:v>2.0405238557191983E-2</c:v>
                </c:pt>
                <c:pt idx="439">
                  <c:v>1.9857859531772493E-2</c:v>
                </c:pt>
                <c:pt idx="440">
                  <c:v>2.1023725834797748E-2</c:v>
                </c:pt>
                <c:pt idx="441">
                  <c:v>2.1841147318100135E-2</c:v>
                </c:pt>
                <c:pt idx="442">
                  <c:v>2.3353936524636156E-2</c:v>
                </c:pt>
                <c:pt idx="443">
                  <c:v>2.4045091386669458E-2</c:v>
                </c:pt>
                <c:pt idx="444">
                  <c:v>2.193130661318277E-2</c:v>
                </c:pt>
                <c:pt idx="445">
                  <c:v>2.0720260172505698E-2</c:v>
                </c:pt>
                <c:pt idx="446">
                  <c:v>2.1688108484005666E-2</c:v>
                </c:pt>
                <c:pt idx="447">
                  <c:v>2.0832655187005649E-2</c:v>
                </c:pt>
                <c:pt idx="448">
                  <c:v>2.1490809779781406E-2</c:v>
                </c:pt>
                <c:pt idx="449">
                  <c:v>2.2147926945382118E-2</c:v>
                </c:pt>
                <c:pt idx="450">
                  <c:v>2.2449574884132999E-2</c:v>
                </c:pt>
                <c:pt idx="451">
                  <c:v>2.2178833022297621E-2</c:v>
                </c:pt>
                <c:pt idx="452">
                  <c:v>2.0440217742109062E-2</c:v>
                </c:pt>
                <c:pt idx="453">
                  <c:v>1.6341903085969313E-2</c:v>
                </c:pt>
                <c:pt idx="454">
                  <c:v>1.390034161856522E-2</c:v>
                </c:pt>
                <c:pt idx="455">
                  <c:v>1.137153056098846E-2</c:v>
                </c:pt>
                <c:pt idx="456">
                  <c:v>9.0557102172730865E-3</c:v>
                </c:pt>
                <c:pt idx="457">
                  <c:v>8.8764332296152413E-3</c:v>
                </c:pt>
                <c:pt idx="458">
                  <c:v>7.625388182243573E-3</c:v>
                </c:pt>
                <c:pt idx="459">
                  <c:v>9.2896697596802323E-3</c:v>
                </c:pt>
                <c:pt idx="460">
                  <c:v>8.2223754707973652E-3</c:v>
                </c:pt>
                <c:pt idx="461">
                  <c:v>7.1979760984851706E-3</c:v>
                </c:pt>
                <c:pt idx="462">
                  <c:v>6.255217083505021E-3</c:v>
                </c:pt>
                <c:pt idx="463">
                  <c:v>6.5113922981942249E-3</c:v>
                </c:pt>
                <c:pt idx="464">
                  <c:v>7.2427098488202675E-3</c:v>
                </c:pt>
                <c:pt idx="465">
                  <c:v>1.2394556530368845E-2</c:v>
                </c:pt>
                <c:pt idx="466">
                  <c:v>1.3741457798620443E-2</c:v>
                </c:pt>
                <c:pt idx="467">
                  <c:v>1.5100759793302427E-2</c:v>
                </c:pt>
                <c:pt idx="468">
                  <c:v>1.6902391069956127E-2</c:v>
                </c:pt>
                <c:pt idx="469">
                  <c:v>1.6984061598909871E-2</c:v>
                </c:pt>
                <c:pt idx="470">
                  <c:v>1.7774025014512612E-2</c:v>
                </c:pt>
                <c:pt idx="471">
                  <c:v>1.6017776467243078E-2</c:v>
                </c:pt>
                <c:pt idx="472">
                  <c:v>1.6363253709354864E-2</c:v>
                </c:pt>
                <c:pt idx="473">
                  <c:v>1.5564733949196633E-2</c:v>
                </c:pt>
                <c:pt idx="474">
                  <c:v>1.4700786492077235E-2</c:v>
                </c:pt>
                <c:pt idx="475">
                  <c:v>1.4175771174533981E-2</c:v>
                </c:pt>
                <c:pt idx="476">
                  <c:v>1.2978721177295706E-2</c:v>
                </c:pt>
                <c:pt idx="477">
                  <c:v>1.0793280010011123E-2</c:v>
                </c:pt>
                <c:pt idx="478">
                  <c:v>1.1210902498489318E-2</c:v>
                </c:pt>
                <c:pt idx="479">
                  <c:v>1.0555902560899394E-2</c:v>
                </c:pt>
                <c:pt idx="480">
                  <c:v>1.1247284331763785E-2</c:v>
                </c:pt>
                <c:pt idx="481">
                  <c:v>1.2130653788232916E-2</c:v>
                </c:pt>
                <c:pt idx="482">
                  <c:v>1.2143649731927037E-2</c:v>
                </c:pt>
                <c:pt idx="483">
                  <c:v>1.3951367151060384E-2</c:v>
                </c:pt>
                <c:pt idx="484">
                  <c:v>1.5240461769425982E-2</c:v>
                </c:pt>
                <c:pt idx="485">
                  <c:v>1.5853961420647367E-2</c:v>
                </c:pt>
                <c:pt idx="486">
                  <c:v>1.7343971521115997E-2</c:v>
                </c:pt>
                <c:pt idx="487">
                  <c:v>1.8392159295329037E-2</c:v>
                </c:pt>
                <c:pt idx="488">
                  <c:v>1.8505698432543544E-2</c:v>
                </c:pt>
                <c:pt idx="489">
                  <c:v>1.7445939253879196E-2</c:v>
                </c:pt>
                <c:pt idx="490">
                  <c:v>1.8278484142848321E-2</c:v>
                </c:pt>
                <c:pt idx="491">
                  <c:v>1.9758122669303897E-2</c:v>
                </c:pt>
                <c:pt idx="492">
                  <c:v>2.0609972965471825E-2</c:v>
                </c:pt>
                <c:pt idx="493">
                  <c:v>2.0245656880752763E-2</c:v>
                </c:pt>
                <c:pt idx="494">
                  <c:v>2.0440573770491851E-2</c:v>
                </c:pt>
                <c:pt idx="495">
                  <c:v>1.9647530258423262E-2</c:v>
                </c:pt>
                <c:pt idx="496">
                  <c:v>1.8254688599487971E-2</c:v>
                </c:pt>
                <c:pt idx="497">
                  <c:v>1.8194042622550033E-2</c:v>
                </c:pt>
                <c:pt idx="498">
                  <c:v>1.7739983114465611E-2</c:v>
                </c:pt>
                <c:pt idx="499">
                  <c:v>1.6354499771585242E-2</c:v>
                </c:pt>
                <c:pt idx="500">
                  <c:v>1.692164103396494E-2</c:v>
                </c:pt>
                <c:pt idx="501">
                  <c:v>1.8890883095549534E-2</c:v>
                </c:pt>
                <c:pt idx="502">
                  <c:v>1.7839073946654703E-2</c:v>
                </c:pt>
                <c:pt idx="503">
                  <c:v>1.6890253757879396E-2</c:v>
                </c:pt>
                <c:pt idx="504">
                  <c:v>1.5943517847071133E-2</c:v>
                </c:pt>
                <c:pt idx="505">
                  <c:v>1.5750407338120838E-2</c:v>
                </c:pt>
                <c:pt idx="506">
                  <c:v>1.4960590391083838E-2</c:v>
                </c:pt>
                <c:pt idx="507">
                  <c:v>1.4206083451968015E-2</c:v>
                </c:pt>
                <c:pt idx="508">
                  <c:v>1.4271835908940794E-2</c:v>
                </c:pt>
                <c:pt idx="509">
                  <c:v>1.4887443721860925E-2</c:v>
                </c:pt>
                <c:pt idx="510">
                  <c:v>1.5131980050573155E-2</c:v>
                </c:pt>
                <c:pt idx="511">
                  <c:v>1.5671820688001943E-2</c:v>
                </c:pt>
                <c:pt idx="512">
                  <c:v>1.5552673583399958E-2</c:v>
                </c:pt>
                <c:pt idx="513">
                  <c:v>1.5256463844270629E-2</c:v>
                </c:pt>
                <c:pt idx="514">
                  <c:v>1.5935819307890453E-2</c:v>
                </c:pt>
                <c:pt idx="515">
                  <c:v>1.6579909401573521E-2</c:v>
                </c:pt>
                <c:pt idx="516">
                  <c:v>1.5415729000406529E-2</c:v>
                </c:pt>
                <c:pt idx="517">
                  <c:v>1.4822956273764256E-2</c:v>
                </c:pt>
                <c:pt idx="518">
                  <c:v>1.5818370678142197E-2</c:v>
                </c:pt>
                <c:pt idx="519">
                  <c:v>1.6962723525399685E-2</c:v>
                </c:pt>
                <c:pt idx="520">
                  <c:v>1.7665297416857587E-2</c:v>
                </c:pt>
                <c:pt idx="521">
                  <c:v>1.7173051519154599E-2</c:v>
                </c:pt>
                <c:pt idx="522">
                  <c:v>1.7741983124440093E-2</c:v>
                </c:pt>
                <c:pt idx="523">
                  <c:v>1.6944485420661837E-2</c:v>
                </c:pt>
                <c:pt idx="524">
                  <c:v>1.7063035982671684E-2</c:v>
                </c:pt>
                <c:pt idx="525">
                  <c:v>1.5821202764299411E-2</c:v>
                </c:pt>
                <c:pt idx="526">
                  <c:v>1.5128089711724683E-2</c:v>
                </c:pt>
                <c:pt idx="527">
                  <c:v>1.4697116277251765E-2</c:v>
                </c:pt>
                <c:pt idx="528">
                  <c:v>1.3570773045906318E-2</c:v>
                </c:pt>
                <c:pt idx="529">
                  <c:v>1.3962474021602292E-2</c:v>
                </c:pt>
                <c:pt idx="530">
                  <c:v>1.3595107319543462E-2</c:v>
                </c:pt>
                <c:pt idx="531">
                  <c:v>1.3384655760650815E-2</c:v>
                </c:pt>
                <c:pt idx="532">
                  <c:v>1.2846760656310321E-2</c:v>
                </c:pt>
                <c:pt idx="533">
                  <c:v>1.2899786780383686E-2</c:v>
                </c:pt>
                <c:pt idx="534">
                  <c:v>1.193781501223766E-2</c:v>
                </c:pt>
                <c:pt idx="535">
                  <c:v>1.2291118675537683E-2</c:v>
                </c:pt>
                <c:pt idx="536">
                  <c:v>1.2343532684283646E-2</c:v>
                </c:pt>
                <c:pt idx="537">
                  <c:v>1.1579770141562579E-2</c:v>
                </c:pt>
                <c:pt idx="538">
                  <c:v>1.1567379988432647E-2</c:v>
                </c:pt>
                <c:pt idx="539">
                  <c:v>1.1286920847096864E-2</c:v>
                </c:pt>
                <c:pt idx="540">
                  <c:v>1.3369808122062022E-2</c:v>
                </c:pt>
                <c:pt idx="541">
                  <c:v>1.3943418013856793E-2</c:v>
                </c:pt>
                <c:pt idx="542">
                  <c:v>1.3845119139123774E-2</c:v>
                </c:pt>
                <c:pt idx="543">
                  <c:v>1.4675414364640895E-2</c:v>
                </c:pt>
                <c:pt idx="544">
                  <c:v>1.4973415720649405E-2</c:v>
                </c:pt>
                <c:pt idx="545">
                  <c:v>1.4984068662628839E-2</c:v>
                </c:pt>
                <c:pt idx="546">
                  <c:v>1.5812165999063228E-2</c:v>
                </c:pt>
                <c:pt idx="547">
                  <c:v>1.6975706684244224E-2</c:v>
                </c:pt>
                <c:pt idx="548">
                  <c:v>1.6839353521476145E-2</c:v>
                </c:pt>
                <c:pt idx="549">
                  <c:v>1.8201070314512218E-2</c:v>
                </c:pt>
                <c:pt idx="550">
                  <c:v>1.7619592147894072E-2</c:v>
                </c:pt>
                <c:pt idx="551">
                  <c:v>1.8284147073108034E-2</c:v>
                </c:pt>
                <c:pt idx="552">
                  <c:v>1.9020189346412732E-2</c:v>
                </c:pt>
                <c:pt idx="553">
                  <c:v>1.9407985270810217E-2</c:v>
                </c:pt>
                <c:pt idx="554">
                  <c:v>1.7465717724434032E-2</c:v>
                </c:pt>
                <c:pt idx="555">
                  <c:v>1.7336887678898939E-2</c:v>
                </c:pt>
                <c:pt idx="556">
                  <c:v>1.6715747347755511E-2</c:v>
                </c:pt>
                <c:pt idx="557">
                  <c:v>1.6959378564627644E-2</c:v>
                </c:pt>
                <c:pt idx="558">
                  <c:v>1.5848367636955657E-2</c:v>
                </c:pt>
                <c:pt idx="559">
                  <c:v>1.5198767565942689E-2</c:v>
                </c:pt>
                <c:pt idx="560">
                  <c:v>1.5350115876486081E-2</c:v>
                </c:pt>
                <c:pt idx="561">
                  <c:v>1.6507865126432264E-2</c:v>
                </c:pt>
                <c:pt idx="562">
                  <c:v>1.6790118832463945E-2</c:v>
                </c:pt>
                <c:pt idx="563">
                  <c:v>1.6955175864358615E-2</c:v>
                </c:pt>
                <c:pt idx="564">
                  <c:v>1.7489855883587521E-2</c:v>
                </c:pt>
                <c:pt idx="565">
                  <c:v>1.7660640140019043E-2</c:v>
                </c:pt>
                <c:pt idx="566">
                  <c:v>2.0472411609105411E-2</c:v>
                </c:pt>
                <c:pt idx="567">
                  <c:v>1.9791860249024303E-2</c:v>
                </c:pt>
                <c:pt idx="568">
                  <c:v>2.0766995608945581E-2</c:v>
                </c:pt>
                <c:pt idx="569">
                  <c:v>2.0365975749935004E-2</c:v>
                </c:pt>
                <c:pt idx="570">
                  <c:v>2.1104121696111686E-2</c:v>
                </c:pt>
                <c:pt idx="571">
                  <c:v>2.0097340710994293E-2</c:v>
                </c:pt>
                <c:pt idx="572">
                  <c:v>2.0893591461442457E-2</c:v>
                </c:pt>
                <c:pt idx="573">
                  <c:v>1.9603867316749551E-2</c:v>
                </c:pt>
                <c:pt idx="574">
                  <c:v>2.071245694498176E-2</c:v>
                </c:pt>
                <c:pt idx="575">
                  <c:v>2.0847510621470965E-2</c:v>
                </c:pt>
                <c:pt idx="576">
                  <c:v>1.883021635496885E-2</c:v>
                </c:pt>
                <c:pt idx="577">
                  <c:v>1.7345006449488033E-2</c:v>
                </c:pt>
                <c:pt idx="578">
                  <c:v>1.6319526843248541E-2</c:v>
                </c:pt>
                <c:pt idx="579">
                  <c:v>1.7312072892938547E-2</c:v>
                </c:pt>
                <c:pt idx="580">
                  <c:v>1.6524791734875706E-2</c:v>
                </c:pt>
                <c:pt idx="581">
                  <c:v>1.7506563825824741E-2</c:v>
                </c:pt>
                <c:pt idx="582">
                  <c:v>1.7583175314600952E-2</c:v>
                </c:pt>
                <c:pt idx="583">
                  <c:v>1.8358942728080845E-2</c:v>
                </c:pt>
                <c:pt idx="584">
                  <c:v>1.6863391143777832E-2</c:v>
                </c:pt>
                <c:pt idx="585">
                  <c:v>1.6903801999529861E-2</c:v>
                </c:pt>
                <c:pt idx="586">
                  <c:v>1.5275509559599731E-2</c:v>
                </c:pt>
                <c:pt idx="587">
                  <c:v>1.5881595185975959E-2</c:v>
                </c:pt>
                <c:pt idx="588">
                  <c:v>1.6862526319578124E-2</c:v>
                </c:pt>
                <c:pt idx="589">
                  <c:v>1.7975487154585679E-2</c:v>
                </c:pt>
                <c:pt idx="590">
                  <c:v>1.610237988325107E-2</c:v>
                </c:pt>
                <c:pt idx="591">
                  <c:v>9.1177787729511926E-3</c:v>
                </c:pt>
                <c:pt idx="592">
                  <c:v>9.3582528875489294E-3</c:v>
                </c:pt>
                <c:pt idx="593">
                  <c:v>9.3839285714285882E-3</c:v>
                </c:pt>
                <c:pt idx="594">
                  <c:v>1.1305580570093714E-2</c:v>
                </c:pt>
                <c:pt idx="595">
                  <c:v>1.346753362429857E-2</c:v>
                </c:pt>
                <c:pt idx="596">
                  <c:v>1.4598670096760703E-2</c:v>
                </c:pt>
                <c:pt idx="597">
                  <c:v>1.3520480728203678E-2</c:v>
                </c:pt>
                <c:pt idx="598">
                  <c:v>1.3543777327503474E-2</c:v>
                </c:pt>
                <c:pt idx="599">
                  <c:v>1.4631291455325714E-2</c:v>
                </c:pt>
                <c:pt idx="600">
                  <c:v>1.5698003681155325E-2</c:v>
                </c:pt>
                <c:pt idx="601">
                  <c:v>1.5626380227196361E-2</c:v>
                </c:pt>
                <c:pt idx="602">
                  <c:v>2.0451994378794913E-2</c:v>
                </c:pt>
                <c:pt idx="603">
                  <c:v>3.1224482550502364E-2</c:v>
                </c:pt>
                <c:pt idx="604">
                  <c:v>3.5171380707150424E-2</c:v>
                </c:pt>
                <c:pt idx="605">
                  <c:v>3.8018239555598819E-2</c:v>
                </c:pt>
                <c:pt idx="606">
                  <c:v>3.8668723826317038E-2</c:v>
                </c:pt>
                <c:pt idx="607">
                  <c:v>3.8819848482185247E-2</c:v>
                </c:pt>
                <c:pt idx="608">
                  <c:v>3.9191430000263199E-2</c:v>
                </c:pt>
                <c:pt idx="609">
                  <c:v>4.3081294894621036E-2</c:v>
                </c:pt>
                <c:pt idx="610">
                  <c:v>4.8181467452300827E-2</c:v>
                </c:pt>
                <c:pt idx="611">
                  <c:v>5.0436104944853268E-2</c:v>
                </c:pt>
                <c:pt idx="612">
                  <c:v>5.2090048962380855E-2</c:v>
                </c:pt>
                <c:pt idx="613">
                  <c:v>5.4185692541856963E-2</c:v>
                </c:pt>
                <c:pt idx="614">
                  <c:v>5.3647678356444413E-2</c:v>
                </c:pt>
                <c:pt idx="615">
                  <c:v>5.0298659046700923E-2</c:v>
                </c:pt>
                <c:pt idx="616">
                  <c:v>4.8815364723813377E-2</c:v>
                </c:pt>
                <c:pt idx="617">
                  <c:v>5.0354072041517116E-2</c:v>
                </c:pt>
                <c:pt idx="618">
                  <c:v>4.6914125166580257E-2</c:v>
                </c:pt>
                <c:pt idx="619">
                  <c:v>4.9162852477601396E-2</c:v>
                </c:pt>
                <c:pt idx="620">
                  <c:v>5.1821083025176073E-2</c:v>
                </c:pt>
                <c:pt idx="621">
                  <c:v>4.9844865423908362E-2</c:v>
                </c:pt>
              </c:numCache>
            </c:numRef>
          </c:val>
          <c:smooth val="0"/>
          <c:extLst>
            <c:ext xmlns:c16="http://schemas.microsoft.com/office/drawing/2014/chart" uri="{C3380CC4-5D6E-409C-BE32-E72D297353CC}">
              <c16:uniqueId val="{00000000-C9FC-4695-9BC2-325180ACACF3}"/>
            </c:ext>
          </c:extLst>
        </c:ser>
        <c:dLbls>
          <c:showLegendKey val="0"/>
          <c:showVal val="0"/>
          <c:showCatName val="0"/>
          <c:showSerName val="0"/>
          <c:showPercent val="0"/>
          <c:showBubbleSize val="0"/>
        </c:dLbls>
        <c:marker val="1"/>
        <c:smooth val="0"/>
        <c:axId val="1112866160"/>
        <c:axId val="1112861568"/>
      </c:lineChart>
      <c:lineChart>
        <c:grouping val="standard"/>
        <c:varyColors val="0"/>
        <c:ser>
          <c:idx val="3"/>
          <c:order val="1"/>
          <c:tx>
            <c:strRef>
              <c:f>'PCE Core'!$F$4</c:f>
              <c:strCache>
                <c:ptCount val="1"/>
                <c:pt idx="0">
                  <c:v>Fed Fund Target</c:v>
                </c:pt>
              </c:strCache>
            </c:strRef>
          </c:tx>
          <c:spPr>
            <a:ln w="28575" cap="rnd">
              <a:solidFill>
                <a:schemeClr val="accent5"/>
              </a:solidFill>
              <a:prstDash val="solid"/>
              <a:round/>
            </a:ln>
          </c:spPr>
          <c:marker>
            <c:symbol val="none"/>
          </c:marker>
          <c:cat>
            <c:numRef>
              <c:f>'PCE Core'!$A$149:$A$786</c:f>
              <c:numCache>
                <c:formatCode>yyyy\-mm\-dd</c:formatCode>
                <c:ptCount val="638"/>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numCache>
            </c:numRef>
          </c:cat>
          <c:val>
            <c:numRef>
              <c:f>'PCE Core'!$F$149:$F$786</c:f>
              <c:numCache>
                <c:formatCode>General</c:formatCode>
                <c:ptCount val="638"/>
                <c:pt idx="0">
                  <c:v>4</c:v>
                </c:pt>
                <c:pt idx="1">
                  <c:v>3.5</c:v>
                </c:pt>
                <c:pt idx="2">
                  <c:v>5.5</c:v>
                </c:pt>
                <c:pt idx="3">
                  <c:v>5.5</c:v>
                </c:pt>
                <c:pt idx="4">
                  <c:v>5.5</c:v>
                </c:pt>
                <c:pt idx="5">
                  <c:v>5.5</c:v>
                </c:pt>
                <c:pt idx="6">
                  <c:v>5.5</c:v>
                </c:pt>
                <c:pt idx="7">
                  <c:v>5.75</c:v>
                </c:pt>
                <c:pt idx="8">
                  <c:v>5.13</c:v>
                </c:pt>
                <c:pt idx="9">
                  <c:v>5.13</c:v>
                </c:pt>
                <c:pt idx="10">
                  <c:v>4.5</c:v>
                </c:pt>
                <c:pt idx="11">
                  <c:v>3.5</c:v>
                </c:pt>
                <c:pt idx="12">
                  <c:v>3.5</c:v>
                </c:pt>
                <c:pt idx="13">
                  <c:v>3.5</c:v>
                </c:pt>
                <c:pt idx="14">
                  <c:v>5.5</c:v>
                </c:pt>
                <c:pt idx="15">
                  <c:v>5.5</c:v>
                </c:pt>
                <c:pt idx="16">
                  <c:v>5.5</c:v>
                </c:pt>
                <c:pt idx="17">
                  <c:v>5.5</c:v>
                </c:pt>
                <c:pt idx="18">
                  <c:v>5.5</c:v>
                </c:pt>
                <c:pt idx="19">
                  <c:v>5.5</c:v>
                </c:pt>
                <c:pt idx="20">
                  <c:v>5.5</c:v>
                </c:pt>
                <c:pt idx="21">
                  <c:v>5.5</c:v>
                </c:pt>
                <c:pt idx="22">
                  <c:v>5.5</c:v>
                </c:pt>
                <c:pt idx="23">
                  <c:v>5.5</c:v>
                </c:pt>
                <c:pt idx="24">
                  <c:v>6</c:v>
                </c:pt>
                <c:pt idx="25">
                  <c:v>6.75</c:v>
                </c:pt>
                <c:pt idx="26">
                  <c:v>7.25</c:v>
                </c:pt>
                <c:pt idx="27">
                  <c:v>7.25</c:v>
                </c:pt>
                <c:pt idx="28">
                  <c:v>8.25</c:v>
                </c:pt>
                <c:pt idx="29">
                  <c:v>8.5</c:v>
                </c:pt>
                <c:pt idx="30">
                  <c:v>10.5</c:v>
                </c:pt>
                <c:pt idx="31">
                  <c:v>11</c:v>
                </c:pt>
                <c:pt idx="32">
                  <c:v>9</c:v>
                </c:pt>
                <c:pt idx="33">
                  <c:v>9</c:v>
                </c:pt>
                <c:pt idx="34">
                  <c:v>9</c:v>
                </c:pt>
                <c:pt idx="35">
                  <c:v>9</c:v>
                </c:pt>
                <c:pt idx="36">
                  <c:v>9</c:v>
                </c:pt>
                <c:pt idx="37">
                  <c:v>9</c:v>
                </c:pt>
                <c:pt idx="38">
                  <c:v>10</c:v>
                </c:pt>
                <c:pt idx="39">
                  <c:v>10.75</c:v>
                </c:pt>
                <c:pt idx="40">
                  <c:v>13</c:v>
                </c:pt>
                <c:pt idx="41">
                  <c:v>13</c:v>
                </c:pt>
                <c:pt idx="42">
                  <c:v>9.25</c:v>
                </c:pt>
                <c:pt idx="43">
                  <c:v>9.25</c:v>
                </c:pt>
                <c:pt idx="44">
                  <c:v>9.25</c:v>
                </c:pt>
                <c:pt idx="45">
                  <c:v>9.25</c:v>
                </c:pt>
                <c:pt idx="46">
                  <c:v>9.25</c:v>
                </c:pt>
                <c:pt idx="47">
                  <c:v>8</c:v>
                </c:pt>
                <c:pt idx="48">
                  <c:v>7</c:v>
                </c:pt>
                <c:pt idx="49">
                  <c:v>6</c:v>
                </c:pt>
                <c:pt idx="50">
                  <c:v>5.5</c:v>
                </c:pt>
                <c:pt idx="51">
                  <c:v>5.25</c:v>
                </c:pt>
                <c:pt idx="52">
                  <c:v>5.25</c:v>
                </c:pt>
                <c:pt idx="53">
                  <c:v>6.5</c:v>
                </c:pt>
                <c:pt idx="54">
                  <c:v>6.5</c:v>
                </c:pt>
                <c:pt idx="55">
                  <c:v>6.5</c:v>
                </c:pt>
                <c:pt idx="56">
                  <c:v>6.5</c:v>
                </c:pt>
                <c:pt idx="57">
                  <c:v>4.88</c:v>
                </c:pt>
                <c:pt idx="58">
                  <c:v>4.88</c:v>
                </c:pt>
                <c:pt idx="59">
                  <c:v>4.88</c:v>
                </c:pt>
                <c:pt idx="60">
                  <c:v>4.75</c:v>
                </c:pt>
                <c:pt idx="61">
                  <c:v>4.75</c:v>
                </c:pt>
                <c:pt idx="62">
                  <c:v>4.75</c:v>
                </c:pt>
                <c:pt idx="63">
                  <c:v>4.88</c:v>
                </c:pt>
                <c:pt idx="64">
                  <c:v>5.5</c:v>
                </c:pt>
                <c:pt idx="65">
                  <c:v>5.5</c:v>
                </c:pt>
                <c:pt idx="66">
                  <c:v>5.13</c:v>
                </c:pt>
                <c:pt idx="67">
                  <c:v>5.13</c:v>
                </c:pt>
                <c:pt idx="68">
                  <c:v>5.13</c:v>
                </c:pt>
                <c:pt idx="69">
                  <c:v>5</c:v>
                </c:pt>
                <c:pt idx="70">
                  <c:v>4.75</c:v>
                </c:pt>
                <c:pt idx="71">
                  <c:v>5.88</c:v>
                </c:pt>
                <c:pt idx="72">
                  <c:v>5.88</c:v>
                </c:pt>
                <c:pt idx="73">
                  <c:v>5.88</c:v>
                </c:pt>
                <c:pt idx="74">
                  <c:v>5.88</c:v>
                </c:pt>
                <c:pt idx="75">
                  <c:v>5.88</c:v>
                </c:pt>
                <c:pt idx="76">
                  <c:v>5.88</c:v>
                </c:pt>
                <c:pt idx="77">
                  <c:v>5.88</c:v>
                </c:pt>
                <c:pt idx="78">
                  <c:v>5.88</c:v>
                </c:pt>
                <c:pt idx="79">
                  <c:v>6</c:v>
                </c:pt>
                <c:pt idx="80">
                  <c:v>6.25</c:v>
                </c:pt>
                <c:pt idx="81">
                  <c:v>6.5</c:v>
                </c:pt>
                <c:pt idx="82">
                  <c:v>6.5</c:v>
                </c:pt>
                <c:pt idx="83">
                  <c:v>6.5</c:v>
                </c:pt>
                <c:pt idx="84">
                  <c:v>6.75</c:v>
                </c:pt>
                <c:pt idx="85">
                  <c:v>6.75</c:v>
                </c:pt>
                <c:pt idx="86">
                  <c:v>6.75</c:v>
                </c:pt>
                <c:pt idx="87">
                  <c:v>7.25</c:v>
                </c:pt>
                <c:pt idx="88">
                  <c:v>7.5</c:v>
                </c:pt>
                <c:pt idx="89">
                  <c:v>7.75</c:v>
                </c:pt>
                <c:pt idx="90">
                  <c:v>7.88</c:v>
                </c:pt>
                <c:pt idx="91">
                  <c:v>8.25</c:v>
                </c:pt>
                <c:pt idx="92">
                  <c:v>8.75</c:v>
                </c:pt>
                <c:pt idx="93">
                  <c:v>9</c:v>
                </c:pt>
                <c:pt idx="94">
                  <c:v>9.8800000000000008</c:v>
                </c:pt>
                <c:pt idx="95">
                  <c:v>10</c:v>
                </c:pt>
                <c:pt idx="96">
                  <c:v>10</c:v>
                </c:pt>
                <c:pt idx="97">
                  <c:v>10</c:v>
                </c:pt>
                <c:pt idx="98">
                  <c:v>10</c:v>
                </c:pt>
                <c:pt idx="99">
                  <c:v>10.25</c:v>
                </c:pt>
                <c:pt idx="100">
                  <c:v>10.25</c:v>
                </c:pt>
                <c:pt idx="101">
                  <c:v>10.25</c:v>
                </c:pt>
                <c:pt idx="102">
                  <c:v>10.63</c:v>
                </c:pt>
                <c:pt idx="103">
                  <c:v>11.38</c:v>
                </c:pt>
                <c:pt idx="104">
                  <c:v>11.5</c:v>
                </c:pt>
                <c:pt idx="105">
                  <c:v>15.5</c:v>
                </c:pt>
                <c:pt idx="106">
                  <c:v>15.5</c:v>
                </c:pt>
                <c:pt idx="107">
                  <c:v>14</c:v>
                </c:pt>
                <c:pt idx="108">
                  <c:v>14</c:v>
                </c:pt>
                <c:pt idx="109">
                  <c:v>15</c:v>
                </c:pt>
                <c:pt idx="110">
                  <c:v>20</c:v>
                </c:pt>
                <c:pt idx="111">
                  <c:v>11.5</c:v>
                </c:pt>
                <c:pt idx="112">
                  <c:v>10.75</c:v>
                </c:pt>
                <c:pt idx="113">
                  <c:v>9.5</c:v>
                </c:pt>
                <c:pt idx="114">
                  <c:v>9.5</c:v>
                </c:pt>
                <c:pt idx="115">
                  <c:v>10</c:v>
                </c:pt>
                <c:pt idx="116">
                  <c:v>12</c:v>
                </c:pt>
                <c:pt idx="117">
                  <c:v>13.75</c:v>
                </c:pt>
                <c:pt idx="118">
                  <c:v>18</c:v>
                </c:pt>
                <c:pt idx="119">
                  <c:v>18</c:v>
                </c:pt>
                <c:pt idx="120">
                  <c:v>16</c:v>
                </c:pt>
                <c:pt idx="121">
                  <c:v>16</c:v>
                </c:pt>
                <c:pt idx="122">
                  <c:v>16</c:v>
                </c:pt>
                <c:pt idx="123">
                  <c:v>16</c:v>
                </c:pt>
                <c:pt idx="124">
                  <c:v>20</c:v>
                </c:pt>
                <c:pt idx="125">
                  <c:v>15.5</c:v>
                </c:pt>
                <c:pt idx="126">
                  <c:v>15.5</c:v>
                </c:pt>
                <c:pt idx="127">
                  <c:v>15.5</c:v>
                </c:pt>
                <c:pt idx="128">
                  <c:v>15.5</c:v>
                </c:pt>
                <c:pt idx="129">
                  <c:v>15.5</c:v>
                </c:pt>
                <c:pt idx="130">
                  <c:v>13</c:v>
                </c:pt>
                <c:pt idx="131">
                  <c:v>12</c:v>
                </c:pt>
                <c:pt idx="132">
                  <c:v>15</c:v>
                </c:pt>
                <c:pt idx="133">
                  <c:v>15</c:v>
                </c:pt>
                <c:pt idx="134">
                  <c:v>15</c:v>
                </c:pt>
                <c:pt idx="135">
                  <c:v>13</c:v>
                </c:pt>
                <c:pt idx="136">
                  <c:v>13</c:v>
                </c:pt>
                <c:pt idx="137">
                  <c:v>13</c:v>
                </c:pt>
                <c:pt idx="138">
                  <c:v>11.5</c:v>
                </c:pt>
                <c:pt idx="139">
                  <c:v>9.5</c:v>
                </c:pt>
                <c:pt idx="140">
                  <c:v>10</c:v>
                </c:pt>
                <c:pt idx="141">
                  <c:v>9.5</c:v>
                </c:pt>
                <c:pt idx="142">
                  <c:v>9</c:v>
                </c:pt>
                <c:pt idx="143">
                  <c:v>8.5</c:v>
                </c:pt>
                <c:pt idx="144">
                  <c:v>8.5</c:v>
                </c:pt>
                <c:pt idx="145">
                  <c:v>8.5</c:v>
                </c:pt>
                <c:pt idx="146">
                  <c:v>8.5</c:v>
                </c:pt>
                <c:pt idx="147">
                  <c:v>8.5</c:v>
                </c:pt>
                <c:pt idx="148">
                  <c:v>9.6300000000000008</c:v>
                </c:pt>
                <c:pt idx="149">
                  <c:v>9.6300000000000008</c:v>
                </c:pt>
                <c:pt idx="150">
                  <c:v>9.6300000000000008</c:v>
                </c:pt>
                <c:pt idx="151">
                  <c:v>9.6300000000000008</c:v>
                </c:pt>
                <c:pt idx="152">
                  <c:v>9.5</c:v>
                </c:pt>
                <c:pt idx="153">
                  <c:v>9.5</c:v>
                </c:pt>
                <c:pt idx="154">
                  <c:v>9.5</c:v>
                </c:pt>
                <c:pt idx="155">
                  <c:v>9.5</c:v>
                </c:pt>
                <c:pt idx="156">
                  <c:v>9.5</c:v>
                </c:pt>
                <c:pt idx="157">
                  <c:v>9.5</c:v>
                </c:pt>
                <c:pt idx="158">
                  <c:v>10.5</c:v>
                </c:pt>
                <c:pt idx="159">
                  <c:v>10.5</c:v>
                </c:pt>
                <c:pt idx="160">
                  <c:v>10.5</c:v>
                </c:pt>
                <c:pt idx="161">
                  <c:v>10.5</c:v>
                </c:pt>
                <c:pt idx="162">
                  <c:v>11</c:v>
                </c:pt>
                <c:pt idx="163">
                  <c:v>11.75</c:v>
                </c:pt>
                <c:pt idx="164">
                  <c:v>11.75</c:v>
                </c:pt>
                <c:pt idx="165">
                  <c:v>10</c:v>
                </c:pt>
                <c:pt idx="166">
                  <c:v>9</c:v>
                </c:pt>
                <c:pt idx="167">
                  <c:v>8.25</c:v>
                </c:pt>
                <c:pt idx="168">
                  <c:v>8.25</c:v>
                </c:pt>
                <c:pt idx="169">
                  <c:v>9</c:v>
                </c:pt>
                <c:pt idx="170">
                  <c:v>8.5</c:v>
                </c:pt>
                <c:pt idx="171">
                  <c:v>8.25</c:v>
                </c:pt>
                <c:pt idx="172">
                  <c:v>7.75</c:v>
                </c:pt>
                <c:pt idx="173">
                  <c:v>7.75</c:v>
                </c:pt>
                <c:pt idx="174">
                  <c:v>7.75</c:v>
                </c:pt>
                <c:pt idx="175">
                  <c:v>8</c:v>
                </c:pt>
                <c:pt idx="176">
                  <c:v>8</c:v>
                </c:pt>
                <c:pt idx="177">
                  <c:v>8</c:v>
                </c:pt>
                <c:pt idx="178">
                  <c:v>8</c:v>
                </c:pt>
                <c:pt idx="179">
                  <c:v>7.75</c:v>
                </c:pt>
                <c:pt idx="180">
                  <c:v>7.75</c:v>
                </c:pt>
                <c:pt idx="181">
                  <c:v>7.75</c:v>
                </c:pt>
                <c:pt idx="182">
                  <c:v>7.25</c:v>
                </c:pt>
                <c:pt idx="183">
                  <c:v>6.75</c:v>
                </c:pt>
                <c:pt idx="184">
                  <c:v>6.88</c:v>
                </c:pt>
                <c:pt idx="185">
                  <c:v>6.88</c:v>
                </c:pt>
                <c:pt idx="186">
                  <c:v>6.38</c:v>
                </c:pt>
                <c:pt idx="187">
                  <c:v>5.88</c:v>
                </c:pt>
                <c:pt idx="188">
                  <c:v>5.88</c:v>
                </c:pt>
                <c:pt idx="189">
                  <c:v>5.88</c:v>
                </c:pt>
                <c:pt idx="190">
                  <c:v>5.88</c:v>
                </c:pt>
                <c:pt idx="191">
                  <c:v>6</c:v>
                </c:pt>
                <c:pt idx="192">
                  <c:v>6</c:v>
                </c:pt>
                <c:pt idx="193">
                  <c:v>6</c:v>
                </c:pt>
                <c:pt idx="194">
                  <c:v>6</c:v>
                </c:pt>
                <c:pt idx="195">
                  <c:v>6.5</c:v>
                </c:pt>
                <c:pt idx="196">
                  <c:v>6.75</c:v>
                </c:pt>
                <c:pt idx="197">
                  <c:v>6.75</c:v>
                </c:pt>
                <c:pt idx="198">
                  <c:v>6.75</c:v>
                </c:pt>
                <c:pt idx="199">
                  <c:v>6.75</c:v>
                </c:pt>
                <c:pt idx="200">
                  <c:v>7.25</c:v>
                </c:pt>
                <c:pt idx="201">
                  <c:v>6.88</c:v>
                </c:pt>
                <c:pt idx="202">
                  <c:v>6.88</c:v>
                </c:pt>
                <c:pt idx="203">
                  <c:v>6.88</c:v>
                </c:pt>
                <c:pt idx="204">
                  <c:v>6.63</c:v>
                </c:pt>
                <c:pt idx="205">
                  <c:v>6.5</c:v>
                </c:pt>
                <c:pt idx="206">
                  <c:v>6.75</c:v>
                </c:pt>
                <c:pt idx="207">
                  <c:v>6.75</c:v>
                </c:pt>
                <c:pt idx="208">
                  <c:v>7.25</c:v>
                </c:pt>
                <c:pt idx="209">
                  <c:v>7.5</c:v>
                </c:pt>
                <c:pt idx="210">
                  <c:v>7.75</c:v>
                </c:pt>
                <c:pt idx="211">
                  <c:v>8.25</c:v>
                </c:pt>
                <c:pt idx="212">
                  <c:v>8.25</c:v>
                </c:pt>
                <c:pt idx="213">
                  <c:v>8.25</c:v>
                </c:pt>
                <c:pt idx="214">
                  <c:v>8.3800000000000008</c:v>
                </c:pt>
                <c:pt idx="215">
                  <c:v>8.75</c:v>
                </c:pt>
                <c:pt idx="216">
                  <c:v>8.75</c:v>
                </c:pt>
                <c:pt idx="217">
                  <c:v>9.75</c:v>
                </c:pt>
                <c:pt idx="218">
                  <c:v>9.75</c:v>
                </c:pt>
                <c:pt idx="219">
                  <c:v>9.75</c:v>
                </c:pt>
                <c:pt idx="220">
                  <c:v>9.75</c:v>
                </c:pt>
                <c:pt idx="221">
                  <c:v>9.6300000000000008</c:v>
                </c:pt>
                <c:pt idx="222">
                  <c:v>9</c:v>
                </c:pt>
                <c:pt idx="223">
                  <c:v>9</c:v>
                </c:pt>
                <c:pt idx="224">
                  <c:v>9</c:v>
                </c:pt>
                <c:pt idx="225">
                  <c:v>8.5</c:v>
                </c:pt>
                <c:pt idx="226">
                  <c:v>8.5</c:v>
                </c:pt>
                <c:pt idx="227">
                  <c:v>8.25</c:v>
                </c:pt>
                <c:pt idx="228">
                  <c:v>8.25</c:v>
                </c:pt>
                <c:pt idx="229">
                  <c:v>8.25</c:v>
                </c:pt>
                <c:pt idx="230">
                  <c:v>8.25</c:v>
                </c:pt>
                <c:pt idx="231">
                  <c:v>8.25</c:v>
                </c:pt>
                <c:pt idx="232">
                  <c:v>8.25</c:v>
                </c:pt>
                <c:pt idx="233">
                  <c:v>8.25</c:v>
                </c:pt>
                <c:pt idx="234">
                  <c:v>8</c:v>
                </c:pt>
                <c:pt idx="235">
                  <c:v>8</c:v>
                </c:pt>
                <c:pt idx="236">
                  <c:v>8</c:v>
                </c:pt>
                <c:pt idx="237">
                  <c:v>7.75</c:v>
                </c:pt>
                <c:pt idx="238">
                  <c:v>7.5</c:v>
                </c:pt>
                <c:pt idx="239">
                  <c:v>7</c:v>
                </c:pt>
                <c:pt idx="240">
                  <c:v>6.75</c:v>
                </c:pt>
                <c:pt idx="241">
                  <c:v>6.25</c:v>
                </c:pt>
                <c:pt idx="242">
                  <c:v>6</c:v>
                </c:pt>
                <c:pt idx="243">
                  <c:v>5.75</c:v>
                </c:pt>
                <c:pt idx="244">
                  <c:v>5.75</c:v>
                </c:pt>
                <c:pt idx="245">
                  <c:v>5.75</c:v>
                </c:pt>
                <c:pt idx="246">
                  <c:v>5.75</c:v>
                </c:pt>
                <c:pt idx="247">
                  <c:v>5.5</c:v>
                </c:pt>
                <c:pt idx="248">
                  <c:v>5.25</c:v>
                </c:pt>
                <c:pt idx="249">
                  <c:v>5</c:v>
                </c:pt>
                <c:pt idx="250">
                  <c:v>4.75</c:v>
                </c:pt>
                <c:pt idx="251">
                  <c:v>4</c:v>
                </c:pt>
                <c:pt idx="252">
                  <c:v>4</c:v>
                </c:pt>
                <c:pt idx="253">
                  <c:v>4</c:v>
                </c:pt>
                <c:pt idx="254">
                  <c:v>4</c:v>
                </c:pt>
                <c:pt idx="255">
                  <c:v>3.75</c:v>
                </c:pt>
                <c:pt idx="256">
                  <c:v>3.75</c:v>
                </c:pt>
                <c:pt idx="257">
                  <c:v>3.75</c:v>
                </c:pt>
                <c:pt idx="258">
                  <c:v>3.25</c:v>
                </c:pt>
                <c:pt idx="259">
                  <c:v>3.25</c:v>
                </c:pt>
                <c:pt idx="260">
                  <c:v>3</c:v>
                </c:pt>
                <c:pt idx="261">
                  <c:v>3</c:v>
                </c:pt>
                <c:pt idx="262">
                  <c:v>3</c:v>
                </c:pt>
                <c:pt idx="263">
                  <c:v>3</c:v>
                </c:pt>
                <c:pt idx="264">
                  <c:v>3</c:v>
                </c:pt>
                <c:pt idx="265">
                  <c:v>3</c:v>
                </c:pt>
                <c:pt idx="266">
                  <c:v>3</c:v>
                </c:pt>
                <c:pt idx="267">
                  <c:v>3</c:v>
                </c:pt>
                <c:pt idx="268">
                  <c:v>3</c:v>
                </c:pt>
                <c:pt idx="269">
                  <c:v>3</c:v>
                </c:pt>
                <c:pt idx="270">
                  <c:v>3</c:v>
                </c:pt>
                <c:pt idx="271">
                  <c:v>3</c:v>
                </c:pt>
                <c:pt idx="272">
                  <c:v>3</c:v>
                </c:pt>
                <c:pt idx="273">
                  <c:v>3</c:v>
                </c:pt>
                <c:pt idx="274">
                  <c:v>3</c:v>
                </c:pt>
                <c:pt idx="275">
                  <c:v>3</c:v>
                </c:pt>
                <c:pt idx="276">
                  <c:v>3</c:v>
                </c:pt>
                <c:pt idx="277">
                  <c:v>3.25</c:v>
                </c:pt>
                <c:pt idx="278">
                  <c:v>3.5</c:v>
                </c:pt>
                <c:pt idx="279">
                  <c:v>3.75</c:v>
                </c:pt>
                <c:pt idx="280">
                  <c:v>4.25</c:v>
                </c:pt>
                <c:pt idx="281">
                  <c:v>4.25</c:v>
                </c:pt>
                <c:pt idx="282">
                  <c:v>4.25</c:v>
                </c:pt>
                <c:pt idx="283">
                  <c:v>4.75</c:v>
                </c:pt>
                <c:pt idx="284">
                  <c:v>4.75</c:v>
                </c:pt>
                <c:pt idx="285">
                  <c:v>4.75</c:v>
                </c:pt>
                <c:pt idx="286">
                  <c:v>5.5</c:v>
                </c:pt>
                <c:pt idx="287">
                  <c:v>5.5</c:v>
                </c:pt>
                <c:pt idx="288">
                  <c:v>5.5</c:v>
                </c:pt>
                <c:pt idx="289">
                  <c:v>6</c:v>
                </c:pt>
                <c:pt idx="290">
                  <c:v>6</c:v>
                </c:pt>
                <c:pt idx="291">
                  <c:v>6</c:v>
                </c:pt>
                <c:pt idx="292">
                  <c:v>6</c:v>
                </c:pt>
                <c:pt idx="293">
                  <c:v>6</c:v>
                </c:pt>
                <c:pt idx="294">
                  <c:v>5.75</c:v>
                </c:pt>
                <c:pt idx="295">
                  <c:v>5.75</c:v>
                </c:pt>
                <c:pt idx="296">
                  <c:v>5.75</c:v>
                </c:pt>
                <c:pt idx="297">
                  <c:v>5.75</c:v>
                </c:pt>
                <c:pt idx="298">
                  <c:v>5.75</c:v>
                </c:pt>
                <c:pt idx="299">
                  <c:v>5.5</c:v>
                </c:pt>
                <c:pt idx="300">
                  <c:v>5.25</c:v>
                </c:pt>
                <c:pt idx="301">
                  <c:v>5.25</c:v>
                </c:pt>
                <c:pt idx="302">
                  <c:v>5.25</c:v>
                </c:pt>
                <c:pt idx="303">
                  <c:v>5.25</c:v>
                </c:pt>
                <c:pt idx="304">
                  <c:v>5.25</c:v>
                </c:pt>
                <c:pt idx="305">
                  <c:v>5.25</c:v>
                </c:pt>
                <c:pt idx="306">
                  <c:v>5.25</c:v>
                </c:pt>
                <c:pt idx="307">
                  <c:v>5.25</c:v>
                </c:pt>
                <c:pt idx="308">
                  <c:v>5.25</c:v>
                </c:pt>
                <c:pt idx="309">
                  <c:v>5.25</c:v>
                </c:pt>
                <c:pt idx="310">
                  <c:v>5.25</c:v>
                </c:pt>
                <c:pt idx="311">
                  <c:v>5.25</c:v>
                </c:pt>
                <c:pt idx="312">
                  <c:v>5.25</c:v>
                </c:pt>
                <c:pt idx="313">
                  <c:v>5.25</c:v>
                </c:pt>
                <c:pt idx="314">
                  <c:v>5.5</c:v>
                </c:pt>
                <c:pt idx="315">
                  <c:v>5.5</c:v>
                </c:pt>
                <c:pt idx="316">
                  <c:v>5.5</c:v>
                </c:pt>
                <c:pt idx="317">
                  <c:v>5.5</c:v>
                </c:pt>
                <c:pt idx="318">
                  <c:v>5.5</c:v>
                </c:pt>
                <c:pt idx="319">
                  <c:v>5.5</c:v>
                </c:pt>
                <c:pt idx="320">
                  <c:v>5.5</c:v>
                </c:pt>
                <c:pt idx="321">
                  <c:v>5.5</c:v>
                </c:pt>
                <c:pt idx="322">
                  <c:v>5.5</c:v>
                </c:pt>
                <c:pt idx="323">
                  <c:v>5.5</c:v>
                </c:pt>
                <c:pt idx="324">
                  <c:v>5.5</c:v>
                </c:pt>
                <c:pt idx="325">
                  <c:v>5.5</c:v>
                </c:pt>
                <c:pt idx="326">
                  <c:v>5.5</c:v>
                </c:pt>
                <c:pt idx="327">
                  <c:v>5.5</c:v>
                </c:pt>
                <c:pt idx="328">
                  <c:v>5.5</c:v>
                </c:pt>
                <c:pt idx="329">
                  <c:v>5.5</c:v>
                </c:pt>
                <c:pt idx="330">
                  <c:v>5.5</c:v>
                </c:pt>
                <c:pt idx="331">
                  <c:v>5.5</c:v>
                </c:pt>
                <c:pt idx="332">
                  <c:v>5.25</c:v>
                </c:pt>
                <c:pt idx="333">
                  <c:v>5</c:v>
                </c:pt>
                <c:pt idx="334">
                  <c:v>4.75</c:v>
                </c:pt>
                <c:pt idx="335">
                  <c:v>4.75</c:v>
                </c:pt>
                <c:pt idx="336">
                  <c:v>4.75</c:v>
                </c:pt>
                <c:pt idx="337">
                  <c:v>4.75</c:v>
                </c:pt>
                <c:pt idx="338">
                  <c:v>4.75</c:v>
                </c:pt>
                <c:pt idx="339">
                  <c:v>4.75</c:v>
                </c:pt>
                <c:pt idx="340">
                  <c:v>4.75</c:v>
                </c:pt>
                <c:pt idx="341">
                  <c:v>5</c:v>
                </c:pt>
                <c:pt idx="342">
                  <c:v>5</c:v>
                </c:pt>
                <c:pt idx="343">
                  <c:v>5.25</c:v>
                </c:pt>
                <c:pt idx="344">
                  <c:v>5.25</c:v>
                </c:pt>
                <c:pt idx="345">
                  <c:v>5.25</c:v>
                </c:pt>
                <c:pt idx="346">
                  <c:v>5.5</c:v>
                </c:pt>
                <c:pt idx="347">
                  <c:v>5.5</c:v>
                </c:pt>
                <c:pt idx="348">
                  <c:v>5.5</c:v>
                </c:pt>
                <c:pt idx="349">
                  <c:v>5.75</c:v>
                </c:pt>
                <c:pt idx="350">
                  <c:v>6</c:v>
                </c:pt>
                <c:pt idx="351">
                  <c:v>6</c:v>
                </c:pt>
                <c:pt idx="352">
                  <c:v>6.5</c:v>
                </c:pt>
                <c:pt idx="353">
                  <c:v>6.5</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0.25</c:v>
                </c:pt>
                <c:pt idx="540">
                  <c:v>0.5</c:v>
                </c:pt>
                <c:pt idx="541">
                  <c:v>0.5</c:v>
                </c:pt>
                <c:pt idx="542">
                  <c:v>0.5</c:v>
                </c:pt>
                <c:pt idx="543">
                  <c:v>0.5</c:v>
                </c:pt>
                <c:pt idx="544">
                  <c:v>0.5</c:v>
                </c:pt>
                <c:pt idx="545">
                  <c:v>0.5</c:v>
                </c:pt>
                <c:pt idx="546">
                  <c:v>0.5</c:v>
                </c:pt>
                <c:pt idx="547">
                  <c:v>0.5</c:v>
                </c:pt>
                <c:pt idx="548">
                  <c:v>0.5</c:v>
                </c:pt>
                <c:pt idx="549">
                  <c:v>0.5</c:v>
                </c:pt>
                <c:pt idx="550">
                  <c:v>0.5</c:v>
                </c:pt>
                <c:pt idx="551">
                  <c:v>0.5</c:v>
                </c:pt>
                <c:pt idx="552">
                  <c:v>0.75</c:v>
                </c:pt>
                <c:pt idx="553">
                  <c:v>0.75</c:v>
                </c:pt>
                <c:pt idx="554">
                  <c:v>0.75</c:v>
                </c:pt>
                <c:pt idx="555">
                  <c:v>1</c:v>
                </c:pt>
                <c:pt idx="556">
                  <c:v>1</c:v>
                </c:pt>
                <c:pt idx="557">
                  <c:v>1</c:v>
                </c:pt>
                <c:pt idx="558">
                  <c:v>1.25</c:v>
                </c:pt>
                <c:pt idx="559">
                  <c:v>1.25</c:v>
                </c:pt>
                <c:pt idx="560">
                  <c:v>1.25</c:v>
                </c:pt>
                <c:pt idx="561">
                  <c:v>1.25</c:v>
                </c:pt>
                <c:pt idx="562">
                  <c:v>1.25</c:v>
                </c:pt>
                <c:pt idx="563">
                  <c:v>1.25</c:v>
                </c:pt>
                <c:pt idx="564">
                  <c:v>1.5</c:v>
                </c:pt>
                <c:pt idx="565">
                  <c:v>1.5</c:v>
                </c:pt>
                <c:pt idx="566">
                  <c:v>1.5</c:v>
                </c:pt>
                <c:pt idx="567">
                  <c:v>1.75</c:v>
                </c:pt>
                <c:pt idx="568">
                  <c:v>1.75</c:v>
                </c:pt>
                <c:pt idx="569">
                  <c:v>1.75</c:v>
                </c:pt>
                <c:pt idx="570">
                  <c:v>2</c:v>
                </c:pt>
                <c:pt idx="571">
                  <c:v>2</c:v>
                </c:pt>
                <c:pt idx="572">
                  <c:v>2</c:v>
                </c:pt>
                <c:pt idx="573">
                  <c:v>2.25</c:v>
                </c:pt>
                <c:pt idx="574">
                  <c:v>2.25</c:v>
                </c:pt>
                <c:pt idx="575">
                  <c:v>2.25</c:v>
                </c:pt>
                <c:pt idx="576">
                  <c:v>2.5</c:v>
                </c:pt>
                <c:pt idx="577">
                  <c:v>2.5</c:v>
                </c:pt>
                <c:pt idx="578">
                  <c:v>2.5</c:v>
                </c:pt>
                <c:pt idx="579">
                  <c:v>2.5</c:v>
                </c:pt>
                <c:pt idx="580">
                  <c:v>2.5</c:v>
                </c:pt>
                <c:pt idx="581">
                  <c:v>2.5</c:v>
                </c:pt>
                <c:pt idx="582">
                  <c:v>2.5</c:v>
                </c:pt>
                <c:pt idx="583">
                  <c:v>2.25</c:v>
                </c:pt>
                <c:pt idx="584">
                  <c:v>2.25</c:v>
                </c:pt>
                <c:pt idx="585">
                  <c:v>2</c:v>
                </c:pt>
                <c:pt idx="586">
                  <c:v>1.75</c:v>
                </c:pt>
                <c:pt idx="587">
                  <c:v>1.75</c:v>
                </c:pt>
                <c:pt idx="588">
                  <c:v>1.75</c:v>
                </c:pt>
                <c:pt idx="589">
                  <c:v>1.75</c:v>
                </c:pt>
                <c:pt idx="590">
                  <c:v>1.75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0.25</c:v>
                </c:pt>
                <c:pt idx="615">
                  <c:v>0.5</c:v>
                </c:pt>
                <c:pt idx="616">
                  <c:v>0.5</c:v>
                </c:pt>
                <c:pt idx="617">
                  <c:v>1</c:v>
                </c:pt>
                <c:pt idx="618">
                  <c:v>1.75</c:v>
                </c:pt>
                <c:pt idx="619">
                  <c:v>2.5</c:v>
                </c:pt>
                <c:pt idx="620">
                  <c:v>2.5</c:v>
                </c:pt>
                <c:pt idx="621">
                  <c:v>3.25</c:v>
                </c:pt>
              </c:numCache>
            </c:numRef>
          </c:val>
          <c:smooth val="0"/>
          <c:extLst>
            <c:ext xmlns:c16="http://schemas.microsoft.com/office/drawing/2014/chart" uri="{C3380CC4-5D6E-409C-BE32-E72D297353CC}">
              <c16:uniqueId val="{00000001-C9FC-4695-9BC2-325180ACACF3}"/>
            </c:ext>
          </c:extLst>
        </c:ser>
        <c:dLbls>
          <c:showLegendKey val="0"/>
          <c:showVal val="0"/>
          <c:showCatName val="0"/>
          <c:showSerName val="0"/>
          <c:showPercent val="0"/>
          <c:showBubbleSize val="0"/>
        </c:dLbls>
        <c:marker val="1"/>
        <c:smooth val="0"/>
        <c:axId val="759216000"/>
        <c:axId val="1112859928"/>
      </c:lineChart>
      <c:dateAx>
        <c:axId val="111286616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568"/>
        <c:crosses val="autoZero"/>
        <c:auto val="0"/>
        <c:lblOffset val="100"/>
        <c:baseTimeUnit val="months"/>
      </c:dateAx>
      <c:valAx>
        <c:axId val="1112861568"/>
        <c:scaling>
          <c:orientation val="minMax"/>
          <c:max val="0.12"/>
          <c:min val="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6160"/>
        <c:crosses val="autoZero"/>
        <c:crossBetween val="between"/>
      </c:valAx>
      <c:dateAx>
        <c:axId val="759216000"/>
        <c:scaling>
          <c:orientation val="minMax"/>
        </c:scaling>
        <c:delete val="1"/>
        <c:axPos val="b"/>
        <c:numFmt formatCode="yyyy\-mm\-dd" sourceLinked="1"/>
        <c:majorTickMark val="out"/>
        <c:minorTickMark val="none"/>
        <c:tickLblPos val="nextTo"/>
        <c:crossAx val="1112859928"/>
        <c:crosses val="autoZero"/>
        <c:auto val="0"/>
        <c:lblOffset val="100"/>
        <c:baseTimeUnit val="months"/>
      </c:dateAx>
      <c:valAx>
        <c:axId val="1112859928"/>
        <c:scaling>
          <c:orientation val="minMax"/>
          <c:max val="20"/>
          <c:min val="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92160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12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'PCE Core vs Core CPI'!$B$4</c:f>
              <c:strCache>
                <c:ptCount val="1"/>
                <c:pt idx="0">
                  <c:v>Core PCE</c:v>
                </c:pt>
              </c:strCache>
            </c:strRef>
          </c:tx>
          <c:spPr>
            <a:ln w="28575" cap="rnd">
              <a:solidFill>
                <a:schemeClr val="accent1"/>
              </a:solidFill>
              <a:prstDash val="solid"/>
              <a:round/>
            </a:ln>
          </c:spPr>
          <c:marker>
            <c:symbol val="none"/>
          </c:marker>
          <c:cat>
            <c:numRef>
              <c:f>'PCE Core vs Core CPI'!$A$5:$A$771</c:f>
              <c:numCache>
                <c:formatCode>yyyy\-mm\-dd</c:formatCode>
                <c:ptCount val="767"/>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numCache>
            </c:numRef>
          </c:cat>
          <c:val>
            <c:numRef>
              <c:f>'PCE Core vs Core CPI'!$B$5:$B$771</c:f>
              <c:numCache>
                <c:formatCode>0.00</c:formatCode>
                <c:ptCount val="767"/>
                <c:pt idx="0">
                  <c:v>16.687999999999999</c:v>
                </c:pt>
                <c:pt idx="1">
                  <c:v>16.701000000000001</c:v>
                </c:pt>
                <c:pt idx="2">
                  <c:v>16.719000000000001</c:v>
                </c:pt>
                <c:pt idx="3">
                  <c:v>16.762</c:v>
                </c:pt>
                <c:pt idx="4">
                  <c:v>16.783000000000001</c:v>
                </c:pt>
                <c:pt idx="5">
                  <c:v>16.832000000000001</c:v>
                </c:pt>
                <c:pt idx="6">
                  <c:v>16.870999999999999</c:v>
                </c:pt>
                <c:pt idx="7">
                  <c:v>16.899000000000001</c:v>
                </c:pt>
                <c:pt idx="8">
                  <c:v>16.943000000000001</c:v>
                </c:pt>
                <c:pt idx="9">
                  <c:v>16.972000000000001</c:v>
                </c:pt>
                <c:pt idx="10">
                  <c:v>17.003</c:v>
                </c:pt>
                <c:pt idx="11">
                  <c:v>17.029</c:v>
                </c:pt>
                <c:pt idx="12">
                  <c:v>17.033000000000001</c:v>
                </c:pt>
                <c:pt idx="13">
                  <c:v>17.065000000000001</c:v>
                </c:pt>
                <c:pt idx="14">
                  <c:v>17.067</c:v>
                </c:pt>
                <c:pt idx="15">
                  <c:v>17.097999999999999</c:v>
                </c:pt>
                <c:pt idx="16">
                  <c:v>17.125</c:v>
                </c:pt>
                <c:pt idx="17">
                  <c:v>17.135999999999999</c:v>
                </c:pt>
                <c:pt idx="18">
                  <c:v>17.166</c:v>
                </c:pt>
                <c:pt idx="19">
                  <c:v>17.190999999999999</c:v>
                </c:pt>
                <c:pt idx="20">
                  <c:v>17.204000000000001</c:v>
                </c:pt>
                <c:pt idx="21">
                  <c:v>17.213999999999999</c:v>
                </c:pt>
                <c:pt idx="22">
                  <c:v>17.260000000000002</c:v>
                </c:pt>
                <c:pt idx="23">
                  <c:v>17.254999999999999</c:v>
                </c:pt>
                <c:pt idx="24">
                  <c:v>17.259</c:v>
                </c:pt>
                <c:pt idx="25">
                  <c:v>17.276</c:v>
                </c:pt>
                <c:pt idx="26">
                  <c:v>17.282</c:v>
                </c:pt>
                <c:pt idx="27">
                  <c:v>17.306000000000001</c:v>
                </c:pt>
                <c:pt idx="28">
                  <c:v>17.327999999999999</c:v>
                </c:pt>
                <c:pt idx="29">
                  <c:v>17.353999999999999</c:v>
                </c:pt>
                <c:pt idx="30">
                  <c:v>17.381</c:v>
                </c:pt>
                <c:pt idx="31">
                  <c:v>17.399000000000001</c:v>
                </c:pt>
                <c:pt idx="32">
                  <c:v>17.434000000000001</c:v>
                </c:pt>
                <c:pt idx="33">
                  <c:v>17.440000000000001</c:v>
                </c:pt>
                <c:pt idx="34">
                  <c:v>17.443000000000001</c:v>
                </c:pt>
                <c:pt idx="35">
                  <c:v>17.457999999999998</c:v>
                </c:pt>
                <c:pt idx="36">
                  <c:v>17.478000000000002</c:v>
                </c:pt>
                <c:pt idx="37">
                  <c:v>17.507000000000001</c:v>
                </c:pt>
                <c:pt idx="38">
                  <c:v>17.547999999999998</c:v>
                </c:pt>
                <c:pt idx="39">
                  <c:v>17.550999999999998</c:v>
                </c:pt>
                <c:pt idx="40">
                  <c:v>17.576000000000001</c:v>
                </c:pt>
                <c:pt idx="41">
                  <c:v>17.608000000000001</c:v>
                </c:pt>
                <c:pt idx="42">
                  <c:v>17.623000000000001</c:v>
                </c:pt>
                <c:pt idx="43">
                  <c:v>17.626000000000001</c:v>
                </c:pt>
                <c:pt idx="44">
                  <c:v>17.66</c:v>
                </c:pt>
                <c:pt idx="45">
                  <c:v>17.658999999999999</c:v>
                </c:pt>
                <c:pt idx="46">
                  <c:v>17.672000000000001</c:v>
                </c:pt>
                <c:pt idx="47">
                  <c:v>17.677</c:v>
                </c:pt>
                <c:pt idx="48">
                  <c:v>17.710999999999999</c:v>
                </c:pt>
                <c:pt idx="49">
                  <c:v>17.731000000000002</c:v>
                </c:pt>
                <c:pt idx="50">
                  <c:v>17.742000000000001</c:v>
                </c:pt>
                <c:pt idx="51">
                  <c:v>17.763000000000002</c:v>
                </c:pt>
                <c:pt idx="52">
                  <c:v>17.795000000000002</c:v>
                </c:pt>
                <c:pt idx="53">
                  <c:v>17.826000000000001</c:v>
                </c:pt>
                <c:pt idx="54">
                  <c:v>17.841999999999999</c:v>
                </c:pt>
                <c:pt idx="55">
                  <c:v>17.858000000000001</c:v>
                </c:pt>
                <c:pt idx="56">
                  <c:v>17.89</c:v>
                </c:pt>
                <c:pt idx="57">
                  <c:v>17.93</c:v>
                </c:pt>
                <c:pt idx="58">
                  <c:v>17.946999999999999</c:v>
                </c:pt>
                <c:pt idx="59">
                  <c:v>17.972000000000001</c:v>
                </c:pt>
                <c:pt idx="60">
                  <c:v>17.997</c:v>
                </c:pt>
                <c:pt idx="61">
                  <c:v>18.030999999999999</c:v>
                </c:pt>
                <c:pt idx="62">
                  <c:v>18.047999999999998</c:v>
                </c:pt>
                <c:pt idx="63">
                  <c:v>18.065000000000001</c:v>
                </c:pt>
                <c:pt idx="64">
                  <c:v>18.079999999999998</c:v>
                </c:pt>
                <c:pt idx="65">
                  <c:v>18.093</c:v>
                </c:pt>
                <c:pt idx="66">
                  <c:v>18.111000000000001</c:v>
                </c:pt>
                <c:pt idx="67">
                  <c:v>18.135000000000002</c:v>
                </c:pt>
                <c:pt idx="68">
                  <c:v>18.143000000000001</c:v>
                </c:pt>
                <c:pt idx="69">
                  <c:v>18.149000000000001</c:v>
                </c:pt>
                <c:pt idx="70">
                  <c:v>18.175999999999998</c:v>
                </c:pt>
                <c:pt idx="71">
                  <c:v>18.201000000000001</c:v>
                </c:pt>
                <c:pt idx="72">
                  <c:v>18.225999999999999</c:v>
                </c:pt>
                <c:pt idx="73">
                  <c:v>18.248000000000001</c:v>
                </c:pt>
                <c:pt idx="74">
                  <c:v>18.257999999999999</c:v>
                </c:pt>
                <c:pt idx="75">
                  <c:v>18.28</c:v>
                </c:pt>
                <c:pt idx="76">
                  <c:v>18.314</c:v>
                </c:pt>
                <c:pt idx="77">
                  <c:v>18.309000000000001</c:v>
                </c:pt>
                <c:pt idx="78">
                  <c:v>18.327000000000002</c:v>
                </c:pt>
                <c:pt idx="79">
                  <c:v>18.361999999999998</c:v>
                </c:pt>
                <c:pt idx="80">
                  <c:v>18.384</c:v>
                </c:pt>
                <c:pt idx="81">
                  <c:v>18.376999999999999</c:v>
                </c:pt>
                <c:pt idx="82">
                  <c:v>18.411000000000001</c:v>
                </c:pt>
                <c:pt idx="83">
                  <c:v>18.466999999999999</c:v>
                </c:pt>
                <c:pt idx="84">
                  <c:v>18.472999999999999</c:v>
                </c:pt>
                <c:pt idx="85">
                  <c:v>18.518000000000001</c:v>
                </c:pt>
                <c:pt idx="86">
                  <c:v>18.542000000000002</c:v>
                </c:pt>
                <c:pt idx="87">
                  <c:v>18.608000000000001</c:v>
                </c:pt>
                <c:pt idx="88">
                  <c:v>18.657</c:v>
                </c:pt>
                <c:pt idx="89">
                  <c:v>18.718</c:v>
                </c:pt>
                <c:pt idx="90">
                  <c:v>18.773</c:v>
                </c:pt>
                <c:pt idx="91">
                  <c:v>18.806999999999999</c:v>
                </c:pt>
                <c:pt idx="92">
                  <c:v>18.864999999999998</c:v>
                </c:pt>
                <c:pt idx="93">
                  <c:v>18.927</c:v>
                </c:pt>
                <c:pt idx="94">
                  <c:v>18.975000000000001</c:v>
                </c:pt>
                <c:pt idx="95">
                  <c:v>19.032</c:v>
                </c:pt>
                <c:pt idx="96">
                  <c:v>19.05</c:v>
                </c:pt>
                <c:pt idx="97">
                  <c:v>19.084</c:v>
                </c:pt>
                <c:pt idx="98">
                  <c:v>19.113</c:v>
                </c:pt>
                <c:pt idx="99">
                  <c:v>19.164999999999999</c:v>
                </c:pt>
                <c:pt idx="100">
                  <c:v>19.207999999999998</c:v>
                </c:pt>
                <c:pt idx="101">
                  <c:v>19.257000000000001</c:v>
                </c:pt>
                <c:pt idx="102">
                  <c:v>19.321999999999999</c:v>
                </c:pt>
                <c:pt idx="103">
                  <c:v>19.382000000000001</c:v>
                </c:pt>
                <c:pt idx="104">
                  <c:v>19.45</c:v>
                </c:pt>
                <c:pt idx="105">
                  <c:v>19.523</c:v>
                </c:pt>
                <c:pt idx="106">
                  <c:v>19.585000000000001</c:v>
                </c:pt>
                <c:pt idx="107">
                  <c:v>19.632999999999999</c:v>
                </c:pt>
                <c:pt idx="108">
                  <c:v>19.72</c:v>
                </c:pt>
                <c:pt idx="109">
                  <c:v>19.805</c:v>
                </c:pt>
                <c:pt idx="110">
                  <c:v>19.884</c:v>
                </c:pt>
                <c:pt idx="111">
                  <c:v>19.957000000000001</c:v>
                </c:pt>
                <c:pt idx="112">
                  <c:v>20.033000000000001</c:v>
                </c:pt>
                <c:pt idx="113">
                  <c:v>20.111000000000001</c:v>
                </c:pt>
                <c:pt idx="114">
                  <c:v>20.178000000000001</c:v>
                </c:pt>
                <c:pt idx="115">
                  <c:v>20.257000000000001</c:v>
                </c:pt>
                <c:pt idx="116">
                  <c:v>20.338999999999999</c:v>
                </c:pt>
                <c:pt idx="117">
                  <c:v>20.422000000000001</c:v>
                </c:pt>
                <c:pt idx="118">
                  <c:v>20.498000000000001</c:v>
                </c:pt>
                <c:pt idx="119">
                  <c:v>20.56</c:v>
                </c:pt>
                <c:pt idx="120">
                  <c:v>20.638000000000002</c:v>
                </c:pt>
                <c:pt idx="121">
                  <c:v>20.709</c:v>
                </c:pt>
                <c:pt idx="122">
                  <c:v>20.805</c:v>
                </c:pt>
                <c:pt idx="123">
                  <c:v>20.885999999999999</c:v>
                </c:pt>
                <c:pt idx="124">
                  <c:v>20.969000000000001</c:v>
                </c:pt>
                <c:pt idx="125">
                  <c:v>21.041</c:v>
                </c:pt>
                <c:pt idx="126">
                  <c:v>21.138999999999999</c:v>
                </c:pt>
                <c:pt idx="127">
                  <c:v>21.199000000000002</c:v>
                </c:pt>
                <c:pt idx="128">
                  <c:v>21.283999999999999</c:v>
                </c:pt>
                <c:pt idx="129">
                  <c:v>21.375</c:v>
                </c:pt>
                <c:pt idx="130">
                  <c:v>21.457000000000001</c:v>
                </c:pt>
                <c:pt idx="131">
                  <c:v>21.536999999999999</c:v>
                </c:pt>
                <c:pt idx="132">
                  <c:v>21.608000000000001</c:v>
                </c:pt>
                <c:pt idx="133">
                  <c:v>21.690999999999999</c:v>
                </c:pt>
                <c:pt idx="134">
                  <c:v>21.771999999999998</c:v>
                </c:pt>
                <c:pt idx="135">
                  <c:v>21.856999999999999</c:v>
                </c:pt>
                <c:pt idx="136">
                  <c:v>21.934000000000001</c:v>
                </c:pt>
                <c:pt idx="137">
                  <c:v>22.013999999999999</c:v>
                </c:pt>
                <c:pt idx="138">
                  <c:v>22.097999999999999</c:v>
                </c:pt>
                <c:pt idx="139">
                  <c:v>22.173999999999999</c:v>
                </c:pt>
                <c:pt idx="140">
                  <c:v>22.266999999999999</c:v>
                </c:pt>
                <c:pt idx="141">
                  <c:v>22.376000000000001</c:v>
                </c:pt>
                <c:pt idx="142">
                  <c:v>22.492000000000001</c:v>
                </c:pt>
                <c:pt idx="143">
                  <c:v>22.605</c:v>
                </c:pt>
                <c:pt idx="144">
                  <c:v>22.693999999999999</c:v>
                </c:pt>
                <c:pt idx="145">
                  <c:v>22.78</c:v>
                </c:pt>
                <c:pt idx="146">
                  <c:v>22.853000000000002</c:v>
                </c:pt>
                <c:pt idx="147">
                  <c:v>22.939</c:v>
                </c:pt>
                <c:pt idx="148">
                  <c:v>23.039000000000001</c:v>
                </c:pt>
                <c:pt idx="149">
                  <c:v>23.129000000000001</c:v>
                </c:pt>
                <c:pt idx="150">
                  <c:v>23.218</c:v>
                </c:pt>
                <c:pt idx="151">
                  <c:v>23.251000000000001</c:v>
                </c:pt>
                <c:pt idx="152">
                  <c:v>23.289000000000001</c:v>
                </c:pt>
                <c:pt idx="153">
                  <c:v>23.326000000000001</c:v>
                </c:pt>
                <c:pt idx="154">
                  <c:v>23.379000000000001</c:v>
                </c:pt>
                <c:pt idx="155">
                  <c:v>23.452000000000002</c:v>
                </c:pt>
                <c:pt idx="156">
                  <c:v>23.552</c:v>
                </c:pt>
                <c:pt idx="157">
                  <c:v>23.614999999999998</c:v>
                </c:pt>
                <c:pt idx="158">
                  <c:v>23.661999999999999</c:v>
                </c:pt>
                <c:pt idx="159">
                  <c:v>23.716999999999999</c:v>
                </c:pt>
                <c:pt idx="160">
                  <c:v>23.771999999999998</c:v>
                </c:pt>
                <c:pt idx="161">
                  <c:v>23.818999999999999</c:v>
                </c:pt>
                <c:pt idx="162">
                  <c:v>23.888000000000002</c:v>
                </c:pt>
                <c:pt idx="163">
                  <c:v>23.937999999999999</c:v>
                </c:pt>
                <c:pt idx="164">
                  <c:v>24.018000000000001</c:v>
                </c:pt>
                <c:pt idx="165">
                  <c:v>24.032</c:v>
                </c:pt>
                <c:pt idx="166">
                  <c:v>24.094999999999999</c:v>
                </c:pt>
                <c:pt idx="167">
                  <c:v>24.167999999999999</c:v>
                </c:pt>
                <c:pt idx="168">
                  <c:v>24.183</c:v>
                </c:pt>
                <c:pt idx="169">
                  <c:v>24.259</c:v>
                </c:pt>
                <c:pt idx="170">
                  <c:v>24.356999999999999</c:v>
                </c:pt>
                <c:pt idx="171">
                  <c:v>24.498000000000001</c:v>
                </c:pt>
                <c:pt idx="172">
                  <c:v>24.593</c:v>
                </c:pt>
                <c:pt idx="173">
                  <c:v>24.699000000000002</c:v>
                </c:pt>
                <c:pt idx="174">
                  <c:v>24.805</c:v>
                </c:pt>
                <c:pt idx="175">
                  <c:v>24.920999999999999</c:v>
                </c:pt>
                <c:pt idx="176">
                  <c:v>25.045999999999999</c:v>
                </c:pt>
                <c:pt idx="177">
                  <c:v>25.143000000000001</c:v>
                </c:pt>
                <c:pt idx="178">
                  <c:v>25.263999999999999</c:v>
                </c:pt>
                <c:pt idx="179">
                  <c:v>25.404</c:v>
                </c:pt>
                <c:pt idx="180">
                  <c:v>25.529</c:v>
                </c:pt>
                <c:pt idx="181">
                  <c:v>25.692</c:v>
                </c:pt>
                <c:pt idx="182">
                  <c:v>25.891999999999999</c:v>
                </c:pt>
                <c:pt idx="183">
                  <c:v>26.085999999999999</c:v>
                </c:pt>
                <c:pt idx="184">
                  <c:v>26.337</c:v>
                </c:pt>
                <c:pt idx="185">
                  <c:v>26.606999999999999</c:v>
                </c:pt>
                <c:pt idx="186">
                  <c:v>26.843</c:v>
                </c:pt>
                <c:pt idx="187">
                  <c:v>27.100999999999999</c:v>
                </c:pt>
                <c:pt idx="188">
                  <c:v>27.344999999999999</c:v>
                </c:pt>
                <c:pt idx="189">
                  <c:v>27.559000000000001</c:v>
                </c:pt>
                <c:pt idx="190">
                  <c:v>27.76</c:v>
                </c:pt>
                <c:pt idx="191">
                  <c:v>27.956</c:v>
                </c:pt>
                <c:pt idx="192">
                  <c:v>28.119</c:v>
                </c:pt>
                <c:pt idx="193">
                  <c:v>28.318000000000001</c:v>
                </c:pt>
                <c:pt idx="194">
                  <c:v>28.466000000000001</c:v>
                </c:pt>
                <c:pt idx="195">
                  <c:v>28.603999999999999</c:v>
                </c:pt>
                <c:pt idx="196">
                  <c:v>28.725000000000001</c:v>
                </c:pt>
                <c:pt idx="197">
                  <c:v>28.866</c:v>
                </c:pt>
                <c:pt idx="198">
                  <c:v>29.044</c:v>
                </c:pt>
                <c:pt idx="199">
                  <c:v>29.143999999999998</c:v>
                </c:pt>
                <c:pt idx="200">
                  <c:v>29.302</c:v>
                </c:pt>
                <c:pt idx="201">
                  <c:v>29.448</c:v>
                </c:pt>
                <c:pt idx="202">
                  <c:v>29.643000000000001</c:v>
                </c:pt>
                <c:pt idx="203">
                  <c:v>29.823</c:v>
                </c:pt>
                <c:pt idx="204">
                  <c:v>29.975999999999999</c:v>
                </c:pt>
                <c:pt idx="205">
                  <c:v>30.094999999999999</c:v>
                </c:pt>
                <c:pt idx="206">
                  <c:v>30.195</c:v>
                </c:pt>
                <c:pt idx="207">
                  <c:v>30.312000000000001</c:v>
                </c:pt>
                <c:pt idx="208">
                  <c:v>30.456</c:v>
                </c:pt>
                <c:pt idx="209">
                  <c:v>30.579000000000001</c:v>
                </c:pt>
                <c:pt idx="210">
                  <c:v>30.748000000000001</c:v>
                </c:pt>
                <c:pt idx="211">
                  <c:v>30.925000000000001</c:v>
                </c:pt>
                <c:pt idx="212">
                  <c:v>31.106000000000002</c:v>
                </c:pt>
                <c:pt idx="213">
                  <c:v>31.257999999999999</c:v>
                </c:pt>
                <c:pt idx="214">
                  <c:v>31.401</c:v>
                </c:pt>
                <c:pt idx="215">
                  <c:v>31.571000000000002</c:v>
                </c:pt>
                <c:pt idx="216">
                  <c:v>31.763000000000002</c:v>
                </c:pt>
                <c:pt idx="217">
                  <c:v>31.957999999999998</c:v>
                </c:pt>
                <c:pt idx="218">
                  <c:v>32.094000000000001</c:v>
                </c:pt>
                <c:pt idx="219">
                  <c:v>32.253</c:v>
                </c:pt>
                <c:pt idx="220">
                  <c:v>32.417000000000002</c:v>
                </c:pt>
                <c:pt idx="221">
                  <c:v>32.610999999999997</c:v>
                </c:pt>
                <c:pt idx="222">
                  <c:v>32.813000000000002</c:v>
                </c:pt>
                <c:pt idx="223">
                  <c:v>32.972999999999999</c:v>
                </c:pt>
                <c:pt idx="224">
                  <c:v>33.113</c:v>
                </c:pt>
                <c:pt idx="225">
                  <c:v>33.273000000000003</c:v>
                </c:pt>
                <c:pt idx="226">
                  <c:v>33.445</c:v>
                </c:pt>
                <c:pt idx="227">
                  <c:v>33.618000000000002</c:v>
                </c:pt>
                <c:pt idx="228">
                  <c:v>33.819000000000003</c:v>
                </c:pt>
                <c:pt idx="229">
                  <c:v>33.948999999999998</c:v>
                </c:pt>
                <c:pt idx="230">
                  <c:v>34.133000000000003</c:v>
                </c:pt>
                <c:pt idx="231">
                  <c:v>34.353999999999999</c:v>
                </c:pt>
                <c:pt idx="232">
                  <c:v>34.555999999999997</c:v>
                </c:pt>
                <c:pt idx="233">
                  <c:v>34.749000000000002</c:v>
                </c:pt>
                <c:pt idx="234">
                  <c:v>34.953000000000003</c:v>
                </c:pt>
                <c:pt idx="235">
                  <c:v>35.140999999999998</c:v>
                </c:pt>
                <c:pt idx="236">
                  <c:v>35.343000000000004</c:v>
                </c:pt>
                <c:pt idx="237">
                  <c:v>35.603000000000002</c:v>
                </c:pt>
                <c:pt idx="238">
                  <c:v>35.793999999999997</c:v>
                </c:pt>
                <c:pt idx="239">
                  <c:v>35.933999999999997</c:v>
                </c:pt>
                <c:pt idx="240">
                  <c:v>36.118000000000002</c:v>
                </c:pt>
                <c:pt idx="241">
                  <c:v>36.234999999999999</c:v>
                </c:pt>
                <c:pt idx="242">
                  <c:v>36.444000000000003</c:v>
                </c:pt>
                <c:pt idx="243">
                  <c:v>36.78</c:v>
                </c:pt>
                <c:pt idx="244">
                  <c:v>37.1</c:v>
                </c:pt>
                <c:pt idx="245">
                  <c:v>37.308</c:v>
                </c:pt>
                <c:pt idx="246">
                  <c:v>37.494999999999997</c:v>
                </c:pt>
                <c:pt idx="247">
                  <c:v>37.744</c:v>
                </c:pt>
                <c:pt idx="248">
                  <c:v>38.002000000000002</c:v>
                </c:pt>
                <c:pt idx="249">
                  <c:v>38.279000000000003</c:v>
                </c:pt>
                <c:pt idx="250">
                  <c:v>38.524000000000001</c:v>
                </c:pt>
                <c:pt idx="251">
                  <c:v>38.801000000000002</c:v>
                </c:pt>
                <c:pt idx="252">
                  <c:v>39.094999999999999</c:v>
                </c:pt>
                <c:pt idx="253">
                  <c:v>39.484999999999999</c:v>
                </c:pt>
                <c:pt idx="254">
                  <c:v>39.850999999999999</c:v>
                </c:pt>
                <c:pt idx="255">
                  <c:v>40.055999999999997</c:v>
                </c:pt>
                <c:pt idx="256">
                  <c:v>40.378</c:v>
                </c:pt>
                <c:pt idx="257">
                  <c:v>40.646000000000001</c:v>
                </c:pt>
                <c:pt idx="258">
                  <c:v>40.932000000000002</c:v>
                </c:pt>
                <c:pt idx="259">
                  <c:v>41.228000000000002</c:v>
                </c:pt>
                <c:pt idx="260">
                  <c:v>41.616</c:v>
                </c:pt>
                <c:pt idx="261">
                  <c:v>41.959000000000003</c:v>
                </c:pt>
                <c:pt idx="262">
                  <c:v>42.289000000000001</c:v>
                </c:pt>
                <c:pt idx="263">
                  <c:v>42.543999999999997</c:v>
                </c:pt>
                <c:pt idx="264">
                  <c:v>42.911999999999999</c:v>
                </c:pt>
                <c:pt idx="265">
                  <c:v>43.225999999999999</c:v>
                </c:pt>
                <c:pt idx="266">
                  <c:v>43.466000000000001</c:v>
                </c:pt>
                <c:pt idx="267">
                  <c:v>43.744</c:v>
                </c:pt>
                <c:pt idx="268">
                  <c:v>44.045000000000002</c:v>
                </c:pt>
                <c:pt idx="269">
                  <c:v>44.265000000000001</c:v>
                </c:pt>
                <c:pt idx="270">
                  <c:v>44.531999999999996</c:v>
                </c:pt>
                <c:pt idx="271">
                  <c:v>44.83</c:v>
                </c:pt>
                <c:pt idx="272">
                  <c:v>45.124000000000002</c:v>
                </c:pt>
                <c:pt idx="273">
                  <c:v>45.393000000000001</c:v>
                </c:pt>
                <c:pt idx="274">
                  <c:v>45.658000000000001</c:v>
                </c:pt>
                <c:pt idx="275">
                  <c:v>45.826000000000001</c:v>
                </c:pt>
                <c:pt idx="276">
                  <c:v>46.107999999999997</c:v>
                </c:pt>
                <c:pt idx="277">
                  <c:v>46.286000000000001</c:v>
                </c:pt>
                <c:pt idx="278">
                  <c:v>46.488</c:v>
                </c:pt>
                <c:pt idx="279">
                  <c:v>46.671999999999997</c:v>
                </c:pt>
                <c:pt idx="280">
                  <c:v>46.927</c:v>
                </c:pt>
                <c:pt idx="281">
                  <c:v>47.161999999999999</c:v>
                </c:pt>
                <c:pt idx="282">
                  <c:v>47.468000000000004</c:v>
                </c:pt>
                <c:pt idx="283">
                  <c:v>47.686</c:v>
                </c:pt>
                <c:pt idx="284">
                  <c:v>47.863</c:v>
                </c:pt>
                <c:pt idx="285">
                  <c:v>48.165999999999997</c:v>
                </c:pt>
                <c:pt idx="286">
                  <c:v>48.344000000000001</c:v>
                </c:pt>
                <c:pt idx="287">
                  <c:v>48.497999999999998</c:v>
                </c:pt>
                <c:pt idx="288">
                  <c:v>48.83</c:v>
                </c:pt>
                <c:pt idx="289">
                  <c:v>49.011000000000003</c:v>
                </c:pt>
                <c:pt idx="290">
                  <c:v>49.073</c:v>
                </c:pt>
                <c:pt idx="291">
                  <c:v>49.222000000000001</c:v>
                </c:pt>
                <c:pt idx="292">
                  <c:v>49.292999999999999</c:v>
                </c:pt>
                <c:pt idx="293">
                  <c:v>49.523000000000003</c:v>
                </c:pt>
                <c:pt idx="294">
                  <c:v>49.856000000000002</c:v>
                </c:pt>
                <c:pt idx="295">
                  <c:v>50.113</c:v>
                </c:pt>
                <c:pt idx="296">
                  <c:v>50.316000000000003</c:v>
                </c:pt>
                <c:pt idx="297">
                  <c:v>50.405000000000001</c:v>
                </c:pt>
                <c:pt idx="298">
                  <c:v>50.523000000000003</c:v>
                </c:pt>
                <c:pt idx="299">
                  <c:v>50.56</c:v>
                </c:pt>
                <c:pt idx="300">
                  <c:v>50.728999999999999</c:v>
                </c:pt>
                <c:pt idx="301">
                  <c:v>51.048999999999999</c:v>
                </c:pt>
                <c:pt idx="302">
                  <c:v>51.241999999999997</c:v>
                </c:pt>
                <c:pt idx="303">
                  <c:v>51.482999999999997</c:v>
                </c:pt>
                <c:pt idx="304">
                  <c:v>51.601999999999997</c:v>
                </c:pt>
                <c:pt idx="305">
                  <c:v>51.723999999999997</c:v>
                </c:pt>
                <c:pt idx="306">
                  <c:v>51.947000000000003</c:v>
                </c:pt>
                <c:pt idx="307">
                  <c:v>52.118000000000002</c:v>
                </c:pt>
                <c:pt idx="308">
                  <c:v>52.198</c:v>
                </c:pt>
                <c:pt idx="309">
                  <c:v>52.314999999999998</c:v>
                </c:pt>
                <c:pt idx="310">
                  <c:v>52.426000000000002</c:v>
                </c:pt>
                <c:pt idx="311">
                  <c:v>52.634</c:v>
                </c:pt>
                <c:pt idx="312">
                  <c:v>52.927999999999997</c:v>
                </c:pt>
                <c:pt idx="313">
                  <c:v>53.204000000000001</c:v>
                </c:pt>
                <c:pt idx="314">
                  <c:v>53.39</c:v>
                </c:pt>
                <c:pt idx="315">
                  <c:v>53.453000000000003</c:v>
                </c:pt>
                <c:pt idx="316">
                  <c:v>53.637999999999998</c:v>
                </c:pt>
                <c:pt idx="317">
                  <c:v>53.814999999999998</c:v>
                </c:pt>
                <c:pt idx="318">
                  <c:v>53.972999999999999</c:v>
                </c:pt>
                <c:pt idx="319">
                  <c:v>54.237000000000002</c:v>
                </c:pt>
                <c:pt idx="320">
                  <c:v>54.348999999999997</c:v>
                </c:pt>
                <c:pt idx="321">
                  <c:v>54.436</c:v>
                </c:pt>
                <c:pt idx="322">
                  <c:v>54.57</c:v>
                </c:pt>
                <c:pt idx="323">
                  <c:v>54.718000000000004</c:v>
                </c:pt>
                <c:pt idx="324">
                  <c:v>55.014000000000003</c:v>
                </c:pt>
                <c:pt idx="325">
                  <c:v>55.155999999999999</c:v>
                </c:pt>
                <c:pt idx="326">
                  <c:v>55.323999999999998</c:v>
                </c:pt>
                <c:pt idx="327">
                  <c:v>55.423999999999999</c:v>
                </c:pt>
                <c:pt idx="328">
                  <c:v>55.518000000000001</c:v>
                </c:pt>
                <c:pt idx="329">
                  <c:v>55.685000000000002</c:v>
                </c:pt>
                <c:pt idx="330">
                  <c:v>55.786000000000001</c:v>
                </c:pt>
                <c:pt idx="331">
                  <c:v>55.901000000000003</c:v>
                </c:pt>
                <c:pt idx="332">
                  <c:v>56.085000000000001</c:v>
                </c:pt>
                <c:pt idx="333">
                  <c:v>56.274000000000001</c:v>
                </c:pt>
                <c:pt idx="334">
                  <c:v>56.393999999999998</c:v>
                </c:pt>
                <c:pt idx="335">
                  <c:v>56.466000000000001</c:v>
                </c:pt>
                <c:pt idx="336">
                  <c:v>56.600999999999999</c:v>
                </c:pt>
                <c:pt idx="337">
                  <c:v>56.713999999999999</c:v>
                </c:pt>
                <c:pt idx="338">
                  <c:v>56.881999999999998</c:v>
                </c:pt>
                <c:pt idx="339">
                  <c:v>57.122999999999998</c:v>
                </c:pt>
                <c:pt idx="340">
                  <c:v>57.283000000000001</c:v>
                </c:pt>
                <c:pt idx="341">
                  <c:v>57.441000000000003</c:v>
                </c:pt>
                <c:pt idx="342">
                  <c:v>57.588999999999999</c:v>
                </c:pt>
                <c:pt idx="343">
                  <c:v>57.783000000000001</c:v>
                </c:pt>
                <c:pt idx="344">
                  <c:v>58.012</c:v>
                </c:pt>
                <c:pt idx="345">
                  <c:v>58.26</c:v>
                </c:pt>
                <c:pt idx="346">
                  <c:v>58.381999999999998</c:v>
                </c:pt>
                <c:pt idx="347">
                  <c:v>58.505000000000003</c:v>
                </c:pt>
                <c:pt idx="348">
                  <c:v>58.780999999999999</c:v>
                </c:pt>
                <c:pt idx="349">
                  <c:v>58.902000000000001</c:v>
                </c:pt>
                <c:pt idx="350">
                  <c:v>59.154000000000003</c:v>
                </c:pt>
                <c:pt idx="351">
                  <c:v>59.441000000000003</c:v>
                </c:pt>
                <c:pt idx="352">
                  <c:v>59.643999999999998</c:v>
                </c:pt>
                <c:pt idx="353">
                  <c:v>59.896000000000001</c:v>
                </c:pt>
                <c:pt idx="354">
                  <c:v>60.14</c:v>
                </c:pt>
                <c:pt idx="355">
                  <c:v>60.289000000000001</c:v>
                </c:pt>
                <c:pt idx="356">
                  <c:v>60.613</c:v>
                </c:pt>
                <c:pt idx="357">
                  <c:v>60.843000000000004</c:v>
                </c:pt>
                <c:pt idx="358">
                  <c:v>61.01</c:v>
                </c:pt>
                <c:pt idx="359">
                  <c:v>61.212000000000003</c:v>
                </c:pt>
                <c:pt idx="360">
                  <c:v>61.521999999999998</c:v>
                </c:pt>
                <c:pt idx="361">
                  <c:v>61.677999999999997</c:v>
                </c:pt>
                <c:pt idx="362">
                  <c:v>61.863</c:v>
                </c:pt>
                <c:pt idx="363">
                  <c:v>62.07</c:v>
                </c:pt>
                <c:pt idx="364">
                  <c:v>62.256</c:v>
                </c:pt>
                <c:pt idx="365">
                  <c:v>62.42</c:v>
                </c:pt>
                <c:pt idx="366">
                  <c:v>62.581000000000003</c:v>
                </c:pt>
                <c:pt idx="367">
                  <c:v>62.668999999999997</c:v>
                </c:pt>
                <c:pt idx="368">
                  <c:v>62.886000000000003</c:v>
                </c:pt>
                <c:pt idx="369">
                  <c:v>63.113999999999997</c:v>
                </c:pt>
                <c:pt idx="370">
                  <c:v>63.281999999999996</c:v>
                </c:pt>
                <c:pt idx="371">
                  <c:v>63.462000000000003</c:v>
                </c:pt>
                <c:pt idx="372">
                  <c:v>63.706000000000003</c:v>
                </c:pt>
                <c:pt idx="373">
                  <c:v>64.016000000000005</c:v>
                </c:pt>
                <c:pt idx="374">
                  <c:v>64.322999999999993</c:v>
                </c:pt>
                <c:pt idx="375">
                  <c:v>64.515000000000001</c:v>
                </c:pt>
                <c:pt idx="376">
                  <c:v>64.712000000000003</c:v>
                </c:pt>
                <c:pt idx="377">
                  <c:v>64.962999999999994</c:v>
                </c:pt>
                <c:pt idx="378">
                  <c:v>65.128</c:v>
                </c:pt>
                <c:pt idx="379">
                  <c:v>65.397999999999996</c:v>
                </c:pt>
                <c:pt idx="380">
                  <c:v>65.626999999999995</c:v>
                </c:pt>
                <c:pt idx="381">
                  <c:v>65.849999999999994</c:v>
                </c:pt>
                <c:pt idx="382">
                  <c:v>65.929000000000002</c:v>
                </c:pt>
                <c:pt idx="383">
                  <c:v>66.021000000000001</c:v>
                </c:pt>
                <c:pt idx="384">
                  <c:v>66.349999999999994</c:v>
                </c:pt>
                <c:pt idx="385">
                  <c:v>66.533000000000001</c:v>
                </c:pt>
                <c:pt idx="386">
                  <c:v>66.671999999999997</c:v>
                </c:pt>
                <c:pt idx="387">
                  <c:v>66.805000000000007</c:v>
                </c:pt>
                <c:pt idx="388">
                  <c:v>67.072000000000003</c:v>
                </c:pt>
                <c:pt idx="389">
                  <c:v>67.215999999999994</c:v>
                </c:pt>
                <c:pt idx="390">
                  <c:v>67.421000000000006</c:v>
                </c:pt>
                <c:pt idx="391">
                  <c:v>67.605999999999995</c:v>
                </c:pt>
                <c:pt idx="392">
                  <c:v>67.876999999999995</c:v>
                </c:pt>
                <c:pt idx="393">
                  <c:v>68.025999999999996</c:v>
                </c:pt>
                <c:pt idx="394">
                  <c:v>68.153000000000006</c:v>
                </c:pt>
                <c:pt idx="395">
                  <c:v>68.320999999999998</c:v>
                </c:pt>
                <c:pt idx="396">
                  <c:v>68.507000000000005</c:v>
                </c:pt>
                <c:pt idx="397">
                  <c:v>68.692999999999998</c:v>
                </c:pt>
                <c:pt idx="398">
                  <c:v>68.864999999999995</c:v>
                </c:pt>
                <c:pt idx="399">
                  <c:v>69.090999999999994</c:v>
                </c:pt>
                <c:pt idx="400">
                  <c:v>69.188000000000002</c:v>
                </c:pt>
                <c:pt idx="401">
                  <c:v>69.242000000000004</c:v>
                </c:pt>
                <c:pt idx="402">
                  <c:v>69.503</c:v>
                </c:pt>
                <c:pt idx="403">
                  <c:v>69.566999999999993</c:v>
                </c:pt>
                <c:pt idx="404">
                  <c:v>69.680000000000007</c:v>
                </c:pt>
                <c:pt idx="405">
                  <c:v>69.947999999999993</c:v>
                </c:pt>
                <c:pt idx="406">
                  <c:v>70.100999999999999</c:v>
                </c:pt>
                <c:pt idx="407">
                  <c:v>70.230999999999995</c:v>
                </c:pt>
                <c:pt idx="408">
                  <c:v>70.435000000000002</c:v>
                </c:pt>
                <c:pt idx="409">
                  <c:v>70.569999999999993</c:v>
                </c:pt>
                <c:pt idx="410">
                  <c:v>70.722999999999999</c:v>
                </c:pt>
                <c:pt idx="411">
                  <c:v>70.929000000000002</c:v>
                </c:pt>
                <c:pt idx="412">
                  <c:v>71.168999999999997</c:v>
                </c:pt>
                <c:pt idx="413">
                  <c:v>71.236999999999995</c:v>
                </c:pt>
                <c:pt idx="414">
                  <c:v>71.385000000000005</c:v>
                </c:pt>
                <c:pt idx="415">
                  <c:v>71.518000000000001</c:v>
                </c:pt>
                <c:pt idx="416">
                  <c:v>71.625</c:v>
                </c:pt>
                <c:pt idx="417">
                  <c:v>71.744</c:v>
                </c:pt>
                <c:pt idx="418">
                  <c:v>71.927999999999997</c:v>
                </c:pt>
                <c:pt idx="419">
                  <c:v>71.959999999999994</c:v>
                </c:pt>
                <c:pt idx="420">
                  <c:v>72.018000000000001</c:v>
                </c:pt>
                <c:pt idx="421">
                  <c:v>72.173000000000002</c:v>
                </c:pt>
                <c:pt idx="422">
                  <c:v>72.42</c:v>
                </c:pt>
                <c:pt idx="423">
                  <c:v>72.528000000000006</c:v>
                </c:pt>
                <c:pt idx="424">
                  <c:v>72.69</c:v>
                </c:pt>
                <c:pt idx="425">
                  <c:v>72.850999999999999</c:v>
                </c:pt>
                <c:pt idx="426">
                  <c:v>73.004000000000005</c:v>
                </c:pt>
                <c:pt idx="427">
                  <c:v>73.085999999999999</c:v>
                </c:pt>
                <c:pt idx="428">
                  <c:v>73.197000000000003</c:v>
                </c:pt>
                <c:pt idx="429">
                  <c:v>73.369</c:v>
                </c:pt>
                <c:pt idx="430">
                  <c:v>73.503</c:v>
                </c:pt>
                <c:pt idx="431">
                  <c:v>73.528000000000006</c:v>
                </c:pt>
                <c:pt idx="432">
                  <c:v>73.710999999999999</c:v>
                </c:pt>
                <c:pt idx="433">
                  <c:v>73.831000000000003</c:v>
                </c:pt>
                <c:pt idx="434">
                  <c:v>74.013000000000005</c:v>
                </c:pt>
                <c:pt idx="435">
                  <c:v>74.183999999999997</c:v>
                </c:pt>
                <c:pt idx="436">
                  <c:v>74.311000000000007</c:v>
                </c:pt>
                <c:pt idx="437">
                  <c:v>74.375</c:v>
                </c:pt>
                <c:pt idx="438">
                  <c:v>74.492999999999995</c:v>
                </c:pt>
                <c:pt idx="439">
                  <c:v>74.671000000000006</c:v>
                </c:pt>
                <c:pt idx="440">
                  <c:v>74.77</c:v>
                </c:pt>
                <c:pt idx="441">
                  <c:v>74.951999999999998</c:v>
                </c:pt>
                <c:pt idx="442">
                  <c:v>75</c:v>
                </c:pt>
                <c:pt idx="443">
                  <c:v>75.105000000000004</c:v>
                </c:pt>
                <c:pt idx="444">
                  <c:v>75.19</c:v>
                </c:pt>
                <c:pt idx="445">
                  <c:v>75.287999999999997</c:v>
                </c:pt>
                <c:pt idx="446">
                  <c:v>75.462000000000003</c:v>
                </c:pt>
                <c:pt idx="447">
                  <c:v>75.564999999999998</c:v>
                </c:pt>
                <c:pt idx="448">
                  <c:v>75.695999999999998</c:v>
                </c:pt>
                <c:pt idx="449">
                  <c:v>75.754000000000005</c:v>
                </c:pt>
                <c:pt idx="450">
                  <c:v>75.897000000000006</c:v>
                </c:pt>
                <c:pt idx="451">
                  <c:v>75.962000000000003</c:v>
                </c:pt>
                <c:pt idx="452">
                  <c:v>76.191999999999993</c:v>
                </c:pt>
                <c:pt idx="453">
                  <c:v>76.373000000000005</c:v>
                </c:pt>
                <c:pt idx="454">
                  <c:v>76.472999999999999</c:v>
                </c:pt>
                <c:pt idx="455">
                  <c:v>76.503</c:v>
                </c:pt>
                <c:pt idx="456">
                  <c:v>76.584000000000003</c:v>
                </c:pt>
                <c:pt idx="457">
                  <c:v>76.741</c:v>
                </c:pt>
                <c:pt idx="458">
                  <c:v>76.924999999999997</c:v>
                </c:pt>
                <c:pt idx="459">
                  <c:v>77.075000000000003</c:v>
                </c:pt>
                <c:pt idx="460">
                  <c:v>77.131</c:v>
                </c:pt>
                <c:pt idx="461">
                  <c:v>77.245000000000005</c:v>
                </c:pt>
                <c:pt idx="462">
                  <c:v>77.296999999999997</c:v>
                </c:pt>
                <c:pt idx="463">
                  <c:v>77.266999999999996</c:v>
                </c:pt>
                <c:pt idx="464">
                  <c:v>77.427000000000007</c:v>
                </c:pt>
                <c:pt idx="465">
                  <c:v>77.545000000000002</c:v>
                </c:pt>
                <c:pt idx="466">
                  <c:v>77.567999999999998</c:v>
                </c:pt>
                <c:pt idx="467">
                  <c:v>77.613</c:v>
                </c:pt>
                <c:pt idx="468">
                  <c:v>77.731999999999999</c:v>
                </c:pt>
                <c:pt idx="469">
                  <c:v>77.798000000000002</c:v>
                </c:pt>
                <c:pt idx="470">
                  <c:v>77.881</c:v>
                </c:pt>
                <c:pt idx="471">
                  <c:v>78.024000000000001</c:v>
                </c:pt>
                <c:pt idx="472">
                  <c:v>78.099999999999994</c:v>
                </c:pt>
                <c:pt idx="473">
                  <c:v>78.001999999999995</c:v>
                </c:pt>
                <c:pt idx="474">
                  <c:v>78.221999999999994</c:v>
                </c:pt>
                <c:pt idx="475">
                  <c:v>78.375</c:v>
                </c:pt>
                <c:pt idx="476">
                  <c:v>78.361000000000004</c:v>
                </c:pt>
                <c:pt idx="477">
                  <c:v>78.513999999999996</c:v>
                </c:pt>
                <c:pt idx="478">
                  <c:v>78.528000000000006</c:v>
                </c:pt>
                <c:pt idx="479">
                  <c:v>78.662999999999997</c:v>
                </c:pt>
                <c:pt idx="480">
                  <c:v>78.775999999999996</c:v>
                </c:pt>
                <c:pt idx="481">
                  <c:v>78.748999999999995</c:v>
                </c:pt>
                <c:pt idx="482">
                  <c:v>78.772999999999996</c:v>
                </c:pt>
                <c:pt idx="483">
                  <c:v>78.974999999999994</c:v>
                </c:pt>
                <c:pt idx="484">
                  <c:v>79.051000000000002</c:v>
                </c:pt>
                <c:pt idx="485">
                  <c:v>79.091999999999999</c:v>
                </c:pt>
                <c:pt idx="486">
                  <c:v>79.234999999999999</c:v>
                </c:pt>
                <c:pt idx="487">
                  <c:v>79.272999999999996</c:v>
                </c:pt>
                <c:pt idx="488">
                  <c:v>79.483000000000004</c:v>
                </c:pt>
                <c:pt idx="489">
                  <c:v>79.619</c:v>
                </c:pt>
                <c:pt idx="490">
                  <c:v>79.694999999999993</c:v>
                </c:pt>
                <c:pt idx="491">
                  <c:v>79.796000000000006</c:v>
                </c:pt>
                <c:pt idx="492">
                  <c:v>79.986999999999995</c:v>
                </c:pt>
                <c:pt idx="493">
                  <c:v>80.105999999999995</c:v>
                </c:pt>
                <c:pt idx="494">
                  <c:v>80.27</c:v>
                </c:pt>
                <c:pt idx="495">
                  <c:v>80.322999999999993</c:v>
                </c:pt>
                <c:pt idx="496">
                  <c:v>80.409000000000006</c:v>
                </c:pt>
                <c:pt idx="497">
                  <c:v>80.47</c:v>
                </c:pt>
                <c:pt idx="498">
                  <c:v>80.653999999999996</c:v>
                </c:pt>
                <c:pt idx="499">
                  <c:v>80.757000000000005</c:v>
                </c:pt>
                <c:pt idx="500">
                  <c:v>80.953000000000003</c:v>
                </c:pt>
                <c:pt idx="501">
                  <c:v>81.066999999999993</c:v>
                </c:pt>
                <c:pt idx="502">
                  <c:v>81.209999999999994</c:v>
                </c:pt>
                <c:pt idx="503">
                  <c:v>81.289000000000001</c:v>
                </c:pt>
                <c:pt idx="504">
                  <c:v>81.591999999999999</c:v>
                </c:pt>
                <c:pt idx="505">
                  <c:v>81.736000000000004</c:v>
                </c:pt>
                <c:pt idx="506">
                  <c:v>81.820999999999998</c:v>
                </c:pt>
                <c:pt idx="507">
                  <c:v>81.950999999999993</c:v>
                </c:pt>
                <c:pt idx="508">
                  <c:v>81.97</c:v>
                </c:pt>
                <c:pt idx="509">
                  <c:v>82.153999999999996</c:v>
                </c:pt>
                <c:pt idx="510">
                  <c:v>82.366</c:v>
                </c:pt>
                <c:pt idx="511">
                  <c:v>82.406000000000006</c:v>
                </c:pt>
                <c:pt idx="512">
                  <c:v>81.938999999999993</c:v>
                </c:pt>
                <c:pt idx="513">
                  <c:v>82.516000000000005</c:v>
                </c:pt>
                <c:pt idx="514">
                  <c:v>82.683000000000007</c:v>
                </c:pt>
                <c:pt idx="515">
                  <c:v>82.701999999999998</c:v>
                </c:pt>
                <c:pt idx="516">
                  <c:v>82.75</c:v>
                </c:pt>
                <c:pt idx="517">
                  <c:v>82.906999999999996</c:v>
                </c:pt>
                <c:pt idx="518">
                  <c:v>83.006</c:v>
                </c:pt>
                <c:pt idx="519">
                  <c:v>83.238</c:v>
                </c:pt>
                <c:pt idx="520">
                  <c:v>83.331000000000003</c:v>
                </c:pt>
                <c:pt idx="521">
                  <c:v>83.462999999999994</c:v>
                </c:pt>
                <c:pt idx="522">
                  <c:v>83.632000000000005</c:v>
                </c:pt>
                <c:pt idx="523">
                  <c:v>83.796999999999997</c:v>
                </c:pt>
                <c:pt idx="524">
                  <c:v>83.933999999999997</c:v>
                </c:pt>
                <c:pt idx="525">
                  <c:v>84.004999999999995</c:v>
                </c:pt>
                <c:pt idx="526">
                  <c:v>84.087000000000003</c:v>
                </c:pt>
                <c:pt idx="527">
                  <c:v>84.165000000000006</c:v>
                </c:pt>
                <c:pt idx="528">
                  <c:v>84.222999999999999</c:v>
                </c:pt>
                <c:pt idx="529">
                  <c:v>84.338999999999999</c:v>
                </c:pt>
                <c:pt idx="530">
                  <c:v>84.474000000000004</c:v>
                </c:pt>
                <c:pt idx="531">
                  <c:v>84.567999999999998</c:v>
                </c:pt>
                <c:pt idx="532">
                  <c:v>84.69</c:v>
                </c:pt>
                <c:pt idx="533">
                  <c:v>84.738</c:v>
                </c:pt>
                <c:pt idx="534">
                  <c:v>84.948999999999998</c:v>
                </c:pt>
                <c:pt idx="535">
                  <c:v>85.045000000000002</c:v>
                </c:pt>
                <c:pt idx="536">
                  <c:v>85.164000000000001</c:v>
                </c:pt>
                <c:pt idx="537">
                  <c:v>85.32</c:v>
                </c:pt>
                <c:pt idx="538">
                  <c:v>85.436999999999998</c:v>
                </c:pt>
                <c:pt idx="539">
                  <c:v>85.543999999999997</c:v>
                </c:pt>
                <c:pt idx="540">
                  <c:v>85.763000000000005</c:v>
                </c:pt>
                <c:pt idx="541">
                  <c:v>85.902000000000001</c:v>
                </c:pt>
                <c:pt idx="542">
                  <c:v>86.046000000000006</c:v>
                </c:pt>
                <c:pt idx="543">
                  <c:v>86.27</c:v>
                </c:pt>
                <c:pt idx="544">
                  <c:v>86.388000000000005</c:v>
                </c:pt>
                <c:pt idx="545">
                  <c:v>86.525000000000006</c:v>
                </c:pt>
                <c:pt idx="546">
                  <c:v>86.628</c:v>
                </c:pt>
                <c:pt idx="547">
                  <c:v>86.661000000000001</c:v>
                </c:pt>
                <c:pt idx="548">
                  <c:v>86.822999999999993</c:v>
                </c:pt>
                <c:pt idx="549">
                  <c:v>87.012</c:v>
                </c:pt>
                <c:pt idx="550">
                  <c:v>87.198999999999998</c:v>
                </c:pt>
                <c:pt idx="551">
                  <c:v>87.311000000000007</c:v>
                </c:pt>
                <c:pt idx="552">
                  <c:v>87.625</c:v>
                </c:pt>
                <c:pt idx="553">
                  <c:v>87.77</c:v>
                </c:pt>
                <c:pt idx="554">
                  <c:v>87.986999999999995</c:v>
                </c:pt>
                <c:pt idx="555">
                  <c:v>88.088999999999999</c:v>
                </c:pt>
                <c:pt idx="556">
                  <c:v>88.269000000000005</c:v>
                </c:pt>
                <c:pt idx="557">
                  <c:v>88.33</c:v>
                </c:pt>
                <c:pt idx="558">
                  <c:v>88.46</c:v>
                </c:pt>
                <c:pt idx="559">
                  <c:v>88.531999999999996</c:v>
                </c:pt>
                <c:pt idx="560">
                  <c:v>88.727999999999994</c:v>
                </c:pt>
                <c:pt idx="561">
                  <c:v>88.981999999999999</c:v>
                </c:pt>
                <c:pt idx="562">
                  <c:v>89.21</c:v>
                </c:pt>
                <c:pt idx="563">
                  <c:v>89.302000000000007</c:v>
                </c:pt>
                <c:pt idx="564">
                  <c:v>89.503</c:v>
                </c:pt>
                <c:pt idx="565">
                  <c:v>89.647000000000006</c:v>
                </c:pt>
                <c:pt idx="566">
                  <c:v>89.894000000000005</c:v>
                </c:pt>
                <c:pt idx="567">
                  <c:v>90.168999999999997</c:v>
                </c:pt>
                <c:pt idx="568">
                  <c:v>90.394999999999996</c:v>
                </c:pt>
                <c:pt idx="569">
                  <c:v>90.623000000000005</c:v>
                </c:pt>
                <c:pt idx="570">
                  <c:v>90.712000000000003</c:v>
                </c:pt>
                <c:pt idx="571">
                  <c:v>90.896000000000001</c:v>
                </c:pt>
                <c:pt idx="572">
                  <c:v>91.04</c:v>
                </c:pt>
                <c:pt idx="573">
                  <c:v>91.203999999999994</c:v>
                </c:pt>
                <c:pt idx="574">
                  <c:v>91.248000000000005</c:v>
                </c:pt>
                <c:pt idx="575">
                  <c:v>91.37</c:v>
                </c:pt>
                <c:pt idx="576">
                  <c:v>91.741</c:v>
                </c:pt>
                <c:pt idx="577">
                  <c:v>91.938999999999993</c:v>
                </c:pt>
                <c:pt idx="578">
                  <c:v>92.031999999999996</c:v>
                </c:pt>
                <c:pt idx="579">
                  <c:v>92.162999999999997</c:v>
                </c:pt>
                <c:pt idx="580">
                  <c:v>92.272000000000006</c:v>
                </c:pt>
                <c:pt idx="581">
                  <c:v>92.424000000000007</c:v>
                </c:pt>
                <c:pt idx="582">
                  <c:v>92.563000000000002</c:v>
                </c:pt>
                <c:pt idx="583">
                  <c:v>92.700999999999993</c:v>
                </c:pt>
                <c:pt idx="584">
                  <c:v>92.953999999999994</c:v>
                </c:pt>
                <c:pt idx="585">
                  <c:v>93.195999999999998</c:v>
                </c:pt>
                <c:pt idx="586">
                  <c:v>93.379000000000005</c:v>
                </c:pt>
                <c:pt idx="587">
                  <c:v>93.566999999999993</c:v>
                </c:pt>
                <c:pt idx="588">
                  <c:v>93.753</c:v>
                </c:pt>
                <c:pt idx="589">
                  <c:v>93.843999999999994</c:v>
                </c:pt>
                <c:pt idx="590">
                  <c:v>94.028000000000006</c:v>
                </c:pt>
                <c:pt idx="591">
                  <c:v>94.082999999999998</c:v>
                </c:pt>
                <c:pt idx="592">
                  <c:v>94.254999999999995</c:v>
                </c:pt>
                <c:pt idx="593">
                  <c:v>94.471000000000004</c:v>
                </c:pt>
                <c:pt idx="594">
                  <c:v>94.641000000000005</c:v>
                </c:pt>
                <c:pt idx="595">
                  <c:v>94.757000000000005</c:v>
                </c:pt>
                <c:pt idx="596">
                  <c:v>94.853999999999999</c:v>
                </c:pt>
                <c:pt idx="597">
                  <c:v>94.718999999999994</c:v>
                </c:pt>
                <c:pt idx="598">
                  <c:v>94.677000000000007</c:v>
                </c:pt>
                <c:pt idx="599">
                  <c:v>94.631</c:v>
                </c:pt>
                <c:pt idx="600">
                  <c:v>94.602000000000004</c:v>
                </c:pt>
                <c:pt idx="601">
                  <c:v>94.677000000000007</c:v>
                </c:pt>
                <c:pt idx="602">
                  <c:v>94.745000000000005</c:v>
                </c:pt>
                <c:pt idx="603">
                  <c:v>94.956999999999994</c:v>
                </c:pt>
                <c:pt idx="604">
                  <c:v>95.03</c:v>
                </c:pt>
                <c:pt idx="605">
                  <c:v>95.150999999999996</c:v>
                </c:pt>
                <c:pt idx="606">
                  <c:v>95.233000000000004</c:v>
                </c:pt>
                <c:pt idx="607">
                  <c:v>95.373999999999995</c:v>
                </c:pt>
                <c:pt idx="608">
                  <c:v>95.540999999999997</c:v>
                </c:pt>
                <c:pt idx="609">
                  <c:v>95.893000000000001</c:v>
                </c:pt>
                <c:pt idx="610">
                  <c:v>95.977999999999994</c:v>
                </c:pt>
                <c:pt idx="611">
                  <c:v>96.06</c:v>
                </c:pt>
                <c:pt idx="612">
                  <c:v>96.200999999999993</c:v>
                </c:pt>
                <c:pt idx="613">
                  <c:v>96.284999999999997</c:v>
                </c:pt>
                <c:pt idx="614">
                  <c:v>96.429000000000002</c:v>
                </c:pt>
                <c:pt idx="615">
                  <c:v>96.477999999999994</c:v>
                </c:pt>
                <c:pt idx="616">
                  <c:v>96.584999999999994</c:v>
                </c:pt>
                <c:pt idx="617">
                  <c:v>96.632000000000005</c:v>
                </c:pt>
                <c:pt idx="618">
                  <c:v>96.632999999999996</c:v>
                </c:pt>
                <c:pt idx="619">
                  <c:v>96.725999999999999</c:v>
                </c:pt>
                <c:pt idx="620">
                  <c:v>96.781000000000006</c:v>
                </c:pt>
                <c:pt idx="621">
                  <c:v>96.927999999999997</c:v>
                </c:pt>
                <c:pt idx="622">
                  <c:v>97.054000000000002</c:v>
                </c:pt>
                <c:pt idx="623">
                  <c:v>97.073999999999998</c:v>
                </c:pt>
                <c:pt idx="624">
                  <c:v>97.283000000000001</c:v>
                </c:pt>
                <c:pt idx="625">
                  <c:v>97.453000000000003</c:v>
                </c:pt>
                <c:pt idx="626">
                  <c:v>97.6</c:v>
                </c:pt>
                <c:pt idx="627">
                  <c:v>97.823999999999998</c:v>
                </c:pt>
                <c:pt idx="628">
                  <c:v>98.057000000000002</c:v>
                </c:pt>
                <c:pt idx="629">
                  <c:v>98.164000000000001</c:v>
                </c:pt>
                <c:pt idx="630">
                  <c:v>98.308999999999997</c:v>
                </c:pt>
                <c:pt idx="631">
                  <c:v>98.504999999999995</c:v>
                </c:pt>
                <c:pt idx="632">
                  <c:v>98.572000000000003</c:v>
                </c:pt>
                <c:pt idx="633">
                  <c:v>98.619</c:v>
                </c:pt>
                <c:pt idx="634">
                  <c:v>98.828000000000003</c:v>
                </c:pt>
                <c:pt idx="635">
                  <c:v>98.992000000000004</c:v>
                </c:pt>
                <c:pt idx="636">
                  <c:v>99.287999999999997</c:v>
                </c:pt>
                <c:pt idx="637">
                  <c:v>99.426000000000002</c:v>
                </c:pt>
                <c:pt idx="638">
                  <c:v>99.594999999999999</c:v>
                </c:pt>
                <c:pt idx="639">
                  <c:v>99.745999999999995</c:v>
                </c:pt>
                <c:pt idx="640">
                  <c:v>99.846999999999994</c:v>
                </c:pt>
                <c:pt idx="641">
                  <c:v>99.95</c:v>
                </c:pt>
                <c:pt idx="642">
                  <c:v>100.053</c:v>
                </c:pt>
                <c:pt idx="643">
                  <c:v>100.116</c:v>
                </c:pt>
                <c:pt idx="644">
                  <c:v>100.24</c:v>
                </c:pt>
                <c:pt idx="645">
                  <c:v>100.482</c:v>
                </c:pt>
                <c:pt idx="646">
                  <c:v>100.59099999999999</c:v>
                </c:pt>
                <c:pt idx="647">
                  <c:v>100.664</c:v>
                </c:pt>
                <c:pt idx="648">
                  <c:v>100.871</c:v>
                </c:pt>
                <c:pt idx="649">
                  <c:v>100.992</c:v>
                </c:pt>
                <c:pt idx="650">
                  <c:v>101.08499999999999</c:v>
                </c:pt>
                <c:pt idx="651">
                  <c:v>101.163</c:v>
                </c:pt>
                <c:pt idx="652">
                  <c:v>101.27200000000001</c:v>
                </c:pt>
                <c:pt idx="653">
                  <c:v>101.438</c:v>
                </c:pt>
                <c:pt idx="654">
                  <c:v>101.56699999999999</c:v>
                </c:pt>
                <c:pt idx="655">
                  <c:v>101.685</c:v>
                </c:pt>
                <c:pt idx="656">
                  <c:v>101.79900000000001</c:v>
                </c:pt>
                <c:pt idx="657">
                  <c:v>102.015</c:v>
                </c:pt>
                <c:pt idx="658">
                  <c:v>102.194</c:v>
                </c:pt>
                <c:pt idx="659">
                  <c:v>102.333</c:v>
                </c:pt>
                <c:pt idx="660">
                  <c:v>102.426</c:v>
                </c:pt>
                <c:pt idx="661">
                  <c:v>102.489</c:v>
                </c:pt>
                <c:pt idx="662">
                  <c:v>102.684</c:v>
                </c:pt>
                <c:pt idx="663">
                  <c:v>102.879</c:v>
                </c:pt>
                <c:pt idx="664">
                  <c:v>103.06100000000001</c:v>
                </c:pt>
                <c:pt idx="665">
                  <c:v>103.18</c:v>
                </c:pt>
                <c:pt idx="666">
                  <c:v>103.369</c:v>
                </c:pt>
                <c:pt idx="667">
                  <c:v>103.408</c:v>
                </c:pt>
                <c:pt idx="668">
                  <c:v>103.536</c:v>
                </c:pt>
                <c:pt idx="669">
                  <c:v>103.629</c:v>
                </c:pt>
                <c:pt idx="670">
                  <c:v>103.74</c:v>
                </c:pt>
                <c:pt idx="671">
                  <c:v>103.837</c:v>
                </c:pt>
                <c:pt idx="672">
                  <c:v>103.816</c:v>
                </c:pt>
                <c:pt idx="673">
                  <c:v>103.92</c:v>
                </c:pt>
                <c:pt idx="674">
                  <c:v>104.08</c:v>
                </c:pt>
                <c:pt idx="675">
                  <c:v>104.256</c:v>
                </c:pt>
                <c:pt idx="676">
                  <c:v>104.38500000000001</c:v>
                </c:pt>
                <c:pt idx="677">
                  <c:v>104.511</c:v>
                </c:pt>
                <c:pt idx="678">
                  <c:v>104.60299999999999</c:v>
                </c:pt>
                <c:pt idx="679">
                  <c:v>104.679</c:v>
                </c:pt>
                <c:pt idx="680">
                  <c:v>104.81399999999999</c:v>
                </c:pt>
                <c:pt idx="681">
                  <c:v>104.82899999999999</c:v>
                </c:pt>
                <c:pt idx="682">
                  <c:v>104.94</c:v>
                </c:pt>
                <c:pt idx="683">
                  <c:v>105.009</c:v>
                </c:pt>
                <c:pt idx="684">
                  <c:v>105.20399999999999</c:v>
                </c:pt>
                <c:pt idx="685">
                  <c:v>105.369</c:v>
                </c:pt>
                <c:pt idx="686">
                  <c:v>105.521</c:v>
                </c:pt>
                <c:pt idx="687">
                  <c:v>105.786</c:v>
                </c:pt>
                <c:pt idx="688">
                  <c:v>105.94799999999999</c:v>
                </c:pt>
                <c:pt idx="689">
                  <c:v>106.077</c:v>
                </c:pt>
                <c:pt idx="690">
                  <c:v>106.25700000000001</c:v>
                </c:pt>
                <c:pt idx="691">
                  <c:v>106.456</c:v>
                </c:pt>
                <c:pt idx="692">
                  <c:v>106.57899999999999</c:v>
                </c:pt>
                <c:pt idx="693">
                  <c:v>106.73699999999999</c:v>
                </c:pt>
                <c:pt idx="694">
                  <c:v>106.789</c:v>
                </c:pt>
                <c:pt idx="695">
                  <c:v>106.929</c:v>
                </c:pt>
                <c:pt idx="696">
                  <c:v>107.205</c:v>
                </c:pt>
                <c:pt idx="697">
                  <c:v>107.414</c:v>
                </c:pt>
                <c:pt idx="698">
                  <c:v>107.364</c:v>
                </c:pt>
                <c:pt idx="699">
                  <c:v>107.62</c:v>
                </c:pt>
                <c:pt idx="700">
                  <c:v>107.71899999999999</c:v>
                </c:pt>
                <c:pt idx="701">
                  <c:v>107.876</c:v>
                </c:pt>
                <c:pt idx="702">
                  <c:v>107.941</c:v>
                </c:pt>
                <c:pt idx="703">
                  <c:v>108.074</c:v>
                </c:pt>
                <c:pt idx="704">
                  <c:v>108.215</c:v>
                </c:pt>
                <c:pt idx="705">
                  <c:v>108.499</c:v>
                </c:pt>
                <c:pt idx="706">
                  <c:v>108.58199999999999</c:v>
                </c:pt>
                <c:pt idx="707">
                  <c:v>108.742</c:v>
                </c:pt>
                <c:pt idx="708">
                  <c:v>109.08</c:v>
                </c:pt>
                <c:pt idx="709">
                  <c:v>109.31100000000001</c:v>
                </c:pt>
                <c:pt idx="710">
                  <c:v>109.562</c:v>
                </c:pt>
                <c:pt idx="711">
                  <c:v>109.75</c:v>
                </c:pt>
                <c:pt idx="712">
                  <c:v>109.956</c:v>
                </c:pt>
                <c:pt idx="713">
                  <c:v>110.07299999999999</c:v>
                </c:pt>
                <c:pt idx="714">
                  <c:v>110.21899999999999</c:v>
                </c:pt>
                <c:pt idx="715">
                  <c:v>110.246</c:v>
                </c:pt>
                <c:pt idx="716">
                  <c:v>110.476</c:v>
                </c:pt>
                <c:pt idx="717">
                  <c:v>110.626</c:v>
                </c:pt>
                <c:pt idx="718">
                  <c:v>110.831</c:v>
                </c:pt>
                <c:pt idx="719">
                  <c:v>111.009</c:v>
                </c:pt>
                <c:pt idx="720">
                  <c:v>111.134</c:v>
                </c:pt>
                <c:pt idx="721">
                  <c:v>111.20699999999999</c:v>
                </c:pt>
                <c:pt idx="722">
                  <c:v>111.35</c:v>
                </c:pt>
                <c:pt idx="723">
                  <c:v>111.65</c:v>
                </c:pt>
                <c:pt idx="724">
                  <c:v>111.773</c:v>
                </c:pt>
                <c:pt idx="725">
                  <c:v>112</c:v>
                </c:pt>
                <c:pt idx="726">
                  <c:v>112.157</c:v>
                </c:pt>
                <c:pt idx="727">
                  <c:v>112.27</c:v>
                </c:pt>
                <c:pt idx="728">
                  <c:v>112.339</c:v>
                </c:pt>
                <c:pt idx="729">
                  <c:v>112.496</c:v>
                </c:pt>
                <c:pt idx="730">
                  <c:v>112.524</c:v>
                </c:pt>
                <c:pt idx="731">
                  <c:v>112.77200000000001</c:v>
                </c:pt>
                <c:pt idx="732">
                  <c:v>113.008</c:v>
                </c:pt>
                <c:pt idx="733">
                  <c:v>113.206</c:v>
                </c:pt>
                <c:pt idx="734">
                  <c:v>113.143</c:v>
                </c:pt>
                <c:pt idx="735">
                  <c:v>112.66800000000001</c:v>
                </c:pt>
                <c:pt idx="736">
                  <c:v>112.819</c:v>
                </c:pt>
                <c:pt idx="737">
                  <c:v>113.051</c:v>
                </c:pt>
                <c:pt idx="738">
                  <c:v>113.425</c:v>
                </c:pt>
                <c:pt idx="739">
                  <c:v>113.782</c:v>
                </c:pt>
                <c:pt idx="740">
                  <c:v>113.979</c:v>
                </c:pt>
                <c:pt idx="741">
                  <c:v>114.017</c:v>
                </c:pt>
                <c:pt idx="742">
                  <c:v>114.048</c:v>
                </c:pt>
                <c:pt idx="743">
                  <c:v>114.422</c:v>
                </c:pt>
                <c:pt idx="744">
                  <c:v>114.782</c:v>
                </c:pt>
                <c:pt idx="745">
                  <c:v>114.97499999999999</c:v>
                </c:pt>
                <c:pt idx="746">
                  <c:v>115.45699999999999</c:v>
                </c:pt>
                <c:pt idx="747">
                  <c:v>116.18600000000001</c:v>
                </c:pt>
                <c:pt idx="748">
                  <c:v>116.78700000000001</c:v>
                </c:pt>
                <c:pt idx="749">
                  <c:v>117.349</c:v>
                </c:pt>
                <c:pt idx="750">
                  <c:v>117.81100000000001</c:v>
                </c:pt>
                <c:pt idx="751">
                  <c:v>118.199</c:v>
                </c:pt>
                <c:pt idx="752">
                  <c:v>118.446</c:v>
                </c:pt>
                <c:pt idx="753">
                  <c:v>118.929</c:v>
                </c:pt>
                <c:pt idx="754">
                  <c:v>119.54300000000001</c:v>
                </c:pt>
                <c:pt idx="755">
                  <c:v>120.193</c:v>
                </c:pt>
                <c:pt idx="756">
                  <c:v>120.761</c:v>
                </c:pt>
                <c:pt idx="757">
                  <c:v>121.205</c:v>
                </c:pt>
                <c:pt idx="758">
                  <c:v>121.651</c:v>
                </c:pt>
                <c:pt idx="759">
                  <c:v>122.03</c:v>
                </c:pt>
                <c:pt idx="760">
                  <c:v>122.488</c:v>
                </c:pt>
                <c:pt idx="761">
                  <c:v>123.258</c:v>
                </c:pt>
                <c:pt idx="762">
                  <c:v>123.33799999999999</c:v>
                </c:pt>
                <c:pt idx="763">
                  <c:v>124.01</c:v>
                </c:pt>
                <c:pt idx="764">
                  <c:v>124.584</c:v>
                </c:pt>
                <c:pt idx="765">
                  <c:v>124.857</c:v>
                </c:pt>
              </c:numCache>
            </c:numRef>
          </c:val>
          <c:smooth val="0"/>
          <c:extLst>
            <c:ext xmlns:c16="http://schemas.microsoft.com/office/drawing/2014/chart" uri="{C3380CC4-5D6E-409C-BE32-E72D297353CC}">
              <c16:uniqueId val="{00000000-B688-44BE-885C-64AFF4F2A066}"/>
            </c:ext>
          </c:extLst>
        </c:ser>
        <c:dLbls>
          <c:showLegendKey val="0"/>
          <c:showVal val="0"/>
          <c:showCatName val="0"/>
          <c:showSerName val="0"/>
          <c:showPercent val="0"/>
          <c:showBubbleSize val="0"/>
        </c:dLbls>
        <c:marker val="1"/>
        <c:smooth val="0"/>
        <c:axId val="716622040"/>
        <c:axId val="716620400"/>
      </c:lineChart>
      <c:lineChart>
        <c:grouping val="standard"/>
        <c:varyColors val="0"/>
        <c:ser>
          <c:idx val="1"/>
          <c:order val="1"/>
          <c:tx>
            <c:strRef>
              <c:f>'PCE Core vs Core CPI'!$C$4</c:f>
              <c:strCache>
                <c:ptCount val="1"/>
                <c:pt idx="0">
                  <c:v>Core CPI</c:v>
                </c:pt>
              </c:strCache>
            </c:strRef>
          </c:tx>
          <c:spPr>
            <a:ln w="28575" cap="rnd">
              <a:solidFill>
                <a:schemeClr val="accent2"/>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numCache>
            </c:numRef>
          </c:cat>
          <c:val>
            <c:numRef>
              <c:f>'PCE Core vs Core CPI'!$C$5:$C$772</c:f>
              <c:numCache>
                <c:formatCode>0.00</c:formatCode>
                <c:ptCount val="768"/>
                <c:pt idx="0">
                  <c:v>29.9</c:v>
                </c:pt>
                <c:pt idx="1">
                  <c:v>29.9</c:v>
                </c:pt>
                <c:pt idx="2">
                  <c:v>30</c:v>
                </c:pt>
                <c:pt idx="3">
                  <c:v>30</c:v>
                </c:pt>
                <c:pt idx="4">
                  <c:v>30.1</c:v>
                </c:pt>
                <c:pt idx="5">
                  <c:v>30.2</c:v>
                </c:pt>
                <c:pt idx="6">
                  <c:v>30.2</c:v>
                </c:pt>
                <c:pt idx="7">
                  <c:v>30.2</c:v>
                </c:pt>
                <c:pt idx="8">
                  <c:v>30.3</c:v>
                </c:pt>
                <c:pt idx="9">
                  <c:v>30.4</c:v>
                </c:pt>
                <c:pt idx="10">
                  <c:v>30.4</c:v>
                </c:pt>
                <c:pt idx="11">
                  <c:v>30.5</c:v>
                </c:pt>
                <c:pt idx="12">
                  <c:v>30.5</c:v>
                </c:pt>
                <c:pt idx="13">
                  <c:v>30.6</c:v>
                </c:pt>
                <c:pt idx="14">
                  <c:v>30.6</c:v>
                </c:pt>
                <c:pt idx="15">
                  <c:v>30.6</c:v>
                </c:pt>
                <c:pt idx="16">
                  <c:v>30.6</c:v>
                </c:pt>
                <c:pt idx="17">
                  <c:v>30.7</c:v>
                </c:pt>
                <c:pt idx="18">
                  <c:v>30.6</c:v>
                </c:pt>
                <c:pt idx="19">
                  <c:v>30.6</c:v>
                </c:pt>
                <c:pt idx="20">
                  <c:v>30.6</c:v>
                </c:pt>
                <c:pt idx="21">
                  <c:v>30.8</c:v>
                </c:pt>
                <c:pt idx="22">
                  <c:v>30.8</c:v>
                </c:pt>
                <c:pt idx="23">
                  <c:v>30.7</c:v>
                </c:pt>
                <c:pt idx="24">
                  <c:v>30.8</c:v>
                </c:pt>
                <c:pt idx="25">
                  <c:v>30.8</c:v>
                </c:pt>
                <c:pt idx="26">
                  <c:v>30.9</c:v>
                </c:pt>
                <c:pt idx="27">
                  <c:v>30.9</c:v>
                </c:pt>
                <c:pt idx="28">
                  <c:v>30.9</c:v>
                </c:pt>
                <c:pt idx="29">
                  <c:v>31</c:v>
                </c:pt>
                <c:pt idx="30">
                  <c:v>31</c:v>
                </c:pt>
                <c:pt idx="31">
                  <c:v>31.1</c:v>
                </c:pt>
                <c:pt idx="32">
                  <c:v>31.1</c:v>
                </c:pt>
                <c:pt idx="33">
                  <c:v>31.1</c:v>
                </c:pt>
                <c:pt idx="34">
                  <c:v>31.2</c:v>
                </c:pt>
                <c:pt idx="35">
                  <c:v>31.2</c:v>
                </c:pt>
                <c:pt idx="36">
                  <c:v>31.2</c:v>
                </c:pt>
                <c:pt idx="37">
                  <c:v>31.2</c:v>
                </c:pt>
                <c:pt idx="38">
                  <c:v>31.3</c:v>
                </c:pt>
                <c:pt idx="39">
                  <c:v>31.3</c:v>
                </c:pt>
                <c:pt idx="40">
                  <c:v>31.4</c:v>
                </c:pt>
                <c:pt idx="41">
                  <c:v>31.4</c:v>
                </c:pt>
                <c:pt idx="42">
                  <c:v>31.4</c:v>
                </c:pt>
                <c:pt idx="43">
                  <c:v>31.5</c:v>
                </c:pt>
                <c:pt idx="44">
                  <c:v>31.5</c:v>
                </c:pt>
                <c:pt idx="45">
                  <c:v>31.5</c:v>
                </c:pt>
                <c:pt idx="46">
                  <c:v>31.5</c:v>
                </c:pt>
                <c:pt idx="47">
                  <c:v>31.6</c:v>
                </c:pt>
                <c:pt idx="48">
                  <c:v>31.5</c:v>
                </c:pt>
                <c:pt idx="49">
                  <c:v>31.6</c:v>
                </c:pt>
                <c:pt idx="50">
                  <c:v>31.7</c:v>
                </c:pt>
                <c:pt idx="51">
                  <c:v>31.7</c:v>
                </c:pt>
                <c:pt idx="52">
                  <c:v>31.7</c:v>
                </c:pt>
                <c:pt idx="53">
                  <c:v>31.8</c:v>
                </c:pt>
                <c:pt idx="54">
                  <c:v>31.8</c:v>
                </c:pt>
                <c:pt idx="55">
                  <c:v>31.9</c:v>
                </c:pt>
                <c:pt idx="56">
                  <c:v>31.9</c:v>
                </c:pt>
                <c:pt idx="57">
                  <c:v>32</c:v>
                </c:pt>
                <c:pt idx="58">
                  <c:v>32</c:v>
                </c:pt>
                <c:pt idx="59">
                  <c:v>32.1</c:v>
                </c:pt>
                <c:pt idx="60">
                  <c:v>32.200000000000003</c:v>
                </c:pt>
                <c:pt idx="61">
                  <c:v>32.200000000000003</c:v>
                </c:pt>
                <c:pt idx="62">
                  <c:v>32.200000000000003</c:v>
                </c:pt>
                <c:pt idx="63">
                  <c:v>32.200000000000003</c:v>
                </c:pt>
                <c:pt idx="64">
                  <c:v>32.200000000000003</c:v>
                </c:pt>
                <c:pt idx="65">
                  <c:v>32.299999999999997</c:v>
                </c:pt>
                <c:pt idx="66">
                  <c:v>32.299999999999997</c:v>
                </c:pt>
                <c:pt idx="67">
                  <c:v>32.299999999999997</c:v>
                </c:pt>
                <c:pt idx="68">
                  <c:v>32.299999999999997</c:v>
                </c:pt>
                <c:pt idx="69">
                  <c:v>32.4</c:v>
                </c:pt>
                <c:pt idx="70">
                  <c:v>32.5</c:v>
                </c:pt>
                <c:pt idx="71">
                  <c:v>32.5</c:v>
                </c:pt>
                <c:pt idx="72">
                  <c:v>32.6</c:v>
                </c:pt>
                <c:pt idx="73">
                  <c:v>32.6</c:v>
                </c:pt>
                <c:pt idx="74">
                  <c:v>32.6</c:v>
                </c:pt>
                <c:pt idx="75">
                  <c:v>32.700000000000003</c:v>
                </c:pt>
                <c:pt idx="76">
                  <c:v>32.700000000000003</c:v>
                </c:pt>
                <c:pt idx="77">
                  <c:v>32.700000000000003</c:v>
                </c:pt>
                <c:pt idx="78">
                  <c:v>32.700000000000003</c:v>
                </c:pt>
                <c:pt idx="79">
                  <c:v>32.700000000000003</c:v>
                </c:pt>
                <c:pt idx="80">
                  <c:v>32.799999999999997</c:v>
                </c:pt>
                <c:pt idx="81">
                  <c:v>32.799999999999997</c:v>
                </c:pt>
                <c:pt idx="82">
                  <c:v>32.9</c:v>
                </c:pt>
                <c:pt idx="83">
                  <c:v>33</c:v>
                </c:pt>
                <c:pt idx="84">
                  <c:v>33</c:v>
                </c:pt>
                <c:pt idx="85">
                  <c:v>33.1</c:v>
                </c:pt>
                <c:pt idx="86">
                  <c:v>33.1</c:v>
                </c:pt>
                <c:pt idx="87">
                  <c:v>33.299999999999997</c:v>
                </c:pt>
                <c:pt idx="88">
                  <c:v>33.4</c:v>
                </c:pt>
                <c:pt idx="89">
                  <c:v>33.5</c:v>
                </c:pt>
                <c:pt idx="90">
                  <c:v>33.6</c:v>
                </c:pt>
                <c:pt idx="91">
                  <c:v>33.700000000000003</c:v>
                </c:pt>
                <c:pt idx="92">
                  <c:v>33.799999999999997</c:v>
                </c:pt>
                <c:pt idx="93">
                  <c:v>34</c:v>
                </c:pt>
                <c:pt idx="94">
                  <c:v>34</c:v>
                </c:pt>
                <c:pt idx="95">
                  <c:v>34.1</c:v>
                </c:pt>
                <c:pt idx="96">
                  <c:v>34.200000000000003</c:v>
                </c:pt>
                <c:pt idx="97">
                  <c:v>34.200000000000003</c:v>
                </c:pt>
                <c:pt idx="98">
                  <c:v>34.299999999999997</c:v>
                </c:pt>
                <c:pt idx="99">
                  <c:v>34.4</c:v>
                </c:pt>
                <c:pt idx="100">
                  <c:v>34.5</c:v>
                </c:pt>
                <c:pt idx="101">
                  <c:v>34.6</c:v>
                </c:pt>
                <c:pt idx="102">
                  <c:v>34.700000000000003</c:v>
                </c:pt>
                <c:pt idx="103">
                  <c:v>34.9</c:v>
                </c:pt>
                <c:pt idx="104">
                  <c:v>35</c:v>
                </c:pt>
                <c:pt idx="105">
                  <c:v>35.1</c:v>
                </c:pt>
                <c:pt idx="106">
                  <c:v>35.200000000000003</c:v>
                </c:pt>
                <c:pt idx="107">
                  <c:v>35.4</c:v>
                </c:pt>
                <c:pt idx="108">
                  <c:v>35.5</c:v>
                </c:pt>
                <c:pt idx="109">
                  <c:v>35.700000000000003</c:v>
                </c:pt>
                <c:pt idx="110">
                  <c:v>35.799999999999997</c:v>
                </c:pt>
                <c:pt idx="111">
                  <c:v>35.9</c:v>
                </c:pt>
                <c:pt idx="112">
                  <c:v>36</c:v>
                </c:pt>
                <c:pt idx="113">
                  <c:v>36.200000000000003</c:v>
                </c:pt>
                <c:pt idx="114">
                  <c:v>36.4</c:v>
                </c:pt>
                <c:pt idx="115">
                  <c:v>36.5</c:v>
                </c:pt>
                <c:pt idx="116">
                  <c:v>36.700000000000003</c:v>
                </c:pt>
                <c:pt idx="117">
                  <c:v>36.9</c:v>
                </c:pt>
                <c:pt idx="118">
                  <c:v>37.1</c:v>
                </c:pt>
                <c:pt idx="119">
                  <c:v>37.200000000000003</c:v>
                </c:pt>
                <c:pt idx="120">
                  <c:v>37.299999999999997</c:v>
                </c:pt>
                <c:pt idx="121">
                  <c:v>37.6</c:v>
                </c:pt>
                <c:pt idx="122">
                  <c:v>37.799999999999997</c:v>
                </c:pt>
                <c:pt idx="123">
                  <c:v>38.1</c:v>
                </c:pt>
                <c:pt idx="124">
                  <c:v>38.1</c:v>
                </c:pt>
                <c:pt idx="125">
                  <c:v>38.299999999999997</c:v>
                </c:pt>
                <c:pt idx="126">
                  <c:v>38.5</c:v>
                </c:pt>
                <c:pt idx="127">
                  <c:v>38.700000000000003</c:v>
                </c:pt>
                <c:pt idx="128">
                  <c:v>38.9</c:v>
                </c:pt>
                <c:pt idx="129">
                  <c:v>39.1</c:v>
                </c:pt>
                <c:pt idx="130">
                  <c:v>39.200000000000003</c:v>
                </c:pt>
                <c:pt idx="131">
                  <c:v>39.4</c:v>
                </c:pt>
                <c:pt idx="132">
                  <c:v>39.6</c:v>
                </c:pt>
                <c:pt idx="133">
                  <c:v>39.799999999999997</c:v>
                </c:pt>
                <c:pt idx="134">
                  <c:v>40.1</c:v>
                </c:pt>
                <c:pt idx="135">
                  <c:v>40.4</c:v>
                </c:pt>
                <c:pt idx="136">
                  <c:v>40.5</c:v>
                </c:pt>
                <c:pt idx="137">
                  <c:v>40.799999999999997</c:v>
                </c:pt>
                <c:pt idx="138">
                  <c:v>40.9</c:v>
                </c:pt>
                <c:pt idx="139">
                  <c:v>41.1</c:v>
                </c:pt>
                <c:pt idx="140">
                  <c:v>41.3</c:v>
                </c:pt>
                <c:pt idx="141">
                  <c:v>41.5</c:v>
                </c:pt>
                <c:pt idx="142">
                  <c:v>41.8</c:v>
                </c:pt>
                <c:pt idx="143">
                  <c:v>42</c:v>
                </c:pt>
                <c:pt idx="144">
                  <c:v>42.1</c:v>
                </c:pt>
                <c:pt idx="145">
                  <c:v>42.2</c:v>
                </c:pt>
                <c:pt idx="146">
                  <c:v>42.2</c:v>
                </c:pt>
                <c:pt idx="147">
                  <c:v>42.4</c:v>
                </c:pt>
                <c:pt idx="148">
                  <c:v>42.6</c:v>
                </c:pt>
                <c:pt idx="149">
                  <c:v>42.8</c:v>
                </c:pt>
                <c:pt idx="150">
                  <c:v>42.9</c:v>
                </c:pt>
                <c:pt idx="151">
                  <c:v>43</c:v>
                </c:pt>
                <c:pt idx="152">
                  <c:v>43</c:v>
                </c:pt>
                <c:pt idx="153">
                  <c:v>43.1</c:v>
                </c:pt>
                <c:pt idx="154">
                  <c:v>43.2</c:v>
                </c:pt>
                <c:pt idx="155">
                  <c:v>43.3</c:v>
                </c:pt>
                <c:pt idx="156">
                  <c:v>43.5</c:v>
                </c:pt>
                <c:pt idx="157">
                  <c:v>43.6</c:v>
                </c:pt>
                <c:pt idx="158">
                  <c:v>43.6</c:v>
                </c:pt>
                <c:pt idx="159">
                  <c:v>43.8</c:v>
                </c:pt>
                <c:pt idx="160">
                  <c:v>43.9</c:v>
                </c:pt>
                <c:pt idx="161">
                  <c:v>44</c:v>
                </c:pt>
                <c:pt idx="162">
                  <c:v>44.1</c:v>
                </c:pt>
                <c:pt idx="163">
                  <c:v>44.3</c:v>
                </c:pt>
                <c:pt idx="164">
                  <c:v>44.3</c:v>
                </c:pt>
                <c:pt idx="165">
                  <c:v>44.4</c:v>
                </c:pt>
                <c:pt idx="166">
                  <c:v>44.4</c:v>
                </c:pt>
                <c:pt idx="167">
                  <c:v>44.6</c:v>
                </c:pt>
                <c:pt idx="168">
                  <c:v>44.6</c:v>
                </c:pt>
                <c:pt idx="169">
                  <c:v>44.8</c:v>
                </c:pt>
                <c:pt idx="170">
                  <c:v>45</c:v>
                </c:pt>
                <c:pt idx="171">
                  <c:v>45.1</c:v>
                </c:pt>
                <c:pt idx="172">
                  <c:v>45.3</c:v>
                </c:pt>
                <c:pt idx="173">
                  <c:v>45.4</c:v>
                </c:pt>
                <c:pt idx="174">
                  <c:v>45.5</c:v>
                </c:pt>
                <c:pt idx="175">
                  <c:v>45.7</c:v>
                </c:pt>
                <c:pt idx="176">
                  <c:v>46</c:v>
                </c:pt>
                <c:pt idx="177">
                  <c:v>46.3</c:v>
                </c:pt>
                <c:pt idx="178">
                  <c:v>46.5</c:v>
                </c:pt>
                <c:pt idx="179">
                  <c:v>46.7</c:v>
                </c:pt>
                <c:pt idx="180">
                  <c:v>46.9</c:v>
                </c:pt>
                <c:pt idx="181">
                  <c:v>47.2</c:v>
                </c:pt>
                <c:pt idx="182">
                  <c:v>47.6</c:v>
                </c:pt>
                <c:pt idx="183">
                  <c:v>47.9</c:v>
                </c:pt>
                <c:pt idx="184">
                  <c:v>48.5</c:v>
                </c:pt>
                <c:pt idx="185">
                  <c:v>49</c:v>
                </c:pt>
                <c:pt idx="186">
                  <c:v>49.5</c:v>
                </c:pt>
                <c:pt idx="187">
                  <c:v>50.2</c:v>
                </c:pt>
                <c:pt idx="188">
                  <c:v>50.7</c:v>
                </c:pt>
                <c:pt idx="189">
                  <c:v>51.2</c:v>
                </c:pt>
                <c:pt idx="190">
                  <c:v>51.6</c:v>
                </c:pt>
                <c:pt idx="191">
                  <c:v>52</c:v>
                </c:pt>
                <c:pt idx="192">
                  <c:v>52.3</c:v>
                </c:pt>
                <c:pt idx="193">
                  <c:v>52.8</c:v>
                </c:pt>
                <c:pt idx="194">
                  <c:v>53</c:v>
                </c:pt>
                <c:pt idx="195">
                  <c:v>53.3</c:v>
                </c:pt>
                <c:pt idx="196">
                  <c:v>53.5</c:v>
                </c:pt>
                <c:pt idx="197">
                  <c:v>53.8</c:v>
                </c:pt>
                <c:pt idx="198">
                  <c:v>54</c:v>
                </c:pt>
                <c:pt idx="199">
                  <c:v>54.2</c:v>
                </c:pt>
                <c:pt idx="200">
                  <c:v>54.5</c:v>
                </c:pt>
                <c:pt idx="201">
                  <c:v>54.8</c:v>
                </c:pt>
                <c:pt idx="202">
                  <c:v>55.2</c:v>
                </c:pt>
                <c:pt idx="203">
                  <c:v>55.5</c:v>
                </c:pt>
                <c:pt idx="204">
                  <c:v>55.9</c:v>
                </c:pt>
                <c:pt idx="205">
                  <c:v>56.2</c:v>
                </c:pt>
                <c:pt idx="206">
                  <c:v>56.5</c:v>
                </c:pt>
                <c:pt idx="207">
                  <c:v>56.7</c:v>
                </c:pt>
                <c:pt idx="208">
                  <c:v>57</c:v>
                </c:pt>
                <c:pt idx="209">
                  <c:v>57.2</c:v>
                </c:pt>
                <c:pt idx="210">
                  <c:v>57.6</c:v>
                </c:pt>
                <c:pt idx="211">
                  <c:v>57.9</c:v>
                </c:pt>
                <c:pt idx="212">
                  <c:v>58.2</c:v>
                </c:pt>
                <c:pt idx="213">
                  <c:v>58.5</c:v>
                </c:pt>
                <c:pt idx="214">
                  <c:v>58.7</c:v>
                </c:pt>
                <c:pt idx="215">
                  <c:v>58.9</c:v>
                </c:pt>
                <c:pt idx="216">
                  <c:v>59.3</c:v>
                </c:pt>
                <c:pt idx="217">
                  <c:v>59.7</c:v>
                </c:pt>
                <c:pt idx="218">
                  <c:v>60</c:v>
                </c:pt>
                <c:pt idx="219">
                  <c:v>60.3</c:v>
                </c:pt>
                <c:pt idx="220">
                  <c:v>60.6</c:v>
                </c:pt>
                <c:pt idx="221">
                  <c:v>61</c:v>
                </c:pt>
                <c:pt idx="222">
                  <c:v>61.2</c:v>
                </c:pt>
                <c:pt idx="223">
                  <c:v>61.5</c:v>
                </c:pt>
                <c:pt idx="224">
                  <c:v>61.8</c:v>
                </c:pt>
                <c:pt idx="225">
                  <c:v>62</c:v>
                </c:pt>
                <c:pt idx="226">
                  <c:v>62.3</c:v>
                </c:pt>
                <c:pt idx="227">
                  <c:v>62.7</c:v>
                </c:pt>
                <c:pt idx="228">
                  <c:v>63.1</c:v>
                </c:pt>
                <c:pt idx="229">
                  <c:v>63.4</c:v>
                </c:pt>
                <c:pt idx="230">
                  <c:v>63.8</c:v>
                </c:pt>
                <c:pt idx="231">
                  <c:v>64.3</c:v>
                </c:pt>
                <c:pt idx="232">
                  <c:v>64.7</c:v>
                </c:pt>
                <c:pt idx="233">
                  <c:v>65.2</c:v>
                </c:pt>
                <c:pt idx="234">
                  <c:v>65.599999999999994</c:v>
                </c:pt>
                <c:pt idx="235">
                  <c:v>66.099999999999994</c:v>
                </c:pt>
                <c:pt idx="236">
                  <c:v>66.7</c:v>
                </c:pt>
                <c:pt idx="237">
                  <c:v>67.2</c:v>
                </c:pt>
                <c:pt idx="238">
                  <c:v>67.599999999999994</c:v>
                </c:pt>
                <c:pt idx="239">
                  <c:v>68</c:v>
                </c:pt>
                <c:pt idx="240">
                  <c:v>68.5</c:v>
                </c:pt>
                <c:pt idx="241">
                  <c:v>69.2</c:v>
                </c:pt>
                <c:pt idx="242">
                  <c:v>69.8</c:v>
                </c:pt>
                <c:pt idx="243">
                  <c:v>70.3</c:v>
                </c:pt>
                <c:pt idx="244">
                  <c:v>70.8</c:v>
                </c:pt>
                <c:pt idx="245">
                  <c:v>71.3</c:v>
                </c:pt>
                <c:pt idx="246">
                  <c:v>71.900000000000006</c:v>
                </c:pt>
                <c:pt idx="247">
                  <c:v>72.7</c:v>
                </c:pt>
                <c:pt idx="248">
                  <c:v>73.3</c:v>
                </c:pt>
                <c:pt idx="249">
                  <c:v>74</c:v>
                </c:pt>
                <c:pt idx="250">
                  <c:v>74.8</c:v>
                </c:pt>
                <c:pt idx="251">
                  <c:v>75.7</c:v>
                </c:pt>
                <c:pt idx="252">
                  <c:v>76.7</c:v>
                </c:pt>
                <c:pt idx="253">
                  <c:v>77.5</c:v>
                </c:pt>
                <c:pt idx="254">
                  <c:v>78.599999999999994</c:v>
                </c:pt>
                <c:pt idx="255">
                  <c:v>79.5</c:v>
                </c:pt>
                <c:pt idx="256">
                  <c:v>80.099999999999994</c:v>
                </c:pt>
                <c:pt idx="257">
                  <c:v>81</c:v>
                </c:pt>
                <c:pt idx="258">
                  <c:v>80.8</c:v>
                </c:pt>
                <c:pt idx="259">
                  <c:v>81.3</c:v>
                </c:pt>
                <c:pt idx="260">
                  <c:v>82.1</c:v>
                </c:pt>
                <c:pt idx="261">
                  <c:v>83</c:v>
                </c:pt>
                <c:pt idx="262">
                  <c:v>83.9</c:v>
                </c:pt>
                <c:pt idx="263">
                  <c:v>84.9</c:v>
                </c:pt>
                <c:pt idx="264">
                  <c:v>85.4</c:v>
                </c:pt>
                <c:pt idx="265">
                  <c:v>85.9</c:v>
                </c:pt>
                <c:pt idx="266">
                  <c:v>86.4</c:v>
                </c:pt>
                <c:pt idx="267">
                  <c:v>87</c:v>
                </c:pt>
                <c:pt idx="268">
                  <c:v>87.8</c:v>
                </c:pt>
                <c:pt idx="269">
                  <c:v>88.6</c:v>
                </c:pt>
                <c:pt idx="270">
                  <c:v>89.8</c:v>
                </c:pt>
                <c:pt idx="271">
                  <c:v>90.7</c:v>
                </c:pt>
                <c:pt idx="272">
                  <c:v>91.8</c:v>
                </c:pt>
                <c:pt idx="273">
                  <c:v>92.1</c:v>
                </c:pt>
                <c:pt idx="274">
                  <c:v>92.5</c:v>
                </c:pt>
                <c:pt idx="275">
                  <c:v>93</c:v>
                </c:pt>
                <c:pt idx="276">
                  <c:v>93.3</c:v>
                </c:pt>
                <c:pt idx="277">
                  <c:v>93.8</c:v>
                </c:pt>
                <c:pt idx="278">
                  <c:v>93.9</c:v>
                </c:pt>
                <c:pt idx="279">
                  <c:v>94.7</c:v>
                </c:pt>
                <c:pt idx="280">
                  <c:v>95.4</c:v>
                </c:pt>
                <c:pt idx="281">
                  <c:v>96.1</c:v>
                </c:pt>
                <c:pt idx="282">
                  <c:v>96.7</c:v>
                </c:pt>
                <c:pt idx="283">
                  <c:v>97.1</c:v>
                </c:pt>
                <c:pt idx="284">
                  <c:v>97.2</c:v>
                </c:pt>
                <c:pt idx="285">
                  <c:v>97.5</c:v>
                </c:pt>
                <c:pt idx="286">
                  <c:v>97.3</c:v>
                </c:pt>
                <c:pt idx="287">
                  <c:v>97.2</c:v>
                </c:pt>
                <c:pt idx="288">
                  <c:v>97.6</c:v>
                </c:pt>
                <c:pt idx="289">
                  <c:v>98</c:v>
                </c:pt>
                <c:pt idx="290">
                  <c:v>98.2</c:v>
                </c:pt>
                <c:pt idx="291">
                  <c:v>98.6</c:v>
                </c:pt>
                <c:pt idx="292">
                  <c:v>98.9</c:v>
                </c:pt>
                <c:pt idx="293">
                  <c:v>99.2</c:v>
                </c:pt>
                <c:pt idx="294">
                  <c:v>99.8</c:v>
                </c:pt>
                <c:pt idx="295">
                  <c:v>100.1</c:v>
                </c:pt>
                <c:pt idx="296">
                  <c:v>100.5</c:v>
                </c:pt>
                <c:pt idx="297">
                  <c:v>101</c:v>
                </c:pt>
                <c:pt idx="298">
                  <c:v>101.5</c:v>
                </c:pt>
                <c:pt idx="299">
                  <c:v>101.8</c:v>
                </c:pt>
                <c:pt idx="300">
                  <c:v>102.5</c:v>
                </c:pt>
                <c:pt idx="301">
                  <c:v>102.8</c:v>
                </c:pt>
                <c:pt idx="302">
                  <c:v>103.2</c:v>
                </c:pt>
                <c:pt idx="303">
                  <c:v>103.7</c:v>
                </c:pt>
                <c:pt idx="304">
                  <c:v>104.1</c:v>
                </c:pt>
                <c:pt idx="305">
                  <c:v>104.5</c:v>
                </c:pt>
                <c:pt idx="306">
                  <c:v>105</c:v>
                </c:pt>
                <c:pt idx="307">
                  <c:v>105.4</c:v>
                </c:pt>
                <c:pt idx="308">
                  <c:v>105.8</c:v>
                </c:pt>
                <c:pt idx="309">
                  <c:v>106.2</c:v>
                </c:pt>
                <c:pt idx="310">
                  <c:v>106.4</c:v>
                </c:pt>
                <c:pt idx="311">
                  <c:v>106.8</c:v>
                </c:pt>
                <c:pt idx="312">
                  <c:v>107.1</c:v>
                </c:pt>
                <c:pt idx="313">
                  <c:v>107.7</c:v>
                </c:pt>
                <c:pt idx="314">
                  <c:v>108.1</c:v>
                </c:pt>
                <c:pt idx="315">
                  <c:v>108.4</c:v>
                </c:pt>
                <c:pt idx="316">
                  <c:v>108.8</c:v>
                </c:pt>
                <c:pt idx="317">
                  <c:v>109.1</c:v>
                </c:pt>
                <c:pt idx="318">
                  <c:v>109.4</c:v>
                </c:pt>
                <c:pt idx="319">
                  <c:v>109.8</c:v>
                </c:pt>
                <c:pt idx="320">
                  <c:v>110</c:v>
                </c:pt>
                <c:pt idx="321">
                  <c:v>110.5</c:v>
                </c:pt>
                <c:pt idx="322">
                  <c:v>111.1</c:v>
                </c:pt>
                <c:pt idx="323">
                  <c:v>111.4</c:v>
                </c:pt>
                <c:pt idx="324">
                  <c:v>111.9</c:v>
                </c:pt>
                <c:pt idx="325">
                  <c:v>112.2</c:v>
                </c:pt>
                <c:pt idx="326">
                  <c:v>112.5</c:v>
                </c:pt>
                <c:pt idx="327">
                  <c:v>112.9</c:v>
                </c:pt>
                <c:pt idx="328">
                  <c:v>113.1</c:v>
                </c:pt>
                <c:pt idx="329">
                  <c:v>113.4</c:v>
                </c:pt>
                <c:pt idx="330">
                  <c:v>113.8</c:v>
                </c:pt>
                <c:pt idx="331">
                  <c:v>114.2</c:v>
                </c:pt>
                <c:pt idx="332">
                  <c:v>114.6</c:v>
                </c:pt>
                <c:pt idx="333">
                  <c:v>115</c:v>
                </c:pt>
                <c:pt idx="334">
                  <c:v>115.3</c:v>
                </c:pt>
                <c:pt idx="335">
                  <c:v>115.6</c:v>
                </c:pt>
                <c:pt idx="336">
                  <c:v>115.9</c:v>
                </c:pt>
                <c:pt idx="337">
                  <c:v>116.2</c:v>
                </c:pt>
                <c:pt idx="338">
                  <c:v>116.6</c:v>
                </c:pt>
                <c:pt idx="339">
                  <c:v>117.3</c:v>
                </c:pt>
                <c:pt idx="340">
                  <c:v>117.7</c:v>
                </c:pt>
                <c:pt idx="341">
                  <c:v>117.9</c:v>
                </c:pt>
                <c:pt idx="342">
                  <c:v>118.3</c:v>
                </c:pt>
                <c:pt idx="343">
                  <c:v>118.7</c:v>
                </c:pt>
                <c:pt idx="344">
                  <c:v>119.2</c:v>
                </c:pt>
                <c:pt idx="345">
                  <c:v>119.8</c:v>
                </c:pt>
                <c:pt idx="346">
                  <c:v>120.1</c:v>
                </c:pt>
                <c:pt idx="347">
                  <c:v>120.4</c:v>
                </c:pt>
                <c:pt idx="348">
                  <c:v>120.9</c:v>
                </c:pt>
                <c:pt idx="349">
                  <c:v>121.2</c:v>
                </c:pt>
                <c:pt idx="350">
                  <c:v>121.7</c:v>
                </c:pt>
                <c:pt idx="351">
                  <c:v>122.3</c:v>
                </c:pt>
                <c:pt idx="352">
                  <c:v>122.7</c:v>
                </c:pt>
                <c:pt idx="353">
                  <c:v>123.2</c:v>
                </c:pt>
                <c:pt idx="354">
                  <c:v>123.6</c:v>
                </c:pt>
                <c:pt idx="355">
                  <c:v>124</c:v>
                </c:pt>
                <c:pt idx="356">
                  <c:v>124.7</c:v>
                </c:pt>
                <c:pt idx="357">
                  <c:v>125.2</c:v>
                </c:pt>
                <c:pt idx="358">
                  <c:v>125.6</c:v>
                </c:pt>
                <c:pt idx="359">
                  <c:v>126</c:v>
                </c:pt>
                <c:pt idx="360">
                  <c:v>126.5</c:v>
                </c:pt>
                <c:pt idx="361">
                  <c:v>126.9</c:v>
                </c:pt>
                <c:pt idx="362">
                  <c:v>127.4</c:v>
                </c:pt>
                <c:pt idx="363">
                  <c:v>127.8</c:v>
                </c:pt>
                <c:pt idx="364">
                  <c:v>128.30000000000001</c:v>
                </c:pt>
                <c:pt idx="365">
                  <c:v>128.80000000000001</c:v>
                </c:pt>
                <c:pt idx="366">
                  <c:v>129.19999999999999</c:v>
                </c:pt>
                <c:pt idx="367">
                  <c:v>129.5</c:v>
                </c:pt>
                <c:pt idx="368">
                  <c:v>129.9</c:v>
                </c:pt>
                <c:pt idx="369">
                  <c:v>130.6</c:v>
                </c:pt>
                <c:pt idx="370">
                  <c:v>131.1</c:v>
                </c:pt>
                <c:pt idx="371">
                  <c:v>131.6</c:v>
                </c:pt>
                <c:pt idx="372">
                  <c:v>132.1</c:v>
                </c:pt>
                <c:pt idx="373">
                  <c:v>132.69999999999999</c:v>
                </c:pt>
                <c:pt idx="374">
                  <c:v>133.5</c:v>
                </c:pt>
                <c:pt idx="375">
                  <c:v>134</c:v>
                </c:pt>
                <c:pt idx="376">
                  <c:v>134.4</c:v>
                </c:pt>
                <c:pt idx="377">
                  <c:v>135.1</c:v>
                </c:pt>
                <c:pt idx="378">
                  <c:v>135.80000000000001</c:v>
                </c:pt>
                <c:pt idx="379">
                  <c:v>136.6</c:v>
                </c:pt>
                <c:pt idx="380">
                  <c:v>137.1</c:v>
                </c:pt>
                <c:pt idx="381">
                  <c:v>137.6</c:v>
                </c:pt>
                <c:pt idx="382">
                  <c:v>138</c:v>
                </c:pt>
                <c:pt idx="383">
                  <c:v>138.6</c:v>
                </c:pt>
                <c:pt idx="384">
                  <c:v>139.5</c:v>
                </c:pt>
                <c:pt idx="385">
                  <c:v>140.19999999999999</c:v>
                </c:pt>
                <c:pt idx="386">
                  <c:v>140.5</c:v>
                </c:pt>
                <c:pt idx="387">
                  <c:v>140.9</c:v>
                </c:pt>
                <c:pt idx="388">
                  <c:v>141.30000000000001</c:v>
                </c:pt>
                <c:pt idx="389">
                  <c:v>141.80000000000001</c:v>
                </c:pt>
                <c:pt idx="390">
                  <c:v>142.30000000000001</c:v>
                </c:pt>
                <c:pt idx="391">
                  <c:v>142.9</c:v>
                </c:pt>
                <c:pt idx="392">
                  <c:v>143.4</c:v>
                </c:pt>
                <c:pt idx="393">
                  <c:v>143.69999999999999</c:v>
                </c:pt>
                <c:pt idx="394">
                  <c:v>144.19999999999999</c:v>
                </c:pt>
                <c:pt idx="395">
                  <c:v>144.69999999999999</c:v>
                </c:pt>
                <c:pt idx="396">
                  <c:v>145.1</c:v>
                </c:pt>
                <c:pt idx="397">
                  <c:v>145.4</c:v>
                </c:pt>
                <c:pt idx="398">
                  <c:v>145.9</c:v>
                </c:pt>
                <c:pt idx="399">
                  <c:v>146.30000000000001</c:v>
                </c:pt>
                <c:pt idx="400">
                  <c:v>146.80000000000001</c:v>
                </c:pt>
                <c:pt idx="401">
                  <c:v>147.1</c:v>
                </c:pt>
                <c:pt idx="402">
                  <c:v>147.6</c:v>
                </c:pt>
                <c:pt idx="403">
                  <c:v>147.9</c:v>
                </c:pt>
                <c:pt idx="404">
                  <c:v>148.1</c:v>
                </c:pt>
                <c:pt idx="405">
                  <c:v>148.80000000000001</c:v>
                </c:pt>
                <c:pt idx="406">
                  <c:v>149.19999999999999</c:v>
                </c:pt>
                <c:pt idx="407">
                  <c:v>149.6</c:v>
                </c:pt>
                <c:pt idx="408">
                  <c:v>150.1</c:v>
                </c:pt>
                <c:pt idx="409">
                  <c:v>150.6</c:v>
                </c:pt>
                <c:pt idx="410">
                  <c:v>150.80000000000001</c:v>
                </c:pt>
                <c:pt idx="411">
                  <c:v>151.4</c:v>
                </c:pt>
                <c:pt idx="412">
                  <c:v>151.80000000000001</c:v>
                </c:pt>
                <c:pt idx="413">
                  <c:v>152.1</c:v>
                </c:pt>
                <c:pt idx="414">
                  <c:v>152.30000000000001</c:v>
                </c:pt>
                <c:pt idx="415">
                  <c:v>152.80000000000001</c:v>
                </c:pt>
                <c:pt idx="416">
                  <c:v>152.9</c:v>
                </c:pt>
                <c:pt idx="417">
                  <c:v>153.4</c:v>
                </c:pt>
                <c:pt idx="418">
                  <c:v>153.9</c:v>
                </c:pt>
                <c:pt idx="419">
                  <c:v>154.30000000000001</c:v>
                </c:pt>
                <c:pt idx="420">
                  <c:v>154.5</c:v>
                </c:pt>
                <c:pt idx="421">
                  <c:v>154.80000000000001</c:v>
                </c:pt>
                <c:pt idx="422">
                  <c:v>155.30000000000001</c:v>
                </c:pt>
                <c:pt idx="423">
                  <c:v>155.5</c:v>
                </c:pt>
                <c:pt idx="424">
                  <c:v>155.9</c:v>
                </c:pt>
                <c:pt idx="425">
                  <c:v>156.4</c:v>
                </c:pt>
                <c:pt idx="426">
                  <c:v>156.69999999999999</c:v>
                </c:pt>
                <c:pt idx="427">
                  <c:v>157.1</c:v>
                </c:pt>
                <c:pt idx="428">
                  <c:v>157.5</c:v>
                </c:pt>
                <c:pt idx="429">
                  <c:v>157.80000000000001</c:v>
                </c:pt>
                <c:pt idx="430">
                  <c:v>158.19999999999999</c:v>
                </c:pt>
                <c:pt idx="431">
                  <c:v>158.30000000000001</c:v>
                </c:pt>
                <c:pt idx="432">
                  <c:v>159</c:v>
                </c:pt>
                <c:pt idx="433">
                  <c:v>159.4</c:v>
                </c:pt>
                <c:pt idx="434">
                  <c:v>159.9</c:v>
                </c:pt>
                <c:pt idx="435">
                  <c:v>160.4</c:v>
                </c:pt>
                <c:pt idx="436">
                  <c:v>160.69999999999999</c:v>
                </c:pt>
                <c:pt idx="437">
                  <c:v>161.1</c:v>
                </c:pt>
                <c:pt idx="438">
                  <c:v>161.4</c:v>
                </c:pt>
                <c:pt idx="439">
                  <c:v>161.80000000000001</c:v>
                </c:pt>
                <c:pt idx="440">
                  <c:v>162.19999999999999</c:v>
                </c:pt>
                <c:pt idx="441">
                  <c:v>162.69999999999999</c:v>
                </c:pt>
                <c:pt idx="442">
                  <c:v>163</c:v>
                </c:pt>
                <c:pt idx="443">
                  <c:v>163.1</c:v>
                </c:pt>
                <c:pt idx="444">
                  <c:v>163.69999999999999</c:v>
                </c:pt>
                <c:pt idx="445">
                  <c:v>164</c:v>
                </c:pt>
                <c:pt idx="446">
                  <c:v>164.4</c:v>
                </c:pt>
                <c:pt idx="447">
                  <c:v>164.6</c:v>
                </c:pt>
                <c:pt idx="448">
                  <c:v>165</c:v>
                </c:pt>
                <c:pt idx="449">
                  <c:v>165.4</c:v>
                </c:pt>
                <c:pt idx="450">
                  <c:v>165.7</c:v>
                </c:pt>
                <c:pt idx="451">
                  <c:v>166</c:v>
                </c:pt>
                <c:pt idx="452">
                  <c:v>166.5</c:v>
                </c:pt>
                <c:pt idx="453">
                  <c:v>166.8</c:v>
                </c:pt>
                <c:pt idx="454">
                  <c:v>167.2</c:v>
                </c:pt>
                <c:pt idx="455">
                  <c:v>167.4</c:v>
                </c:pt>
                <c:pt idx="456">
                  <c:v>167.8</c:v>
                </c:pt>
                <c:pt idx="457">
                  <c:v>168.1</c:v>
                </c:pt>
                <c:pt idx="458">
                  <c:v>168.4</c:v>
                </c:pt>
                <c:pt idx="459">
                  <c:v>168.9</c:v>
                </c:pt>
                <c:pt idx="460">
                  <c:v>169.2</c:v>
                </c:pt>
                <c:pt idx="461">
                  <c:v>169.4</c:v>
                </c:pt>
                <c:pt idx="462">
                  <c:v>169.7</c:v>
                </c:pt>
                <c:pt idx="463">
                  <c:v>169.8</c:v>
                </c:pt>
                <c:pt idx="464">
                  <c:v>170.2</c:v>
                </c:pt>
                <c:pt idx="465">
                  <c:v>170.6</c:v>
                </c:pt>
                <c:pt idx="466">
                  <c:v>170.8</c:v>
                </c:pt>
                <c:pt idx="467">
                  <c:v>171.2</c:v>
                </c:pt>
                <c:pt idx="468">
                  <c:v>171.6</c:v>
                </c:pt>
                <c:pt idx="469">
                  <c:v>171.9</c:v>
                </c:pt>
                <c:pt idx="470">
                  <c:v>172.2</c:v>
                </c:pt>
                <c:pt idx="471">
                  <c:v>172.5</c:v>
                </c:pt>
                <c:pt idx="472">
                  <c:v>172.9</c:v>
                </c:pt>
                <c:pt idx="473">
                  <c:v>173.2</c:v>
                </c:pt>
                <c:pt idx="474">
                  <c:v>173.5</c:v>
                </c:pt>
                <c:pt idx="475">
                  <c:v>174</c:v>
                </c:pt>
                <c:pt idx="476">
                  <c:v>174.2</c:v>
                </c:pt>
                <c:pt idx="477">
                  <c:v>174.4</c:v>
                </c:pt>
                <c:pt idx="478">
                  <c:v>174.8</c:v>
                </c:pt>
                <c:pt idx="479">
                  <c:v>175.4</c:v>
                </c:pt>
                <c:pt idx="480">
                  <c:v>175.6</c:v>
                </c:pt>
                <c:pt idx="481">
                  <c:v>175.6</c:v>
                </c:pt>
                <c:pt idx="482">
                  <c:v>175.7</c:v>
                </c:pt>
                <c:pt idx="483">
                  <c:v>176.3</c:v>
                </c:pt>
                <c:pt idx="484">
                  <c:v>176.5</c:v>
                </c:pt>
                <c:pt idx="485">
                  <c:v>176.6</c:v>
                </c:pt>
                <c:pt idx="486">
                  <c:v>177.1</c:v>
                </c:pt>
                <c:pt idx="487">
                  <c:v>177.3</c:v>
                </c:pt>
                <c:pt idx="488">
                  <c:v>177.8</c:v>
                </c:pt>
                <c:pt idx="489">
                  <c:v>178.1</c:v>
                </c:pt>
                <c:pt idx="490">
                  <c:v>178.4</c:v>
                </c:pt>
                <c:pt idx="491">
                  <c:v>178.7</c:v>
                </c:pt>
                <c:pt idx="492">
                  <c:v>179.3</c:v>
                </c:pt>
                <c:pt idx="493">
                  <c:v>179.4</c:v>
                </c:pt>
                <c:pt idx="494">
                  <c:v>180</c:v>
                </c:pt>
                <c:pt idx="495">
                  <c:v>180.3</c:v>
                </c:pt>
                <c:pt idx="496">
                  <c:v>180.7</c:v>
                </c:pt>
                <c:pt idx="497">
                  <c:v>181.1</c:v>
                </c:pt>
                <c:pt idx="498">
                  <c:v>181.5</c:v>
                </c:pt>
                <c:pt idx="499">
                  <c:v>181.9</c:v>
                </c:pt>
                <c:pt idx="500">
                  <c:v>182.3</c:v>
                </c:pt>
                <c:pt idx="501">
                  <c:v>182.6</c:v>
                </c:pt>
                <c:pt idx="502">
                  <c:v>183.1</c:v>
                </c:pt>
                <c:pt idx="503">
                  <c:v>183.3</c:v>
                </c:pt>
                <c:pt idx="504">
                  <c:v>183.9</c:v>
                </c:pt>
                <c:pt idx="505">
                  <c:v>184.4</c:v>
                </c:pt>
                <c:pt idx="506">
                  <c:v>184.7</c:v>
                </c:pt>
                <c:pt idx="507">
                  <c:v>185.1</c:v>
                </c:pt>
                <c:pt idx="508">
                  <c:v>185.3</c:v>
                </c:pt>
                <c:pt idx="509">
                  <c:v>186</c:v>
                </c:pt>
                <c:pt idx="510">
                  <c:v>186.4</c:v>
                </c:pt>
                <c:pt idx="511">
                  <c:v>186.7</c:v>
                </c:pt>
                <c:pt idx="512">
                  <c:v>187.1</c:v>
                </c:pt>
                <c:pt idx="513">
                  <c:v>187.4</c:v>
                </c:pt>
                <c:pt idx="514">
                  <c:v>188.1</c:v>
                </c:pt>
                <c:pt idx="515">
                  <c:v>188.4</c:v>
                </c:pt>
                <c:pt idx="516">
                  <c:v>188.7</c:v>
                </c:pt>
                <c:pt idx="517">
                  <c:v>189.1</c:v>
                </c:pt>
                <c:pt idx="518">
                  <c:v>189.2</c:v>
                </c:pt>
                <c:pt idx="519">
                  <c:v>189.7</c:v>
                </c:pt>
                <c:pt idx="520">
                  <c:v>190</c:v>
                </c:pt>
                <c:pt idx="521">
                  <c:v>190.2</c:v>
                </c:pt>
                <c:pt idx="522">
                  <c:v>190.5</c:v>
                </c:pt>
                <c:pt idx="523">
                  <c:v>191.1</c:v>
                </c:pt>
                <c:pt idx="524">
                  <c:v>191.3</c:v>
                </c:pt>
                <c:pt idx="525">
                  <c:v>191.5</c:v>
                </c:pt>
                <c:pt idx="526">
                  <c:v>191.9</c:v>
                </c:pt>
                <c:pt idx="527">
                  <c:v>192.1</c:v>
                </c:pt>
                <c:pt idx="528">
                  <c:v>192.4</c:v>
                </c:pt>
                <c:pt idx="529">
                  <c:v>192.5</c:v>
                </c:pt>
                <c:pt idx="530">
                  <c:v>192.5</c:v>
                </c:pt>
                <c:pt idx="531">
                  <c:v>192.5</c:v>
                </c:pt>
                <c:pt idx="532">
                  <c:v>192.9</c:v>
                </c:pt>
                <c:pt idx="533">
                  <c:v>193</c:v>
                </c:pt>
                <c:pt idx="534">
                  <c:v>193.4</c:v>
                </c:pt>
                <c:pt idx="535">
                  <c:v>193.6</c:v>
                </c:pt>
                <c:pt idx="536">
                  <c:v>193.7</c:v>
                </c:pt>
                <c:pt idx="537">
                  <c:v>194</c:v>
                </c:pt>
                <c:pt idx="538">
                  <c:v>194</c:v>
                </c:pt>
                <c:pt idx="539">
                  <c:v>194.2</c:v>
                </c:pt>
                <c:pt idx="540">
                  <c:v>194.6</c:v>
                </c:pt>
                <c:pt idx="541">
                  <c:v>194.9</c:v>
                </c:pt>
                <c:pt idx="542">
                  <c:v>195.5</c:v>
                </c:pt>
                <c:pt idx="543">
                  <c:v>195.9</c:v>
                </c:pt>
                <c:pt idx="544">
                  <c:v>196.2</c:v>
                </c:pt>
                <c:pt idx="545">
                  <c:v>196.6</c:v>
                </c:pt>
                <c:pt idx="546">
                  <c:v>196.8</c:v>
                </c:pt>
                <c:pt idx="547">
                  <c:v>196.9</c:v>
                </c:pt>
                <c:pt idx="548">
                  <c:v>197.5</c:v>
                </c:pt>
                <c:pt idx="549">
                  <c:v>197.9</c:v>
                </c:pt>
                <c:pt idx="550">
                  <c:v>198.3</c:v>
                </c:pt>
                <c:pt idx="551">
                  <c:v>198.6</c:v>
                </c:pt>
                <c:pt idx="552">
                  <c:v>199</c:v>
                </c:pt>
                <c:pt idx="553">
                  <c:v>199.4</c:v>
                </c:pt>
                <c:pt idx="554">
                  <c:v>200.1</c:v>
                </c:pt>
                <c:pt idx="555">
                  <c:v>200.2</c:v>
                </c:pt>
                <c:pt idx="556">
                  <c:v>200.5</c:v>
                </c:pt>
                <c:pt idx="557">
                  <c:v>200.6</c:v>
                </c:pt>
                <c:pt idx="558">
                  <c:v>200.9</c:v>
                </c:pt>
                <c:pt idx="559">
                  <c:v>201.1</c:v>
                </c:pt>
                <c:pt idx="560">
                  <c:v>201.3</c:v>
                </c:pt>
                <c:pt idx="561">
                  <c:v>202</c:v>
                </c:pt>
                <c:pt idx="562">
                  <c:v>202.5</c:v>
                </c:pt>
                <c:pt idx="563">
                  <c:v>202.8</c:v>
                </c:pt>
                <c:pt idx="564">
                  <c:v>203.2</c:v>
                </c:pt>
                <c:pt idx="565">
                  <c:v>203.6</c:v>
                </c:pt>
                <c:pt idx="566">
                  <c:v>204.3</c:v>
                </c:pt>
                <c:pt idx="567">
                  <c:v>204.8</c:v>
                </c:pt>
                <c:pt idx="568">
                  <c:v>205.4</c:v>
                </c:pt>
                <c:pt idx="569">
                  <c:v>205.9</c:v>
                </c:pt>
                <c:pt idx="570">
                  <c:v>206.3</c:v>
                </c:pt>
                <c:pt idx="571">
                  <c:v>206.8</c:v>
                </c:pt>
                <c:pt idx="572">
                  <c:v>207.2</c:v>
                </c:pt>
                <c:pt idx="573">
                  <c:v>207.6</c:v>
                </c:pt>
                <c:pt idx="574">
                  <c:v>207.8</c:v>
                </c:pt>
                <c:pt idx="575">
                  <c:v>208.1</c:v>
                </c:pt>
                <c:pt idx="576">
                  <c:v>208.6</c:v>
                </c:pt>
                <c:pt idx="577">
                  <c:v>209.13499999999999</c:v>
                </c:pt>
                <c:pt idx="578">
                  <c:v>209.41800000000001</c:v>
                </c:pt>
                <c:pt idx="579">
                  <c:v>209.74700000000001</c:v>
                </c:pt>
                <c:pt idx="580">
                  <c:v>210.05799999999999</c:v>
                </c:pt>
                <c:pt idx="581">
                  <c:v>210.392</c:v>
                </c:pt>
                <c:pt idx="582">
                  <c:v>210.773</c:v>
                </c:pt>
                <c:pt idx="583">
                  <c:v>211.119</c:v>
                </c:pt>
                <c:pt idx="584">
                  <c:v>211.554</c:v>
                </c:pt>
                <c:pt idx="585">
                  <c:v>212.077</c:v>
                </c:pt>
                <c:pt idx="586">
                  <c:v>212.66</c:v>
                </c:pt>
                <c:pt idx="587">
                  <c:v>213.16800000000001</c:v>
                </c:pt>
                <c:pt idx="588">
                  <c:v>213.77099999999999</c:v>
                </c:pt>
                <c:pt idx="589">
                  <c:v>213.93899999999999</c:v>
                </c:pt>
                <c:pt idx="590">
                  <c:v>214.42</c:v>
                </c:pt>
                <c:pt idx="591">
                  <c:v>214.56</c:v>
                </c:pt>
                <c:pt idx="592">
                  <c:v>214.93600000000001</c:v>
                </c:pt>
                <c:pt idx="593">
                  <c:v>215.42400000000001</c:v>
                </c:pt>
                <c:pt idx="594">
                  <c:v>215.965</c:v>
                </c:pt>
                <c:pt idx="595">
                  <c:v>216.393</c:v>
                </c:pt>
                <c:pt idx="596">
                  <c:v>216.71299999999999</c:v>
                </c:pt>
                <c:pt idx="597">
                  <c:v>216.78800000000001</c:v>
                </c:pt>
                <c:pt idx="598">
                  <c:v>216.947</c:v>
                </c:pt>
                <c:pt idx="599">
                  <c:v>216.92500000000001</c:v>
                </c:pt>
                <c:pt idx="600">
                  <c:v>217.346</c:v>
                </c:pt>
                <c:pt idx="601">
                  <c:v>217.792</c:v>
                </c:pt>
                <c:pt idx="602">
                  <c:v>218.25299999999999</c:v>
                </c:pt>
                <c:pt idx="603">
                  <c:v>218.70599999999999</c:v>
                </c:pt>
                <c:pt idx="604">
                  <c:v>218.904</c:v>
                </c:pt>
                <c:pt idx="605">
                  <c:v>219.11199999999999</c:v>
                </c:pt>
                <c:pt idx="606">
                  <c:v>219.26300000000001</c:v>
                </c:pt>
                <c:pt idx="607">
                  <c:v>219.49600000000001</c:v>
                </c:pt>
                <c:pt idx="608">
                  <c:v>219.92</c:v>
                </c:pt>
                <c:pt idx="609">
                  <c:v>220.501</c:v>
                </c:pt>
                <c:pt idx="610">
                  <c:v>220.666</c:v>
                </c:pt>
                <c:pt idx="611">
                  <c:v>220.881</c:v>
                </c:pt>
                <c:pt idx="612">
                  <c:v>220.63300000000001</c:v>
                </c:pt>
                <c:pt idx="613">
                  <c:v>220.73099999999999</c:v>
                </c:pt>
                <c:pt idx="614">
                  <c:v>220.78299999999999</c:v>
                </c:pt>
                <c:pt idx="615">
                  <c:v>220.822</c:v>
                </c:pt>
                <c:pt idx="616">
                  <c:v>220.96199999999999</c:v>
                </c:pt>
                <c:pt idx="617">
                  <c:v>221.19399999999999</c:v>
                </c:pt>
                <c:pt idx="618">
                  <c:v>221.363</c:v>
                </c:pt>
                <c:pt idx="619">
                  <c:v>221.50899999999999</c:v>
                </c:pt>
                <c:pt idx="620">
                  <c:v>221.71100000000001</c:v>
                </c:pt>
                <c:pt idx="621">
                  <c:v>221.83</c:v>
                </c:pt>
                <c:pt idx="622">
                  <c:v>222.149</c:v>
                </c:pt>
                <c:pt idx="623">
                  <c:v>222.34299999999999</c:v>
                </c:pt>
                <c:pt idx="624">
                  <c:v>222.803</c:v>
                </c:pt>
                <c:pt idx="625">
                  <c:v>223.21299999999999</c:v>
                </c:pt>
                <c:pt idx="626">
                  <c:v>223.45400000000001</c:v>
                </c:pt>
                <c:pt idx="627">
                  <c:v>223.727</c:v>
                </c:pt>
                <c:pt idx="628">
                  <c:v>224.17500000000001</c:v>
                </c:pt>
                <c:pt idx="629">
                  <c:v>224.697</c:v>
                </c:pt>
                <c:pt idx="630">
                  <c:v>225.21799999999999</c:v>
                </c:pt>
                <c:pt idx="631">
                  <c:v>225.86199999999999</c:v>
                </c:pt>
                <c:pt idx="632">
                  <c:v>226.11799999999999</c:v>
                </c:pt>
                <c:pt idx="633">
                  <c:v>226.506</c:v>
                </c:pt>
                <c:pt idx="634">
                  <c:v>226.899</c:v>
                </c:pt>
                <c:pt idx="635">
                  <c:v>227.405</c:v>
                </c:pt>
                <c:pt idx="636">
                  <c:v>227.87700000000001</c:v>
                </c:pt>
                <c:pt idx="637">
                  <c:v>228.03399999999999</c:v>
                </c:pt>
                <c:pt idx="638">
                  <c:v>228.47800000000001</c:v>
                </c:pt>
                <c:pt idx="639">
                  <c:v>228.905</c:v>
                </c:pt>
                <c:pt idx="640">
                  <c:v>229.22399999999999</c:v>
                </c:pt>
                <c:pt idx="641">
                  <c:v>229.62299999999999</c:v>
                </c:pt>
                <c:pt idx="642">
                  <c:v>229.97</c:v>
                </c:pt>
                <c:pt idx="643">
                  <c:v>230.233</c:v>
                </c:pt>
                <c:pt idx="644">
                  <c:v>230.65899999999999</c:v>
                </c:pt>
                <c:pt idx="645">
                  <c:v>231.024</c:v>
                </c:pt>
                <c:pt idx="646">
                  <c:v>231.33</c:v>
                </c:pt>
                <c:pt idx="647">
                  <c:v>231.72499999999999</c:v>
                </c:pt>
                <c:pt idx="648">
                  <c:v>232.22900000000001</c:v>
                </c:pt>
                <c:pt idx="649">
                  <c:v>232.56899999999999</c:v>
                </c:pt>
                <c:pt idx="650">
                  <c:v>232.79400000000001</c:v>
                </c:pt>
                <c:pt idx="651">
                  <c:v>232.83199999999999</c:v>
                </c:pt>
                <c:pt idx="652">
                  <c:v>232.99600000000001</c:v>
                </c:pt>
                <c:pt idx="653">
                  <c:v>233.35</c:v>
                </c:pt>
                <c:pt idx="654">
                  <c:v>233.88</c:v>
                </c:pt>
                <c:pt idx="655">
                  <c:v>234.33600000000001</c:v>
                </c:pt>
                <c:pt idx="656">
                  <c:v>234.7</c:v>
                </c:pt>
                <c:pt idx="657">
                  <c:v>234.92099999999999</c:v>
                </c:pt>
                <c:pt idx="658">
                  <c:v>235.35900000000001</c:v>
                </c:pt>
                <c:pt idx="659">
                  <c:v>235.75899999999999</c:v>
                </c:pt>
                <c:pt idx="660">
                  <c:v>235.96100000000001</c:v>
                </c:pt>
                <c:pt idx="661">
                  <c:v>236.185</c:v>
                </c:pt>
                <c:pt idx="662">
                  <c:v>236.625</c:v>
                </c:pt>
                <c:pt idx="663">
                  <c:v>237.072</c:v>
                </c:pt>
                <c:pt idx="664">
                  <c:v>237.529</c:v>
                </c:pt>
                <c:pt idx="665">
                  <c:v>237.83699999999999</c:v>
                </c:pt>
                <c:pt idx="666">
                  <c:v>238.19499999999999</c:v>
                </c:pt>
                <c:pt idx="667">
                  <c:v>238.405</c:v>
                </c:pt>
                <c:pt idx="668">
                  <c:v>238.786</c:v>
                </c:pt>
                <c:pt idx="669">
                  <c:v>239.191</c:v>
                </c:pt>
                <c:pt idx="670">
                  <c:v>239.458</c:v>
                </c:pt>
                <c:pt idx="671">
                  <c:v>239.584</c:v>
                </c:pt>
                <c:pt idx="672">
                  <c:v>239.81100000000001</c:v>
                </c:pt>
                <c:pt idx="673">
                  <c:v>240.172</c:v>
                </c:pt>
                <c:pt idx="674">
                  <c:v>240.755</c:v>
                </c:pt>
                <c:pt idx="675">
                  <c:v>241.346</c:v>
                </c:pt>
                <c:pt idx="676">
                  <c:v>241.68799999999999</c:v>
                </c:pt>
                <c:pt idx="677">
                  <c:v>242.06399999999999</c:v>
                </c:pt>
                <c:pt idx="678">
                  <c:v>242.565</c:v>
                </c:pt>
                <c:pt idx="679">
                  <c:v>242.81700000000001</c:v>
                </c:pt>
                <c:pt idx="680">
                  <c:v>243.316</c:v>
                </c:pt>
                <c:pt idx="681">
                  <c:v>243.768</c:v>
                </c:pt>
                <c:pt idx="682">
                  <c:v>244.24100000000001</c:v>
                </c:pt>
                <c:pt idx="683">
                  <c:v>244.547</c:v>
                </c:pt>
                <c:pt idx="684">
                  <c:v>244.95500000000001</c:v>
                </c:pt>
                <c:pt idx="685">
                  <c:v>245.51</c:v>
                </c:pt>
                <c:pt idx="686">
                  <c:v>245.91300000000001</c:v>
                </c:pt>
                <c:pt idx="687">
                  <c:v>246.55099999999999</c:v>
                </c:pt>
                <c:pt idx="688">
                  <c:v>247.137</c:v>
                </c:pt>
                <c:pt idx="689">
                  <c:v>247.54</c:v>
                </c:pt>
                <c:pt idx="690">
                  <c:v>247.82900000000001</c:v>
                </c:pt>
                <c:pt idx="691">
                  <c:v>248.423</c:v>
                </c:pt>
                <c:pt idx="692">
                  <c:v>248.84200000000001</c:v>
                </c:pt>
                <c:pt idx="693">
                  <c:v>249.142</c:v>
                </c:pt>
                <c:pt idx="694">
                  <c:v>249.48099999999999</c:v>
                </c:pt>
                <c:pt idx="695">
                  <c:v>249.92</c:v>
                </c:pt>
                <c:pt idx="696">
                  <c:v>250.46700000000001</c:v>
                </c:pt>
                <c:pt idx="697">
                  <c:v>250.99799999999999</c:v>
                </c:pt>
                <c:pt idx="698">
                  <c:v>250.94399999999999</c:v>
                </c:pt>
                <c:pt idx="699">
                  <c:v>251.227</c:v>
                </c:pt>
                <c:pt idx="700">
                  <c:v>251.43</c:v>
                </c:pt>
                <c:pt idx="701">
                  <c:v>251.74600000000001</c:v>
                </c:pt>
                <c:pt idx="702">
                  <c:v>251.98500000000001</c:v>
                </c:pt>
                <c:pt idx="703">
                  <c:v>252.535</c:v>
                </c:pt>
                <c:pt idx="704">
                  <c:v>252.81200000000001</c:v>
                </c:pt>
                <c:pt idx="705">
                  <c:v>253.52600000000001</c:v>
                </c:pt>
                <c:pt idx="706">
                  <c:v>253.816</c:v>
                </c:pt>
                <c:pt idx="707">
                  <c:v>254.34399999999999</c:v>
                </c:pt>
                <c:pt idx="708">
                  <c:v>255.072</c:v>
                </c:pt>
                <c:pt idx="709">
                  <c:v>255.56800000000001</c:v>
                </c:pt>
                <c:pt idx="710">
                  <c:v>256.12799999999999</c:v>
                </c:pt>
                <c:pt idx="711">
                  <c:v>256.60300000000001</c:v>
                </c:pt>
                <c:pt idx="712">
                  <c:v>257.15100000000001</c:v>
                </c:pt>
                <c:pt idx="713">
                  <c:v>257.44900000000001</c:v>
                </c:pt>
                <c:pt idx="714">
                  <c:v>257.84800000000001</c:v>
                </c:pt>
                <c:pt idx="715">
                  <c:v>258.02800000000002</c:v>
                </c:pt>
                <c:pt idx="716">
                  <c:v>258.505</c:v>
                </c:pt>
                <c:pt idx="717">
                  <c:v>258.99700000000001</c:v>
                </c:pt>
                <c:pt idx="718">
                  <c:v>259.45499999999998</c:v>
                </c:pt>
                <c:pt idx="719">
                  <c:v>259.93400000000003</c:v>
                </c:pt>
                <c:pt idx="720">
                  <c:v>260.53399999999999</c:v>
                </c:pt>
                <c:pt idx="721">
                  <c:v>260.88499999999999</c:v>
                </c:pt>
                <c:pt idx="722">
                  <c:v>261.38200000000001</c:v>
                </c:pt>
                <c:pt idx="723">
                  <c:v>261.95800000000003</c:v>
                </c:pt>
                <c:pt idx="724">
                  <c:v>262.32100000000003</c:v>
                </c:pt>
                <c:pt idx="725">
                  <c:v>262.94499999999999</c:v>
                </c:pt>
                <c:pt idx="726">
                  <c:v>263.49099999999999</c:v>
                </c:pt>
                <c:pt idx="727">
                  <c:v>264.13499999999999</c:v>
                </c:pt>
                <c:pt idx="728">
                  <c:v>264.58800000000002</c:v>
                </c:pt>
                <c:pt idx="729">
                  <c:v>265.01900000000001</c:v>
                </c:pt>
                <c:pt idx="730">
                  <c:v>265.46100000000001</c:v>
                </c:pt>
                <c:pt idx="731">
                  <c:v>265.74200000000002</c:v>
                </c:pt>
                <c:pt idx="732">
                  <c:v>266.41800000000001</c:v>
                </c:pt>
                <c:pt idx="733">
                  <c:v>267.08300000000003</c:v>
                </c:pt>
                <c:pt idx="734">
                  <c:v>266.916</c:v>
                </c:pt>
                <c:pt idx="735">
                  <c:v>265.77100000000002</c:v>
                </c:pt>
                <c:pt idx="736">
                  <c:v>265.60599999999999</c:v>
                </c:pt>
                <c:pt idx="737">
                  <c:v>266.08800000000002</c:v>
                </c:pt>
                <c:pt idx="738">
                  <c:v>267.55200000000002</c:v>
                </c:pt>
                <c:pt idx="739">
                  <c:v>268.66199999999998</c:v>
                </c:pt>
                <c:pt idx="740">
                  <c:v>269.15199999999999</c:v>
                </c:pt>
                <c:pt idx="741">
                  <c:v>269.33199999999999</c:v>
                </c:pt>
                <c:pt idx="742">
                  <c:v>269.81599999999997</c:v>
                </c:pt>
                <c:pt idx="743">
                  <c:v>269.98399999999998</c:v>
                </c:pt>
                <c:pt idx="744">
                  <c:v>270.11399999999998</c:v>
                </c:pt>
                <c:pt idx="745">
                  <c:v>270.52199999999999</c:v>
                </c:pt>
                <c:pt idx="746">
                  <c:v>271.34699999999998</c:v>
                </c:pt>
                <c:pt idx="747">
                  <c:v>273.66899999999998</c:v>
                </c:pt>
                <c:pt idx="748">
                  <c:v>275.71499999999997</c:v>
                </c:pt>
                <c:pt idx="749">
                  <c:v>277.92200000000003</c:v>
                </c:pt>
                <c:pt idx="750">
                  <c:v>278.79399999999998</c:v>
                </c:pt>
                <c:pt idx="751">
                  <c:v>279.30599999999998</c:v>
                </c:pt>
                <c:pt idx="752">
                  <c:v>280.017</c:v>
                </c:pt>
                <c:pt idx="753">
                  <c:v>281.70499999999998</c:v>
                </c:pt>
                <c:pt idx="754">
                  <c:v>283.17899999999997</c:v>
                </c:pt>
                <c:pt idx="755">
                  <c:v>284.77</c:v>
                </c:pt>
                <c:pt idx="756">
                  <c:v>286.43099999999998</c:v>
                </c:pt>
                <c:pt idx="757">
                  <c:v>287.87799999999999</c:v>
                </c:pt>
                <c:pt idx="758">
                  <c:v>288.81099999999998</c:v>
                </c:pt>
                <c:pt idx="759">
                  <c:v>290.45499999999998</c:v>
                </c:pt>
                <c:pt idx="760">
                  <c:v>292.28899999999999</c:v>
                </c:pt>
                <c:pt idx="761">
                  <c:v>294.35399999999998</c:v>
                </c:pt>
                <c:pt idx="762">
                  <c:v>295.27499999999998</c:v>
                </c:pt>
                <c:pt idx="763">
                  <c:v>296.95</c:v>
                </c:pt>
                <c:pt idx="764">
                  <c:v>298.66000000000003</c:v>
                </c:pt>
                <c:pt idx="765">
                  <c:v>299.471</c:v>
                </c:pt>
              </c:numCache>
            </c:numRef>
          </c:val>
          <c:smooth val="0"/>
          <c:extLst>
            <c:ext xmlns:c16="http://schemas.microsoft.com/office/drawing/2014/chart" uri="{C3380CC4-5D6E-409C-BE32-E72D297353CC}">
              <c16:uniqueId val="{00000001-B688-44BE-885C-64AFF4F2A066}"/>
            </c:ext>
          </c:extLst>
        </c:ser>
        <c:ser>
          <c:idx val="2"/>
          <c:order val="2"/>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numCache>
            </c:numRef>
          </c:cat>
          <c:val>
            <c:numRef>
              <c:f>'PCE Core vs Core CPI'!$D$5:$D$772</c:f>
              <c:numCache>
                <c:formatCode>0.00</c:formatCode>
                <c:ptCount val="768"/>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134.34883954082909</c:v>
                </c:pt>
                <c:pt idx="697">
                  <c:v>134.6107574314502</c:v>
                </c:pt>
                <c:pt idx="698">
                  <c:v>134.54809764900494</c:v>
                </c:pt>
                <c:pt idx="699">
                  <c:v>134.86891573512457</c:v>
                </c:pt>
                <c:pt idx="700">
                  <c:v>134.99298210436612</c:v>
                </c:pt>
                <c:pt idx="701">
                  <c:v>135.18973382124418</c:v>
                </c:pt>
                <c:pt idx="702">
                  <c:v>135.27119153842295</c:v>
                </c:pt>
                <c:pt idx="703">
                  <c:v>135.4378665597273</c:v>
                </c:pt>
                <c:pt idx="704">
                  <c:v>135.61456714622287</c:v>
                </c:pt>
                <c:pt idx="705">
                  <c:v>135.97047471051178</c:v>
                </c:pt>
                <c:pt idx="706">
                  <c:v>136.07448994937087</c:v>
                </c:pt>
                <c:pt idx="707">
                  <c:v>136.27500125319563</c:v>
                </c:pt>
                <c:pt idx="708">
                  <c:v>136.69858138252542</c:v>
                </c:pt>
                <c:pt idx="709">
                  <c:v>136.98806957742244</c:v>
                </c:pt>
                <c:pt idx="710">
                  <c:v>137.30262168529748</c:v>
                </c:pt>
                <c:pt idx="711">
                  <c:v>137.53822246729158</c:v>
                </c:pt>
                <c:pt idx="712">
                  <c:v>137.79638077096595</c:v>
                </c:pt>
                <c:pt idx="713">
                  <c:v>137.94300466188781</c:v>
                </c:pt>
                <c:pt idx="714">
                  <c:v>138.12597122662788</c:v>
                </c:pt>
                <c:pt idx="715">
                  <c:v>138.15980750914832</c:v>
                </c:pt>
                <c:pt idx="716">
                  <c:v>138.44804250839638</c:v>
                </c:pt>
                <c:pt idx="717">
                  <c:v>138.63602185573211</c:v>
                </c:pt>
                <c:pt idx="718">
                  <c:v>138.89292696375759</c:v>
                </c:pt>
                <c:pt idx="719">
                  <c:v>139.1159957892626</c:v>
                </c:pt>
                <c:pt idx="720">
                  <c:v>139.27264524537571</c:v>
                </c:pt>
                <c:pt idx="721">
                  <c:v>139.36412852774572</c:v>
                </c:pt>
                <c:pt idx="722">
                  <c:v>139.54333550553912</c:v>
                </c:pt>
                <c:pt idx="723">
                  <c:v>139.91929420021052</c:v>
                </c:pt>
                <c:pt idx="724">
                  <c:v>140.0734372650258</c:v>
                </c:pt>
                <c:pt idx="725">
                  <c:v>140.35791267732716</c:v>
                </c:pt>
                <c:pt idx="726">
                  <c:v>140.55466439420522</c:v>
                </c:pt>
                <c:pt idx="727">
                  <c:v>140.69627550253142</c:v>
                </c:pt>
                <c:pt idx="728">
                  <c:v>140.78274600230586</c:v>
                </c:pt>
                <c:pt idx="729">
                  <c:v>140.97949771918388</c:v>
                </c:pt>
                <c:pt idx="730">
                  <c:v>141.01458719735325</c:v>
                </c:pt>
                <c:pt idx="731">
                  <c:v>141.32537971828162</c:v>
                </c:pt>
                <c:pt idx="732">
                  <c:v>141.62113389142311</c:v>
                </c:pt>
                <c:pt idx="733">
                  <c:v>141.86926662990626</c:v>
                </c:pt>
                <c:pt idx="734">
                  <c:v>141.79031530402526</c:v>
                </c:pt>
                <c:pt idx="735">
                  <c:v>141.19504737079552</c:v>
                </c:pt>
                <c:pt idx="736">
                  <c:v>141.38427991378012</c:v>
                </c:pt>
                <c:pt idx="737">
                  <c:v>141.67502130432604</c:v>
                </c:pt>
                <c:pt idx="738">
                  <c:v>142.14371647701637</c:v>
                </c:pt>
                <c:pt idx="739">
                  <c:v>142.59110732367535</c:v>
                </c:pt>
                <c:pt idx="740">
                  <c:v>142.8379868665096</c:v>
                </c:pt>
                <c:pt idx="741">
                  <c:v>142.88560830116796</c:v>
                </c:pt>
                <c:pt idx="742">
                  <c:v>142.924457366284</c:v>
                </c:pt>
                <c:pt idx="743">
                  <c:v>143.39315253897436</c:v>
                </c:pt>
                <c:pt idx="744">
                  <c:v>143.84430297258007</c:v>
                </c:pt>
                <c:pt idx="745">
                  <c:v>144.08616973281866</c:v>
                </c:pt>
                <c:pt idx="746">
                  <c:v>144.69021003559072</c:v>
                </c:pt>
                <c:pt idx="747">
                  <c:v>145.60378966364229</c:v>
                </c:pt>
                <c:pt idx="748">
                  <c:v>146.35696024863401</c:v>
                </c:pt>
                <c:pt idx="749">
                  <c:v>147.06125620331846</c:v>
                </c:pt>
                <c:pt idx="750">
                  <c:v>147.64023259311244</c:v>
                </c:pt>
                <c:pt idx="751">
                  <c:v>148.12647250488743</c:v>
                </c:pt>
                <c:pt idx="752">
                  <c:v>148.4360118301669</c:v>
                </c:pt>
                <c:pt idx="753">
                  <c:v>149.0413053285879</c:v>
                </c:pt>
                <c:pt idx="754">
                  <c:v>149.8107674570154</c:v>
                </c:pt>
                <c:pt idx="755">
                  <c:v>150.62534462880345</c:v>
                </c:pt>
                <c:pt idx="756">
                  <c:v>151.3371597573813</c:v>
                </c:pt>
                <c:pt idx="757">
                  <c:v>151.893578625495</c:v>
                </c:pt>
                <c:pt idx="758">
                  <c:v>152.45250388490649</c:v>
                </c:pt>
                <c:pt idx="759">
                  <c:v>152.92746503584138</c:v>
                </c:pt>
                <c:pt idx="760">
                  <c:v>153.50142864303973</c:v>
                </c:pt>
                <c:pt idx="761">
                  <c:v>154.46638929269636</c:v>
                </c:pt>
                <c:pt idx="762">
                  <c:v>154.56664494460873</c:v>
                </c:pt>
                <c:pt idx="763">
                  <c:v>155.40879242067271</c:v>
                </c:pt>
                <c:pt idx="764">
                  <c:v>156.12812672314402</c:v>
                </c:pt>
                <c:pt idx="765">
                  <c:v>156.47024913529498</c:v>
                </c:pt>
              </c:numCache>
            </c:numRef>
          </c:val>
          <c:smooth val="0"/>
          <c:extLst>
            <c:ext xmlns:c16="http://schemas.microsoft.com/office/drawing/2014/chart" uri="{C3380CC4-5D6E-409C-BE32-E72D297353CC}">
              <c16:uniqueId val="{00000002-B688-44BE-885C-64AFF4F2A066}"/>
            </c:ext>
          </c:extLst>
        </c:ser>
        <c:ser>
          <c:idx val="3"/>
          <c:order val="3"/>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numCache>
            </c:numRef>
          </c:cat>
          <c:val>
            <c:numRef>
              <c:f>'PCE Core vs Core CPI'!$E$5:$E$772</c:f>
              <c:numCache>
                <c:formatCode>0.00</c:formatCode>
                <c:ptCount val="768"/>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140.16060436485731</c:v>
                </c:pt>
                <c:pt idx="697">
                  <c:v>140.45775041969782</c:v>
                </c:pt>
                <c:pt idx="698">
                  <c:v>140.4275321768327</c:v>
                </c:pt>
                <c:pt idx="699">
                  <c:v>140.58589815332962</c:v>
                </c:pt>
                <c:pt idx="700">
                  <c:v>140.69949636261893</c:v>
                </c:pt>
                <c:pt idx="701">
                  <c:v>140.87632904308899</c:v>
                </c:pt>
                <c:pt idx="702">
                  <c:v>141.01007274762173</c:v>
                </c:pt>
                <c:pt idx="703">
                  <c:v>141.31785114717405</c:v>
                </c:pt>
                <c:pt idx="704">
                  <c:v>141.47285954113039</c:v>
                </c:pt>
                <c:pt idx="705">
                  <c:v>141.87241186345832</c:v>
                </c:pt>
                <c:pt idx="706">
                  <c:v>142.03469501958591</c:v>
                </c:pt>
                <c:pt idx="707">
                  <c:v>142.33016228315614</c:v>
                </c:pt>
                <c:pt idx="708">
                  <c:v>142.7375489647454</c:v>
                </c:pt>
                <c:pt idx="709">
                  <c:v>143.01510912143257</c:v>
                </c:pt>
                <c:pt idx="710">
                  <c:v>143.32848349188583</c:v>
                </c:pt>
                <c:pt idx="711">
                  <c:v>143.59429210968105</c:v>
                </c:pt>
                <c:pt idx="712">
                  <c:v>143.90095131505319</c:v>
                </c:pt>
                <c:pt idx="713">
                  <c:v>144.06771124790151</c:v>
                </c:pt>
                <c:pt idx="714">
                  <c:v>144.29099048684949</c:v>
                </c:pt>
                <c:pt idx="715">
                  <c:v>144.39171796306661</c:v>
                </c:pt>
                <c:pt idx="716">
                  <c:v>144.65864577504198</c:v>
                </c:pt>
                <c:pt idx="717">
                  <c:v>144.93396754336879</c:v>
                </c:pt>
                <c:pt idx="718">
                  <c:v>145.19026301063235</c:v>
                </c:pt>
                <c:pt idx="719">
                  <c:v>145.45831001678795</c:v>
                </c:pt>
                <c:pt idx="720">
                  <c:v>145.794068270845</c:v>
                </c:pt>
                <c:pt idx="721">
                  <c:v>145.9904868494684</c:v>
                </c:pt>
                <c:pt idx="722">
                  <c:v>146.26860660324567</c:v>
                </c:pt>
                <c:pt idx="723">
                  <c:v>146.59093452714049</c:v>
                </c:pt>
                <c:pt idx="724">
                  <c:v>146.794068270845</c:v>
                </c:pt>
                <c:pt idx="725">
                  <c:v>147.14325685506435</c:v>
                </c:pt>
                <c:pt idx="726">
                  <c:v>147.44879686625632</c:v>
                </c:pt>
                <c:pt idx="727">
                  <c:v>147.80917739227755</c:v>
                </c:pt>
                <c:pt idx="728">
                  <c:v>148.06267487409067</c:v>
                </c:pt>
                <c:pt idx="729">
                  <c:v>148.30386121992166</c:v>
                </c:pt>
                <c:pt idx="730">
                  <c:v>148.55120313374371</c:v>
                </c:pt>
                <c:pt idx="731">
                  <c:v>148.70844991606046</c:v>
                </c:pt>
                <c:pt idx="732">
                  <c:v>149.08673754896478</c:v>
                </c:pt>
                <c:pt idx="733">
                  <c:v>149.45886961387802</c:v>
                </c:pt>
                <c:pt idx="734">
                  <c:v>149.36541689983213</c:v>
                </c:pt>
                <c:pt idx="735">
                  <c:v>148.72467823167321</c:v>
                </c:pt>
                <c:pt idx="736">
                  <c:v>148.63234471180749</c:v>
                </c:pt>
                <c:pt idx="737">
                  <c:v>148.90207050923337</c:v>
                </c:pt>
                <c:pt idx="738">
                  <c:v>149.72132064913265</c:v>
                </c:pt>
                <c:pt idx="739">
                  <c:v>150.34247341913823</c:v>
                </c:pt>
                <c:pt idx="740">
                  <c:v>150.61667599328484</c:v>
                </c:pt>
                <c:pt idx="741">
                  <c:v>150.71740346950196</c:v>
                </c:pt>
                <c:pt idx="742">
                  <c:v>150.98824846110801</c:v>
                </c:pt>
                <c:pt idx="743">
                  <c:v>151.08226077224398</c:v>
                </c:pt>
                <c:pt idx="744">
                  <c:v>151.15500839395634</c:v>
                </c:pt>
                <c:pt idx="745">
                  <c:v>151.38332400671516</c:v>
                </c:pt>
                <c:pt idx="746">
                  <c:v>151.84499160604364</c:v>
                </c:pt>
                <c:pt idx="747">
                  <c:v>153.14437604924456</c:v>
                </c:pt>
                <c:pt idx="748">
                  <c:v>154.28931169557919</c:v>
                </c:pt>
                <c:pt idx="749">
                  <c:v>155.52434247341915</c:v>
                </c:pt>
                <c:pt idx="750">
                  <c:v>156.01231113598209</c:v>
                </c:pt>
                <c:pt idx="751">
                  <c:v>156.29882484611079</c:v>
                </c:pt>
                <c:pt idx="752">
                  <c:v>156.69669837716845</c:v>
                </c:pt>
                <c:pt idx="753">
                  <c:v>157.64129826524902</c:v>
                </c:pt>
                <c:pt idx="754">
                  <c:v>158.46614437604924</c:v>
                </c:pt>
                <c:pt idx="755">
                  <c:v>159.3564633463906</c:v>
                </c:pt>
                <c:pt idx="756">
                  <c:v>160.2859541130386</c:v>
                </c:pt>
                <c:pt idx="757">
                  <c:v>161.09569110240628</c:v>
                </c:pt>
                <c:pt idx="758">
                  <c:v>161.61779518746502</c:v>
                </c:pt>
                <c:pt idx="759">
                  <c:v>162.53777280358142</c:v>
                </c:pt>
                <c:pt idx="760">
                  <c:v>163.5640738668159</c:v>
                </c:pt>
                <c:pt idx="761">
                  <c:v>164.71964185786234</c:v>
                </c:pt>
                <c:pt idx="762">
                  <c:v>165.23503077783994</c:v>
                </c:pt>
                <c:pt idx="763">
                  <c:v>166.17235590374929</c:v>
                </c:pt>
                <c:pt idx="764">
                  <c:v>167.12926692781201</c:v>
                </c:pt>
                <c:pt idx="765">
                  <c:v>167.58310016787914</c:v>
                </c:pt>
              </c:numCache>
            </c:numRef>
          </c:val>
          <c:smooth val="0"/>
          <c:extLst>
            <c:ext xmlns:c16="http://schemas.microsoft.com/office/drawing/2014/chart" uri="{C3380CC4-5D6E-409C-BE32-E72D297353CC}">
              <c16:uniqueId val="{00000003-B688-44BE-885C-64AFF4F2A066}"/>
            </c:ext>
          </c:extLst>
        </c:ser>
        <c:dLbls>
          <c:showLegendKey val="0"/>
          <c:showVal val="0"/>
          <c:showCatName val="0"/>
          <c:showSerName val="0"/>
          <c:showPercent val="0"/>
          <c:showBubbleSize val="0"/>
        </c:dLbls>
        <c:marker val="1"/>
        <c:smooth val="0"/>
        <c:axId val="1112861896"/>
        <c:axId val="1255426584"/>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dateAx>
        <c:axId val="1112861896"/>
        <c:scaling>
          <c:orientation val="minMax"/>
        </c:scaling>
        <c:delete val="1"/>
        <c:axPos val="b"/>
        <c:numFmt formatCode="yyyy\-mm\-dd" sourceLinked="1"/>
        <c:majorTickMark val="out"/>
        <c:minorTickMark val="none"/>
        <c:tickLblPos val="nextTo"/>
        <c:crossAx val="1255426584"/>
        <c:crosses val="autoZero"/>
        <c:auto val="0"/>
        <c:lblOffset val="100"/>
        <c:baseTimeUnit val="months"/>
      </c:dateAx>
      <c:valAx>
        <c:axId val="125542658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CPI since 2000</a:t>
            </a:r>
            <a:endParaRPr lang="en-GB" b="1"/>
          </a:p>
        </c:rich>
      </c:tx>
      <c:overlay val="0"/>
      <c:spPr>
        <a:noFill/>
        <a:ln>
          <a:noFill/>
          <a:prstDash val="solid"/>
        </a:ln>
      </c:spPr>
    </c:title>
    <c:autoTitleDeleted val="0"/>
    <c:plotArea>
      <c:layout/>
      <c:lineChart>
        <c:grouping val="standard"/>
        <c:varyColors val="0"/>
        <c:ser>
          <c:idx val="2"/>
          <c:order val="0"/>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CPI'!$A$5:$A$771</c:f>
              <c:numCache>
                <c:formatCode>yyyy\-mm\-dd</c:formatCode>
                <c:ptCount val="767"/>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numCache>
            </c:numRef>
          </c:cat>
          <c:val>
            <c:numRef>
              <c:f>'PCE Core vs Core CPI'!$D$5:$D$771</c:f>
              <c:numCache>
                <c:formatCode>0.00</c:formatCode>
                <c:ptCount val="767"/>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134.34883954082909</c:v>
                </c:pt>
                <c:pt idx="697">
                  <c:v>134.6107574314502</c:v>
                </c:pt>
                <c:pt idx="698">
                  <c:v>134.54809764900494</c:v>
                </c:pt>
                <c:pt idx="699">
                  <c:v>134.86891573512457</c:v>
                </c:pt>
                <c:pt idx="700">
                  <c:v>134.99298210436612</c:v>
                </c:pt>
                <c:pt idx="701">
                  <c:v>135.18973382124418</c:v>
                </c:pt>
                <c:pt idx="702">
                  <c:v>135.27119153842295</c:v>
                </c:pt>
                <c:pt idx="703">
                  <c:v>135.4378665597273</c:v>
                </c:pt>
                <c:pt idx="704">
                  <c:v>135.61456714622287</c:v>
                </c:pt>
                <c:pt idx="705">
                  <c:v>135.97047471051178</c:v>
                </c:pt>
                <c:pt idx="706">
                  <c:v>136.07448994937087</c:v>
                </c:pt>
                <c:pt idx="707">
                  <c:v>136.27500125319563</c:v>
                </c:pt>
                <c:pt idx="708">
                  <c:v>136.69858138252542</c:v>
                </c:pt>
                <c:pt idx="709">
                  <c:v>136.98806957742244</c:v>
                </c:pt>
                <c:pt idx="710">
                  <c:v>137.30262168529748</c:v>
                </c:pt>
                <c:pt idx="711">
                  <c:v>137.53822246729158</c:v>
                </c:pt>
                <c:pt idx="712">
                  <c:v>137.79638077096595</c:v>
                </c:pt>
                <c:pt idx="713">
                  <c:v>137.94300466188781</c:v>
                </c:pt>
                <c:pt idx="714">
                  <c:v>138.12597122662788</c:v>
                </c:pt>
                <c:pt idx="715">
                  <c:v>138.15980750914832</c:v>
                </c:pt>
                <c:pt idx="716">
                  <c:v>138.44804250839638</c:v>
                </c:pt>
                <c:pt idx="717">
                  <c:v>138.63602185573211</c:v>
                </c:pt>
                <c:pt idx="718">
                  <c:v>138.89292696375759</c:v>
                </c:pt>
                <c:pt idx="719">
                  <c:v>139.1159957892626</c:v>
                </c:pt>
                <c:pt idx="720">
                  <c:v>139.27264524537571</c:v>
                </c:pt>
                <c:pt idx="721">
                  <c:v>139.36412852774572</c:v>
                </c:pt>
                <c:pt idx="722">
                  <c:v>139.54333550553912</c:v>
                </c:pt>
                <c:pt idx="723">
                  <c:v>139.91929420021052</c:v>
                </c:pt>
                <c:pt idx="724">
                  <c:v>140.0734372650258</c:v>
                </c:pt>
                <c:pt idx="725">
                  <c:v>140.35791267732716</c:v>
                </c:pt>
                <c:pt idx="726">
                  <c:v>140.55466439420522</c:v>
                </c:pt>
                <c:pt idx="727">
                  <c:v>140.69627550253142</c:v>
                </c:pt>
                <c:pt idx="728">
                  <c:v>140.78274600230586</c:v>
                </c:pt>
                <c:pt idx="729">
                  <c:v>140.97949771918388</c:v>
                </c:pt>
                <c:pt idx="730">
                  <c:v>141.01458719735325</c:v>
                </c:pt>
                <c:pt idx="731">
                  <c:v>141.32537971828162</c:v>
                </c:pt>
                <c:pt idx="732">
                  <c:v>141.62113389142311</c:v>
                </c:pt>
                <c:pt idx="733">
                  <c:v>141.86926662990626</c:v>
                </c:pt>
                <c:pt idx="734">
                  <c:v>141.79031530402526</c:v>
                </c:pt>
                <c:pt idx="735">
                  <c:v>141.19504737079552</c:v>
                </c:pt>
                <c:pt idx="736">
                  <c:v>141.38427991378012</c:v>
                </c:pt>
                <c:pt idx="737">
                  <c:v>141.67502130432604</c:v>
                </c:pt>
                <c:pt idx="738">
                  <c:v>142.14371647701637</c:v>
                </c:pt>
                <c:pt idx="739">
                  <c:v>142.59110732367535</c:v>
                </c:pt>
                <c:pt idx="740">
                  <c:v>142.8379868665096</c:v>
                </c:pt>
                <c:pt idx="741">
                  <c:v>142.88560830116796</c:v>
                </c:pt>
                <c:pt idx="742">
                  <c:v>142.924457366284</c:v>
                </c:pt>
                <c:pt idx="743">
                  <c:v>143.39315253897436</c:v>
                </c:pt>
                <c:pt idx="744">
                  <c:v>143.84430297258007</c:v>
                </c:pt>
                <c:pt idx="745">
                  <c:v>144.08616973281866</c:v>
                </c:pt>
                <c:pt idx="746">
                  <c:v>144.69021003559072</c:v>
                </c:pt>
                <c:pt idx="747">
                  <c:v>145.60378966364229</c:v>
                </c:pt>
                <c:pt idx="748">
                  <c:v>146.35696024863401</c:v>
                </c:pt>
                <c:pt idx="749">
                  <c:v>147.06125620331846</c:v>
                </c:pt>
                <c:pt idx="750">
                  <c:v>147.64023259311244</c:v>
                </c:pt>
                <c:pt idx="751">
                  <c:v>148.12647250488743</c:v>
                </c:pt>
                <c:pt idx="752">
                  <c:v>148.4360118301669</c:v>
                </c:pt>
                <c:pt idx="753">
                  <c:v>149.0413053285879</c:v>
                </c:pt>
                <c:pt idx="754">
                  <c:v>149.8107674570154</c:v>
                </c:pt>
                <c:pt idx="755">
                  <c:v>150.62534462880345</c:v>
                </c:pt>
                <c:pt idx="756">
                  <c:v>151.3371597573813</c:v>
                </c:pt>
                <c:pt idx="757">
                  <c:v>151.893578625495</c:v>
                </c:pt>
                <c:pt idx="758">
                  <c:v>152.45250388490649</c:v>
                </c:pt>
                <c:pt idx="759">
                  <c:v>152.92746503584138</c:v>
                </c:pt>
                <c:pt idx="760">
                  <c:v>153.50142864303973</c:v>
                </c:pt>
                <c:pt idx="761">
                  <c:v>154.46638929269636</c:v>
                </c:pt>
                <c:pt idx="762">
                  <c:v>154.56664494460873</c:v>
                </c:pt>
                <c:pt idx="763">
                  <c:v>155.40879242067271</c:v>
                </c:pt>
                <c:pt idx="764">
                  <c:v>156.12812672314402</c:v>
                </c:pt>
                <c:pt idx="765">
                  <c:v>156.47024913529498</c:v>
                </c:pt>
              </c:numCache>
            </c:numRef>
          </c:val>
          <c:smooth val="0"/>
          <c:extLst>
            <c:ext xmlns:c16="http://schemas.microsoft.com/office/drawing/2014/chart" uri="{C3380CC4-5D6E-409C-BE32-E72D297353CC}">
              <c16:uniqueId val="{00000000-DFEB-4E29-BA8F-6A02FDCF025E}"/>
            </c:ext>
          </c:extLst>
        </c:ser>
        <c:ser>
          <c:idx val="3"/>
          <c:order val="1"/>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CPI'!$A$5:$A$771</c:f>
              <c:numCache>
                <c:formatCode>yyyy\-mm\-dd</c:formatCode>
                <c:ptCount val="767"/>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numCache>
            </c:numRef>
          </c:cat>
          <c:val>
            <c:numRef>
              <c:f>'PCE Core vs Core CPI'!$E$5:$E$771</c:f>
              <c:numCache>
                <c:formatCode>0.00</c:formatCode>
                <c:ptCount val="767"/>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140.16060436485731</c:v>
                </c:pt>
                <c:pt idx="697">
                  <c:v>140.45775041969782</c:v>
                </c:pt>
                <c:pt idx="698">
                  <c:v>140.4275321768327</c:v>
                </c:pt>
                <c:pt idx="699">
                  <c:v>140.58589815332962</c:v>
                </c:pt>
                <c:pt idx="700">
                  <c:v>140.69949636261893</c:v>
                </c:pt>
                <c:pt idx="701">
                  <c:v>140.87632904308899</c:v>
                </c:pt>
                <c:pt idx="702">
                  <c:v>141.01007274762173</c:v>
                </c:pt>
                <c:pt idx="703">
                  <c:v>141.31785114717405</c:v>
                </c:pt>
                <c:pt idx="704">
                  <c:v>141.47285954113039</c:v>
                </c:pt>
                <c:pt idx="705">
                  <c:v>141.87241186345832</c:v>
                </c:pt>
                <c:pt idx="706">
                  <c:v>142.03469501958591</c:v>
                </c:pt>
                <c:pt idx="707">
                  <c:v>142.33016228315614</c:v>
                </c:pt>
                <c:pt idx="708">
                  <c:v>142.7375489647454</c:v>
                </c:pt>
                <c:pt idx="709">
                  <c:v>143.01510912143257</c:v>
                </c:pt>
                <c:pt idx="710">
                  <c:v>143.32848349188583</c:v>
                </c:pt>
                <c:pt idx="711">
                  <c:v>143.59429210968105</c:v>
                </c:pt>
                <c:pt idx="712">
                  <c:v>143.90095131505319</c:v>
                </c:pt>
                <c:pt idx="713">
                  <c:v>144.06771124790151</c:v>
                </c:pt>
                <c:pt idx="714">
                  <c:v>144.29099048684949</c:v>
                </c:pt>
                <c:pt idx="715">
                  <c:v>144.39171796306661</c:v>
                </c:pt>
                <c:pt idx="716">
                  <c:v>144.65864577504198</c:v>
                </c:pt>
                <c:pt idx="717">
                  <c:v>144.93396754336879</c:v>
                </c:pt>
                <c:pt idx="718">
                  <c:v>145.19026301063235</c:v>
                </c:pt>
                <c:pt idx="719">
                  <c:v>145.45831001678795</c:v>
                </c:pt>
                <c:pt idx="720">
                  <c:v>145.794068270845</c:v>
                </c:pt>
                <c:pt idx="721">
                  <c:v>145.9904868494684</c:v>
                </c:pt>
                <c:pt idx="722">
                  <c:v>146.26860660324567</c:v>
                </c:pt>
                <c:pt idx="723">
                  <c:v>146.59093452714049</c:v>
                </c:pt>
                <c:pt idx="724">
                  <c:v>146.794068270845</c:v>
                </c:pt>
                <c:pt idx="725">
                  <c:v>147.14325685506435</c:v>
                </c:pt>
                <c:pt idx="726">
                  <c:v>147.44879686625632</c:v>
                </c:pt>
                <c:pt idx="727">
                  <c:v>147.80917739227755</c:v>
                </c:pt>
                <c:pt idx="728">
                  <c:v>148.06267487409067</c:v>
                </c:pt>
                <c:pt idx="729">
                  <c:v>148.30386121992166</c:v>
                </c:pt>
                <c:pt idx="730">
                  <c:v>148.55120313374371</c:v>
                </c:pt>
                <c:pt idx="731">
                  <c:v>148.70844991606046</c:v>
                </c:pt>
                <c:pt idx="732">
                  <c:v>149.08673754896478</c:v>
                </c:pt>
                <c:pt idx="733">
                  <c:v>149.45886961387802</c:v>
                </c:pt>
                <c:pt idx="734">
                  <c:v>149.36541689983213</c:v>
                </c:pt>
                <c:pt idx="735">
                  <c:v>148.72467823167321</c:v>
                </c:pt>
                <c:pt idx="736">
                  <c:v>148.63234471180749</c:v>
                </c:pt>
                <c:pt idx="737">
                  <c:v>148.90207050923337</c:v>
                </c:pt>
                <c:pt idx="738">
                  <c:v>149.72132064913265</c:v>
                </c:pt>
                <c:pt idx="739">
                  <c:v>150.34247341913823</c:v>
                </c:pt>
                <c:pt idx="740">
                  <c:v>150.61667599328484</c:v>
                </c:pt>
                <c:pt idx="741">
                  <c:v>150.71740346950196</c:v>
                </c:pt>
                <c:pt idx="742">
                  <c:v>150.98824846110801</c:v>
                </c:pt>
                <c:pt idx="743">
                  <c:v>151.08226077224398</c:v>
                </c:pt>
                <c:pt idx="744">
                  <c:v>151.15500839395634</c:v>
                </c:pt>
                <c:pt idx="745">
                  <c:v>151.38332400671516</c:v>
                </c:pt>
                <c:pt idx="746">
                  <c:v>151.84499160604364</c:v>
                </c:pt>
                <c:pt idx="747">
                  <c:v>153.14437604924456</c:v>
                </c:pt>
                <c:pt idx="748">
                  <c:v>154.28931169557919</c:v>
                </c:pt>
                <c:pt idx="749">
                  <c:v>155.52434247341915</c:v>
                </c:pt>
                <c:pt idx="750">
                  <c:v>156.01231113598209</c:v>
                </c:pt>
                <c:pt idx="751">
                  <c:v>156.29882484611079</c:v>
                </c:pt>
                <c:pt idx="752">
                  <c:v>156.69669837716845</c:v>
                </c:pt>
                <c:pt idx="753">
                  <c:v>157.64129826524902</c:v>
                </c:pt>
                <c:pt idx="754">
                  <c:v>158.46614437604924</c:v>
                </c:pt>
                <c:pt idx="755">
                  <c:v>159.3564633463906</c:v>
                </c:pt>
                <c:pt idx="756">
                  <c:v>160.2859541130386</c:v>
                </c:pt>
                <c:pt idx="757">
                  <c:v>161.09569110240628</c:v>
                </c:pt>
                <c:pt idx="758">
                  <c:v>161.61779518746502</c:v>
                </c:pt>
                <c:pt idx="759">
                  <c:v>162.53777280358142</c:v>
                </c:pt>
                <c:pt idx="760">
                  <c:v>163.5640738668159</c:v>
                </c:pt>
                <c:pt idx="761">
                  <c:v>164.71964185786234</c:v>
                </c:pt>
                <c:pt idx="762">
                  <c:v>165.23503077783994</c:v>
                </c:pt>
                <c:pt idx="763">
                  <c:v>166.17235590374929</c:v>
                </c:pt>
                <c:pt idx="764">
                  <c:v>167.12926692781201</c:v>
                </c:pt>
                <c:pt idx="765">
                  <c:v>167.58310016787914</c:v>
                </c:pt>
              </c:numCache>
            </c:numRef>
          </c:val>
          <c:smooth val="0"/>
          <c:extLst>
            <c:ext xmlns:c16="http://schemas.microsoft.com/office/drawing/2014/chart" uri="{C3380CC4-5D6E-409C-BE32-E72D297353CC}">
              <c16:uniqueId val="{00000001-DFEB-4E29-BA8F-6A02FDCF025E}"/>
            </c:ext>
          </c:extLst>
        </c:ser>
        <c:dLbls>
          <c:showLegendKey val="0"/>
          <c:showVal val="0"/>
          <c:showCatName val="0"/>
          <c:showSerName val="0"/>
          <c:showPercent val="0"/>
          <c:showBubbleSize val="0"/>
        </c:dLbls>
        <c:smooth val="0"/>
        <c:axId val="716622040"/>
        <c:axId val="716620400"/>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13</xdr:col>
      <xdr:colOff>38101</xdr:colOff>
      <xdr:row>0</xdr:row>
      <xdr:rowOff>142876</xdr:rowOff>
    </xdr:from>
    <xdr:to>
      <xdr:col>18</xdr:col>
      <xdr:colOff>296333</xdr:colOff>
      <xdr:row>14</xdr:row>
      <xdr:rowOff>101600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484908</xdr:colOff>
      <xdr:row>735</xdr:row>
      <xdr:rowOff>46181</xdr:rowOff>
    </xdr:from>
    <xdr:to>
      <xdr:col>15</xdr:col>
      <xdr:colOff>333085</xdr:colOff>
      <xdr:row>758</xdr:row>
      <xdr:rowOff>55707</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290512</xdr:colOff>
      <xdr:row>718</xdr:row>
      <xdr:rowOff>44449</xdr:rowOff>
    </xdr:from>
    <xdr:to>
      <xdr:col>15</xdr:col>
      <xdr:colOff>357187</xdr:colOff>
      <xdr:row>737</xdr:row>
      <xdr:rowOff>163512</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290512</xdr:colOff>
      <xdr:row>737</xdr:row>
      <xdr:rowOff>187324</xdr:rowOff>
    </xdr:from>
    <xdr:to>
      <xdr:col>21</xdr:col>
      <xdr:colOff>164353</xdr:colOff>
      <xdr:row>765</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436561</xdr:colOff>
      <xdr:row>719</xdr:row>
      <xdr:rowOff>174626</xdr:rowOff>
    </xdr:from>
    <xdr:to>
      <xdr:col>16</xdr:col>
      <xdr:colOff>611187</xdr:colOff>
      <xdr:row>740</xdr:row>
      <xdr:rowOff>171450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439738</xdr:colOff>
      <xdr:row>741</xdr:row>
      <xdr:rowOff>14288</xdr:rowOff>
    </xdr:from>
    <xdr:to>
      <xdr:col>16</xdr:col>
      <xdr:colOff>635000</xdr:colOff>
      <xdr:row>760</xdr:row>
      <xdr:rowOff>95250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45679103" displayName="Table5345679103" ref="A4:D770" totalsRowShown="0" headerRowDxfId="35" dataDxfId="33" headerRowBorderDxfId="34">
  <autoFilter ref="A4:D770" xr:uid="{00000000-0009-0000-0100-000001000000}"/>
  <tableColumns count="4">
    <tableColumn id="1" xr3:uid="{00000000-0010-0000-0000-000001000000}" name="Date" dataDxfId="32"/>
    <tableColumn id="2" xr3:uid="{00000000-0010-0000-0000-000002000000}" name="Value" dataDxfId="31">
      <calculatedColumnFormula>VLOOKUP(Table5345679103[[#This Row],[Date]],Database!A:E,MATCH($A$1,Database!$A$1:$E$1,),)</calculatedColumnFormula>
    </tableColumn>
    <tableColumn id="5" xr3:uid="{00000000-0010-0000-0000-000005000000}" name="PCE Core MoM" dataDxfId="30">
      <calculatedColumnFormula>(B5-B4)/B4</calculatedColumnFormula>
    </tableColumn>
    <tableColumn id="3" xr3:uid="{00000000-0010-0000-0000-000003000000}" name="PCE Core YoY"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4567910" displayName="Table534567910" ref="A4:F770" totalsRowShown="0" headerRowDxfId="28" dataDxfId="26" headerRowBorderDxfId="27">
  <autoFilter ref="A4:F770" xr:uid="{00000000-0009-0000-0100-000002000000}"/>
  <tableColumns count="6">
    <tableColumn id="1" xr3:uid="{00000000-0010-0000-0100-000001000000}" name="Date" dataDxfId="25"/>
    <tableColumn id="2" xr3:uid="{00000000-0010-0000-0100-000002000000}" name="Value" dataDxfId="24">
      <calculatedColumnFormula>VLOOKUP(Table534567910[[#This Row],[Date]],Database!A:E,MATCH($A$1,Database!$A$1:$E$1,),)</calculatedColumnFormula>
    </tableColumn>
    <tableColumn id="5" xr3:uid="{00000000-0010-0000-0100-000005000000}" name="PCE Core MoM" dataDxfId="23">
      <calculatedColumnFormula>(B5-B4)/B4</calculatedColumnFormula>
    </tableColumn>
    <tableColumn id="3" xr3:uid="{00000000-0010-0000-0100-000003000000}" name="PCE Core YoY" dataDxfId="22"/>
    <tableColumn id="4" xr3:uid="{00000000-0010-0000-0100-000004000000}" name="Fed Target" dataDxfId="21"/>
    <tableColumn id="6" xr3:uid="{00000000-0010-0000-0100-000006000000}" name="Fed Fund Target" dataDxfId="2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4:G770" totalsRowShown="0" headerRowDxfId="19" dataDxfId="17" headerRowBorderDxfId="18" tableBorderDxfId="16" totalsRowBorderDxfId="15">
  <autoFilter ref="A4:G770" xr:uid="{00000000-0009-0000-0100-000003000000}"/>
  <tableColumns count="7">
    <tableColumn id="1" xr3:uid="{00000000-0010-0000-0200-000001000000}" name="Date" dataDxfId="14"/>
    <tableColumn id="2" xr3:uid="{00000000-0010-0000-0200-000002000000}" name="Core PCE" dataDxfId="13">
      <calculatedColumnFormula>VLOOKUP(Table3[[#This Row],[Date]],'PCE Core'!$A:$E,2,)</calculatedColumnFormula>
    </tableColumn>
    <tableColumn id="3" xr3:uid="{00000000-0010-0000-0200-000003000000}" name="Core CPI" dataDxfId="12">
      <calculatedColumnFormula>VLOOKUP(Table3[[#This Row],[Date]],Database!$A:$E,5)</calculatedColumnFormula>
    </tableColumn>
    <tableColumn id="4" xr3:uid="{00000000-0010-0000-0200-000004000000}" name="Core PCE base 2000" dataDxfId="11">
      <calculatedColumnFormula>(((Table3[[#This Row],[Core PCE]]-$B$496)/$B$496)*100)+100</calculatedColumnFormula>
    </tableColumn>
    <tableColumn id="5" xr3:uid="{00000000-0010-0000-0200-000005000000}" name="Core CPI base 2000" dataDxfId="10">
      <calculatedColumnFormula>(((Table3[[#This Row],[Core CPI]]-$C$496)/$C$496)*100)+100</calculatedColumnFormula>
    </tableColumn>
    <tableColumn id="6" xr3:uid="{00000000-0010-0000-0200-000006000000}" name="Core CPI yoy" dataDxfId="9"/>
    <tableColumn id="7" xr3:uid="{00000000-0010-0000-0200-000007000000}"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ea.gov/data/personal-consumption-expenditures-price-index"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1"/>
  <sheetViews>
    <sheetView zoomScale="150" zoomScaleNormal="150" workbookViewId="0">
      <selection activeCell="H29" sqref="H29"/>
    </sheetView>
  </sheetViews>
  <sheetFormatPr defaultColWidth="9.1796875" defaultRowHeight="14.5" x14ac:dyDescent="0.35"/>
  <cols>
    <col min="1" max="1" width="9.1796875" style="64" customWidth="1"/>
    <col min="2" max="10" width="12.81640625" style="64" customWidth="1"/>
    <col min="11" max="13" width="2.81640625" style="64" customWidth="1"/>
    <col min="14" max="14" width="19" style="64" customWidth="1"/>
    <col min="15" max="15" width="9.1796875" style="64" customWidth="1"/>
    <col min="16" max="19" width="12.36328125" style="64" customWidth="1"/>
    <col min="20" max="38" width="9.1796875" style="64" customWidth="1"/>
    <col min="39" max="16384" width="9.1796875" style="64"/>
  </cols>
  <sheetData>
    <row r="1" spans="2:19" x14ac:dyDescent="0.35">
      <c r="B1" s="76"/>
      <c r="C1" s="68"/>
      <c r="D1" s="68"/>
      <c r="E1" s="68"/>
      <c r="F1" s="68"/>
      <c r="G1" s="68"/>
      <c r="H1" s="68"/>
      <c r="I1" s="68"/>
      <c r="J1" s="68"/>
    </row>
    <row r="2" spans="2:19" ht="16" customHeight="1" thickBot="1" x14ac:dyDescent="0.4">
      <c r="B2" s="77"/>
      <c r="C2" s="77"/>
      <c r="D2" s="77"/>
      <c r="E2" s="77"/>
      <c r="F2" s="77"/>
      <c r="G2" s="77"/>
      <c r="H2" s="77"/>
      <c r="I2" s="77"/>
      <c r="J2" s="77"/>
    </row>
    <row r="3" spans="2:19" ht="16" customHeight="1" thickBot="1" x14ac:dyDescent="0.4">
      <c r="B3" s="78" t="s">
        <v>0</v>
      </c>
      <c r="C3" s="79"/>
      <c r="D3" s="79"/>
      <c r="E3" s="79"/>
      <c r="F3" s="79"/>
      <c r="G3" s="79"/>
      <c r="H3" s="79"/>
      <c r="I3" s="79"/>
      <c r="J3" s="80"/>
    </row>
    <row r="5" spans="2:19" x14ac:dyDescent="0.35">
      <c r="B5" s="73" t="s">
        <v>1</v>
      </c>
      <c r="C5" s="74"/>
      <c r="D5" s="74"/>
      <c r="E5" s="74"/>
      <c r="F5" s="74"/>
      <c r="G5" s="74"/>
      <c r="H5" s="74"/>
      <c r="I5" s="74"/>
      <c r="J5" s="75"/>
    </row>
    <row r="7" spans="2:19" x14ac:dyDescent="0.35">
      <c r="B7" s="81" t="s">
        <v>2</v>
      </c>
      <c r="C7" s="68"/>
      <c r="D7" s="68"/>
      <c r="E7" s="68"/>
      <c r="F7" s="68"/>
      <c r="G7" s="68"/>
      <c r="H7" s="68"/>
      <c r="I7" s="68"/>
      <c r="J7" s="68"/>
    </row>
    <row r="8" spans="2:19" x14ac:dyDescent="0.35">
      <c r="B8" s="72" t="s">
        <v>3</v>
      </c>
      <c r="C8" s="68"/>
      <c r="D8" s="68"/>
      <c r="E8" s="68"/>
      <c r="F8" s="68"/>
      <c r="G8" s="68"/>
      <c r="H8" s="68"/>
      <c r="I8" s="68"/>
      <c r="J8" s="68"/>
    </row>
    <row r="9" spans="2:19" x14ac:dyDescent="0.35">
      <c r="B9" s="35"/>
      <c r="C9" s="35"/>
      <c r="D9" s="35"/>
      <c r="E9" s="35"/>
    </row>
    <row r="10" spans="2:19" x14ac:dyDescent="0.35">
      <c r="B10" s="35"/>
      <c r="C10" s="35"/>
      <c r="D10" s="35"/>
      <c r="E10" s="35"/>
    </row>
    <row r="11" spans="2:19" x14ac:dyDescent="0.35">
      <c r="B11" s="35"/>
      <c r="C11" s="35"/>
      <c r="D11" s="35"/>
      <c r="E11" s="35"/>
    </row>
    <row r="12" spans="2:19" x14ac:dyDescent="0.35">
      <c r="B12" s="35"/>
      <c r="C12" s="35"/>
      <c r="D12" s="35"/>
      <c r="E12" s="35"/>
    </row>
    <row r="13" spans="2:19" x14ac:dyDescent="0.35">
      <c r="B13" s="35"/>
      <c r="C13" s="35"/>
      <c r="D13" s="35"/>
      <c r="E13" s="35"/>
    </row>
    <row r="14" spans="2:19" x14ac:dyDescent="0.35">
      <c r="B14" s="35"/>
      <c r="C14" s="35"/>
      <c r="D14" s="35"/>
      <c r="E14" s="35"/>
    </row>
    <row r="15" spans="2:19" x14ac:dyDescent="0.35">
      <c r="B15" s="35"/>
      <c r="C15" s="35"/>
      <c r="D15" s="35"/>
      <c r="E15" s="35"/>
    </row>
    <row r="16" spans="2:19" x14ac:dyDescent="0.35">
      <c r="B16" s="73" t="s">
        <v>4</v>
      </c>
      <c r="C16" s="74"/>
      <c r="D16" s="74"/>
      <c r="E16" s="74"/>
      <c r="F16" s="74"/>
      <c r="G16" s="74"/>
      <c r="H16" s="74"/>
      <c r="I16" s="74"/>
      <c r="J16" s="75"/>
      <c r="N16" s="73" t="s">
        <v>5</v>
      </c>
      <c r="O16" s="74"/>
      <c r="P16" s="74"/>
      <c r="Q16" s="74"/>
      <c r="R16" s="74"/>
      <c r="S16" s="75"/>
    </row>
    <row r="18" spans="2:19" x14ac:dyDescent="0.35">
      <c r="B18" s="73" t="s">
        <v>6</v>
      </c>
      <c r="C18" s="74"/>
      <c r="D18" s="74"/>
      <c r="E18" s="74"/>
      <c r="F18" s="75"/>
      <c r="G18" s="73" t="s">
        <v>7</v>
      </c>
      <c r="H18" s="74"/>
      <c r="I18" s="74"/>
      <c r="J18" s="75"/>
      <c r="N18" s="36" t="s">
        <v>8</v>
      </c>
    </row>
    <row r="19" spans="2:19" ht="16" customHeight="1" thickBot="1" x14ac:dyDescent="0.4"/>
    <row r="20" spans="2:19" x14ac:dyDescent="0.35">
      <c r="B20" s="64" t="s">
        <v>9</v>
      </c>
      <c r="G20" s="68"/>
      <c r="H20" s="68"/>
      <c r="I20" s="68"/>
      <c r="J20" s="68"/>
      <c r="P20" s="37">
        <v>44805</v>
      </c>
      <c r="Q20" s="38"/>
    </row>
    <row r="21" spans="2:19" ht="16" customHeight="1" thickBot="1" x14ac:dyDescent="0.4">
      <c r="B21" s="64" t="s">
        <v>10</v>
      </c>
      <c r="G21" s="68"/>
      <c r="H21" s="68"/>
      <c r="I21" s="68"/>
      <c r="J21" s="68"/>
      <c r="P21" s="39" t="s">
        <v>11</v>
      </c>
      <c r="Q21" s="39" t="s">
        <v>12</v>
      </c>
    </row>
    <row r="22" spans="2:19" x14ac:dyDescent="0.35">
      <c r="B22" s="64" t="s">
        <v>13</v>
      </c>
      <c r="G22" s="68"/>
      <c r="H22" s="68"/>
      <c r="I22" s="68"/>
      <c r="J22" s="68"/>
      <c r="N22" s="82" t="s">
        <v>14</v>
      </c>
      <c r="O22" s="83"/>
      <c r="P22" s="47">
        <f>(VLOOKUP($P$20,Database!A:C,MATCH(Note!S22,Database!A1:C1,),)-VLOOKUP($N$30,Database!A:C,MATCH(Note!S22,Database!A1:C1,),))/VLOOKUP($N$30,Database!A:C,MATCH(Note!S22,Database!A1:C1,),)</f>
        <v>3.4273704631800714E-3</v>
      </c>
      <c r="Q22" s="48">
        <f>(VLOOKUP($P$20,Database!A:C,MATCH(Note!S22,Database!A1:C1,),)-VLOOKUP($N$31,Database!A:C,MATCH(Note!S22,Database!A1:C1,),))/VLOOKUP($N$31,Database!A:C,MATCH(Note!S22,Database!A1:C1,),)</f>
        <v>6.2718306965276291E-2</v>
      </c>
      <c r="S22" s="40" t="s">
        <v>15</v>
      </c>
    </row>
    <row r="23" spans="2:19" ht="16" customHeight="1" thickBot="1" x14ac:dyDescent="0.4">
      <c r="B23" s="41" t="s">
        <v>15</v>
      </c>
      <c r="G23" s="67" t="s">
        <v>16</v>
      </c>
      <c r="H23" s="68"/>
      <c r="I23" s="68"/>
      <c r="J23" s="68"/>
      <c r="N23" s="70" t="s">
        <v>17</v>
      </c>
      <c r="O23" s="71"/>
      <c r="P23" s="49">
        <f>(VLOOKUP($P$20,Database!A:C,MATCH(Note!S23,Database!A1:C1,),)-VLOOKUP($N$30,Database!A:C,MATCH(Note!S23,Database!A1:C1,),))/VLOOKUP($N$30,Database!A:C,MATCH(Note!S23,Database!A1:C1,),)</f>
        <v>4.6286589791145714E-3</v>
      </c>
      <c r="Q23" s="50">
        <f>(VLOOKUP($P$20,Database!A:C,MATCH(Note!S23,Database!A1:C1,),)-VLOOKUP($N$31,Database!A:C,MATCH(Note!S23,Database!A1:C1,),))/VLOOKUP($N$31,Database!A:C,MATCH(Note!S23,Database!A1:C1,),)</f>
        <v>5.1821083025176073E-2</v>
      </c>
      <c r="S23" s="42" t="s">
        <v>18</v>
      </c>
    </row>
    <row r="24" spans="2:19" x14ac:dyDescent="0.35">
      <c r="B24" s="41" t="s">
        <v>18</v>
      </c>
      <c r="G24" s="67" t="s">
        <v>19</v>
      </c>
      <c r="H24" s="68"/>
      <c r="I24" s="68"/>
      <c r="J24" s="68"/>
    </row>
    <row r="25" spans="2:19" x14ac:dyDescent="0.35">
      <c r="B25" s="64" t="s">
        <v>20</v>
      </c>
      <c r="G25" s="64" t="s">
        <v>21</v>
      </c>
    </row>
    <row r="26" spans="2:19" x14ac:dyDescent="0.35">
      <c r="G26" s="64" t="s">
        <v>22</v>
      </c>
    </row>
    <row r="27" spans="2:19" x14ac:dyDescent="0.35">
      <c r="B27" s="64" t="s">
        <v>23</v>
      </c>
      <c r="G27" s="64" t="s">
        <v>24</v>
      </c>
    </row>
    <row r="29" spans="2:19" ht="16" customHeight="1" thickBot="1" x14ac:dyDescent="0.4">
      <c r="B29" s="43"/>
    </row>
    <row r="30" spans="2:19" ht="16" customHeight="1" thickBot="1" x14ac:dyDescent="0.4">
      <c r="B30" s="69"/>
      <c r="C30" s="68"/>
      <c r="D30" s="68"/>
      <c r="E30" s="68"/>
      <c r="F30" s="68"/>
      <c r="G30" s="68"/>
      <c r="H30" s="68"/>
      <c r="I30" s="68"/>
      <c r="J30" s="68"/>
      <c r="N30" s="38">
        <f>DATE(YEAR($P$20),MONTH($P$20)-1,DAY($P$20))</f>
        <v>44774</v>
      </c>
    </row>
    <row r="31" spans="2:19" ht="16" customHeight="1" thickBot="1" x14ac:dyDescent="0.4">
      <c r="B31" s="44"/>
      <c r="N31" s="45">
        <f>DATE(YEAR($P$20)-1,MONTH($P$20),DAY($P$20))</f>
        <v>44440</v>
      </c>
      <c r="P31" s="46"/>
      <c r="Q31" s="46"/>
    </row>
  </sheetData>
  <mergeCells count="17">
    <mergeCell ref="B1:J2"/>
    <mergeCell ref="B3:J3"/>
    <mergeCell ref="B5:J5"/>
    <mergeCell ref="B7:J7"/>
    <mergeCell ref="N22:O22"/>
    <mergeCell ref="N23:O23"/>
    <mergeCell ref="B8:J8"/>
    <mergeCell ref="B16:J16"/>
    <mergeCell ref="N16:S16"/>
    <mergeCell ref="B18:F18"/>
    <mergeCell ref="G18:J18"/>
    <mergeCell ref="G24:J24"/>
    <mergeCell ref="B30:J30"/>
    <mergeCell ref="G20:J20"/>
    <mergeCell ref="G21:J21"/>
    <mergeCell ref="G22:J22"/>
    <mergeCell ref="G23:J23"/>
  </mergeCells>
  <conditionalFormatting sqref="P22">
    <cfRule type="cellIs" dxfId="7" priority="7" operator="lessThan">
      <formula>0</formula>
    </cfRule>
    <cfRule type="cellIs" dxfId="6" priority="8" operator="greaterThan">
      <formula>0</formula>
    </cfRule>
  </conditionalFormatting>
  <conditionalFormatting sqref="Q22">
    <cfRule type="cellIs" dxfId="5" priority="5" operator="lessThan">
      <formula>0</formula>
    </cfRule>
    <cfRule type="cellIs" dxfId="4" priority="6" operator="greaterThan">
      <formula>0</formula>
    </cfRule>
  </conditionalFormatting>
  <conditionalFormatting sqref="P23">
    <cfRule type="cellIs" dxfId="3" priority="3" operator="lessThan">
      <formula>0</formula>
    </cfRule>
    <cfRule type="cellIs" dxfId="2" priority="4" operator="greaterThan">
      <formula>0</formula>
    </cfRule>
  </conditionalFormatting>
  <conditionalFormatting sqref="Q23">
    <cfRule type="cellIs" dxfId="1" priority="1" operator="lessThan">
      <formula>0</formula>
    </cfRule>
    <cfRule type="cellIs" dxfId="0" priority="2"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A1:E791"/>
  <sheetViews>
    <sheetView zoomScale="170" zoomScaleNormal="170" workbookViewId="0">
      <pane ySplit="1" topLeftCell="A780" activePane="bottomLeft" state="frozen"/>
      <selection pane="bottomLeft" activeCell="H29" sqref="H29"/>
    </sheetView>
  </sheetViews>
  <sheetFormatPr defaultColWidth="10.90625" defaultRowHeight="14.5" x14ac:dyDescent="0.35"/>
  <sheetData>
    <row r="1" spans="1:5" x14ac:dyDescent="0.35">
      <c r="A1" t="s">
        <v>25</v>
      </c>
      <c r="B1" t="s">
        <v>15</v>
      </c>
      <c r="C1" t="s">
        <v>18</v>
      </c>
      <c r="D1" t="s">
        <v>26</v>
      </c>
      <c r="E1" t="s">
        <v>27</v>
      </c>
    </row>
    <row r="2" spans="1:5" x14ac:dyDescent="0.35">
      <c r="A2" s="66">
        <v>20821</v>
      </c>
      <c r="E2">
        <v>28.5</v>
      </c>
    </row>
    <row r="3" spans="1:5" x14ac:dyDescent="0.35">
      <c r="A3" s="66">
        <v>20852</v>
      </c>
      <c r="E3">
        <v>28.6</v>
      </c>
    </row>
    <row r="4" spans="1:5" x14ac:dyDescent="0.35">
      <c r="A4" s="66">
        <v>20880</v>
      </c>
      <c r="E4">
        <v>28.7</v>
      </c>
    </row>
    <row r="5" spans="1:5" x14ac:dyDescent="0.35">
      <c r="A5" s="66">
        <v>20911</v>
      </c>
      <c r="E5">
        <v>28.8</v>
      </c>
    </row>
    <row r="6" spans="1:5" x14ac:dyDescent="0.35">
      <c r="A6" s="66">
        <v>20941</v>
      </c>
      <c r="E6">
        <v>28.8</v>
      </c>
    </row>
    <row r="7" spans="1:5" x14ac:dyDescent="0.35">
      <c r="A7" s="66">
        <v>20972</v>
      </c>
      <c r="E7">
        <v>28.9</v>
      </c>
    </row>
    <row r="8" spans="1:5" x14ac:dyDescent="0.35">
      <c r="A8" s="66">
        <v>21002</v>
      </c>
      <c r="E8">
        <v>29</v>
      </c>
    </row>
    <row r="9" spans="1:5" x14ac:dyDescent="0.35">
      <c r="A9" s="66">
        <v>21033</v>
      </c>
      <c r="E9">
        <v>29</v>
      </c>
    </row>
    <row r="10" spans="1:5" x14ac:dyDescent="0.35">
      <c r="A10" s="66">
        <v>21064</v>
      </c>
      <c r="E10">
        <v>29.1</v>
      </c>
    </row>
    <row r="11" spans="1:5" x14ac:dyDescent="0.35">
      <c r="A11" s="66">
        <v>21094</v>
      </c>
      <c r="E11">
        <v>29.2</v>
      </c>
    </row>
    <row r="12" spans="1:5" x14ac:dyDescent="0.35">
      <c r="A12" s="66">
        <v>21125</v>
      </c>
      <c r="E12">
        <v>29.3</v>
      </c>
    </row>
    <row r="13" spans="1:5" x14ac:dyDescent="0.35">
      <c r="A13" s="66">
        <v>21155</v>
      </c>
      <c r="E13">
        <v>29.3</v>
      </c>
    </row>
    <row r="14" spans="1:5" x14ac:dyDescent="0.35">
      <c r="A14" s="66">
        <v>21186</v>
      </c>
      <c r="E14">
        <v>29.3</v>
      </c>
    </row>
    <row r="15" spans="1:5" x14ac:dyDescent="0.35">
      <c r="A15" s="66">
        <v>21217</v>
      </c>
      <c r="E15">
        <v>29.4</v>
      </c>
    </row>
    <row r="16" spans="1:5" x14ac:dyDescent="0.35">
      <c r="A16" s="66">
        <v>21245</v>
      </c>
      <c r="E16">
        <v>29.5</v>
      </c>
    </row>
    <row r="17" spans="1:5" x14ac:dyDescent="0.35">
      <c r="A17" s="66">
        <v>21276</v>
      </c>
      <c r="E17">
        <v>29.5</v>
      </c>
    </row>
    <row r="18" spans="1:5" x14ac:dyDescent="0.35">
      <c r="A18" s="66">
        <v>21306</v>
      </c>
      <c r="E18">
        <v>29.5</v>
      </c>
    </row>
    <row r="19" spans="1:5" x14ac:dyDescent="0.35">
      <c r="A19" s="66">
        <v>21337</v>
      </c>
      <c r="E19">
        <v>29.6</v>
      </c>
    </row>
    <row r="20" spans="1:5" x14ac:dyDescent="0.35">
      <c r="A20" s="66">
        <v>21367</v>
      </c>
      <c r="E20">
        <v>29.6</v>
      </c>
    </row>
    <row r="21" spans="1:5" x14ac:dyDescent="0.35">
      <c r="A21" s="66">
        <v>21398</v>
      </c>
      <c r="E21">
        <v>29.6</v>
      </c>
    </row>
    <row r="22" spans="1:5" x14ac:dyDescent="0.35">
      <c r="A22" s="66">
        <v>21429</v>
      </c>
      <c r="E22">
        <v>29.7</v>
      </c>
    </row>
    <row r="23" spans="1:5" x14ac:dyDescent="0.35">
      <c r="A23" s="66">
        <v>21459</v>
      </c>
      <c r="E23">
        <v>29.7</v>
      </c>
    </row>
    <row r="24" spans="1:5" x14ac:dyDescent="0.35">
      <c r="A24" s="66">
        <v>21490</v>
      </c>
      <c r="E24">
        <v>29.8</v>
      </c>
    </row>
    <row r="25" spans="1:5" x14ac:dyDescent="0.35">
      <c r="A25" s="66">
        <v>21520</v>
      </c>
      <c r="E25">
        <v>29.9</v>
      </c>
    </row>
    <row r="26" spans="1:5" x14ac:dyDescent="0.35">
      <c r="A26" s="66">
        <v>21551</v>
      </c>
      <c r="B26">
        <v>16.042000000000002</v>
      </c>
      <c r="C26">
        <v>16.687999999999999</v>
      </c>
      <c r="E26">
        <v>29.9</v>
      </c>
    </row>
    <row r="27" spans="1:5" x14ac:dyDescent="0.35">
      <c r="A27" s="66">
        <v>21582</v>
      </c>
      <c r="B27">
        <v>16.056999999999999</v>
      </c>
      <c r="C27">
        <v>16.701000000000001</v>
      </c>
      <c r="E27">
        <v>29.9</v>
      </c>
    </row>
    <row r="28" spans="1:5" x14ac:dyDescent="0.35">
      <c r="A28" s="66">
        <v>21610</v>
      </c>
      <c r="B28">
        <v>16.068000000000001</v>
      </c>
      <c r="C28">
        <v>16.719000000000001</v>
      </c>
      <c r="E28">
        <v>30</v>
      </c>
    </row>
    <row r="29" spans="1:5" x14ac:dyDescent="0.35">
      <c r="A29" s="66">
        <v>21641</v>
      </c>
      <c r="B29">
        <v>16.100000000000001</v>
      </c>
      <c r="C29">
        <v>16.762</v>
      </c>
      <c r="E29">
        <v>30</v>
      </c>
    </row>
    <row r="30" spans="1:5" x14ac:dyDescent="0.35">
      <c r="A30" s="66">
        <v>21671</v>
      </c>
      <c r="B30">
        <v>16.109000000000002</v>
      </c>
      <c r="C30">
        <v>16.783000000000001</v>
      </c>
      <c r="E30">
        <v>30.1</v>
      </c>
    </row>
    <row r="31" spans="1:5" x14ac:dyDescent="0.35">
      <c r="A31" s="66">
        <v>21702</v>
      </c>
      <c r="B31">
        <v>16.155000000000001</v>
      </c>
      <c r="C31">
        <v>16.832000000000001</v>
      </c>
      <c r="E31">
        <v>30.2</v>
      </c>
    </row>
    <row r="32" spans="1:5" x14ac:dyDescent="0.35">
      <c r="A32" s="66">
        <v>21732</v>
      </c>
      <c r="B32">
        <v>16.189</v>
      </c>
      <c r="C32">
        <v>16.870999999999999</v>
      </c>
      <c r="E32">
        <v>30.2</v>
      </c>
    </row>
    <row r="33" spans="1:5" x14ac:dyDescent="0.35">
      <c r="A33" s="66">
        <v>21763</v>
      </c>
      <c r="B33">
        <v>16.212</v>
      </c>
      <c r="C33">
        <v>16.899000000000001</v>
      </c>
      <c r="E33">
        <v>30.2</v>
      </c>
    </row>
    <row r="34" spans="1:5" x14ac:dyDescent="0.35">
      <c r="A34" s="66">
        <v>21794</v>
      </c>
      <c r="B34">
        <v>16.254999999999999</v>
      </c>
      <c r="C34">
        <v>16.943000000000001</v>
      </c>
      <c r="E34">
        <v>30.3</v>
      </c>
    </row>
    <row r="35" spans="1:5" x14ac:dyDescent="0.35">
      <c r="A35" s="66">
        <v>21824</v>
      </c>
      <c r="B35">
        <v>16.294</v>
      </c>
      <c r="C35">
        <v>16.972000000000001</v>
      </c>
      <c r="E35">
        <v>30.4</v>
      </c>
    </row>
    <row r="36" spans="1:5" x14ac:dyDescent="0.35">
      <c r="A36" s="66">
        <v>21855</v>
      </c>
      <c r="B36">
        <v>16.303999999999998</v>
      </c>
      <c r="C36">
        <v>17.003</v>
      </c>
      <c r="E36">
        <v>30.4</v>
      </c>
    </row>
    <row r="37" spans="1:5" x14ac:dyDescent="0.35">
      <c r="A37" s="66">
        <v>21885</v>
      </c>
      <c r="B37">
        <v>16.323</v>
      </c>
      <c r="C37">
        <v>17.029</v>
      </c>
      <c r="E37">
        <v>30.5</v>
      </c>
    </row>
    <row r="38" spans="1:5" x14ac:dyDescent="0.35">
      <c r="A38" s="66">
        <v>21916</v>
      </c>
      <c r="B38">
        <v>16.314</v>
      </c>
      <c r="C38">
        <v>17.033000000000001</v>
      </c>
      <c r="E38">
        <v>30.5</v>
      </c>
    </row>
    <row r="39" spans="1:5" x14ac:dyDescent="0.35">
      <c r="A39" s="66">
        <v>21947</v>
      </c>
      <c r="B39">
        <v>16.331</v>
      </c>
      <c r="C39">
        <v>17.065000000000001</v>
      </c>
      <c r="E39">
        <v>30.6</v>
      </c>
    </row>
    <row r="40" spans="1:5" x14ac:dyDescent="0.35">
      <c r="A40" s="66">
        <v>21976</v>
      </c>
      <c r="B40">
        <v>16.34</v>
      </c>
      <c r="C40">
        <v>17.067</v>
      </c>
      <c r="E40">
        <v>30.6</v>
      </c>
    </row>
    <row r="41" spans="1:5" x14ac:dyDescent="0.35">
      <c r="A41" s="66">
        <v>22007</v>
      </c>
      <c r="B41">
        <v>16.399999999999999</v>
      </c>
      <c r="C41">
        <v>17.097999999999999</v>
      </c>
      <c r="E41">
        <v>30.6</v>
      </c>
    </row>
    <row r="42" spans="1:5" x14ac:dyDescent="0.35">
      <c r="A42" s="66">
        <v>22037</v>
      </c>
      <c r="B42">
        <v>16.417000000000002</v>
      </c>
      <c r="C42">
        <v>17.125</v>
      </c>
      <c r="E42">
        <v>30.6</v>
      </c>
    </row>
    <row r="43" spans="1:5" x14ac:dyDescent="0.35">
      <c r="A43" s="66">
        <v>22068</v>
      </c>
      <c r="B43">
        <v>16.423999999999999</v>
      </c>
      <c r="C43">
        <v>17.135999999999999</v>
      </c>
      <c r="E43">
        <v>30.7</v>
      </c>
    </row>
    <row r="44" spans="1:5" x14ac:dyDescent="0.35">
      <c r="A44" s="66">
        <v>22098</v>
      </c>
      <c r="B44">
        <v>16.452999999999999</v>
      </c>
      <c r="C44">
        <v>17.166</v>
      </c>
      <c r="E44">
        <v>30.6</v>
      </c>
    </row>
    <row r="45" spans="1:5" x14ac:dyDescent="0.35">
      <c r="A45" s="66">
        <v>22129</v>
      </c>
      <c r="B45">
        <v>16.481000000000002</v>
      </c>
      <c r="C45">
        <v>17.190999999999999</v>
      </c>
      <c r="E45">
        <v>30.6</v>
      </c>
    </row>
    <row r="46" spans="1:5" x14ac:dyDescent="0.35">
      <c r="A46" s="66">
        <v>22160</v>
      </c>
      <c r="B46">
        <v>16.491</v>
      </c>
      <c r="C46">
        <v>17.204000000000001</v>
      </c>
      <c r="E46">
        <v>30.6</v>
      </c>
    </row>
    <row r="47" spans="1:5" x14ac:dyDescent="0.35">
      <c r="A47" s="66">
        <v>22190</v>
      </c>
      <c r="B47">
        <v>16.510000000000002</v>
      </c>
      <c r="C47">
        <v>17.213999999999999</v>
      </c>
      <c r="E47">
        <v>30.8</v>
      </c>
    </row>
    <row r="48" spans="1:5" x14ac:dyDescent="0.35">
      <c r="A48" s="66">
        <v>22221</v>
      </c>
      <c r="B48">
        <v>16.565000000000001</v>
      </c>
      <c r="C48">
        <v>17.260000000000002</v>
      </c>
      <c r="E48">
        <v>30.8</v>
      </c>
    </row>
    <row r="49" spans="1:5" x14ac:dyDescent="0.35">
      <c r="A49" s="66">
        <v>22251</v>
      </c>
      <c r="B49">
        <v>16.568999999999999</v>
      </c>
      <c r="C49">
        <v>17.254999999999999</v>
      </c>
      <c r="E49">
        <v>30.7</v>
      </c>
    </row>
    <row r="50" spans="1:5" x14ac:dyDescent="0.35">
      <c r="A50" s="66">
        <v>22282</v>
      </c>
      <c r="B50">
        <v>16.571000000000002</v>
      </c>
      <c r="C50">
        <v>17.259</v>
      </c>
      <c r="E50">
        <v>30.8</v>
      </c>
    </row>
    <row r="51" spans="1:5" x14ac:dyDescent="0.35">
      <c r="A51" s="66">
        <v>22313</v>
      </c>
      <c r="B51">
        <v>16.587</v>
      </c>
      <c r="C51">
        <v>17.276</v>
      </c>
      <c r="E51">
        <v>30.8</v>
      </c>
    </row>
    <row r="52" spans="1:5" x14ac:dyDescent="0.35">
      <c r="A52" s="66">
        <v>22341</v>
      </c>
      <c r="B52">
        <v>16.577999999999999</v>
      </c>
      <c r="C52">
        <v>17.282</v>
      </c>
      <c r="E52">
        <v>30.9</v>
      </c>
    </row>
    <row r="53" spans="1:5" x14ac:dyDescent="0.35">
      <c r="A53" s="66">
        <v>22372</v>
      </c>
      <c r="B53">
        <v>16.568000000000001</v>
      </c>
      <c r="C53">
        <v>17.306000000000001</v>
      </c>
      <c r="E53">
        <v>30.9</v>
      </c>
    </row>
    <row r="54" spans="1:5" x14ac:dyDescent="0.35">
      <c r="A54" s="66">
        <v>22402</v>
      </c>
      <c r="B54">
        <v>16.577000000000002</v>
      </c>
      <c r="C54">
        <v>17.327999999999999</v>
      </c>
      <c r="E54">
        <v>30.9</v>
      </c>
    </row>
    <row r="55" spans="1:5" x14ac:dyDescent="0.35">
      <c r="A55" s="66">
        <v>22433</v>
      </c>
      <c r="B55">
        <v>16.585000000000001</v>
      </c>
      <c r="C55">
        <v>17.353999999999999</v>
      </c>
      <c r="E55">
        <v>31</v>
      </c>
    </row>
    <row r="56" spans="1:5" x14ac:dyDescent="0.35">
      <c r="A56" s="66">
        <v>22463</v>
      </c>
      <c r="B56">
        <v>16.620999999999999</v>
      </c>
      <c r="C56">
        <v>17.381</v>
      </c>
      <c r="E56">
        <v>31</v>
      </c>
    </row>
    <row r="57" spans="1:5" x14ac:dyDescent="0.35">
      <c r="A57" s="66">
        <v>22494</v>
      </c>
      <c r="B57">
        <v>16.635000000000002</v>
      </c>
      <c r="C57">
        <v>17.399000000000001</v>
      </c>
      <c r="E57">
        <v>31.1</v>
      </c>
    </row>
    <row r="58" spans="1:5" x14ac:dyDescent="0.35">
      <c r="A58" s="66">
        <v>22525</v>
      </c>
      <c r="B58">
        <v>16.654</v>
      </c>
      <c r="C58">
        <v>17.434000000000001</v>
      </c>
      <c r="E58">
        <v>31.1</v>
      </c>
    </row>
    <row r="59" spans="1:5" x14ac:dyDescent="0.35">
      <c r="A59" s="66">
        <v>22555</v>
      </c>
      <c r="B59">
        <v>16.652000000000001</v>
      </c>
      <c r="C59">
        <v>17.440000000000001</v>
      </c>
      <c r="E59">
        <v>31.1</v>
      </c>
    </row>
    <row r="60" spans="1:5" x14ac:dyDescent="0.35">
      <c r="A60" s="66">
        <v>22586</v>
      </c>
      <c r="B60">
        <v>16.652999999999999</v>
      </c>
      <c r="C60">
        <v>17.443000000000001</v>
      </c>
      <c r="E60">
        <v>31.2</v>
      </c>
    </row>
    <row r="61" spans="1:5" x14ac:dyDescent="0.35">
      <c r="A61" s="66">
        <v>22616</v>
      </c>
      <c r="B61">
        <v>16.658000000000001</v>
      </c>
      <c r="C61">
        <v>17.457999999999998</v>
      </c>
      <c r="E61">
        <v>31.2</v>
      </c>
    </row>
    <row r="62" spans="1:5" x14ac:dyDescent="0.35">
      <c r="A62" s="66">
        <v>22647</v>
      </c>
      <c r="B62">
        <v>16.689</v>
      </c>
      <c r="C62">
        <v>17.478000000000002</v>
      </c>
      <c r="E62">
        <v>31.2</v>
      </c>
    </row>
    <row r="63" spans="1:5" x14ac:dyDescent="0.35">
      <c r="A63" s="66">
        <v>22678</v>
      </c>
      <c r="B63">
        <v>16.734000000000002</v>
      </c>
      <c r="C63">
        <v>17.507000000000001</v>
      </c>
      <c r="E63">
        <v>31.2</v>
      </c>
    </row>
    <row r="64" spans="1:5" x14ac:dyDescent="0.35">
      <c r="A64" s="66">
        <v>22706</v>
      </c>
      <c r="B64">
        <v>16.756</v>
      </c>
      <c r="C64">
        <v>17.547999999999998</v>
      </c>
      <c r="E64">
        <v>31.3</v>
      </c>
    </row>
    <row r="65" spans="1:5" x14ac:dyDescent="0.35">
      <c r="A65" s="66">
        <v>22737</v>
      </c>
      <c r="B65">
        <v>16.774999999999999</v>
      </c>
      <c r="C65">
        <v>17.550999999999998</v>
      </c>
      <c r="E65">
        <v>31.3</v>
      </c>
    </row>
    <row r="66" spans="1:5" x14ac:dyDescent="0.35">
      <c r="A66" s="66">
        <v>22767</v>
      </c>
      <c r="B66">
        <v>16.786000000000001</v>
      </c>
      <c r="C66">
        <v>17.576000000000001</v>
      </c>
      <c r="E66">
        <v>31.4</v>
      </c>
    </row>
    <row r="67" spans="1:5" x14ac:dyDescent="0.35">
      <c r="A67" s="66">
        <v>22798</v>
      </c>
      <c r="B67">
        <v>16.795999999999999</v>
      </c>
      <c r="C67">
        <v>17.608000000000001</v>
      </c>
      <c r="E67">
        <v>31.4</v>
      </c>
    </row>
    <row r="68" spans="1:5" x14ac:dyDescent="0.35">
      <c r="A68" s="66">
        <v>22828</v>
      </c>
      <c r="B68">
        <v>16.786999999999999</v>
      </c>
      <c r="C68">
        <v>17.623000000000001</v>
      </c>
      <c r="E68">
        <v>31.4</v>
      </c>
    </row>
    <row r="69" spans="1:5" x14ac:dyDescent="0.35">
      <c r="A69" s="66">
        <v>22859</v>
      </c>
      <c r="B69">
        <v>16.811</v>
      </c>
      <c r="C69">
        <v>17.626000000000001</v>
      </c>
      <c r="E69">
        <v>31.5</v>
      </c>
    </row>
    <row r="70" spans="1:5" x14ac:dyDescent="0.35">
      <c r="A70" s="66">
        <v>22890</v>
      </c>
      <c r="B70">
        <v>16.893999999999998</v>
      </c>
      <c r="C70">
        <v>17.66</v>
      </c>
      <c r="E70">
        <v>31.5</v>
      </c>
    </row>
    <row r="71" spans="1:5" x14ac:dyDescent="0.35">
      <c r="A71" s="66">
        <v>22920</v>
      </c>
      <c r="B71">
        <v>16.876000000000001</v>
      </c>
      <c r="C71">
        <v>17.658999999999999</v>
      </c>
      <c r="E71">
        <v>31.5</v>
      </c>
    </row>
    <row r="72" spans="1:5" x14ac:dyDescent="0.35">
      <c r="A72" s="66">
        <v>22951</v>
      </c>
      <c r="B72">
        <v>16.888999999999999</v>
      </c>
      <c r="C72">
        <v>17.672000000000001</v>
      </c>
      <c r="E72">
        <v>31.5</v>
      </c>
    </row>
    <row r="73" spans="1:5" x14ac:dyDescent="0.35">
      <c r="A73" s="66">
        <v>22981</v>
      </c>
      <c r="B73">
        <v>16.882000000000001</v>
      </c>
      <c r="C73">
        <v>17.677</v>
      </c>
      <c r="E73">
        <v>31.6</v>
      </c>
    </row>
    <row r="74" spans="1:5" x14ac:dyDescent="0.35">
      <c r="A74" s="66">
        <v>23012</v>
      </c>
      <c r="B74">
        <v>16.922999999999998</v>
      </c>
      <c r="C74">
        <v>17.710999999999999</v>
      </c>
      <c r="E74">
        <v>31.5</v>
      </c>
    </row>
    <row r="75" spans="1:5" x14ac:dyDescent="0.35">
      <c r="A75" s="66">
        <v>23043</v>
      </c>
      <c r="B75">
        <v>16.940999999999999</v>
      </c>
      <c r="C75">
        <v>17.731000000000002</v>
      </c>
      <c r="E75">
        <v>31.6</v>
      </c>
    </row>
    <row r="76" spans="1:5" x14ac:dyDescent="0.35">
      <c r="A76" s="66">
        <v>23071</v>
      </c>
      <c r="B76">
        <v>16.928000000000001</v>
      </c>
      <c r="C76">
        <v>17.742000000000001</v>
      </c>
      <c r="E76">
        <v>31.7</v>
      </c>
    </row>
    <row r="77" spans="1:5" x14ac:dyDescent="0.35">
      <c r="A77" s="66">
        <v>23102</v>
      </c>
      <c r="B77">
        <v>16.927</v>
      </c>
      <c r="C77">
        <v>17.763000000000002</v>
      </c>
      <c r="E77">
        <v>31.7</v>
      </c>
    </row>
    <row r="78" spans="1:5" x14ac:dyDescent="0.35">
      <c r="A78" s="66">
        <v>23132</v>
      </c>
      <c r="B78">
        <v>16.954000000000001</v>
      </c>
      <c r="C78">
        <v>17.795000000000002</v>
      </c>
      <c r="E78">
        <v>31.7</v>
      </c>
    </row>
    <row r="79" spans="1:5" x14ac:dyDescent="0.35">
      <c r="A79" s="66">
        <v>23163</v>
      </c>
      <c r="B79">
        <v>16.991</v>
      </c>
      <c r="C79">
        <v>17.826000000000001</v>
      </c>
      <c r="E79">
        <v>31.8</v>
      </c>
    </row>
    <row r="80" spans="1:5" x14ac:dyDescent="0.35">
      <c r="A80" s="66">
        <v>23193</v>
      </c>
      <c r="B80">
        <v>17.024999999999999</v>
      </c>
      <c r="C80">
        <v>17.841999999999999</v>
      </c>
      <c r="E80">
        <v>31.8</v>
      </c>
    </row>
    <row r="81" spans="1:5" x14ac:dyDescent="0.35">
      <c r="A81" s="66">
        <v>23224</v>
      </c>
      <c r="B81">
        <v>17.047999999999998</v>
      </c>
      <c r="C81">
        <v>17.858000000000001</v>
      </c>
      <c r="E81">
        <v>31.9</v>
      </c>
    </row>
    <row r="82" spans="1:5" x14ac:dyDescent="0.35">
      <c r="A82" s="66">
        <v>23255</v>
      </c>
      <c r="B82">
        <v>17.044</v>
      </c>
      <c r="C82">
        <v>17.89</v>
      </c>
      <c r="E82">
        <v>31.9</v>
      </c>
    </row>
    <row r="83" spans="1:5" x14ac:dyDescent="0.35">
      <c r="A83" s="66">
        <v>23285</v>
      </c>
      <c r="B83">
        <v>17.077999999999999</v>
      </c>
      <c r="C83">
        <v>17.93</v>
      </c>
      <c r="E83">
        <v>32</v>
      </c>
    </row>
    <row r="84" spans="1:5" x14ac:dyDescent="0.35">
      <c r="A84" s="66">
        <v>23316</v>
      </c>
      <c r="B84">
        <v>17.102</v>
      </c>
      <c r="C84">
        <v>17.946999999999999</v>
      </c>
      <c r="E84">
        <v>32</v>
      </c>
    </row>
    <row r="85" spans="1:5" x14ac:dyDescent="0.35">
      <c r="A85" s="66">
        <v>23346</v>
      </c>
      <c r="B85">
        <v>17.126999999999999</v>
      </c>
      <c r="C85">
        <v>17.972000000000001</v>
      </c>
      <c r="E85">
        <v>32.1</v>
      </c>
    </row>
    <row r="86" spans="1:5" x14ac:dyDescent="0.35">
      <c r="A86" s="66">
        <v>23377</v>
      </c>
      <c r="B86">
        <v>17.163</v>
      </c>
      <c r="C86">
        <v>17.997</v>
      </c>
      <c r="E86">
        <v>32.200000000000003</v>
      </c>
    </row>
    <row r="87" spans="1:5" x14ac:dyDescent="0.35">
      <c r="A87" s="66">
        <v>23408</v>
      </c>
      <c r="B87">
        <v>17.187999999999999</v>
      </c>
      <c r="C87">
        <v>18.030999999999999</v>
      </c>
      <c r="E87">
        <v>32.200000000000003</v>
      </c>
    </row>
    <row r="88" spans="1:5" x14ac:dyDescent="0.35">
      <c r="A88" s="66">
        <v>23437</v>
      </c>
      <c r="B88">
        <v>17.198</v>
      </c>
      <c r="C88">
        <v>18.047999999999998</v>
      </c>
      <c r="E88">
        <v>32.200000000000003</v>
      </c>
    </row>
    <row r="89" spans="1:5" x14ac:dyDescent="0.35">
      <c r="A89" s="66">
        <v>23468</v>
      </c>
      <c r="B89">
        <v>17.210999999999999</v>
      </c>
      <c r="C89">
        <v>18.065000000000001</v>
      </c>
      <c r="E89">
        <v>32.200000000000003</v>
      </c>
    </row>
    <row r="90" spans="1:5" x14ac:dyDescent="0.35">
      <c r="A90" s="66">
        <v>23498</v>
      </c>
      <c r="B90">
        <v>17.213000000000001</v>
      </c>
      <c r="C90">
        <v>18.079999999999998</v>
      </c>
      <c r="E90">
        <v>32.200000000000003</v>
      </c>
    </row>
    <row r="91" spans="1:5" x14ac:dyDescent="0.35">
      <c r="A91" s="66">
        <v>23529</v>
      </c>
      <c r="B91">
        <v>17.236999999999998</v>
      </c>
      <c r="C91">
        <v>18.093</v>
      </c>
      <c r="E91">
        <v>32.299999999999997</v>
      </c>
    </row>
    <row r="92" spans="1:5" x14ac:dyDescent="0.35">
      <c r="A92" s="66">
        <v>23559</v>
      </c>
      <c r="B92">
        <v>17.259</v>
      </c>
      <c r="C92">
        <v>18.111000000000001</v>
      </c>
      <c r="E92">
        <v>32.299999999999997</v>
      </c>
    </row>
    <row r="93" spans="1:5" x14ac:dyDescent="0.35">
      <c r="A93" s="66">
        <v>23590</v>
      </c>
      <c r="B93">
        <v>17.273</v>
      </c>
      <c r="C93">
        <v>18.135000000000002</v>
      </c>
      <c r="E93">
        <v>32.299999999999997</v>
      </c>
    </row>
    <row r="94" spans="1:5" x14ac:dyDescent="0.35">
      <c r="A94" s="66">
        <v>23621</v>
      </c>
      <c r="B94">
        <v>17.298999999999999</v>
      </c>
      <c r="C94">
        <v>18.143000000000001</v>
      </c>
      <c r="E94">
        <v>32.299999999999997</v>
      </c>
    </row>
    <row r="95" spans="1:5" x14ac:dyDescent="0.35">
      <c r="A95" s="66">
        <v>23651</v>
      </c>
      <c r="B95">
        <v>17.309999999999999</v>
      </c>
      <c r="C95">
        <v>18.149000000000001</v>
      </c>
      <c r="E95">
        <v>32.4</v>
      </c>
    </row>
    <row r="96" spans="1:5" x14ac:dyDescent="0.35">
      <c r="A96" s="66">
        <v>23682</v>
      </c>
      <c r="B96">
        <v>17.334</v>
      </c>
      <c r="C96">
        <v>18.175999999999998</v>
      </c>
      <c r="E96">
        <v>32.5</v>
      </c>
    </row>
    <row r="97" spans="1:5" x14ac:dyDescent="0.35">
      <c r="A97" s="66">
        <v>23712</v>
      </c>
      <c r="B97">
        <v>17.359000000000002</v>
      </c>
      <c r="C97">
        <v>18.201000000000001</v>
      </c>
      <c r="E97">
        <v>32.5</v>
      </c>
    </row>
    <row r="98" spans="1:5" x14ac:dyDescent="0.35">
      <c r="A98" s="66">
        <v>23743</v>
      </c>
      <c r="B98">
        <v>17.378</v>
      </c>
      <c r="C98">
        <v>18.225999999999999</v>
      </c>
      <c r="E98">
        <v>32.6</v>
      </c>
    </row>
    <row r="99" spans="1:5" x14ac:dyDescent="0.35">
      <c r="A99" s="66">
        <v>23774</v>
      </c>
      <c r="B99">
        <v>17.385000000000002</v>
      </c>
      <c r="C99">
        <v>18.248000000000001</v>
      </c>
      <c r="E99">
        <v>32.6</v>
      </c>
    </row>
    <row r="100" spans="1:5" x14ac:dyDescent="0.35">
      <c r="A100" s="66">
        <v>23802</v>
      </c>
      <c r="B100">
        <v>17.408000000000001</v>
      </c>
      <c r="C100">
        <v>18.257999999999999</v>
      </c>
      <c r="E100">
        <v>32.6</v>
      </c>
    </row>
    <row r="101" spans="1:5" x14ac:dyDescent="0.35">
      <c r="A101" s="66">
        <v>23833</v>
      </c>
      <c r="B101">
        <v>17.434999999999999</v>
      </c>
      <c r="C101">
        <v>18.28</v>
      </c>
      <c r="E101">
        <v>32.700000000000003</v>
      </c>
    </row>
    <row r="102" spans="1:5" x14ac:dyDescent="0.35">
      <c r="A102" s="66">
        <v>23863</v>
      </c>
      <c r="B102">
        <v>17.474</v>
      </c>
      <c r="C102">
        <v>18.314</v>
      </c>
      <c r="E102">
        <v>32.700000000000003</v>
      </c>
    </row>
    <row r="103" spans="1:5" x14ac:dyDescent="0.35">
      <c r="A103" s="66">
        <v>23894</v>
      </c>
      <c r="B103">
        <v>17.524999999999999</v>
      </c>
      <c r="C103">
        <v>18.309000000000001</v>
      </c>
      <c r="E103">
        <v>32.700000000000003</v>
      </c>
    </row>
    <row r="104" spans="1:5" x14ac:dyDescent="0.35">
      <c r="A104" s="66">
        <v>23924</v>
      </c>
      <c r="B104">
        <v>17.538</v>
      </c>
      <c r="C104">
        <v>18.327000000000002</v>
      </c>
      <c r="E104">
        <v>32.700000000000003</v>
      </c>
    </row>
    <row r="105" spans="1:5" x14ac:dyDescent="0.35">
      <c r="A105" s="66">
        <v>23955</v>
      </c>
      <c r="B105">
        <v>17.542000000000002</v>
      </c>
      <c r="C105">
        <v>18.361999999999998</v>
      </c>
      <c r="E105">
        <v>32.700000000000003</v>
      </c>
    </row>
    <row r="106" spans="1:5" x14ac:dyDescent="0.35">
      <c r="A106" s="66">
        <v>23986</v>
      </c>
      <c r="B106">
        <v>17.55</v>
      </c>
      <c r="C106">
        <v>18.384</v>
      </c>
      <c r="E106">
        <v>32.799999999999997</v>
      </c>
    </row>
    <row r="107" spans="1:5" x14ac:dyDescent="0.35">
      <c r="A107" s="66">
        <v>24016</v>
      </c>
      <c r="B107">
        <v>17.556000000000001</v>
      </c>
      <c r="C107">
        <v>18.376999999999999</v>
      </c>
      <c r="E107">
        <v>32.799999999999997</v>
      </c>
    </row>
    <row r="108" spans="1:5" x14ac:dyDescent="0.35">
      <c r="A108" s="66">
        <v>24047</v>
      </c>
      <c r="B108">
        <v>17.585000000000001</v>
      </c>
      <c r="C108">
        <v>18.411000000000001</v>
      </c>
      <c r="E108">
        <v>32.9</v>
      </c>
    </row>
    <row r="109" spans="1:5" x14ac:dyDescent="0.35">
      <c r="A109" s="66">
        <v>24077</v>
      </c>
      <c r="B109">
        <v>17.649000000000001</v>
      </c>
      <c r="C109">
        <v>18.466999999999999</v>
      </c>
      <c r="E109">
        <v>33</v>
      </c>
    </row>
    <row r="110" spans="1:5" x14ac:dyDescent="0.35">
      <c r="A110" s="66">
        <v>24108</v>
      </c>
      <c r="B110">
        <v>17.670000000000002</v>
      </c>
      <c r="C110">
        <v>18.472999999999999</v>
      </c>
      <c r="E110">
        <v>33</v>
      </c>
    </row>
    <row r="111" spans="1:5" x14ac:dyDescent="0.35">
      <c r="A111" s="66">
        <v>24139</v>
      </c>
      <c r="B111">
        <v>17.742999999999999</v>
      </c>
      <c r="C111">
        <v>18.518000000000001</v>
      </c>
      <c r="E111">
        <v>33.1</v>
      </c>
    </row>
    <row r="112" spans="1:5" x14ac:dyDescent="0.35">
      <c r="A112" s="66">
        <v>24167</v>
      </c>
      <c r="B112">
        <v>17.786000000000001</v>
      </c>
      <c r="C112">
        <v>18.542000000000002</v>
      </c>
      <c r="E112">
        <v>33.1</v>
      </c>
    </row>
    <row r="113" spans="1:5" x14ac:dyDescent="0.35">
      <c r="A113" s="66">
        <v>24198</v>
      </c>
      <c r="B113">
        <v>17.847999999999999</v>
      </c>
      <c r="C113">
        <v>18.608000000000001</v>
      </c>
      <c r="E113">
        <v>33.299999999999997</v>
      </c>
    </row>
    <row r="114" spans="1:5" x14ac:dyDescent="0.35">
      <c r="A114" s="66">
        <v>24228</v>
      </c>
      <c r="B114">
        <v>17.87</v>
      </c>
      <c r="C114">
        <v>18.657</v>
      </c>
      <c r="E114">
        <v>33.4</v>
      </c>
    </row>
    <row r="115" spans="1:5" x14ac:dyDescent="0.35">
      <c r="A115" s="66">
        <v>24259</v>
      </c>
      <c r="B115">
        <v>17.914999999999999</v>
      </c>
      <c r="C115">
        <v>18.718</v>
      </c>
      <c r="E115">
        <v>33.5</v>
      </c>
    </row>
    <row r="116" spans="1:5" x14ac:dyDescent="0.35">
      <c r="A116" s="66">
        <v>24289</v>
      </c>
      <c r="B116">
        <v>17.949000000000002</v>
      </c>
      <c r="C116">
        <v>18.773</v>
      </c>
      <c r="E116">
        <v>33.6</v>
      </c>
    </row>
    <row r="117" spans="1:5" x14ac:dyDescent="0.35">
      <c r="A117" s="66">
        <v>24320</v>
      </c>
      <c r="B117">
        <v>18.018000000000001</v>
      </c>
      <c r="C117">
        <v>18.806999999999999</v>
      </c>
      <c r="E117">
        <v>33.700000000000003</v>
      </c>
    </row>
    <row r="118" spans="1:5" x14ac:dyDescent="0.35">
      <c r="A118" s="66">
        <v>24351</v>
      </c>
      <c r="B118">
        <v>18.074999999999999</v>
      </c>
      <c r="C118">
        <v>18.864999999999998</v>
      </c>
      <c r="E118">
        <v>33.799999999999997</v>
      </c>
    </row>
    <row r="119" spans="1:5" x14ac:dyDescent="0.35">
      <c r="A119" s="66">
        <v>24381</v>
      </c>
      <c r="B119">
        <v>18.123000000000001</v>
      </c>
      <c r="C119">
        <v>18.927</v>
      </c>
      <c r="E119">
        <v>34</v>
      </c>
    </row>
    <row r="120" spans="1:5" x14ac:dyDescent="0.35">
      <c r="A120" s="66">
        <v>24412</v>
      </c>
      <c r="B120">
        <v>18.149999999999999</v>
      </c>
      <c r="C120">
        <v>18.975000000000001</v>
      </c>
      <c r="E120">
        <v>34</v>
      </c>
    </row>
    <row r="121" spans="1:5" x14ac:dyDescent="0.35">
      <c r="A121" s="66">
        <v>24442</v>
      </c>
      <c r="B121">
        <v>18.187000000000001</v>
      </c>
      <c r="C121">
        <v>19.032</v>
      </c>
      <c r="E121">
        <v>34.1</v>
      </c>
    </row>
    <row r="122" spans="1:5" x14ac:dyDescent="0.35">
      <c r="A122" s="66">
        <v>24473</v>
      </c>
      <c r="B122">
        <v>18.187999999999999</v>
      </c>
      <c r="C122">
        <v>19.05</v>
      </c>
      <c r="E122">
        <v>34.200000000000003</v>
      </c>
    </row>
    <row r="123" spans="1:5" x14ac:dyDescent="0.35">
      <c r="A123" s="66">
        <v>24504</v>
      </c>
      <c r="B123">
        <v>18.209</v>
      </c>
      <c r="C123">
        <v>19.084</v>
      </c>
      <c r="E123">
        <v>34.200000000000003</v>
      </c>
    </row>
    <row r="124" spans="1:5" x14ac:dyDescent="0.35">
      <c r="A124" s="66">
        <v>24532</v>
      </c>
      <c r="B124">
        <v>18.22</v>
      </c>
      <c r="C124">
        <v>19.113</v>
      </c>
      <c r="E124">
        <v>34.299999999999997</v>
      </c>
    </row>
    <row r="125" spans="1:5" x14ac:dyDescent="0.35">
      <c r="A125" s="66">
        <v>24563</v>
      </c>
      <c r="B125">
        <v>18.248999999999999</v>
      </c>
      <c r="C125">
        <v>19.164999999999999</v>
      </c>
      <c r="E125">
        <v>34.4</v>
      </c>
    </row>
    <row r="126" spans="1:5" x14ac:dyDescent="0.35">
      <c r="A126" s="66">
        <v>24593</v>
      </c>
      <c r="B126">
        <v>18.285</v>
      </c>
      <c r="C126">
        <v>19.207999999999998</v>
      </c>
      <c r="E126">
        <v>34.5</v>
      </c>
    </row>
    <row r="127" spans="1:5" x14ac:dyDescent="0.35">
      <c r="A127" s="66">
        <v>24624</v>
      </c>
      <c r="B127">
        <v>18.343</v>
      </c>
      <c r="C127">
        <v>19.257000000000001</v>
      </c>
      <c r="E127">
        <v>34.6</v>
      </c>
    </row>
    <row r="128" spans="1:5" x14ac:dyDescent="0.35">
      <c r="A128" s="66">
        <v>24654</v>
      </c>
      <c r="B128">
        <v>18.405000000000001</v>
      </c>
      <c r="C128">
        <v>19.321999999999999</v>
      </c>
      <c r="E128">
        <v>34.700000000000003</v>
      </c>
    </row>
    <row r="129" spans="1:5" x14ac:dyDescent="0.35">
      <c r="A129" s="66">
        <v>24685</v>
      </c>
      <c r="B129">
        <v>18.463000000000001</v>
      </c>
      <c r="C129">
        <v>19.382000000000001</v>
      </c>
      <c r="E129">
        <v>34.9</v>
      </c>
    </row>
    <row r="130" spans="1:5" x14ac:dyDescent="0.35">
      <c r="A130" s="66">
        <v>24716</v>
      </c>
      <c r="B130">
        <v>18.518999999999998</v>
      </c>
      <c r="C130">
        <v>19.45</v>
      </c>
      <c r="E130">
        <v>35</v>
      </c>
    </row>
    <row r="131" spans="1:5" x14ac:dyDescent="0.35">
      <c r="A131" s="66">
        <v>24746</v>
      </c>
      <c r="B131">
        <v>18.57</v>
      </c>
      <c r="C131">
        <v>19.523</v>
      </c>
      <c r="E131">
        <v>35.1</v>
      </c>
    </row>
    <row r="132" spans="1:5" x14ac:dyDescent="0.35">
      <c r="A132" s="66">
        <v>24777</v>
      </c>
      <c r="B132">
        <v>18.632000000000001</v>
      </c>
      <c r="C132">
        <v>19.585000000000001</v>
      </c>
      <c r="E132">
        <v>35.200000000000003</v>
      </c>
    </row>
    <row r="133" spans="1:5" x14ac:dyDescent="0.35">
      <c r="A133" s="66">
        <v>24807</v>
      </c>
      <c r="B133">
        <v>18.661000000000001</v>
      </c>
      <c r="C133">
        <v>19.632999999999999</v>
      </c>
      <c r="E133">
        <v>35.4</v>
      </c>
    </row>
    <row r="134" spans="1:5" x14ac:dyDescent="0.35">
      <c r="A134" s="66">
        <v>24838</v>
      </c>
      <c r="B134">
        <v>18.748000000000001</v>
      </c>
      <c r="C134">
        <v>19.72</v>
      </c>
      <c r="E134">
        <v>35.5</v>
      </c>
    </row>
    <row r="135" spans="1:5" x14ac:dyDescent="0.35">
      <c r="A135" s="66">
        <v>24869</v>
      </c>
      <c r="B135">
        <v>18.824000000000002</v>
      </c>
      <c r="C135">
        <v>19.805</v>
      </c>
      <c r="E135">
        <v>35.700000000000003</v>
      </c>
    </row>
    <row r="136" spans="1:5" x14ac:dyDescent="0.35">
      <c r="A136" s="66">
        <v>24898</v>
      </c>
      <c r="B136">
        <v>18.885999999999999</v>
      </c>
      <c r="C136">
        <v>19.884</v>
      </c>
      <c r="E136">
        <v>35.799999999999997</v>
      </c>
    </row>
    <row r="137" spans="1:5" x14ac:dyDescent="0.35">
      <c r="A137" s="66">
        <v>24929</v>
      </c>
      <c r="B137">
        <v>18.945</v>
      </c>
      <c r="C137">
        <v>19.957000000000001</v>
      </c>
      <c r="E137">
        <v>35.9</v>
      </c>
    </row>
    <row r="138" spans="1:5" x14ac:dyDescent="0.35">
      <c r="A138" s="66">
        <v>24959</v>
      </c>
      <c r="B138">
        <v>19.015000000000001</v>
      </c>
      <c r="C138">
        <v>20.033000000000001</v>
      </c>
      <c r="E138">
        <v>36</v>
      </c>
    </row>
    <row r="139" spans="1:5" x14ac:dyDescent="0.35">
      <c r="A139" s="66">
        <v>24990</v>
      </c>
      <c r="B139">
        <v>19.074999999999999</v>
      </c>
      <c r="C139">
        <v>20.111000000000001</v>
      </c>
      <c r="E139">
        <v>36.200000000000003</v>
      </c>
    </row>
    <row r="140" spans="1:5" x14ac:dyDescent="0.35">
      <c r="A140" s="66">
        <v>25020</v>
      </c>
      <c r="B140">
        <v>19.134</v>
      </c>
      <c r="C140">
        <v>20.178000000000001</v>
      </c>
      <c r="E140">
        <v>36.4</v>
      </c>
    </row>
    <row r="141" spans="1:5" x14ac:dyDescent="0.35">
      <c r="A141" s="66">
        <v>25051</v>
      </c>
      <c r="B141">
        <v>19.212</v>
      </c>
      <c r="C141">
        <v>20.257000000000001</v>
      </c>
      <c r="E141">
        <v>36.5</v>
      </c>
    </row>
    <row r="142" spans="1:5" x14ac:dyDescent="0.35">
      <c r="A142" s="66">
        <v>25082</v>
      </c>
      <c r="B142">
        <v>19.279</v>
      </c>
      <c r="C142">
        <v>20.338999999999999</v>
      </c>
      <c r="E142">
        <v>36.700000000000003</v>
      </c>
    </row>
    <row r="143" spans="1:5" x14ac:dyDescent="0.35">
      <c r="A143" s="66">
        <v>25112</v>
      </c>
      <c r="B143">
        <v>19.364000000000001</v>
      </c>
      <c r="C143">
        <v>20.422000000000001</v>
      </c>
      <c r="E143">
        <v>36.9</v>
      </c>
    </row>
    <row r="144" spans="1:5" x14ac:dyDescent="0.35">
      <c r="A144" s="66">
        <v>25143</v>
      </c>
      <c r="B144">
        <v>19.43</v>
      </c>
      <c r="C144">
        <v>20.498000000000001</v>
      </c>
      <c r="E144">
        <v>37.1</v>
      </c>
    </row>
    <row r="145" spans="1:5" x14ac:dyDescent="0.35">
      <c r="A145" s="66">
        <v>25173</v>
      </c>
      <c r="B145">
        <v>19.47</v>
      </c>
      <c r="C145">
        <v>20.56</v>
      </c>
      <c r="E145">
        <v>37.200000000000003</v>
      </c>
    </row>
    <row r="146" spans="1:5" x14ac:dyDescent="0.35">
      <c r="A146" s="66">
        <v>25204</v>
      </c>
      <c r="B146">
        <v>19.545999999999999</v>
      </c>
      <c r="C146">
        <v>20.638000000000002</v>
      </c>
      <c r="E146">
        <v>37.299999999999997</v>
      </c>
    </row>
    <row r="147" spans="1:5" x14ac:dyDescent="0.35">
      <c r="A147" s="66">
        <v>25235</v>
      </c>
      <c r="B147">
        <v>19.594999999999999</v>
      </c>
      <c r="C147">
        <v>20.709</v>
      </c>
      <c r="E147">
        <v>37.6</v>
      </c>
    </row>
    <row r="148" spans="1:5" x14ac:dyDescent="0.35">
      <c r="A148" s="66">
        <v>25263</v>
      </c>
      <c r="B148">
        <v>19.687000000000001</v>
      </c>
      <c r="C148">
        <v>20.805</v>
      </c>
      <c r="E148">
        <v>37.799999999999997</v>
      </c>
    </row>
    <row r="149" spans="1:5" x14ac:dyDescent="0.35">
      <c r="A149" s="66">
        <v>25294</v>
      </c>
      <c r="B149">
        <v>19.774000000000001</v>
      </c>
      <c r="C149">
        <v>20.885999999999999</v>
      </c>
      <c r="E149">
        <v>38.1</v>
      </c>
    </row>
    <row r="150" spans="1:5" x14ac:dyDescent="0.35">
      <c r="A150" s="66">
        <v>25324</v>
      </c>
      <c r="B150">
        <v>19.853999999999999</v>
      </c>
      <c r="C150">
        <v>20.969000000000001</v>
      </c>
      <c r="E150">
        <v>38.1</v>
      </c>
    </row>
    <row r="151" spans="1:5" x14ac:dyDescent="0.35">
      <c r="A151" s="66">
        <v>25355</v>
      </c>
      <c r="B151">
        <v>19.95</v>
      </c>
      <c r="C151">
        <v>21.041</v>
      </c>
      <c r="E151">
        <v>38.299999999999997</v>
      </c>
    </row>
    <row r="152" spans="1:5" x14ac:dyDescent="0.35">
      <c r="A152" s="66">
        <v>25385</v>
      </c>
      <c r="B152">
        <v>20.036999999999999</v>
      </c>
      <c r="C152">
        <v>21.138999999999999</v>
      </c>
      <c r="E152">
        <v>38.5</v>
      </c>
    </row>
    <row r="153" spans="1:5" x14ac:dyDescent="0.35">
      <c r="A153" s="66">
        <v>25416</v>
      </c>
      <c r="B153">
        <v>20.093</v>
      </c>
      <c r="C153">
        <v>21.199000000000002</v>
      </c>
      <c r="E153">
        <v>38.700000000000003</v>
      </c>
    </row>
    <row r="154" spans="1:5" x14ac:dyDescent="0.35">
      <c r="A154" s="66">
        <v>25447</v>
      </c>
      <c r="B154">
        <v>20.175999999999998</v>
      </c>
      <c r="C154">
        <v>21.283999999999999</v>
      </c>
      <c r="E154">
        <v>38.9</v>
      </c>
    </row>
    <row r="155" spans="1:5" x14ac:dyDescent="0.35">
      <c r="A155" s="66">
        <v>25477</v>
      </c>
      <c r="B155">
        <v>20.245000000000001</v>
      </c>
      <c r="C155">
        <v>21.375</v>
      </c>
      <c r="E155">
        <v>39.1</v>
      </c>
    </row>
    <row r="156" spans="1:5" x14ac:dyDescent="0.35">
      <c r="A156" s="66">
        <v>25508</v>
      </c>
      <c r="B156">
        <v>20.332000000000001</v>
      </c>
      <c r="C156">
        <v>21.457000000000001</v>
      </c>
      <c r="E156">
        <v>39.200000000000003</v>
      </c>
    </row>
    <row r="157" spans="1:5" x14ac:dyDescent="0.35">
      <c r="A157" s="66">
        <v>25538</v>
      </c>
      <c r="B157">
        <v>20.425999999999998</v>
      </c>
      <c r="C157">
        <v>21.536999999999999</v>
      </c>
      <c r="E157">
        <v>39.4</v>
      </c>
    </row>
    <row r="158" spans="1:5" x14ac:dyDescent="0.35">
      <c r="A158" s="66">
        <v>25569</v>
      </c>
      <c r="B158">
        <v>20.498999999999999</v>
      </c>
      <c r="C158">
        <v>21.608000000000001</v>
      </c>
      <c r="E158">
        <v>39.6</v>
      </c>
    </row>
    <row r="159" spans="1:5" x14ac:dyDescent="0.35">
      <c r="A159" s="66">
        <v>25600</v>
      </c>
      <c r="B159">
        <v>20.58</v>
      </c>
      <c r="C159">
        <v>21.690999999999999</v>
      </c>
      <c r="E159">
        <v>39.799999999999997</v>
      </c>
    </row>
    <row r="160" spans="1:5" x14ac:dyDescent="0.35">
      <c r="A160" s="66">
        <v>25628</v>
      </c>
      <c r="B160">
        <v>20.631</v>
      </c>
      <c r="C160">
        <v>21.771999999999998</v>
      </c>
      <c r="E160">
        <v>40.1</v>
      </c>
    </row>
    <row r="161" spans="1:5" x14ac:dyDescent="0.35">
      <c r="A161" s="66">
        <v>25659</v>
      </c>
      <c r="B161">
        <v>20.736000000000001</v>
      </c>
      <c r="C161">
        <v>21.856999999999999</v>
      </c>
      <c r="E161">
        <v>40.4</v>
      </c>
    </row>
    <row r="162" spans="1:5" x14ac:dyDescent="0.35">
      <c r="A162" s="66">
        <v>25689</v>
      </c>
      <c r="B162">
        <v>20.802</v>
      </c>
      <c r="C162">
        <v>21.934000000000001</v>
      </c>
      <c r="E162">
        <v>40.5</v>
      </c>
    </row>
    <row r="163" spans="1:5" x14ac:dyDescent="0.35">
      <c r="A163" s="66">
        <v>25720</v>
      </c>
      <c r="B163">
        <v>20.856000000000002</v>
      </c>
      <c r="C163">
        <v>22.013999999999999</v>
      </c>
      <c r="E163">
        <v>40.799999999999997</v>
      </c>
    </row>
    <row r="164" spans="1:5" x14ac:dyDescent="0.35">
      <c r="A164" s="66">
        <v>25750</v>
      </c>
      <c r="B164">
        <v>20.931999999999999</v>
      </c>
      <c r="C164">
        <v>22.097999999999999</v>
      </c>
      <c r="E164">
        <v>40.9</v>
      </c>
    </row>
    <row r="165" spans="1:5" x14ac:dyDescent="0.35">
      <c r="A165" s="66">
        <v>25781</v>
      </c>
      <c r="B165">
        <v>20.986999999999998</v>
      </c>
      <c r="C165">
        <v>22.173999999999999</v>
      </c>
      <c r="E165">
        <v>41.1</v>
      </c>
    </row>
    <row r="166" spans="1:5" x14ac:dyDescent="0.35">
      <c r="A166" s="66">
        <v>25812</v>
      </c>
      <c r="B166">
        <v>21.081</v>
      </c>
      <c r="C166">
        <v>22.266999999999999</v>
      </c>
      <c r="E166">
        <v>41.3</v>
      </c>
    </row>
    <row r="167" spans="1:5" x14ac:dyDescent="0.35">
      <c r="A167" s="66">
        <v>25842</v>
      </c>
      <c r="B167">
        <v>21.184999999999999</v>
      </c>
      <c r="C167">
        <v>22.376000000000001</v>
      </c>
      <c r="E167">
        <v>41.5</v>
      </c>
    </row>
    <row r="168" spans="1:5" x14ac:dyDescent="0.35">
      <c r="A168" s="66">
        <v>25873</v>
      </c>
      <c r="B168">
        <v>21.268999999999998</v>
      </c>
      <c r="C168">
        <v>22.492000000000001</v>
      </c>
      <c r="E168">
        <v>41.8</v>
      </c>
    </row>
    <row r="169" spans="1:5" x14ac:dyDescent="0.35">
      <c r="A169" s="66">
        <v>25903</v>
      </c>
      <c r="B169">
        <v>21.363</v>
      </c>
      <c r="C169">
        <v>22.605</v>
      </c>
      <c r="E169">
        <v>42</v>
      </c>
    </row>
    <row r="170" spans="1:5" x14ac:dyDescent="0.35">
      <c r="A170" s="66">
        <v>25934</v>
      </c>
      <c r="B170">
        <v>21.408000000000001</v>
      </c>
      <c r="C170">
        <v>22.693999999999999</v>
      </c>
      <c r="E170">
        <v>42.1</v>
      </c>
    </row>
    <row r="171" spans="1:5" x14ac:dyDescent="0.35">
      <c r="A171" s="66">
        <v>25965</v>
      </c>
      <c r="B171">
        <v>21.471</v>
      </c>
      <c r="C171">
        <v>22.78</v>
      </c>
      <c r="E171">
        <v>42.2</v>
      </c>
    </row>
    <row r="172" spans="1:5" x14ac:dyDescent="0.35">
      <c r="A172" s="66">
        <v>25993</v>
      </c>
      <c r="B172">
        <v>21.542000000000002</v>
      </c>
      <c r="C172">
        <v>22.853000000000002</v>
      </c>
      <c r="E172">
        <v>42.2</v>
      </c>
    </row>
    <row r="173" spans="1:5" x14ac:dyDescent="0.35">
      <c r="A173" s="66">
        <v>26024</v>
      </c>
      <c r="B173">
        <v>21.626000000000001</v>
      </c>
      <c r="C173">
        <v>22.939</v>
      </c>
      <c r="E173">
        <v>42.4</v>
      </c>
    </row>
    <row r="174" spans="1:5" x14ac:dyDescent="0.35">
      <c r="A174" s="66">
        <v>26054</v>
      </c>
      <c r="B174">
        <v>21.716999999999999</v>
      </c>
      <c r="C174">
        <v>23.039000000000001</v>
      </c>
      <c r="E174">
        <v>42.6</v>
      </c>
    </row>
    <row r="175" spans="1:5" x14ac:dyDescent="0.35">
      <c r="A175" s="66">
        <v>26085</v>
      </c>
      <c r="B175">
        <v>21.812999999999999</v>
      </c>
      <c r="C175">
        <v>23.129000000000001</v>
      </c>
      <c r="E175">
        <v>42.8</v>
      </c>
    </row>
    <row r="176" spans="1:5" x14ac:dyDescent="0.35">
      <c r="A176" s="66">
        <v>26115</v>
      </c>
      <c r="B176">
        <v>21.879000000000001</v>
      </c>
      <c r="C176">
        <v>23.218</v>
      </c>
      <c r="E176">
        <v>42.9</v>
      </c>
    </row>
    <row r="177" spans="1:5" x14ac:dyDescent="0.35">
      <c r="A177" s="66">
        <v>26146</v>
      </c>
      <c r="B177">
        <v>21.942</v>
      </c>
      <c r="C177">
        <v>23.251000000000001</v>
      </c>
      <c r="E177">
        <v>43</v>
      </c>
    </row>
    <row r="178" spans="1:5" x14ac:dyDescent="0.35">
      <c r="A178" s="66">
        <v>26177</v>
      </c>
      <c r="B178">
        <v>21.975000000000001</v>
      </c>
      <c r="C178">
        <v>23.289000000000001</v>
      </c>
      <c r="E178">
        <v>43</v>
      </c>
    </row>
    <row r="179" spans="1:5" x14ac:dyDescent="0.35">
      <c r="A179" s="66">
        <v>26207</v>
      </c>
      <c r="B179">
        <v>22.009</v>
      </c>
      <c r="C179">
        <v>23.326000000000001</v>
      </c>
      <c r="E179">
        <v>43.1</v>
      </c>
    </row>
    <row r="180" spans="1:5" x14ac:dyDescent="0.35">
      <c r="A180" s="66">
        <v>26238</v>
      </c>
      <c r="B180">
        <v>22.053999999999998</v>
      </c>
      <c r="C180">
        <v>23.379000000000001</v>
      </c>
      <c r="E180">
        <v>43.2</v>
      </c>
    </row>
    <row r="181" spans="1:5" x14ac:dyDescent="0.35">
      <c r="A181" s="66">
        <v>26268</v>
      </c>
      <c r="B181">
        <v>22.140999999999998</v>
      </c>
      <c r="C181">
        <v>23.452000000000002</v>
      </c>
      <c r="E181">
        <v>43.3</v>
      </c>
    </row>
    <row r="182" spans="1:5" x14ac:dyDescent="0.35">
      <c r="A182" s="66">
        <v>26299</v>
      </c>
      <c r="B182">
        <v>22.231999999999999</v>
      </c>
      <c r="C182">
        <v>23.552</v>
      </c>
      <c r="E182">
        <v>43.5</v>
      </c>
    </row>
    <row r="183" spans="1:5" x14ac:dyDescent="0.35">
      <c r="A183" s="66">
        <v>26330</v>
      </c>
      <c r="B183">
        <v>22.318999999999999</v>
      </c>
      <c r="C183">
        <v>23.614999999999998</v>
      </c>
      <c r="E183">
        <v>43.6</v>
      </c>
    </row>
    <row r="184" spans="1:5" x14ac:dyDescent="0.35">
      <c r="A184" s="66">
        <v>26359</v>
      </c>
      <c r="B184">
        <v>22.350999999999999</v>
      </c>
      <c r="C184">
        <v>23.661999999999999</v>
      </c>
      <c r="E184">
        <v>43.6</v>
      </c>
    </row>
    <row r="185" spans="1:5" x14ac:dyDescent="0.35">
      <c r="A185" s="66">
        <v>26390</v>
      </c>
      <c r="B185">
        <v>22.385999999999999</v>
      </c>
      <c r="C185">
        <v>23.716999999999999</v>
      </c>
      <c r="E185">
        <v>43.8</v>
      </c>
    </row>
    <row r="186" spans="1:5" x14ac:dyDescent="0.35">
      <c r="A186" s="66">
        <v>26420</v>
      </c>
      <c r="B186">
        <v>22.434000000000001</v>
      </c>
      <c r="C186">
        <v>23.771999999999998</v>
      </c>
      <c r="E186">
        <v>43.9</v>
      </c>
    </row>
    <row r="187" spans="1:5" x14ac:dyDescent="0.35">
      <c r="A187" s="66">
        <v>26451</v>
      </c>
      <c r="B187">
        <v>22.469000000000001</v>
      </c>
      <c r="C187">
        <v>23.818999999999999</v>
      </c>
      <c r="E187">
        <v>44</v>
      </c>
    </row>
    <row r="188" spans="1:5" x14ac:dyDescent="0.35">
      <c r="A188" s="66">
        <v>26481</v>
      </c>
      <c r="B188">
        <v>22.548999999999999</v>
      </c>
      <c r="C188">
        <v>23.888000000000002</v>
      </c>
      <c r="E188">
        <v>44.1</v>
      </c>
    </row>
    <row r="189" spans="1:5" x14ac:dyDescent="0.35">
      <c r="A189" s="66">
        <v>26512</v>
      </c>
      <c r="B189">
        <v>22.614999999999998</v>
      </c>
      <c r="C189">
        <v>23.937999999999999</v>
      </c>
      <c r="E189">
        <v>44.3</v>
      </c>
    </row>
    <row r="190" spans="1:5" x14ac:dyDescent="0.35">
      <c r="A190" s="66">
        <v>26543</v>
      </c>
      <c r="B190">
        <v>22.716000000000001</v>
      </c>
      <c r="C190">
        <v>24.018000000000001</v>
      </c>
      <c r="E190">
        <v>44.3</v>
      </c>
    </row>
    <row r="191" spans="1:5" x14ac:dyDescent="0.35">
      <c r="A191" s="66">
        <v>26573</v>
      </c>
      <c r="B191">
        <v>22.741</v>
      </c>
      <c r="C191">
        <v>24.032</v>
      </c>
      <c r="E191">
        <v>44.4</v>
      </c>
    </row>
    <row r="192" spans="1:5" x14ac:dyDescent="0.35">
      <c r="A192" s="66">
        <v>26604</v>
      </c>
      <c r="B192">
        <v>22.809000000000001</v>
      </c>
      <c r="C192">
        <v>24.094999999999999</v>
      </c>
      <c r="E192">
        <v>44.4</v>
      </c>
    </row>
    <row r="193" spans="1:5" x14ac:dyDescent="0.35">
      <c r="A193" s="66">
        <v>26634</v>
      </c>
      <c r="B193">
        <v>22.882000000000001</v>
      </c>
      <c r="C193">
        <v>24.167999999999999</v>
      </c>
      <c r="E193">
        <v>44.6</v>
      </c>
    </row>
    <row r="194" spans="1:5" x14ac:dyDescent="0.35">
      <c r="A194" s="66">
        <v>26665</v>
      </c>
      <c r="B194">
        <v>22.951000000000001</v>
      </c>
      <c r="C194">
        <v>24.183</v>
      </c>
      <c r="E194">
        <v>44.6</v>
      </c>
    </row>
    <row r="195" spans="1:5" x14ac:dyDescent="0.35">
      <c r="A195" s="66">
        <v>26696</v>
      </c>
      <c r="B195">
        <v>23.071999999999999</v>
      </c>
      <c r="C195">
        <v>24.259</v>
      </c>
      <c r="E195">
        <v>44.8</v>
      </c>
    </row>
    <row r="196" spans="1:5" x14ac:dyDescent="0.35">
      <c r="A196" s="66">
        <v>26724</v>
      </c>
      <c r="B196">
        <v>23.234999999999999</v>
      </c>
      <c r="C196">
        <v>24.356999999999999</v>
      </c>
      <c r="E196">
        <v>45</v>
      </c>
    </row>
    <row r="197" spans="1:5" x14ac:dyDescent="0.35">
      <c r="A197" s="66">
        <v>26755</v>
      </c>
      <c r="B197">
        <v>23.408000000000001</v>
      </c>
      <c r="C197">
        <v>24.498000000000001</v>
      </c>
      <c r="E197">
        <v>45.1</v>
      </c>
    </row>
    <row r="198" spans="1:5" x14ac:dyDescent="0.35">
      <c r="A198" s="66">
        <v>26785</v>
      </c>
      <c r="B198">
        <v>23.523</v>
      </c>
      <c r="C198">
        <v>24.593</v>
      </c>
      <c r="E198">
        <v>45.3</v>
      </c>
    </row>
    <row r="199" spans="1:5" x14ac:dyDescent="0.35">
      <c r="A199" s="66">
        <v>26816</v>
      </c>
      <c r="B199">
        <v>23.658000000000001</v>
      </c>
      <c r="C199">
        <v>24.699000000000002</v>
      </c>
      <c r="E199">
        <v>45.4</v>
      </c>
    </row>
    <row r="200" spans="1:5" x14ac:dyDescent="0.35">
      <c r="A200" s="66">
        <v>26846</v>
      </c>
      <c r="B200">
        <v>23.744</v>
      </c>
      <c r="C200">
        <v>24.805</v>
      </c>
      <c r="E200">
        <v>45.5</v>
      </c>
    </row>
    <row r="201" spans="1:5" x14ac:dyDescent="0.35">
      <c r="A201" s="66">
        <v>26877</v>
      </c>
      <c r="B201">
        <v>24.016999999999999</v>
      </c>
      <c r="C201">
        <v>24.920999999999999</v>
      </c>
      <c r="E201">
        <v>45.7</v>
      </c>
    </row>
    <row r="202" spans="1:5" x14ac:dyDescent="0.35">
      <c r="A202" s="66">
        <v>26908</v>
      </c>
      <c r="B202">
        <v>24.113</v>
      </c>
      <c r="C202">
        <v>25.045999999999999</v>
      </c>
      <c r="E202">
        <v>46</v>
      </c>
    </row>
    <row r="203" spans="1:5" x14ac:dyDescent="0.35">
      <c r="A203" s="66">
        <v>26938</v>
      </c>
      <c r="B203">
        <v>24.248999999999999</v>
      </c>
      <c r="C203">
        <v>25.143000000000001</v>
      </c>
      <c r="E203">
        <v>46.3</v>
      </c>
    </row>
    <row r="204" spans="1:5" x14ac:dyDescent="0.35">
      <c r="A204" s="66">
        <v>26969</v>
      </c>
      <c r="B204">
        <v>24.448</v>
      </c>
      <c r="C204">
        <v>25.263999999999999</v>
      </c>
      <c r="E204">
        <v>46.5</v>
      </c>
    </row>
    <row r="205" spans="1:5" x14ac:dyDescent="0.35">
      <c r="A205" s="66">
        <v>26999</v>
      </c>
      <c r="B205">
        <v>24.649000000000001</v>
      </c>
      <c r="C205">
        <v>25.404</v>
      </c>
      <c r="E205">
        <v>46.7</v>
      </c>
    </row>
    <row r="206" spans="1:5" x14ac:dyDescent="0.35">
      <c r="A206" s="66">
        <v>27030</v>
      </c>
      <c r="B206">
        <v>24.885000000000002</v>
      </c>
      <c r="C206">
        <v>25.529</v>
      </c>
      <c r="E206">
        <v>46.9</v>
      </c>
    </row>
    <row r="207" spans="1:5" x14ac:dyDescent="0.35">
      <c r="A207" s="66">
        <v>27061</v>
      </c>
      <c r="B207">
        <v>25.175000000000001</v>
      </c>
      <c r="C207">
        <v>25.692</v>
      </c>
      <c r="E207">
        <v>47.2</v>
      </c>
    </row>
    <row r="208" spans="1:5" x14ac:dyDescent="0.35">
      <c r="A208" s="66">
        <v>27089</v>
      </c>
      <c r="B208">
        <v>25.466999999999999</v>
      </c>
      <c r="C208">
        <v>25.891999999999999</v>
      </c>
      <c r="E208">
        <v>47.6</v>
      </c>
    </row>
    <row r="209" spans="1:5" x14ac:dyDescent="0.35">
      <c r="A209" s="66">
        <v>27120</v>
      </c>
      <c r="B209">
        <v>25.646999999999998</v>
      </c>
      <c r="C209">
        <v>26.085999999999999</v>
      </c>
      <c r="E209">
        <v>47.9</v>
      </c>
    </row>
    <row r="210" spans="1:5" x14ac:dyDescent="0.35">
      <c r="A210" s="66">
        <v>27150</v>
      </c>
      <c r="B210">
        <v>25.9</v>
      </c>
      <c r="C210">
        <v>26.337</v>
      </c>
      <c r="E210">
        <v>48.5</v>
      </c>
    </row>
    <row r="211" spans="1:5" x14ac:dyDescent="0.35">
      <c r="A211" s="66">
        <v>27181</v>
      </c>
      <c r="B211">
        <v>26.119</v>
      </c>
      <c r="C211">
        <v>26.606999999999999</v>
      </c>
      <c r="E211">
        <v>49</v>
      </c>
    </row>
    <row r="212" spans="1:5" x14ac:dyDescent="0.35">
      <c r="A212" s="66">
        <v>27211</v>
      </c>
      <c r="B212">
        <v>26.312000000000001</v>
      </c>
      <c r="C212">
        <v>26.843</v>
      </c>
      <c r="E212">
        <v>49.5</v>
      </c>
    </row>
    <row r="213" spans="1:5" x14ac:dyDescent="0.35">
      <c r="A213" s="66">
        <v>27242</v>
      </c>
      <c r="B213">
        <v>26.587</v>
      </c>
      <c r="C213">
        <v>27.100999999999999</v>
      </c>
      <c r="E213">
        <v>50.2</v>
      </c>
    </row>
    <row r="214" spans="1:5" x14ac:dyDescent="0.35">
      <c r="A214" s="66">
        <v>27273</v>
      </c>
      <c r="B214">
        <v>26.863</v>
      </c>
      <c r="C214">
        <v>27.344999999999999</v>
      </c>
      <c r="E214">
        <v>50.7</v>
      </c>
    </row>
    <row r="215" spans="1:5" x14ac:dyDescent="0.35">
      <c r="A215" s="66">
        <v>27303</v>
      </c>
      <c r="B215">
        <v>27.056000000000001</v>
      </c>
      <c r="C215">
        <v>27.559000000000001</v>
      </c>
      <c r="E215">
        <v>51.2</v>
      </c>
    </row>
    <row r="216" spans="1:5" x14ac:dyDescent="0.35">
      <c r="A216" s="66">
        <v>27334</v>
      </c>
      <c r="B216">
        <v>27.259</v>
      </c>
      <c r="C216">
        <v>27.76</v>
      </c>
      <c r="E216">
        <v>51.6</v>
      </c>
    </row>
    <row r="217" spans="1:5" x14ac:dyDescent="0.35">
      <c r="A217" s="66">
        <v>27364</v>
      </c>
      <c r="B217">
        <v>27.474</v>
      </c>
      <c r="C217">
        <v>27.956</v>
      </c>
      <c r="E217">
        <v>52</v>
      </c>
    </row>
    <row r="218" spans="1:5" x14ac:dyDescent="0.35">
      <c r="A218" s="66">
        <v>27395</v>
      </c>
      <c r="B218">
        <v>27.645</v>
      </c>
      <c r="C218">
        <v>28.119</v>
      </c>
      <c r="E218">
        <v>52.3</v>
      </c>
    </row>
    <row r="219" spans="1:5" x14ac:dyDescent="0.35">
      <c r="A219" s="66">
        <v>27426</v>
      </c>
      <c r="B219">
        <v>27.795000000000002</v>
      </c>
      <c r="C219">
        <v>28.318000000000001</v>
      </c>
      <c r="E219">
        <v>52.8</v>
      </c>
    </row>
    <row r="220" spans="1:5" x14ac:dyDescent="0.35">
      <c r="A220" s="66">
        <v>27454</v>
      </c>
      <c r="B220">
        <v>27.888999999999999</v>
      </c>
      <c r="C220">
        <v>28.466000000000001</v>
      </c>
      <c r="E220">
        <v>53</v>
      </c>
    </row>
    <row r="221" spans="1:5" x14ac:dyDescent="0.35">
      <c r="A221" s="66">
        <v>27485</v>
      </c>
      <c r="B221">
        <v>27.984000000000002</v>
      </c>
      <c r="C221">
        <v>28.603999999999999</v>
      </c>
      <c r="E221">
        <v>53.3</v>
      </c>
    </row>
    <row r="222" spans="1:5" x14ac:dyDescent="0.35">
      <c r="A222" s="66">
        <v>27515</v>
      </c>
      <c r="B222">
        <v>28.094999999999999</v>
      </c>
      <c r="C222">
        <v>28.725000000000001</v>
      </c>
      <c r="E222">
        <v>53.5</v>
      </c>
    </row>
    <row r="223" spans="1:5" x14ac:dyDescent="0.35">
      <c r="A223" s="66">
        <v>27546</v>
      </c>
      <c r="B223">
        <v>28.271000000000001</v>
      </c>
      <c r="C223">
        <v>28.866</v>
      </c>
      <c r="E223">
        <v>53.8</v>
      </c>
    </row>
    <row r="224" spans="1:5" x14ac:dyDescent="0.35">
      <c r="A224" s="66">
        <v>27576</v>
      </c>
      <c r="B224">
        <v>28.513999999999999</v>
      </c>
      <c r="C224">
        <v>29.044</v>
      </c>
      <c r="E224">
        <v>54</v>
      </c>
    </row>
    <row r="225" spans="1:5" x14ac:dyDescent="0.35">
      <c r="A225" s="66">
        <v>27607</v>
      </c>
      <c r="B225">
        <v>28.637</v>
      </c>
      <c r="C225">
        <v>29.143999999999998</v>
      </c>
      <c r="E225">
        <v>54.2</v>
      </c>
    </row>
    <row r="226" spans="1:5" x14ac:dyDescent="0.35">
      <c r="A226" s="66">
        <v>27638</v>
      </c>
      <c r="B226">
        <v>28.779</v>
      </c>
      <c r="C226">
        <v>29.302</v>
      </c>
      <c r="E226">
        <v>54.5</v>
      </c>
    </row>
    <row r="227" spans="1:5" x14ac:dyDescent="0.35">
      <c r="A227" s="66">
        <v>27668</v>
      </c>
      <c r="B227">
        <v>28.946000000000002</v>
      </c>
      <c r="C227">
        <v>29.448</v>
      </c>
      <c r="E227">
        <v>54.8</v>
      </c>
    </row>
    <row r="228" spans="1:5" x14ac:dyDescent="0.35">
      <c r="A228" s="66">
        <v>27699</v>
      </c>
      <c r="B228">
        <v>29.132000000000001</v>
      </c>
      <c r="C228">
        <v>29.643000000000001</v>
      </c>
      <c r="E228">
        <v>55.2</v>
      </c>
    </row>
    <row r="229" spans="1:5" x14ac:dyDescent="0.35">
      <c r="A229" s="66">
        <v>27729</v>
      </c>
      <c r="B229">
        <v>29.292999999999999</v>
      </c>
      <c r="C229">
        <v>29.823</v>
      </c>
      <c r="E229">
        <v>55.5</v>
      </c>
    </row>
    <row r="230" spans="1:5" x14ac:dyDescent="0.35">
      <c r="A230" s="66">
        <v>27760</v>
      </c>
      <c r="B230">
        <v>29.405000000000001</v>
      </c>
      <c r="C230">
        <v>29.975999999999999</v>
      </c>
      <c r="E230">
        <v>55.9</v>
      </c>
    </row>
    <row r="231" spans="1:5" x14ac:dyDescent="0.35">
      <c r="A231" s="66">
        <v>27791</v>
      </c>
      <c r="B231">
        <v>29.442</v>
      </c>
      <c r="C231">
        <v>30.094999999999999</v>
      </c>
      <c r="E231">
        <v>56.2</v>
      </c>
    </row>
    <row r="232" spans="1:5" x14ac:dyDescent="0.35">
      <c r="A232" s="66">
        <v>27820</v>
      </c>
      <c r="B232">
        <v>29.486000000000001</v>
      </c>
      <c r="C232">
        <v>30.195</v>
      </c>
      <c r="E232">
        <v>56.5</v>
      </c>
    </row>
    <row r="233" spans="1:5" x14ac:dyDescent="0.35">
      <c r="A233" s="66">
        <v>27851</v>
      </c>
      <c r="B233">
        <v>29.553000000000001</v>
      </c>
      <c r="C233">
        <v>30.312000000000001</v>
      </c>
      <c r="E233">
        <v>56.7</v>
      </c>
    </row>
    <row r="234" spans="1:5" x14ac:dyDescent="0.35">
      <c r="A234" s="66">
        <v>27881</v>
      </c>
      <c r="B234">
        <v>29.695</v>
      </c>
      <c r="C234">
        <v>30.456</v>
      </c>
      <c r="E234">
        <v>57</v>
      </c>
    </row>
    <row r="235" spans="1:5" x14ac:dyDescent="0.35">
      <c r="A235" s="66">
        <v>27912</v>
      </c>
      <c r="B235">
        <v>29.824000000000002</v>
      </c>
      <c r="C235">
        <v>30.579000000000001</v>
      </c>
      <c r="E235">
        <v>57.2</v>
      </c>
    </row>
    <row r="236" spans="1:5" x14ac:dyDescent="0.35">
      <c r="A236" s="66">
        <v>27942</v>
      </c>
      <c r="B236">
        <v>29.975000000000001</v>
      </c>
      <c r="C236">
        <v>30.748000000000001</v>
      </c>
      <c r="E236">
        <v>57.6</v>
      </c>
    </row>
    <row r="237" spans="1:5" x14ac:dyDescent="0.35">
      <c r="A237" s="66">
        <v>27973</v>
      </c>
      <c r="B237">
        <v>30.14</v>
      </c>
      <c r="C237">
        <v>30.925000000000001</v>
      </c>
      <c r="E237">
        <v>57.9</v>
      </c>
    </row>
    <row r="238" spans="1:5" x14ac:dyDescent="0.35">
      <c r="A238" s="66">
        <v>28004</v>
      </c>
      <c r="B238">
        <v>30.31</v>
      </c>
      <c r="C238">
        <v>31.106000000000002</v>
      </c>
      <c r="E238">
        <v>58.2</v>
      </c>
    </row>
    <row r="239" spans="1:5" x14ac:dyDescent="0.35">
      <c r="A239" s="66">
        <v>28034</v>
      </c>
      <c r="B239">
        <v>30.469000000000001</v>
      </c>
      <c r="C239">
        <v>31.257999999999999</v>
      </c>
      <c r="E239">
        <v>58.5</v>
      </c>
    </row>
    <row r="240" spans="1:5" x14ac:dyDescent="0.35">
      <c r="A240" s="66">
        <v>28065</v>
      </c>
      <c r="B240">
        <v>30.606999999999999</v>
      </c>
      <c r="C240">
        <v>31.401</v>
      </c>
      <c r="E240">
        <v>58.7</v>
      </c>
    </row>
    <row r="241" spans="1:5" x14ac:dyDescent="0.35">
      <c r="A241" s="66">
        <v>28095</v>
      </c>
      <c r="B241">
        <v>30.777999999999999</v>
      </c>
      <c r="C241">
        <v>31.571000000000002</v>
      </c>
      <c r="E241">
        <v>58.9</v>
      </c>
    </row>
    <row r="242" spans="1:5" x14ac:dyDescent="0.35">
      <c r="A242" s="66">
        <v>28126</v>
      </c>
      <c r="B242">
        <v>30.957000000000001</v>
      </c>
      <c r="C242">
        <v>31.763000000000002</v>
      </c>
      <c r="E242">
        <v>59.3</v>
      </c>
    </row>
    <row r="243" spans="1:5" x14ac:dyDescent="0.35">
      <c r="A243" s="66">
        <v>28157</v>
      </c>
      <c r="B243">
        <v>31.199000000000002</v>
      </c>
      <c r="C243">
        <v>31.957999999999998</v>
      </c>
      <c r="E243">
        <v>59.7</v>
      </c>
    </row>
    <row r="244" spans="1:5" x14ac:dyDescent="0.35">
      <c r="A244" s="66">
        <v>28185</v>
      </c>
      <c r="B244">
        <v>31.356000000000002</v>
      </c>
      <c r="C244">
        <v>32.094000000000001</v>
      </c>
      <c r="E244">
        <v>60</v>
      </c>
    </row>
    <row r="245" spans="1:5" x14ac:dyDescent="0.35">
      <c r="A245" s="66">
        <v>28216</v>
      </c>
      <c r="B245">
        <v>31.538</v>
      </c>
      <c r="C245">
        <v>32.253</v>
      </c>
      <c r="E245">
        <v>60.3</v>
      </c>
    </row>
    <row r="246" spans="1:5" x14ac:dyDescent="0.35">
      <c r="A246" s="66">
        <v>28246</v>
      </c>
      <c r="B246">
        <v>31.698</v>
      </c>
      <c r="C246">
        <v>32.417000000000002</v>
      </c>
      <c r="E246">
        <v>60.6</v>
      </c>
    </row>
    <row r="247" spans="1:5" x14ac:dyDescent="0.35">
      <c r="A247" s="66">
        <v>28277</v>
      </c>
      <c r="B247">
        <v>31.875</v>
      </c>
      <c r="C247">
        <v>32.610999999999997</v>
      </c>
      <c r="E247">
        <v>61</v>
      </c>
    </row>
    <row r="248" spans="1:5" x14ac:dyDescent="0.35">
      <c r="A248" s="66">
        <v>28307</v>
      </c>
      <c r="B248">
        <v>32.040999999999997</v>
      </c>
      <c r="C248">
        <v>32.813000000000002</v>
      </c>
      <c r="E248">
        <v>61.2</v>
      </c>
    </row>
    <row r="249" spans="1:5" x14ac:dyDescent="0.35">
      <c r="A249" s="66">
        <v>28338</v>
      </c>
      <c r="B249">
        <v>32.19</v>
      </c>
      <c r="C249">
        <v>32.972999999999999</v>
      </c>
      <c r="E249">
        <v>61.5</v>
      </c>
    </row>
    <row r="250" spans="1:5" x14ac:dyDescent="0.35">
      <c r="A250" s="66">
        <v>28369</v>
      </c>
      <c r="B250">
        <v>32.311</v>
      </c>
      <c r="C250">
        <v>33.113</v>
      </c>
      <c r="E250">
        <v>61.8</v>
      </c>
    </row>
    <row r="251" spans="1:5" x14ac:dyDescent="0.35">
      <c r="A251" s="66">
        <v>28399</v>
      </c>
      <c r="B251">
        <v>32.460999999999999</v>
      </c>
      <c r="C251">
        <v>33.273000000000003</v>
      </c>
      <c r="E251">
        <v>62</v>
      </c>
    </row>
    <row r="252" spans="1:5" x14ac:dyDescent="0.35">
      <c r="A252" s="66">
        <v>28430</v>
      </c>
      <c r="B252">
        <v>32.648000000000003</v>
      </c>
      <c r="C252">
        <v>33.445</v>
      </c>
      <c r="E252">
        <v>62.3</v>
      </c>
    </row>
    <row r="253" spans="1:5" x14ac:dyDescent="0.35">
      <c r="A253" s="66">
        <v>28460</v>
      </c>
      <c r="B253">
        <v>32.805999999999997</v>
      </c>
      <c r="C253">
        <v>33.618000000000002</v>
      </c>
      <c r="E253">
        <v>62.7</v>
      </c>
    </row>
    <row r="254" spans="1:5" x14ac:dyDescent="0.35">
      <c r="A254" s="66">
        <v>28491</v>
      </c>
      <c r="B254">
        <v>33</v>
      </c>
      <c r="C254">
        <v>33.819000000000003</v>
      </c>
      <c r="E254">
        <v>63.1</v>
      </c>
    </row>
    <row r="255" spans="1:5" x14ac:dyDescent="0.35">
      <c r="A255" s="66">
        <v>28522</v>
      </c>
      <c r="B255">
        <v>33.152999999999999</v>
      </c>
      <c r="C255">
        <v>33.948999999999998</v>
      </c>
      <c r="E255">
        <v>63.4</v>
      </c>
    </row>
    <row r="256" spans="1:5" x14ac:dyDescent="0.35">
      <c r="A256" s="66">
        <v>28550</v>
      </c>
      <c r="B256">
        <v>33.368000000000002</v>
      </c>
      <c r="C256">
        <v>34.133000000000003</v>
      </c>
      <c r="E256">
        <v>63.8</v>
      </c>
    </row>
    <row r="257" spans="1:5" x14ac:dyDescent="0.35">
      <c r="A257" s="66">
        <v>28581</v>
      </c>
      <c r="B257">
        <v>33.621000000000002</v>
      </c>
      <c r="C257">
        <v>34.353999999999999</v>
      </c>
      <c r="E257">
        <v>64.3</v>
      </c>
    </row>
    <row r="258" spans="1:5" x14ac:dyDescent="0.35">
      <c r="A258" s="66">
        <v>28611</v>
      </c>
      <c r="B258">
        <v>33.860999999999997</v>
      </c>
      <c r="C258">
        <v>34.555999999999997</v>
      </c>
      <c r="E258">
        <v>64.7</v>
      </c>
    </row>
    <row r="259" spans="1:5" x14ac:dyDescent="0.35">
      <c r="A259" s="66">
        <v>28642</v>
      </c>
      <c r="B259">
        <v>34.082000000000001</v>
      </c>
      <c r="C259">
        <v>34.749000000000002</v>
      </c>
      <c r="E259">
        <v>65.2</v>
      </c>
    </row>
    <row r="260" spans="1:5" x14ac:dyDescent="0.35">
      <c r="A260" s="66">
        <v>28672</v>
      </c>
      <c r="B260">
        <v>34.268999999999998</v>
      </c>
      <c r="C260">
        <v>34.953000000000003</v>
      </c>
      <c r="E260">
        <v>65.599999999999994</v>
      </c>
    </row>
    <row r="261" spans="1:5" x14ac:dyDescent="0.35">
      <c r="A261" s="66">
        <v>28703</v>
      </c>
      <c r="B261">
        <v>34.442</v>
      </c>
      <c r="C261">
        <v>35.140999999999998</v>
      </c>
      <c r="E261">
        <v>66.099999999999994</v>
      </c>
    </row>
    <row r="262" spans="1:5" x14ac:dyDescent="0.35">
      <c r="A262" s="66">
        <v>28734</v>
      </c>
      <c r="B262">
        <v>34.637999999999998</v>
      </c>
      <c r="C262">
        <v>35.343000000000004</v>
      </c>
      <c r="E262">
        <v>66.7</v>
      </c>
    </row>
    <row r="263" spans="1:5" x14ac:dyDescent="0.35">
      <c r="A263" s="66">
        <v>28764</v>
      </c>
      <c r="B263">
        <v>34.912999999999997</v>
      </c>
      <c r="C263">
        <v>35.603000000000002</v>
      </c>
      <c r="E263">
        <v>67.2</v>
      </c>
    </row>
    <row r="264" spans="1:5" x14ac:dyDescent="0.35">
      <c r="A264" s="66">
        <v>28795</v>
      </c>
      <c r="B264">
        <v>35.112000000000002</v>
      </c>
      <c r="C264">
        <v>35.793999999999997</v>
      </c>
      <c r="E264">
        <v>67.599999999999994</v>
      </c>
    </row>
    <row r="265" spans="1:5" x14ac:dyDescent="0.35">
      <c r="A265" s="66">
        <v>28825</v>
      </c>
      <c r="B265">
        <v>35.276000000000003</v>
      </c>
      <c r="C265">
        <v>35.933999999999997</v>
      </c>
      <c r="E265">
        <v>68</v>
      </c>
    </row>
    <row r="266" spans="1:5" x14ac:dyDescent="0.35">
      <c r="A266" s="66">
        <v>28856</v>
      </c>
      <c r="B266">
        <v>35.542000000000002</v>
      </c>
      <c r="C266">
        <v>36.118000000000002</v>
      </c>
      <c r="E266">
        <v>68.5</v>
      </c>
    </row>
    <row r="267" spans="1:5" x14ac:dyDescent="0.35">
      <c r="A267" s="66">
        <v>28887</v>
      </c>
      <c r="B267">
        <v>35.731999999999999</v>
      </c>
      <c r="C267">
        <v>36.234999999999999</v>
      </c>
      <c r="E267">
        <v>69.2</v>
      </c>
    </row>
    <row r="268" spans="1:5" x14ac:dyDescent="0.35">
      <c r="A268" s="66">
        <v>28915</v>
      </c>
      <c r="B268">
        <v>36.011000000000003</v>
      </c>
      <c r="C268">
        <v>36.444000000000003</v>
      </c>
      <c r="E268">
        <v>69.8</v>
      </c>
    </row>
    <row r="269" spans="1:5" x14ac:dyDescent="0.35">
      <c r="A269" s="66">
        <v>28946</v>
      </c>
      <c r="B269">
        <v>36.386000000000003</v>
      </c>
      <c r="C269">
        <v>36.78</v>
      </c>
      <c r="E269">
        <v>70.3</v>
      </c>
    </row>
    <row r="270" spans="1:5" x14ac:dyDescent="0.35">
      <c r="A270" s="66">
        <v>28976</v>
      </c>
      <c r="B270">
        <v>36.762999999999998</v>
      </c>
      <c r="C270">
        <v>37.1</v>
      </c>
      <c r="E270">
        <v>70.8</v>
      </c>
    </row>
    <row r="271" spans="1:5" x14ac:dyDescent="0.35">
      <c r="A271" s="66">
        <v>29007</v>
      </c>
      <c r="B271">
        <v>37.066000000000003</v>
      </c>
      <c r="C271">
        <v>37.308</v>
      </c>
      <c r="E271">
        <v>71.3</v>
      </c>
    </row>
    <row r="272" spans="1:5" x14ac:dyDescent="0.35">
      <c r="A272" s="66">
        <v>29037</v>
      </c>
      <c r="B272">
        <v>37.348999999999997</v>
      </c>
      <c r="C272">
        <v>37.494999999999997</v>
      </c>
      <c r="E272">
        <v>71.900000000000006</v>
      </c>
    </row>
    <row r="273" spans="1:5" x14ac:dyDescent="0.35">
      <c r="A273" s="66">
        <v>29068</v>
      </c>
      <c r="B273">
        <v>37.634999999999998</v>
      </c>
      <c r="C273">
        <v>37.744</v>
      </c>
      <c r="E273">
        <v>72.7</v>
      </c>
    </row>
    <row r="274" spans="1:5" x14ac:dyDescent="0.35">
      <c r="A274" s="66">
        <v>29099</v>
      </c>
      <c r="B274">
        <v>37.966999999999999</v>
      </c>
      <c r="C274">
        <v>38.002000000000002</v>
      </c>
      <c r="E274">
        <v>73.3</v>
      </c>
    </row>
    <row r="275" spans="1:5" x14ac:dyDescent="0.35">
      <c r="A275" s="66">
        <v>29129</v>
      </c>
      <c r="B275">
        <v>38.276000000000003</v>
      </c>
      <c r="C275">
        <v>38.279000000000003</v>
      </c>
      <c r="E275">
        <v>74</v>
      </c>
    </row>
    <row r="276" spans="1:5" x14ac:dyDescent="0.35">
      <c r="A276" s="66">
        <v>29160</v>
      </c>
      <c r="B276">
        <v>38.542000000000002</v>
      </c>
      <c r="C276">
        <v>38.524000000000001</v>
      </c>
      <c r="E276">
        <v>74.8</v>
      </c>
    </row>
    <row r="277" spans="1:5" x14ac:dyDescent="0.35">
      <c r="A277" s="66">
        <v>29190</v>
      </c>
      <c r="B277">
        <v>38.866</v>
      </c>
      <c r="C277">
        <v>38.801000000000002</v>
      </c>
      <c r="E277">
        <v>75.7</v>
      </c>
    </row>
    <row r="278" spans="1:5" x14ac:dyDescent="0.35">
      <c r="A278" s="66">
        <v>29221</v>
      </c>
      <c r="B278">
        <v>39.273000000000003</v>
      </c>
      <c r="C278">
        <v>39.094999999999999</v>
      </c>
      <c r="E278">
        <v>76.7</v>
      </c>
    </row>
    <row r="279" spans="1:5" x14ac:dyDescent="0.35">
      <c r="A279" s="66">
        <v>29252</v>
      </c>
      <c r="B279">
        <v>39.698999999999998</v>
      </c>
      <c r="C279">
        <v>39.484999999999999</v>
      </c>
      <c r="E279">
        <v>77.5</v>
      </c>
    </row>
    <row r="280" spans="1:5" x14ac:dyDescent="0.35">
      <c r="A280" s="66">
        <v>29281</v>
      </c>
      <c r="B280">
        <v>40.186</v>
      </c>
      <c r="C280">
        <v>39.850999999999999</v>
      </c>
      <c r="E280">
        <v>78.599999999999994</v>
      </c>
    </row>
    <row r="281" spans="1:5" x14ac:dyDescent="0.35">
      <c r="A281" s="66">
        <v>29312</v>
      </c>
      <c r="B281">
        <v>40.396000000000001</v>
      </c>
      <c r="C281">
        <v>40.055999999999997</v>
      </c>
      <c r="E281">
        <v>79.5</v>
      </c>
    </row>
    <row r="282" spans="1:5" x14ac:dyDescent="0.35">
      <c r="A282" s="66">
        <v>29342</v>
      </c>
      <c r="B282">
        <v>40.71</v>
      </c>
      <c r="C282">
        <v>40.378</v>
      </c>
      <c r="E282">
        <v>80.099999999999994</v>
      </c>
    </row>
    <row r="283" spans="1:5" x14ac:dyDescent="0.35">
      <c r="A283" s="66">
        <v>29373</v>
      </c>
      <c r="B283">
        <v>40.966999999999999</v>
      </c>
      <c r="C283">
        <v>40.646000000000001</v>
      </c>
      <c r="E283">
        <v>81</v>
      </c>
    </row>
    <row r="284" spans="1:5" x14ac:dyDescent="0.35">
      <c r="A284" s="66">
        <v>29403</v>
      </c>
      <c r="B284">
        <v>41.284999999999997</v>
      </c>
      <c r="C284">
        <v>40.932000000000002</v>
      </c>
      <c r="E284">
        <v>80.8</v>
      </c>
    </row>
    <row r="285" spans="1:5" x14ac:dyDescent="0.35">
      <c r="A285" s="66">
        <v>29434</v>
      </c>
      <c r="B285">
        <v>41.628999999999998</v>
      </c>
      <c r="C285">
        <v>41.228000000000002</v>
      </c>
      <c r="E285">
        <v>81.3</v>
      </c>
    </row>
    <row r="286" spans="1:5" x14ac:dyDescent="0.35">
      <c r="A286" s="66">
        <v>29465</v>
      </c>
      <c r="B286">
        <v>42.014000000000003</v>
      </c>
      <c r="C286">
        <v>41.616</v>
      </c>
      <c r="E286">
        <v>82.1</v>
      </c>
    </row>
    <row r="287" spans="1:5" x14ac:dyDescent="0.35">
      <c r="A287" s="66">
        <v>29495</v>
      </c>
      <c r="B287">
        <v>42.350999999999999</v>
      </c>
      <c r="C287">
        <v>41.959000000000003</v>
      </c>
      <c r="E287">
        <v>83</v>
      </c>
    </row>
    <row r="288" spans="1:5" x14ac:dyDescent="0.35">
      <c r="A288" s="66">
        <v>29526</v>
      </c>
      <c r="B288">
        <v>42.695999999999998</v>
      </c>
      <c r="C288">
        <v>42.289000000000001</v>
      </c>
      <c r="E288">
        <v>83.9</v>
      </c>
    </row>
    <row r="289" spans="1:5" x14ac:dyDescent="0.35">
      <c r="A289" s="66">
        <v>29556</v>
      </c>
      <c r="B289">
        <v>42.972999999999999</v>
      </c>
      <c r="C289">
        <v>42.543999999999997</v>
      </c>
      <c r="E289">
        <v>84.9</v>
      </c>
    </row>
    <row r="290" spans="1:5" x14ac:dyDescent="0.35">
      <c r="A290" s="66">
        <v>29587</v>
      </c>
      <c r="B290">
        <v>43.386000000000003</v>
      </c>
      <c r="C290">
        <v>42.911999999999999</v>
      </c>
      <c r="E290">
        <v>85.4</v>
      </c>
    </row>
    <row r="291" spans="1:5" x14ac:dyDescent="0.35">
      <c r="A291" s="66">
        <v>29618</v>
      </c>
      <c r="B291">
        <v>43.825000000000003</v>
      </c>
      <c r="C291">
        <v>43.225999999999999</v>
      </c>
      <c r="E291">
        <v>85.9</v>
      </c>
    </row>
    <row r="292" spans="1:5" x14ac:dyDescent="0.35">
      <c r="A292" s="66">
        <v>29646</v>
      </c>
      <c r="B292">
        <v>44.13</v>
      </c>
      <c r="C292">
        <v>43.466000000000001</v>
      </c>
      <c r="E292">
        <v>86.4</v>
      </c>
    </row>
    <row r="293" spans="1:5" x14ac:dyDescent="0.35">
      <c r="A293" s="66">
        <v>29677</v>
      </c>
      <c r="B293">
        <v>44.323</v>
      </c>
      <c r="C293">
        <v>43.744</v>
      </c>
      <c r="E293">
        <v>87</v>
      </c>
    </row>
    <row r="294" spans="1:5" x14ac:dyDescent="0.35">
      <c r="A294" s="66">
        <v>29707</v>
      </c>
      <c r="B294">
        <v>44.521999999999998</v>
      </c>
      <c r="C294">
        <v>44.045000000000002</v>
      </c>
      <c r="E294">
        <v>87.8</v>
      </c>
    </row>
    <row r="295" spans="1:5" x14ac:dyDescent="0.35">
      <c r="A295" s="66">
        <v>29738</v>
      </c>
      <c r="B295">
        <v>44.698999999999998</v>
      </c>
      <c r="C295">
        <v>44.265000000000001</v>
      </c>
      <c r="E295">
        <v>88.6</v>
      </c>
    </row>
    <row r="296" spans="1:5" x14ac:dyDescent="0.35">
      <c r="A296" s="66">
        <v>29768</v>
      </c>
      <c r="B296">
        <v>44.969000000000001</v>
      </c>
      <c r="C296">
        <v>44.531999999999996</v>
      </c>
      <c r="E296">
        <v>89.8</v>
      </c>
    </row>
    <row r="297" spans="1:5" x14ac:dyDescent="0.35">
      <c r="A297" s="66">
        <v>29799</v>
      </c>
      <c r="B297">
        <v>45.25</v>
      </c>
      <c r="C297">
        <v>44.83</v>
      </c>
      <c r="E297">
        <v>90.7</v>
      </c>
    </row>
    <row r="298" spans="1:5" x14ac:dyDescent="0.35">
      <c r="A298" s="66">
        <v>29830</v>
      </c>
      <c r="B298">
        <v>45.524000000000001</v>
      </c>
      <c r="C298">
        <v>45.124000000000002</v>
      </c>
      <c r="E298">
        <v>91.8</v>
      </c>
    </row>
    <row r="299" spans="1:5" x14ac:dyDescent="0.35">
      <c r="A299" s="66">
        <v>29860</v>
      </c>
      <c r="B299">
        <v>45.73</v>
      </c>
      <c r="C299">
        <v>45.393000000000001</v>
      </c>
      <c r="E299">
        <v>92.1</v>
      </c>
    </row>
    <row r="300" spans="1:5" x14ac:dyDescent="0.35">
      <c r="A300" s="66">
        <v>29891</v>
      </c>
      <c r="B300">
        <v>45.975999999999999</v>
      </c>
      <c r="C300">
        <v>45.658000000000001</v>
      </c>
      <c r="E300">
        <v>92.5</v>
      </c>
    </row>
    <row r="301" spans="1:5" x14ac:dyDescent="0.35">
      <c r="A301" s="66">
        <v>29921</v>
      </c>
      <c r="B301">
        <v>46.118000000000002</v>
      </c>
      <c r="C301">
        <v>45.826000000000001</v>
      </c>
      <c r="E301">
        <v>93</v>
      </c>
    </row>
    <row r="302" spans="1:5" x14ac:dyDescent="0.35">
      <c r="A302" s="66">
        <v>29952</v>
      </c>
      <c r="B302">
        <v>46.392000000000003</v>
      </c>
      <c r="C302">
        <v>46.107999999999997</v>
      </c>
      <c r="E302">
        <v>93.3</v>
      </c>
    </row>
    <row r="303" spans="1:5" x14ac:dyDescent="0.35">
      <c r="A303" s="66">
        <v>29983</v>
      </c>
      <c r="B303">
        <v>46.530999999999999</v>
      </c>
      <c r="C303">
        <v>46.286000000000001</v>
      </c>
      <c r="E303">
        <v>93.8</v>
      </c>
    </row>
    <row r="304" spans="1:5" x14ac:dyDescent="0.35">
      <c r="A304" s="66">
        <v>30011</v>
      </c>
      <c r="B304">
        <v>46.651000000000003</v>
      </c>
      <c r="C304">
        <v>46.488</v>
      </c>
      <c r="E304">
        <v>93.9</v>
      </c>
    </row>
    <row r="305" spans="1:5" x14ac:dyDescent="0.35">
      <c r="A305" s="66">
        <v>30042</v>
      </c>
      <c r="B305">
        <v>46.674999999999997</v>
      </c>
      <c r="C305">
        <v>46.671999999999997</v>
      </c>
      <c r="E305">
        <v>94.7</v>
      </c>
    </row>
    <row r="306" spans="1:5" x14ac:dyDescent="0.35">
      <c r="A306" s="66">
        <v>30072</v>
      </c>
      <c r="B306">
        <v>46.951000000000001</v>
      </c>
      <c r="C306">
        <v>46.927</v>
      </c>
      <c r="E306">
        <v>95.4</v>
      </c>
    </row>
    <row r="307" spans="1:5" x14ac:dyDescent="0.35">
      <c r="A307" s="66">
        <v>30103</v>
      </c>
      <c r="B307">
        <v>47.292000000000002</v>
      </c>
      <c r="C307">
        <v>47.161999999999999</v>
      </c>
      <c r="E307">
        <v>96.1</v>
      </c>
    </row>
    <row r="308" spans="1:5" x14ac:dyDescent="0.35">
      <c r="A308" s="66">
        <v>30133</v>
      </c>
      <c r="B308">
        <v>47.572000000000003</v>
      </c>
      <c r="C308">
        <v>47.468000000000004</v>
      </c>
      <c r="E308">
        <v>96.7</v>
      </c>
    </row>
    <row r="309" spans="1:5" x14ac:dyDescent="0.35">
      <c r="A309" s="66">
        <v>30164</v>
      </c>
      <c r="B309">
        <v>47.72</v>
      </c>
      <c r="C309">
        <v>47.686</v>
      </c>
      <c r="E309">
        <v>97.1</v>
      </c>
    </row>
    <row r="310" spans="1:5" x14ac:dyDescent="0.35">
      <c r="A310" s="66">
        <v>30195</v>
      </c>
      <c r="B310">
        <v>47.851999999999997</v>
      </c>
      <c r="C310">
        <v>47.863</v>
      </c>
      <c r="E310">
        <v>97.2</v>
      </c>
    </row>
    <row r="311" spans="1:5" x14ac:dyDescent="0.35">
      <c r="A311" s="66">
        <v>30225</v>
      </c>
      <c r="B311">
        <v>48.121000000000002</v>
      </c>
      <c r="C311">
        <v>48.165999999999997</v>
      </c>
      <c r="E311">
        <v>97.5</v>
      </c>
    </row>
    <row r="312" spans="1:5" x14ac:dyDescent="0.35">
      <c r="A312" s="66">
        <v>30256</v>
      </c>
      <c r="B312">
        <v>48.265000000000001</v>
      </c>
      <c r="C312">
        <v>48.344000000000001</v>
      </c>
      <c r="E312">
        <v>97.3</v>
      </c>
    </row>
    <row r="313" spans="1:5" x14ac:dyDescent="0.35">
      <c r="A313" s="66">
        <v>30286</v>
      </c>
      <c r="B313">
        <v>48.338000000000001</v>
      </c>
      <c r="C313">
        <v>48.497999999999998</v>
      </c>
      <c r="E313">
        <v>97.2</v>
      </c>
    </row>
    <row r="314" spans="1:5" x14ac:dyDescent="0.35">
      <c r="A314" s="66">
        <v>30317</v>
      </c>
      <c r="B314">
        <v>48.564</v>
      </c>
      <c r="C314">
        <v>48.83</v>
      </c>
      <c r="E314">
        <v>97.6</v>
      </c>
    </row>
    <row r="315" spans="1:5" x14ac:dyDescent="0.35">
      <c r="A315" s="66">
        <v>30348</v>
      </c>
      <c r="B315">
        <v>48.646000000000001</v>
      </c>
      <c r="C315">
        <v>49.011000000000003</v>
      </c>
      <c r="E315">
        <v>98</v>
      </c>
    </row>
    <row r="316" spans="1:5" x14ac:dyDescent="0.35">
      <c r="A316" s="66">
        <v>30376</v>
      </c>
      <c r="B316">
        <v>48.709000000000003</v>
      </c>
      <c r="C316">
        <v>49.073</v>
      </c>
      <c r="E316">
        <v>98.2</v>
      </c>
    </row>
    <row r="317" spans="1:5" x14ac:dyDescent="0.35">
      <c r="A317" s="66">
        <v>30407</v>
      </c>
      <c r="B317">
        <v>48.930999999999997</v>
      </c>
      <c r="C317">
        <v>49.222000000000001</v>
      </c>
      <c r="E317">
        <v>98.6</v>
      </c>
    </row>
    <row r="318" spans="1:5" x14ac:dyDescent="0.35">
      <c r="A318" s="66">
        <v>30437</v>
      </c>
      <c r="B318">
        <v>49.07</v>
      </c>
      <c r="C318">
        <v>49.292999999999999</v>
      </c>
      <c r="E318">
        <v>98.9</v>
      </c>
    </row>
    <row r="319" spans="1:5" x14ac:dyDescent="0.35">
      <c r="A319" s="66">
        <v>30468</v>
      </c>
      <c r="B319">
        <v>49.253</v>
      </c>
      <c r="C319">
        <v>49.523000000000003</v>
      </c>
      <c r="E319">
        <v>99.2</v>
      </c>
    </row>
    <row r="320" spans="1:5" x14ac:dyDescent="0.35">
      <c r="A320" s="66">
        <v>30498</v>
      </c>
      <c r="B320">
        <v>49.53</v>
      </c>
      <c r="C320">
        <v>49.856000000000002</v>
      </c>
      <c r="E320">
        <v>99.8</v>
      </c>
    </row>
    <row r="321" spans="1:5" x14ac:dyDescent="0.35">
      <c r="A321" s="66">
        <v>30529</v>
      </c>
      <c r="B321">
        <v>49.743000000000002</v>
      </c>
      <c r="C321">
        <v>50.113</v>
      </c>
      <c r="E321">
        <v>100.1</v>
      </c>
    </row>
    <row r="322" spans="1:5" x14ac:dyDescent="0.35">
      <c r="A322" s="66">
        <v>30560</v>
      </c>
      <c r="B322">
        <v>49.915999999999997</v>
      </c>
      <c r="C322">
        <v>50.316000000000003</v>
      </c>
      <c r="E322">
        <v>100.5</v>
      </c>
    </row>
    <row r="323" spans="1:5" x14ac:dyDescent="0.35">
      <c r="A323" s="66">
        <v>30590</v>
      </c>
      <c r="B323">
        <v>50.002000000000002</v>
      </c>
      <c r="C323">
        <v>50.405000000000001</v>
      </c>
      <c r="E323">
        <v>101</v>
      </c>
    </row>
    <row r="324" spans="1:5" x14ac:dyDescent="0.35">
      <c r="A324" s="66">
        <v>30621</v>
      </c>
      <c r="B324">
        <v>50.072000000000003</v>
      </c>
      <c r="C324">
        <v>50.523000000000003</v>
      </c>
      <c r="E324">
        <v>101.5</v>
      </c>
    </row>
    <row r="325" spans="1:5" x14ac:dyDescent="0.35">
      <c r="A325" s="66">
        <v>30651</v>
      </c>
      <c r="B325">
        <v>50.1</v>
      </c>
      <c r="C325">
        <v>50.56</v>
      </c>
      <c r="E325">
        <v>101.8</v>
      </c>
    </row>
    <row r="326" spans="1:5" x14ac:dyDescent="0.35">
      <c r="A326" s="66">
        <v>30682</v>
      </c>
      <c r="B326">
        <v>50.317999999999998</v>
      </c>
      <c r="C326">
        <v>50.728999999999999</v>
      </c>
      <c r="E326">
        <v>102.5</v>
      </c>
    </row>
    <row r="327" spans="1:5" x14ac:dyDescent="0.35">
      <c r="A327" s="66">
        <v>30713</v>
      </c>
      <c r="B327">
        <v>50.655999999999999</v>
      </c>
      <c r="C327">
        <v>51.048999999999999</v>
      </c>
      <c r="E327">
        <v>102.8</v>
      </c>
    </row>
    <row r="328" spans="1:5" x14ac:dyDescent="0.35">
      <c r="A328" s="66">
        <v>30742</v>
      </c>
      <c r="B328">
        <v>50.823</v>
      </c>
      <c r="C328">
        <v>51.241999999999997</v>
      </c>
      <c r="E328">
        <v>103.2</v>
      </c>
    </row>
    <row r="329" spans="1:5" x14ac:dyDescent="0.35">
      <c r="A329" s="66">
        <v>30773</v>
      </c>
      <c r="B329">
        <v>51.015999999999998</v>
      </c>
      <c r="C329">
        <v>51.482999999999997</v>
      </c>
      <c r="E329">
        <v>103.7</v>
      </c>
    </row>
    <row r="330" spans="1:5" x14ac:dyDescent="0.35">
      <c r="A330" s="66">
        <v>30803</v>
      </c>
      <c r="B330">
        <v>51.08</v>
      </c>
      <c r="C330">
        <v>51.601999999999997</v>
      </c>
      <c r="E330">
        <v>104.1</v>
      </c>
    </row>
    <row r="331" spans="1:5" x14ac:dyDescent="0.35">
      <c r="A331" s="66">
        <v>30834</v>
      </c>
      <c r="B331">
        <v>51.170999999999999</v>
      </c>
      <c r="C331">
        <v>51.723999999999997</v>
      </c>
      <c r="E331">
        <v>104.5</v>
      </c>
    </row>
    <row r="332" spans="1:5" x14ac:dyDescent="0.35">
      <c r="A332" s="66">
        <v>30864</v>
      </c>
      <c r="B332">
        <v>51.353999999999999</v>
      </c>
      <c r="C332">
        <v>51.947000000000003</v>
      </c>
      <c r="E332">
        <v>105</v>
      </c>
    </row>
    <row r="333" spans="1:5" x14ac:dyDescent="0.35">
      <c r="A333" s="66">
        <v>30895</v>
      </c>
      <c r="B333">
        <v>51.512</v>
      </c>
      <c r="C333">
        <v>52.118000000000002</v>
      </c>
      <c r="E333">
        <v>105.4</v>
      </c>
    </row>
    <row r="334" spans="1:5" x14ac:dyDescent="0.35">
      <c r="A334" s="66">
        <v>30926</v>
      </c>
      <c r="B334">
        <v>51.582000000000001</v>
      </c>
      <c r="C334">
        <v>52.198</v>
      </c>
      <c r="E334">
        <v>105.8</v>
      </c>
    </row>
    <row r="335" spans="1:5" x14ac:dyDescent="0.35">
      <c r="A335" s="66">
        <v>30956</v>
      </c>
      <c r="B335">
        <v>51.704000000000001</v>
      </c>
      <c r="C335">
        <v>52.314999999999998</v>
      </c>
      <c r="E335">
        <v>106.2</v>
      </c>
    </row>
    <row r="336" spans="1:5" x14ac:dyDescent="0.35">
      <c r="A336" s="66">
        <v>30987</v>
      </c>
      <c r="B336">
        <v>51.776000000000003</v>
      </c>
      <c r="C336">
        <v>52.426000000000002</v>
      </c>
      <c r="E336">
        <v>106.4</v>
      </c>
    </row>
    <row r="337" spans="1:5" x14ac:dyDescent="0.35">
      <c r="A337" s="66">
        <v>31017</v>
      </c>
      <c r="B337">
        <v>51.921999999999997</v>
      </c>
      <c r="C337">
        <v>52.634</v>
      </c>
      <c r="E337">
        <v>106.8</v>
      </c>
    </row>
    <row r="338" spans="1:5" x14ac:dyDescent="0.35">
      <c r="A338" s="66">
        <v>31048</v>
      </c>
      <c r="B338">
        <v>52.182000000000002</v>
      </c>
      <c r="C338">
        <v>52.927999999999997</v>
      </c>
      <c r="E338">
        <v>107.1</v>
      </c>
    </row>
    <row r="339" spans="1:5" x14ac:dyDescent="0.35">
      <c r="A339" s="66">
        <v>31079</v>
      </c>
      <c r="B339">
        <v>52.423999999999999</v>
      </c>
      <c r="C339">
        <v>53.204000000000001</v>
      </c>
      <c r="E339">
        <v>107.7</v>
      </c>
    </row>
    <row r="340" spans="1:5" x14ac:dyDescent="0.35">
      <c r="A340" s="66">
        <v>31107</v>
      </c>
      <c r="B340">
        <v>52.628999999999998</v>
      </c>
      <c r="C340">
        <v>53.39</v>
      </c>
      <c r="E340">
        <v>108.1</v>
      </c>
    </row>
    <row r="341" spans="1:5" x14ac:dyDescent="0.35">
      <c r="A341" s="66">
        <v>31138</v>
      </c>
      <c r="B341">
        <v>52.706000000000003</v>
      </c>
      <c r="C341">
        <v>53.453000000000003</v>
      </c>
      <c r="E341">
        <v>108.4</v>
      </c>
    </row>
    <row r="342" spans="1:5" x14ac:dyDescent="0.35">
      <c r="A342" s="66">
        <v>31168</v>
      </c>
      <c r="B342">
        <v>52.831000000000003</v>
      </c>
      <c r="C342">
        <v>53.637999999999998</v>
      </c>
      <c r="E342">
        <v>108.8</v>
      </c>
    </row>
    <row r="343" spans="1:5" x14ac:dyDescent="0.35">
      <c r="A343" s="66">
        <v>31199</v>
      </c>
      <c r="B343">
        <v>52.973999999999997</v>
      </c>
      <c r="C343">
        <v>53.814999999999998</v>
      </c>
      <c r="E343">
        <v>109.1</v>
      </c>
    </row>
    <row r="344" spans="1:5" x14ac:dyDescent="0.35">
      <c r="A344" s="66">
        <v>31229</v>
      </c>
      <c r="B344">
        <v>53.103999999999999</v>
      </c>
      <c r="C344">
        <v>53.972999999999999</v>
      </c>
      <c r="E344">
        <v>109.4</v>
      </c>
    </row>
    <row r="345" spans="1:5" x14ac:dyDescent="0.35">
      <c r="A345" s="66">
        <v>31260</v>
      </c>
      <c r="B345">
        <v>53.28</v>
      </c>
      <c r="C345">
        <v>54.237000000000002</v>
      </c>
      <c r="E345">
        <v>109.8</v>
      </c>
    </row>
    <row r="346" spans="1:5" x14ac:dyDescent="0.35">
      <c r="A346" s="66">
        <v>31291</v>
      </c>
      <c r="B346">
        <v>53.37</v>
      </c>
      <c r="C346">
        <v>54.348999999999997</v>
      </c>
      <c r="E346">
        <v>110</v>
      </c>
    </row>
    <row r="347" spans="1:5" x14ac:dyDescent="0.35">
      <c r="A347" s="66">
        <v>31321</v>
      </c>
      <c r="B347">
        <v>53.459000000000003</v>
      </c>
      <c r="C347">
        <v>54.436</v>
      </c>
      <c r="E347">
        <v>110.5</v>
      </c>
    </row>
    <row r="348" spans="1:5" x14ac:dyDescent="0.35">
      <c r="A348" s="66">
        <v>31352</v>
      </c>
      <c r="B348">
        <v>53.613999999999997</v>
      </c>
      <c r="C348">
        <v>54.57</v>
      </c>
      <c r="E348">
        <v>111.1</v>
      </c>
    </row>
    <row r="349" spans="1:5" x14ac:dyDescent="0.35">
      <c r="A349" s="66">
        <v>31382</v>
      </c>
      <c r="B349">
        <v>53.795000000000002</v>
      </c>
      <c r="C349">
        <v>54.718000000000004</v>
      </c>
      <c r="E349">
        <v>111.4</v>
      </c>
    </row>
    <row r="350" spans="1:5" x14ac:dyDescent="0.35">
      <c r="A350" s="66">
        <v>31413</v>
      </c>
      <c r="B350">
        <v>54.042000000000002</v>
      </c>
      <c r="C350">
        <v>55.014000000000003</v>
      </c>
      <c r="E350">
        <v>111.9</v>
      </c>
    </row>
    <row r="351" spans="1:5" x14ac:dyDescent="0.35">
      <c r="A351" s="66">
        <v>31444</v>
      </c>
      <c r="B351">
        <v>54.042000000000002</v>
      </c>
      <c r="C351">
        <v>55.155999999999999</v>
      </c>
      <c r="E351">
        <v>112.2</v>
      </c>
    </row>
    <row r="352" spans="1:5" x14ac:dyDescent="0.35">
      <c r="A352" s="66">
        <v>31472</v>
      </c>
      <c r="B352">
        <v>53.923999999999999</v>
      </c>
      <c r="C352">
        <v>55.323999999999998</v>
      </c>
      <c r="E352">
        <v>112.5</v>
      </c>
    </row>
    <row r="353" spans="1:5" x14ac:dyDescent="0.35">
      <c r="A353" s="66">
        <v>31503</v>
      </c>
      <c r="B353">
        <v>53.813000000000002</v>
      </c>
      <c r="C353">
        <v>55.423999999999999</v>
      </c>
      <c r="E353">
        <v>112.9</v>
      </c>
    </row>
    <row r="354" spans="1:5" x14ac:dyDescent="0.35">
      <c r="A354" s="66">
        <v>31533</v>
      </c>
      <c r="B354">
        <v>53.911999999999999</v>
      </c>
      <c r="C354">
        <v>55.518000000000001</v>
      </c>
      <c r="E354">
        <v>113.1</v>
      </c>
    </row>
    <row r="355" spans="1:5" x14ac:dyDescent="0.35">
      <c r="A355" s="66">
        <v>31564</v>
      </c>
      <c r="B355">
        <v>54.112000000000002</v>
      </c>
      <c r="C355">
        <v>55.685000000000002</v>
      </c>
      <c r="E355">
        <v>113.4</v>
      </c>
    </row>
    <row r="356" spans="1:5" x14ac:dyDescent="0.35">
      <c r="A356" s="66">
        <v>31594</v>
      </c>
      <c r="B356">
        <v>54.125999999999998</v>
      </c>
      <c r="C356">
        <v>55.786000000000001</v>
      </c>
      <c r="E356">
        <v>113.8</v>
      </c>
    </row>
    <row r="357" spans="1:5" x14ac:dyDescent="0.35">
      <c r="A357" s="66">
        <v>31625</v>
      </c>
      <c r="B357">
        <v>54.194000000000003</v>
      </c>
      <c r="C357">
        <v>55.901000000000003</v>
      </c>
      <c r="E357">
        <v>114.2</v>
      </c>
    </row>
    <row r="358" spans="1:5" x14ac:dyDescent="0.35">
      <c r="A358" s="66">
        <v>31656</v>
      </c>
      <c r="B358">
        <v>54.371000000000002</v>
      </c>
      <c r="C358">
        <v>56.085000000000001</v>
      </c>
      <c r="E358">
        <v>114.6</v>
      </c>
    </row>
    <row r="359" spans="1:5" x14ac:dyDescent="0.35">
      <c r="A359" s="66">
        <v>31686</v>
      </c>
      <c r="B359">
        <v>54.469000000000001</v>
      </c>
      <c r="C359">
        <v>56.274000000000001</v>
      </c>
      <c r="E359">
        <v>115</v>
      </c>
    </row>
    <row r="360" spans="1:5" x14ac:dyDescent="0.35">
      <c r="A360" s="66">
        <v>31717</v>
      </c>
      <c r="B360">
        <v>54.566000000000003</v>
      </c>
      <c r="C360">
        <v>56.393999999999998</v>
      </c>
      <c r="E360">
        <v>115.3</v>
      </c>
    </row>
    <row r="361" spans="1:5" x14ac:dyDescent="0.35">
      <c r="A361" s="66">
        <v>31747</v>
      </c>
      <c r="B361">
        <v>54.64</v>
      </c>
      <c r="C361">
        <v>56.466000000000001</v>
      </c>
      <c r="E361">
        <v>115.6</v>
      </c>
    </row>
    <row r="362" spans="1:5" x14ac:dyDescent="0.35">
      <c r="A362" s="66">
        <v>31778</v>
      </c>
      <c r="B362">
        <v>54.895000000000003</v>
      </c>
      <c r="C362">
        <v>56.600999999999999</v>
      </c>
      <c r="E362">
        <v>115.9</v>
      </c>
    </row>
    <row r="363" spans="1:5" x14ac:dyDescent="0.35">
      <c r="A363" s="66">
        <v>31809</v>
      </c>
      <c r="B363">
        <v>55.088000000000001</v>
      </c>
      <c r="C363">
        <v>56.713999999999999</v>
      </c>
      <c r="E363">
        <v>116.2</v>
      </c>
    </row>
    <row r="364" spans="1:5" x14ac:dyDescent="0.35">
      <c r="A364" s="66">
        <v>31837</v>
      </c>
      <c r="B364">
        <v>55.232999999999997</v>
      </c>
      <c r="C364">
        <v>56.881999999999998</v>
      </c>
      <c r="E364">
        <v>116.6</v>
      </c>
    </row>
    <row r="365" spans="1:5" x14ac:dyDescent="0.35">
      <c r="A365" s="66">
        <v>31868</v>
      </c>
      <c r="B365">
        <v>55.439</v>
      </c>
      <c r="C365">
        <v>57.122999999999998</v>
      </c>
      <c r="E365">
        <v>117.3</v>
      </c>
    </row>
    <row r="366" spans="1:5" x14ac:dyDescent="0.35">
      <c r="A366" s="66">
        <v>31898</v>
      </c>
      <c r="B366">
        <v>55.58</v>
      </c>
      <c r="C366">
        <v>57.283000000000001</v>
      </c>
      <c r="E366">
        <v>117.7</v>
      </c>
    </row>
    <row r="367" spans="1:5" x14ac:dyDescent="0.35">
      <c r="A367" s="66">
        <v>31929</v>
      </c>
      <c r="B367">
        <v>55.790999999999997</v>
      </c>
      <c r="C367">
        <v>57.441000000000003</v>
      </c>
      <c r="E367">
        <v>117.9</v>
      </c>
    </row>
    <row r="368" spans="1:5" x14ac:dyDescent="0.35">
      <c r="A368" s="66">
        <v>31959</v>
      </c>
      <c r="B368">
        <v>55.918999999999997</v>
      </c>
      <c r="C368">
        <v>57.588999999999999</v>
      </c>
      <c r="E368">
        <v>118.3</v>
      </c>
    </row>
    <row r="369" spans="1:5" x14ac:dyDescent="0.35">
      <c r="A369" s="66">
        <v>31990</v>
      </c>
      <c r="B369">
        <v>56.14</v>
      </c>
      <c r="C369">
        <v>57.783000000000001</v>
      </c>
      <c r="E369">
        <v>118.7</v>
      </c>
    </row>
    <row r="370" spans="1:5" x14ac:dyDescent="0.35">
      <c r="A370" s="66">
        <v>32021</v>
      </c>
      <c r="B370">
        <v>56.329000000000001</v>
      </c>
      <c r="C370">
        <v>58.012</v>
      </c>
      <c r="E370">
        <v>119.2</v>
      </c>
    </row>
    <row r="371" spans="1:5" x14ac:dyDescent="0.35">
      <c r="A371" s="66">
        <v>32051</v>
      </c>
      <c r="B371">
        <v>56.508000000000003</v>
      </c>
      <c r="C371">
        <v>58.26</v>
      </c>
      <c r="E371">
        <v>119.8</v>
      </c>
    </row>
    <row r="372" spans="1:5" x14ac:dyDescent="0.35">
      <c r="A372" s="66">
        <v>32082</v>
      </c>
      <c r="B372">
        <v>56.616</v>
      </c>
      <c r="C372">
        <v>58.381999999999998</v>
      </c>
      <c r="E372">
        <v>120.1</v>
      </c>
    </row>
    <row r="373" spans="1:5" x14ac:dyDescent="0.35">
      <c r="A373" s="66">
        <v>32112</v>
      </c>
      <c r="B373">
        <v>56.72</v>
      </c>
      <c r="C373">
        <v>58.505000000000003</v>
      </c>
      <c r="E373">
        <v>120.4</v>
      </c>
    </row>
    <row r="374" spans="1:5" x14ac:dyDescent="0.35">
      <c r="A374" s="66">
        <v>32143</v>
      </c>
      <c r="B374">
        <v>56.941000000000003</v>
      </c>
      <c r="C374">
        <v>58.780999999999999</v>
      </c>
      <c r="E374">
        <v>120.9</v>
      </c>
    </row>
    <row r="375" spans="1:5" x14ac:dyDescent="0.35">
      <c r="A375" s="66">
        <v>32174</v>
      </c>
      <c r="B375">
        <v>57.024000000000001</v>
      </c>
      <c r="C375">
        <v>58.902000000000001</v>
      </c>
      <c r="E375">
        <v>121.2</v>
      </c>
    </row>
    <row r="376" spans="1:5" x14ac:dyDescent="0.35">
      <c r="A376" s="66">
        <v>32203</v>
      </c>
      <c r="B376">
        <v>57.220999999999997</v>
      </c>
      <c r="C376">
        <v>59.154000000000003</v>
      </c>
      <c r="E376">
        <v>121.7</v>
      </c>
    </row>
    <row r="377" spans="1:5" x14ac:dyDescent="0.35">
      <c r="A377" s="66">
        <v>32234</v>
      </c>
      <c r="B377">
        <v>57.499000000000002</v>
      </c>
      <c r="C377">
        <v>59.441000000000003</v>
      </c>
      <c r="E377">
        <v>122.3</v>
      </c>
    </row>
    <row r="378" spans="1:5" x14ac:dyDescent="0.35">
      <c r="A378" s="66">
        <v>32264</v>
      </c>
      <c r="B378">
        <v>57.665999999999997</v>
      </c>
      <c r="C378">
        <v>59.643999999999998</v>
      </c>
      <c r="E378">
        <v>122.7</v>
      </c>
    </row>
    <row r="379" spans="1:5" x14ac:dyDescent="0.35">
      <c r="A379" s="66">
        <v>32295</v>
      </c>
      <c r="B379">
        <v>57.911999999999999</v>
      </c>
      <c r="C379">
        <v>59.896000000000001</v>
      </c>
      <c r="E379">
        <v>123.2</v>
      </c>
    </row>
    <row r="380" spans="1:5" x14ac:dyDescent="0.35">
      <c r="A380" s="66">
        <v>32325</v>
      </c>
      <c r="B380">
        <v>58.192999999999998</v>
      </c>
      <c r="C380">
        <v>60.14</v>
      </c>
      <c r="E380">
        <v>123.6</v>
      </c>
    </row>
    <row r="381" spans="1:5" x14ac:dyDescent="0.35">
      <c r="A381" s="66">
        <v>32356</v>
      </c>
      <c r="B381">
        <v>58.366</v>
      </c>
      <c r="C381">
        <v>60.289000000000001</v>
      </c>
      <c r="E381">
        <v>124</v>
      </c>
    </row>
    <row r="382" spans="1:5" x14ac:dyDescent="0.35">
      <c r="A382" s="66">
        <v>32387</v>
      </c>
      <c r="B382">
        <v>58.65</v>
      </c>
      <c r="C382">
        <v>60.613</v>
      </c>
      <c r="E382">
        <v>124.7</v>
      </c>
    </row>
    <row r="383" spans="1:5" x14ac:dyDescent="0.35">
      <c r="A383" s="66">
        <v>32417</v>
      </c>
      <c r="B383">
        <v>58.841000000000001</v>
      </c>
      <c r="C383">
        <v>60.843000000000004</v>
      </c>
      <c r="E383">
        <v>125.2</v>
      </c>
    </row>
    <row r="384" spans="1:5" x14ac:dyDescent="0.35">
      <c r="A384" s="66">
        <v>32448</v>
      </c>
      <c r="B384">
        <v>58.978000000000002</v>
      </c>
      <c r="C384">
        <v>61.01</v>
      </c>
      <c r="E384">
        <v>125.6</v>
      </c>
    </row>
    <row r="385" spans="1:5" x14ac:dyDescent="0.35">
      <c r="A385" s="66">
        <v>32478</v>
      </c>
      <c r="B385">
        <v>59.161999999999999</v>
      </c>
      <c r="C385">
        <v>61.212000000000003</v>
      </c>
      <c r="E385">
        <v>126</v>
      </c>
    </row>
    <row r="386" spans="1:5" x14ac:dyDescent="0.35">
      <c r="A386" s="66">
        <v>32509</v>
      </c>
      <c r="B386">
        <v>59.465000000000003</v>
      </c>
      <c r="C386">
        <v>61.521999999999998</v>
      </c>
      <c r="E386">
        <v>126.5</v>
      </c>
    </row>
    <row r="387" spans="1:5" x14ac:dyDescent="0.35">
      <c r="A387" s="66">
        <v>32540</v>
      </c>
      <c r="B387">
        <v>59.662999999999997</v>
      </c>
      <c r="C387">
        <v>61.677999999999997</v>
      </c>
      <c r="E387">
        <v>126.9</v>
      </c>
    </row>
    <row r="388" spans="1:5" x14ac:dyDescent="0.35">
      <c r="A388" s="66">
        <v>32568</v>
      </c>
      <c r="B388">
        <v>59.884999999999998</v>
      </c>
      <c r="C388">
        <v>61.863</v>
      </c>
      <c r="E388">
        <v>127.4</v>
      </c>
    </row>
    <row r="389" spans="1:5" x14ac:dyDescent="0.35">
      <c r="A389" s="66">
        <v>32599</v>
      </c>
      <c r="B389">
        <v>60.283999999999999</v>
      </c>
      <c r="C389">
        <v>62.07</v>
      </c>
      <c r="E389">
        <v>127.8</v>
      </c>
    </row>
    <row r="390" spans="1:5" x14ac:dyDescent="0.35">
      <c r="A390" s="66">
        <v>32629</v>
      </c>
      <c r="B390">
        <v>60.503999999999998</v>
      </c>
      <c r="C390">
        <v>62.256</v>
      </c>
      <c r="E390">
        <v>128.30000000000001</v>
      </c>
    </row>
    <row r="391" spans="1:5" x14ac:dyDescent="0.35">
      <c r="A391" s="66">
        <v>32660</v>
      </c>
      <c r="B391">
        <v>60.637</v>
      </c>
      <c r="C391">
        <v>62.42</v>
      </c>
      <c r="E391">
        <v>128.80000000000001</v>
      </c>
    </row>
    <row r="392" spans="1:5" x14ac:dyDescent="0.35">
      <c r="A392" s="66">
        <v>32690</v>
      </c>
      <c r="B392">
        <v>60.781999999999996</v>
      </c>
      <c r="C392">
        <v>62.581000000000003</v>
      </c>
      <c r="E392">
        <v>129.19999999999999</v>
      </c>
    </row>
    <row r="393" spans="1:5" x14ac:dyDescent="0.35">
      <c r="A393" s="66">
        <v>32721</v>
      </c>
      <c r="B393">
        <v>60.789000000000001</v>
      </c>
      <c r="C393">
        <v>62.668999999999997</v>
      </c>
      <c r="E393">
        <v>129.5</v>
      </c>
    </row>
    <row r="394" spans="1:5" x14ac:dyDescent="0.35">
      <c r="A394" s="66">
        <v>32752</v>
      </c>
      <c r="B394">
        <v>60.923999999999999</v>
      </c>
      <c r="C394">
        <v>62.886000000000003</v>
      </c>
      <c r="E394">
        <v>129.9</v>
      </c>
    </row>
    <row r="395" spans="1:5" x14ac:dyDescent="0.35">
      <c r="A395" s="66">
        <v>32782</v>
      </c>
      <c r="B395">
        <v>61.161999999999999</v>
      </c>
      <c r="C395">
        <v>63.113999999999997</v>
      </c>
      <c r="E395">
        <v>130.6</v>
      </c>
    </row>
    <row r="396" spans="1:5" x14ac:dyDescent="0.35">
      <c r="A396" s="66">
        <v>32813</v>
      </c>
      <c r="B396">
        <v>61.295999999999999</v>
      </c>
      <c r="C396">
        <v>63.281999999999996</v>
      </c>
      <c r="E396">
        <v>131.1</v>
      </c>
    </row>
    <row r="397" spans="1:5" x14ac:dyDescent="0.35">
      <c r="A397" s="66">
        <v>32843</v>
      </c>
      <c r="B397">
        <v>61.472999999999999</v>
      </c>
      <c r="C397">
        <v>63.462000000000003</v>
      </c>
      <c r="E397">
        <v>131.6</v>
      </c>
    </row>
    <row r="398" spans="1:5" x14ac:dyDescent="0.35">
      <c r="A398" s="66">
        <v>32874</v>
      </c>
      <c r="B398">
        <v>61.939</v>
      </c>
      <c r="C398">
        <v>63.706000000000003</v>
      </c>
      <c r="E398">
        <v>132.1</v>
      </c>
    </row>
    <row r="399" spans="1:5" x14ac:dyDescent="0.35">
      <c r="A399" s="66">
        <v>32905</v>
      </c>
      <c r="B399">
        <v>62.212000000000003</v>
      </c>
      <c r="C399">
        <v>64.016000000000005</v>
      </c>
      <c r="E399">
        <v>132.69999999999999</v>
      </c>
    </row>
    <row r="400" spans="1:5" x14ac:dyDescent="0.35">
      <c r="A400" s="66">
        <v>32933</v>
      </c>
      <c r="B400">
        <v>62.445999999999998</v>
      </c>
      <c r="C400">
        <v>64.322999999999993</v>
      </c>
      <c r="E400">
        <v>133.5</v>
      </c>
    </row>
    <row r="401" spans="1:5" x14ac:dyDescent="0.35">
      <c r="A401" s="66">
        <v>32964</v>
      </c>
      <c r="B401">
        <v>62.576999999999998</v>
      </c>
      <c r="C401">
        <v>64.515000000000001</v>
      </c>
      <c r="E401">
        <v>134</v>
      </c>
    </row>
    <row r="402" spans="1:5" x14ac:dyDescent="0.35">
      <c r="A402" s="66">
        <v>32994</v>
      </c>
      <c r="B402">
        <v>62.718000000000004</v>
      </c>
      <c r="C402">
        <v>64.712000000000003</v>
      </c>
      <c r="E402">
        <v>134.4</v>
      </c>
    </row>
    <row r="403" spans="1:5" x14ac:dyDescent="0.35">
      <c r="A403" s="66">
        <v>33025</v>
      </c>
      <c r="B403">
        <v>62.994999999999997</v>
      </c>
      <c r="C403">
        <v>64.962999999999994</v>
      </c>
      <c r="E403">
        <v>135.1</v>
      </c>
    </row>
    <row r="404" spans="1:5" x14ac:dyDescent="0.35">
      <c r="A404" s="66">
        <v>33055</v>
      </c>
      <c r="B404">
        <v>63.151000000000003</v>
      </c>
      <c r="C404">
        <v>65.128</v>
      </c>
      <c r="E404">
        <v>135.80000000000001</v>
      </c>
    </row>
    <row r="405" spans="1:5" x14ac:dyDescent="0.35">
      <c r="A405" s="66">
        <v>33086</v>
      </c>
      <c r="B405">
        <v>63.570999999999998</v>
      </c>
      <c r="C405">
        <v>65.397999999999996</v>
      </c>
      <c r="E405">
        <v>136.6</v>
      </c>
    </row>
    <row r="406" spans="1:5" x14ac:dyDescent="0.35">
      <c r="A406" s="66">
        <v>33117</v>
      </c>
      <c r="B406">
        <v>63.960999999999999</v>
      </c>
      <c r="C406">
        <v>65.626999999999995</v>
      </c>
      <c r="E406">
        <v>137.1</v>
      </c>
    </row>
    <row r="407" spans="1:5" x14ac:dyDescent="0.35">
      <c r="A407" s="66">
        <v>33147</v>
      </c>
      <c r="B407">
        <v>64.326999999999998</v>
      </c>
      <c r="C407">
        <v>65.849999999999994</v>
      </c>
      <c r="E407">
        <v>137.6</v>
      </c>
    </row>
    <row r="408" spans="1:5" x14ac:dyDescent="0.35">
      <c r="A408" s="66">
        <v>33178</v>
      </c>
      <c r="B408">
        <v>64.409000000000006</v>
      </c>
      <c r="C408">
        <v>65.929000000000002</v>
      </c>
      <c r="E408">
        <v>138</v>
      </c>
    </row>
    <row r="409" spans="1:5" x14ac:dyDescent="0.35">
      <c r="A409" s="66">
        <v>33208</v>
      </c>
      <c r="B409">
        <v>64.468999999999994</v>
      </c>
      <c r="C409">
        <v>66.021000000000001</v>
      </c>
      <c r="E409">
        <v>138.6</v>
      </c>
    </row>
    <row r="410" spans="1:5" x14ac:dyDescent="0.35">
      <c r="A410" s="66">
        <v>33239</v>
      </c>
      <c r="B410">
        <v>64.713999999999999</v>
      </c>
      <c r="C410">
        <v>66.349999999999994</v>
      </c>
      <c r="E410">
        <v>139.5</v>
      </c>
    </row>
    <row r="411" spans="1:5" x14ac:dyDescent="0.35">
      <c r="A411" s="66">
        <v>33270</v>
      </c>
      <c r="B411">
        <v>64.747</v>
      </c>
      <c r="C411">
        <v>66.533000000000001</v>
      </c>
      <c r="E411">
        <v>140.19999999999999</v>
      </c>
    </row>
    <row r="412" spans="1:5" x14ac:dyDescent="0.35">
      <c r="A412" s="66">
        <v>33298</v>
      </c>
      <c r="B412">
        <v>64.760000000000005</v>
      </c>
      <c r="C412">
        <v>66.671999999999997</v>
      </c>
      <c r="E412">
        <v>140.5</v>
      </c>
    </row>
    <row r="413" spans="1:5" x14ac:dyDescent="0.35">
      <c r="A413" s="66">
        <v>33329</v>
      </c>
      <c r="B413">
        <v>64.878</v>
      </c>
      <c r="C413">
        <v>66.805000000000007</v>
      </c>
      <c r="E413">
        <v>140.9</v>
      </c>
    </row>
    <row r="414" spans="1:5" x14ac:dyDescent="0.35">
      <c r="A414" s="66">
        <v>33359</v>
      </c>
      <c r="B414">
        <v>65.147000000000006</v>
      </c>
      <c r="C414">
        <v>67.072000000000003</v>
      </c>
      <c r="E414">
        <v>141.30000000000001</v>
      </c>
    </row>
    <row r="415" spans="1:5" x14ac:dyDescent="0.35">
      <c r="A415" s="66">
        <v>33390</v>
      </c>
      <c r="B415">
        <v>65.257000000000005</v>
      </c>
      <c r="C415">
        <v>67.215999999999994</v>
      </c>
      <c r="E415">
        <v>141.80000000000001</v>
      </c>
    </row>
    <row r="416" spans="1:5" x14ac:dyDescent="0.35">
      <c r="A416" s="66">
        <v>33420</v>
      </c>
      <c r="B416">
        <v>65.36</v>
      </c>
      <c r="C416">
        <v>67.421000000000006</v>
      </c>
      <c r="E416">
        <v>142.30000000000001</v>
      </c>
    </row>
    <row r="417" spans="1:5" x14ac:dyDescent="0.35">
      <c r="A417" s="66">
        <v>33451</v>
      </c>
      <c r="B417">
        <v>65.510999999999996</v>
      </c>
      <c r="C417">
        <v>67.605999999999995</v>
      </c>
      <c r="E417">
        <v>142.9</v>
      </c>
    </row>
    <row r="418" spans="1:5" x14ac:dyDescent="0.35">
      <c r="A418" s="66">
        <v>33482</v>
      </c>
      <c r="B418">
        <v>65.736999999999995</v>
      </c>
      <c r="C418">
        <v>67.876999999999995</v>
      </c>
      <c r="E418">
        <v>143.4</v>
      </c>
    </row>
    <row r="419" spans="1:5" x14ac:dyDescent="0.35">
      <c r="A419" s="66">
        <v>33512</v>
      </c>
      <c r="B419">
        <v>65.86</v>
      </c>
      <c r="C419">
        <v>68.025999999999996</v>
      </c>
      <c r="E419">
        <v>143.69999999999999</v>
      </c>
    </row>
    <row r="420" spans="1:5" x14ac:dyDescent="0.35">
      <c r="A420" s="66">
        <v>33543</v>
      </c>
      <c r="B420">
        <v>66.004999999999995</v>
      </c>
      <c r="C420">
        <v>68.153000000000006</v>
      </c>
      <c r="E420">
        <v>144.19999999999999</v>
      </c>
    </row>
    <row r="421" spans="1:5" x14ac:dyDescent="0.35">
      <c r="A421" s="66">
        <v>33573</v>
      </c>
      <c r="B421">
        <v>66.17</v>
      </c>
      <c r="C421">
        <v>68.320999999999998</v>
      </c>
      <c r="E421">
        <v>144.69999999999999</v>
      </c>
    </row>
    <row r="422" spans="1:5" x14ac:dyDescent="0.35">
      <c r="A422" s="66">
        <v>33604</v>
      </c>
      <c r="B422">
        <v>66.260000000000005</v>
      </c>
      <c r="C422">
        <v>68.507000000000005</v>
      </c>
      <c r="E422">
        <v>145.1</v>
      </c>
    </row>
    <row r="423" spans="1:5" x14ac:dyDescent="0.35">
      <c r="A423" s="66">
        <v>33635</v>
      </c>
      <c r="B423">
        <v>66.427999999999997</v>
      </c>
      <c r="C423">
        <v>68.692999999999998</v>
      </c>
      <c r="E423">
        <v>145.4</v>
      </c>
    </row>
    <row r="424" spans="1:5" x14ac:dyDescent="0.35">
      <c r="A424" s="66">
        <v>33664</v>
      </c>
      <c r="B424">
        <v>66.588999999999999</v>
      </c>
      <c r="C424">
        <v>68.864999999999995</v>
      </c>
      <c r="E424">
        <v>145.9</v>
      </c>
    </row>
    <row r="425" spans="1:5" x14ac:dyDescent="0.35">
      <c r="A425" s="66">
        <v>33695</v>
      </c>
      <c r="B425">
        <v>66.769000000000005</v>
      </c>
      <c r="C425">
        <v>69.090999999999994</v>
      </c>
      <c r="E425">
        <v>146.30000000000001</v>
      </c>
    </row>
    <row r="426" spans="1:5" x14ac:dyDescent="0.35">
      <c r="A426" s="66">
        <v>33725</v>
      </c>
      <c r="B426">
        <v>66.856999999999999</v>
      </c>
      <c r="C426">
        <v>69.188000000000002</v>
      </c>
      <c r="E426">
        <v>146.80000000000001</v>
      </c>
    </row>
    <row r="427" spans="1:5" x14ac:dyDescent="0.35">
      <c r="A427" s="66">
        <v>33756</v>
      </c>
      <c r="B427">
        <v>66.975999999999999</v>
      </c>
      <c r="C427">
        <v>69.242000000000004</v>
      </c>
      <c r="E427">
        <v>147.1</v>
      </c>
    </row>
    <row r="428" spans="1:5" x14ac:dyDescent="0.35">
      <c r="A428" s="66">
        <v>33786</v>
      </c>
      <c r="B428">
        <v>67.197000000000003</v>
      </c>
      <c r="C428">
        <v>69.503</v>
      </c>
      <c r="E428">
        <v>147.6</v>
      </c>
    </row>
    <row r="429" spans="1:5" x14ac:dyDescent="0.35">
      <c r="A429" s="66">
        <v>33817</v>
      </c>
      <c r="B429">
        <v>67.287000000000006</v>
      </c>
      <c r="C429">
        <v>69.566999999999993</v>
      </c>
      <c r="E429">
        <v>147.9</v>
      </c>
    </row>
    <row r="430" spans="1:5" x14ac:dyDescent="0.35">
      <c r="A430" s="66">
        <v>33848</v>
      </c>
      <c r="B430">
        <v>67.397000000000006</v>
      </c>
      <c r="C430">
        <v>69.680000000000007</v>
      </c>
      <c r="E430">
        <v>148.1</v>
      </c>
    </row>
    <row r="431" spans="1:5" x14ac:dyDescent="0.35">
      <c r="A431" s="66">
        <v>33878</v>
      </c>
      <c r="B431">
        <v>67.635000000000005</v>
      </c>
      <c r="C431">
        <v>69.947999999999993</v>
      </c>
      <c r="E431">
        <v>148.80000000000001</v>
      </c>
    </row>
    <row r="432" spans="1:5" x14ac:dyDescent="0.35">
      <c r="A432" s="66">
        <v>33909</v>
      </c>
      <c r="B432">
        <v>67.768000000000001</v>
      </c>
      <c r="C432">
        <v>70.100999999999999</v>
      </c>
      <c r="E432">
        <v>149.19999999999999</v>
      </c>
    </row>
    <row r="433" spans="1:5" x14ac:dyDescent="0.35">
      <c r="A433" s="66">
        <v>33939</v>
      </c>
      <c r="B433">
        <v>67.885999999999996</v>
      </c>
      <c r="C433">
        <v>70.230999999999995</v>
      </c>
      <c r="E433">
        <v>149.6</v>
      </c>
    </row>
    <row r="434" spans="1:5" x14ac:dyDescent="0.35">
      <c r="A434" s="66">
        <v>33970</v>
      </c>
      <c r="B434">
        <v>68.052000000000007</v>
      </c>
      <c r="C434">
        <v>70.435000000000002</v>
      </c>
      <c r="E434">
        <v>150.1</v>
      </c>
    </row>
    <row r="435" spans="1:5" x14ac:dyDescent="0.35">
      <c r="A435" s="66">
        <v>34001</v>
      </c>
      <c r="B435">
        <v>68.153999999999996</v>
      </c>
      <c r="C435">
        <v>70.569999999999993</v>
      </c>
      <c r="E435">
        <v>150.6</v>
      </c>
    </row>
    <row r="436" spans="1:5" x14ac:dyDescent="0.35">
      <c r="A436" s="66">
        <v>34029</v>
      </c>
      <c r="B436">
        <v>68.293999999999997</v>
      </c>
      <c r="C436">
        <v>70.722999999999999</v>
      </c>
      <c r="E436">
        <v>150.80000000000001</v>
      </c>
    </row>
    <row r="437" spans="1:5" x14ac:dyDescent="0.35">
      <c r="A437" s="66">
        <v>34060</v>
      </c>
      <c r="B437">
        <v>68.474999999999994</v>
      </c>
      <c r="C437">
        <v>70.929000000000002</v>
      </c>
      <c r="E437">
        <v>151.4</v>
      </c>
    </row>
    <row r="438" spans="1:5" x14ac:dyDescent="0.35">
      <c r="A438" s="66">
        <v>34090</v>
      </c>
      <c r="B438">
        <v>68.686999999999998</v>
      </c>
      <c r="C438">
        <v>71.168999999999997</v>
      </c>
      <c r="E438">
        <v>151.80000000000001</v>
      </c>
    </row>
    <row r="439" spans="1:5" x14ac:dyDescent="0.35">
      <c r="A439" s="66">
        <v>34121</v>
      </c>
      <c r="B439">
        <v>68.710999999999999</v>
      </c>
      <c r="C439">
        <v>71.236999999999995</v>
      </c>
      <c r="E439">
        <v>152.1</v>
      </c>
    </row>
    <row r="440" spans="1:5" x14ac:dyDescent="0.35">
      <c r="A440" s="66">
        <v>34151</v>
      </c>
      <c r="B440">
        <v>68.819999999999993</v>
      </c>
      <c r="C440">
        <v>71.385000000000005</v>
      </c>
      <c r="E440">
        <v>152.30000000000001</v>
      </c>
    </row>
    <row r="441" spans="1:5" x14ac:dyDescent="0.35">
      <c r="A441" s="66">
        <v>34182</v>
      </c>
      <c r="B441">
        <v>68.938000000000002</v>
      </c>
      <c r="C441">
        <v>71.518000000000001</v>
      </c>
      <c r="E441">
        <v>152.80000000000001</v>
      </c>
    </row>
    <row r="442" spans="1:5" x14ac:dyDescent="0.35">
      <c r="A442" s="66">
        <v>34213</v>
      </c>
      <c r="B442">
        <v>69.010000000000005</v>
      </c>
      <c r="C442">
        <v>71.625</v>
      </c>
      <c r="E442">
        <v>152.9</v>
      </c>
    </row>
    <row r="443" spans="1:5" x14ac:dyDescent="0.35">
      <c r="A443" s="66">
        <v>34243</v>
      </c>
      <c r="B443">
        <v>69.227000000000004</v>
      </c>
      <c r="C443">
        <v>71.744</v>
      </c>
      <c r="E443">
        <v>153.4</v>
      </c>
    </row>
    <row r="444" spans="1:5" x14ac:dyDescent="0.35">
      <c r="A444" s="66">
        <v>34274</v>
      </c>
      <c r="B444">
        <v>69.358000000000004</v>
      </c>
      <c r="C444">
        <v>71.927999999999997</v>
      </c>
      <c r="E444">
        <v>153.9</v>
      </c>
    </row>
    <row r="445" spans="1:5" x14ac:dyDescent="0.35">
      <c r="A445" s="66">
        <v>34304</v>
      </c>
      <c r="B445">
        <v>69.373999999999995</v>
      </c>
      <c r="C445">
        <v>71.959999999999994</v>
      </c>
      <c r="E445">
        <v>154.30000000000001</v>
      </c>
    </row>
    <row r="446" spans="1:5" x14ac:dyDescent="0.35">
      <c r="A446" s="66">
        <v>34335</v>
      </c>
      <c r="B446">
        <v>69.397000000000006</v>
      </c>
      <c r="C446">
        <v>72.018000000000001</v>
      </c>
      <c r="E446">
        <v>154.5</v>
      </c>
    </row>
    <row r="447" spans="1:5" x14ac:dyDescent="0.35">
      <c r="A447" s="66">
        <v>34366</v>
      </c>
      <c r="B447">
        <v>69.558000000000007</v>
      </c>
      <c r="C447">
        <v>72.173000000000002</v>
      </c>
      <c r="E447">
        <v>154.80000000000001</v>
      </c>
    </row>
    <row r="448" spans="1:5" x14ac:dyDescent="0.35">
      <c r="A448" s="66">
        <v>34394</v>
      </c>
      <c r="B448">
        <v>69.75</v>
      </c>
      <c r="C448">
        <v>72.42</v>
      </c>
      <c r="E448">
        <v>155.30000000000001</v>
      </c>
    </row>
    <row r="449" spans="1:5" x14ac:dyDescent="0.35">
      <c r="A449" s="66">
        <v>34425</v>
      </c>
      <c r="B449">
        <v>69.831999999999994</v>
      </c>
      <c r="C449">
        <v>72.528000000000006</v>
      </c>
      <c r="E449">
        <v>155.5</v>
      </c>
    </row>
    <row r="450" spans="1:5" x14ac:dyDescent="0.35">
      <c r="A450" s="66">
        <v>34455</v>
      </c>
      <c r="B450">
        <v>69.933000000000007</v>
      </c>
      <c r="C450">
        <v>72.69</v>
      </c>
      <c r="E450">
        <v>155.9</v>
      </c>
    </row>
    <row r="451" spans="1:5" x14ac:dyDescent="0.35">
      <c r="A451" s="66">
        <v>34486</v>
      </c>
      <c r="B451">
        <v>70.103999999999999</v>
      </c>
      <c r="C451">
        <v>72.850999999999999</v>
      </c>
      <c r="E451">
        <v>156.4</v>
      </c>
    </row>
    <row r="452" spans="1:5" x14ac:dyDescent="0.35">
      <c r="A452" s="66">
        <v>34516</v>
      </c>
      <c r="B452">
        <v>70.325000000000003</v>
      </c>
      <c r="C452">
        <v>73.004000000000005</v>
      </c>
      <c r="E452">
        <v>156.69999999999999</v>
      </c>
    </row>
    <row r="453" spans="1:5" x14ac:dyDescent="0.35">
      <c r="A453" s="66">
        <v>34547</v>
      </c>
      <c r="B453">
        <v>70.486000000000004</v>
      </c>
      <c r="C453">
        <v>73.085999999999999</v>
      </c>
      <c r="E453">
        <v>157.1</v>
      </c>
    </row>
    <row r="454" spans="1:5" x14ac:dyDescent="0.35">
      <c r="A454" s="66">
        <v>34578</v>
      </c>
      <c r="B454">
        <v>70.564999999999998</v>
      </c>
      <c r="C454">
        <v>73.197000000000003</v>
      </c>
      <c r="E454">
        <v>157.5</v>
      </c>
    </row>
    <row r="455" spans="1:5" x14ac:dyDescent="0.35">
      <c r="A455" s="66">
        <v>34608</v>
      </c>
      <c r="B455">
        <v>70.683999999999997</v>
      </c>
      <c r="C455">
        <v>73.369</v>
      </c>
      <c r="E455">
        <v>157.80000000000001</v>
      </c>
    </row>
    <row r="456" spans="1:5" x14ac:dyDescent="0.35">
      <c r="A456" s="66">
        <v>34639</v>
      </c>
      <c r="B456">
        <v>70.819000000000003</v>
      </c>
      <c r="C456">
        <v>73.503</v>
      </c>
      <c r="E456">
        <v>158.19999999999999</v>
      </c>
    </row>
    <row r="457" spans="1:5" x14ac:dyDescent="0.35">
      <c r="A457" s="66">
        <v>34669</v>
      </c>
      <c r="B457">
        <v>70.864999999999995</v>
      </c>
      <c r="C457">
        <v>73.528000000000006</v>
      </c>
      <c r="E457">
        <v>158.30000000000001</v>
      </c>
    </row>
    <row r="458" spans="1:5" x14ac:dyDescent="0.35">
      <c r="A458" s="66">
        <v>34700</v>
      </c>
      <c r="B458">
        <v>71.007999999999996</v>
      </c>
      <c r="C458">
        <v>73.710999999999999</v>
      </c>
      <c r="E458">
        <v>159</v>
      </c>
    </row>
    <row r="459" spans="1:5" x14ac:dyDescent="0.35">
      <c r="A459" s="66">
        <v>34731</v>
      </c>
      <c r="B459">
        <v>71.134</v>
      </c>
      <c r="C459">
        <v>73.831000000000003</v>
      </c>
      <c r="E459">
        <v>159.4</v>
      </c>
    </row>
    <row r="460" spans="1:5" x14ac:dyDescent="0.35">
      <c r="A460" s="66">
        <v>34759</v>
      </c>
      <c r="B460">
        <v>71.265000000000001</v>
      </c>
      <c r="C460">
        <v>74.013000000000005</v>
      </c>
      <c r="E460">
        <v>159.9</v>
      </c>
    </row>
    <row r="461" spans="1:5" x14ac:dyDescent="0.35">
      <c r="A461" s="66">
        <v>34790</v>
      </c>
      <c r="B461">
        <v>71.453000000000003</v>
      </c>
      <c r="C461">
        <v>74.183999999999997</v>
      </c>
      <c r="E461">
        <v>160.4</v>
      </c>
    </row>
    <row r="462" spans="1:5" x14ac:dyDescent="0.35">
      <c r="A462" s="66">
        <v>34820</v>
      </c>
      <c r="B462">
        <v>71.563000000000002</v>
      </c>
      <c r="C462">
        <v>74.311000000000007</v>
      </c>
      <c r="E462">
        <v>160.69999999999999</v>
      </c>
    </row>
    <row r="463" spans="1:5" x14ac:dyDescent="0.35">
      <c r="A463" s="66">
        <v>34851</v>
      </c>
      <c r="B463">
        <v>71.632999999999996</v>
      </c>
      <c r="C463">
        <v>74.375</v>
      </c>
      <c r="E463">
        <v>161.1</v>
      </c>
    </row>
    <row r="464" spans="1:5" x14ac:dyDescent="0.35">
      <c r="A464" s="66">
        <v>34881</v>
      </c>
      <c r="B464">
        <v>71.721999999999994</v>
      </c>
      <c r="C464">
        <v>74.492999999999995</v>
      </c>
      <c r="E464">
        <v>161.4</v>
      </c>
    </row>
    <row r="465" spans="1:5" x14ac:dyDescent="0.35">
      <c r="A465" s="66">
        <v>34912</v>
      </c>
      <c r="B465">
        <v>71.876999999999995</v>
      </c>
      <c r="C465">
        <v>74.671000000000006</v>
      </c>
      <c r="E465">
        <v>161.80000000000001</v>
      </c>
    </row>
    <row r="466" spans="1:5" x14ac:dyDescent="0.35">
      <c r="A466" s="66">
        <v>34943</v>
      </c>
      <c r="B466">
        <v>71.926000000000002</v>
      </c>
      <c r="C466">
        <v>74.77</v>
      </c>
      <c r="E466">
        <v>162.19999999999999</v>
      </c>
    </row>
    <row r="467" spans="1:5" x14ac:dyDescent="0.35">
      <c r="A467" s="66">
        <v>34973</v>
      </c>
      <c r="B467">
        <v>72.113</v>
      </c>
      <c r="C467">
        <v>74.951999999999998</v>
      </c>
      <c r="E467">
        <v>162.69999999999999</v>
      </c>
    </row>
    <row r="468" spans="1:5" x14ac:dyDescent="0.35">
      <c r="A468" s="66">
        <v>35004</v>
      </c>
      <c r="B468">
        <v>72.111000000000004</v>
      </c>
      <c r="C468">
        <v>75</v>
      </c>
      <c r="E468">
        <v>163</v>
      </c>
    </row>
    <row r="469" spans="1:5" x14ac:dyDescent="0.35">
      <c r="A469" s="66">
        <v>35034</v>
      </c>
      <c r="B469">
        <v>72.248999999999995</v>
      </c>
      <c r="C469">
        <v>75.105000000000004</v>
      </c>
      <c r="E469">
        <v>163.1</v>
      </c>
    </row>
    <row r="470" spans="1:5" x14ac:dyDescent="0.35">
      <c r="A470" s="66">
        <v>35065</v>
      </c>
      <c r="B470">
        <v>72.41</v>
      </c>
      <c r="C470">
        <v>75.19</v>
      </c>
      <c r="E470">
        <v>163.69999999999999</v>
      </c>
    </row>
    <row r="471" spans="1:5" x14ac:dyDescent="0.35">
      <c r="A471" s="66">
        <v>35096</v>
      </c>
      <c r="B471">
        <v>72.524000000000001</v>
      </c>
      <c r="C471">
        <v>75.287999999999997</v>
      </c>
      <c r="E471">
        <v>164</v>
      </c>
    </row>
    <row r="472" spans="1:5" x14ac:dyDescent="0.35">
      <c r="A472" s="66">
        <v>35125</v>
      </c>
      <c r="B472">
        <v>72.742999999999995</v>
      </c>
      <c r="C472">
        <v>75.462000000000003</v>
      </c>
      <c r="E472">
        <v>164.4</v>
      </c>
    </row>
    <row r="473" spans="1:5" x14ac:dyDescent="0.35">
      <c r="A473" s="66">
        <v>35156</v>
      </c>
      <c r="B473">
        <v>72.960999999999999</v>
      </c>
      <c r="C473">
        <v>75.564999999999998</v>
      </c>
      <c r="E473">
        <v>164.6</v>
      </c>
    </row>
    <row r="474" spans="1:5" x14ac:dyDescent="0.35">
      <c r="A474" s="66">
        <v>35186</v>
      </c>
      <c r="B474">
        <v>73.087000000000003</v>
      </c>
      <c r="C474">
        <v>75.695999999999998</v>
      </c>
      <c r="E474">
        <v>165</v>
      </c>
    </row>
    <row r="475" spans="1:5" x14ac:dyDescent="0.35">
      <c r="A475" s="66">
        <v>35217</v>
      </c>
      <c r="B475">
        <v>73.085999999999999</v>
      </c>
      <c r="C475">
        <v>75.754000000000005</v>
      </c>
      <c r="E475">
        <v>165.4</v>
      </c>
    </row>
    <row r="476" spans="1:5" x14ac:dyDescent="0.35">
      <c r="A476" s="66">
        <v>35247</v>
      </c>
      <c r="B476">
        <v>73.241</v>
      </c>
      <c r="C476">
        <v>75.897000000000006</v>
      </c>
      <c r="E476">
        <v>165.7</v>
      </c>
    </row>
    <row r="477" spans="1:5" x14ac:dyDescent="0.35">
      <c r="A477" s="66">
        <v>35278</v>
      </c>
      <c r="B477">
        <v>73.31</v>
      </c>
      <c r="C477">
        <v>75.962000000000003</v>
      </c>
      <c r="E477">
        <v>166</v>
      </c>
    </row>
    <row r="478" spans="1:5" x14ac:dyDescent="0.35">
      <c r="A478" s="66">
        <v>35309</v>
      </c>
      <c r="B478">
        <v>73.516999999999996</v>
      </c>
      <c r="C478">
        <v>76.191999999999993</v>
      </c>
      <c r="E478">
        <v>166.5</v>
      </c>
    </row>
    <row r="479" spans="1:5" x14ac:dyDescent="0.35">
      <c r="A479" s="66">
        <v>35339</v>
      </c>
      <c r="B479">
        <v>73.739999999999995</v>
      </c>
      <c r="C479">
        <v>76.373000000000005</v>
      </c>
      <c r="E479">
        <v>166.8</v>
      </c>
    </row>
    <row r="480" spans="1:5" x14ac:dyDescent="0.35">
      <c r="A480" s="66">
        <v>35370</v>
      </c>
      <c r="B480">
        <v>73.870999999999995</v>
      </c>
      <c r="C480">
        <v>76.472999999999999</v>
      </c>
      <c r="E480">
        <v>167.2</v>
      </c>
    </row>
    <row r="481" spans="1:5" x14ac:dyDescent="0.35">
      <c r="A481" s="66">
        <v>35400</v>
      </c>
      <c r="B481">
        <v>73.956000000000003</v>
      </c>
      <c r="C481">
        <v>76.503</v>
      </c>
      <c r="E481">
        <v>167.4</v>
      </c>
    </row>
    <row r="482" spans="1:5" x14ac:dyDescent="0.35">
      <c r="A482" s="66">
        <v>35431</v>
      </c>
      <c r="B482">
        <v>74.052000000000007</v>
      </c>
      <c r="C482">
        <v>76.584000000000003</v>
      </c>
      <c r="E482">
        <v>167.8</v>
      </c>
    </row>
    <row r="483" spans="1:5" x14ac:dyDescent="0.35">
      <c r="A483" s="66">
        <v>35462</v>
      </c>
      <c r="B483">
        <v>74.207999999999998</v>
      </c>
      <c r="C483">
        <v>76.741</v>
      </c>
      <c r="E483">
        <v>168.1</v>
      </c>
    </row>
    <row r="484" spans="1:5" x14ac:dyDescent="0.35">
      <c r="A484" s="66">
        <v>35490</v>
      </c>
      <c r="B484">
        <v>74.286000000000001</v>
      </c>
      <c r="C484">
        <v>76.924999999999997</v>
      </c>
      <c r="E484">
        <v>168.4</v>
      </c>
    </row>
    <row r="485" spans="1:5" x14ac:dyDescent="0.35">
      <c r="A485" s="66">
        <v>35521</v>
      </c>
      <c r="B485">
        <v>74.358999999999995</v>
      </c>
      <c r="C485">
        <v>77.075000000000003</v>
      </c>
      <c r="E485">
        <v>168.9</v>
      </c>
    </row>
    <row r="486" spans="1:5" x14ac:dyDescent="0.35">
      <c r="A486" s="66">
        <v>35551</v>
      </c>
      <c r="B486">
        <v>74.323999999999998</v>
      </c>
      <c r="C486">
        <v>77.131</v>
      </c>
      <c r="E486">
        <v>169.2</v>
      </c>
    </row>
    <row r="487" spans="1:5" x14ac:dyDescent="0.35">
      <c r="A487" s="66">
        <v>35582</v>
      </c>
      <c r="B487">
        <v>74.42</v>
      </c>
      <c r="C487">
        <v>77.245000000000005</v>
      </c>
      <c r="E487">
        <v>169.4</v>
      </c>
    </row>
    <row r="488" spans="1:5" x14ac:dyDescent="0.35">
      <c r="A488" s="66">
        <v>35612</v>
      </c>
      <c r="B488">
        <v>74.463999999999999</v>
      </c>
      <c r="C488">
        <v>77.296999999999997</v>
      </c>
      <c r="E488">
        <v>169.7</v>
      </c>
    </row>
    <row r="489" spans="1:5" x14ac:dyDescent="0.35">
      <c r="A489" s="66">
        <v>35643</v>
      </c>
      <c r="B489">
        <v>74.524000000000001</v>
      </c>
      <c r="C489">
        <v>77.266999999999996</v>
      </c>
      <c r="E489">
        <v>169.8</v>
      </c>
    </row>
    <row r="490" spans="1:5" x14ac:dyDescent="0.35">
      <c r="A490" s="66">
        <v>35674</v>
      </c>
      <c r="B490">
        <v>74.703999999999994</v>
      </c>
      <c r="C490">
        <v>77.427000000000007</v>
      </c>
      <c r="E490">
        <v>170.2</v>
      </c>
    </row>
    <row r="491" spans="1:5" x14ac:dyDescent="0.35">
      <c r="A491" s="66">
        <v>35704</v>
      </c>
      <c r="B491">
        <v>74.801000000000002</v>
      </c>
      <c r="C491">
        <v>77.545000000000002</v>
      </c>
      <c r="E491">
        <v>170.6</v>
      </c>
    </row>
    <row r="492" spans="1:5" x14ac:dyDescent="0.35">
      <c r="A492" s="66">
        <v>35735</v>
      </c>
      <c r="B492">
        <v>74.804000000000002</v>
      </c>
      <c r="C492">
        <v>77.567999999999998</v>
      </c>
      <c r="E492">
        <v>170.8</v>
      </c>
    </row>
    <row r="493" spans="1:5" x14ac:dyDescent="0.35">
      <c r="A493" s="66">
        <v>35765</v>
      </c>
      <c r="B493">
        <v>74.787999999999997</v>
      </c>
      <c r="C493">
        <v>77.613</v>
      </c>
      <c r="E493">
        <v>171.2</v>
      </c>
    </row>
    <row r="494" spans="1:5" x14ac:dyDescent="0.35">
      <c r="A494" s="66">
        <v>35796</v>
      </c>
      <c r="B494">
        <v>74.825000000000003</v>
      </c>
      <c r="C494">
        <v>77.731999999999999</v>
      </c>
      <c r="E494">
        <v>171.6</v>
      </c>
    </row>
    <row r="495" spans="1:5" x14ac:dyDescent="0.35">
      <c r="A495" s="66">
        <v>35827</v>
      </c>
      <c r="B495">
        <v>74.787000000000006</v>
      </c>
      <c r="C495">
        <v>77.798000000000002</v>
      </c>
      <c r="E495">
        <v>171.9</v>
      </c>
    </row>
    <row r="496" spans="1:5" x14ac:dyDescent="0.35">
      <c r="A496" s="66">
        <v>35855</v>
      </c>
      <c r="B496">
        <v>74.799000000000007</v>
      </c>
      <c r="C496">
        <v>77.881</v>
      </c>
      <c r="E496">
        <v>172.2</v>
      </c>
    </row>
    <row r="497" spans="1:5" x14ac:dyDescent="0.35">
      <c r="A497" s="66">
        <v>35886</v>
      </c>
      <c r="B497">
        <v>74.891000000000005</v>
      </c>
      <c r="C497">
        <v>78.024000000000001</v>
      </c>
      <c r="E497">
        <v>172.5</v>
      </c>
    </row>
    <row r="498" spans="1:5" x14ac:dyDescent="0.35">
      <c r="A498" s="66">
        <v>35916</v>
      </c>
      <c r="B498">
        <v>74.994</v>
      </c>
      <c r="C498">
        <v>78.099999999999994</v>
      </c>
      <c r="E498">
        <v>172.9</v>
      </c>
    </row>
    <row r="499" spans="1:5" x14ac:dyDescent="0.35">
      <c r="A499" s="66">
        <v>35947</v>
      </c>
      <c r="B499">
        <v>74.930999999999997</v>
      </c>
      <c r="C499">
        <v>78.001999999999995</v>
      </c>
      <c r="E499">
        <v>173.2</v>
      </c>
    </row>
    <row r="500" spans="1:5" x14ac:dyDescent="0.35">
      <c r="A500" s="66">
        <v>35977</v>
      </c>
      <c r="B500">
        <v>75.116</v>
      </c>
      <c r="C500">
        <v>78.221999999999994</v>
      </c>
      <c r="E500">
        <v>173.5</v>
      </c>
    </row>
    <row r="501" spans="1:5" x14ac:dyDescent="0.35">
      <c r="A501" s="66">
        <v>36008</v>
      </c>
      <c r="B501">
        <v>75.22</v>
      </c>
      <c r="C501">
        <v>78.375</v>
      </c>
      <c r="E501">
        <v>174</v>
      </c>
    </row>
    <row r="502" spans="1:5" x14ac:dyDescent="0.35">
      <c r="A502" s="66">
        <v>36039</v>
      </c>
      <c r="B502">
        <v>75.176000000000002</v>
      </c>
      <c r="C502">
        <v>78.361000000000004</v>
      </c>
      <c r="E502">
        <v>174.2</v>
      </c>
    </row>
    <row r="503" spans="1:5" x14ac:dyDescent="0.35">
      <c r="A503" s="66">
        <v>36069</v>
      </c>
      <c r="B503">
        <v>75.340999999999994</v>
      </c>
      <c r="C503">
        <v>78.513999999999996</v>
      </c>
      <c r="E503">
        <v>174.4</v>
      </c>
    </row>
    <row r="504" spans="1:5" x14ac:dyDescent="0.35">
      <c r="A504" s="66">
        <v>36100</v>
      </c>
      <c r="B504">
        <v>75.344999999999999</v>
      </c>
      <c r="C504">
        <v>78.528000000000006</v>
      </c>
      <c r="E504">
        <v>174.8</v>
      </c>
    </row>
    <row r="505" spans="1:5" x14ac:dyDescent="0.35">
      <c r="A505" s="66">
        <v>36130</v>
      </c>
      <c r="B505">
        <v>75.42</v>
      </c>
      <c r="C505">
        <v>78.662999999999997</v>
      </c>
      <c r="E505">
        <v>175.4</v>
      </c>
    </row>
    <row r="506" spans="1:5" x14ac:dyDescent="0.35">
      <c r="A506" s="66">
        <v>36161</v>
      </c>
      <c r="B506">
        <v>75.527000000000001</v>
      </c>
      <c r="C506">
        <v>78.775999999999996</v>
      </c>
      <c r="E506">
        <v>175.6</v>
      </c>
    </row>
    <row r="507" spans="1:5" x14ac:dyDescent="0.35">
      <c r="A507" s="66">
        <v>36192</v>
      </c>
      <c r="B507">
        <v>75.483999999999995</v>
      </c>
      <c r="C507">
        <v>78.748999999999995</v>
      </c>
      <c r="E507">
        <v>175.6</v>
      </c>
    </row>
    <row r="508" spans="1:5" x14ac:dyDescent="0.35">
      <c r="A508" s="66">
        <v>36220</v>
      </c>
      <c r="B508">
        <v>75.540999999999997</v>
      </c>
      <c r="C508">
        <v>78.772999999999996</v>
      </c>
      <c r="E508">
        <v>175.7</v>
      </c>
    </row>
    <row r="509" spans="1:5" x14ac:dyDescent="0.35">
      <c r="A509" s="66">
        <v>36251</v>
      </c>
      <c r="B509">
        <v>75.906000000000006</v>
      </c>
      <c r="C509">
        <v>78.974999999999994</v>
      </c>
      <c r="E509">
        <v>176.3</v>
      </c>
    </row>
    <row r="510" spans="1:5" x14ac:dyDescent="0.35">
      <c r="A510" s="66">
        <v>36281</v>
      </c>
      <c r="B510">
        <v>75.954999999999998</v>
      </c>
      <c r="C510">
        <v>79.051000000000002</v>
      </c>
      <c r="E510">
        <v>176.5</v>
      </c>
    </row>
    <row r="511" spans="1:5" x14ac:dyDescent="0.35">
      <c r="A511" s="66">
        <v>36312</v>
      </c>
      <c r="B511">
        <v>75.978999999999999</v>
      </c>
      <c r="C511">
        <v>79.091999999999999</v>
      </c>
      <c r="E511">
        <v>176.6</v>
      </c>
    </row>
    <row r="512" spans="1:5" x14ac:dyDescent="0.35">
      <c r="A512" s="66">
        <v>36342</v>
      </c>
      <c r="B512">
        <v>76.180999999999997</v>
      </c>
      <c r="C512">
        <v>79.234999999999999</v>
      </c>
      <c r="E512">
        <v>177.1</v>
      </c>
    </row>
    <row r="513" spans="1:5" x14ac:dyDescent="0.35">
      <c r="A513" s="66">
        <v>36373</v>
      </c>
      <c r="B513">
        <v>76.319000000000003</v>
      </c>
      <c r="C513">
        <v>79.272999999999996</v>
      </c>
      <c r="E513">
        <v>177.3</v>
      </c>
    </row>
    <row r="514" spans="1:5" x14ac:dyDescent="0.35">
      <c r="A514" s="66">
        <v>36404</v>
      </c>
      <c r="B514">
        <v>76.593000000000004</v>
      </c>
      <c r="C514">
        <v>79.483000000000004</v>
      </c>
      <c r="E514">
        <v>177.8</v>
      </c>
    </row>
    <row r="515" spans="1:5" x14ac:dyDescent="0.35">
      <c r="A515" s="66">
        <v>36434</v>
      </c>
      <c r="B515">
        <v>76.722999999999999</v>
      </c>
      <c r="C515">
        <v>79.619</v>
      </c>
      <c r="E515">
        <v>178.1</v>
      </c>
    </row>
    <row r="516" spans="1:5" x14ac:dyDescent="0.35">
      <c r="A516" s="66">
        <v>36465</v>
      </c>
      <c r="B516">
        <v>76.792000000000002</v>
      </c>
      <c r="C516">
        <v>79.694999999999993</v>
      </c>
      <c r="E516">
        <v>178.4</v>
      </c>
    </row>
    <row r="517" spans="1:5" x14ac:dyDescent="0.35">
      <c r="A517" s="66">
        <v>36495</v>
      </c>
      <c r="B517">
        <v>76.97</v>
      </c>
      <c r="C517">
        <v>79.796000000000006</v>
      </c>
      <c r="E517">
        <v>178.7</v>
      </c>
    </row>
    <row r="518" spans="1:5" x14ac:dyDescent="0.35">
      <c r="A518" s="66">
        <v>36526</v>
      </c>
      <c r="B518">
        <v>77.180000000000007</v>
      </c>
      <c r="C518">
        <v>79.986999999999995</v>
      </c>
      <c r="E518">
        <v>179.3</v>
      </c>
    </row>
    <row r="519" spans="1:5" x14ac:dyDescent="0.35">
      <c r="A519" s="66">
        <v>36557</v>
      </c>
      <c r="B519">
        <v>77.421999999999997</v>
      </c>
      <c r="C519">
        <v>80.105999999999995</v>
      </c>
      <c r="E519">
        <v>179.4</v>
      </c>
    </row>
    <row r="520" spans="1:5" x14ac:dyDescent="0.35">
      <c r="A520" s="66">
        <v>36586</v>
      </c>
      <c r="B520">
        <v>77.754999999999995</v>
      </c>
      <c r="C520">
        <v>80.27</v>
      </c>
      <c r="E520">
        <v>180</v>
      </c>
    </row>
    <row r="521" spans="1:5" x14ac:dyDescent="0.35">
      <c r="A521" s="66">
        <v>36617</v>
      </c>
      <c r="B521">
        <v>77.69</v>
      </c>
      <c r="C521">
        <v>80.322999999999993</v>
      </c>
      <c r="E521">
        <v>180.3</v>
      </c>
    </row>
    <row r="522" spans="1:5" x14ac:dyDescent="0.35">
      <c r="A522" s="66">
        <v>36647</v>
      </c>
      <c r="B522">
        <v>77.754999999999995</v>
      </c>
      <c r="C522">
        <v>80.409000000000006</v>
      </c>
      <c r="E522">
        <v>180.7</v>
      </c>
    </row>
    <row r="523" spans="1:5" x14ac:dyDescent="0.35">
      <c r="A523" s="66">
        <v>36678</v>
      </c>
      <c r="B523">
        <v>78.019000000000005</v>
      </c>
      <c r="C523">
        <v>80.47</v>
      </c>
      <c r="E523">
        <v>181.1</v>
      </c>
    </row>
    <row r="524" spans="1:5" x14ac:dyDescent="0.35">
      <c r="A524" s="66">
        <v>36708</v>
      </c>
      <c r="B524">
        <v>78.213999999999999</v>
      </c>
      <c r="C524">
        <v>80.653999999999996</v>
      </c>
      <c r="E524">
        <v>181.5</v>
      </c>
    </row>
    <row r="525" spans="1:5" x14ac:dyDescent="0.35">
      <c r="A525" s="66">
        <v>36739</v>
      </c>
      <c r="B525">
        <v>78.209000000000003</v>
      </c>
      <c r="C525">
        <v>80.757000000000005</v>
      </c>
      <c r="E525">
        <v>181.9</v>
      </c>
    </row>
    <row r="526" spans="1:5" x14ac:dyDescent="0.35">
      <c r="A526" s="66">
        <v>36770</v>
      </c>
      <c r="B526">
        <v>78.545000000000002</v>
      </c>
      <c r="C526">
        <v>80.953000000000003</v>
      </c>
      <c r="E526">
        <v>182.3</v>
      </c>
    </row>
    <row r="527" spans="1:5" x14ac:dyDescent="0.35">
      <c r="A527" s="66">
        <v>36800</v>
      </c>
      <c r="B527">
        <v>78.652000000000001</v>
      </c>
      <c r="C527">
        <v>81.066999999999993</v>
      </c>
      <c r="E527">
        <v>182.6</v>
      </c>
    </row>
    <row r="528" spans="1:5" x14ac:dyDescent="0.35">
      <c r="A528" s="66">
        <v>36831</v>
      </c>
      <c r="B528">
        <v>78.762</v>
      </c>
      <c r="C528">
        <v>81.209999999999994</v>
      </c>
      <c r="E528">
        <v>183.1</v>
      </c>
    </row>
    <row r="529" spans="1:5" x14ac:dyDescent="0.35">
      <c r="A529" s="66">
        <v>36861</v>
      </c>
      <c r="B529">
        <v>78.882999999999996</v>
      </c>
      <c r="C529">
        <v>81.289000000000001</v>
      </c>
      <c r="E529">
        <v>183.3</v>
      </c>
    </row>
    <row r="530" spans="1:5" x14ac:dyDescent="0.35">
      <c r="A530" s="66">
        <v>36892</v>
      </c>
      <c r="B530">
        <v>79.265000000000001</v>
      </c>
      <c r="C530">
        <v>81.591999999999999</v>
      </c>
      <c r="E530">
        <v>183.9</v>
      </c>
    </row>
    <row r="531" spans="1:5" x14ac:dyDescent="0.35">
      <c r="A531" s="66">
        <v>36923</v>
      </c>
      <c r="B531">
        <v>79.388000000000005</v>
      </c>
      <c r="C531">
        <v>81.736000000000004</v>
      </c>
      <c r="E531">
        <v>184.4</v>
      </c>
    </row>
    <row r="532" spans="1:5" x14ac:dyDescent="0.35">
      <c r="A532" s="66">
        <v>36951</v>
      </c>
      <c r="B532">
        <v>79.394999999999996</v>
      </c>
      <c r="C532">
        <v>81.820999999999998</v>
      </c>
      <c r="E532">
        <v>184.7</v>
      </c>
    </row>
    <row r="533" spans="1:5" x14ac:dyDescent="0.35">
      <c r="A533" s="66">
        <v>36982</v>
      </c>
      <c r="B533">
        <v>79.534000000000006</v>
      </c>
      <c r="C533">
        <v>81.950999999999993</v>
      </c>
      <c r="E533">
        <v>185.1</v>
      </c>
    </row>
    <row r="534" spans="1:5" x14ac:dyDescent="0.35">
      <c r="A534" s="66">
        <v>37012</v>
      </c>
      <c r="B534">
        <v>79.742999999999995</v>
      </c>
      <c r="C534">
        <v>81.97</v>
      </c>
      <c r="E534">
        <v>185.3</v>
      </c>
    </row>
    <row r="535" spans="1:5" x14ac:dyDescent="0.35">
      <c r="A535" s="66">
        <v>37043</v>
      </c>
      <c r="B535">
        <v>79.885000000000005</v>
      </c>
      <c r="C535">
        <v>82.153999999999996</v>
      </c>
      <c r="E535">
        <v>186</v>
      </c>
    </row>
    <row r="536" spans="1:5" x14ac:dyDescent="0.35">
      <c r="A536" s="66">
        <v>37073</v>
      </c>
      <c r="B536">
        <v>79.858000000000004</v>
      </c>
      <c r="C536">
        <v>82.366</v>
      </c>
      <c r="E536">
        <v>186.4</v>
      </c>
    </row>
    <row r="537" spans="1:5" x14ac:dyDescent="0.35">
      <c r="A537" s="66">
        <v>37104</v>
      </c>
      <c r="B537">
        <v>79.847999999999999</v>
      </c>
      <c r="C537">
        <v>82.406000000000006</v>
      </c>
      <c r="E537">
        <v>186.7</v>
      </c>
    </row>
    <row r="538" spans="1:5" x14ac:dyDescent="0.35">
      <c r="A538" s="66">
        <v>37135</v>
      </c>
      <c r="B538">
        <v>79.576999999999998</v>
      </c>
      <c r="C538">
        <v>81.938999999999993</v>
      </c>
      <c r="E538">
        <v>187.1</v>
      </c>
    </row>
    <row r="539" spans="1:5" x14ac:dyDescent="0.35">
      <c r="A539" s="66">
        <v>37165</v>
      </c>
      <c r="B539">
        <v>79.856999999999999</v>
      </c>
      <c r="C539">
        <v>82.516000000000005</v>
      </c>
      <c r="E539">
        <v>187.4</v>
      </c>
    </row>
    <row r="540" spans="1:5" x14ac:dyDescent="0.35">
      <c r="A540" s="66">
        <v>37196</v>
      </c>
      <c r="B540">
        <v>79.802999999999997</v>
      </c>
      <c r="C540">
        <v>82.683000000000007</v>
      </c>
      <c r="E540">
        <v>188.1</v>
      </c>
    </row>
    <row r="541" spans="1:5" x14ac:dyDescent="0.35">
      <c r="A541" s="66">
        <v>37226</v>
      </c>
      <c r="B541">
        <v>79.721000000000004</v>
      </c>
      <c r="C541">
        <v>82.701999999999998</v>
      </c>
      <c r="E541">
        <v>188.4</v>
      </c>
    </row>
    <row r="542" spans="1:5" x14ac:dyDescent="0.35">
      <c r="A542" s="66">
        <v>37257</v>
      </c>
      <c r="B542">
        <v>79.793000000000006</v>
      </c>
      <c r="C542">
        <v>82.75</v>
      </c>
      <c r="E542">
        <v>188.7</v>
      </c>
    </row>
    <row r="543" spans="1:5" x14ac:dyDescent="0.35">
      <c r="A543" s="66">
        <v>37288</v>
      </c>
      <c r="B543">
        <v>79.926000000000002</v>
      </c>
      <c r="C543">
        <v>82.906999999999996</v>
      </c>
      <c r="E543">
        <v>189.1</v>
      </c>
    </row>
    <row r="544" spans="1:5" x14ac:dyDescent="0.35">
      <c r="A544" s="66">
        <v>37316</v>
      </c>
      <c r="B544">
        <v>80.144000000000005</v>
      </c>
      <c r="C544">
        <v>83.006</v>
      </c>
      <c r="E544">
        <v>189.2</v>
      </c>
    </row>
    <row r="545" spans="1:5" x14ac:dyDescent="0.35">
      <c r="A545" s="66">
        <v>37347</v>
      </c>
      <c r="B545">
        <v>80.478999999999999</v>
      </c>
      <c r="C545">
        <v>83.238</v>
      </c>
      <c r="E545">
        <v>189.7</v>
      </c>
    </row>
    <row r="546" spans="1:5" x14ac:dyDescent="0.35">
      <c r="A546" s="66">
        <v>37377</v>
      </c>
      <c r="B546">
        <v>80.531000000000006</v>
      </c>
      <c r="C546">
        <v>83.331000000000003</v>
      </c>
      <c r="E546">
        <v>190</v>
      </c>
    </row>
    <row r="547" spans="1:5" x14ac:dyDescent="0.35">
      <c r="A547" s="66">
        <v>37408</v>
      </c>
      <c r="B547">
        <v>80.632000000000005</v>
      </c>
      <c r="C547">
        <v>83.462999999999994</v>
      </c>
      <c r="E547">
        <v>190.2</v>
      </c>
    </row>
    <row r="548" spans="1:5" x14ac:dyDescent="0.35">
      <c r="A548" s="66">
        <v>37438</v>
      </c>
      <c r="B548">
        <v>80.81</v>
      </c>
      <c r="C548">
        <v>83.632000000000005</v>
      </c>
      <c r="E548">
        <v>190.5</v>
      </c>
    </row>
    <row r="549" spans="1:5" x14ac:dyDescent="0.35">
      <c r="A549" s="66">
        <v>37469</v>
      </c>
      <c r="B549">
        <v>80.968999999999994</v>
      </c>
      <c r="C549">
        <v>83.796999999999997</v>
      </c>
      <c r="E549">
        <v>191.1</v>
      </c>
    </row>
    <row r="550" spans="1:5" x14ac:dyDescent="0.35">
      <c r="A550" s="66">
        <v>37500</v>
      </c>
      <c r="B550">
        <v>81.114999999999995</v>
      </c>
      <c r="C550">
        <v>83.933999999999997</v>
      </c>
      <c r="E550">
        <v>191.3</v>
      </c>
    </row>
    <row r="551" spans="1:5" x14ac:dyDescent="0.35">
      <c r="A551" s="66">
        <v>37530</v>
      </c>
      <c r="B551">
        <v>81.262</v>
      </c>
      <c r="C551">
        <v>84.004999999999995</v>
      </c>
      <c r="E551">
        <v>191.5</v>
      </c>
    </row>
    <row r="552" spans="1:5" x14ac:dyDescent="0.35">
      <c r="A552" s="66">
        <v>37561</v>
      </c>
      <c r="B552">
        <v>81.343000000000004</v>
      </c>
      <c r="C552">
        <v>84.087000000000003</v>
      </c>
      <c r="E552">
        <v>191.9</v>
      </c>
    </row>
    <row r="553" spans="1:5" x14ac:dyDescent="0.35">
      <c r="A553" s="66">
        <v>37591</v>
      </c>
      <c r="B553">
        <v>81.421000000000006</v>
      </c>
      <c r="C553">
        <v>84.165000000000006</v>
      </c>
      <c r="E553">
        <v>192.1</v>
      </c>
    </row>
    <row r="554" spans="1:5" x14ac:dyDescent="0.35">
      <c r="A554" s="66">
        <v>37622</v>
      </c>
      <c r="B554">
        <v>81.664000000000001</v>
      </c>
      <c r="C554">
        <v>84.222999999999999</v>
      </c>
      <c r="E554">
        <v>192.4</v>
      </c>
    </row>
    <row r="555" spans="1:5" x14ac:dyDescent="0.35">
      <c r="A555" s="66">
        <v>37653</v>
      </c>
      <c r="B555">
        <v>82.009</v>
      </c>
      <c r="C555">
        <v>84.338999999999999</v>
      </c>
      <c r="E555">
        <v>192.5</v>
      </c>
    </row>
    <row r="556" spans="1:5" x14ac:dyDescent="0.35">
      <c r="A556" s="66">
        <v>37681</v>
      </c>
      <c r="B556">
        <v>82.218999999999994</v>
      </c>
      <c r="C556">
        <v>84.474000000000004</v>
      </c>
      <c r="E556">
        <v>192.5</v>
      </c>
    </row>
    <row r="557" spans="1:5" x14ac:dyDescent="0.35">
      <c r="A557" s="66">
        <v>37712</v>
      </c>
      <c r="B557">
        <v>82.08</v>
      </c>
      <c r="C557">
        <v>84.567999999999998</v>
      </c>
      <c r="E557">
        <v>192.5</v>
      </c>
    </row>
    <row r="558" spans="1:5" x14ac:dyDescent="0.35">
      <c r="A558" s="66">
        <v>37742</v>
      </c>
      <c r="B558">
        <v>81.986000000000004</v>
      </c>
      <c r="C558">
        <v>84.69</v>
      </c>
      <c r="E558">
        <v>192.9</v>
      </c>
    </row>
    <row r="559" spans="1:5" x14ac:dyDescent="0.35">
      <c r="A559" s="66">
        <v>37773</v>
      </c>
      <c r="B559">
        <v>82.073999999999998</v>
      </c>
      <c r="C559">
        <v>84.738</v>
      </c>
      <c r="E559">
        <v>193</v>
      </c>
    </row>
    <row r="560" spans="1:5" x14ac:dyDescent="0.35">
      <c r="A560" s="66">
        <v>37803</v>
      </c>
      <c r="B560">
        <v>82.314999999999998</v>
      </c>
      <c r="C560">
        <v>84.948999999999998</v>
      </c>
      <c r="E560">
        <v>193.4</v>
      </c>
    </row>
    <row r="561" spans="1:5" x14ac:dyDescent="0.35">
      <c r="A561" s="66">
        <v>37834</v>
      </c>
      <c r="B561">
        <v>82.593000000000004</v>
      </c>
      <c r="C561">
        <v>85.045000000000002</v>
      </c>
      <c r="E561">
        <v>193.6</v>
      </c>
    </row>
    <row r="562" spans="1:5" x14ac:dyDescent="0.35">
      <c r="A562" s="66">
        <v>37865</v>
      </c>
      <c r="B562">
        <v>82.852000000000004</v>
      </c>
      <c r="C562">
        <v>85.164000000000001</v>
      </c>
      <c r="E562">
        <v>193.7</v>
      </c>
    </row>
    <row r="563" spans="1:5" x14ac:dyDescent="0.35">
      <c r="A563" s="66">
        <v>37895</v>
      </c>
      <c r="B563">
        <v>82.861999999999995</v>
      </c>
      <c r="C563">
        <v>85.32</v>
      </c>
      <c r="E563">
        <v>194</v>
      </c>
    </row>
    <row r="564" spans="1:5" x14ac:dyDescent="0.35">
      <c r="A564" s="66">
        <v>37926</v>
      </c>
      <c r="B564">
        <v>82.966999999999999</v>
      </c>
      <c r="C564">
        <v>85.436999999999998</v>
      </c>
      <c r="E564">
        <v>194</v>
      </c>
    </row>
    <row r="565" spans="1:5" x14ac:dyDescent="0.35">
      <c r="A565" s="66">
        <v>37956</v>
      </c>
      <c r="B565">
        <v>83.15</v>
      </c>
      <c r="C565">
        <v>85.543999999999997</v>
      </c>
      <c r="E565">
        <v>194.2</v>
      </c>
    </row>
    <row r="566" spans="1:5" x14ac:dyDescent="0.35">
      <c r="A566" s="66">
        <v>37987</v>
      </c>
      <c r="B566">
        <v>83.471000000000004</v>
      </c>
      <c r="C566">
        <v>85.763000000000005</v>
      </c>
      <c r="E566">
        <v>194.6</v>
      </c>
    </row>
    <row r="567" spans="1:5" x14ac:dyDescent="0.35">
      <c r="A567" s="66">
        <v>38018</v>
      </c>
      <c r="B567">
        <v>83.649000000000001</v>
      </c>
      <c r="C567">
        <v>85.902000000000001</v>
      </c>
      <c r="E567">
        <v>194.9</v>
      </c>
    </row>
    <row r="568" spans="1:5" x14ac:dyDescent="0.35">
      <c r="A568" s="66">
        <v>38047</v>
      </c>
      <c r="B568">
        <v>83.778000000000006</v>
      </c>
      <c r="C568">
        <v>86.046000000000006</v>
      </c>
      <c r="E568">
        <v>195.5</v>
      </c>
    </row>
    <row r="569" spans="1:5" x14ac:dyDescent="0.35">
      <c r="A569" s="66">
        <v>38078</v>
      </c>
      <c r="B569">
        <v>83.933999999999997</v>
      </c>
      <c r="C569">
        <v>86.27</v>
      </c>
      <c r="E569">
        <v>195.9</v>
      </c>
    </row>
    <row r="570" spans="1:5" x14ac:dyDescent="0.35">
      <c r="A570" s="66">
        <v>38108</v>
      </c>
      <c r="B570">
        <v>84.206000000000003</v>
      </c>
      <c r="C570">
        <v>86.388000000000005</v>
      </c>
      <c r="E570">
        <v>196.2</v>
      </c>
    </row>
    <row r="571" spans="1:5" x14ac:dyDescent="0.35">
      <c r="A571" s="66">
        <v>38139</v>
      </c>
      <c r="B571">
        <v>84.447000000000003</v>
      </c>
      <c r="C571">
        <v>86.525000000000006</v>
      </c>
      <c r="E571">
        <v>196.6</v>
      </c>
    </row>
    <row r="572" spans="1:5" x14ac:dyDescent="0.35">
      <c r="A572" s="66">
        <v>38169</v>
      </c>
      <c r="B572">
        <v>84.525000000000006</v>
      </c>
      <c r="C572">
        <v>86.628</v>
      </c>
      <c r="E572">
        <v>196.8</v>
      </c>
    </row>
    <row r="573" spans="1:5" x14ac:dyDescent="0.35">
      <c r="A573" s="66">
        <v>38200</v>
      </c>
      <c r="B573">
        <v>84.569000000000003</v>
      </c>
      <c r="C573">
        <v>86.661000000000001</v>
      </c>
      <c r="E573">
        <v>196.9</v>
      </c>
    </row>
    <row r="574" spans="1:5" x14ac:dyDescent="0.35">
      <c r="A574" s="66">
        <v>38231</v>
      </c>
      <c r="B574">
        <v>84.734999999999999</v>
      </c>
      <c r="C574">
        <v>86.822999999999993</v>
      </c>
      <c r="E574">
        <v>197.5</v>
      </c>
    </row>
    <row r="575" spans="1:5" x14ac:dyDescent="0.35">
      <c r="A575" s="66">
        <v>38261</v>
      </c>
      <c r="B575">
        <v>85.099000000000004</v>
      </c>
      <c r="C575">
        <v>87.012</v>
      </c>
      <c r="E575">
        <v>197.9</v>
      </c>
    </row>
    <row r="576" spans="1:5" x14ac:dyDescent="0.35">
      <c r="A576" s="66">
        <v>38292</v>
      </c>
      <c r="B576">
        <v>85.427000000000007</v>
      </c>
      <c r="C576">
        <v>87.198999999999998</v>
      </c>
      <c r="E576">
        <v>198.3</v>
      </c>
    </row>
    <row r="577" spans="1:5" x14ac:dyDescent="0.35">
      <c r="A577" s="66">
        <v>38322</v>
      </c>
      <c r="B577">
        <v>85.472999999999999</v>
      </c>
      <c r="C577">
        <v>87.311000000000007</v>
      </c>
      <c r="E577">
        <v>198.6</v>
      </c>
    </row>
    <row r="578" spans="1:5" x14ac:dyDescent="0.35">
      <c r="A578" s="66">
        <v>38353</v>
      </c>
      <c r="B578">
        <v>85.584999999999994</v>
      </c>
      <c r="C578">
        <v>87.625</v>
      </c>
      <c r="E578">
        <v>199</v>
      </c>
    </row>
    <row r="579" spans="1:5" x14ac:dyDescent="0.35">
      <c r="A579" s="66">
        <v>38384</v>
      </c>
      <c r="B579">
        <v>85.822999999999993</v>
      </c>
      <c r="C579">
        <v>87.77</v>
      </c>
      <c r="E579">
        <v>199.4</v>
      </c>
    </row>
    <row r="580" spans="1:5" x14ac:dyDescent="0.35">
      <c r="A580" s="66">
        <v>38412</v>
      </c>
      <c r="B580">
        <v>86.08</v>
      </c>
      <c r="C580">
        <v>87.986999999999995</v>
      </c>
      <c r="E580">
        <v>200.1</v>
      </c>
    </row>
    <row r="581" spans="1:5" x14ac:dyDescent="0.35">
      <c r="A581" s="66">
        <v>38443</v>
      </c>
      <c r="B581">
        <v>86.320999999999998</v>
      </c>
      <c r="C581">
        <v>88.088999999999999</v>
      </c>
      <c r="E581">
        <v>200.2</v>
      </c>
    </row>
    <row r="582" spans="1:5" x14ac:dyDescent="0.35">
      <c r="A582" s="66">
        <v>38473</v>
      </c>
      <c r="B582">
        <v>86.37</v>
      </c>
      <c r="C582">
        <v>88.269000000000005</v>
      </c>
      <c r="E582">
        <v>200.5</v>
      </c>
    </row>
    <row r="583" spans="1:5" x14ac:dyDescent="0.35">
      <c r="A583" s="66">
        <v>38504</v>
      </c>
      <c r="B583">
        <v>86.423000000000002</v>
      </c>
      <c r="C583">
        <v>88.33</v>
      </c>
      <c r="E583">
        <v>200.6</v>
      </c>
    </row>
    <row r="584" spans="1:5" x14ac:dyDescent="0.35">
      <c r="A584" s="66">
        <v>38534</v>
      </c>
      <c r="B584">
        <v>86.79</v>
      </c>
      <c r="C584">
        <v>88.46</v>
      </c>
      <c r="E584">
        <v>200.9</v>
      </c>
    </row>
    <row r="585" spans="1:5" x14ac:dyDescent="0.35">
      <c r="A585" s="66">
        <v>38565</v>
      </c>
      <c r="B585">
        <v>87.14</v>
      </c>
      <c r="C585">
        <v>88.531999999999996</v>
      </c>
      <c r="E585">
        <v>201.1</v>
      </c>
    </row>
    <row r="586" spans="1:5" x14ac:dyDescent="0.35">
      <c r="A586" s="66">
        <v>38596</v>
      </c>
      <c r="B586">
        <v>87.980999999999995</v>
      </c>
      <c r="C586">
        <v>88.727999999999994</v>
      </c>
      <c r="E586">
        <v>201.3</v>
      </c>
    </row>
    <row r="587" spans="1:5" x14ac:dyDescent="0.35">
      <c r="A587" s="66">
        <v>38626</v>
      </c>
      <c r="B587">
        <v>88.120999999999995</v>
      </c>
      <c r="C587">
        <v>88.981999999999999</v>
      </c>
      <c r="E587">
        <v>202</v>
      </c>
    </row>
    <row r="588" spans="1:5" x14ac:dyDescent="0.35">
      <c r="A588" s="66">
        <v>38657</v>
      </c>
      <c r="B588">
        <v>87.938000000000002</v>
      </c>
      <c r="C588">
        <v>89.21</v>
      </c>
      <c r="E588">
        <v>202.5</v>
      </c>
    </row>
    <row r="589" spans="1:5" x14ac:dyDescent="0.35">
      <c r="A589" s="66">
        <v>38687</v>
      </c>
      <c r="B589">
        <v>87.938000000000002</v>
      </c>
      <c r="C589">
        <v>89.302000000000007</v>
      </c>
      <c r="E589">
        <v>202.8</v>
      </c>
    </row>
    <row r="590" spans="1:5" x14ac:dyDescent="0.35">
      <c r="A590" s="66">
        <v>38718</v>
      </c>
      <c r="B590">
        <v>88.364000000000004</v>
      </c>
      <c r="C590">
        <v>89.503</v>
      </c>
      <c r="E590">
        <v>203.2</v>
      </c>
    </row>
    <row r="591" spans="1:5" x14ac:dyDescent="0.35">
      <c r="A591" s="66">
        <v>38749</v>
      </c>
      <c r="B591">
        <v>88.417000000000002</v>
      </c>
      <c r="C591">
        <v>89.647000000000006</v>
      </c>
      <c r="E591">
        <v>203.6</v>
      </c>
    </row>
    <row r="592" spans="1:5" x14ac:dyDescent="0.35">
      <c r="A592" s="66">
        <v>38777</v>
      </c>
      <c r="B592">
        <v>88.587999999999994</v>
      </c>
      <c r="C592">
        <v>89.894000000000005</v>
      </c>
      <c r="E592">
        <v>204.3</v>
      </c>
    </row>
    <row r="593" spans="1:5" x14ac:dyDescent="0.35">
      <c r="A593" s="66">
        <v>38808</v>
      </c>
      <c r="B593">
        <v>88.998999999999995</v>
      </c>
      <c r="C593">
        <v>90.168999999999997</v>
      </c>
      <c r="E593">
        <v>204.8</v>
      </c>
    </row>
    <row r="594" spans="1:5" x14ac:dyDescent="0.35">
      <c r="A594" s="66">
        <v>38838</v>
      </c>
      <c r="B594">
        <v>89.239000000000004</v>
      </c>
      <c r="C594">
        <v>90.394999999999996</v>
      </c>
      <c r="E594">
        <v>205.4</v>
      </c>
    </row>
    <row r="595" spans="1:5" x14ac:dyDescent="0.35">
      <c r="A595" s="66">
        <v>38869</v>
      </c>
      <c r="B595">
        <v>89.459000000000003</v>
      </c>
      <c r="C595">
        <v>90.623000000000005</v>
      </c>
      <c r="E595">
        <v>205.9</v>
      </c>
    </row>
    <row r="596" spans="1:5" x14ac:dyDescent="0.35">
      <c r="A596" s="66">
        <v>38899</v>
      </c>
      <c r="B596">
        <v>89.765000000000001</v>
      </c>
      <c r="C596">
        <v>90.712000000000003</v>
      </c>
      <c r="E596">
        <v>206.3</v>
      </c>
    </row>
    <row r="597" spans="1:5" x14ac:dyDescent="0.35">
      <c r="A597" s="66">
        <v>38930</v>
      </c>
      <c r="B597">
        <v>90.046999999999997</v>
      </c>
      <c r="C597">
        <v>90.896000000000001</v>
      </c>
      <c r="E597">
        <v>206.8</v>
      </c>
    </row>
    <row r="598" spans="1:5" x14ac:dyDescent="0.35">
      <c r="A598" s="66">
        <v>38961</v>
      </c>
      <c r="B598">
        <v>89.811999999999998</v>
      </c>
      <c r="C598">
        <v>91.04</v>
      </c>
      <c r="E598">
        <v>207.2</v>
      </c>
    </row>
    <row r="599" spans="1:5" x14ac:dyDescent="0.35">
      <c r="A599" s="66">
        <v>38991</v>
      </c>
      <c r="B599">
        <v>89.599000000000004</v>
      </c>
      <c r="C599">
        <v>91.203999999999994</v>
      </c>
      <c r="E599">
        <v>207.6</v>
      </c>
    </row>
    <row r="600" spans="1:5" x14ac:dyDescent="0.35">
      <c r="A600" s="66">
        <v>39022</v>
      </c>
      <c r="B600">
        <v>89.63</v>
      </c>
      <c r="C600">
        <v>91.248000000000005</v>
      </c>
      <c r="E600">
        <v>207.8</v>
      </c>
    </row>
    <row r="601" spans="1:5" x14ac:dyDescent="0.35">
      <c r="A601" s="66">
        <v>39052</v>
      </c>
      <c r="B601">
        <v>89.948999999999998</v>
      </c>
      <c r="C601">
        <v>91.37</v>
      </c>
      <c r="E601">
        <v>208.1</v>
      </c>
    </row>
    <row r="602" spans="1:5" x14ac:dyDescent="0.35">
      <c r="A602" s="66">
        <v>39083</v>
      </c>
      <c r="B602">
        <v>90.248999999999995</v>
      </c>
      <c r="C602">
        <v>91.741</v>
      </c>
      <c r="E602">
        <v>208.6</v>
      </c>
    </row>
    <row r="603" spans="1:5" x14ac:dyDescent="0.35">
      <c r="A603" s="66">
        <v>39114</v>
      </c>
      <c r="B603">
        <v>90.528999999999996</v>
      </c>
      <c r="C603">
        <v>91.938999999999993</v>
      </c>
      <c r="E603">
        <v>209.13499999999999</v>
      </c>
    </row>
    <row r="604" spans="1:5" x14ac:dyDescent="0.35">
      <c r="A604" s="66">
        <v>39142</v>
      </c>
      <c r="B604">
        <v>90.861000000000004</v>
      </c>
      <c r="C604">
        <v>92.031999999999996</v>
      </c>
      <c r="E604">
        <v>209.41800000000001</v>
      </c>
    </row>
    <row r="605" spans="1:5" x14ac:dyDescent="0.35">
      <c r="A605" s="66">
        <v>39173</v>
      </c>
      <c r="B605">
        <v>91.073999999999998</v>
      </c>
      <c r="C605">
        <v>92.162999999999997</v>
      </c>
      <c r="E605">
        <v>209.74700000000001</v>
      </c>
    </row>
    <row r="606" spans="1:5" x14ac:dyDescent="0.35">
      <c r="A606" s="66">
        <v>39203</v>
      </c>
      <c r="B606">
        <v>91.338999999999999</v>
      </c>
      <c r="C606">
        <v>92.272000000000006</v>
      </c>
      <c r="E606">
        <v>210.05799999999999</v>
      </c>
    </row>
    <row r="607" spans="1:5" x14ac:dyDescent="0.35">
      <c r="A607" s="66">
        <v>39234</v>
      </c>
      <c r="B607">
        <v>91.531999999999996</v>
      </c>
      <c r="C607">
        <v>92.424000000000007</v>
      </c>
      <c r="E607">
        <v>210.392</v>
      </c>
    </row>
    <row r="608" spans="1:5" x14ac:dyDescent="0.35">
      <c r="A608" s="66">
        <v>39264</v>
      </c>
      <c r="B608">
        <v>91.671999999999997</v>
      </c>
      <c r="C608">
        <v>92.563000000000002</v>
      </c>
      <c r="E608">
        <v>210.773</v>
      </c>
    </row>
    <row r="609" spans="1:5" x14ac:dyDescent="0.35">
      <c r="A609" s="66">
        <v>39295</v>
      </c>
      <c r="B609">
        <v>91.733999999999995</v>
      </c>
      <c r="C609">
        <v>92.700999999999993</v>
      </c>
      <c r="E609">
        <v>211.119</v>
      </c>
    </row>
    <row r="610" spans="1:5" x14ac:dyDescent="0.35">
      <c r="A610" s="66">
        <v>39326</v>
      </c>
      <c r="B610">
        <v>92.087999999999994</v>
      </c>
      <c r="C610">
        <v>92.953999999999994</v>
      </c>
      <c r="E610">
        <v>211.554</v>
      </c>
    </row>
    <row r="611" spans="1:5" x14ac:dyDescent="0.35">
      <c r="A611" s="66">
        <v>39356</v>
      </c>
      <c r="B611">
        <v>92.367000000000004</v>
      </c>
      <c r="C611">
        <v>93.195999999999998</v>
      </c>
      <c r="E611">
        <v>212.077</v>
      </c>
    </row>
    <row r="612" spans="1:5" x14ac:dyDescent="0.35">
      <c r="A612" s="66">
        <v>39387</v>
      </c>
      <c r="B612">
        <v>92.855999999999995</v>
      </c>
      <c r="C612">
        <v>93.379000000000005</v>
      </c>
      <c r="E612">
        <v>212.66</v>
      </c>
    </row>
    <row r="613" spans="1:5" x14ac:dyDescent="0.35">
      <c r="A613" s="66">
        <v>39417</v>
      </c>
      <c r="B613">
        <v>93.072000000000003</v>
      </c>
      <c r="C613">
        <v>93.566999999999993</v>
      </c>
      <c r="E613">
        <v>213.16800000000001</v>
      </c>
    </row>
    <row r="614" spans="1:5" x14ac:dyDescent="0.35">
      <c r="A614" s="66">
        <v>39448</v>
      </c>
      <c r="B614">
        <v>93.307000000000002</v>
      </c>
      <c r="C614">
        <v>93.753</v>
      </c>
      <c r="E614">
        <v>213.77099999999999</v>
      </c>
    </row>
    <row r="615" spans="1:5" x14ac:dyDescent="0.35">
      <c r="A615" s="66">
        <v>39479</v>
      </c>
      <c r="B615">
        <v>93.492000000000004</v>
      </c>
      <c r="C615">
        <v>93.843999999999994</v>
      </c>
      <c r="E615">
        <v>213.93899999999999</v>
      </c>
    </row>
    <row r="616" spans="1:5" x14ac:dyDescent="0.35">
      <c r="A616" s="66">
        <v>39508</v>
      </c>
      <c r="B616">
        <v>93.76</v>
      </c>
      <c r="C616">
        <v>94.028000000000006</v>
      </c>
      <c r="E616">
        <v>214.42</v>
      </c>
    </row>
    <row r="617" spans="1:5" x14ac:dyDescent="0.35">
      <c r="A617" s="66">
        <v>39539</v>
      </c>
      <c r="B617">
        <v>93.933999999999997</v>
      </c>
      <c r="C617">
        <v>94.082999999999998</v>
      </c>
      <c r="E617">
        <v>214.56</v>
      </c>
    </row>
    <row r="618" spans="1:5" x14ac:dyDescent="0.35">
      <c r="A618" s="66">
        <v>39569</v>
      </c>
      <c r="B618">
        <v>94.337000000000003</v>
      </c>
      <c r="C618">
        <v>94.254999999999995</v>
      </c>
      <c r="E618">
        <v>214.93600000000001</v>
      </c>
    </row>
    <row r="619" spans="1:5" x14ac:dyDescent="0.35">
      <c r="A619" s="66">
        <v>39600</v>
      </c>
      <c r="B619">
        <v>95.021000000000001</v>
      </c>
      <c r="C619">
        <v>94.471000000000004</v>
      </c>
      <c r="E619">
        <v>215.42400000000001</v>
      </c>
    </row>
    <row r="620" spans="1:5" x14ac:dyDescent="0.35">
      <c r="A620" s="66">
        <v>39630</v>
      </c>
      <c r="B620">
        <v>95.462999999999994</v>
      </c>
      <c r="C620">
        <v>94.641000000000005</v>
      </c>
      <c r="E620">
        <v>215.965</v>
      </c>
    </row>
    <row r="621" spans="1:5" x14ac:dyDescent="0.35">
      <c r="A621" s="66">
        <v>39661</v>
      </c>
      <c r="B621">
        <v>95.385999999999996</v>
      </c>
      <c r="C621">
        <v>94.757000000000005</v>
      </c>
      <c r="E621">
        <v>216.393</v>
      </c>
    </row>
    <row r="622" spans="1:5" x14ac:dyDescent="0.35">
      <c r="A622" s="66">
        <v>39692</v>
      </c>
      <c r="B622">
        <v>95.465000000000003</v>
      </c>
      <c r="C622">
        <v>94.853999999999999</v>
      </c>
      <c r="E622">
        <v>216.71299999999999</v>
      </c>
    </row>
    <row r="623" spans="1:5" x14ac:dyDescent="0.35">
      <c r="A623" s="66">
        <v>39722</v>
      </c>
      <c r="B623">
        <v>94.834999999999994</v>
      </c>
      <c r="C623">
        <v>94.718999999999994</v>
      </c>
      <c r="E623">
        <v>216.78800000000001</v>
      </c>
    </row>
    <row r="624" spans="1:5" x14ac:dyDescent="0.35">
      <c r="A624" s="66">
        <v>39753</v>
      </c>
      <c r="B624">
        <v>93.715999999999994</v>
      </c>
      <c r="C624">
        <v>94.677000000000007</v>
      </c>
      <c r="E624">
        <v>216.947</v>
      </c>
    </row>
    <row r="625" spans="1:5" x14ac:dyDescent="0.35">
      <c r="A625" s="66">
        <v>39783</v>
      </c>
      <c r="B625">
        <v>93.191999999999993</v>
      </c>
      <c r="C625">
        <v>94.631</v>
      </c>
      <c r="E625">
        <v>216.92500000000001</v>
      </c>
    </row>
    <row r="626" spans="1:5" x14ac:dyDescent="0.35">
      <c r="A626" s="66">
        <v>39814</v>
      </c>
      <c r="B626">
        <v>93.203000000000003</v>
      </c>
      <c r="C626">
        <v>94.602000000000004</v>
      </c>
      <c r="D626">
        <v>0.25</v>
      </c>
      <c r="E626">
        <v>217.346</v>
      </c>
    </row>
    <row r="627" spans="1:5" x14ac:dyDescent="0.35">
      <c r="A627" s="66">
        <v>39845</v>
      </c>
      <c r="B627">
        <v>93.369</v>
      </c>
      <c r="C627">
        <v>94.677000000000007</v>
      </c>
      <c r="D627">
        <v>0.25</v>
      </c>
      <c r="E627">
        <v>217.792</v>
      </c>
    </row>
    <row r="628" spans="1:5" x14ac:dyDescent="0.35">
      <c r="A628" s="66">
        <v>39873</v>
      </c>
      <c r="B628">
        <v>93.266999999999996</v>
      </c>
      <c r="C628">
        <v>94.745000000000005</v>
      </c>
      <c r="D628">
        <v>0.25</v>
      </c>
      <c r="E628">
        <v>218.25299999999999</v>
      </c>
    </row>
    <row r="629" spans="1:5" x14ac:dyDescent="0.35">
      <c r="A629" s="66">
        <v>39904</v>
      </c>
      <c r="B629">
        <v>93.400999999999996</v>
      </c>
      <c r="C629">
        <v>94.956999999999994</v>
      </c>
      <c r="D629">
        <v>0.25</v>
      </c>
      <c r="E629">
        <v>218.70599999999999</v>
      </c>
    </row>
    <row r="630" spans="1:5" x14ac:dyDescent="0.35">
      <c r="A630" s="66">
        <v>39934</v>
      </c>
      <c r="B630">
        <v>93.498000000000005</v>
      </c>
      <c r="C630">
        <v>95.03</v>
      </c>
      <c r="D630">
        <v>0.25</v>
      </c>
      <c r="E630">
        <v>218.904</v>
      </c>
    </row>
    <row r="631" spans="1:5" x14ac:dyDescent="0.35">
      <c r="A631" s="66">
        <v>39965</v>
      </c>
      <c r="B631">
        <v>94.052999999999997</v>
      </c>
      <c r="C631">
        <v>95.150999999999996</v>
      </c>
      <c r="D631">
        <v>0.25</v>
      </c>
      <c r="E631">
        <v>219.11199999999999</v>
      </c>
    </row>
    <row r="632" spans="1:5" x14ac:dyDescent="0.35">
      <c r="A632" s="66">
        <v>39995</v>
      </c>
      <c r="B632">
        <v>94.063000000000002</v>
      </c>
      <c r="C632">
        <v>95.233000000000004</v>
      </c>
      <c r="D632">
        <v>0.25</v>
      </c>
      <c r="E632">
        <v>219.26300000000001</v>
      </c>
    </row>
    <row r="633" spans="1:5" x14ac:dyDescent="0.35">
      <c r="A633" s="66">
        <v>40026</v>
      </c>
      <c r="B633">
        <v>94.335999999999999</v>
      </c>
      <c r="C633">
        <v>95.373999999999995</v>
      </c>
      <c r="D633">
        <v>0.25</v>
      </c>
      <c r="E633">
        <v>219.49600000000001</v>
      </c>
    </row>
    <row r="634" spans="1:5" x14ac:dyDescent="0.35">
      <c r="A634" s="66">
        <v>40057</v>
      </c>
      <c r="B634">
        <v>94.489000000000004</v>
      </c>
      <c r="C634">
        <v>95.540999999999997</v>
      </c>
      <c r="D634">
        <v>0.25</v>
      </c>
      <c r="E634">
        <v>219.92</v>
      </c>
    </row>
    <row r="635" spans="1:5" x14ac:dyDescent="0.35">
      <c r="A635" s="66">
        <v>40087</v>
      </c>
      <c r="B635">
        <v>94.846999999999994</v>
      </c>
      <c r="C635">
        <v>95.893000000000001</v>
      </c>
      <c r="D635">
        <v>0.25</v>
      </c>
      <c r="E635">
        <v>220.501</v>
      </c>
    </row>
    <row r="636" spans="1:5" x14ac:dyDescent="0.35">
      <c r="A636" s="66">
        <v>40118</v>
      </c>
      <c r="B636">
        <v>95.084000000000003</v>
      </c>
      <c r="C636">
        <v>95.977999999999994</v>
      </c>
      <c r="D636">
        <v>0.25</v>
      </c>
      <c r="E636">
        <v>220.666</v>
      </c>
    </row>
    <row r="637" spans="1:5" x14ac:dyDescent="0.35">
      <c r="A637" s="66">
        <v>40148</v>
      </c>
      <c r="B637">
        <v>95.14</v>
      </c>
      <c r="C637">
        <v>96.06</v>
      </c>
      <c r="D637">
        <v>0.25</v>
      </c>
      <c r="E637">
        <v>220.881</v>
      </c>
    </row>
    <row r="638" spans="1:5" x14ac:dyDescent="0.35">
      <c r="A638" s="66">
        <v>40179</v>
      </c>
      <c r="B638">
        <v>95.347999999999999</v>
      </c>
      <c r="C638">
        <v>96.200999999999993</v>
      </c>
      <c r="D638">
        <v>0.25</v>
      </c>
      <c r="E638">
        <v>220.63300000000001</v>
      </c>
    </row>
    <row r="639" spans="1:5" x14ac:dyDescent="0.35">
      <c r="A639" s="66">
        <v>40210</v>
      </c>
      <c r="B639">
        <v>95.344999999999999</v>
      </c>
      <c r="C639">
        <v>96.284999999999997</v>
      </c>
      <c r="D639">
        <v>0.25</v>
      </c>
      <c r="E639">
        <v>220.73099999999999</v>
      </c>
    </row>
    <row r="640" spans="1:5" x14ac:dyDescent="0.35">
      <c r="A640" s="66">
        <v>40238</v>
      </c>
      <c r="B640">
        <v>95.48</v>
      </c>
      <c r="C640">
        <v>96.429000000000002</v>
      </c>
      <c r="D640">
        <v>0.25</v>
      </c>
      <c r="E640">
        <v>220.78299999999999</v>
      </c>
    </row>
    <row r="641" spans="1:5" x14ac:dyDescent="0.35">
      <c r="A641" s="66">
        <v>40269</v>
      </c>
      <c r="B641">
        <v>95.531999999999996</v>
      </c>
      <c r="C641">
        <v>96.477999999999994</v>
      </c>
      <c r="D641">
        <v>0.25</v>
      </c>
      <c r="E641">
        <v>220.822</v>
      </c>
    </row>
    <row r="642" spans="1:5" x14ac:dyDescent="0.35">
      <c r="A642" s="66">
        <v>40299</v>
      </c>
      <c r="B642">
        <v>95.561999999999998</v>
      </c>
      <c r="C642">
        <v>96.584999999999994</v>
      </c>
      <c r="D642">
        <v>0.25</v>
      </c>
      <c r="E642">
        <v>220.96199999999999</v>
      </c>
    </row>
    <row r="643" spans="1:5" x14ac:dyDescent="0.35">
      <c r="A643" s="66">
        <v>40330</v>
      </c>
      <c r="B643">
        <v>95.522000000000006</v>
      </c>
      <c r="C643">
        <v>96.632000000000005</v>
      </c>
      <c r="D643">
        <v>0.25</v>
      </c>
      <c r="E643">
        <v>221.19399999999999</v>
      </c>
    </row>
    <row r="644" spans="1:5" x14ac:dyDescent="0.35">
      <c r="A644" s="66">
        <v>40360</v>
      </c>
      <c r="B644">
        <v>95.603999999999999</v>
      </c>
      <c r="C644">
        <v>96.632999999999996</v>
      </c>
      <c r="D644">
        <v>0.25</v>
      </c>
      <c r="E644">
        <v>221.363</v>
      </c>
    </row>
    <row r="645" spans="1:5" x14ac:dyDescent="0.35">
      <c r="A645" s="66">
        <v>40391</v>
      </c>
      <c r="B645">
        <v>95.734999999999999</v>
      </c>
      <c r="C645">
        <v>96.725999999999999</v>
      </c>
      <c r="D645">
        <v>0.25</v>
      </c>
      <c r="E645">
        <v>221.50899999999999</v>
      </c>
    </row>
    <row r="646" spans="1:5" x14ac:dyDescent="0.35">
      <c r="A646" s="66">
        <v>40422</v>
      </c>
      <c r="B646">
        <v>95.83</v>
      </c>
      <c r="C646">
        <v>96.781000000000006</v>
      </c>
      <c r="D646">
        <v>0.25</v>
      </c>
      <c r="E646">
        <v>221.71100000000001</v>
      </c>
    </row>
    <row r="647" spans="1:5" x14ac:dyDescent="0.35">
      <c r="A647" s="66">
        <v>40452</v>
      </c>
      <c r="B647">
        <v>96.135000000000005</v>
      </c>
      <c r="C647">
        <v>96.927999999999997</v>
      </c>
      <c r="D647">
        <v>0.25</v>
      </c>
      <c r="E647">
        <v>221.83</v>
      </c>
    </row>
    <row r="648" spans="1:5" x14ac:dyDescent="0.35">
      <c r="A648" s="66">
        <v>40483</v>
      </c>
      <c r="B648">
        <v>96.326999999999998</v>
      </c>
      <c r="C648">
        <v>97.054000000000002</v>
      </c>
      <c r="D648">
        <v>0.25</v>
      </c>
      <c r="E648">
        <v>222.149</v>
      </c>
    </row>
    <row r="649" spans="1:5" x14ac:dyDescent="0.35">
      <c r="A649" s="66">
        <v>40513</v>
      </c>
      <c r="B649">
        <v>96.545000000000002</v>
      </c>
      <c r="C649">
        <v>97.073999999999998</v>
      </c>
      <c r="D649">
        <v>0.25</v>
      </c>
      <c r="E649">
        <v>222.34299999999999</v>
      </c>
    </row>
    <row r="650" spans="1:5" x14ac:dyDescent="0.35">
      <c r="A650" s="66">
        <v>40544</v>
      </c>
      <c r="B650">
        <v>96.834999999999994</v>
      </c>
      <c r="C650">
        <v>97.283000000000001</v>
      </c>
      <c r="D650">
        <v>0.25</v>
      </c>
      <c r="E650">
        <v>222.803</v>
      </c>
    </row>
    <row r="651" spans="1:5" x14ac:dyDescent="0.35">
      <c r="A651" s="66">
        <v>40575</v>
      </c>
      <c r="B651">
        <v>97.105000000000004</v>
      </c>
      <c r="C651">
        <v>97.453000000000003</v>
      </c>
      <c r="D651">
        <v>0.25</v>
      </c>
      <c r="E651">
        <v>223.21299999999999</v>
      </c>
    </row>
    <row r="652" spans="1:5" x14ac:dyDescent="0.35">
      <c r="A652" s="66">
        <v>40603</v>
      </c>
      <c r="B652">
        <v>97.495999999999995</v>
      </c>
      <c r="C652">
        <v>97.6</v>
      </c>
      <c r="D652">
        <v>0.25</v>
      </c>
      <c r="E652">
        <v>223.45400000000001</v>
      </c>
    </row>
    <row r="653" spans="1:5" x14ac:dyDescent="0.35">
      <c r="A653" s="66">
        <v>40634</v>
      </c>
      <c r="B653">
        <v>97.908000000000001</v>
      </c>
      <c r="C653">
        <v>97.823999999999998</v>
      </c>
      <c r="D653">
        <v>0.25</v>
      </c>
      <c r="E653">
        <v>223.727</v>
      </c>
    </row>
    <row r="654" spans="1:5" x14ac:dyDescent="0.35">
      <c r="A654" s="66">
        <v>40664</v>
      </c>
      <c r="B654">
        <v>98.206000000000003</v>
      </c>
      <c r="C654">
        <v>98.057000000000002</v>
      </c>
      <c r="D654">
        <v>0.25</v>
      </c>
      <c r="E654">
        <v>224.17500000000001</v>
      </c>
    </row>
    <row r="655" spans="1:5" x14ac:dyDescent="0.35">
      <c r="A655" s="66">
        <v>40695</v>
      </c>
      <c r="B655">
        <v>98.186000000000007</v>
      </c>
      <c r="C655">
        <v>98.164000000000001</v>
      </c>
      <c r="D655">
        <v>0.25</v>
      </c>
      <c r="E655">
        <v>224.697</v>
      </c>
    </row>
    <row r="656" spans="1:5" x14ac:dyDescent="0.35">
      <c r="A656" s="66">
        <v>40725</v>
      </c>
      <c r="B656">
        <v>98.352999999999994</v>
      </c>
      <c r="C656">
        <v>98.308999999999997</v>
      </c>
      <c r="D656">
        <v>0.25</v>
      </c>
      <c r="E656">
        <v>225.21799999999999</v>
      </c>
    </row>
    <row r="657" spans="1:5" x14ac:dyDescent="0.35">
      <c r="A657" s="66">
        <v>40756</v>
      </c>
      <c r="B657">
        <v>98.584000000000003</v>
      </c>
      <c r="C657">
        <v>98.504999999999995</v>
      </c>
      <c r="D657">
        <v>0.25</v>
      </c>
      <c r="E657">
        <v>225.86199999999999</v>
      </c>
    </row>
    <row r="658" spans="1:5" x14ac:dyDescent="0.35">
      <c r="A658" s="66">
        <v>40787</v>
      </c>
      <c r="B658">
        <v>98.722999999999999</v>
      </c>
      <c r="C658">
        <v>98.572000000000003</v>
      </c>
      <c r="D658">
        <v>0.25</v>
      </c>
      <c r="E658">
        <v>226.11799999999999</v>
      </c>
    </row>
    <row r="659" spans="1:5" x14ac:dyDescent="0.35">
      <c r="A659" s="66">
        <v>40817</v>
      </c>
      <c r="B659">
        <v>98.724999999999994</v>
      </c>
      <c r="C659">
        <v>98.619</v>
      </c>
      <c r="D659">
        <v>0.25</v>
      </c>
      <c r="E659">
        <v>226.506</v>
      </c>
    </row>
    <row r="660" spans="1:5" x14ac:dyDescent="0.35">
      <c r="A660" s="66">
        <v>40848</v>
      </c>
      <c r="B660">
        <v>98.927999999999997</v>
      </c>
      <c r="C660">
        <v>98.828000000000003</v>
      </c>
      <c r="D660">
        <v>0.25</v>
      </c>
      <c r="E660">
        <v>226.899</v>
      </c>
    </row>
    <row r="661" spans="1:5" x14ac:dyDescent="0.35">
      <c r="A661" s="66">
        <v>40878</v>
      </c>
      <c r="B661">
        <v>98.983999999999995</v>
      </c>
      <c r="C661">
        <v>98.992000000000004</v>
      </c>
      <c r="D661">
        <v>0.25</v>
      </c>
      <c r="E661">
        <v>227.405</v>
      </c>
    </row>
    <row r="662" spans="1:5" x14ac:dyDescent="0.35">
      <c r="A662" s="66">
        <v>40909</v>
      </c>
      <c r="B662">
        <v>99.322999999999993</v>
      </c>
      <c r="C662">
        <v>99.287999999999997</v>
      </c>
      <c r="D662">
        <v>0.25</v>
      </c>
      <c r="E662">
        <v>227.87700000000001</v>
      </c>
    </row>
    <row r="663" spans="1:5" x14ac:dyDescent="0.35">
      <c r="A663" s="66">
        <v>40940</v>
      </c>
      <c r="B663">
        <v>99.545000000000002</v>
      </c>
      <c r="C663">
        <v>99.426000000000002</v>
      </c>
      <c r="D663">
        <v>0.25</v>
      </c>
      <c r="E663">
        <v>228.03399999999999</v>
      </c>
    </row>
    <row r="664" spans="1:5" x14ac:dyDescent="0.35">
      <c r="A664" s="66">
        <v>40969</v>
      </c>
      <c r="B664">
        <v>99.734999999999999</v>
      </c>
      <c r="C664">
        <v>99.594999999999999</v>
      </c>
      <c r="D664">
        <v>0.25</v>
      </c>
      <c r="E664">
        <v>228.47800000000001</v>
      </c>
    </row>
    <row r="665" spans="1:5" x14ac:dyDescent="0.35">
      <c r="A665" s="66">
        <v>41000</v>
      </c>
      <c r="B665">
        <v>99.866</v>
      </c>
      <c r="C665">
        <v>99.745999999999995</v>
      </c>
      <c r="D665">
        <v>0.25</v>
      </c>
      <c r="E665">
        <v>228.905</v>
      </c>
    </row>
    <row r="666" spans="1:5" x14ac:dyDescent="0.35">
      <c r="A666" s="66">
        <v>41030</v>
      </c>
      <c r="B666">
        <v>99.754000000000005</v>
      </c>
      <c r="C666">
        <v>99.846999999999994</v>
      </c>
      <c r="D666">
        <v>0.25</v>
      </c>
      <c r="E666">
        <v>229.22399999999999</v>
      </c>
    </row>
    <row r="667" spans="1:5" x14ac:dyDescent="0.35">
      <c r="A667" s="66">
        <v>41061</v>
      </c>
      <c r="B667">
        <v>99.703999999999994</v>
      </c>
      <c r="C667">
        <v>99.95</v>
      </c>
      <c r="D667">
        <v>0.25</v>
      </c>
      <c r="E667">
        <v>229.62299999999999</v>
      </c>
    </row>
    <row r="668" spans="1:5" x14ac:dyDescent="0.35">
      <c r="A668" s="66">
        <v>41091</v>
      </c>
      <c r="B668">
        <v>99.74</v>
      </c>
      <c r="C668">
        <v>100.053</v>
      </c>
      <c r="D668">
        <v>0.25</v>
      </c>
      <c r="E668">
        <v>229.97</v>
      </c>
    </row>
    <row r="669" spans="1:5" x14ac:dyDescent="0.35">
      <c r="A669" s="66">
        <v>41122</v>
      </c>
      <c r="B669">
        <v>100.075</v>
      </c>
      <c r="C669">
        <v>100.116</v>
      </c>
      <c r="D669">
        <v>0.25</v>
      </c>
      <c r="E669">
        <v>230.233</v>
      </c>
    </row>
    <row r="670" spans="1:5" x14ac:dyDescent="0.35">
      <c r="A670" s="66">
        <v>41153</v>
      </c>
      <c r="B670">
        <v>100.379</v>
      </c>
      <c r="C670">
        <v>100.24</v>
      </c>
      <c r="D670">
        <v>0.25</v>
      </c>
      <c r="E670">
        <v>230.65899999999999</v>
      </c>
    </row>
    <row r="671" spans="1:5" x14ac:dyDescent="0.35">
      <c r="A671" s="66">
        <v>41183</v>
      </c>
      <c r="B671">
        <v>100.67700000000001</v>
      </c>
      <c r="C671">
        <v>100.482</v>
      </c>
      <c r="D671">
        <v>0.25</v>
      </c>
      <c r="E671">
        <v>231.024</v>
      </c>
    </row>
    <row r="672" spans="1:5" x14ac:dyDescent="0.35">
      <c r="A672" s="66">
        <v>41214</v>
      </c>
      <c r="B672">
        <v>100.60899999999999</v>
      </c>
      <c r="C672">
        <v>100.59099999999999</v>
      </c>
      <c r="D672">
        <v>0.25</v>
      </c>
      <c r="E672">
        <v>231.33</v>
      </c>
    </row>
    <row r="673" spans="1:5" x14ac:dyDescent="0.35">
      <c r="A673" s="66">
        <v>41244</v>
      </c>
      <c r="B673">
        <v>100.593</v>
      </c>
      <c r="C673">
        <v>100.664</v>
      </c>
      <c r="D673">
        <v>0.25</v>
      </c>
      <c r="E673">
        <v>231.72499999999999</v>
      </c>
    </row>
    <row r="674" spans="1:5" x14ac:dyDescent="0.35">
      <c r="A674" s="66">
        <v>41275</v>
      </c>
      <c r="B674">
        <v>100.78700000000001</v>
      </c>
      <c r="C674">
        <v>100.871</v>
      </c>
      <c r="D674">
        <v>0.25</v>
      </c>
      <c r="E674">
        <v>232.22900000000001</v>
      </c>
    </row>
    <row r="675" spans="1:5" x14ac:dyDescent="0.35">
      <c r="A675" s="66">
        <v>41306</v>
      </c>
      <c r="B675">
        <v>101.15600000000001</v>
      </c>
      <c r="C675">
        <v>100.992</v>
      </c>
      <c r="D675">
        <v>0.25</v>
      </c>
      <c r="E675">
        <v>232.56899999999999</v>
      </c>
    </row>
    <row r="676" spans="1:5" x14ac:dyDescent="0.35">
      <c r="A676" s="66">
        <v>41334</v>
      </c>
      <c r="B676">
        <v>101.023</v>
      </c>
      <c r="C676">
        <v>101.08499999999999</v>
      </c>
      <c r="D676">
        <v>0.25</v>
      </c>
      <c r="E676">
        <v>232.79400000000001</v>
      </c>
    </row>
    <row r="677" spans="1:5" x14ac:dyDescent="0.35">
      <c r="A677" s="66">
        <v>41365</v>
      </c>
      <c r="B677">
        <v>100.944</v>
      </c>
      <c r="C677">
        <v>101.163</v>
      </c>
      <c r="D677">
        <v>0.25</v>
      </c>
      <c r="E677">
        <v>232.83199999999999</v>
      </c>
    </row>
    <row r="678" spans="1:5" x14ac:dyDescent="0.35">
      <c r="A678" s="66">
        <v>41395</v>
      </c>
      <c r="B678">
        <v>101.01</v>
      </c>
      <c r="C678">
        <v>101.27200000000001</v>
      </c>
      <c r="D678">
        <v>0.25</v>
      </c>
      <c r="E678">
        <v>232.99600000000001</v>
      </c>
    </row>
    <row r="679" spans="1:5" x14ac:dyDescent="0.35">
      <c r="A679" s="66">
        <v>41426</v>
      </c>
      <c r="B679">
        <v>101.22799999999999</v>
      </c>
      <c r="C679">
        <v>101.438</v>
      </c>
      <c r="D679">
        <v>0.25</v>
      </c>
      <c r="E679">
        <v>233.35</v>
      </c>
    </row>
    <row r="680" spans="1:5" x14ac:dyDescent="0.35">
      <c r="A680" s="66">
        <v>41456</v>
      </c>
      <c r="B680">
        <v>101.354</v>
      </c>
      <c r="C680">
        <v>101.56699999999999</v>
      </c>
      <c r="D680">
        <v>0.25</v>
      </c>
      <c r="E680">
        <v>233.88</v>
      </c>
    </row>
    <row r="681" spans="1:5" x14ac:dyDescent="0.35">
      <c r="A681" s="66">
        <v>41487</v>
      </c>
      <c r="B681">
        <v>101.51</v>
      </c>
      <c r="C681">
        <v>101.685</v>
      </c>
      <c r="D681">
        <v>0.25</v>
      </c>
      <c r="E681">
        <v>234.33600000000001</v>
      </c>
    </row>
    <row r="682" spans="1:5" x14ac:dyDescent="0.35">
      <c r="A682" s="66">
        <v>41518</v>
      </c>
      <c r="B682">
        <v>101.55</v>
      </c>
      <c r="C682">
        <v>101.79900000000001</v>
      </c>
      <c r="D682">
        <v>0.25</v>
      </c>
      <c r="E682">
        <v>234.7</v>
      </c>
    </row>
    <row r="683" spans="1:5" x14ac:dyDescent="0.35">
      <c r="A683" s="66">
        <v>41548</v>
      </c>
      <c r="B683">
        <v>101.72199999999999</v>
      </c>
      <c r="C683">
        <v>102.015</v>
      </c>
      <c r="D683">
        <v>0.25</v>
      </c>
      <c r="E683">
        <v>234.92099999999999</v>
      </c>
    </row>
    <row r="684" spans="1:5" x14ac:dyDescent="0.35">
      <c r="A684" s="66">
        <v>41579</v>
      </c>
      <c r="B684">
        <v>101.881</v>
      </c>
      <c r="C684">
        <v>102.194</v>
      </c>
      <c r="D684">
        <v>0.25</v>
      </c>
      <c r="E684">
        <v>235.35900000000001</v>
      </c>
    </row>
    <row r="685" spans="1:5" x14ac:dyDescent="0.35">
      <c r="A685" s="66">
        <v>41609</v>
      </c>
      <c r="B685">
        <v>102.084</v>
      </c>
      <c r="C685">
        <v>102.333</v>
      </c>
      <c r="D685">
        <v>0.25</v>
      </c>
      <c r="E685">
        <v>235.75899999999999</v>
      </c>
    </row>
    <row r="686" spans="1:5" x14ac:dyDescent="0.35">
      <c r="A686" s="66">
        <v>41640</v>
      </c>
      <c r="B686">
        <v>102.27800000000001</v>
      </c>
      <c r="C686">
        <v>102.426</v>
      </c>
      <c r="D686">
        <v>0.25</v>
      </c>
      <c r="E686">
        <v>235.96100000000001</v>
      </c>
    </row>
    <row r="687" spans="1:5" x14ac:dyDescent="0.35">
      <c r="A687" s="66">
        <v>41671</v>
      </c>
      <c r="B687">
        <v>102.33799999999999</v>
      </c>
      <c r="C687">
        <v>102.489</v>
      </c>
      <c r="D687">
        <v>0.25</v>
      </c>
      <c r="E687">
        <v>236.185</v>
      </c>
    </row>
    <row r="688" spans="1:5" x14ac:dyDescent="0.35">
      <c r="A688" s="66">
        <v>41699</v>
      </c>
      <c r="B688">
        <v>102.54300000000001</v>
      </c>
      <c r="C688">
        <v>102.684</v>
      </c>
      <c r="D688">
        <v>0.25</v>
      </c>
      <c r="E688">
        <v>236.625</v>
      </c>
    </row>
    <row r="689" spans="1:5" x14ac:dyDescent="0.35">
      <c r="A689" s="66">
        <v>41730</v>
      </c>
      <c r="B689">
        <v>102.742</v>
      </c>
      <c r="C689">
        <v>102.879</v>
      </c>
      <c r="D689">
        <v>0.25</v>
      </c>
      <c r="E689">
        <v>237.072</v>
      </c>
    </row>
    <row r="690" spans="1:5" x14ac:dyDescent="0.35">
      <c r="A690" s="66">
        <v>41760</v>
      </c>
      <c r="B690">
        <v>102.919</v>
      </c>
      <c r="C690">
        <v>103.06100000000001</v>
      </c>
      <c r="D690">
        <v>0.25</v>
      </c>
      <c r="E690">
        <v>237.529</v>
      </c>
    </row>
    <row r="691" spans="1:5" x14ac:dyDescent="0.35">
      <c r="A691" s="66">
        <v>41791</v>
      </c>
      <c r="B691">
        <v>103.035</v>
      </c>
      <c r="C691">
        <v>103.18</v>
      </c>
      <c r="D691">
        <v>0.25</v>
      </c>
      <c r="E691">
        <v>237.83699999999999</v>
      </c>
    </row>
    <row r="692" spans="1:5" x14ac:dyDescent="0.35">
      <c r="A692" s="66">
        <v>41821</v>
      </c>
      <c r="B692">
        <v>103.19</v>
      </c>
      <c r="C692">
        <v>103.369</v>
      </c>
      <c r="D692">
        <v>0.25</v>
      </c>
      <c r="E692">
        <v>238.19499999999999</v>
      </c>
    </row>
    <row r="693" spans="1:5" x14ac:dyDescent="0.35">
      <c r="A693" s="66">
        <v>41852</v>
      </c>
      <c r="B693">
        <v>103.17700000000001</v>
      </c>
      <c r="C693">
        <v>103.408</v>
      </c>
      <c r="D693">
        <v>0.25</v>
      </c>
      <c r="E693">
        <v>238.405</v>
      </c>
    </row>
    <row r="694" spans="1:5" x14ac:dyDescent="0.35">
      <c r="A694" s="66">
        <v>41883</v>
      </c>
      <c r="B694">
        <v>103.203</v>
      </c>
      <c r="C694">
        <v>103.536</v>
      </c>
      <c r="D694">
        <v>0.25</v>
      </c>
      <c r="E694">
        <v>238.786</v>
      </c>
    </row>
    <row r="695" spans="1:5" x14ac:dyDescent="0.35">
      <c r="A695" s="66">
        <v>41913</v>
      </c>
      <c r="B695">
        <v>103.17700000000001</v>
      </c>
      <c r="C695">
        <v>103.629</v>
      </c>
      <c r="D695">
        <v>0.25</v>
      </c>
      <c r="E695">
        <v>239.191</v>
      </c>
    </row>
    <row r="696" spans="1:5" x14ac:dyDescent="0.35">
      <c r="A696" s="66">
        <v>41944</v>
      </c>
      <c r="B696">
        <v>103.098</v>
      </c>
      <c r="C696">
        <v>103.74</v>
      </c>
      <c r="D696">
        <v>0.25</v>
      </c>
      <c r="E696">
        <v>239.458</v>
      </c>
    </row>
    <row r="697" spans="1:5" x14ac:dyDescent="0.35">
      <c r="A697" s="66">
        <v>41974</v>
      </c>
      <c r="B697">
        <v>102.94</v>
      </c>
      <c r="C697">
        <v>103.837</v>
      </c>
      <c r="D697">
        <v>0.25</v>
      </c>
      <c r="E697">
        <v>239.584</v>
      </c>
    </row>
    <row r="698" spans="1:5" x14ac:dyDescent="0.35">
      <c r="A698" s="66">
        <v>42005</v>
      </c>
      <c r="B698">
        <v>102.465</v>
      </c>
      <c r="C698">
        <v>103.816</v>
      </c>
      <c r="D698">
        <v>0.25</v>
      </c>
      <c r="E698">
        <v>239.81100000000001</v>
      </c>
    </row>
    <row r="699" spans="1:5" x14ac:dyDescent="0.35">
      <c r="A699" s="66">
        <v>42036</v>
      </c>
      <c r="B699">
        <v>102.634</v>
      </c>
      <c r="C699">
        <v>103.92</v>
      </c>
      <c r="D699">
        <v>0.25</v>
      </c>
      <c r="E699">
        <v>240.172</v>
      </c>
    </row>
    <row r="700" spans="1:5" x14ac:dyDescent="0.35">
      <c r="A700" s="66">
        <v>42064</v>
      </c>
      <c r="B700">
        <v>102.831</v>
      </c>
      <c r="C700">
        <v>104.08</v>
      </c>
      <c r="D700">
        <v>0.25</v>
      </c>
      <c r="E700">
        <v>240.755</v>
      </c>
    </row>
    <row r="701" spans="1:5" x14ac:dyDescent="0.35">
      <c r="A701" s="66">
        <v>42095</v>
      </c>
      <c r="B701">
        <v>102.91</v>
      </c>
      <c r="C701">
        <v>104.256</v>
      </c>
      <c r="D701">
        <v>0.25</v>
      </c>
      <c r="E701">
        <v>241.346</v>
      </c>
    </row>
    <row r="702" spans="1:5" x14ac:dyDescent="0.35">
      <c r="A702" s="66">
        <v>42125</v>
      </c>
      <c r="B702">
        <v>103.15600000000001</v>
      </c>
      <c r="C702">
        <v>104.38500000000001</v>
      </c>
      <c r="D702">
        <v>0.25</v>
      </c>
      <c r="E702">
        <v>241.68799999999999</v>
      </c>
    </row>
    <row r="703" spans="1:5" x14ac:dyDescent="0.35">
      <c r="A703" s="66">
        <v>42156</v>
      </c>
      <c r="B703">
        <v>103.35599999999999</v>
      </c>
      <c r="C703">
        <v>104.511</v>
      </c>
      <c r="D703">
        <v>0.25</v>
      </c>
      <c r="E703">
        <v>242.06399999999999</v>
      </c>
    </row>
    <row r="704" spans="1:5" x14ac:dyDescent="0.35">
      <c r="A704" s="66">
        <v>42186</v>
      </c>
      <c r="B704">
        <v>103.441</v>
      </c>
      <c r="C704">
        <v>104.60299999999999</v>
      </c>
      <c r="D704">
        <v>0.25</v>
      </c>
      <c r="E704">
        <v>242.565</v>
      </c>
    </row>
    <row r="705" spans="1:5" x14ac:dyDescent="0.35">
      <c r="A705" s="66">
        <v>42217</v>
      </c>
      <c r="B705">
        <v>103.44199999999999</v>
      </c>
      <c r="C705">
        <v>104.679</v>
      </c>
      <c r="D705">
        <v>0.25</v>
      </c>
      <c r="E705">
        <v>242.81700000000001</v>
      </c>
    </row>
    <row r="706" spans="1:5" x14ac:dyDescent="0.35">
      <c r="A706" s="66">
        <v>42248</v>
      </c>
      <c r="B706">
        <v>103.289</v>
      </c>
      <c r="C706">
        <v>104.81399999999999</v>
      </c>
      <c r="D706">
        <v>0.25</v>
      </c>
      <c r="E706">
        <v>243.316</v>
      </c>
    </row>
    <row r="707" spans="1:5" x14ac:dyDescent="0.35">
      <c r="A707" s="66">
        <v>42278</v>
      </c>
      <c r="B707">
        <v>103.274</v>
      </c>
      <c r="C707">
        <v>104.82899999999999</v>
      </c>
      <c r="D707">
        <v>0.25</v>
      </c>
      <c r="E707">
        <v>243.768</v>
      </c>
    </row>
    <row r="708" spans="1:5" x14ac:dyDescent="0.35">
      <c r="A708" s="66">
        <v>42309</v>
      </c>
      <c r="B708">
        <v>103.337</v>
      </c>
      <c r="C708">
        <v>104.94</v>
      </c>
      <c r="D708">
        <v>0.25</v>
      </c>
      <c r="E708">
        <v>244.24100000000001</v>
      </c>
    </row>
    <row r="709" spans="1:5" x14ac:dyDescent="0.35">
      <c r="A709" s="66">
        <v>42339</v>
      </c>
      <c r="B709">
        <v>103.253</v>
      </c>
      <c r="C709">
        <v>105.009</v>
      </c>
      <c r="D709">
        <v>0.25</v>
      </c>
      <c r="E709">
        <v>244.547</v>
      </c>
    </row>
    <row r="710" spans="1:5" x14ac:dyDescent="0.35">
      <c r="A710" s="66">
        <v>42370</v>
      </c>
      <c r="B710">
        <v>103.306</v>
      </c>
      <c r="C710">
        <v>105.20399999999999</v>
      </c>
      <c r="D710">
        <v>0.5</v>
      </c>
      <c r="E710">
        <v>244.95500000000001</v>
      </c>
    </row>
    <row r="711" spans="1:5" x14ac:dyDescent="0.35">
      <c r="A711" s="66">
        <v>42401</v>
      </c>
      <c r="B711">
        <v>103.242</v>
      </c>
      <c r="C711">
        <v>105.369</v>
      </c>
      <c r="D711">
        <v>0.5</v>
      </c>
      <c r="E711">
        <v>245.51</v>
      </c>
    </row>
    <row r="712" spans="1:5" x14ac:dyDescent="0.35">
      <c r="A712" s="66">
        <v>42430</v>
      </c>
      <c r="B712">
        <v>103.48099999999999</v>
      </c>
      <c r="C712">
        <v>105.521</v>
      </c>
      <c r="D712">
        <v>0.5</v>
      </c>
      <c r="E712">
        <v>245.91300000000001</v>
      </c>
    </row>
    <row r="713" spans="1:5" x14ac:dyDescent="0.35">
      <c r="A713" s="66">
        <v>42461</v>
      </c>
      <c r="B713">
        <v>103.82299999999999</v>
      </c>
      <c r="C713">
        <v>105.786</v>
      </c>
      <c r="D713">
        <v>0.5</v>
      </c>
      <c r="E713">
        <v>246.55099999999999</v>
      </c>
    </row>
    <row r="714" spans="1:5" x14ac:dyDescent="0.35">
      <c r="A714" s="66">
        <v>42491</v>
      </c>
      <c r="B714">
        <v>103.977</v>
      </c>
      <c r="C714">
        <v>105.94799999999999</v>
      </c>
      <c r="D714">
        <v>0.5</v>
      </c>
      <c r="E714">
        <v>247.137</v>
      </c>
    </row>
    <row r="715" spans="1:5" x14ac:dyDescent="0.35">
      <c r="A715" s="66">
        <v>42522</v>
      </c>
      <c r="B715">
        <v>104.175</v>
      </c>
      <c r="C715">
        <v>106.077</v>
      </c>
      <c r="D715">
        <v>0.5</v>
      </c>
      <c r="E715">
        <v>247.54</v>
      </c>
    </row>
    <row r="716" spans="1:5" x14ac:dyDescent="0.35">
      <c r="A716" s="66">
        <v>42552</v>
      </c>
      <c r="B716">
        <v>104.218</v>
      </c>
      <c r="C716">
        <v>106.25700000000001</v>
      </c>
      <c r="D716">
        <v>0.5</v>
      </c>
      <c r="E716">
        <v>247.82900000000001</v>
      </c>
    </row>
    <row r="717" spans="1:5" x14ac:dyDescent="0.35">
      <c r="A717" s="66">
        <v>42583</v>
      </c>
      <c r="B717">
        <v>104.374</v>
      </c>
      <c r="C717">
        <v>106.456</v>
      </c>
      <c r="D717">
        <v>0.5</v>
      </c>
      <c r="E717">
        <v>248.423</v>
      </c>
    </row>
    <row r="718" spans="1:5" x14ac:dyDescent="0.35">
      <c r="A718" s="66">
        <v>42614</v>
      </c>
      <c r="B718">
        <v>104.55500000000001</v>
      </c>
      <c r="C718">
        <v>106.57899999999999</v>
      </c>
      <c r="D718">
        <v>0.5</v>
      </c>
      <c r="E718">
        <v>248.84200000000001</v>
      </c>
    </row>
    <row r="719" spans="1:5" x14ac:dyDescent="0.35">
      <c r="A719" s="66">
        <v>42644</v>
      </c>
      <c r="B719">
        <v>104.786</v>
      </c>
      <c r="C719">
        <v>106.73699999999999</v>
      </c>
      <c r="D719">
        <v>0.5</v>
      </c>
      <c r="E719">
        <v>249.142</v>
      </c>
    </row>
    <row r="720" spans="1:5" x14ac:dyDescent="0.35">
      <c r="A720" s="66">
        <v>42675</v>
      </c>
      <c r="B720">
        <v>104.82599999999999</v>
      </c>
      <c r="C720">
        <v>106.789</v>
      </c>
      <c r="D720">
        <v>0.5</v>
      </c>
      <c r="E720">
        <v>249.48099999999999</v>
      </c>
    </row>
    <row r="721" spans="1:5" x14ac:dyDescent="0.35">
      <c r="A721" s="66">
        <v>42705</v>
      </c>
      <c r="B721">
        <v>105.017</v>
      </c>
      <c r="C721">
        <v>106.929</v>
      </c>
      <c r="D721">
        <v>0.5</v>
      </c>
      <c r="E721">
        <v>249.92</v>
      </c>
    </row>
    <row r="722" spans="1:5" x14ac:dyDescent="0.35">
      <c r="A722" s="66">
        <v>42736</v>
      </c>
      <c r="B722">
        <v>105.408</v>
      </c>
      <c r="C722">
        <v>107.205</v>
      </c>
      <c r="D722">
        <v>0.75</v>
      </c>
      <c r="E722">
        <v>250.46700000000001</v>
      </c>
    </row>
    <row r="723" spans="1:5" x14ac:dyDescent="0.35">
      <c r="A723" s="66">
        <v>42767</v>
      </c>
      <c r="B723">
        <v>105.57</v>
      </c>
      <c r="C723">
        <v>107.414</v>
      </c>
      <c r="D723">
        <v>0.75</v>
      </c>
      <c r="E723">
        <v>250.99799999999999</v>
      </c>
    </row>
    <row r="724" spans="1:5" x14ac:dyDescent="0.35">
      <c r="A724" s="66">
        <v>42795</v>
      </c>
      <c r="B724">
        <v>105.512</v>
      </c>
      <c r="C724">
        <v>107.364</v>
      </c>
      <c r="D724">
        <v>0.75</v>
      </c>
      <c r="E724">
        <v>250.94399999999999</v>
      </c>
    </row>
    <row r="725" spans="1:5" x14ac:dyDescent="0.35">
      <c r="A725" s="66">
        <v>42826</v>
      </c>
      <c r="B725">
        <v>105.744</v>
      </c>
      <c r="C725">
        <v>107.62</v>
      </c>
      <c r="D725">
        <v>1</v>
      </c>
      <c r="E725">
        <v>251.227</v>
      </c>
    </row>
    <row r="726" spans="1:5" x14ac:dyDescent="0.35">
      <c r="A726" s="66">
        <v>42856</v>
      </c>
      <c r="B726">
        <v>105.714</v>
      </c>
      <c r="C726">
        <v>107.71899999999999</v>
      </c>
      <c r="D726">
        <v>1</v>
      </c>
      <c r="E726">
        <v>251.43</v>
      </c>
    </row>
    <row r="727" spans="1:5" x14ac:dyDescent="0.35">
      <c r="A727" s="66">
        <v>42887</v>
      </c>
      <c r="B727">
        <v>105.815</v>
      </c>
      <c r="C727">
        <v>107.876</v>
      </c>
      <c r="D727">
        <v>1</v>
      </c>
      <c r="E727">
        <v>251.74600000000001</v>
      </c>
    </row>
    <row r="728" spans="1:5" x14ac:dyDescent="0.35">
      <c r="A728" s="66">
        <v>42917</v>
      </c>
      <c r="B728">
        <v>105.842</v>
      </c>
      <c r="C728">
        <v>107.941</v>
      </c>
      <c r="D728">
        <v>1.25</v>
      </c>
      <c r="E728">
        <v>251.98500000000001</v>
      </c>
    </row>
    <row r="729" spans="1:5" x14ac:dyDescent="0.35">
      <c r="A729" s="66">
        <v>42948</v>
      </c>
      <c r="B729">
        <v>106.093</v>
      </c>
      <c r="C729">
        <v>108.074</v>
      </c>
      <c r="D729">
        <v>1.25</v>
      </c>
      <c r="E729">
        <v>252.535</v>
      </c>
    </row>
    <row r="730" spans="1:5" x14ac:dyDescent="0.35">
      <c r="A730" s="66">
        <v>42979</v>
      </c>
      <c r="B730">
        <v>106.491</v>
      </c>
      <c r="C730">
        <v>108.215</v>
      </c>
      <c r="D730">
        <v>1.25</v>
      </c>
      <c r="E730">
        <v>252.81200000000001</v>
      </c>
    </row>
    <row r="731" spans="1:5" x14ac:dyDescent="0.35">
      <c r="A731" s="66">
        <v>43009</v>
      </c>
      <c r="B731">
        <v>106.648</v>
      </c>
      <c r="C731">
        <v>108.499</v>
      </c>
      <c r="D731">
        <v>1.25</v>
      </c>
      <c r="E731">
        <v>253.52600000000001</v>
      </c>
    </row>
    <row r="732" spans="1:5" x14ac:dyDescent="0.35">
      <c r="A732" s="66">
        <v>43040</v>
      </c>
      <c r="B732">
        <v>106.825</v>
      </c>
      <c r="C732">
        <v>108.58199999999999</v>
      </c>
      <c r="D732">
        <v>1.25</v>
      </c>
      <c r="E732">
        <v>253.816</v>
      </c>
    </row>
    <row r="733" spans="1:5" x14ac:dyDescent="0.35">
      <c r="A733" s="66">
        <v>43070</v>
      </c>
      <c r="B733">
        <v>106.98</v>
      </c>
      <c r="C733">
        <v>108.742</v>
      </c>
      <c r="D733">
        <v>1.25</v>
      </c>
      <c r="E733">
        <v>254.34399999999999</v>
      </c>
    </row>
    <row r="734" spans="1:5" x14ac:dyDescent="0.35">
      <c r="A734" s="66">
        <v>43101</v>
      </c>
      <c r="B734">
        <v>107.36199999999999</v>
      </c>
      <c r="C734">
        <v>109.08</v>
      </c>
      <c r="D734">
        <v>1.5</v>
      </c>
      <c r="E734">
        <v>255.072</v>
      </c>
    </row>
    <row r="735" spans="1:5" x14ac:dyDescent="0.35">
      <c r="A735" s="66">
        <v>43132</v>
      </c>
      <c r="B735">
        <v>107.625</v>
      </c>
      <c r="C735">
        <v>109.31100000000001</v>
      </c>
      <c r="D735">
        <v>1.5</v>
      </c>
      <c r="E735">
        <v>255.56800000000001</v>
      </c>
    </row>
    <row r="736" spans="1:5" x14ac:dyDescent="0.35">
      <c r="A736" s="66">
        <v>43160</v>
      </c>
      <c r="B736">
        <v>107.777</v>
      </c>
      <c r="C736">
        <v>109.562</v>
      </c>
      <c r="D736">
        <v>1.5</v>
      </c>
      <c r="E736">
        <v>256.12799999999999</v>
      </c>
    </row>
    <row r="737" spans="1:5" x14ac:dyDescent="0.35">
      <c r="A737" s="66">
        <v>43191</v>
      </c>
      <c r="B737">
        <v>107.988</v>
      </c>
      <c r="C737">
        <v>109.75</v>
      </c>
      <c r="D737">
        <v>1.75</v>
      </c>
      <c r="E737">
        <v>256.60300000000001</v>
      </c>
    </row>
    <row r="738" spans="1:5" x14ac:dyDescent="0.35">
      <c r="A738" s="66">
        <v>43221</v>
      </c>
      <c r="B738">
        <v>108.193</v>
      </c>
      <c r="C738">
        <v>109.956</v>
      </c>
      <c r="D738">
        <v>1.75</v>
      </c>
      <c r="E738">
        <v>257.15100000000001</v>
      </c>
    </row>
    <row r="739" spans="1:5" x14ac:dyDescent="0.35">
      <c r="A739" s="66">
        <v>43252</v>
      </c>
      <c r="B739">
        <v>108.31699999999999</v>
      </c>
      <c r="C739">
        <v>110.07299999999999</v>
      </c>
      <c r="D739">
        <v>1.75</v>
      </c>
      <c r="E739">
        <v>257.44900000000001</v>
      </c>
    </row>
    <row r="740" spans="1:5" x14ac:dyDescent="0.35">
      <c r="A740" s="66">
        <v>43282</v>
      </c>
      <c r="B740">
        <v>108.417</v>
      </c>
      <c r="C740">
        <v>110.21899999999999</v>
      </c>
      <c r="D740">
        <v>2</v>
      </c>
      <c r="E740">
        <v>257.84800000000001</v>
      </c>
    </row>
    <row r="741" spans="1:5" x14ac:dyDescent="0.35">
      <c r="A741" s="66">
        <v>43313</v>
      </c>
      <c r="B741">
        <v>108.502</v>
      </c>
      <c r="C741">
        <v>110.246</v>
      </c>
      <c r="D741">
        <v>2</v>
      </c>
      <c r="E741">
        <v>258.02800000000002</v>
      </c>
    </row>
    <row r="742" spans="1:5" x14ac:dyDescent="0.35">
      <c r="A742" s="66">
        <v>43344</v>
      </c>
      <c r="B742">
        <v>108.738</v>
      </c>
      <c r="C742">
        <v>110.476</v>
      </c>
      <c r="D742">
        <v>2</v>
      </c>
      <c r="E742">
        <v>258.505</v>
      </c>
    </row>
    <row r="743" spans="1:5" x14ac:dyDescent="0.35">
      <c r="A743" s="66">
        <v>43374</v>
      </c>
      <c r="B743">
        <v>108.92400000000001</v>
      </c>
      <c r="C743">
        <v>110.626</v>
      </c>
      <c r="D743">
        <v>2.25</v>
      </c>
      <c r="E743">
        <v>258.99700000000001</v>
      </c>
    </row>
    <row r="744" spans="1:5" x14ac:dyDescent="0.35">
      <c r="A744" s="66">
        <v>43405</v>
      </c>
      <c r="B744">
        <v>108.96899999999999</v>
      </c>
      <c r="C744">
        <v>110.831</v>
      </c>
      <c r="D744">
        <v>2.25</v>
      </c>
      <c r="E744">
        <v>259.45499999999998</v>
      </c>
    </row>
    <row r="745" spans="1:5" x14ac:dyDescent="0.35">
      <c r="A745" s="66">
        <v>43435</v>
      </c>
      <c r="B745">
        <v>108.991</v>
      </c>
      <c r="C745">
        <v>111.009</v>
      </c>
      <c r="D745">
        <v>2.25</v>
      </c>
      <c r="E745">
        <v>259.93400000000003</v>
      </c>
    </row>
    <row r="746" spans="1:5" x14ac:dyDescent="0.35">
      <c r="A746" s="66">
        <v>43466</v>
      </c>
      <c r="B746">
        <v>108.977</v>
      </c>
      <c r="C746">
        <v>111.134</v>
      </c>
      <c r="D746">
        <v>2.5</v>
      </c>
      <c r="E746">
        <v>260.53399999999999</v>
      </c>
    </row>
    <row r="747" spans="1:5" x14ac:dyDescent="0.35">
      <c r="A747" s="66">
        <v>43497</v>
      </c>
      <c r="B747">
        <v>109.146</v>
      </c>
      <c r="C747">
        <v>111.20699999999999</v>
      </c>
      <c r="D747">
        <v>2.5</v>
      </c>
      <c r="E747">
        <v>260.88499999999999</v>
      </c>
    </row>
    <row r="748" spans="1:5" x14ac:dyDescent="0.35">
      <c r="A748" s="66">
        <v>43525</v>
      </c>
      <c r="B748">
        <v>109.443</v>
      </c>
      <c r="C748">
        <v>111.35</v>
      </c>
      <c r="D748">
        <v>2.5</v>
      </c>
      <c r="E748">
        <v>261.38200000000001</v>
      </c>
    </row>
    <row r="749" spans="1:5" x14ac:dyDescent="0.35">
      <c r="A749" s="66">
        <v>43556</v>
      </c>
      <c r="B749">
        <v>109.78</v>
      </c>
      <c r="C749">
        <v>111.65</v>
      </c>
      <c r="D749">
        <v>2.5</v>
      </c>
      <c r="E749">
        <v>261.95800000000003</v>
      </c>
    </row>
    <row r="750" spans="1:5" x14ac:dyDescent="0.35">
      <c r="A750" s="66">
        <v>43586</v>
      </c>
      <c r="B750">
        <v>109.85599999999999</v>
      </c>
      <c r="C750">
        <v>111.773</v>
      </c>
      <c r="D750">
        <v>2.5</v>
      </c>
      <c r="E750">
        <v>262.32100000000003</v>
      </c>
    </row>
    <row r="751" spans="1:5" x14ac:dyDescent="0.35">
      <c r="A751" s="66">
        <v>43617</v>
      </c>
      <c r="B751">
        <v>109.935</v>
      </c>
      <c r="C751">
        <v>112</v>
      </c>
      <c r="D751">
        <v>2.5</v>
      </c>
      <c r="E751">
        <v>262.94499999999999</v>
      </c>
    </row>
    <row r="752" spans="1:5" x14ac:dyDescent="0.35">
      <c r="A752" s="66">
        <v>43647</v>
      </c>
      <c r="B752">
        <v>110.09399999999999</v>
      </c>
      <c r="C752">
        <v>112.157</v>
      </c>
      <c r="D752">
        <v>2.5</v>
      </c>
      <c r="E752">
        <v>263.49099999999999</v>
      </c>
    </row>
    <row r="753" spans="1:5" x14ac:dyDescent="0.35">
      <c r="A753" s="66">
        <v>43678</v>
      </c>
      <c r="B753">
        <v>110.13200000000001</v>
      </c>
      <c r="C753">
        <v>112.27</v>
      </c>
      <c r="D753">
        <v>2.25</v>
      </c>
      <c r="E753">
        <v>264.13499999999999</v>
      </c>
    </row>
    <row r="754" spans="1:5" x14ac:dyDescent="0.35">
      <c r="A754" s="66">
        <v>43709</v>
      </c>
      <c r="B754">
        <v>110.20699999999999</v>
      </c>
      <c r="C754">
        <v>112.339</v>
      </c>
      <c r="D754">
        <v>2.25</v>
      </c>
      <c r="E754">
        <v>264.58800000000002</v>
      </c>
    </row>
    <row r="755" spans="1:5" x14ac:dyDescent="0.35">
      <c r="A755" s="66">
        <v>43739</v>
      </c>
      <c r="B755">
        <v>110.423</v>
      </c>
      <c r="C755">
        <v>112.496</v>
      </c>
      <c r="D755">
        <v>2</v>
      </c>
      <c r="E755">
        <v>265.01900000000001</v>
      </c>
    </row>
    <row r="756" spans="1:5" x14ac:dyDescent="0.35">
      <c r="A756" s="66">
        <v>43770</v>
      </c>
      <c r="B756">
        <v>110.46899999999999</v>
      </c>
      <c r="C756">
        <v>112.524</v>
      </c>
      <c r="D756">
        <v>1.75</v>
      </c>
      <c r="E756">
        <v>265.46100000000001</v>
      </c>
    </row>
    <row r="757" spans="1:5" x14ac:dyDescent="0.35">
      <c r="A757" s="66">
        <v>43800</v>
      </c>
      <c r="B757">
        <v>110.736</v>
      </c>
      <c r="C757">
        <v>112.77200000000001</v>
      </c>
      <c r="D757">
        <v>1.75</v>
      </c>
      <c r="E757">
        <v>265.74200000000002</v>
      </c>
    </row>
    <row r="758" spans="1:5" x14ac:dyDescent="0.35">
      <c r="A758" s="66">
        <v>43831</v>
      </c>
      <c r="B758">
        <v>110.944</v>
      </c>
      <c r="C758">
        <v>113.008</v>
      </c>
      <c r="D758">
        <v>1.75</v>
      </c>
      <c r="E758">
        <v>266.41800000000001</v>
      </c>
    </row>
    <row r="759" spans="1:5" x14ac:dyDescent="0.35">
      <c r="A759" s="66">
        <v>43862</v>
      </c>
      <c r="B759">
        <v>111.07</v>
      </c>
      <c r="C759">
        <v>113.206</v>
      </c>
      <c r="D759">
        <v>1.75</v>
      </c>
      <c r="E759">
        <v>267.08300000000003</v>
      </c>
    </row>
    <row r="760" spans="1:5" x14ac:dyDescent="0.35">
      <c r="A760" s="66">
        <v>43891</v>
      </c>
      <c r="B760">
        <v>110.824</v>
      </c>
      <c r="C760">
        <v>113.143</v>
      </c>
      <c r="D760">
        <v>1.75</v>
      </c>
      <c r="E760">
        <v>266.916</v>
      </c>
    </row>
    <row r="761" spans="1:5" x14ac:dyDescent="0.35">
      <c r="A761" s="66">
        <v>43922</v>
      </c>
      <c r="B761">
        <v>110.23699999999999</v>
      </c>
      <c r="C761">
        <v>112.66800000000001</v>
      </c>
      <c r="D761">
        <v>0.25</v>
      </c>
      <c r="E761">
        <v>265.77100000000002</v>
      </c>
    </row>
    <row r="762" spans="1:5" x14ac:dyDescent="0.35">
      <c r="A762" s="66">
        <v>43952</v>
      </c>
      <c r="B762">
        <v>110.35299999999999</v>
      </c>
      <c r="C762">
        <v>112.819</v>
      </c>
      <c r="D762">
        <v>0.25</v>
      </c>
      <c r="E762">
        <v>265.60599999999999</v>
      </c>
    </row>
    <row r="763" spans="1:5" x14ac:dyDescent="0.35">
      <c r="A763" s="66">
        <v>43983</v>
      </c>
      <c r="B763">
        <v>110.746</v>
      </c>
      <c r="C763">
        <v>113.051</v>
      </c>
      <c r="D763">
        <v>0.25</v>
      </c>
      <c r="E763">
        <v>266.08800000000002</v>
      </c>
    </row>
    <row r="764" spans="1:5" x14ac:dyDescent="0.35">
      <c r="A764" s="66">
        <v>44013</v>
      </c>
      <c r="B764">
        <v>111.072</v>
      </c>
      <c r="C764">
        <v>113.425</v>
      </c>
      <c r="D764">
        <v>0.25</v>
      </c>
      <c r="E764">
        <v>267.55200000000002</v>
      </c>
    </row>
    <row r="765" spans="1:5" x14ac:dyDescent="0.35">
      <c r="A765" s="66">
        <v>44044</v>
      </c>
      <c r="B765">
        <v>111.411</v>
      </c>
      <c r="C765">
        <v>113.782</v>
      </c>
      <c r="D765">
        <v>0.25</v>
      </c>
      <c r="E765">
        <v>268.66199999999998</v>
      </c>
    </row>
    <row r="766" spans="1:5" x14ac:dyDescent="0.35">
      <c r="A766" s="66">
        <v>44075</v>
      </c>
      <c r="B766">
        <v>111.613</v>
      </c>
      <c r="C766">
        <v>113.979</v>
      </c>
      <c r="D766">
        <v>0.25</v>
      </c>
      <c r="E766">
        <v>269.15199999999999</v>
      </c>
    </row>
    <row r="767" spans="1:5" x14ac:dyDescent="0.35">
      <c r="A767" s="66">
        <v>44105</v>
      </c>
      <c r="B767">
        <v>111.648</v>
      </c>
      <c r="C767">
        <v>114.017</v>
      </c>
      <c r="D767">
        <v>0.25</v>
      </c>
      <c r="E767">
        <v>269.33199999999999</v>
      </c>
    </row>
    <row r="768" spans="1:5" x14ac:dyDescent="0.35">
      <c r="A768" s="66">
        <v>44136</v>
      </c>
      <c r="B768">
        <v>111.666</v>
      </c>
      <c r="C768">
        <v>114.048</v>
      </c>
      <c r="D768">
        <v>0.25</v>
      </c>
      <c r="E768">
        <v>269.81599999999997</v>
      </c>
    </row>
    <row r="769" spans="1:5" x14ac:dyDescent="0.35">
      <c r="A769" s="66">
        <v>44166</v>
      </c>
      <c r="B769">
        <v>112.15</v>
      </c>
      <c r="C769">
        <v>114.422</v>
      </c>
      <c r="D769">
        <v>0.25</v>
      </c>
      <c r="E769">
        <v>269.98399999999998</v>
      </c>
    </row>
    <row r="770" spans="1:5" x14ac:dyDescent="0.35">
      <c r="A770" s="66">
        <v>44197</v>
      </c>
      <c r="B770">
        <v>112.583</v>
      </c>
      <c r="C770">
        <v>114.782</v>
      </c>
      <c r="D770">
        <v>0.25</v>
      </c>
      <c r="E770">
        <v>270.11399999999998</v>
      </c>
    </row>
    <row r="771" spans="1:5" x14ac:dyDescent="0.35">
      <c r="A771" s="66">
        <v>44228</v>
      </c>
      <c r="B771">
        <v>112.961</v>
      </c>
      <c r="C771">
        <v>114.97499999999999</v>
      </c>
      <c r="D771">
        <v>0.25</v>
      </c>
      <c r="E771">
        <v>270.52199999999999</v>
      </c>
    </row>
    <row r="772" spans="1:5" x14ac:dyDescent="0.35">
      <c r="A772" s="66">
        <v>44256</v>
      </c>
      <c r="B772">
        <v>113.63200000000001</v>
      </c>
      <c r="C772">
        <v>115.45699999999999</v>
      </c>
      <c r="D772">
        <v>0.25</v>
      </c>
      <c r="E772">
        <v>271.34699999999998</v>
      </c>
    </row>
    <row r="773" spans="1:5" x14ac:dyDescent="0.35">
      <c r="A773" s="66">
        <v>44287</v>
      </c>
      <c r="B773">
        <v>114.238</v>
      </c>
      <c r="C773">
        <v>116.18600000000001</v>
      </c>
      <c r="D773">
        <v>0.25</v>
      </c>
      <c r="E773">
        <v>273.66899999999998</v>
      </c>
    </row>
    <row r="774" spans="1:5" x14ac:dyDescent="0.35">
      <c r="A774" s="66">
        <v>44317</v>
      </c>
      <c r="B774">
        <v>114.819</v>
      </c>
      <c r="C774">
        <v>116.78700000000001</v>
      </c>
      <c r="D774">
        <v>0.25</v>
      </c>
      <c r="E774">
        <v>275.71499999999997</v>
      </c>
    </row>
    <row r="775" spans="1:5" x14ac:dyDescent="0.35">
      <c r="A775" s="66">
        <v>44348</v>
      </c>
      <c r="B775">
        <v>115.458</v>
      </c>
      <c r="C775">
        <v>117.349</v>
      </c>
      <c r="D775">
        <v>0.25</v>
      </c>
      <c r="E775">
        <v>277.92200000000003</v>
      </c>
    </row>
    <row r="776" spans="1:5" x14ac:dyDescent="0.35">
      <c r="A776" s="66">
        <v>44378</v>
      </c>
      <c r="B776">
        <v>115.986</v>
      </c>
      <c r="C776">
        <v>117.81100000000001</v>
      </c>
      <c r="D776">
        <v>0.25</v>
      </c>
      <c r="E776">
        <v>278.79399999999998</v>
      </c>
    </row>
    <row r="777" spans="1:5" x14ac:dyDescent="0.35">
      <c r="A777" s="66">
        <v>44409</v>
      </c>
      <c r="B777">
        <v>116.444</v>
      </c>
      <c r="C777">
        <v>118.199</v>
      </c>
      <c r="D777">
        <v>0.25</v>
      </c>
      <c r="E777">
        <v>279.30599999999998</v>
      </c>
    </row>
    <row r="778" spans="1:5" x14ac:dyDescent="0.35">
      <c r="A778" s="66">
        <v>44440</v>
      </c>
      <c r="B778">
        <v>116.80800000000001</v>
      </c>
      <c r="C778">
        <v>118.446</v>
      </c>
      <c r="D778">
        <v>0.25</v>
      </c>
      <c r="E778">
        <v>280.017</v>
      </c>
    </row>
    <row r="779" spans="1:5" x14ac:dyDescent="0.35">
      <c r="A779" s="66">
        <v>44470</v>
      </c>
      <c r="B779">
        <v>117.479</v>
      </c>
      <c r="C779">
        <v>118.929</v>
      </c>
      <c r="D779">
        <v>0.25</v>
      </c>
      <c r="E779">
        <v>281.70499999999998</v>
      </c>
    </row>
    <row r="780" spans="1:5" x14ac:dyDescent="0.35">
      <c r="A780" s="66">
        <v>44501</v>
      </c>
      <c r="B780">
        <v>118.2</v>
      </c>
      <c r="C780">
        <v>119.54300000000001</v>
      </c>
      <c r="D780">
        <v>0.25</v>
      </c>
      <c r="E780">
        <v>283.17899999999997</v>
      </c>
    </row>
    <row r="781" spans="1:5" x14ac:dyDescent="0.35">
      <c r="A781" s="66">
        <v>44531</v>
      </c>
      <c r="B781">
        <v>118.84099999999999</v>
      </c>
      <c r="C781">
        <v>120.193</v>
      </c>
      <c r="D781">
        <v>0.25</v>
      </c>
      <c r="E781">
        <v>284.77</v>
      </c>
    </row>
    <row r="782" spans="1:5" x14ac:dyDescent="0.35">
      <c r="A782" s="66">
        <v>44562</v>
      </c>
      <c r="B782">
        <v>119.46899999999999</v>
      </c>
      <c r="C782">
        <v>120.761</v>
      </c>
      <c r="D782">
        <v>0.25</v>
      </c>
      <c r="E782">
        <v>286.43099999999998</v>
      </c>
    </row>
    <row r="783" spans="1:5" x14ac:dyDescent="0.35">
      <c r="A783" s="66">
        <v>44593</v>
      </c>
      <c r="B783">
        <v>120.178</v>
      </c>
      <c r="C783">
        <v>121.205</v>
      </c>
      <c r="D783">
        <v>0.25</v>
      </c>
      <c r="E783">
        <v>287.87799999999999</v>
      </c>
    </row>
    <row r="784" spans="1:5" x14ac:dyDescent="0.35">
      <c r="A784" s="66">
        <v>44621</v>
      </c>
      <c r="B784">
        <v>121.321</v>
      </c>
      <c r="C784">
        <v>121.651</v>
      </c>
      <c r="D784">
        <v>0.25</v>
      </c>
      <c r="E784">
        <v>288.81099999999998</v>
      </c>
    </row>
    <row r="785" spans="1:5" x14ac:dyDescent="0.35">
      <c r="A785" s="66">
        <v>44652</v>
      </c>
      <c r="B785">
        <v>121.563</v>
      </c>
      <c r="C785">
        <v>122.03</v>
      </c>
      <c r="D785">
        <v>0.5</v>
      </c>
      <c r="E785">
        <v>290.45499999999998</v>
      </c>
    </row>
    <row r="786" spans="1:5" x14ac:dyDescent="0.35">
      <c r="A786" s="66">
        <v>44682</v>
      </c>
      <c r="B786">
        <v>122.3</v>
      </c>
      <c r="C786">
        <v>122.488</v>
      </c>
      <c r="D786">
        <v>0.5</v>
      </c>
      <c r="E786">
        <v>292.28899999999999</v>
      </c>
    </row>
    <row r="787" spans="1:5" x14ac:dyDescent="0.35">
      <c r="A787" s="66">
        <v>44713</v>
      </c>
      <c r="B787">
        <v>123.512</v>
      </c>
      <c r="C787">
        <v>123.258</v>
      </c>
      <c r="D787">
        <v>1</v>
      </c>
      <c r="E787">
        <v>294.35399999999998</v>
      </c>
    </row>
    <row r="788" spans="1:5" x14ac:dyDescent="0.35">
      <c r="A788" s="66">
        <v>44743</v>
      </c>
      <c r="B788">
        <v>123.38500000000001</v>
      </c>
      <c r="C788">
        <v>123.33799999999999</v>
      </c>
      <c r="D788">
        <v>1.75</v>
      </c>
      <c r="E788">
        <v>295.27499999999998</v>
      </c>
    </row>
    <row r="789" spans="1:5" x14ac:dyDescent="0.35">
      <c r="A789" s="66">
        <v>44774</v>
      </c>
      <c r="B789">
        <v>123.71</v>
      </c>
      <c r="C789">
        <v>124.01</v>
      </c>
      <c r="D789">
        <v>2.5</v>
      </c>
      <c r="E789">
        <v>296.95</v>
      </c>
    </row>
    <row r="790" spans="1:5" x14ac:dyDescent="0.35">
      <c r="A790" s="66">
        <v>44805</v>
      </c>
      <c r="B790">
        <v>124.134</v>
      </c>
      <c r="C790">
        <v>124.584</v>
      </c>
      <c r="D790">
        <v>2.5</v>
      </c>
      <c r="E790">
        <v>298.66000000000003</v>
      </c>
    </row>
    <row r="791" spans="1:5" x14ac:dyDescent="0.35">
      <c r="A791" s="66">
        <v>44835</v>
      </c>
      <c r="B791">
        <v>124.55</v>
      </c>
      <c r="C791">
        <v>124.857</v>
      </c>
      <c r="D791">
        <v>3.25</v>
      </c>
      <c r="E791">
        <v>299.471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WVL1203"/>
  <sheetViews>
    <sheetView zoomScale="90" zoomScaleNormal="90" workbookViewId="0">
      <pane ySplit="4" topLeftCell="A736" activePane="bottomLeft" state="frozen"/>
      <selection pane="bottomLeft" activeCell="Q750" sqref="Q750"/>
    </sheetView>
  </sheetViews>
  <sheetFormatPr defaultColWidth="8.81640625" defaultRowHeight="14.5" x14ac:dyDescent="0.35"/>
  <cols>
    <col min="1" max="1" width="10.81640625" style="3" customWidth="1"/>
    <col min="2" max="2" width="18.1796875" style="51" customWidth="1"/>
    <col min="3" max="3" width="15" style="1" customWidth="1"/>
    <col min="4" max="4" width="13" style="2" customWidth="1"/>
    <col min="5" max="66" width="9.1796875" style="64" customWidth="1"/>
    <col min="253" max="253" width="10.81640625" style="34" customWidth="1"/>
    <col min="254" max="254" width="18.1796875" style="34" customWidth="1"/>
    <col min="255" max="255" width="15" style="34" customWidth="1"/>
    <col min="256" max="259" width="13" style="34" customWidth="1"/>
    <col min="260" max="260" width="17.6328125" style="34" customWidth="1"/>
    <col min="509" max="509" width="10.81640625" style="34" customWidth="1"/>
    <col min="510" max="510" width="18.1796875" style="34" customWidth="1"/>
    <col min="511" max="511" width="15" style="34" customWidth="1"/>
    <col min="512" max="515" width="13" style="34" customWidth="1"/>
    <col min="516" max="516" width="17.6328125" style="34" customWidth="1"/>
    <col min="765" max="765" width="10.81640625" style="34" customWidth="1"/>
    <col min="766" max="766" width="18.1796875" style="34" customWidth="1"/>
    <col min="767" max="767" width="15" style="34" customWidth="1"/>
    <col min="768" max="771" width="13" style="34" customWidth="1"/>
    <col min="772" max="772" width="17.6328125" style="34" customWidth="1"/>
    <col min="1021" max="1021" width="10.81640625" style="34" customWidth="1"/>
    <col min="1022" max="1022" width="18.1796875" style="34" customWidth="1"/>
    <col min="1023" max="1023" width="15" style="34" customWidth="1"/>
    <col min="1024" max="1027" width="13" style="34" customWidth="1"/>
    <col min="1028" max="1028" width="17.6328125" style="34" customWidth="1"/>
    <col min="1277" max="1277" width="10.81640625" style="34" customWidth="1"/>
    <col min="1278" max="1278" width="18.1796875" style="34" customWidth="1"/>
    <col min="1279" max="1279" width="15" style="34" customWidth="1"/>
    <col min="1280" max="1283" width="13" style="34" customWidth="1"/>
    <col min="1284" max="1284" width="17.6328125" style="34" customWidth="1"/>
    <col min="1533" max="1533" width="10.81640625" style="34" customWidth="1"/>
    <col min="1534" max="1534" width="18.1796875" style="34" customWidth="1"/>
    <col min="1535" max="1535" width="15" style="34" customWidth="1"/>
    <col min="1536" max="1539" width="13" style="34" customWidth="1"/>
    <col min="1540" max="1540" width="17.6328125" style="34" customWidth="1"/>
    <col min="1789" max="1789" width="10.81640625" style="34" customWidth="1"/>
    <col min="1790" max="1790" width="18.1796875" style="34" customWidth="1"/>
    <col min="1791" max="1791" width="15" style="34" customWidth="1"/>
    <col min="1792" max="1795" width="13" style="34" customWidth="1"/>
    <col min="1796" max="1796" width="17.6328125" style="34" customWidth="1"/>
    <col min="2045" max="2045" width="10.81640625" style="34" customWidth="1"/>
    <col min="2046" max="2046" width="18.1796875" style="34" customWidth="1"/>
    <col min="2047" max="2047" width="15" style="34" customWidth="1"/>
    <col min="2048" max="2051" width="13" style="34" customWidth="1"/>
    <col min="2052" max="2052" width="17.6328125" style="34" customWidth="1"/>
    <col min="2301" max="2301" width="10.81640625" style="34" customWidth="1"/>
    <col min="2302" max="2302" width="18.1796875" style="34" customWidth="1"/>
    <col min="2303" max="2303" width="15" style="34" customWidth="1"/>
    <col min="2304" max="2307" width="13" style="34" customWidth="1"/>
    <col min="2308" max="2308" width="17.6328125" style="34" customWidth="1"/>
    <col min="2557" max="2557" width="10.81640625" style="34" customWidth="1"/>
    <col min="2558" max="2558" width="18.1796875" style="34" customWidth="1"/>
    <col min="2559" max="2559" width="15" style="34" customWidth="1"/>
    <col min="2560" max="2563" width="13" style="34" customWidth="1"/>
    <col min="2564" max="2564" width="17.6328125" style="34" customWidth="1"/>
    <col min="2813" max="2813" width="10.81640625" style="34" customWidth="1"/>
    <col min="2814" max="2814" width="18.1796875" style="34" customWidth="1"/>
    <col min="2815" max="2815" width="15" style="34" customWidth="1"/>
    <col min="2816" max="2819" width="13" style="34" customWidth="1"/>
    <col min="2820" max="2820" width="17.6328125" style="34" customWidth="1"/>
    <col min="3069" max="3069" width="10.81640625" style="34" customWidth="1"/>
    <col min="3070" max="3070" width="18.1796875" style="34" customWidth="1"/>
    <col min="3071" max="3071" width="15" style="34" customWidth="1"/>
    <col min="3072" max="3075" width="13" style="34" customWidth="1"/>
    <col min="3076" max="3076" width="17.6328125" style="34" customWidth="1"/>
    <col min="3325" max="3325" width="10.81640625" style="34" customWidth="1"/>
    <col min="3326" max="3326" width="18.1796875" style="34" customWidth="1"/>
    <col min="3327" max="3327" width="15" style="34" customWidth="1"/>
    <col min="3328" max="3331" width="13" style="34" customWidth="1"/>
    <col min="3332" max="3332" width="17.6328125" style="34" customWidth="1"/>
    <col min="3581" max="3581" width="10.81640625" style="34" customWidth="1"/>
    <col min="3582" max="3582" width="18.1796875" style="34" customWidth="1"/>
    <col min="3583" max="3583" width="15" style="34" customWidth="1"/>
    <col min="3584" max="3587" width="13" style="34" customWidth="1"/>
    <col min="3588" max="3588" width="17.6328125" style="34" customWidth="1"/>
    <col min="3837" max="3837" width="10.81640625" style="34" customWidth="1"/>
    <col min="3838" max="3838" width="18.1796875" style="34" customWidth="1"/>
    <col min="3839" max="3839" width="15" style="34" customWidth="1"/>
    <col min="3840" max="3843" width="13" style="34" customWidth="1"/>
    <col min="3844" max="3844" width="17.6328125" style="34" customWidth="1"/>
    <col min="4093" max="4093" width="10.81640625" style="34" customWidth="1"/>
    <col min="4094" max="4094" width="18.1796875" style="34" customWidth="1"/>
    <col min="4095" max="4095" width="15" style="34" customWidth="1"/>
    <col min="4096" max="4099" width="13" style="34" customWidth="1"/>
    <col min="4100" max="4100" width="17.6328125" style="34" customWidth="1"/>
    <col min="4349" max="4349" width="10.81640625" style="34" customWidth="1"/>
    <col min="4350" max="4350" width="18.1796875" style="34" customWidth="1"/>
    <col min="4351" max="4351" width="15" style="34" customWidth="1"/>
    <col min="4352" max="4355" width="13" style="34" customWidth="1"/>
    <col min="4356" max="4356" width="17.6328125" style="34" customWidth="1"/>
    <col min="4605" max="4605" width="10.81640625" style="34" customWidth="1"/>
    <col min="4606" max="4606" width="18.1796875" style="34" customWidth="1"/>
    <col min="4607" max="4607" width="15" style="34" customWidth="1"/>
    <col min="4608" max="4611" width="13" style="34" customWidth="1"/>
    <col min="4612" max="4612" width="17.6328125" style="34" customWidth="1"/>
    <col min="4861" max="4861" width="10.81640625" style="34" customWidth="1"/>
    <col min="4862" max="4862" width="18.1796875" style="34" customWidth="1"/>
    <col min="4863" max="4863" width="15" style="34" customWidth="1"/>
    <col min="4864" max="4867" width="13" style="34" customWidth="1"/>
    <col min="4868" max="4868" width="17.6328125" style="34" customWidth="1"/>
    <col min="5117" max="5117" width="10.81640625" style="34" customWidth="1"/>
    <col min="5118" max="5118" width="18.1796875" style="34" customWidth="1"/>
    <col min="5119" max="5119" width="15" style="34" customWidth="1"/>
    <col min="5120" max="5123" width="13" style="34" customWidth="1"/>
    <col min="5124" max="5124" width="17.6328125" style="34" customWidth="1"/>
    <col min="5373" max="5373" width="10.81640625" style="34" customWidth="1"/>
    <col min="5374" max="5374" width="18.1796875" style="34" customWidth="1"/>
    <col min="5375" max="5375" width="15" style="34" customWidth="1"/>
    <col min="5376" max="5379" width="13" style="34" customWidth="1"/>
    <col min="5380" max="5380" width="17.6328125" style="34" customWidth="1"/>
    <col min="5629" max="5629" width="10.81640625" style="34" customWidth="1"/>
    <col min="5630" max="5630" width="18.1796875" style="34" customWidth="1"/>
    <col min="5631" max="5631" width="15" style="34" customWidth="1"/>
    <col min="5632" max="5635" width="13" style="34" customWidth="1"/>
    <col min="5636" max="5636" width="17.6328125" style="34" customWidth="1"/>
    <col min="5885" max="5885" width="10.81640625" style="34" customWidth="1"/>
    <col min="5886" max="5886" width="18.1796875" style="34" customWidth="1"/>
    <col min="5887" max="5887" width="15" style="34" customWidth="1"/>
    <col min="5888" max="5891" width="13" style="34" customWidth="1"/>
    <col min="5892" max="5892" width="17.6328125" style="34" customWidth="1"/>
    <col min="6141" max="6141" width="10.81640625" style="34" customWidth="1"/>
    <col min="6142" max="6142" width="18.1796875" style="34" customWidth="1"/>
    <col min="6143" max="6143" width="15" style="34" customWidth="1"/>
    <col min="6144" max="6147" width="13" style="34" customWidth="1"/>
    <col min="6148" max="6148" width="17.6328125" style="34" customWidth="1"/>
    <col min="6397" max="6397" width="10.81640625" style="34" customWidth="1"/>
    <col min="6398" max="6398" width="18.1796875" style="34" customWidth="1"/>
    <col min="6399" max="6399" width="15" style="34" customWidth="1"/>
    <col min="6400" max="6403" width="13" style="34" customWidth="1"/>
    <col min="6404" max="6404" width="17.6328125" style="34" customWidth="1"/>
    <col min="6653" max="6653" width="10.81640625" style="34" customWidth="1"/>
    <col min="6654" max="6654" width="18.1796875" style="34" customWidth="1"/>
    <col min="6655" max="6655" width="15" style="34" customWidth="1"/>
    <col min="6656" max="6659" width="13" style="34" customWidth="1"/>
    <col min="6660" max="6660" width="17.6328125" style="34" customWidth="1"/>
    <col min="6909" max="6909" width="10.81640625" style="34" customWidth="1"/>
    <col min="6910" max="6910" width="18.1796875" style="34" customWidth="1"/>
    <col min="6911" max="6911" width="15" style="34" customWidth="1"/>
    <col min="6912" max="6915" width="13" style="34" customWidth="1"/>
    <col min="6916" max="6916" width="17.6328125" style="34" customWidth="1"/>
    <col min="7165" max="7165" width="10.81640625" style="34" customWidth="1"/>
    <col min="7166" max="7166" width="18.1796875" style="34" customWidth="1"/>
    <col min="7167" max="7167" width="15" style="34" customWidth="1"/>
    <col min="7168" max="7171" width="13" style="34" customWidth="1"/>
    <col min="7172" max="7172" width="17.6328125" style="34" customWidth="1"/>
    <col min="7421" max="7421" width="10.81640625" style="34" customWidth="1"/>
    <col min="7422" max="7422" width="18.1796875" style="34" customWidth="1"/>
    <col min="7423" max="7423" width="15" style="34" customWidth="1"/>
    <col min="7424" max="7427" width="13" style="34" customWidth="1"/>
    <col min="7428" max="7428" width="17.6328125" style="34" customWidth="1"/>
    <col min="7677" max="7677" width="10.81640625" style="34" customWidth="1"/>
    <col min="7678" max="7678" width="18.1796875" style="34" customWidth="1"/>
    <col min="7679" max="7679" width="15" style="34" customWidth="1"/>
    <col min="7680" max="7683" width="13" style="34" customWidth="1"/>
    <col min="7684" max="7684" width="17.6328125" style="34" customWidth="1"/>
    <col min="7933" max="7933" width="10.81640625" style="34" customWidth="1"/>
    <col min="7934" max="7934" width="18.1796875" style="34" customWidth="1"/>
    <col min="7935" max="7935" width="15" style="34" customWidth="1"/>
    <col min="7936" max="7939" width="13" style="34" customWidth="1"/>
    <col min="7940" max="7940" width="17.6328125" style="34" customWidth="1"/>
    <col min="8189" max="8189" width="10.81640625" style="34" customWidth="1"/>
    <col min="8190" max="8190" width="18.1796875" style="34" customWidth="1"/>
    <col min="8191" max="8191" width="15" style="34" customWidth="1"/>
    <col min="8192" max="8195" width="13" style="34" customWidth="1"/>
    <col min="8196" max="8196" width="17.6328125" style="34" customWidth="1"/>
    <col min="8445" max="8445" width="10.81640625" style="34" customWidth="1"/>
    <col min="8446" max="8446" width="18.1796875" style="34" customWidth="1"/>
    <col min="8447" max="8447" width="15" style="34" customWidth="1"/>
    <col min="8448" max="8451" width="13" style="34" customWidth="1"/>
    <col min="8452" max="8452" width="17.6328125" style="34" customWidth="1"/>
    <col min="8701" max="8701" width="10.81640625" style="34" customWidth="1"/>
    <col min="8702" max="8702" width="18.1796875" style="34" customWidth="1"/>
    <col min="8703" max="8703" width="15" style="34" customWidth="1"/>
    <col min="8704" max="8707" width="13" style="34" customWidth="1"/>
    <col min="8708" max="8708" width="17.6328125" style="34" customWidth="1"/>
    <col min="8957" max="8957" width="10.81640625" style="34" customWidth="1"/>
    <col min="8958" max="8958" width="18.1796875" style="34" customWidth="1"/>
    <col min="8959" max="8959" width="15" style="34" customWidth="1"/>
    <col min="8960" max="8963" width="13" style="34" customWidth="1"/>
    <col min="8964" max="8964" width="17.6328125" style="34" customWidth="1"/>
    <col min="9213" max="9213" width="10.81640625" style="34" customWidth="1"/>
    <col min="9214" max="9214" width="18.1796875" style="34" customWidth="1"/>
    <col min="9215" max="9215" width="15" style="34" customWidth="1"/>
    <col min="9216" max="9219" width="13" style="34" customWidth="1"/>
    <col min="9220" max="9220" width="17.6328125" style="34" customWidth="1"/>
    <col min="9469" max="9469" width="10.81640625" style="34" customWidth="1"/>
    <col min="9470" max="9470" width="18.1796875" style="34" customWidth="1"/>
    <col min="9471" max="9471" width="15" style="34" customWidth="1"/>
    <col min="9472" max="9475" width="13" style="34" customWidth="1"/>
    <col min="9476" max="9476" width="17.6328125" style="34" customWidth="1"/>
    <col min="9725" max="9725" width="10.81640625" style="34" customWidth="1"/>
    <col min="9726" max="9726" width="18.1796875" style="34" customWidth="1"/>
    <col min="9727" max="9727" width="15" style="34" customWidth="1"/>
    <col min="9728" max="9731" width="13" style="34" customWidth="1"/>
    <col min="9732" max="9732" width="17.6328125" style="34" customWidth="1"/>
    <col min="9981" max="9981" width="10.81640625" style="34" customWidth="1"/>
    <col min="9982" max="9982" width="18.1796875" style="34" customWidth="1"/>
    <col min="9983" max="9983" width="15" style="34" customWidth="1"/>
    <col min="9984" max="9987" width="13" style="34" customWidth="1"/>
    <col min="9988" max="9988" width="17.6328125" style="34" customWidth="1"/>
    <col min="10237" max="10237" width="10.81640625" style="34" customWidth="1"/>
    <col min="10238" max="10238" width="18.1796875" style="34" customWidth="1"/>
    <col min="10239" max="10239" width="15" style="34" customWidth="1"/>
    <col min="10240" max="10243" width="13" style="34" customWidth="1"/>
    <col min="10244" max="10244" width="17.6328125" style="34" customWidth="1"/>
    <col min="10493" max="10493" width="10.81640625" style="34" customWidth="1"/>
    <col min="10494" max="10494" width="18.1796875" style="34" customWidth="1"/>
    <col min="10495" max="10495" width="15" style="34" customWidth="1"/>
    <col min="10496" max="10499" width="13" style="34" customWidth="1"/>
    <col min="10500" max="10500" width="17.6328125" style="34" customWidth="1"/>
    <col min="10749" max="10749" width="10.81640625" style="34" customWidth="1"/>
    <col min="10750" max="10750" width="18.1796875" style="34" customWidth="1"/>
    <col min="10751" max="10751" width="15" style="34" customWidth="1"/>
    <col min="10752" max="10755" width="13" style="34" customWidth="1"/>
    <col min="10756" max="10756" width="17.6328125" style="34" customWidth="1"/>
    <col min="11005" max="11005" width="10.81640625" style="34" customWidth="1"/>
    <col min="11006" max="11006" width="18.1796875" style="34" customWidth="1"/>
    <col min="11007" max="11007" width="15" style="34" customWidth="1"/>
    <col min="11008" max="11011" width="13" style="34" customWidth="1"/>
    <col min="11012" max="11012" width="17.6328125" style="34" customWidth="1"/>
    <col min="11261" max="11261" width="10.81640625" style="34" customWidth="1"/>
    <col min="11262" max="11262" width="18.1796875" style="34" customWidth="1"/>
    <col min="11263" max="11263" width="15" style="34" customWidth="1"/>
    <col min="11264" max="11267" width="13" style="34" customWidth="1"/>
    <col min="11268" max="11268" width="17.6328125" style="34" customWidth="1"/>
    <col min="11517" max="11517" width="10.81640625" style="34" customWidth="1"/>
    <col min="11518" max="11518" width="18.1796875" style="34" customWidth="1"/>
    <col min="11519" max="11519" width="15" style="34" customWidth="1"/>
    <col min="11520" max="11523" width="13" style="34" customWidth="1"/>
    <col min="11524" max="11524" width="17.6328125" style="34" customWidth="1"/>
    <col min="11773" max="11773" width="10.81640625" style="34" customWidth="1"/>
    <col min="11774" max="11774" width="18.1796875" style="34" customWidth="1"/>
    <col min="11775" max="11775" width="15" style="34" customWidth="1"/>
    <col min="11776" max="11779" width="13" style="34" customWidth="1"/>
    <col min="11780" max="11780" width="17.6328125" style="34" customWidth="1"/>
    <col min="12029" max="12029" width="10.81640625" style="34" customWidth="1"/>
    <col min="12030" max="12030" width="18.1796875" style="34" customWidth="1"/>
    <col min="12031" max="12031" width="15" style="34" customWidth="1"/>
    <col min="12032" max="12035" width="13" style="34" customWidth="1"/>
    <col min="12036" max="12036" width="17.6328125" style="34" customWidth="1"/>
    <col min="12285" max="12285" width="10.81640625" style="34" customWidth="1"/>
    <col min="12286" max="12286" width="18.1796875" style="34" customWidth="1"/>
    <col min="12287" max="12287" width="15" style="34" customWidth="1"/>
    <col min="12288" max="12291" width="13" style="34" customWidth="1"/>
    <col min="12292" max="12292" width="17.6328125" style="34" customWidth="1"/>
    <col min="12541" max="12541" width="10.81640625" style="34" customWidth="1"/>
    <col min="12542" max="12542" width="18.1796875" style="34" customWidth="1"/>
    <col min="12543" max="12543" width="15" style="34" customWidth="1"/>
    <col min="12544" max="12547" width="13" style="34" customWidth="1"/>
    <col min="12548" max="12548" width="17.6328125" style="34" customWidth="1"/>
    <col min="12797" max="12797" width="10.81640625" style="34" customWidth="1"/>
    <col min="12798" max="12798" width="18.1796875" style="34" customWidth="1"/>
    <col min="12799" max="12799" width="15" style="34" customWidth="1"/>
    <col min="12800" max="12803" width="13" style="34" customWidth="1"/>
    <col min="12804" max="12804" width="17.6328125" style="34" customWidth="1"/>
    <col min="13053" max="13053" width="10.81640625" style="34" customWidth="1"/>
    <col min="13054" max="13054" width="18.1796875" style="34" customWidth="1"/>
    <col min="13055" max="13055" width="15" style="34" customWidth="1"/>
    <col min="13056" max="13059" width="13" style="34" customWidth="1"/>
    <col min="13060" max="13060" width="17.6328125" style="34" customWidth="1"/>
    <col min="13309" max="13309" width="10.81640625" style="34" customWidth="1"/>
    <col min="13310" max="13310" width="18.1796875" style="34" customWidth="1"/>
    <col min="13311" max="13311" width="15" style="34" customWidth="1"/>
    <col min="13312" max="13315" width="13" style="34" customWidth="1"/>
    <col min="13316" max="13316" width="17.6328125" style="34" customWidth="1"/>
    <col min="13565" max="13565" width="10.81640625" style="34" customWidth="1"/>
    <col min="13566" max="13566" width="18.1796875" style="34" customWidth="1"/>
    <col min="13567" max="13567" width="15" style="34" customWidth="1"/>
    <col min="13568" max="13571" width="13" style="34" customWidth="1"/>
    <col min="13572" max="13572" width="17.6328125" style="34" customWidth="1"/>
    <col min="13821" max="13821" width="10.81640625" style="34" customWidth="1"/>
    <col min="13822" max="13822" width="18.1796875" style="34" customWidth="1"/>
    <col min="13823" max="13823" width="15" style="34" customWidth="1"/>
    <col min="13824" max="13827" width="13" style="34" customWidth="1"/>
    <col min="13828" max="13828" width="17.6328125" style="34" customWidth="1"/>
    <col min="14077" max="14077" width="10.81640625" style="34" customWidth="1"/>
    <col min="14078" max="14078" width="18.1796875" style="34" customWidth="1"/>
    <col min="14079" max="14079" width="15" style="34" customWidth="1"/>
    <col min="14080" max="14083" width="13" style="34" customWidth="1"/>
    <col min="14084" max="14084" width="17.6328125" style="34" customWidth="1"/>
    <col min="14333" max="14333" width="10.81640625" style="34" customWidth="1"/>
    <col min="14334" max="14334" width="18.1796875" style="34" customWidth="1"/>
    <col min="14335" max="14335" width="15" style="34" customWidth="1"/>
    <col min="14336" max="14339" width="13" style="34" customWidth="1"/>
    <col min="14340" max="14340" width="17.6328125" style="34" customWidth="1"/>
    <col min="14589" max="14589" width="10.81640625" style="34" customWidth="1"/>
    <col min="14590" max="14590" width="18.1796875" style="34" customWidth="1"/>
    <col min="14591" max="14591" width="15" style="34" customWidth="1"/>
    <col min="14592" max="14595" width="13" style="34" customWidth="1"/>
    <col min="14596" max="14596" width="17.6328125" style="34" customWidth="1"/>
    <col min="14845" max="14845" width="10.81640625" style="34" customWidth="1"/>
    <col min="14846" max="14846" width="18.1796875" style="34" customWidth="1"/>
    <col min="14847" max="14847" width="15" style="34" customWidth="1"/>
    <col min="14848" max="14851" width="13" style="34" customWidth="1"/>
    <col min="14852" max="14852" width="17.6328125" style="34" customWidth="1"/>
    <col min="15101" max="15101" width="10.81640625" style="34" customWidth="1"/>
    <col min="15102" max="15102" width="18.1796875" style="34" customWidth="1"/>
    <col min="15103" max="15103" width="15" style="34" customWidth="1"/>
    <col min="15104" max="15107" width="13" style="34" customWidth="1"/>
    <col min="15108" max="15108" width="17.6328125" style="34" customWidth="1"/>
    <col min="15357" max="15357" width="10.81640625" style="34" customWidth="1"/>
    <col min="15358" max="15358" width="18.1796875" style="34" customWidth="1"/>
    <col min="15359" max="15359" width="15" style="34" customWidth="1"/>
    <col min="15360" max="15363" width="13" style="34" customWidth="1"/>
    <col min="15364" max="15364" width="17.6328125" style="34" customWidth="1"/>
    <col min="15613" max="15613" width="10.81640625" style="34" customWidth="1"/>
    <col min="15614" max="15614" width="18.1796875" style="34" customWidth="1"/>
    <col min="15615" max="15615" width="15" style="34" customWidth="1"/>
    <col min="15616" max="15619" width="13" style="34" customWidth="1"/>
    <col min="15620" max="15620" width="17.6328125" style="34" customWidth="1"/>
    <col min="15869" max="15869" width="10.81640625" style="34" customWidth="1"/>
    <col min="15870" max="15870" width="18.1796875" style="34" customWidth="1"/>
    <col min="15871" max="15871" width="15" style="34" customWidth="1"/>
    <col min="15872" max="15875" width="13" style="34" customWidth="1"/>
    <col min="15876" max="15876" width="17.6328125" style="34" customWidth="1"/>
    <col min="16125" max="16125" width="10.81640625" style="34" customWidth="1"/>
    <col min="16126" max="16126" width="18.1796875" style="34" customWidth="1"/>
    <col min="16127" max="16127" width="15" style="34" customWidth="1"/>
    <col min="16128" max="16131" width="13" style="34" customWidth="1"/>
    <col min="16132" max="16132" width="17.6328125" style="34" customWidth="1"/>
  </cols>
  <sheetData>
    <row r="1" spans="1:8" s="64" customFormat="1" x14ac:dyDescent="0.35">
      <c r="A1" s="52" t="s">
        <v>15</v>
      </c>
      <c r="B1" s="53"/>
      <c r="C1" s="4"/>
      <c r="D1" s="5"/>
    </row>
    <row r="2" spans="1:8" s="64" customFormat="1" x14ac:dyDescent="0.35">
      <c r="A2" s="10" t="s">
        <v>16</v>
      </c>
      <c r="B2" s="54"/>
      <c r="C2" s="4"/>
      <c r="D2" s="5"/>
      <c r="H2" s="55"/>
    </row>
    <row r="3" spans="1:8" s="64" customFormat="1" ht="16" customHeight="1" thickBot="1" x14ac:dyDescent="0.4">
      <c r="A3" s="6"/>
      <c r="B3" s="53"/>
      <c r="C3" s="4"/>
      <c r="D3" s="5"/>
    </row>
    <row r="4" spans="1:8" ht="23.25" customHeight="1" x14ac:dyDescent="0.35">
      <c r="A4" s="23" t="s">
        <v>28</v>
      </c>
      <c r="B4" s="56" t="s">
        <v>29</v>
      </c>
      <c r="C4" s="24" t="s">
        <v>30</v>
      </c>
      <c r="D4" s="25" t="s">
        <v>31</v>
      </c>
    </row>
    <row r="5" spans="1:8" x14ac:dyDescent="0.35">
      <c r="A5" s="57">
        <v>21551</v>
      </c>
      <c r="B5" s="58">
        <f>VLOOKUP(Table5345679103[[#This Row],[Date]],Database!A:E,MATCH($A$1,Database!$A$1:$E$1,),)</f>
        <v>16.042000000000002</v>
      </c>
      <c r="C5" s="7"/>
      <c r="D5" s="7"/>
    </row>
    <row r="6" spans="1:8" x14ac:dyDescent="0.35">
      <c r="A6" s="57">
        <v>21582</v>
      </c>
      <c r="B6" s="58">
        <f>VLOOKUP(Table5345679103[[#This Row],[Date]],Database!A:E,MATCH($A$1,Database!$A$1:$E$1,),)</f>
        <v>16.056999999999999</v>
      </c>
      <c r="C6" s="8">
        <f t="shared" ref="C6:C69" si="0">(B6-B5)/B5</f>
        <v>9.350455055477506E-4</v>
      </c>
      <c r="D6" s="7"/>
    </row>
    <row r="7" spans="1:8" x14ac:dyDescent="0.35">
      <c r="A7" s="57">
        <v>21610</v>
      </c>
      <c r="B7" s="58">
        <f>VLOOKUP(Table5345679103[[#This Row],[Date]],Database!A:E,MATCH($A$1,Database!$A$1:$E$1,),)</f>
        <v>16.068000000000001</v>
      </c>
      <c r="C7" s="8">
        <f t="shared" si="0"/>
        <v>6.8505947561828403E-4</v>
      </c>
      <c r="D7" s="7"/>
    </row>
    <row r="8" spans="1:8" x14ac:dyDescent="0.35">
      <c r="A8" s="57">
        <v>21641</v>
      </c>
      <c r="B8" s="58">
        <f>VLOOKUP(Table5345679103[[#This Row],[Date]],Database!A:E,MATCH($A$1,Database!$A$1:$E$1,),)</f>
        <v>16.100000000000001</v>
      </c>
      <c r="C8" s="8">
        <f t="shared" si="0"/>
        <v>1.9915359721184981E-3</v>
      </c>
      <c r="D8" s="7"/>
    </row>
    <row r="9" spans="1:8" x14ac:dyDescent="0.35">
      <c r="A9" s="57">
        <v>21671</v>
      </c>
      <c r="B9" s="58">
        <f>VLOOKUP(Table5345679103[[#This Row],[Date]],Database!A:E,MATCH($A$1,Database!$A$1:$E$1,),)</f>
        <v>16.109000000000002</v>
      </c>
      <c r="C9" s="8">
        <f t="shared" si="0"/>
        <v>5.5900621118014533E-4</v>
      </c>
      <c r="D9" s="7"/>
    </row>
    <row r="10" spans="1:8" x14ac:dyDescent="0.35">
      <c r="A10" s="57">
        <v>21702</v>
      </c>
      <c r="B10" s="58">
        <f>VLOOKUP(Table5345679103[[#This Row],[Date]],Database!A:E,MATCH($A$1,Database!$A$1:$E$1,),)</f>
        <v>16.155000000000001</v>
      </c>
      <c r="C10" s="8">
        <f t="shared" si="0"/>
        <v>2.8555465888633292E-3</v>
      </c>
      <c r="D10" s="7"/>
    </row>
    <row r="11" spans="1:8" x14ac:dyDescent="0.35">
      <c r="A11" s="57">
        <v>21732</v>
      </c>
      <c r="B11" s="58">
        <f>VLOOKUP(Table5345679103[[#This Row],[Date]],Database!A:E,MATCH($A$1,Database!$A$1:$E$1,),)</f>
        <v>16.189</v>
      </c>
      <c r="C11" s="8">
        <f t="shared" si="0"/>
        <v>2.1046115753635976E-3</v>
      </c>
      <c r="D11" s="7"/>
    </row>
    <row r="12" spans="1:8" x14ac:dyDescent="0.35">
      <c r="A12" s="57">
        <v>21763</v>
      </c>
      <c r="B12" s="58">
        <f>VLOOKUP(Table5345679103[[#This Row],[Date]],Database!A:E,MATCH($A$1,Database!$A$1:$E$1,),)</f>
        <v>16.212</v>
      </c>
      <c r="C12" s="8">
        <f t="shared" si="0"/>
        <v>1.4207177713261899E-3</v>
      </c>
      <c r="D12" s="7"/>
    </row>
    <row r="13" spans="1:8" x14ac:dyDescent="0.35">
      <c r="A13" s="57">
        <v>21794</v>
      </c>
      <c r="B13" s="58">
        <f>VLOOKUP(Table5345679103[[#This Row],[Date]],Database!A:E,MATCH($A$1,Database!$A$1:$E$1,),)</f>
        <v>16.254999999999999</v>
      </c>
      <c r="C13" s="8">
        <f t="shared" si="0"/>
        <v>2.6523562792992389E-3</v>
      </c>
      <c r="D13" s="7"/>
    </row>
    <row r="14" spans="1:8" x14ac:dyDescent="0.35">
      <c r="A14" s="57">
        <v>21824</v>
      </c>
      <c r="B14" s="58">
        <f>VLOOKUP(Table5345679103[[#This Row],[Date]],Database!A:E,MATCH($A$1,Database!$A$1:$E$1,),)</f>
        <v>16.294</v>
      </c>
      <c r="C14" s="8">
        <f t="shared" si="0"/>
        <v>2.3992617656106723E-3</v>
      </c>
      <c r="D14" s="7"/>
    </row>
    <row r="15" spans="1:8" x14ac:dyDescent="0.35">
      <c r="A15" s="57">
        <v>21855</v>
      </c>
      <c r="B15" s="58">
        <f>VLOOKUP(Table5345679103[[#This Row],[Date]],Database!A:E,MATCH($A$1,Database!$A$1:$E$1,),)</f>
        <v>16.303999999999998</v>
      </c>
      <c r="C15" s="8">
        <f t="shared" si="0"/>
        <v>6.1372284276408555E-4</v>
      </c>
      <c r="D15" s="7"/>
    </row>
    <row r="16" spans="1:8" x14ac:dyDescent="0.35">
      <c r="A16" s="57">
        <v>21885</v>
      </c>
      <c r="B16" s="58">
        <f>VLOOKUP(Table5345679103[[#This Row],[Date]],Database!A:E,MATCH($A$1,Database!$A$1:$E$1,),)</f>
        <v>16.323</v>
      </c>
      <c r="C16" s="8">
        <f t="shared" si="0"/>
        <v>1.1653581943082622E-3</v>
      </c>
      <c r="D16" s="7"/>
    </row>
    <row r="17" spans="1:4" x14ac:dyDescent="0.35">
      <c r="A17" s="57">
        <v>21916</v>
      </c>
      <c r="B17" s="58">
        <f>VLOOKUP(Table5345679103[[#This Row],[Date]],Database!A:E,MATCH($A$1,Database!$A$1:$E$1,),)</f>
        <v>16.314</v>
      </c>
      <c r="C17" s="8">
        <f t="shared" si="0"/>
        <v>-5.5136923359678613E-4</v>
      </c>
      <c r="D17" s="7">
        <f>(Table5345679103[[#This Row],[Value]]-B5)/B5</f>
        <v>1.6955491833935819E-2</v>
      </c>
    </row>
    <row r="18" spans="1:4" x14ac:dyDescent="0.35">
      <c r="A18" s="57">
        <v>21947</v>
      </c>
      <c r="B18" s="58">
        <f>VLOOKUP(Table5345679103[[#This Row],[Date]],Database!A:E,MATCH($A$1,Database!$A$1:$E$1,),)</f>
        <v>16.331</v>
      </c>
      <c r="C18" s="8">
        <f t="shared" si="0"/>
        <v>1.0420497732008987E-3</v>
      </c>
      <c r="D18" s="7">
        <f>(Table5345679103[[#This Row],[Value]]-B6)/B6</f>
        <v>1.706420875630572E-2</v>
      </c>
    </row>
    <row r="19" spans="1:4" x14ac:dyDescent="0.35">
      <c r="A19" s="57">
        <v>21976</v>
      </c>
      <c r="B19" s="58">
        <f>VLOOKUP(Table5345679103[[#This Row],[Date]],Database!A:E,MATCH($A$1,Database!$A$1:$E$1,),)</f>
        <v>16.34</v>
      </c>
      <c r="C19" s="8">
        <f t="shared" si="0"/>
        <v>5.5109913661137357E-4</v>
      </c>
      <c r="D19" s="7">
        <f>(Table5345679103[[#This Row],[Value]]-B7)/B7</f>
        <v>1.6928055763007124E-2</v>
      </c>
    </row>
    <row r="20" spans="1:4" x14ac:dyDescent="0.35">
      <c r="A20" s="57">
        <v>22007</v>
      </c>
      <c r="B20" s="58">
        <f>VLOOKUP(Table5345679103[[#This Row],[Date]],Database!A:E,MATCH($A$1,Database!$A$1:$E$1,),)</f>
        <v>16.399999999999999</v>
      </c>
      <c r="C20" s="8">
        <f t="shared" si="0"/>
        <v>3.6719706242349277E-3</v>
      </c>
      <c r="D20" s="7">
        <f>(Table5345679103[[#This Row],[Value]]-B8)/B8</f>
        <v>1.8633540372670631E-2</v>
      </c>
    </row>
    <row r="21" spans="1:4" x14ac:dyDescent="0.35">
      <c r="A21" s="57">
        <v>22037</v>
      </c>
      <c r="B21" s="58">
        <f>VLOOKUP(Table5345679103[[#This Row],[Date]],Database!A:E,MATCH($A$1,Database!$A$1:$E$1,),)</f>
        <v>16.417000000000002</v>
      </c>
      <c r="C21" s="8">
        <f t="shared" si="0"/>
        <v>1.0365853658538423E-3</v>
      </c>
      <c r="D21" s="7">
        <f>(Table5345679103[[#This Row],[Value]]-B9)/B9</f>
        <v>1.9119746725432974E-2</v>
      </c>
    </row>
    <row r="22" spans="1:4" x14ac:dyDescent="0.35">
      <c r="A22" s="57">
        <v>22068</v>
      </c>
      <c r="B22" s="58">
        <f>VLOOKUP(Table5345679103[[#This Row],[Date]],Database!A:E,MATCH($A$1,Database!$A$1:$E$1,),)</f>
        <v>16.423999999999999</v>
      </c>
      <c r="C22" s="8">
        <f t="shared" si="0"/>
        <v>4.2638728147639007E-4</v>
      </c>
      <c r="D22" s="7">
        <f>(Table5345679103[[#This Row],[Value]]-B10)/B10</f>
        <v>1.6651191581553596E-2</v>
      </c>
    </row>
    <row r="23" spans="1:4" x14ac:dyDescent="0.35">
      <c r="A23" s="57">
        <v>22098</v>
      </c>
      <c r="B23" s="58">
        <f>VLOOKUP(Table5345679103[[#This Row],[Date]],Database!A:E,MATCH($A$1,Database!$A$1:$E$1,),)</f>
        <v>16.452999999999999</v>
      </c>
      <c r="C23" s="8">
        <f t="shared" si="0"/>
        <v>1.765708718947876E-3</v>
      </c>
      <c r="D23" s="7">
        <f>(Table5345679103[[#This Row],[Value]]-B11)/B11</f>
        <v>1.6307369201309492E-2</v>
      </c>
    </row>
    <row r="24" spans="1:4" x14ac:dyDescent="0.35">
      <c r="A24" s="57">
        <v>22129</v>
      </c>
      <c r="B24" s="58">
        <f>VLOOKUP(Table5345679103[[#This Row],[Date]],Database!A:E,MATCH($A$1,Database!$A$1:$E$1,),)</f>
        <v>16.481000000000002</v>
      </c>
      <c r="C24" s="8">
        <f t="shared" si="0"/>
        <v>1.7018172977573845E-3</v>
      </c>
      <c r="D24" s="7">
        <f>(Table5345679103[[#This Row],[Value]]-B12)/B12</f>
        <v>1.6592647421663085E-2</v>
      </c>
    </row>
    <row r="25" spans="1:4" x14ac:dyDescent="0.35">
      <c r="A25" s="57">
        <v>22160</v>
      </c>
      <c r="B25" s="58">
        <f>VLOOKUP(Table5345679103[[#This Row],[Date]],Database!A:E,MATCH($A$1,Database!$A$1:$E$1,),)</f>
        <v>16.491</v>
      </c>
      <c r="C25" s="8">
        <f t="shared" si="0"/>
        <v>6.0675929858613001E-4</v>
      </c>
      <c r="D25" s="7">
        <f>(Table5345679103[[#This Row],[Value]]-B13)/B13</f>
        <v>1.4518609658566635E-2</v>
      </c>
    </row>
    <row r="26" spans="1:4" x14ac:dyDescent="0.35">
      <c r="A26" s="57">
        <v>22190</v>
      </c>
      <c r="B26" s="58">
        <f>VLOOKUP(Table5345679103[[#This Row],[Date]],Database!A:E,MATCH($A$1,Database!$A$1:$E$1,),)</f>
        <v>16.510000000000002</v>
      </c>
      <c r="C26" s="8">
        <f t="shared" si="0"/>
        <v>1.1521435934753444E-3</v>
      </c>
      <c r="D26" s="7">
        <f>(Table5345679103[[#This Row],[Value]]-B14)/B14</f>
        <v>1.3256413403706951E-2</v>
      </c>
    </row>
    <row r="27" spans="1:4" x14ac:dyDescent="0.35">
      <c r="A27" s="57">
        <v>22221</v>
      </c>
      <c r="B27" s="58">
        <f>VLOOKUP(Table5345679103[[#This Row],[Date]],Database!A:E,MATCH($A$1,Database!$A$1:$E$1,),)</f>
        <v>16.565000000000001</v>
      </c>
      <c r="C27" s="8">
        <f t="shared" si="0"/>
        <v>3.3313143549363847E-3</v>
      </c>
      <c r="D27" s="7">
        <f>(Table5345679103[[#This Row],[Value]]-B15)/B15</f>
        <v>1.6008341511285745E-2</v>
      </c>
    </row>
    <row r="28" spans="1:4" x14ac:dyDescent="0.35">
      <c r="A28" s="57">
        <v>22251</v>
      </c>
      <c r="B28" s="58">
        <f>VLOOKUP(Table5345679103[[#This Row],[Date]],Database!A:E,MATCH($A$1,Database!$A$1:$E$1,),)</f>
        <v>16.568999999999999</v>
      </c>
      <c r="C28" s="8">
        <f t="shared" si="0"/>
        <v>2.4147298520964581E-4</v>
      </c>
      <c r="D28" s="7">
        <f>(Table5345679103[[#This Row],[Value]]-B16)/B16</f>
        <v>1.5070759051644836E-2</v>
      </c>
    </row>
    <row r="29" spans="1:4" x14ac:dyDescent="0.35">
      <c r="A29" s="57">
        <v>22282</v>
      </c>
      <c r="B29" s="58">
        <f>VLOOKUP(Table5345679103[[#This Row],[Date]],Database!A:E,MATCH($A$1,Database!$A$1:$E$1,),)</f>
        <v>16.571000000000002</v>
      </c>
      <c r="C29" s="8">
        <f t="shared" si="0"/>
        <v>1.2070734504209333E-4</v>
      </c>
      <c r="D29" s="7">
        <f>(Table5345679103[[#This Row],[Value]]-B17)/B17</f>
        <v>1.5753340688978879E-2</v>
      </c>
    </row>
    <row r="30" spans="1:4" x14ac:dyDescent="0.35">
      <c r="A30" s="57">
        <v>22313</v>
      </c>
      <c r="B30" s="58">
        <f>VLOOKUP(Table5345679103[[#This Row],[Date]],Database!A:E,MATCH($A$1,Database!$A$1:$E$1,),)</f>
        <v>16.587</v>
      </c>
      <c r="C30" s="8">
        <f t="shared" si="0"/>
        <v>9.655422122984875E-4</v>
      </c>
      <c r="D30" s="7">
        <f>(Table5345679103[[#This Row],[Value]]-B18)/B18</f>
        <v>1.5675708774722935E-2</v>
      </c>
    </row>
    <row r="31" spans="1:4" x14ac:dyDescent="0.35">
      <c r="A31" s="57">
        <v>22341</v>
      </c>
      <c r="B31" s="58">
        <f>VLOOKUP(Table5345679103[[#This Row],[Date]],Database!A:E,MATCH($A$1,Database!$A$1:$E$1,),)</f>
        <v>16.577999999999999</v>
      </c>
      <c r="C31" s="8">
        <f t="shared" si="0"/>
        <v>-5.4259359739557134E-4</v>
      </c>
      <c r="D31" s="7">
        <f>(Table5345679103[[#This Row],[Value]]-B19)/B19</f>
        <v>1.4565483476132164E-2</v>
      </c>
    </row>
    <row r="32" spans="1:4" x14ac:dyDescent="0.35">
      <c r="A32" s="57">
        <v>22372</v>
      </c>
      <c r="B32" s="58">
        <f>VLOOKUP(Table5345679103[[#This Row],[Date]],Database!A:E,MATCH($A$1,Database!$A$1:$E$1,),)</f>
        <v>16.568000000000001</v>
      </c>
      <c r="C32" s="8">
        <f t="shared" si="0"/>
        <v>-6.0320907226432685E-4</v>
      </c>
      <c r="D32" s="7">
        <f>(Table5345679103[[#This Row],[Value]]-B20)/B20</f>
        <v>1.0243902439024562E-2</v>
      </c>
    </row>
    <row r="33" spans="1:4" x14ac:dyDescent="0.35">
      <c r="A33" s="57">
        <v>22402</v>
      </c>
      <c r="B33" s="58">
        <f>VLOOKUP(Table5345679103[[#This Row],[Date]],Database!A:E,MATCH($A$1,Database!$A$1:$E$1,),)</f>
        <v>16.577000000000002</v>
      </c>
      <c r="C33" s="8">
        <f t="shared" si="0"/>
        <v>5.4321583775955703E-4</v>
      </c>
      <c r="D33" s="7">
        <f>(Table5345679103[[#This Row],[Value]]-B21)/B21</f>
        <v>9.7459950051775671E-3</v>
      </c>
    </row>
    <row r="34" spans="1:4" x14ac:dyDescent="0.35">
      <c r="A34" s="57">
        <v>22433</v>
      </c>
      <c r="B34" s="58">
        <f>VLOOKUP(Table5345679103[[#This Row],[Date]],Database!A:E,MATCH($A$1,Database!$A$1:$E$1,),)</f>
        <v>16.585000000000001</v>
      </c>
      <c r="C34" s="8">
        <f t="shared" si="0"/>
        <v>4.825963684622741E-4</v>
      </c>
      <c r="D34" s="7">
        <f>(Table5345679103[[#This Row],[Value]]-B22)/B22</f>
        <v>9.8027277155383202E-3</v>
      </c>
    </row>
    <row r="35" spans="1:4" x14ac:dyDescent="0.35">
      <c r="A35" s="57">
        <v>22463</v>
      </c>
      <c r="B35" s="58">
        <f>VLOOKUP(Table5345679103[[#This Row],[Date]],Database!A:E,MATCH($A$1,Database!$A$1:$E$1,),)</f>
        <v>16.620999999999999</v>
      </c>
      <c r="C35" s="8">
        <f t="shared" si="0"/>
        <v>2.1706361169730364E-3</v>
      </c>
      <c r="D35" s="7">
        <f>(Table5345679103[[#This Row],[Value]]-B23)/B23</f>
        <v>1.0210903786543444E-2</v>
      </c>
    </row>
    <row r="36" spans="1:4" x14ac:dyDescent="0.35">
      <c r="A36" s="57">
        <v>22494</v>
      </c>
      <c r="B36" s="58">
        <f>VLOOKUP(Table5345679103[[#This Row],[Date]],Database!A:E,MATCH($A$1,Database!$A$1:$E$1,),)</f>
        <v>16.635000000000002</v>
      </c>
      <c r="C36" s="8">
        <f t="shared" si="0"/>
        <v>8.4230792371114255E-4</v>
      </c>
      <c r="D36" s="7">
        <f>(Table5345679103[[#This Row],[Value]]-B24)/B24</f>
        <v>9.3440931982282562E-3</v>
      </c>
    </row>
    <row r="37" spans="1:4" x14ac:dyDescent="0.35">
      <c r="A37" s="57">
        <v>22525</v>
      </c>
      <c r="B37" s="58">
        <f>VLOOKUP(Table5345679103[[#This Row],[Date]],Database!A:E,MATCH($A$1,Database!$A$1:$E$1,),)</f>
        <v>16.654</v>
      </c>
      <c r="C37" s="8">
        <f t="shared" si="0"/>
        <v>1.1421701232340457E-3</v>
      </c>
      <c r="D37" s="7">
        <f>(Table5345679103[[#This Row],[Value]]-B25)/B25</f>
        <v>9.8841792492875055E-3</v>
      </c>
    </row>
    <row r="38" spans="1:4" x14ac:dyDescent="0.35">
      <c r="A38" s="57">
        <v>22555</v>
      </c>
      <c r="B38" s="58">
        <f>VLOOKUP(Table5345679103[[#This Row],[Date]],Database!A:E,MATCH($A$1,Database!$A$1:$E$1,),)</f>
        <v>16.652000000000001</v>
      </c>
      <c r="C38" s="8">
        <f t="shared" si="0"/>
        <v>-1.2009126936465063E-4</v>
      </c>
      <c r="D38" s="7">
        <f>(Table5345679103[[#This Row],[Value]]-B26)/B26</f>
        <v>8.6008479709266776E-3</v>
      </c>
    </row>
    <row r="39" spans="1:4" x14ac:dyDescent="0.35">
      <c r="A39" s="57">
        <v>22586</v>
      </c>
      <c r="B39" s="58">
        <f>VLOOKUP(Table5345679103[[#This Row],[Date]],Database!A:E,MATCH($A$1,Database!$A$1:$E$1,),)</f>
        <v>16.652999999999999</v>
      </c>
      <c r="C39" s="8">
        <f t="shared" si="0"/>
        <v>6.0052846504784373E-5</v>
      </c>
      <c r="D39" s="7">
        <f>(Table5345679103[[#This Row],[Value]]-B27)/B27</f>
        <v>5.3124056746149959E-3</v>
      </c>
    </row>
    <row r="40" spans="1:4" x14ac:dyDescent="0.35">
      <c r="A40" s="57">
        <v>22616</v>
      </c>
      <c r="B40" s="58">
        <f>VLOOKUP(Table5345679103[[#This Row],[Date]],Database!A:E,MATCH($A$1,Database!$A$1:$E$1,),)</f>
        <v>16.658000000000001</v>
      </c>
      <c r="C40" s="8">
        <f t="shared" si="0"/>
        <v>3.0024620188569978E-4</v>
      </c>
      <c r="D40" s="7">
        <f>(Table5345679103[[#This Row],[Value]]-B28)/B28</f>
        <v>5.3714768543667206E-3</v>
      </c>
    </row>
    <row r="41" spans="1:4" x14ac:dyDescent="0.35">
      <c r="A41" s="57">
        <v>22647</v>
      </c>
      <c r="B41" s="58">
        <f>VLOOKUP(Table5345679103[[#This Row],[Date]],Database!A:E,MATCH($A$1,Database!$A$1:$E$1,),)</f>
        <v>16.689</v>
      </c>
      <c r="C41" s="8">
        <f t="shared" si="0"/>
        <v>1.8609677032055951E-3</v>
      </c>
      <c r="D41" s="7">
        <f>(Table5345679103[[#This Row],[Value]]-B29)/B29</f>
        <v>7.1208738157020422E-3</v>
      </c>
    </row>
    <row r="42" spans="1:4" x14ac:dyDescent="0.35">
      <c r="A42" s="57">
        <v>22678</v>
      </c>
      <c r="B42" s="58">
        <f>VLOOKUP(Table5345679103[[#This Row],[Date]],Database!A:E,MATCH($A$1,Database!$A$1:$E$1,),)</f>
        <v>16.734000000000002</v>
      </c>
      <c r="C42" s="8">
        <f t="shared" si="0"/>
        <v>2.6963868416323149E-3</v>
      </c>
      <c r="D42" s="7">
        <f>(Table5345679103[[#This Row],[Value]]-B30)/B30</f>
        <v>8.8623620907941174E-3</v>
      </c>
    </row>
    <row r="43" spans="1:4" x14ac:dyDescent="0.35">
      <c r="A43" s="57">
        <v>22706</v>
      </c>
      <c r="B43" s="58">
        <f>VLOOKUP(Table5345679103[[#This Row],[Date]],Database!A:E,MATCH($A$1,Database!$A$1:$E$1,),)</f>
        <v>16.756</v>
      </c>
      <c r="C43" s="8">
        <f t="shared" si="0"/>
        <v>1.3146886578223056E-3</v>
      </c>
      <c r="D43" s="7">
        <f>(Table5345679103[[#This Row],[Value]]-B31)/B31</f>
        <v>1.0737121486307203E-2</v>
      </c>
    </row>
    <row r="44" spans="1:4" x14ac:dyDescent="0.35">
      <c r="A44" s="57">
        <v>22737</v>
      </c>
      <c r="B44" s="58">
        <f>VLOOKUP(Table5345679103[[#This Row],[Date]],Database!A:E,MATCH($A$1,Database!$A$1:$E$1,),)</f>
        <v>16.774999999999999</v>
      </c>
      <c r="C44" s="8">
        <f t="shared" si="0"/>
        <v>1.1339221771304816E-3</v>
      </c>
      <c r="D44" s="7">
        <f>(Table5345679103[[#This Row],[Value]]-B32)/B32</f>
        <v>1.2493964268469167E-2</v>
      </c>
    </row>
    <row r="45" spans="1:4" x14ac:dyDescent="0.35">
      <c r="A45" s="57">
        <v>22767</v>
      </c>
      <c r="B45" s="58">
        <f>VLOOKUP(Table5345679103[[#This Row],[Date]],Database!A:E,MATCH($A$1,Database!$A$1:$E$1,),)</f>
        <v>16.786000000000001</v>
      </c>
      <c r="C45" s="8">
        <f t="shared" si="0"/>
        <v>6.5573770491819889E-4</v>
      </c>
      <c r="D45" s="7">
        <f>(Table5345679103[[#This Row],[Value]]-B33)/B33</f>
        <v>1.2607830126078278E-2</v>
      </c>
    </row>
    <row r="46" spans="1:4" x14ac:dyDescent="0.35">
      <c r="A46" s="57">
        <v>22798</v>
      </c>
      <c r="B46" s="58">
        <f>VLOOKUP(Table5345679103[[#This Row],[Date]],Database!A:E,MATCH($A$1,Database!$A$1:$E$1,),)</f>
        <v>16.795999999999999</v>
      </c>
      <c r="C46" s="8">
        <f t="shared" si="0"/>
        <v>5.9573454068855057E-4</v>
      </c>
      <c r="D46" s="7">
        <f>(Table5345679103[[#This Row],[Value]]-B34)/B34</f>
        <v>1.2722339463370426E-2</v>
      </c>
    </row>
    <row r="47" spans="1:4" x14ac:dyDescent="0.35">
      <c r="A47" s="57">
        <v>22828</v>
      </c>
      <c r="B47" s="58">
        <f>VLOOKUP(Table5345679103[[#This Row],[Date]],Database!A:E,MATCH($A$1,Database!$A$1:$E$1,),)</f>
        <v>16.786999999999999</v>
      </c>
      <c r="C47" s="8">
        <f t="shared" si="0"/>
        <v>-5.3584186711123731E-4</v>
      </c>
      <c r="D47" s="7">
        <f>(Table5345679103[[#This Row],[Value]]-B35)/B35</f>
        <v>9.9873653811443589E-3</v>
      </c>
    </row>
    <row r="48" spans="1:4" x14ac:dyDescent="0.35">
      <c r="A48" s="57">
        <v>22859</v>
      </c>
      <c r="B48" s="58">
        <f>VLOOKUP(Table5345679103[[#This Row],[Date]],Database!A:E,MATCH($A$1,Database!$A$1:$E$1,),)</f>
        <v>16.811</v>
      </c>
      <c r="C48" s="8">
        <f t="shared" si="0"/>
        <v>1.4296777268124686E-3</v>
      </c>
      <c r="D48" s="7">
        <f>(Table5345679103[[#This Row],[Value]]-B36)/B36</f>
        <v>1.0580102194168823E-2</v>
      </c>
    </row>
    <row r="49" spans="1:4" x14ac:dyDescent="0.35">
      <c r="A49" s="57">
        <v>22890</v>
      </c>
      <c r="B49" s="58">
        <f>VLOOKUP(Table5345679103[[#This Row],[Date]],Database!A:E,MATCH($A$1,Database!$A$1:$E$1,),)</f>
        <v>16.893999999999998</v>
      </c>
      <c r="C49" s="8">
        <f t="shared" si="0"/>
        <v>4.9372434715363994E-3</v>
      </c>
      <c r="D49" s="7">
        <f>(Table5345679103[[#This Row],[Value]]-B37)/B37</f>
        <v>1.4410952323765968E-2</v>
      </c>
    </row>
    <row r="50" spans="1:4" x14ac:dyDescent="0.35">
      <c r="A50" s="57">
        <v>22920</v>
      </c>
      <c r="B50" s="58">
        <f>VLOOKUP(Table5345679103[[#This Row],[Date]],Database!A:E,MATCH($A$1,Database!$A$1:$E$1,),)</f>
        <v>16.876000000000001</v>
      </c>
      <c r="C50" s="8">
        <f t="shared" si="0"/>
        <v>-1.0654670297145217E-3</v>
      </c>
      <c r="D50" s="7">
        <f>(Table5345679103[[#This Row],[Value]]-B38)/B38</f>
        <v>1.3451837617103063E-2</v>
      </c>
    </row>
    <row r="51" spans="1:4" x14ac:dyDescent="0.35">
      <c r="A51" s="57">
        <v>22951</v>
      </c>
      <c r="B51" s="58">
        <f>VLOOKUP(Table5345679103[[#This Row],[Date]],Database!A:E,MATCH($A$1,Database!$A$1:$E$1,),)</f>
        <v>16.888999999999999</v>
      </c>
      <c r="C51" s="8">
        <f t="shared" si="0"/>
        <v>7.7032472149787411E-4</v>
      </c>
      <c r="D51" s="7">
        <f>(Table5345679103[[#This Row],[Value]]-B39)/B39</f>
        <v>1.4171620728997818E-2</v>
      </c>
    </row>
    <row r="52" spans="1:4" x14ac:dyDescent="0.35">
      <c r="A52" s="57">
        <v>22981</v>
      </c>
      <c r="B52" s="58">
        <f>VLOOKUP(Table5345679103[[#This Row],[Date]],Database!A:E,MATCH($A$1,Database!$A$1:$E$1,),)</f>
        <v>16.882000000000001</v>
      </c>
      <c r="C52" s="8">
        <f t="shared" si="0"/>
        <v>-4.1447095742778712E-4</v>
      </c>
      <c r="D52" s="7">
        <f>(Table5345679103[[#This Row],[Value]]-B40)/B40</f>
        <v>1.3446992436066766E-2</v>
      </c>
    </row>
    <row r="53" spans="1:4" x14ac:dyDescent="0.35">
      <c r="A53" s="57">
        <v>23012</v>
      </c>
      <c r="B53" s="58">
        <f>VLOOKUP(Table5345679103[[#This Row],[Date]],Database!A:E,MATCH($A$1,Database!$A$1:$E$1,),)</f>
        <v>16.922999999999998</v>
      </c>
      <c r="C53" s="8">
        <f t="shared" si="0"/>
        <v>2.4286222011608112E-3</v>
      </c>
      <c r="D53" s="7">
        <f>(Table5345679103[[#This Row],[Value]]-B41)/B41</f>
        <v>1.40212115764874E-2</v>
      </c>
    </row>
    <row r="54" spans="1:4" x14ac:dyDescent="0.35">
      <c r="A54" s="57">
        <v>23043</v>
      </c>
      <c r="B54" s="58">
        <f>VLOOKUP(Table5345679103[[#This Row],[Date]],Database!A:E,MATCH($A$1,Database!$A$1:$E$1,),)</f>
        <v>16.940999999999999</v>
      </c>
      <c r="C54" s="8">
        <f t="shared" si="0"/>
        <v>1.063641198369124E-3</v>
      </c>
      <c r="D54" s="7">
        <f>(Table5345679103[[#This Row],[Value]]-B42)/B42</f>
        <v>1.2370025098601479E-2</v>
      </c>
    </row>
    <row r="55" spans="1:4" x14ac:dyDescent="0.35">
      <c r="A55" s="57">
        <v>23071</v>
      </c>
      <c r="B55" s="58">
        <f>VLOOKUP(Table5345679103[[#This Row],[Date]],Database!A:E,MATCH($A$1,Database!$A$1:$E$1,),)</f>
        <v>16.928000000000001</v>
      </c>
      <c r="C55" s="8">
        <f t="shared" si="0"/>
        <v>-7.6736910453917273E-4</v>
      </c>
      <c r="D55" s="7">
        <f>(Table5345679103[[#This Row],[Value]]-B43)/B43</f>
        <v>1.0264979708761076E-2</v>
      </c>
    </row>
    <row r="56" spans="1:4" x14ac:dyDescent="0.35">
      <c r="A56" s="57">
        <v>23102</v>
      </c>
      <c r="B56" s="58">
        <f>VLOOKUP(Table5345679103[[#This Row],[Date]],Database!A:E,MATCH($A$1,Database!$A$1:$E$1,),)</f>
        <v>16.927</v>
      </c>
      <c r="C56" s="8">
        <f t="shared" si="0"/>
        <v>-5.9073724007633633E-5</v>
      </c>
      <c r="D56" s="7">
        <f>(Table5345679103[[#This Row],[Value]]-B44)/B44</f>
        <v>9.0611028315946973E-3</v>
      </c>
    </row>
    <row r="57" spans="1:4" x14ac:dyDescent="0.35">
      <c r="A57" s="57">
        <v>23132</v>
      </c>
      <c r="B57" s="58">
        <f>VLOOKUP(Table5345679103[[#This Row],[Date]],Database!A:E,MATCH($A$1,Database!$A$1:$E$1,),)</f>
        <v>16.954000000000001</v>
      </c>
      <c r="C57" s="8">
        <f t="shared" si="0"/>
        <v>1.5950847758020336E-3</v>
      </c>
      <c r="D57" s="7">
        <f>(Table5345679103[[#This Row],[Value]]-B45)/B45</f>
        <v>1.0008340283569596E-2</v>
      </c>
    </row>
    <row r="58" spans="1:4" x14ac:dyDescent="0.35">
      <c r="A58" s="57">
        <v>23163</v>
      </c>
      <c r="B58" s="58">
        <f>VLOOKUP(Table5345679103[[#This Row],[Date]],Database!A:E,MATCH($A$1,Database!$A$1:$E$1,),)</f>
        <v>16.991</v>
      </c>
      <c r="C58" s="8">
        <f t="shared" si="0"/>
        <v>2.1823758405095572E-3</v>
      </c>
      <c r="D58" s="7">
        <f>(Table5345679103[[#This Row],[Value]]-B46)/B46</f>
        <v>1.1609907120743052E-2</v>
      </c>
    </row>
    <row r="59" spans="1:4" x14ac:dyDescent="0.35">
      <c r="A59" s="57">
        <v>23193</v>
      </c>
      <c r="B59" s="58">
        <f>VLOOKUP(Table5345679103[[#This Row],[Date]],Database!A:E,MATCH($A$1,Database!$A$1:$E$1,),)</f>
        <v>17.024999999999999</v>
      </c>
      <c r="C59" s="8">
        <f t="shared" si="0"/>
        <v>2.0010593843799024E-3</v>
      </c>
      <c r="D59" s="7">
        <f>(Table5345679103[[#This Row],[Value]]-B47)/B47</f>
        <v>1.4177637457556416E-2</v>
      </c>
    </row>
    <row r="60" spans="1:4" x14ac:dyDescent="0.35">
      <c r="A60" s="57">
        <v>23224</v>
      </c>
      <c r="B60" s="58">
        <f>VLOOKUP(Table5345679103[[#This Row],[Date]],Database!A:E,MATCH($A$1,Database!$A$1:$E$1,),)</f>
        <v>17.047999999999998</v>
      </c>
      <c r="C60" s="8">
        <f t="shared" si="0"/>
        <v>1.3509544787077643E-3</v>
      </c>
      <c r="D60" s="7">
        <f>(Table5345679103[[#This Row],[Value]]-B48)/B48</f>
        <v>1.409791208137519E-2</v>
      </c>
    </row>
    <row r="61" spans="1:4" x14ac:dyDescent="0.35">
      <c r="A61" s="57">
        <v>23255</v>
      </c>
      <c r="B61" s="58">
        <f>VLOOKUP(Table5345679103[[#This Row],[Date]],Database!A:E,MATCH($A$1,Database!$A$1:$E$1,),)</f>
        <v>17.044</v>
      </c>
      <c r="C61" s="8">
        <f t="shared" si="0"/>
        <v>-2.346316283433707E-4</v>
      </c>
      <c r="D61" s="7">
        <f>(Table5345679103[[#This Row],[Value]]-B49)/B49</f>
        <v>8.8788919142892241E-3</v>
      </c>
    </row>
    <row r="62" spans="1:4" x14ac:dyDescent="0.35">
      <c r="A62" s="57">
        <v>23285</v>
      </c>
      <c r="B62" s="58">
        <f>VLOOKUP(Table5345679103[[#This Row],[Date]],Database!A:E,MATCH($A$1,Database!$A$1:$E$1,),)</f>
        <v>17.077999999999999</v>
      </c>
      <c r="C62" s="8">
        <f t="shared" si="0"/>
        <v>1.9948368927481179E-3</v>
      </c>
      <c r="D62" s="7">
        <f>(Table5345679103[[#This Row],[Value]]-B50)/B50</f>
        <v>1.1969661057122433E-2</v>
      </c>
    </row>
    <row r="63" spans="1:4" x14ac:dyDescent="0.35">
      <c r="A63" s="57">
        <v>23316</v>
      </c>
      <c r="B63" s="58">
        <f>VLOOKUP(Table5345679103[[#This Row],[Date]],Database!A:E,MATCH($A$1,Database!$A$1:$E$1,),)</f>
        <v>17.102</v>
      </c>
      <c r="C63" s="8">
        <f t="shared" si="0"/>
        <v>1.4053167818246228E-3</v>
      </c>
      <c r="D63" s="7">
        <f>(Table5345679103[[#This Row],[Value]]-B51)/B51</f>
        <v>1.2611759133163656E-2</v>
      </c>
    </row>
    <row r="64" spans="1:4" x14ac:dyDescent="0.35">
      <c r="A64" s="57">
        <v>23346</v>
      </c>
      <c r="B64" s="58">
        <f>VLOOKUP(Table5345679103[[#This Row],[Date]],Database!A:E,MATCH($A$1,Database!$A$1:$E$1,),)</f>
        <v>17.126999999999999</v>
      </c>
      <c r="C64" s="8">
        <f t="shared" si="0"/>
        <v>1.4618173313061969E-3</v>
      </c>
      <c r="D64" s="7">
        <f>(Table5345679103[[#This Row],[Value]]-B52)/B52</f>
        <v>1.4512498519132652E-2</v>
      </c>
    </row>
    <row r="65" spans="1:4" x14ac:dyDescent="0.35">
      <c r="A65" s="57">
        <v>23377</v>
      </c>
      <c r="B65" s="58">
        <f>VLOOKUP(Table5345679103[[#This Row],[Date]],Database!A:E,MATCH($A$1,Database!$A$1:$E$1,),)</f>
        <v>17.163</v>
      </c>
      <c r="C65" s="8">
        <f t="shared" si="0"/>
        <v>2.1019442984761701E-3</v>
      </c>
      <c r="D65" s="7">
        <f>(Table5345679103[[#This Row],[Value]]-B53)/B53</f>
        <v>1.4181882644921233E-2</v>
      </c>
    </row>
    <row r="66" spans="1:4" x14ac:dyDescent="0.35">
      <c r="A66" s="57">
        <v>23408</v>
      </c>
      <c r="B66" s="58">
        <f>VLOOKUP(Table5345679103[[#This Row],[Date]],Database!A:E,MATCH($A$1,Database!$A$1:$E$1,),)</f>
        <v>17.187999999999999</v>
      </c>
      <c r="C66" s="8">
        <f t="shared" si="0"/>
        <v>1.4566218027150602E-3</v>
      </c>
      <c r="D66" s="7">
        <f>(Table5345679103[[#This Row],[Value]]-B54)/B54</f>
        <v>1.458001298624638E-2</v>
      </c>
    </row>
    <row r="67" spans="1:4" x14ac:dyDescent="0.35">
      <c r="A67" s="57">
        <v>23437</v>
      </c>
      <c r="B67" s="58">
        <f>VLOOKUP(Table5345679103[[#This Row],[Date]],Database!A:E,MATCH($A$1,Database!$A$1:$E$1,),)</f>
        <v>17.198</v>
      </c>
      <c r="C67" s="8">
        <f t="shared" si="0"/>
        <v>5.8180125669080539E-4</v>
      </c>
      <c r="D67" s="7">
        <f>(Table5345679103[[#This Row],[Value]]-B55)/B55</f>
        <v>1.5949905482041563E-2</v>
      </c>
    </row>
    <row r="68" spans="1:4" x14ac:dyDescent="0.35">
      <c r="A68" s="57">
        <v>23468</v>
      </c>
      <c r="B68" s="58">
        <f>VLOOKUP(Table5345679103[[#This Row],[Date]],Database!A:E,MATCH($A$1,Database!$A$1:$E$1,),)</f>
        <v>17.210999999999999</v>
      </c>
      <c r="C68" s="8">
        <f t="shared" si="0"/>
        <v>7.559018490521063E-4</v>
      </c>
      <c r="D68" s="7">
        <f>(Table5345679103[[#This Row],[Value]]-B56)/B56</f>
        <v>1.677792875287995E-2</v>
      </c>
    </row>
    <row r="69" spans="1:4" x14ac:dyDescent="0.35">
      <c r="A69" s="57">
        <v>23498</v>
      </c>
      <c r="B69" s="58">
        <f>VLOOKUP(Table5345679103[[#This Row],[Date]],Database!A:E,MATCH($A$1,Database!$A$1:$E$1,),)</f>
        <v>17.213000000000001</v>
      </c>
      <c r="C69" s="8">
        <f t="shared" si="0"/>
        <v>1.162047527745305E-4</v>
      </c>
      <c r="D69" s="7">
        <f>(Table5345679103[[#This Row],[Value]]-B57)/B57</f>
        <v>1.5276630883567319E-2</v>
      </c>
    </row>
    <row r="70" spans="1:4" x14ac:dyDescent="0.35">
      <c r="A70" s="57">
        <v>23529</v>
      </c>
      <c r="B70" s="58">
        <f>VLOOKUP(Table5345679103[[#This Row],[Date]],Database!A:E,MATCH($A$1,Database!$A$1:$E$1,),)</f>
        <v>17.236999999999998</v>
      </c>
      <c r="C70" s="8">
        <f t="shared" ref="C70:C133" si="1">(B70-B69)/B69</f>
        <v>1.3942950095856247E-3</v>
      </c>
      <c r="D70" s="7">
        <f>(Table5345679103[[#This Row],[Value]]-B58)/B58</f>
        <v>1.4478253192866733E-2</v>
      </c>
    </row>
    <row r="71" spans="1:4" x14ac:dyDescent="0.35">
      <c r="A71" s="57">
        <v>23559</v>
      </c>
      <c r="B71" s="58">
        <f>VLOOKUP(Table5345679103[[#This Row],[Date]],Database!A:E,MATCH($A$1,Database!$A$1:$E$1,),)</f>
        <v>17.259</v>
      </c>
      <c r="C71" s="8">
        <f t="shared" si="1"/>
        <v>1.2763241863434484E-3</v>
      </c>
      <c r="D71" s="7">
        <f>(Table5345679103[[#This Row],[Value]]-B59)/B59</f>
        <v>1.374449339207059E-2</v>
      </c>
    </row>
    <row r="72" spans="1:4" x14ac:dyDescent="0.35">
      <c r="A72" s="57">
        <v>23590</v>
      </c>
      <c r="B72" s="58">
        <f>VLOOKUP(Table5345679103[[#This Row],[Date]],Database!A:E,MATCH($A$1,Database!$A$1:$E$1,),)</f>
        <v>17.273</v>
      </c>
      <c r="C72" s="8">
        <f t="shared" si="1"/>
        <v>8.111709832550754E-4</v>
      </c>
      <c r="D72" s="7">
        <f>(Table5345679103[[#This Row],[Value]]-B60)/B60</f>
        <v>1.3198029094322E-2</v>
      </c>
    </row>
    <row r="73" spans="1:4" x14ac:dyDescent="0.35">
      <c r="A73" s="57">
        <v>23621</v>
      </c>
      <c r="B73" s="58">
        <f>VLOOKUP(Table5345679103[[#This Row],[Date]],Database!A:E,MATCH($A$1,Database!$A$1:$E$1,),)</f>
        <v>17.298999999999999</v>
      </c>
      <c r="C73" s="8">
        <f t="shared" si="1"/>
        <v>1.5052393909569734E-3</v>
      </c>
      <c r="D73" s="7">
        <f>(Table5345679103[[#This Row],[Value]]-B61)/B61</f>
        <v>1.49612766956113E-2</v>
      </c>
    </row>
    <row r="74" spans="1:4" x14ac:dyDescent="0.35">
      <c r="A74" s="57">
        <v>23651</v>
      </c>
      <c r="B74" s="58">
        <f>VLOOKUP(Table5345679103[[#This Row],[Date]],Database!A:E,MATCH($A$1,Database!$A$1:$E$1,),)</f>
        <v>17.309999999999999</v>
      </c>
      <c r="C74" s="8">
        <f t="shared" si="1"/>
        <v>6.3587490606388996E-4</v>
      </c>
      <c r="D74" s="7">
        <f>(Table5345679103[[#This Row],[Value]]-B62)/B62</f>
        <v>1.35847288909708E-2</v>
      </c>
    </row>
    <row r="75" spans="1:4" x14ac:dyDescent="0.35">
      <c r="A75" s="57">
        <v>23682</v>
      </c>
      <c r="B75" s="58">
        <f>VLOOKUP(Table5345679103[[#This Row],[Date]],Database!A:E,MATCH($A$1,Database!$A$1:$E$1,),)</f>
        <v>17.334</v>
      </c>
      <c r="C75" s="8">
        <f t="shared" si="1"/>
        <v>1.3864818024263959E-3</v>
      </c>
      <c r="D75" s="7">
        <f>(Table5345679103[[#This Row],[Value]]-B63)/B63</f>
        <v>1.3565664834522238E-2</v>
      </c>
    </row>
    <row r="76" spans="1:4" x14ac:dyDescent="0.35">
      <c r="A76" s="57">
        <v>23712</v>
      </c>
      <c r="B76" s="58">
        <f>VLOOKUP(Table5345679103[[#This Row],[Date]],Database!A:E,MATCH($A$1,Database!$A$1:$E$1,),)</f>
        <v>17.359000000000002</v>
      </c>
      <c r="C76" s="8">
        <f t="shared" si="1"/>
        <v>1.4422522210685434E-3</v>
      </c>
      <c r="D76" s="7">
        <f>(Table5345679103[[#This Row],[Value]]-B64)/B64</f>
        <v>1.3545863256846084E-2</v>
      </c>
    </row>
    <row r="77" spans="1:4" x14ac:dyDescent="0.35">
      <c r="A77" s="57">
        <v>23743</v>
      </c>
      <c r="B77" s="58">
        <f>VLOOKUP(Table5345679103[[#This Row],[Date]],Database!A:E,MATCH($A$1,Database!$A$1:$E$1,),)</f>
        <v>17.378</v>
      </c>
      <c r="C77" s="8">
        <f t="shared" si="1"/>
        <v>1.0945330952242842E-3</v>
      </c>
      <c r="D77" s="7">
        <f>(Table5345679103[[#This Row],[Value]]-B65)/B65</f>
        <v>1.2526947503350221E-2</v>
      </c>
    </row>
    <row r="78" spans="1:4" x14ac:dyDescent="0.35">
      <c r="A78" s="57">
        <v>23774</v>
      </c>
      <c r="B78" s="58">
        <f>VLOOKUP(Table5345679103[[#This Row],[Date]],Database!A:E,MATCH($A$1,Database!$A$1:$E$1,),)</f>
        <v>17.385000000000002</v>
      </c>
      <c r="C78" s="8">
        <f t="shared" si="1"/>
        <v>4.0280814823348196E-4</v>
      </c>
      <c r="D78" s="7">
        <f>(Table5345679103[[#This Row],[Value]]-B66)/B66</f>
        <v>1.1461484756807234E-2</v>
      </c>
    </row>
    <row r="79" spans="1:4" x14ac:dyDescent="0.35">
      <c r="A79" s="57">
        <v>23802</v>
      </c>
      <c r="B79" s="58">
        <f>VLOOKUP(Table5345679103[[#This Row],[Date]],Database!A:E,MATCH($A$1,Database!$A$1:$E$1,),)</f>
        <v>17.408000000000001</v>
      </c>
      <c r="C79" s="8">
        <f t="shared" si="1"/>
        <v>1.3229795800977673E-3</v>
      </c>
      <c r="D79" s="7">
        <f>(Table5345679103[[#This Row],[Value]]-B67)/B67</f>
        <v>1.2210722176997375E-2</v>
      </c>
    </row>
    <row r="80" spans="1:4" x14ac:dyDescent="0.35">
      <c r="A80" s="57">
        <v>23833</v>
      </c>
      <c r="B80" s="58">
        <f>VLOOKUP(Table5345679103[[#This Row],[Date]],Database!A:E,MATCH($A$1,Database!$A$1:$E$1,),)</f>
        <v>17.434999999999999</v>
      </c>
      <c r="C80" s="8">
        <f t="shared" si="1"/>
        <v>1.5510110294116193E-3</v>
      </c>
      <c r="D80" s="7">
        <f>(Table5345679103[[#This Row],[Value]]-B68)/B68</f>
        <v>1.3014932310731522E-2</v>
      </c>
    </row>
    <row r="81" spans="1:4" x14ac:dyDescent="0.35">
      <c r="A81" s="57">
        <v>23863</v>
      </c>
      <c r="B81" s="58">
        <f>VLOOKUP(Table5345679103[[#This Row],[Date]],Database!A:E,MATCH($A$1,Database!$A$1:$E$1,),)</f>
        <v>17.474</v>
      </c>
      <c r="C81" s="8">
        <f t="shared" si="1"/>
        <v>2.2368798394035837E-3</v>
      </c>
      <c r="D81" s="7">
        <f>(Table5345679103[[#This Row],[Value]]-B69)/B69</f>
        <v>1.5162958229245292E-2</v>
      </c>
    </row>
    <row r="82" spans="1:4" x14ac:dyDescent="0.35">
      <c r="A82" s="57">
        <v>23894</v>
      </c>
      <c r="B82" s="58">
        <f>VLOOKUP(Table5345679103[[#This Row],[Date]],Database!A:E,MATCH($A$1,Database!$A$1:$E$1,),)</f>
        <v>17.524999999999999</v>
      </c>
      <c r="C82" s="8">
        <f t="shared" si="1"/>
        <v>2.9186219526152212E-3</v>
      </c>
      <c r="D82" s="7">
        <f>(Table5345679103[[#This Row],[Value]]-B70)/B70</f>
        <v>1.6708243893949079E-2</v>
      </c>
    </row>
    <row r="83" spans="1:4" x14ac:dyDescent="0.35">
      <c r="A83" s="57">
        <v>23924</v>
      </c>
      <c r="B83" s="58">
        <f>VLOOKUP(Table5345679103[[#This Row],[Date]],Database!A:E,MATCH($A$1,Database!$A$1:$E$1,),)</f>
        <v>17.538</v>
      </c>
      <c r="C83" s="8">
        <f t="shared" si="1"/>
        <v>7.4179743223975342E-4</v>
      </c>
      <c r="D83" s="7">
        <f>(Table5345679103[[#This Row],[Value]]-B71)/B71</f>
        <v>1.6165478880584037E-2</v>
      </c>
    </row>
    <row r="84" spans="1:4" x14ac:dyDescent="0.35">
      <c r="A84" s="57">
        <v>23955</v>
      </c>
      <c r="B84" s="58">
        <f>VLOOKUP(Table5345679103[[#This Row],[Date]],Database!A:E,MATCH($A$1,Database!$A$1:$E$1,),)</f>
        <v>17.542000000000002</v>
      </c>
      <c r="C84" s="8">
        <f t="shared" si="1"/>
        <v>2.2807617744334221E-4</v>
      </c>
      <c r="D84" s="7">
        <f>(Table5345679103[[#This Row],[Value]]-B72)/B72</f>
        <v>1.5573438314131993E-2</v>
      </c>
    </row>
    <row r="85" spans="1:4" x14ac:dyDescent="0.35">
      <c r="A85" s="57">
        <v>23986</v>
      </c>
      <c r="B85" s="58">
        <f>VLOOKUP(Table5345679103[[#This Row],[Date]],Database!A:E,MATCH($A$1,Database!$A$1:$E$1,),)</f>
        <v>17.55</v>
      </c>
      <c r="C85" s="8">
        <f t="shared" si="1"/>
        <v>4.5604834112410891E-4</v>
      </c>
      <c r="D85" s="7">
        <f>(Table5345679103[[#This Row],[Value]]-B73)/B73</f>
        <v>1.450950922018621E-2</v>
      </c>
    </row>
    <row r="86" spans="1:4" x14ac:dyDescent="0.35">
      <c r="A86" s="57">
        <v>24016</v>
      </c>
      <c r="B86" s="58">
        <f>VLOOKUP(Table5345679103[[#This Row],[Date]],Database!A:E,MATCH($A$1,Database!$A$1:$E$1,),)</f>
        <v>17.556000000000001</v>
      </c>
      <c r="C86" s="8">
        <f t="shared" si="1"/>
        <v>3.4188034188035484E-4</v>
      </c>
      <c r="D86" s="7">
        <f>(Table5345679103[[#This Row],[Value]]-B74)/B74</f>
        <v>1.4211438474870147E-2</v>
      </c>
    </row>
    <row r="87" spans="1:4" x14ac:dyDescent="0.35">
      <c r="A87" s="57">
        <v>24047</v>
      </c>
      <c r="B87" s="58">
        <f>VLOOKUP(Table5345679103[[#This Row],[Date]],Database!A:E,MATCH($A$1,Database!$A$1:$E$1,),)</f>
        <v>17.585000000000001</v>
      </c>
      <c r="C87" s="8">
        <f t="shared" si="1"/>
        <v>1.6518569150148048E-3</v>
      </c>
      <c r="D87" s="7">
        <f>(Table5345679103[[#This Row],[Value]]-B75)/B75</f>
        <v>1.4480212299527012E-2</v>
      </c>
    </row>
    <row r="88" spans="1:4" x14ac:dyDescent="0.35">
      <c r="A88" s="57">
        <v>24077</v>
      </c>
      <c r="B88" s="58">
        <f>VLOOKUP(Table5345679103[[#This Row],[Date]],Database!A:E,MATCH($A$1,Database!$A$1:$E$1,),)</f>
        <v>17.649000000000001</v>
      </c>
      <c r="C88" s="8">
        <f t="shared" si="1"/>
        <v>3.6394654535115184E-3</v>
      </c>
      <c r="D88" s="7">
        <f>(Table5345679103[[#This Row],[Value]]-B76)/B76</f>
        <v>1.6706031453424686E-2</v>
      </c>
    </row>
    <row r="89" spans="1:4" x14ac:dyDescent="0.35">
      <c r="A89" s="57">
        <v>24108</v>
      </c>
      <c r="B89" s="58">
        <f>VLOOKUP(Table5345679103[[#This Row],[Date]],Database!A:E,MATCH($A$1,Database!$A$1:$E$1,),)</f>
        <v>17.670000000000002</v>
      </c>
      <c r="C89" s="8">
        <f t="shared" si="1"/>
        <v>1.1898691143974614E-3</v>
      </c>
      <c r="D89" s="7">
        <f>(Table5345679103[[#This Row],[Value]]-B77)/B77</f>
        <v>1.6802854183450431E-2</v>
      </c>
    </row>
    <row r="90" spans="1:4" x14ac:dyDescent="0.35">
      <c r="A90" s="57">
        <v>24139</v>
      </c>
      <c r="B90" s="58">
        <f>VLOOKUP(Table5345679103[[#This Row],[Date]],Database!A:E,MATCH($A$1,Database!$A$1:$E$1,),)</f>
        <v>17.742999999999999</v>
      </c>
      <c r="C90" s="8">
        <f t="shared" si="1"/>
        <v>4.1312959818900303E-3</v>
      </c>
      <c r="D90" s="7">
        <f>(Table5345679103[[#This Row],[Value]]-B78)/B78</f>
        <v>2.0592464768478397E-2</v>
      </c>
    </row>
    <row r="91" spans="1:4" x14ac:dyDescent="0.35">
      <c r="A91" s="57">
        <v>24167</v>
      </c>
      <c r="B91" s="58">
        <f>VLOOKUP(Table5345679103[[#This Row],[Date]],Database!A:E,MATCH($A$1,Database!$A$1:$E$1,),)</f>
        <v>17.786000000000001</v>
      </c>
      <c r="C91" s="8">
        <f t="shared" si="1"/>
        <v>2.4234909541792716E-3</v>
      </c>
      <c r="D91" s="7">
        <f>(Table5345679103[[#This Row],[Value]]-B79)/B79</f>
        <v>2.1714154411764712E-2</v>
      </c>
    </row>
    <row r="92" spans="1:4" x14ac:dyDescent="0.35">
      <c r="A92" s="57">
        <v>24198</v>
      </c>
      <c r="B92" s="58">
        <f>VLOOKUP(Table5345679103[[#This Row],[Date]],Database!A:E,MATCH($A$1,Database!$A$1:$E$1,),)</f>
        <v>17.847999999999999</v>
      </c>
      <c r="C92" s="8">
        <f t="shared" si="1"/>
        <v>3.485887776903048E-3</v>
      </c>
      <c r="D92" s="7">
        <f>(Table5345679103[[#This Row],[Value]]-B80)/B80</f>
        <v>2.3687983940349887E-2</v>
      </c>
    </row>
    <row r="93" spans="1:4" x14ac:dyDescent="0.35">
      <c r="A93" s="57">
        <v>24228</v>
      </c>
      <c r="B93" s="58">
        <f>VLOOKUP(Table5345679103[[#This Row],[Date]],Database!A:E,MATCH($A$1,Database!$A$1:$E$1,),)</f>
        <v>17.87</v>
      </c>
      <c r="C93" s="8">
        <f t="shared" si="1"/>
        <v>1.2326311071269621E-3</v>
      </c>
      <c r="D93" s="7">
        <f>(Table5345679103[[#This Row],[Value]]-B81)/B81</f>
        <v>2.2662241043836604E-2</v>
      </c>
    </row>
    <row r="94" spans="1:4" x14ac:dyDescent="0.35">
      <c r="A94" s="57">
        <v>24259</v>
      </c>
      <c r="B94" s="58">
        <f>VLOOKUP(Table5345679103[[#This Row],[Date]],Database!A:E,MATCH($A$1,Database!$A$1:$E$1,),)</f>
        <v>17.914999999999999</v>
      </c>
      <c r="C94" s="8">
        <f t="shared" si="1"/>
        <v>2.5181869054279882E-3</v>
      </c>
      <c r="D94" s="7">
        <f>(Table5345679103[[#This Row],[Value]]-B82)/B82</f>
        <v>2.2253922967189765E-2</v>
      </c>
    </row>
    <row r="95" spans="1:4" x14ac:dyDescent="0.35">
      <c r="A95" s="57">
        <v>24289</v>
      </c>
      <c r="B95" s="58">
        <f>VLOOKUP(Table5345679103[[#This Row],[Date]],Database!A:E,MATCH($A$1,Database!$A$1:$E$1,),)</f>
        <v>17.949000000000002</v>
      </c>
      <c r="C95" s="8">
        <f t="shared" si="1"/>
        <v>1.897850962880406E-3</v>
      </c>
      <c r="D95" s="7">
        <f>(Table5345679103[[#This Row],[Value]]-B83)/B83</f>
        <v>2.3434827232295664E-2</v>
      </c>
    </row>
    <row r="96" spans="1:4" x14ac:dyDescent="0.35">
      <c r="A96" s="57">
        <v>24320</v>
      </c>
      <c r="B96" s="58">
        <f>VLOOKUP(Table5345679103[[#This Row],[Date]],Database!A:E,MATCH($A$1,Database!$A$1:$E$1,),)</f>
        <v>18.018000000000001</v>
      </c>
      <c r="C96" s="8">
        <f t="shared" si="1"/>
        <v>3.8442253050308683E-3</v>
      </c>
      <c r="D96" s="7">
        <f>(Table5345679103[[#This Row],[Value]]-B84)/B84</f>
        <v>2.7134876296887416E-2</v>
      </c>
    </row>
    <row r="97" spans="1:4" x14ac:dyDescent="0.35">
      <c r="A97" s="57">
        <v>24351</v>
      </c>
      <c r="B97" s="58">
        <f>VLOOKUP(Table5345679103[[#This Row],[Date]],Database!A:E,MATCH($A$1,Database!$A$1:$E$1,),)</f>
        <v>18.074999999999999</v>
      </c>
      <c r="C97" s="8">
        <f t="shared" si="1"/>
        <v>3.1635031635030863E-3</v>
      </c>
      <c r="D97" s="7">
        <f>(Table5345679103[[#This Row],[Value]]-B85)/B85</f>
        <v>2.9914529914529833E-2</v>
      </c>
    </row>
    <row r="98" spans="1:4" x14ac:dyDescent="0.35">
      <c r="A98" s="57">
        <v>24381</v>
      </c>
      <c r="B98" s="58">
        <f>VLOOKUP(Table5345679103[[#This Row],[Date]],Database!A:E,MATCH($A$1,Database!$A$1:$E$1,),)</f>
        <v>18.123000000000001</v>
      </c>
      <c r="C98" s="8">
        <f t="shared" si="1"/>
        <v>2.6556016597511379E-3</v>
      </c>
      <c r="D98" s="7">
        <f>(Table5345679103[[#This Row],[Value]]-B86)/B86</f>
        <v>3.2296650717703358E-2</v>
      </c>
    </row>
    <row r="99" spans="1:4" x14ac:dyDescent="0.35">
      <c r="A99" s="57">
        <v>24412</v>
      </c>
      <c r="B99" s="58">
        <f>VLOOKUP(Table5345679103[[#This Row],[Date]],Database!A:E,MATCH($A$1,Database!$A$1:$E$1,),)</f>
        <v>18.149999999999999</v>
      </c>
      <c r="C99" s="8">
        <f t="shared" si="1"/>
        <v>1.4898195662968311E-3</v>
      </c>
      <c r="D99" s="7">
        <f>(Table5345679103[[#This Row],[Value]]-B87)/B87</f>
        <v>3.2129655956781217E-2</v>
      </c>
    </row>
    <row r="100" spans="1:4" x14ac:dyDescent="0.35">
      <c r="A100" s="57">
        <v>24442</v>
      </c>
      <c r="B100" s="58">
        <f>VLOOKUP(Table5345679103[[#This Row],[Date]],Database!A:E,MATCH($A$1,Database!$A$1:$E$1,),)</f>
        <v>18.187000000000001</v>
      </c>
      <c r="C100" s="8">
        <f t="shared" si="1"/>
        <v>2.0385674931130905E-3</v>
      </c>
      <c r="D100" s="7">
        <f>(Table5345679103[[#This Row],[Value]]-B88)/B88</f>
        <v>3.048331350218144E-2</v>
      </c>
    </row>
    <row r="101" spans="1:4" x14ac:dyDescent="0.35">
      <c r="A101" s="57">
        <v>24473</v>
      </c>
      <c r="B101" s="58">
        <f>VLOOKUP(Table5345679103[[#This Row],[Date]],Database!A:E,MATCH($A$1,Database!$A$1:$E$1,),)</f>
        <v>18.187999999999999</v>
      </c>
      <c r="C101" s="8">
        <f t="shared" si="1"/>
        <v>5.4984329465974014E-5</v>
      </c>
      <c r="D101" s="7">
        <f>(Table5345679103[[#This Row],[Value]]-B89)/B89</f>
        <v>2.9315223542727621E-2</v>
      </c>
    </row>
    <row r="102" spans="1:4" x14ac:dyDescent="0.35">
      <c r="A102" s="57">
        <v>24504</v>
      </c>
      <c r="B102" s="58">
        <f>VLOOKUP(Table5345679103[[#This Row],[Date]],Database!A:E,MATCH($A$1,Database!$A$1:$E$1,),)</f>
        <v>18.209</v>
      </c>
      <c r="C102" s="8">
        <f t="shared" si="1"/>
        <v>1.1546074334726631E-3</v>
      </c>
      <c r="D102" s="7">
        <f>(Table5345679103[[#This Row],[Value]]-B90)/B90</f>
        <v>2.6263878712731843E-2</v>
      </c>
    </row>
    <row r="103" spans="1:4" x14ac:dyDescent="0.35">
      <c r="A103" s="57">
        <v>24532</v>
      </c>
      <c r="B103" s="58">
        <f>VLOOKUP(Table5345679103[[#This Row],[Date]],Database!A:E,MATCH($A$1,Database!$A$1:$E$1,),)</f>
        <v>18.22</v>
      </c>
      <c r="C103" s="8">
        <f t="shared" si="1"/>
        <v>6.0409687517157631E-4</v>
      </c>
      <c r="D103" s="7">
        <f>(Table5345679103[[#This Row],[Value]]-B91)/B91</f>
        <v>2.4401214438322133E-2</v>
      </c>
    </row>
    <row r="104" spans="1:4" x14ac:dyDescent="0.35">
      <c r="A104" s="57">
        <v>24563</v>
      </c>
      <c r="B104" s="58">
        <f>VLOOKUP(Table5345679103[[#This Row],[Date]],Database!A:E,MATCH($A$1,Database!$A$1:$E$1,),)</f>
        <v>18.248999999999999</v>
      </c>
      <c r="C104" s="8">
        <f t="shared" si="1"/>
        <v>1.5916575192096551E-3</v>
      </c>
      <c r="D104" s="7">
        <f>(Table5345679103[[#This Row],[Value]]-B92)/B92</f>
        <v>2.2467503361721191E-2</v>
      </c>
    </row>
    <row r="105" spans="1:4" x14ac:dyDescent="0.35">
      <c r="A105" s="57">
        <v>24593</v>
      </c>
      <c r="B105" s="58">
        <f>VLOOKUP(Table5345679103[[#This Row],[Date]],Database!A:E,MATCH($A$1,Database!$A$1:$E$1,),)</f>
        <v>18.285</v>
      </c>
      <c r="C105" s="8">
        <f t="shared" si="1"/>
        <v>1.972710833470402E-3</v>
      </c>
      <c r="D105" s="7">
        <f>(Table5345679103[[#This Row],[Value]]-B93)/B93</f>
        <v>2.322327923894791E-2</v>
      </c>
    </row>
    <row r="106" spans="1:4" x14ac:dyDescent="0.35">
      <c r="A106" s="57">
        <v>24624</v>
      </c>
      <c r="B106" s="58">
        <f>VLOOKUP(Table5345679103[[#This Row],[Date]],Database!A:E,MATCH($A$1,Database!$A$1:$E$1,),)</f>
        <v>18.343</v>
      </c>
      <c r="C106" s="8">
        <f t="shared" si="1"/>
        <v>3.1719989062072643E-3</v>
      </c>
      <c r="D106" s="7">
        <f>(Table5345679103[[#This Row],[Value]]-B94)/B94</f>
        <v>2.3890594473904597E-2</v>
      </c>
    </row>
    <row r="107" spans="1:4" x14ac:dyDescent="0.35">
      <c r="A107" s="57">
        <v>24654</v>
      </c>
      <c r="B107" s="58">
        <f>VLOOKUP(Table5345679103[[#This Row],[Date]],Database!A:E,MATCH($A$1,Database!$A$1:$E$1,),)</f>
        <v>18.405000000000001</v>
      </c>
      <c r="C107" s="8">
        <f t="shared" si="1"/>
        <v>3.3800359810282486E-3</v>
      </c>
      <c r="D107" s="7">
        <f>(Table5345679103[[#This Row],[Value]]-B95)/B95</f>
        <v>2.5405315059334754E-2</v>
      </c>
    </row>
    <row r="108" spans="1:4" x14ac:dyDescent="0.35">
      <c r="A108" s="57">
        <v>24685</v>
      </c>
      <c r="B108" s="58">
        <f>VLOOKUP(Table5345679103[[#This Row],[Date]],Database!A:E,MATCH($A$1,Database!$A$1:$E$1,),)</f>
        <v>18.463000000000001</v>
      </c>
      <c r="C108" s="8">
        <f t="shared" si="1"/>
        <v>3.1513175767454403E-3</v>
      </c>
      <c r="D108" s="7">
        <f>(Table5345679103[[#This Row],[Value]]-B96)/B96</f>
        <v>2.4697524697524714E-2</v>
      </c>
    </row>
    <row r="109" spans="1:4" x14ac:dyDescent="0.35">
      <c r="A109" s="57">
        <v>24716</v>
      </c>
      <c r="B109" s="58">
        <f>VLOOKUP(Table5345679103[[#This Row],[Date]],Database!A:E,MATCH($A$1,Database!$A$1:$E$1,),)</f>
        <v>18.518999999999998</v>
      </c>
      <c r="C109" s="8">
        <f t="shared" si="1"/>
        <v>3.033093213453793E-3</v>
      </c>
      <c r="D109" s="7">
        <f>(Table5345679103[[#This Row],[Value]]-B97)/B97</f>
        <v>2.4564315352697045E-2</v>
      </c>
    </row>
    <row r="110" spans="1:4" x14ac:dyDescent="0.35">
      <c r="A110" s="57">
        <v>24746</v>
      </c>
      <c r="B110" s="58">
        <f>VLOOKUP(Table5345679103[[#This Row],[Date]],Database!A:E,MATCH($A$1,Database!$A$1:$E$1,),)</f>
        <v>18.57</v>
      </c>
      <c r="C110" s="8">
        <f t="shared" si="1"/>
        <v>2.7539283978617601E-3</v>
      </c>
      <c r="D110" s="7">
        <f>(Table5345679103[[#This Row],[Value]]-B98)/B98</f>
        <v>2.4664790597583135E-2</v>
      </c>
    </row>
    <row r="111" spans="1:4" x14ac:dyDescent="0.35">
      <c r="A111" s="57">
        <v>24777</v>
      </c>
      <c r="B111" s="58">
        <f>VLOOKUP(Table5345679103[[#This Row],[Date]],Database!A:E,MATCH($A$1,Database!$A$1:$E$1,),)</f>
        <v>18.632000000000001</v>
      </c>
      <c r="C111" s="8">
        <f t="shared" si="1"/>
        <v>3.338718362951059E-3</v>
      </c>
      <c r="D111" s="7">
        <f>(Table5345679103[[#This Row],[Value]]-B99)/B99</f>
        <v>2.6556473829201264E-2</v>
      </c>
    </row>
    <row r="112" spans="1:4" x14ac:dyDescent="0.35">
      <c r="A112" s="57">
        <v>24807</v>
      </c>
      <c r="B112" s="58">
        <f>VLOOKUP(Table5345679103[[#This Row],[Date]],Database!A:E,MATCH($A$1,Database!$A$1:$E$1,),)</f>
        <v>18.661000000000001</v>
      </c>
      <c r="C112" s="8">
        <f t="shared" si="1"/>
        <v>1.556462000858733E-3</v>
      </c>
      <c r="D112" s="7">
        <f>(Table5345679103[[#This Row],[Value]]-B100)/B100</f>
        <v>2.6062572166932432E-2</v>
      </c>
    </row>
    <row r="113" spans="1:4" x14ac:dyDescent="0.35">
      <c r="A113" s="57">
        <v>24838</v>
      </c>
      <c r="B113" s="58">
        <f>VLOOKUP(Table5345679103[[#This Row],[Date]],Database!A:E,MATCH($A$1,Database!$A$1:$E$1,),)</f>
        <v>18.748000000000001</v>
      </c>
      <c r="C113" s="8">
        <f t="shared" si="1"/>
        <v>4.6621295750495549E-3</v>
      </c>
      <c r="D113" s="7">
        <f>(Table5345679103[[#This Row],[Value]]-B101)/B101</f>
        <v>3.0789531559269976E-2</v>
      </c>
    </row>
    <row r="114" spans="1:4" x14ac:dyDescent="0.35">
      <c r="A114" s="57">
        <v>24869</v>
      </c>
      <c r="B114" s="58">
        <f>VLOOKUP(Table5345679103[[#This Row],[Date]],Database!A:E,MATCH($A$1,Database!$A$1:$E$1,),)</f>
        <v>18.824000000000002</v>
      </c>
      <c r="C114" s="8">
        <f t="shared" si="1"/>
        <v>4.0537657350117615E-3</v>
      </c>
      <c r="D114" s="7">
        <f>(Table5345679103[[#This Row],[Value]]-B102)/B102</f>
        <v>3.3774507111867864E-2</v>
      </c>
    </row>
    <row r="115" spans="1:4" x14ac:dyDescent="0.35">
      <c r="A115" s="57">
        <v>24898</v>
      </c>
      <c r="B115" s="58">
        <f>VLOOKUP(Table5345679103[[#This Row],[Date]],Database!A:E,MATCH($A$1,Database!$A$1:$E$1,),)</f>
        <v>18.885999999999999</v>
      </c>
      <c r="C115" s="8">
        <f t="shared" si="1"/>
        <v>3.2936676583084153E-3</v>
      </c>
      <c r="D115" s="7">
        <f>(Table5345679103[[#This Row],[Value]]-B103)/B103</f>
        <v>3.6553238199780486E-2</v>
      </c>
    </row>
    <row r="116" spans="1:4" x14ac:dyDescent="0.35">
      <c r="A116" s="57">
        <v>24929</v>
      </c>
      <c r="B116" s="58">
        <f>VLOOKUP(Table5345679103[[#This Row],[Date]],Database!A:E,MATCH($A$1,Database!$A$1:$E$1,),)</f>
        <v>18.945</v>
      </c>
      <c r="C116" s="8">
        <f t="shared" si="1"/>
        <v>3.1240072011014005E-3</v>
      </c>
      <c r="D116" s="7">
        <f>(Table5345679103[[#This Row],[Value]]-B104)/B104</f>
        <v>3.8139076113759746E-2</v>
      </c>
    </row>
    <row r="117" spans="1:4" x14ac:dyDescent="0.35">
      <c r="A117" s="57">
        <v>24959</v>
      </c>
      <c r="B117" s="58">
        <f>VLOOKUP(Table5345679103[[#This Row],[Date]],Database!A:E,MATCH($A$1,Database!$A$1:$E$1,),)</f>
        <v>19.015000000000001</v>
      </c>
      <c r="C117" s="8">
        <f t="shared" si="1"/>
        <v>3.6949063077329259E-3</v>
      </c>
      <c r="D117" s="7">
        <f>(Table5345679103[[#This Row],[Value]]-B105)/B105</f>
        <v>3.9923434509160534E-2</v>
      </c>
    </row>
    <row r="118" spans="1:4" x14ac:dyDescent="0.35">
      <c r="A118" s="57">
        <v>24990</v>
      </c>
      <c r="B118" s="58">
        <f>VLOOKUP(Table5345679103[[#This Row],[Date]],Database!A:E,MATCH($A$1,Database!$A$1:$E$1,),)</f>
        <v>19.074999999999999</v>
      </c>
      <c r="C118" s="8">
        <f t="shared" si="1"/>
        <v>3.1554036287141057E-3</v>
      </c>
      <c r="D118" s="7">
        <f>(Table5345679103[[#This Row],[Value]]-B106)/B106</f>
        <v>3.9906231259881117E-2</v>
      </c>
    </row>
    <row r="119" spans="1:4" x14ac:dyDescent="0.35">
      <c r="A119" s="57">
        <v>25020</v>
      </c>
      <c r="B119" s="58">
        <f>VLOOKUP(Table5345679103[[#This Row],[Date]],Database!A:E,MATCH($A$1,Database!$A$1:$E$1,),)</f>
        <v>19.134</v>
      </c>
      <c r="C119" s="8">
        <f t="shared" si="1"/>
        <v>3.0930537352556252E-3</v>
      </c>
      <c r="D119" s="7">
        <f>(Table5345679103[[#This Row],[Value]]-B107)/B107</f>
        <v>3.9608801955990175E-2</v>
      </c>
    </row>
    <row r="120" spans="1:4" x14ac:dyDescent="0.35">
      <c r="A120" s="57">
        <v>25051</v>
      </c>
      <c r="B120" s="58">
        <f>VLOOKUP(Table5345679103[[#This Row],[Date]],Database!A:E,MATCH($A$1,Database!$A$1:$E$1,),)</f>
        <v>19.212</v>
      </c>
      <c r="C120" s="8">
        <f t="shared" si="1"/>
        <v>4.0765130134838195E-3</v>
      </c>
      <c r="D120" s="7">
        <f>(Table5345679103[[#This Row],[Value]]-B108)/B108</f>
        <v>4.056762172994631E-2</v>
      </c>
    </row>
    <row r="121" spans="1:4" x14ac:dyDescent="0.35">
      <c r="A121" s="57">
        <v>25082</v>
      </c>
      <c r="B121" s="58">
        <f>VLOOKUP(Table5345679103[[#This Row],[Date]],Database!A:E,MATCH($A$1,Database!$A$1:$E$1,),)</f>
        <v>19.279</v>
      </c>
      <c r="C121" s="8">
        <f t="shared" si="1"/>
        <v>3.4874037060170816E-3</v>
      </c>
      <c r="D121" s="7">
        <f>(Table5345679103[[#This Row],[Value]]-B109)/B109</f>
        <v>4.1038932987742409E-2</v>
      </c>
    </row>
    <row r="122" spans="1:4" x14ac:dyDescent="0.35">
      <c r="A122" s="57">
        <v>25112</v>
      </c>
      <c r="B122" s="58">
        <f>VLOOKUP(Table5345679103[[#This Row],[Date]],Database!A:E,MATCH($A$1,Database!$A$1:$E$1,),)</f>
        <v>19.364000000000001</v>
      </c>
      <c r="C122" s="8">
        <f t="shared" si="1"/>
        <v>4.4089423725297396E-3</v>
      </c>
      <c r="D122" s="7">
        <f>(Table5345679103[[#This Row],[Value]]-B110)/B110</f>
        <v>4.2757135164243426E-2</v>
      </c>
    </row>
    <row r="123" spans="1:4" x14ac:dyDescent="0.35">
      <c r="A123" s="57">
        <v>25143</v>
      </c>
      <c r="B123" s="58">
        <f>VLOOKUP(Table5345679103[[#This Row],[Date]],Database!A:E,MATCH($A$1,Database!$A$1:$E$1,),)</f>
        <v>19.43</v>
      </c>
      <c r="C123" s="8">
        <f t="shared" si="1"/>
        <v>3.4083866969633831E-3</v>
      </c>
      <c r="D123" s="7">
        <f>(Table5345679103[[#This Row],[Value]]-B111)/B111</f>
        <v>4.2829540575354132E-2</v>
      </c>
    </row>
    <row r="124" spans="1:4" x14ac:dyDescent="0.35">
      <c r="A124" s="57">
        <v>25173</v>
      </c>
      <c r="B124" s="58">
        <f>VLOOKUP(Table5345679103[[#This Row],[Date]],Database!A:E,MATCH($A$1,Database!$A$1:$E$1,),)</f>
        <v>19.47</v>
      </c>
      <c r="C124" s="8">
        <f t="shared" si="1"/>
        <v>2.0586721564590398E-3</v>
      </c>
      <c r="D124" s="7">
        <f>(Table5345679103[[#This Row],[Value]]-B112)/B112</f>
        <v>4.3352446278334358E-2</v>
      </c>
    </row>
    <row r="125" spans="1:4" x14ac:dyDescent="0.35">
      <c r="A125" s="57">
        <v>25204</v>
      </c>
      <c r="B125" s="58">
        <f>VLOOKUP(Table5345679103[[#This Row],[Date]],Database!A:E,MATCH($A$1,Database!$A$1:$E$1,),)</f>
        <v>19.545999999999999</v>
      </c>
      <c r="C125" s="8">
        <f t="shared" si="1"/>
        <v>3.9034411915768114E-3</v>
      </c>
      <c r="D125" s="7">
        <f>(Table5345679103[[#This Row],[Value]]-B113)/B113</f>
        <v>4.2564540217623119E-2</v>
      </c>
    </row>
    <row r="126" spans="1:4" x14ac:dyDescent="0.35">
      <c r="A126" s="57">
        <v>25235</v>
      </c>
      <c r="B126" s="58">
        <f>VLOOKUP(Table5345679103[[#This Row],[Date]],Database!A:E,MATCH($A$1,Database!$A$1:$E$1,),)</f>
        <v>19.594999999999999</v>
      </c>
      <c r="C126" s="8">
        <f t="shared" si="1"/>
        <v>2.5069067839966997E-3</v>
      </c>
      <c r="D126" s="7">
        <f>(Table5345679103[[#This Row],[Value]]-B114)/B114</f>
        <v>4.095835104122382E-2</v>
      </c>
    </row>
    <row r="127" spans="1:4" x14ac:dyDescent="0.35">
      <c r="A127" s="57">
        <v>25263</v>
      </c>
      <c r="B127" s="58">
        <f>VLOOKUP(Table5345679103[[#This Row],[Date]],Database!A:E,MATCH($A$1,Database!$A$1:$E$1,),)</f>
        <v>19.687000000000001</v>
      </c>
      <c r="C127" s="8">
        <f t="shared" si="1"/>
        <v>4.6950752743047872E-3</v>
      </c>
      <c r="D127" s="7">
        <f>(Table5345679103[[#This Row],[Value]]-B115)/B115</f>
        <v>4.2412368950545482E-2</v>
      </c>
    </row>
    <row r="128" spans="1:4" x14ac:dyDescent="0.35">
      <c r="A128" s="57">
        <v>25294</v>
      </c>
      <c r="B128" s="58">
        <f>VLOOKUP(Table5345679103[[#This Row],[Date]],Database!A:E,MATCH($A$1,Database!$A$1:$E$1,),)</f>
        <v>19.774000000000001</v>
      </c>
      <c r="C128" s="8">
        <f t="shared" si="1"/>
        <v>4.4191598516787594E-3</v>
      </c>
      <c r="D128" s="7">
        <f>(Table5345679103[[#This Row],[Value]]-B116)/B116</f>
        <v>4.3758247558722652E-2</v>
      </c>
    </row>
    <row r="129" spans="1:4" x14ac:dyDescent="0.35">
      <c r="A129" s="57">
        <v>25324</v>
      </c>
      <c r="B129" s="58">
        <f>VLOOKUP(Table5345679103[[#This Row],[Date]],Database!A:E,MATCH($A$1,Database!$A$1:$E$1,),)</f>
        <v>19.853999999999999</v>
      </c>
      <c r="C129" s="8">
        <f t="shared" si="1"/>
        <v>4.0457165975522546E-3</v>
      </c>
      <c r="D129" s="7">
        <f>(Table5345679103[[#This Row],[Value]]-B117)/B117</f>
        <v>4.4123060741519782E-2</v>
      </c>
    </row>
    <row r="130" spans="1:4" x14ac:dyDescent="0.35">
      <c r="A130" s="57">
        <v>25355</v>
      </c>
      <c r="B130" s="58">
        <f>VLOOKUP(Table5345679103[[#This Row],[Date]],Database!A:E,MATCH($A$1,Database!$A$1:$E$1,),)</f>
        <v>19.95</v>
      </c>
      <c r="C130" s="8">
        <f t="shared" si="1"/>
        <v>4.8352976730129992E-3</v>
      </c>
      <c r="D130" s="7">
        <f>(Table5345679103[[#This Row],[Value]]-B118)/B118</f>
        <v>4.5871559633027525E-2</v>
      </c>
    </row>
    <row r="131" spans="1:4" x14ac:dyDescent="0.35">
      <c r="A131" s="57">
        <v>25385</v>
      </c>
      <c r="B131" s="58">
        <f>VLOOKUP(Table5345679103[[#This Row],[Date]],Database!A:E,MATCH($A$1,Database!$A$1:$E$1,),)</f>
        <v>20.036999999999999</v>
      </c>
      <c r="C131" s="8">
        <f t="shared" si="1"/>
        <v>4.3609022556390853E-3</v>
      </c>
      <c r="D131" s="7">
        <f>(Table5345679103[[#This Row],[Value]]-B119)/B119</f>
        <v>4.7193477579178356E-2</v>
      </c>
    </row>
    <row r="132" spans="1:4" x14ac:dyDescent="0.35">
      <c r="A132" s="57">
        <v>25416</v>
      </c>
      <c r="B132" s="58">
        <f>VLOOKUP(Table5345679103[[#This Row],[Date]],Database!A:E,MATCH($A$1,Database!$A$1:$E$1,),)</f>
        <v>20.093</v>
      </c>
      <c r="C132" s="8">
        <f t="shared" si="1"/>
        <v>2.7948295653042344E-3</v>
      </c>
      <c r="D132" s="7">
        <f>(Table5345679103[[#This Row],[Value]]-B120)/B120</f>
        <v>4.5856756194045403E-2</v>
      </c>
    </row>
    <row r="133" spans="1:4" x14ac:dyDescent="0.35">
      <c r="A133" s="57">
        <v>25447</v>
      </c>
      <c r="B133" s="58">
        <f>VLOOKUP(Table5345679103[[#This Row],[Date]],Database!A:E,MATCH($A$1,Database!$A$1:$E$1,),)</f>
        <v>20.175999999999998</v>
      </c>
      <c r="C133" s="8">
        <f t="shared" si="1"/>
        <v>4.1307918180460068E-3</v>
      </c>
      <c r="D133" s="7">
        <f>(Table5345679103[[#This Row],[Value]]-B121)/B121</f>
        <v>4.6527309507754473E-2</v>
      </c>
    </row>
    <row r="134" spans="1:4" x14ac:dyDescent="0.35">
      <c r="A134" s="57">
        <v>25477</v>
      </c>
      <c r="B134" s="58">
        <f>VLOOKUP(Table5345679103[[#This Row],[Date]],Database!A:E,MATCH($A$1,Database!$A$1:$E$1,),)</f>
        <v>20.245000000000001</v>
      </c>
      <c r="C134" s="8">
        <f t="shared" ref="C134:C197" si="2">(B134-B133)/B133</f>
        <v>3.4199048374307403E-3</v>
      </c>
      <c r="D134" s="7">
        <f>(Table5345679103[[#This Row],[Value]]-B122)/B122</f>
        <v>4.5496798182193772E-2</v>
      </c>
    </row>
    <row r="135" spans="1:4" x14ac:dyDescent="0.35">
      <c r="A135" s="57">
        <v>25508</v>
      </c>
      <c r="B135" s="58">
        <f>VLOOKUP(Table5345679103[[#This Row],[Date]],Database!A:E,MATCH($A$1,Database!$A$1:$E$1,),)</f>
        <v>20.332000000000001</v>
      </c>
      <c r="C135" s="8">
        <f t="shared" si="2"/>
        <v>4.2973573721906515E-3</v>
      </c>
      <c r="D135" s="7">
        <f>(Table5345679103[[#This Row],[Value]]-B123)/B123</f>
        <v>4.6423057128152395E-2</v>
      </c>
    </row>
    <row r="136" spans="1:4" x14ac:dyDescent="0.35">
      <c r="A136" s="57">
        <v>25538</v>
      </c>
      <c r="B136" s="58">
        <f>VLOOKUP(Table5345679103[[#This Row],[Date]],Database!A:E,MATCH($A$1,Database!$A$1:$E$1,),)</f>
        <v>20.425999999999998</v>
      </c>
      <c r="C136" s="8">
        <f t="shared" si="2"/>
        <v>4.6232539838676782E-3</v>
      </c>
      <c r="D136" s="7">
        <f>(Table5345679103[[#This Row],[Value]]-B124)/B124</f>
        <v>4.9101181304571112E-2</v>
      </c>
    </row>
    <row r="137" spans="1:4" x14ac:dyDescent="0.35">
      <c r="A137" s="57">
        <v>25569</v>
      </c>
      <c r="B137" s="58">
        <f>VLOOKUP(Table5345679103[[#This Row],[Date]],Database!A:E,MATCH($A$1,Database!$A$1:$E$1,),)</f>
        <v>20.498999999999999</v>
      </c>
      <c r="C137" s="8">
        <f t="shared" si="2"/>
        <v>3.5738764319984532E-3</v>
      </c>
      <c r="D137" s="7">
        <f>(Table5345679103[[#This Row],[Value]]-B125)/B125</f>
        <v>4.8756778880589352E-2</v>
      </c>
    </row>
    <row r="138" spans="1:4" x14ac:dyDescent="0.35">
      <c r="A138" s="57">
        <v>25600</v>
      </c>
      <c r="B138" s="58">
        <f>VLOOKUP(Table5345679103[[#This Row],[Date]],Database!A:E,MATCH($A$1,Database!$A$1:$E$1,),)</f>
        <v>20.58</v>
      </c>
      <c r="C138" s="8">
        <f t="shared" si="2"/>
        <v>3.9514122640128555E-3</v>
      </c>
      <c r="D138" s="7">
        <f>(Table5345679103[[#This Row],[Value]]-B126)/B126</f>
        <v>5.0267925491196706E-2</v>
      </c>
    </row>
    <row r="139" spans="1:4" x14ac:dyDescent="0.35">
      <c r="A139" s="57">
        <v>25628</v>
      </c>
      <c r="B139" s="58">
        <f>VLOOKUP(Table5345679103[[#This Row],[Date]],Database!A:E,MATCH($A$1,Database!$A$1:$E$1,),)</f>
        <v>20.631</v>
      </c>
      <c r="C139" s="8">
        <f t="shared" si="2"/>
        <v>2.478134110787266E-3</v>
      </c>
      <c r="D139" s="7">
        <f>(Table5345679103[[#This Row],[Value]]-B127)/B127</f>
        <v>4.7950424137755826E-2</v>
      </c>
    </row>
    <row r="140" spans="1:4" x14ac:dyDescent="0.35">
      <c r="A140" s="57">
        <v>25659</v>
      </c>
      <c r="B140" s="58">
        <f>VLOOKUP(Table5345679103[[#This Row],[Date]],Database!A:E,MATCH($A$1,Database!$A$1:$E$1,),)</f>
        <v>20.736000000000001</v>
      </c>
      <c r="C140" s="8">
        <f t="shared" si="2"/>
        <v>5.0894285298822371E-3</v>
      </c>
      <c r="D140" s="7">
        <f>(Table5345679103[[#This Row],[Value]]-B128)/B128</f>
        <v>4.864974208556689E-2</v>
      </c>
    </row>
    <row r="141" spans="1:4" x14ac:dyDescent="0.35">
      <c r="A141" s="57">
        <v>25689</v>
      </c>
      <c r="B141" s="58">
        <f>VLOOKUP(Table5345679103[[#This Row],[Date]],Database!A:E,MATCH($A$1,Database!$A$1:$E$1,),)</f>
        <v>20.802</v>
      </c>
      <c r="C141" s="8">
        <f t="shared" si="2"/>
        <v>3.1828703703703195E-3</v>
      </c>
      <c r="D141" s="7">
        <f>(Table5345679103[[#This Row],[Value]]-B129)/B129</f>
        <v>4.7748564521003345E-2</v>
      </c>
    </row>
    <row r="142" spans="1:4" x14ac:dyDescent="0.35">
      <c r="A142" s="57">
        <v>25720</v>
      </c>
      <c r="B142" s="58">
        <f>VLOOKUP(Table5345679103[[#This Row],[Date]],Database!A:E,MATCH($A$1,Database!$A$1:$E$1,),)</f>
        <v>20.856000000000002</v>
      </c>
      <c r="C142" s="8">
        <f t="shared" si="2"/>
        <v>2.5959042399770235E-3</v>
      </c>
      <c r="D142" s="7">
        <f>(Table5345679103[[#This Row],[Value]]-B130)/B130</f>
        <v>4.5413533834586586E-2</v>
      </c>
    </row>
    <row r="143" spans="1:4" x14ac:dyDescent="0.35">
      <c r="A143" s="57">
        <v>25750</v>
      </c>
      <c r="B143" s="58">
        <f>VLOOKUP(Table5345679103[[#This Row],[Date]],Database!A:E,MATCH($A$1,Database!$A$1:$E$1,),)</f>
        <v>20.931999999999999</v>
      </c>
      <c r="C143" s="8">
        <f t="shared" si="2"/>
        <v>3.6440352896047637E-3</v>
      </c>
      <c r="D143" s="7">
        <f>(Table5345679103[[#This Row],[Value]]-B131)/B131</f>
        <v>4.4667365374057973E-2</v>
      </c>
    </row>
    <row r="144" spans="1:4" x14ac:dyDescent="0.35">
      <c r="A144" s="57">
        <v>25781</v>
      </c>
      <c r="B144" s="58">
        <f>VLOOKUP(Table5345679103[[#This Row],[Date]],Database!A:E,MATCH($A$1,Database!$A$1:$E$1,),)</f>
        <v>20.986999999999998</v>
      </c>
      <c r="C144" s="8">
        <f t="shared" si="2"/>
        <v>2.6275558952799406E-3</v>
      </c>
      <c r="D144" s="7">
        <f>(Table5345679103[[#This Row],[Value]]-B132)/B132</f>
        <v>4.4493107052207152E-2</v>
      </c>
    </row>
    <row r="145" spans="1:4" x14ac:dyDescent="0.35">
      <c r="A145" s="57">
        <v>25812</v>
      </c>
      <c r="B145" s="58">
        <f>VLOOKUP(Table5345679103[[#This Row],[Date]],Database!A:E,MATCH($A$1,Database!$A$1:$E$1,),)</f>
        <v>21.081</v>
      </c>
      <c r="C145" s="8">
        <f t="shared" si="2"/>
        <v>4.478963167675285E-3</v>
      </c>
      <c r="D145" s="7">
        <f>(Table5345679103[[#This Row],[Value]]-B133)/B133</f>
        <v>4.4855273592387057E-2</v>
      </c>
    </row>
    <row r="146" spans="1:4" x14ac:dyDescent="0.35">
      <c r="A146" s="57">
        <v>25842</v>
      </c>
      <c r="B146" s="58">
        <f>VLOOKUP(Table5345679103[[#This Row],[Date]],Database!A:E,MATCH($A$1,Database!$A$1:$E$1,),)</f>
        <v>21.184999999999999</v>
      </c>
      <c r="C146" s="8">
        <f t="shared" si="2"/>
        <v>4.9333523077652484E-3</v>
      </c>
      <c r="D146" s="7">
        <f>(Table5345679103[[#This Row],[Value]]-B134)/B134</f>
        <v>4.6431217584588673E-2</v>
      </c>
    </row>
    <row r="147" spans="1:4" x14ac:dyDescent="0.35">
      <c r="A147" s="57">
        <v>25873</v>
      </c>
      <c r="B147" s="58">
        <f>VLOOKUP(Table5345679103[[#This Row],[Date]],Database!A:E,MATCH($A$1,Database!$A$1:$E$1,),)</f>
        <v>21.268999999999998</v>
      </c>
      <c r="C147" s="8">
        <f t="shared" si="2"/>
        <v>3.9650696247344646E-3</v>
      </c>
      <c r="D147" s="7">
        <f>(Table5345679103[[#This Row],[Value]]-B135)/B135</f>
        <v>4.6084989179618216E-2</v>
      </c>
    </row>
    <row r="148" spans="1:4" x14ac:dyDescent="0.35">
      <c r="A148" s="57">
        <v>25903</v>
      </c>
      <c r="B148" s="58">
        <f>VLOOKUP(Table5345679103[[#This Row],[Date]],Database!A:E,MATCH($A$1,Database!$A$1:$E$1,),)</f>
        <v>21.363</v>
      </c>
      <c r="C148" s="8">
        <f t="shared" si="2"/>
        <v>4.4195777892708258E-3</v>
      </c>
      <c r="D148" s="7">
        <f>(Table5345679103[[#This Row],[Value]]-B136)/B136</f>
        <v>4.5872907079212828E-2</v>
      </c>
    </row>
    <row r="149" spans="1:4" x14ac:dyDescent="0.35">
      <c r="A149" s="57">
        <v>25934</v>
      </c>
      <c r="B149" s="58">
        <f>VLOOKUP(Table5345679103[[#This Row],[Date]],Database!A:E,MATCH($A$1,Database!$A$1:$E$1,),)</f>
        <v>21.408000000000001</v>
      </c>
      <c r="C149" s="8">
        <f t="shared" si="2"/>
        <v>2.1064457239152604E-3</v>
      </c>
      <c r="D149" s="7">
        <f>(Table5345679103[[#This Row],[Value]]-B137)/B137</f>
        <v>4.4343626518366874E-2</v>
      </c>
    </row>
    <row r="150" spans="1:4" x14ac:dyDescent="0.35">
      <c r="A150" s="57">
        <v>25965</v>
      </c>
      <c r="B150" s="58">
        <f>VLOOKUP(Table5345679103[[#This Row],[Date]],Database!A:E,MATCH($A$1,Database!$A$1:$E$1,),)</f>
        <v>21.471</v>
      </c>
      <c r="C150" s="8">
        <f t="shared" si="2"/>
        <v>2.9428251121075689E-3</v>
      </c>
      <c r="D150" s="7">
        <f>(Table5345679103[[#This Row],[Value]]-B138)/B138</f>
        <v>4.329446064139951E-2</v>
      </c>
    </row>
    <row r="151" spans="1:4" x14ac:dyDescent="0.35">
      <c r="A151" s="57">
        <v>25993</v>
      </c>
      <c r="B151" s="58">
        <f>VLOOKUP(Table5345679103[[#This Row],[Date]],Database!A:E,MATCH($A$1,Database!$A$1:$E$1,),)</f>
        <v>21.542000000000002</v>
      </c>
      <c r="C151" s="8">
        <f t="shared" si="2"/>
        <v>3.3067858972568353E-3</v>
      </c>
      <c r="D151" s="7">
        <f>(Table5345679103[[#This Row],[Value]]-B139)/B139</f>
        <v>4.4156851340216248E-2</v>
      </c>
    </row>
    <row r="152" spans="1:4" x14ac:dyDescent="0.35">
      <c r="A152" s="57">
        <v>26024</v>
      </c>
      <c r="B152" s="58">
        <f>VLOOKUP(Table5345679103[[#This Row],[Date]],Database!A:E,MATCH($A$1,Database!$A$1:$E$1,),)</f>
        <v>21.626000000000001</v>
      </c>
      <c r="C152" s="8">
        <f t="shared" si="2"/>
        <v>3.8993593909571822E-3</v>
      </c>
      <c r="D152" s="7">
        <f>(Table5345679103[[#This Row],[Value]]-B140)/B140</f>
        <v>4.2920524691358049E-2</v>
      </c>
    </row>
    <row r="153" spans="1:4" x14ac:dyDescent="0.35">
      <c r="A153" s="57">
        <v>26054</v>
      </c>
      <c r="B153" s="58">
        <f>VLOOKUP(Table5345679103[[#This Row],[Date]],Database!A:E,MATCH($A$1,Database!$A$1:$E$1,),)</f>
        <v>21.716999999999999</v>
      </c>
      <c r="C153" s="8">
        <f t="shared" si="2"/>
        <v>4.2078979006749985E-3</v>
      </c>
      <c r="D153" s="7">
        <f>(Table5345679103[[#This Row],[Value]]-B141)/B141</f>
        <v>4.398615517738675E-2</v>
      </c>
    </row>
    <row r="154" spans="1:4" x14ac:dyDescent="0.35">
      <c r="A154" s="57">
        <v>26085</v>
      </c>
      <c r="B154" s="58">
        <f>VLOOKUP(Table5345679103[[#This Row],[Date]],Database!A:E,MATCH($A$1,Database!$A$1:$E$1,),)</f>
        <v>21.812999999999999</v>
      </c>
      <c r="C154" s="8">
        <f t="shared" si="2"/>
        <v>4.420500069070318E-3</v>
      </c>
      <c r="D154" s="7">
        <f>(Table5345679103[[#This Row],[Value]]-B142)/B142</f>
        <v>4.5886075949366951E-2</v>
      </c>
    </row>
    <row r="155" spans="1:4" x14ac:dyDescent="0.35">
      <c r="A155" s="57">
        <v>26115</v>
      </c>
      <c r="B155" s="58">
        <f>VLOOKUP(Table5345679103[[#This Row],[Date]],Database!A:E,MATCH($A$1,Database!$A$1:$E$1,),)</f>
        <v>21.879000000000001</v>
      </c>
      <c r="C155" s="8">
        <f t="shared" si="2"/>
        <v>3.0257186081695552E-3</v>
      </c>
      <c r="D155" s="7">
        <f>(Table5345679103[[#This Row],[Value]]-B143)/B143</f>
        <v>4.5241735142365888E-2</v>
      </c>
    </row>
    <row r="156" spans="1:4" x14ac:dyDescent="0.35">
      <c r="A156" s="57">
        <v>26146</v>
      </c>
      <c r="B156" s="58">
        <f>VLOOKUP(Table5345679103[[#This Row],[Date]],Database!A:E,MATCH($A$1,Database!$A$1:$E$1,),)</f>
        <v>21.942</v>
      </c>
      <c r="C156" s="8">
        <f t="shared" si="2"/>
        <v>2.8794734677087086E-3</v>
      </c>
      <c r="D156" s="7">
        <f>(Table5345679103[[#This Row],[Value]]-B144)/B144</f>
        <v>4.5504359841806924E-2</v>
      </c>
    </row>
    <row r="157" spans="1:4" x14ac:dyDescent="0.35">
      <c r="A157" s="57">
        <v>26177</v>
      </c>
      <c r="B157" s="58">
        <f>VLOOKUP(Table5345679103[[#This Row],[Date]],Database!A:E,MATCH($A$1,Database!$A$1:$E$1,),)</f>
        <v>21.975000000000001</v>
      </c>
      <c r="C157" s="8">
        <f t="shared" si="2"/>
        <v>1.503964998632816E-3</v>
      </c>
      <c r="D157" s="7">
        <f>(Table5345679103[[#This Row],[Value]]-B145)/B145</f>
        <v>4.240785541482861E-2</v>
      </c>
    </row>
    <row r="158" spans="1:4" x14ac:dyDescent="0.35">
      <c r="A158" s="57">
        <v>26207</v>
      </c>
      <c r="B158" s="58">
        <f>VLOOKUP(Table5345679103[[#This Row],[Date]],Database!A:E,MATCH($A$1,Database!$A$1:$E$1,),)</f>
        <v>22.009</v>
      </c>
      <c r="C158" s="8">
        <f t="shared" si="2"/>
        <v>1.5472127417519416E-3</v>
      </c>
      <c r="D158" s="7">
        <f>(Table5345679103[[#This Row],[Value]]-B146)/B146</f>
        <v>3.8895444890252616E-2</v>
      </c>
    </row>
    <row r="159" spans="1:4" x14ac:dyDescent="0.35">
      <c r="A159" s="57">
        <v>26238</v>
      </c>
      <c r="B159" s="58">
        <f>VLOOKUP(Table5345679103[[#This Row],[Date]],Database!A:E,MATCH($A$1,Database!$A$1:$E$1,),)</f>
        <v>22.053999999999998</v>
      </c>
      <c r="C159" s="8">
        <f t="shared" si="2"/>
        <v>2.0446181107727818E-3</v>
      </c>
      <c r="D159" s="7">
        <f>(Table5345679103[[#This Row],[Value]]-B147)/B147</f>
        <v>3.6908176218910162E-2</v>
      </c>
    </row>
    <row r="160" spans="1:4" x14ac:dyDescent="0.35">
      <c r="A160" s="57">
        <v>26268</v>
      </c>
      <c r="B160" s="58">
        <f>VLOOKUP(Table5345679103[[#This Row],[Date]],Database!A:E,MATCH($A$1,Database!$A$1:$E$1,),)</f>
        <v>22.140999999999998</v>
      </c>
      <c r="C160" s="8">
        <f t="shared" si="2"/>
        <v>3.9448626099573662E-3</v>
      </c>
      <c r="D160" s="7">
        <f>(Table5345679103[[#This Row],[Value]]-B148)/B148</f>
        <v>3.6418106071244613E-2</v>
      </c>
    </row>
    <row r="161" spans="1:4" x14ac:dyDescent="0.35">
      <c r="A161" s="57">
        <v>26299</v>
      </c>
      <c r="B161" s="58">
        <f>VLOOKUP(Table5345679103[[#This Row],[Date]],Database!A:E,MATCH($A$1,Database!$A$1:$E$1,),)</f>
        <v>22.231999999999999</v>
      </c>
      <c r="C161" s="8">
        <f t="shared" si="2"/>
        <v>4.1100221308884464E-3</v>
      </c>
      <c r="D161" s="7">
        <f>(Table5345679103[[#This Row],[Value]]-B149)/B149</f>
        <v>3.8490284005978981E-2</v>
      </c>
    </row>
    <row r="162" spans="1:4" x14ac:dyDescent="0.35">
      <c r="A162" s="57">
        <v>26330</v>
      </c>
      <c r="B162" s="58">
        <f>VLOOKUP(Table5345679103[[#This Row],[Date]],Database!A:E,MATCH($A$1,Database!$A$1:$E$1,),)</f>
        <v>22.318999999999999</v>
      </c>
      <c r="C162" s="8">
        <f t="shared" si="2"/>
        <v>3.9132781576106399E-3</v>
      </c>
      <c r="D162" s="7">
        <f>(Table5345679103[[#This Row],[Value]]-B150)/B150</f>
        <v>3.9495132970052582E-2</v>
      </c>
    </row>
    <row r="163" spans="1:4" x14ac:dyDescent="0.35">
      <c r="A163" s="57">
        <v>26359</v>
      </c>
      <c r="B163" s="58">
        <f>VLOOKUP(Table5345679103[[#This Row],[Date]],Database!A:E,MATCH($A$1,Database!$A$1:$E$1,),)</f>
        <v>22.350999999999999</v>
      </c>
      <c r="C163" s="8">
        <f t="shared" si="2"/>
        <v>1.4337559926520019E-3</v>
      </c>
      <c r="D163" s="7">
        <f>(Table5345679103[[#This Row],[Value]]-B151)/B151</f>
        <v>3.7554544610528151E-2</v>
      </c>
    </row>
    <row r="164" spans="1:4" x14ac:dyDescent="0.35">
      <c r="A164" s="57">
        <v>26390</v>
      </c>
      <c r="B164" s="58">
        <f>VLOOKUP(Table5345679103[[#This Row],[Date]],Database!A:E,MATCH($A$1,Database!$A$1:$E$1,),)</f>
        <v>22.385999999999999</v>
      </c>
      <c r="C164" s="8">
        <f t="shared" si="2"/>
        <v>1.5659254619480177E-3</v>
      </c>
      <c r="D164" s="7">
        <f>(Table5345679103[[#This Row],[Value]]-B152)/B152</f>
        <v>3.5142883566077775E-2</v>
      </c>
    </row>
    <row r="165" spans="1:4" x14ac:dyDescent="0.35">
      <c r="A165" s="57">
        <v>26420</v>
      </c>
      <c r="B165" s="58">
        <f>VLOOKUP(Table5345679103[[#This Row],[Date]],Database!A:E,MATCH($A$1,Database!$A$1:$E$1,),)</f>
        <v>22.434000000000001</v>
      </c>
      <c r="C165" s="8">
        <f t="shared" si="2"/>
        <v>2.1441972661485672E-3</v>
      </c>
      <c r="D165" s="7">
        <f>(Table5345679103[[#This Row],[Value]]-B153)/B153</f>
        <v>3.3015609890869012E-2</v>
      </c>
    </row>
    <row r="166" spans="1:4" x14ac:dyDescent="0.35">
      <c r="A166" s="57">
        <v>26451</v>
      </c>
      <c r="B166" s="58">
        <f>VLOOKUP(Table5345679103[[#This Row],[Date]],Database!A:E,MATCH($A$1,Database!$A$1:$E$1,),)</f>
        <v>22.469000000000001</v>
      </c>
      <c r="C166" s="8">
        <f t="shared" si="2"/>
        <v>1.5601319425871507E-3</v>
      </c>
      <c r="D166" s="7">
        <f>(Table5345679103[[#This Row],[Value]]-B154)/B154</f>
        <v>3.0073809196350911E-2</v>
      </c>
    </row>
    <row r="167" spans="1:4" x14ac:dyDescent="0.35">
      <c r="A167" s="57">
        <v>26481</v>
      </c>
      <c r="B167" s="58">
        <f>VLOOKUP(Table5345679103[[#This Row],[Date]],Database!A:E,MATCH($A$1,Database!$A$1:$E$1,),)</f>
        <v>22.548999999999999</v>
      </c>
      <c r="C167" s="8">
        <f t="shared" si="2"/>
        <v>3.5604610797097462E-3</v>
      </c>
      <c r="D167" s="7">
        <f>(Table5345679103[[#This Row],[Value]]-B155)/B155</f>
        <v>3.0622971799442303E-2</v>
      </c>
    </row>
    <row r="168" spans="1:4" x14ac:dyDescent="0.35">
      <c r="A168" s="57">
        <v>26512</v>
      </c>
      <c r="B168" s="58">
        <f>VLOOKUP(Table5345679103[[#This Row],[Date]],Database!A:E,MATCH($A$1,Database!$A$1:$E$1,),)</f>
        <v>22.614999999999998</v>
      </c>
      <c r="C168" s="8">
        <f t="shared" si="2"/>
        <v>2.926959066920881E-3</v>
      </c>
      <c r="D168" s="7">
        <f>(Table5345679103[[#This Row],[Value]]-B156)/B156</f>
        <v>3.0671771032722554E-2</v>
      </c>
    </row>
    <row r="169" spans="1:4" x14ac:dyDescent="0.35">
      <c r="A169" s="57">
        <v>26543</v>
      </c>
      <c r="B169" s="58">
        <f>VLOOKUP(Table5345679103[[#This Row],[Date]],Database!A:E,MATCH($A$1,Database!$A$1:$E$1,),)</f>
        <v>22.716000000000001</v>
      </c>
      <c r="C169" s="8">
        <f t="shared" si="2"/>
        <v>4.4660623479992325E-3</v>
      </c>
      <c r="D169" s="7">
        <f>(Table5345679103[[#This Row],[Value]]-B157)/B157</f>
        <v>3.3720136518771315E-2</v>
      </c>
    </row>
    <row r="170" spans="1:4" x14ac:dyDescent="0.35">
      <c r="A170" s="57">
        <v>26573</v>
      </c>
      <c r="B170" s="58">
        <f>VLOOKUP(Table5345679103[[#This Row],[Date]],Database!A:E,MATCH($A$1,Database!$A$1:$E$1,),)</f>
        <v>22.741</v>
      </c>
      <c r="C170" s="8">
        <f t="shared" si="2"/>
        <v>1.1005458707518303E-3</v>
      </c>
      <c r="D170" s="7">
        <f>(Table5345679103[[#This Row],[Value]]-B158)/B158</f>
        <v>3.3259121268571917E-2</v>
      </c>
    </row>
    <row r="171" spans="1:4" x14ac:dyDescent="0.35">
      <c r="A171" s="57">
        <v>26604</v>
      </c>
      <c r="B171" s="58">
        <f>VLOOKUP(Table5345679103[[#This Row],[Date]],Database!A:E,MATCH($A$1,Database!$A$1:$E$1,),)</f>
        <v>22.809000000000001</v>
      </c>
      <c r="C171" s="8">
        <f t="shared" si="2"/>
        <v>2.9901939228706475E-3</v>
      </c>
      <c r="D171" s="7">
        <f>(Table5345679103[[#This Row],[Value]]-B159)/B159</f>
        <v>3.4234152534687701E-2</v>
      </c>
    </row>
    <row r="172" spans="1:4" x14ac:dyDescent="0.35">
      <c r="A172" s="57">
        <v>26634</v>
      </c>
      <c r="B172" s="58">
        <f>VLOOKUP(Table5345679103[[#This Row],[Date]],Database!A:E,MATCH($A$1,Database!$A$1:$E$1,),)</f>
        <v>22.882000000000001</v>
      </c>
      <c r="C172" s="8">
        <f t="shared" si="2"/>
        <v>3.2004910342408872E-3</v>
      </c>
      <c r="D172" s="7">
        <f>(Table5345679103[[#This Row],[Value]]-B160)/B160</f>
        <v>3.3467323065805667E-2</v>
      </c>
    </row>
    <row r="173" spans="1:4" x14ac:dyDescent="0.35">
      <c r="A173" s="57">
        <v>26665</v>
      </c>
      <c r="B173" s="58">
        <f>VLOOKUP(Table5345679103[[#This Row],[Date]],Database!A:E,MATCH($A$1,Database!$A$1:$E$1,),)</f>
        <v>22.951000000000001</v>
      </c>
      <c r="C173" s="8">
        <f t="shared" si="2"/>
        <v>3.0154706756402002E-3</v>
      </c>
      <c r="D173" s="7">
        <f>(Table5345679103[[#This Row],[Value]]-B161)/B161</f>
        <v>3.2340770061173141E-2</v>
      </c>
    </row>
    <row r="174" spans="1:4" x14ac:dyDescent="0.35">
      <c r="A174" s="57">
        <v>26696</v>
      </c>
      <c r="B174" s="58">
        <f>VLOOKUP(Table5345679103[[#This Row],[Date]],Database!A:E,MATCH($A$1,Database!$A$1:$E$1,),)</f>
        <v>23.071999999999999</v>
      </c>
      <c r="C174" s="8">
        <f t="shared" si="2"/>
        <v>5.2721014334886785E-3</v>
      </c>
      <c r="D174" s="7">
        <f>(Table5345679103[[#This Row],[Value]]-B162)/B162</f>
        <v>3.3738070702092393E-2</v>
      </c>
    </row>
    <row r="175" spans="1:4" x14ac:dyDescent="0.35">
      <c r="A175" s="57">
        <v>26724</v>
      </c>
      <c r="B175" s="58">
        <f>VLOOKUP(Table5345679103[[#This Row],[Date]],Database!A:E,MATCH($A$1,Database!$A$1:$E$1,),)</f>
        <v>23.234999999999999</v>
      </c>
      <c r="C175" s="8">
        <f t="shared" si="2"/>
        <v>7.0648404993065303E-3</v>
      </c>
      <c r="D175" s="7">
        <f>(Table5345679103[[#This Row],[Value]]-B163)/B163</f>
        <v>3.9550803096058358E-2</v>
      </c>
    </row>
    <row r="176" spans="1:4" x14ac:dyDescent="0.35">
      <c r="A176" s="57">
        <v>26755</v>
      </c>
      <c r="B176" s="58">
        <f>VLOOKUP(Table5345679103[[#This Row],[Date]],Database!A:E,MATCH($A$1,Database!$A$1:$E$1,),)</f>
        <v>23.408000000000001</v>
      </c>
      <c r="C176" s="8">
        <f t="shared" si="2"/>
        <v>7.4456638691629794E-3</v>
      </c>
      <c r="D176" s="7">
        <f>(Table5345679103[[#This Row],[Value]]-B164)/B164</f>
        <v>4.5653533458411596E-2</v>
      </c>
    </row>
    <row r="177" spans="1:4" x14ac:dyDescent="0.35">
      <c r="A177" s="57">
        <v>26785</v>
      </c>
      <c r="B177" s="58">
        <f>VLOOKUP(Table5345679103[[#This Row],[Date]],Database!A:E,MATCH($A$1,Database!$A$1:$E$1,),)</f>
        <v>23.523</v>
      </c>
      <c r="C177" s="8">
        <f t="shared" si="2"/>
        <v>4.9128503075870824E-3</v>
      </c>
      <c r="D177" s="7">
        <f>(Table5345679103[[#This Row],[Value]]-B165)/B165</f>
        <v>4.8542391013639948E-2</v>
      </c>
    </row>
    <row r="178" spans="1:4" x14ac:dyDescent="0.35">
      <c r="A178" s="57">
        <v>26816</v>
      </c>
      <c r="B178" s="58">
        <f>VLOOKUP(Table5345679103[[#This Row],[Date]],Database!A:E,MATCH($A$1,Database!$A$1:$E$1,),)</f>
        <v>23.658000000000001</v>
      </c>
      <c r="C178" s="8">
        <f t="shared" si="2"/>
        <v>5.7390638949114297E-3</v>
      </c>
      <c r="D178" s="7">
        <f>(Table5345679103[[#This Row],[Value]]-B166)/B166</f>
        <v>5.2917352797187234E-2</v>
      </c>
    </row>
    <row r="179" spans="1:4" x14ac:dyDescent="0.35">
      <c r="A179" s="57">
        <v>26846</v>
      </c>
      <c r="B179" s="58">
        <f>VLOOKUP(Table5345679103[[#This Row],[Date]],Database!A:E,MATCH($A$1,Database!$A$1:$E$1,),)</f>
        <v>23.744</v>
      </c>
      <c r="C179" s="8">
        <f t="shared" si="2"/>
        <v>3.6351339927296693E-3</v>
      </c>
      <c r="D179" s="7">
        <f>(Table5345679103[[#This Row],[Value]]-B167)/B167</f>
        <v>5.299569825712893E-2</v>
      </c>
    </row>
    <row r="180" spans="1:4" x14ac:dyDescent="0.35">
      <c r="A180" s="57">
        <v>26877</v>
      </c>
      <c r="B180" s="58">
        <f>VLOOKUP(Table5345679103[[#This Row],[Date]],Database!A:E,MATCH($A$1,Database!$A$1:$E$1,),)</f>
        <v>24.016999999999999</v>
      </c>
      <c r="C180" s="8">
        <f t="shared" si="2"/>
        <v>1.1497641509433949E-2</v>
      </c>
      <c r="D180" s="7">
        <f>(Table5345679103[[#This Row],[Value]]-B168)/B168</f>
        <v>6.1994251602918465E-2</v>
      </c>
    </row>
    <row r="181" spans="1:4" x14ac:dyDescent="0.35">
      <c r="A181" s="57">
        <v>26908</v>
      </c>
      <c r="B181" s="58">
        <f>VLOOKUP(Table5345679103[[#This Row],[Date]],Database!A:E,MATCH($A$1,Database!$A$1:$E$1,),)</f>
        <v>24.113</v>
      </c>
      <c r="C181" s="8">
        <f t="shared" si="2"/>
        <v>3.9971686721905356E-3</v>
      </c>
      <c r="D181" s="7">
        <f>(Table5345679103[[#This Row],[Value]]-B169)/B169</f>
        <v>6.149850325761571E-2</v>
      </c>
    </row>
    <row r="182" spans="1:4" x14ac:dyDescent="0.35">
      <c r="A182" s="57">
        <v>26938</v>
      </c>
      <c r="B182" s="58">
        <f>VLOOKUP(Table5345679103[[#This Row],[Date]],Database!A:E,MATCH($A$1,Database!$A$1:$E$1,),)</f>
        <v>24.248999999999999</v>
      </c>
      <c r="C182" s="8">
        <f t="shared" si="2"/>
        <v>5.6401111433666169E-3</v>
      </c>
      <c r="D182" s="7">
        <f>(Table5345679103[[#This Row],[Value]]-B170)/B170</f>
        <v>6.6311947583659436E-2</v>
      </c>
    </row>
    <row r="183" spans="1:4" x14ac:dyDescent="0.35">
      <c r="A183" s="57">
        <v>26969</v>
      </c>
      <c r="B183" s="58">
        <f>VLOOKUP(Table5345679103[[#This Row],[Date]],Database!A:E,MATCH($A$1,Database!$A$1:$E$1,),)</f>
        <v>24.448</v>
      </c>
      <c r="C183" s="8">
        <f t="shared" si="2"/>
        <v>8.2065239803703911E-3</v>
      </c>
      <c r="D183" s="7">
        <f>(Table5345679103[[#This Row],[Value]]-B171)/B171</f>
        <v>7.1857600070147715E-2</v>
      </c>
    </row>
    <row r="184" spans="1:4" x14ac:dyDescent="0.35">
      <c r="A184" s="57">
        <v>26999</v>
      </c>
      <c r="B184" s="58">
        <f>VLOOKUP(Table5345679103[[#This Row],[Date]],Database!A:E,MATCH($A$1,Database!$A$1:$E$1,),)</f>
        <v>24.649000000000001</v>
      </c>
      <c r="C184" s="8">
        <f t="shared" si="2"/>
        <v>8.2215314136125858E-3</v>
      </c>
      <c r="D184" s="7">
        <f>(Table5345679103[[#This Row],[Value]]-B172)/B172</f>
        <v>7.7222270780526153E-2</v>
      </c>
    </row>
    <row r="185" spans="1:4" x14ac:dyDescent="0.35">
      <c r="A185" s="57">
        <v>27030</v>
      </c>
      <c r="B185" s="58">
        <f>VLOOKUP(Table5345679103[[#This Row],[Date]],Database!A:E,MATCH($A$1,Database!$A$1:$E$1,),)</f>
        <v>24.885000000000002</v>
      </c>
      <c r="C185" s="8">
        <f t="shared" si="2"/>
        <v>9.5744249259605112E-3</v>
      </c>
      <c r="D185" s="7">
        <f>(Table5345679103[[#This Row],[Value]]-B173)/B173</f>
        <v>8.4266480763365473E-2</v>
      </c>
    </row>
    <row r="186" spans="1:4" x14ac:dyDescent="0.35">
      <c r="A186" s="57">
        <v>27061</v>
      </c>
      <c r="B186" s="58">
        <f>VLOOKUP(Table5345679103[[#This Row],[Date]],Database!A:E,MATCH($A$1,Database!$A$1:$E$1,),)</f>
        <v>25.175000000000001</v>
      </c>
      <c r="C186" s="8">
        <f t="shared" si="2"/>
        <v>1.1653606590315417E-2</v>
      </c>
      <c r="D186" s="7">
        <f>(Table5345679103[[#This Row],[Value]]-B174)/B174</f>
        <v>9.1149445214979266E-2</v>
      </c>
    </row>
    <row r="187" spans="1:4" x14ac:dyDescent="0.35">
      <c r="A187" s="57">
        <v>27089</v>
      </c>
      <c r="B187" s="58">
        <f>VLOOKUP(Table5345679103[[#This Row],[Date]],Database!A:E,MATCH($A$1,Database!$A$1:$E$1,),)</f>
        <v>25.466999999999999</v>
      </c>
      <c r="C187" s="8">
        <f t="shared" si="2"/>
        <v>1.159880834160866E-2</v>
      </c>
      <c r="D187" s="7">
        <f>(Table5345679103[[#This Row],[Value]]-B175)/B175</f>
        <v>9.6061975468043875E-2</v>
      </c>
    </row>
    <row r="188" spans="1:4" x14ac:dyDescent="0.35">
      <c r="A188" s="57">
        <v>27120</v>
      </c>
      <c r="B188" s="58">
        <f>VLOOKUP(Table5345679103[[#This Row],[Date]],Database!A:E,MATCH($A$1,Database!$A$1:$E$1,),)</f>
        <v>25.646999999999998</v>
      </c>
      <c r="C188" s="8">
        <f t="shared" si="2"/>
        <v>7.0679703145246683E-3</v>
      </c>
      <c r="D188" s="7">
        <f>(Table5345679103[[#This Row],[Value]]-B176)/B176</f>
        <v>9.565105946684882E-2</v>
      </c>
    </row>
    <row r="189" spans="1:4" x14ac:dyDescent="0.35">
      <c r="A189" s="57">
        <v>27150</v>
      </c>
      <c r="B189" s="58">
        <f>VLOOKUP(Table5345679103[[#This Row],[Date]],Database!A:E,MATCH($A$1,Database!$A$1:$E$1,),)</f>
        <v>25.9</v>
      </c>
      <c r="C189" s="8">
        <f t="shared" si="2"/>
        <v>9.8647015245447861E-3</v>
      </c>
      <c r="D189" s="7">
        <f>(Table5345679103[[#This Row],[Value]]-B177)/B177</f>
        <v>0.1010500361348467</v>
      </c>
    </row>
    <row r="190" spans="1:4" x14ac:dyDescent="0.35">
      <c r="A190" s="57">
        <v>27181</v>
      </c>
      <c r="B190" s="58">
        <f>VLOOKUP(Table5345679103[[#This Row],[Date]],Database!A:E,MATCH($A$1,Database!$A$1:$E$1,),)</f>
        <v>26.119</v>
      </c>
      <c r="C190" s="8">
        <f t="shared" si="2"/>
        <v>8.4555984555985016E-3</v>
      </c>
      <c r="D190" s="7">
        <f>(Table5345679103[[#This Row],[Value]]-B178)/B178</f>
        <v>0.10402400879195191</v>
      </c>
    </row>
    <row r="191" spans="1:4" x14ac:dyDescent="0.35">
      <c r="A191" s="57">
        <v>27211</v>
      </c>
      <c r="B191" s="58">
        <f>VLOOKUP(Table5345679103[[#This Row],[Date]],Database!A:E,MATCH($A$1,Database!$A$1:$E$1,),)</f>
        <v>26.312000000000001</v>
      </c>
      <c r="C191" s="8">
        <f t="shared" si="2"/>
        <v>7.3892568628202227E-3</v>
      </c>
      <c r="D191" s="7">
        <f>(Table5345679103[[#This Row],[Value]]-B179)/B179</f>
        <v>0.10815363881401623</v>
      </c>
    </row>
    <row r="192" spans="1:4" x14ac:dyDescent="0.35">
      <c r="A192" s="57">
        <v>27242</v>
      </c>
      <c r="B192" s="58">
        <f>VLOOKUP(Table5345679103[[#This Row],[Date]],Database!A:E,MATCH($A$1,Database!$A$1:$E$1,),)</f>
        <v>26.587</v>
      </c>
      <c r="C192" s="8">
        <f t="shared" si="2"/>
        <v>1.0451505016722354E-2</v>
      </c>
      <c r="D192" s="7">
        <f>(Table5345679103[[#This Row],[Value]]-B180)/B180</f>
        <v>0.10700753632843404</v>
      </c>
    </row>
    <row r="193" spans="1:4" x14ac:dyDescent="0.35">
      <c r="A193" s="57">
        <v>27273</v>
      </c>
      <c r="B193" s="58">
        <f>VLOOKUP(Table5345679103[[#This Row],[Date]],Database!A:E,MATCH($A$1,Database!$A$1:$E$1,),)</f>
        <v>26.863</v>
      </c>
      <c r="C193" s="8">
        <f t="shared" si="2"/>
        <v>1.0381013277165525E-2</v>
      </c>
      <c r="D193" s="7">
        <f>(Table5345679103[[#This Row],[Value]]-B181)/B181</f>
        <v>0.11404636503131091</v>
      </c>
    </row>
    <row r="194" spans="1:4" x14ac:dyDescent="0.35">
      <c r="A194" s="57">
        <v>27303</v>
      </c>
      <c r="B194" s="58">
        <f>VLOOKUP(Table5345679103[[#This Row],[Date]],Database!A:E,MATCH($A$1,Database!$A$1:$E$1,),)</f>
        <v>27.056000000000001</v>
      </c>
      <c r="C194" s="8">
        <f t="shared" si="2"/>
        <v>7.1846033577784088E-3</v>
      </c>
      <c r="D194" s="7">
        <f>(Table5345679103[[#This Row],[Value]]-B182)/B182</f>
        <v>0.11575735081859055</v>
      </c>
    </row>
    <row r="195" spans="1:4" x14ac:dyDescent="0.35">
      <c r="A195" s="57">
        <v>27334</v>
      </c>
      <c r="B195" s="58">
        <f>VLOOKUP(Table5345679103[[#This Row],[Date]],Database!A:E,MATCH($A$1,Database!$A$1:$E$1,),)</f>
        <v>27.259</v>
      </c>
      <c r="C195" s="8">
        <f t="shared" si="2"/>
        <v>7.5029568302779201E-3</v>
      </c>
      <c r="D195" s="7">
        <f>(Table5345679103[[#This Row],[Value]]-B183)/B183</f>
        <v>0.11497873036649214</v>
      </c>
    </row>
    <row r="196" spans="1:4" x14ac:dyDescent="0.35">
      <c r="A196" s="57">
        <v>27364</v>
      </c>
      <c r="B196" s="58">
        <f>VLOOKUP(Table5345679103[[#This Row],[Date]],Database!A:E,MATCH($A$1,Database!$A$1:$E$1,),)</f>
        <v>27.474</v>
      </c>
      <c r="C196" s="8">
        <f t="shared" si="2"/>
        <v>7.8873032759822388E-3</v>
      </c>
      <c r="D196" s="7">
        <f>(Table5345679103[[#This Row],[Value]]-B184)/B184</f>
        <v>0.11460911193151849</v>
      </c>
    </row>
    <row r="197" spans="1:4" x14ac:dyDescent="0.35">
      <c r="A197" s="57">
        <v>27395</v>
      </c>
      <c r="B197" s="58">
        <f>VLOOKUP(Table5345679103[[#This Row],[Date]],Database!A:E,MATCH($A$1,Database!$A$1:$E$1,),)</f>
        <v>27.645</v>
      </c>
      <c r="C197" s="8">
        <f t="shared" si="2"/>
        <v>6.2240663900414708E-3</v>
      </c>
      <c r="D197" s="7">
        <f>(Table5345679103[[#This Row],[Value]]-B185)/B185</f>
        <v>0.11091018685955387</v>
      </c>
    </row>
    <row r="198" spans="1:4" x14ac:dyDescent="0.35">
      <c r="A198" s="57">
        <v>27426</v>
      </c>
      <c r="B198" s="58">
        <f>VLOOKUP(Table5345679103[[#This Row],[Date]],Database!A:E,MATCH($A$1,Database!$A$1:$E$1,),)</f>
        <v>27.795000000000002</v>
      </c>
      <c r="C198" s="8">
        <f t="shared" ref="C198:C261" si="3">(B198-B197)/B197</f>
        <v>5.4259359739555844E-3</v>
      </c>
      <c r="D198" s="7">
        <f>(Table5345679103[[#This Row],[Value]]-B186)/B186</f>
        <v>0.1040714995034757</v>
      </c>
    </row>
    <row r="199" spans="1:4" x14ac:dyDescent="0.35">
      <c r="A199" s="57">
        <v>27454</v>
      </c>
      <c r="B199" s="58">
        <f>VLOOKUP(Table5345679103[[#This Row],[Date]],Database!A:E,MATCH($A$1,Database!$A$1:$E$1,),)</f>
        <v>27.888999999999999</v>
      </c>
      <c r="C199" s="8">
        <f t="shared" si="3"/>
        <v>3.3819032200035127E-3</v>
      </c>
      <c r="D199" s="7">
        <f>(Table5345679103[[#This Row],[Value]]-B187)/B187</f>
        <v>9.5103467232104319E-2</v>
      </c>
    </row>
    <row r="200" spans="1:4" x14ac:dyDescent="0.35">
      <c r="A200" s="57">
        <v>27485</v>
      </c>
      <c r="B200" s="58">
        <f>VLOOKUP(Table5345679103[[#This Row],[Date]],Database!A:E,MATCH($A$1,Database!$A$1:$E$1,),)</f>
        <v>27.984000000000002</v>
      </c>
      <c r="C200" s="8">
        <f t="shared" si="3"/>
        <v>3.4063609308330315E-3</v>
      </c>
      <c r="D200" s="7">
        <f>(Table5345679103[[#This Row],[Value]]-B188)/B188</f>
        <v>9.1121768627909827E-2</v>
      </c>
    </row>
    <row r="201" spans="1:4" x14ac:dyDescent="0.35">
      <c r="A201" s="57">
        <v>27515</v>
      </c>
      <c r="B201" s="58">
        <f>VLOOKUP(Table5345679103[[#This Row],[Date]],Database!A:E,MATCH($A$1,Database!$A$1:$E$1,),)</f>
        <v>28.094999999999999</v>
      </c>
      <c r="C201" s="8">
        <f t="shared" si="3"/>
        <v>3.9665523156088159E-3</v>
      </c>
      <c r="D201" s="7">
        <f>(Table5345679103[[#This Row],[Value]]-B189)/B189</f>
        <v>8.4749034749034766E-2</v>
      </c>
    </row>
    <row r="202" spans="1:4" x14ac:dyDescent="0.35">
      <c r="A202" s="57">
        <v>27546</v>
      </c>
      <c r="B202" s="58">
        <f>VLOOKUP(Table5345679103[[#This Row],[Date]],Database!A:E,MATCH($A$1,Database!$A$1:$E$1,),)</f>
        <v>28.271000000000001</v>
      </c>
      <c r="C202" s="8">
        <f t="shared" si="3"/>
        <v>6.264459868304038E-3</v>
      </c>
      <c r="D202" s="7">
        <f>(Table5345679103[[#This Row],[Value]]-B190)/B190</f>
        <v>8.2392128335694356E-2</v>
      </c>
    </row>
    <row r="203" spans="1:4" x14ac:dyDescent="0.35">
      <c r="A203" s="57">
        <v>27576</v>
      </c>
      <c r="B203" s="58">
        <f>VLOOKUP(Table5345679103[[#This Row],[Date]],Database!A:E,MATCH($A$1,Database!$A$1:$E$1,),)</f>
        <v>28.513999999999999</v>
      </c>
      <c r="C203" s="8">
        <f t="shared" si="3"/>
        <v>8.5953804251706189E-3</v>
      </c>
      <c r="D203" s="7">
        <f>(Table5345679103[[#This Row],[Value]]-B191)/B191</f>
        <v>8.3688051079355355E-2</v>
      </c>
    </row>
    <row r="204" spans="1:4" x14ac:dyDescent="0.35">
      <c r="A204" s="57">
        <v>27607</v>
      </c>
      <c r="B204" s="58">
        <f>VLOOKUP(Table5345679103[[#This Row],[Date]],Database!A:E,MATCH($A$1,Database!$A$1:$E$1,),)</f>
        <v>28.637</v>
      </c>
      <c r="C204" s="8">
        <f t="shared" si="3"/>
        <v>4.3136704776601358E-3</v>
      </c>
      <c r="D204" s="7">
        <f>(Table5345679103[[#This Row],[Value]]-B192)/B192</f>
        <v>7.7105352239816474E-2</v>
      </c>
    </row>
    <row r="205" spans="1:4" x14ac:dyDescent="0.35">
      <c r="A205" s="57">
        <v>27638</v>
      </c>
      <c r="B205" s="58">
        <f>VLOOKUP(Table5345679103[[#This Row],[Date]],Database!A:E,MATCH($A$1,Database!$A$1:$E$1,),)</f>
        <v>28.779</v>
      </c>
      <c r="C205" s="8">
        <f t="shared" si="3"/>
        <v>4.9586199671753138E-3</v>
      </c>
      <c r="D205" s="7">
        <f>(Table5345679103[[#This Row],[Value]]-B193)/B193</f>
        <v>7.1324870639913648E-2</v>
      </c>
    </row>
    <row r="206" spans="1:4" x14ac:dyDescent="0.35">
      <c r="A206" s="57">
        <v>27668</v>
      </c>
      <c r="B206" s="58">
        <f>VLOOKUP(Table5345679103[[#This Row],[Date]],Database!A:E,MATCH($A$1,Database!$A$1:$E$1,),)</f>
        <v>28.946000000000002</v>
      </c>
      <c r="C206" s="8">
        <f t="shared" si="3"/>
        <v>5.8028423503249452E-3</v>
      </c>
      <c r="D206" s="7">
        <f>(Table5345679103[[#This Row],[Value]]-B194)/B194</f>
        <v>6.9855115316380861E-2</v>
      </c>
    </row>
    <row r="207" spans="1:4" x14ac:dyDescent="0.35">
      <c r="A207" s="57">
        <v>27699</v>
      </c>
      <c r="B207" s="58">
        <f>VLOOKUP(Table5345679103[[#This Row],[Date]],Database!A:E,MATCH($A$1,Database!$A$1:$E$1,),)</f>
        <v>29.132000000000001</v>
      </c>
      <c r="C207" s="8">
        <f t="shared" si="3"/>
        <v>6.4257583085745845E-3</v>
      </c>
      <c r="D207" s="7">
        <f>(Table5345679103[[#This Row],[Value]]-B195)/B195</f>
        <v>6.8711251329836062E-2</v>
      </c>
    </row>
    <row r="208" spans="1:4" x14ac:dyDescent="0.35">
      <c r="A208" s="57">
        <v>27729</v>
      </c>
      <c r="B208" s="58">
        <f>VLOOKUP(Table5345679103[[#This Row],[Date]],Database!A:E,MATCH($A$1,Database!$A$1:$E$1,),)</f>
        <v>29.292999999999999</v>
      </c>
      <c r="C208" s="8">
        <f t="shared" si="3"/>
        <v>5.5265687216805503E-3</v>
      </c>
      <c r="D208" s="7">
        <f>(Table5345679103[[#This Row],[Value]]-B196)/B196</f>
        <v>6.6208051248453054E-2</v>
      </c>
    </row>
    <row r="209" spans="1:4" x14ac:dyDescent="0.35">
      <c r="A209" s="57">
        <v>27760</v>
      </c>
      <c r="B209" s="58">
        <f>VLOOKUP(Table5345679103[[#This Row],[Date]],Database!A:E,MATCH($A$1,Database!$A$1:$E$1,),)</f>
        <v>29.405000000000001</v>
      </c>
      <c r="C209" s="8">
        <f t="shared" si="3"/>
        <v>3.8234390468713303E-3</v>
      </c>
      <c r="D209" s="7">
        <f>(Table5345679103[[#This Row],[Value]]-B197)/B197</f>
        <v>6.3664315427744672E-2</v>
      </c>
    </row>
    <row r="210" spans="1:4" x14ac:dyDescent="0.35">
      <c r="A210" s="57">
        <v>27791</v>
      </c>
      <c r="B210" s="58">
        <f>VLOOKUP(Table5345679103[[#This Row],[Date]],Database!A:E,MATCH($A$1,Database!$A$1:$E$1,),)</f>
        <v>29.442</v>
      </c>
      <c r="C210" s="8">
        <f t="shared" si="3"/>
        <v>1.2582894065634768E-3</v>
      </c>
      <c r="D210" s="7">
        <f>(Table5345679103[[#This Row],[Value]]-B198)/B198</f>
        <v>5.9255261737722553E-2</v>
      </c>
    </row>
    <row r="211" spans="1:4" x14ac:dyDescent="0.35">
      <c r="A211" s="57">
        <v>27820</v>
      </c>
      <c r="B211" s="58">
        <f>VLOOKUP(Table5345679103[[#This Row],[Date]],Database!A:E,MATCH($A$1,Database!$A$1:$E$1,),)</f>
        <v>29.486000000000001</v>
      </c>
      <c r="C211" s="8">
        <f t="shared" si="3"/>
        <v>1.4944636913253339E-3</v>
      </c>
      <c r="D211" s="7">
        <f>(Table5345679103[[#This Row],[Value]]-B199)/B199</f>
        <v>5.7262720068844399E-2</v>
      </c>
    </row>
    <row r="212" spans="1:4" x14ac:dyDescent="0.35">
      <c r="A212" s="57">
        <v>27851</v>
      </c>
      <c r="B212" s="58">
        <f>VLOOKUP(Table5345679103[[#This Row],[Date]],Database!A:E,MATCH($A$1,Database!$A$1:$E$1,),)</f>
        <v>29.553000000000001</v>
      </c>
      <c r="C212" s="8">
        <f t="shared" si="3"/>
        <v>2.2722648036356294E-3</v>
      </c>
      <c r="D212" s="7">
        <f>(Table5345679103[[#This Row],[Value]]-B200)/B200</f>
        <v>5.606775300171523E-2</v>
      </c>
    </row>
    <row r="213" spans="1:4" x14ac:dyDescent="0.35">
      <c r="A213" s="57">
        <v>27881</v>
      </c>
      <c r="B213" s="58">
        <f>VLOOKUP(Table5345679103[[#This Row],[Date]],Database!A:E,MATCH($A$1,Database!$A$1:$E$1,),)</f>
        <v>29.695</v>
      </c>
      <c r="C213" s="8">
        <f t="shared" si="3"/>
        <v>4.8049267417859254E-3</v>
      </c>
      <c r="D213" s="7">
        <f>(Table5345679103[[#This Row],[Value]]-B201)/B201</f>
        <v>5.6949635166399767E-2</v>
      </c>
    </row>
    <row r="214" spans="1:4" x14ac:dyDescent="0.35">
      <c r="A214" s="57">
        <v>27912</v>
      </c>
      <c r="B214" s="58">
        <f>VLOOKUP(Table5345679103[[#This Row],[Date]],Database!A:E,MATCH($A$1,Database!$A$1:$E$1,),)</f>
        <v>29.824000000000002</v>
      </c>
      <c r="C214" s="8">
        <f t="shared" si="3"/>
        <v>4.3441656844587081E-3</v>
      </c>
      <c r="D214" s="7">
        <f>(Table5345679103[[#This Row],[Value]]-B202)/B202</f>
        <v>5.4932616462099002E-2</v>
      </c>
    </row>
    <row r="215" spans="1:4" x14ac:dyDescent="0.35">
      <c r="A215" s="57">
        <v>27942</v>
      </c>
      <c r="B215" s="58">
        <f>VLOOKUP(Table5345679103[[#This Row],[Date]],Database!A:E,MATCH($A$1,Database!$A$1:$E$1,),)</f>
        <v>29.975000000000001</v>
      </c>
      <c r="C215" s="8">
        <f t="shared" si="3"/>
        <v>5.0630364806866883E-3</v>
      </c>
      <c r="D215" s="7">
        <f>(Table5345679103[[#This Row],[Value]]-B203)/B203</f>
        <v>5.1237988356596834E-2</v>
      </c>
    </row>
    <row r="216" spans="1:4" x14ac:dyDescent="0.35">
      <c r="A216" s="57">
        <v>27973</v>
      </c>
      <c r="B216" s="58">
        <f>VLOOKUP(Table5345679103[[#This Row],[Date]],Database!A:E,MATCH($A$1,Database!$A$1:$E$1,),)</f>
        <v>30.14</v>
      </c>
      <c r="C216" s="8">
        <f t="shared" si="3"/>
        <v>5.5045871559632744E-3</v>
      </c>
      <c r="D216" s="7">
        <f>(Table5345679103[[#This Row],[Value]]-B204)/B204</f>
        <v>5.2484547962426235E-2</v>
      </c>
    </row>
    <row r="217" spans="1:4" x14ac:dyDescent="0.35">
      <c r="A217" s="57">
        <v>28004</v>
      </c>
      <c r="B217" s="58">
        <f>VLOOKUP(Table5345679103[[#This Row],[Date]],Database!A:E,MATCH($A$1,Database!$A$1:$E$1,),)</f>
        <v>30.31</v>
      </c>
      <c r="C217" s="8">
        <f t="shared" si="3"/>
        <v>5.6403450564033895E-3</v>
      </c>
      <c r="D217" s="7">
        <f>(Table5345679103[[#This Row],[Value]]-B205)/B205</f>
        <v>5.3198512804475441E-2</v>
      </c>
    </row>
    <row r="218" spans="1:4" x14ac:dyDescent="0.35">
      <c r="A218" s="57">
        <v>28034</v>
      </c>
      <c r="B218" s="58">
        <f>VLOOKUP(Table5345679103[[#This Row],[Date]],Database!A:E,MATCH($A$1,Database!$A$1:$E$1,),)</f>
        <v>30.469000000000001</v>
      </c>
      <c r="C218" s="8">
        <f t="shared" si="3"/>
        <v>5.2457934675025561E-3</v>
      </c>
      <c r="D218" s="7">
        <f>(Table5345679103[[#This Row],[Value]]-B206)/B206</f>
        <v>5.2615214537414481E-2</v>
      </c>
    </row>
    <row r="219" spans="1:4" x14ac:dyDescent="0.35">
      <c r="A219" s="57">
        <v>28065</v>
      </c>
      <c r="B219" s="58">
        <f>VLOOKUP(Table5345679103[[#This Row],[Date]],Database!A:E,MATCH($A$1,Database!$A$1:$E$1,),)</f>
        <v>30.606999999999999</v>
      </c>
      <c r="C219" s="8">
        <f t="shared" si="3"/>
        <v>4.5291936066164992E-3</v>
      </c>
      <c r="D219" s="7">
        <f>(Table5345679103[[#This Row],[Value]]-B207)/B207</f>
        <v>5.0631607853906281E-2</v>
      </c>
    </row>
    <row r="220" spans="1:4" x14ac:dyDescent="0.35">
      <c r="A220" s="57">
        <v>28095</v>
      </c>
      <c r="B220" s="58">
        <f>VLOOKUP(Table5345679103[[#This Row],[Date]],Database!A:E,MATCH($A$1,Database!$A$1:$E$1,),)</f>
        <v>30.777999999999999</v>
      </c>
      <c r="C220" s="8">
        <f t="shared" si="3"/>
        <v>5.5869572320057298E-3</v>
      </c>
      <c r="D220" s="7">
        <f>(Table5345679103[[#This Row],[Value]]-B208)/B208</f>
        <v>5.069470521967704E-2</v>
      </c>
    </row>
    <row r="221" spans="1:4" x14ac:dyDescent="0.35">
      <c r="A221" s="57">
        <v>28126</v>
      </c>
      <c r="B221" s="58">
        <f>VLOOKUP(Table5345679103[[#This Row],[Date]],Database!A:E,MATCH($A$1,Database!$A$1:$E$1,),)</f>
        <v>30.957000000000001</v>
      </c>
      <c r="C221" s="8">
        <f t="shared" si="3"/>
        <v>5.8158424848918722E-3</v>
      </c>
      <c r="D221" s="7">
        <f>(Table5345679103[[#This Row],[Value]]-B209)/B209</f>
        <v>5.2780139432069363E-2</v>
      </c>
    </row>
    <row r="222" spans="1:4" x14ac:dyDescent="0.35">
      <c r="A222" s="57">
        <v>28157</v>
      </c>
      <c r="B222" s="58">
        <f>VLOOKUP(Table5345679103[[#This Row],[Date]],Database!A:E,MATCH($A$1,Database!$A$1:$E$1,),)</f>
        <v>31.199000000000002</v>
      </c>
      <c r="C222" s="8">
        <f t="shared" si="3"/>
        <v>7.8172949575217518E-3</v>
      </c>
      <c r="D222" s="7">
        <f>(Table5345679103[[#This Row],[Value]]-B210)/B210</f>
        <v>5.9676652401331479E-2</v>
      </c>
    </row>
    <row r="223" spans="1:4" x14ac:dyDescent="0.35">
      <c r="A223" s="57">
        <v>28185</v>
      </c>
      <c r="B223" s="58">
        <f>VLOOKUP(Table5345679103[[#This Row],[Date]],Database!A:E,MATCH($A$1,Database!$A$1:$E$1,),)</f>
        <v>31.356000000000002</v>
      </c>
      <c r="C223" s="8">
        <f t="shared" si="3"/>
        <v>5.0322125709157351E-3</v>
      </c>
      <c r="D223" s="7">
        <f>(Table5345679103[[#This Row],[Value]]-B211)/B211</f>
        <v>6.3419928101471915E-2</v>
      </c>
    </row>
    <row r="224" spans="1:4" x14ac:dyDescent="0.35">
      <c r="A224" s="57">
        <v>28216</v>
      </c>
      <c r="B224" s="58">
        <f>VLOOKUP(Table5345679103[[#This Row],[Date]],Database!A:E,MATCH($A$1,Database!$A$1:$E$1,),)</f>
        <v>31.538</v>
      </c>
      <c r="C224" s="8">
        <f t="shared" si="3"/>
        <v>5.8043117744609836E-3</v>
      </c>
      <c r="D224" s="7">
        <f>(Table5345679103[[#This Row],[Value]]-B212)/B212</f>
        <v>6.7167461848204893E-2</v>
      </c>
    </row>
    <row r="225" spans="1:4" x14ac:dyDescent="0.35">
      <c r="A225" s="57">
        <v>28246</v>
      </c>
      <c r="B225" s="58">
        <f>VLOOKUP(Table5345679103[[#This Row],[Date]],Database!A:E,MATCH($A$1,Database!$A$1:$E$1,),)</f>
        <v>31.698</v>
      </c>
      <c r="C225" s="8">
        <f t="shared" si="3"/>
        <v>5.0732449743167022E-3</v>
      </c>
      <c r="D225" s="7">
        <f>(Table5345679103[[#This Row],[Value]]-B213)/B213</f>
        <v>6.7452433069540324E-2</v>
      </c>
    </row>
    <row r="226" spans="1:4" x14ac:dyDescent="0.35">
      <c r="A226" s="57">
        <v>28277</v>
      </c>
      <c r="B226" s="58">
        <f>VLOOKUP(Table5345679103[[#This Row],[Date]],Database!A:E,MATCH($A$1,Database!$A$1:$E$1,),)</f>
        <v>31.875</v>
      </c>
      <c r="C226" s="8">
        <f t="shared" si="3"/>
        <v>5.5839485141018236E-3</v>
      </c>
      <c r="D226" s="7">
        <f>(Table5345679103[[#This Row],[Value]]-B214)/B214</f>
        <v>6.8770118025751018E-2</v>
      </c>
    </row>
    <row r="227" spans="1:4" x14ac:dyDescent="0.35">
      <c r="A227" s="57">
        <v>28307</v>
      </c>
      <c r="B227" s="58">
        <f>VLOOKUP(Table5345679103[[#This Row],[Date]],Database!A:E,MATCH($A$1,Database!$A$1:$E$1,),)</f>
        <v>32.040999999999997</v>
      </c>
      <c r="C227" s="8">
        <f t="shared" si="3"/>
        <v>5.2078431372548023E-3</v>
      </c>
      <c r="D227" s="7">
        <f>(Table5345679103[[#This Row],[Value]]-B215)/B215</f>
        <v>6.8924103419516103E-2</v>
      </c>
    </row>
    <row r="228" spans="1:4" x14ac:dyDescent="0.35">
      <c r="A228" s="57">
        <v>28338</v>
      </c>
      <c r="B228" s="58">
        <f>VLOOKUP(Table5345679103[[#This Row],[Date]],Database!A:E,MATCH($A$1,Database!$A$1:$E$1,),)</f>
        <v>32.19</v>
      </c>
      <c r="C228" s="8">
        <f t="shared" si="3"/>
        <v>4.650291813613836E-3</v>
      </c>
      <c r="D228" s="7">
        <f>(Table5345679103[[#This Row],[Value]]-B216)/B216</f>
        <v>6.8015925680159156E-2</v>
      </c>
    </row>
    <row r="229" spans="1:4" x14ac:dyDescent="0.35">
      <c r="A229" s="57">
        <v>28369</v>
      </c>
      <c r="B229" s="58">
        <f>VLOOKUP(Table5345679103[[#This Row],[Date]],Database!A:E,MATCH($A$1,Database!$A$1:$E$1,),)</f>
        <v>32.311</v>
      </c>
      <c r="C229" s="8">
        <f t="shared" si="3"/>
        <v>3.7589313451383108E-3</v>
      </c>
      <c r="D229" s="7">
        <f>(Table5345679103[[#This Row],[Value]]-B217)/B217</f>
        <v>6.60178159023425E-2</v>
      </c>
    </row>
    <row r="230" spans="1:4" x14ac:dyDescent="0.35">
      <c r="A230" s="57">
        <v>28399</v>
      </c>
      <c r="B230" s="58">
        <f>VLOOKUP(Table5345679103[[#This Row],[Date]],Database!A:E,MATCH($A$1,Database!$A$1:$E$1,),)</f>
        <v>32.460999999999999</v>
      </c>
      <c r="C230" s="8">
        <f t="shared" si="3"/>
        <v>4.6423818513818384E-3</v>
      </c>
      <c r="D230" s="7">
        <f>(Table5345679103[[#This Row],[Value]]-B218)/B218</f>
        <v>6.5377925104204176E-2</v>
      </c>
    </row>
    <row r="231" spans="1:4" x14ac:dyDescent="0.35">
      <c r="A231" s="57">
        <v>28430</v>
      </c>
      <c r="B231" s="58">
        <f>VLOOKUP(Table5345679103[[#This Row],[Date]],Database!A:E,MATCH($A$1,Database!$A$1:$E$1,),)</f>
        <v>32.648000000000003</v>
      </c>
      <c r="C231" s="8">
        <f t="shared" si="3"/>
        <v>5.7607590647239682E-3</v>
      </c>
      <c r="D231" s="7">
        <f>(Table5345679103[[#This Row],[Value]]-B219)/B219</f>
        <v>6.668409187440795E-2</v>
      </c>
    </row>
    <row r="232" spans="1:4" x14ac:dyDescent="0.35">
      <c r="A232" s="57">
        <v>28460</v>
      </c>
      <c r="B232" s="58">
        <f>VLOOKUP(Table5345679103[[#This Row],[Date]],Database!A:E,MATCH($A$1,Database!$A$1:$E$1,),)</f>
        <v>32.805999999999997</v>
      </c>
      <c r="C232" s="8">
        <f t="shared" si="3"/>
        <v>4.8395001225188103E-3</v>
      </c>
      <c r="D232" s="7">
        <f>(Table5345679103[[#This Row],[Value]]-B220)/B220</f>
        <v>6.5891221002014388E-2</v>
      </c>
    </row>
    <row r="233" spans="1:4" x14ac:dyDescent="0.35">
      <c r="A233" s="57">
        <v>28491</v>
      </c>
      <c r="B233" s="58">
        <f>VLOOKUP(Table5345679103[[#This Row],[Date]],Database!A:E,MATCH($A$1,Database!$A$1:$E$1,),)</f>
        <v>33</v>
      </c>
      <c r="C233" s="8">
        <f t="shared" si="3"/>
        <v>5.9135523989514915E-3</v>
      </c>
      <c r="D233" s="7">
        <f>(Table5345679103[[#This Row],[Value]]-B221)/B221</f>
        <v>6.5994766934780472E-2</v>
      </c>
    </row>
    <row r="234" spans="1:4" x14ac:dyDescent="0.35">
      <c r="A234" s="57">
        <v>28522</v>
      </c>
      <c r="B234" s="58">
        <f>VLOOKUP(Table5345679103[[#This Row],[Date]],Database!A:E,MATCH($A$1,Database!$A$1:$E$1,),)</f>
        <v>33.152999999999999</v>
      </c>
      <c r="C234" s="8">
        <f t="shared" si="3"/>
        <v>4.6363636363635965E-3</v>
      </c>
      <c r="D234" s="7">
        <f>(Table5345679103[[#This Row],[Value]]-B222)/B222</f>
        <v>6.2630212506811014E-2</v>
      </c>
    </row>
    <row r="235" spans="1:4" x14ac:dyDescent="0.35">
      <c r="A235" s="57">
        <v>28550</v>
      </c>
      <c r="B235" s="58">
        <f>VLOOKUP(Table5345679103[[#This Row],[Date]],Database!A:E,MATCH($A$1,Database!$A$1:$E$1,),)</f>
        <v>33.368000000000002</v>
      </c>
      <c r="C235" s="8">
        <f t="shared" si="3"/>
        <v>6.485084306096082E-3</v>
      </c>
      <c r="D235" s="7">
        <f>(Table5345679103[[#This Row],[Value]]-B223)/B223</f>
        <v>6.4166347748437311E-2</v>
      </c>
    </row>
    <row r="236" spans="1:4" x14ac:dyDescent="0.35">
      <c r="A236" s="57">
        <v>28581</v>
      </c>
      <c r="B236" s="58">
        <f>VLOOKUP(Table5345679103[[#This Row],[Date]],Database!A:E,MATCH($A$1,Database!$A$1:$E$1,),)</f>
        <v>33.621000000000002</v>
      </c>
      <c r="C236" s="8">
        <f t="shared" si="3"/>
        <v>7.5821146008151555E-3</v>
      </c>
      <c r="D236" s="7">
        <f>(Table5345679103[[#This Row],[Value]]-B224)/B224</f>
        <v>6.6047308009385561E-2</v>
      </c>
    </row>
    <row r="237" spans="1:4" x14ac:dyDescent="0.35">
      <c r="A237" s="57">
        <v>28611</v>
      </c>
      <c r="B237" s="58">
        <f>VLOOKUP(Table5345679103[[#This Row],[Date]],Database!A:E,MATCH($A$1,Database!$A$1:$E$1,),)</f>
        <v>33.860999999999997</v>
      </c>
      <c r="C237" s="8">
        <f t="shared" si="3"/>
        <v>7.1383956455785035E-3</v>
      </c>
      <c r="D237" s="7">
        <f>(Table5345679103[[#This Row],[Value]]-B225)/B225</f>
        <v>6.8237743706227413E-2</v>
      </c>
    </row>
    <row r="238" spans="1:4" x14ac:dyDescent="0.35">
      <c r="A238" s="57">
        <v>28642</v>
      </c>
      <c r="B238" s="58">
        <f>VLOOKUP(Table5345679103[[#This Row],[Date]],Database!A:E,MATCH($A$1,Database!$A$1:$E$1,),)</f>
        <v>34.082000000000001</v>
      </c>
      <c r="C238" s="8">
        <f t="shared" si="3"/>
        <v>6.5266826142170538E-3</v>
      </c>
      <c r="D238" s="7">
        <f>(Table5345679103[[#This Row],[Value]]-B226)/B226</f>
        <v>6.923921568627453E-2</v>
      </c>
    </row>
    <row r="239" spans="1:4" x14ac:dyDescent="0.35">
      <c r="A239" s="57">
        <v>28672</v>
      </c>
      <c r="B239" s="58">
        <f>VLOOKUP(Table5345679103[[#This Row],[Date]],Database!A:E,MATCH($A$1,Database!$A$1:$E$1,),)</f>
        <v>34.268999999999998</v>
      </c>
      <c r="C239" s="8">
        <f t="shared" si="3"/>
        <v>5.4867672084970833E-3</v>
      </c>
      <c r="D239" s="7">
        <f>(Table5345679103[[#This Row],[Value]]-B227)/B227</f>
        <v>6.9535907119003829E-2</v>
      </c>
    </row>
    <row r="240" spans="1:4" x14ac:dyDescent="0.35">
      <c r="A240" s="57">
        <v>28703</v>
      </c>
      <c r="B240" s="58">
        <f>VLOOKUP(Table5345679103[[#This Row],[Date]],Database!A:E,MATCH($A$1,Database!$A$1:$E$1,),)</f>
        <v>34.442</v>
      </c>
      <c r="C240" s="8">
        <f t="shared" si="3"/>
        <v>5.0482943768420975E-3</v>
      </c>
      <c r="D240" s="7">
        <f>(Table5345679103[[#This Row],[Value]]-B228)/B228</f>
        <v>6.9959614787201072E-2</v>
      </c>
    </row>
    <row r="241" spans="1:4" x14ac:dyDescent="0.35">
      <c r="A241" s="57">
        <v>28734</v>
      </c>
      <c r="B241" s="58">
        <f>VLOOKUP(Table5345679103[[#This Row],[Date]],Database!A:E,MATCH($A$1,Database!$A$1:$E$1,),)</f>
        <v>34.637999999999998</v>
      </c>
      <c r="C241" s="8">
        <f t="shared" si="3"/>
        <v>5.6907264386504251E-3</v>
      </c>
      <c r="D241" s="7">
        <f>(Table5345679103[[#This Row],[Value]]-B229)/B229</f>
        <v>7.2018817121104209E-2</v>
      </c>
    </row>
    <row r="242" spans="1:4" x14ac:dyDescent="0.35">
      <c r="A242" s="57">
        <v>28764</v>
      </c>
      <c r="B242" s="58">
        <f>VLOOKUP(Table5345679103[[#This Row],[Date]],Database!A:E,MATCH($A$1,Database!$A$1:$E$1,),)</f>
        <v>34.912999999999997</v>
      </c>
      <c r="C242" s="8">
        <f t="shared" si="3"/>
        <v>7.9392574629019753E-3</v>
      </c>
      <c r="D242" s="7">
        <f>(Table5345679103[[#This Row],[Value]]-B230)/B230</f>
        <v>7.5536798003758301E-2</v>
      </c>
    </row>
    <row r="243" spans="1:4" x14ac:dyDescent="0.35">
      <c r="A243" s="57">
        <v>28795</v>
      </c>
      <c r="B243" s="58">
        <f>VLOOKUP(Table5345679103[[#This Row],[Date]],Database!A:E,MATCH($A$1,Database!$A$1:$E$1,),)</f>
        <v>35.112000000000002</v>
      </c>
      <c r="C243" s="8">
        <f t="shared" si="3"/>
        <v>5.6998825652337295E-3</v>
      </c>
      <c r="D243" s="7">
        <f>(Table5345679103[[#This Row],[Value]]-B231)/B231</f>
        <v>7.5471698113207503E-2</v>
      </c>
    </row>
    <row r="244" spans="1:4" x14ac:dyDescent="0.35">
      <c r="A244" s="57">
        <v>28825</v>
      </c>
      <c r="B244" s="58">
        <f>VLOOKUP(Table5345679103[[#This Row],[Date]],Database!A:E,MATCH($A$1,Database!$A$1:$E$1,),)</f>
        <v>35.276000000000003</v>
      </c>
      <c r="C244" s="8">
        <f t="shared" si="3"/>
        <v>4.6707678286626074E-3</v>
      </c>
      <c r="D244" s="7">
        <f>(Table5345679103[[#This Row],[Value]]-B232)/B232</f>
        <v>7.5291105285618679E-2</v>
      </c>
    </row>
    <row r="245" spans="1:4" x14ac:dyDescent="0.35">
      <c r="A245" s="57">
        <v>28856</v>
      </c>
      <c r="B245" s="58">
        <f>VLOOKUP(Table5345679103[[#This Row],[Date]],Database!A:E,MATCH($A$1,Database!$A$1:$E$1,),)</f>
        <v>35.542000000000002</v>
      </c>
      <c r="C245" s="8">
        <f t="shared" si="3"/>
        <v>7.5405374759042465E-3</v>
      </c>
      <c r="D245" s="7">
        <f>(Table5345679103[[#This Row],[Value]]-B233)/B233</f>
        <v>7.7030303030303074E-2</v>
      </c>
    </row>
    <row r="246" spans="1:4" x14ac:dyDescent="0.35">
      <c r="A246" s="57">
        <v>28887</v>
      </c>
      <c r="B246" s="58">
        <f>VLOOKUP(Table5345679103[[#This Row],[Date]],Database!A:E,MATCH($A$1,Database!$A$1:$E$1,),)</f>
        <v>35.731999999999999</v>
      </c>
      <c r="C246" s="8">
        <f t="shared" si="3"/>
        <v>5.3457880817060861E-3</v>
      </c>
      <c r="D246" s="7">
        <f>(Table5345679103[[#This Row],[Value]]-B234)/B234</f>
        <v>7.7790848490332729E-2</v>
      </c>
    </row>
    <row r="247" spans="1:4" x14ac:dyDescent="0.35">
      <c r="A247" s="57">
        <v>28915</v>
      </c>
      <c r="B247" s="58">
        <f>VLOOKUP(Table5345679103[[#This Row],[Date]],Database!A:E,MATCH($A$1,Database!$A$1:$E$1,),)</f>
        <v>36.011000000000003</v>
      </c>
      <c r="C247" s="8">
        <f t="shared" si="3"/>
        <v>7.8081271689243109E-3</v>
      </c>
      <c r="D247" s="7">
        <f>(Table5345679103[[#This Row],[Value]]-B235)/B235</f>
        <v>7.9207624070966209E-2</v>
      </c>
    </row>
    <row r="248" spans="1:4" x14ac:dyDescent="0.35">
      <c r="A248" s="57">
        <v>28946</v>
      </c>
      <c r="B248" s="58">
        <f>VLOOKUP(Table5345679103[[#This Row],[Date]],Database!A:E,MATCH($A$1,Database!$A$1:$E$1,),)</f>
        <v>36.386000000000003</v>
      </c>
      <c r="C248" s="8">
        <f t="shared" si="3"/>
        <v>1.0413484768542945E-2</v>
      </c>
      <c r="D248" s="7">
        <f>(Table5345679103[[#This Row],[Value]]-B236)/B236</f>
        <v>8.2240266500104117E-2</v>
      </c>
    </row>
    <row r="249" spans="1:4" x14ac:dyDescent="0.35">
      <c r="A249" s="57">
        <v>28976</v>
      </c>
      <c r="B249" s="58">
        <f>VLOOKUP(Table5345679103[[#This Row],[Date]],Database!A:E,MATCH($A$1,Database!$A$1:$E$1,),)</f>
        <v>36.762999999999998</v>
      </c>
      <c r="C249" s="8">
        <f t="shared" si="3"/>
        <v>1.0361127906337473E-2</v>
      </c>
      <c r="D249" s="7">
        <f>(Table5345679103[[#This Row],[Value]]-B237)/B237</f>
        <v>8.5703316499808072E-2</v>
      </c>
    </row>
    <row r="250" spans="1:4" x14ac:dyDescent="0.35">
      <c r="A250" s="57">
        <v>29007</v>
      </c>
      <c r="B250" s="58">
        <f>VLOOKUP(Table5345679103[[#This Row],[Date]],Database!A:E,MATCH($A$1,Database!$A$1:$E$1,),)</f>
        <v>37.066000000000003</v>
      </c>
      <c r="C250" s="8">
        <f t="shared" si="3"/>
        <v>8.241982427984778E-3</v>
      </c>
      <c r="D250" s="7">
        <f>(Table5345679103[[#This Row],[Value]]-B238)/B238</f>
        <v>8.7553547327034853E-2</v>
      </c>
    </row>
    <row r="251" spans="1:4" x14ac:dyDescent="0.35">
      <c r="A251" s="57">
        <v>29037</v>
      </c>
      <c r="B251" s="58">
        <f>VLOOKUP(Table5345679103[[#This Row],[Date]],Database!A:E,MATCH($A$1,Database!$A$1:$E$1,),)</f>
        <v>37.348999999999997</v>
      </c>
      <c r="C251" s="8">
        <f t="shared" si="3"/>
        <v>7.6350294070035643E-3</v>
      </c>
      <c r="D251" s="7">
        <f>(Table5345679103[[#This Row],[Value]]-B239)/B239</f>
        <v>8.9877148443199342E-2</v>
      </c>
    </row>
    <row r="252" spans="1:4" x14ac:dyDescent="0.35">
      <c r="A252" s="57">
        <v>29068</v>
      </c>
      <c r="B252" s="58">
        <f>VLOOKUP(Table5345679103[[#This Row],[Date]],Database!A:E,MATCH($A$1,Database!$A$1:$E$1,),)</f>
        <v>37.634999999999998</v>
      </c>
      <c r="C252" s="8">
        <f t="shared" si="3"/>
        <v>7.6575008701705903E-3</v>
      </c>
      <c r="D252" s="7">
        <f>(Table5345679103[[#This Row],[Value]]-B240)/B240</f>
        <v>9.2706579176586659E-2</v>
      </c>
    </row>
    <row r="253" spans="1:4" x14ac:dyDescent="0.35">
      <c r="A253" s="57">
        <v>29099</v>
      </c>
      <c r="B253" s="58">
        <f>VLOOKUP(Table5345679103[[#This Row],[Date]],Database!A:E,MATCH($A$1,Database!$A$1:$E$1,),)</f>
        <v>37.966999999999999</v>
      </c>
      <c r="C253" s="8">
        <f t="shared" si="3"/>
        <v>8.82157566095392E-3</v>
      </c>
      <c r="D253" s="7">
        <f>(Table5345679103[[#This Row],[Value]]-B241)/B241</f>
        <v>9.6108320341821138E-2</v>
      </c>
    </row>
    <row r="254" spans="1:4" x14ac:dyDescent="0.35">
      <c r="A254" s="57">
        <v>29129</v>
      </c>
      <c r="B254" s="58">
        <f>VLOOKUP(Table5345679103[[#This Row],[Date]],Database!A:E,MATCH($A$1,Database!$A$1:$E$1,),)</f>
        <v>38.276000000000003</v>
      </c>
      <c r="C254" s="8">
        <f t="shared" si="3"/>
        <v>8.1386467195197036E-3</v>
      </c>
      <c r="D254" s="7">
        <f>(Table5345679103[[#This Row],[Value]]-B242)/B242</f>
        <v>9.6325151089852123E-2</v>
      </c>
    </row>
    <row r="255" spans="1:4" x14ac:dyDescent="0.35">
      <c r="A255" s="57">
        <v>29160</v>
      </c>
      <c r="B255" s="58">
        <f>VLOOKUP(Table5345679103[[#This Row],[Date]],Database!A:E,MATCH($A$1,Database!$A$1:$E$1,),)</f>
        <v>38.542000000000002</v>
      </c>
      <c r="C255" s="8">
        <f t="shared" si="3"/>
        <v>6.949524506217949E-3</v>
      </c>
      <c r="D255" s="7">
        <f>(Table5345679103[[#This Row],[Value]]-B243)/B243</f>
        <v>9.7687400318979253E-2</v>
      </c>
    </row>
    <row r="256" spans="1:4" x14ac:dyDescent="0.35">
      <c r="A256" s="57">
        <v>29190</v>
      </c>
      <c r="B256" s="58">
        <f>VLOOKUP(Table5345679103[[#This Row],[Date]],Database!A:E,MATCH($A$1,Database!$A$1:$E$1,),)</f>
        <v>38.866</v>
      </c>
      <c r="C256" s="8">
        <f t="shared" si="3"/>
        <v>8.4064137823672367E-3</v>
      </c>
      <c r="D256" s="7">
        <f>(Table5345679103[[#This Row],[Value]]-B244)/B244</f>
        <v>0.10176890803946015</v>
      </c>
    </row>
    <row r="257" spans="1:4" x14ac:dyDescent="0.35">
      <c r="A257" s="57">
        <v>29221</v>
      </c>
      <c r="B257" s="58">
        <f>VLOOKUP(Table5345679103[[#This Row],[Date]],Database!A:E,MATCH($A$1,Database!$A$1:$E$1,),)</f>
        <v>39.273000000000003</v>
      </c>
      <c r="C257" s="8">
        <f t="shared" si="3"/>
        <v>1.0471877733751958E-2</v>
      </c>
      <c r="D257" s="7">
        <f>(Table5345679103[[#This Row],[Value]]-B245)/B245</f>
        <v>0.10497439648866135</v>
      </c>
    </row>
    <row r="258" spans="1:4" x14ac:dyDescent="0.35">
      <c r="A258" s="57">
        <v>29252</v>
      </c>
      <c r="B258" s="58">
        <f>VLOOKUP(Table5345679103[[#This Row],[Date]],Database!A:E,MATCH($A$1,Database!$A$1:$E$1,),)</f>
        <v>39.698999999999998</v>
      </c>
      <c r="C258" s="8">
        <f t="shared" si="3"/>
        <v>1.0847146894813097E-2</v>
      </c>
      <c r="D258" s="7">
        <f>(Table5345679103[[#This Row],[Value]]-B246)/B246</f>
        <v>0.11102093361692597</v>
      </c>
    </row>
    <row r="259" spans="1:4" x14ac:dyDescent="0.35">
      <c r="A259" s="57">
        <v>29281</v>
      </c>
      <c r="B259" s="58">
        <f>VLOOKUP(Table5345679103[[#This Row],[Date]],Database!A:E,MATCH($A$1,Database!$A$1:$E$1,),)</f>
        <v>40.186</v>
      </c>
      <c r="C259" s="8">
        <f t="shared" si="3"/>
        <v>1.2267311519181891E-2</v>
      </c>
      <c r="D259" s="7">
        <f>(Table5345679103[[#This Row],[Value]]-B247)/B247</f>
        <v>0.11593679708977804</v>
      </c>
    </row>
    <row r="260" spans="1:4" x14ac:dyDescent="0.35">
      <c r="A260" s="57">
        <v>29312</v>
      </c>
      <c r="B260" s="58">
        <f>VLOOKUP(Table5345679103[[#This Row],[Date]],Database!A:E,MATCH($A$1,Database!$A$1:$E$1,),)</f>
        <v>40.396000000000001</v>
      </c>
      <c r="C260" s="8">
        <f t="shared" si="3"/>
        <v>5.2257004927089247E-3</v>
      </c>
      <c r="D260" s="7">
        <f>(Table5345679103[[#This Row],[Value]]-B248)/B248</f>
        <v>0.11020722255812669</v>
      </c>
    </row>
    <row r="261" spans="1:4" x14ac:dyDescent="0.35">
      <c r="A261" s="57">
        <v>29342</v>
      </c>
      <c r="B261" s="58">
        <f>VLOOKUP(Table5345679103[[#This Row],[Date]],Database!A:E,MATCH($A$1,Database!$A$1:$E$1,),)</f>
        <v>40.71</v>
      </c>
      <c r="C261" s="8">
        <f t="shared" si="3"/>
        <v>7.7730468363204292E-3</v>
      </c>
      <c r="D261" s="7">
        <f>(Table5345679103[[#This Row],[Value]]-B249)/B249</f>
        <v>0.10736338166090914</v>
      </c>
    </row>
    <row r="262" spans="1:4" x14ac:dyDescent="0.35">
      <c r="A262" s="57">
        <v>29373</v>
      </c>
      <c r="B262" s="58">
        <f>VLOOKUP(Table5345679103[[#This Row],[Date]],Database!A:E,MATCH($A$1,Database!$A$1:$E$1,),)</f>
        <v>40.966999999999999</v>
      </c>
      <c r="C262" s="8">
        <f t="shared" ref="C262:C325" si="4">(B262-B261)/B261</f>
        <v>6.3129452223040505E-3</v>
      </c>
      <c r="D262" s="7">
        <f>(Table5345679103[[#This Row],[Value]]-B250)/B250</f>
        <v>0.10524469864565898</v>
      </c>
    </row>
    <row r="263" spans="1:4" x14ac:dyDescent="0.35">
      <c r="A263" s="57">
        <v>29403</v>
      </c>
      <c r="B263" s="58">
        <f>VLOOKUP(Table5345679103[[#This Row],[Date]],Database!A:E,MATCH($A$1,Database!$A$1:$E$1,),)</f>
        <v>41.284999999999997</v>
      </c>
      <c r="C263" s="8">
        <f t="shared" si="4"/>
        <v>7.7623453023164465E-3</v>
      </c>
      <c r="D263" s="7">
        <f>(Table5345679103[[#This Row],[Value]]-B251)/B251</f>
        <v>0.10538434763982972</v>
      </c>
    </row>
    <row r="264" spans="1:4" x14ac:dyDescent="0.35">
      <c r="A264" s="57">
        <v>29434</v>
      </c>
      <c r="B264" s="58">
        <f>VLOOKUP(Table5345679103[[#This Row],[Date]],Database!A:E,MATCH($A$1,Database!$A$1:$E$1,),)</f>
        <v>41.628999999999998</v>
      </c>
      <c r="C264" s="8">
        <f t="shared" si="4"/>
        <v>8.3323240886520825E-3</v>
      </c>
      <c r="D264" s="7">
        <f>(Table5345679103[[#This Row],[Value]]-B252)/B252</f>
        <v>0.10612461804171648</v>
      </c>
    </row>
    <row r="265" spans="1:4" x14ac:dyDescent="0.35">
      <c r="A265" s="57">
        <v>29465</v>
      </c>
      <c r="B265" s="58">
        <f>VLOOKUP(Table5345679103[[#This Row],[Date]],Database!A:E,MATCH($A$1,Database!$A$1:$E$1,),)</f>
        <v>42.014000000000003</v>
      </c>
      <c r="C265" s="8">
        <f t="shared" si="4"/>
        <v>9.2483605179083123E-3</v>
      </c>
      <c r="D265" s="7">
        <f>(Table5345679103[[#This Row],[Value]]-B253)/B253</f>
        <v>0.10659256722943621</v>
      </c>
    </row>
    <row r="266" spans="1:4" x14ac:dyDescent="0.35">
      <c r="A266" s="57">
        <v>29495</v>
      </c>
      <c r="B266" s="58">
        <f>VLOOKUP(Table5345679103[[#This Row],[Date]],Database!A:E,MATCH($A$1,Database!$A$1:$E$1,),)</f>
        <v>42.350999999999999</v>
      </c>
      <c r="C266" s="8">
        <f t="shared" si="4"/>
        <v>8.0211358118721411E-3</v>
      </c>
      <c r="D266" s="7">
        <f>(Table5345679103[[#This Row],[Value]]-B254)/B254</f>
        <v>0.10646358031142218</v>
      </c>
    </row>
    <row r="267" spans="1:4" x14ac:dyDescent="0.35">
      <c r="A267" s="57">
        <v>29526</v>
      </c>
      <c r="B267" s="58">
        <f>VLOOKUP(Table5345679103[[#This Row],[Date]],Database!A:E,MATCH($A$1,Database!$A$1:$E$1,),)</f>
        <v>42.695999999999998</v>
      </c>
      <c r="C267" s="8">
        <f t="shared" si="4"/>
        <v>8.1462067011404422E-3</v>
      </c>
      <c r="D267" s="7">
        <f>(Table5345679103[[#This Row],[Value]]-B255)/B255</f>
        <v>0.1077785273208447</v>
      </c>
    </row>
    <row r="268" spans="1:4" x14ac:dyDescent="0.35">
      <c r="A268" s="57">
        <v>29556</v>
      </c>
      <c r="B268" s="58">
        <f>VLOOKUP(Table5345679103[[#This Row],[Date]],Database!A:E,MATCH($A$1,Database!$A$1:$E$1,),)</f>
        <v>42.972999999999999</v>
      </c>
      <c r="C268" s="8">
        <f t="shared" si="4"/>
        <v>6.4877271875585776E-3</v>
      </c>
      <c r="D268" s="7">
        <f>(Table5345679103[[#This Row],[Value]]-B256)/B256</f>
        <v>0.10567076622240518</v>
      </c>
    </row>
    <row r="269" spans="1:4" x14ac:dyDescent="0.35">
      <c r="A269" s="57">
        <v>29587</v>
      </c>
      <c r="B269" s="58">
        <f>VLOOKUP(Table5345679103[[#This Row],[Date]],Database!A:E,MATCH($A$1,Database!$A$1:$E$1,),)</f>
        <v>43.386000000000003</v>
      </c>
      <c r="C269" s="8">
        <f t="shared" si="4"/>
        <v>9.6106857794429953E-3</v>
      </c>
      <c r="D269" s="7">
        <f>(Table5345679103[[#This Row],[Value]]-B257)/B257</f>
        <v>0.10472843938583758</v>
      </c>
    </row>
    <row r="270" spans="1:4" x14ac:dyDescent="0.35">
      <c r="A270" s="57">
        <v>29618</v>
      </c>
      <c r="B270" s="58">
        <f>VLOOKUP(Table5345679103[[#This Row],[Date]],Database!A:E,MATCH($A$1,Database!$A$1:$E$1,),)</f>
        <v>43.825000000000003</v>
      </c>
      <c r="C270" s="8">
        <f t="shared" si="4"/>
        <v>1.0118471396302956E-2</v>
      </c>
      <c r="D270" s="7">
        <f>(Table5345679103[[#This Row],[Value]]-B258)/B258</f>
        <v>0.10393208896949557</v>
      </c>
    </row>
    <row r="271" spans="1:4" x14ac:dyDescent="0.35">
      <c r="A271" s="57">
        <v>29646</v>
      </c>
      <c r="B271" s="58">
        <f>VLOOKUP(Table5345679103[[#This Row],[Date]],Database!A:E,MATCH($A$1,Database!$A$1:$E$1,),)</f>
        <v>44.13</v>
      </c>
      <c r="C271" s="8">
        <f t="shared" si="4"/>
        <v>6.9594980034226967E-3</v>
      </c>
      <c r="D271" s="7">
        <f>(Table5345679103[[#This Row],[Value]]-B259)/B259</f>
        <v>9.8143632110685372E-2</v>
      </c>
    </row>
    <row r="272" spans="1:4" x14ac:dyDescent="0.35">
      <c r="A272" s="57">
        <v>29677</v>
      </c>
      <c r="B272" s="58">
        <f>VLOOKUP(Table5345679103[[#This Row],[Date]],Database!A:E,MATCH($A$1,Database!$A$1:$E$1,),)</f>
        <v>44.323</v>
      </c>
      <c r="C272" s="8">
        <f t="shared" si="4"/>
        <v>4.3734421028778113E-3</v>
      </c>
      <c r="D272" s="7">
        <f>(Table5345679103[[#This Row],[Value]]-B260)/B260</f>
        <v>9.7212595306465976E-2</v>
      </c>
    </row>
    <row r="273" spans="1:4" x14ac:dyDescent="0.35">
      <c r="A273" s="57">
        <v>29707</v>
      </c>
      <c r="B273" s="58">
        <f>VLOOKUP(Table5345679103[[#This Row],[Date]],Database!A:E,MATCH($A$1,Database!$A$1:$E$1,),)</f>
        <v>44.521999999999998</v>
      </c>
      <c r="C273" s="8">
        <f t="shared" si="4"/>
        <v>4.4897682918574574E-3</v>
      </c>
      <c r="D273" s="7">
        <f>(Table5345679103[[#This Row],[Value]]-B261)/B261</f>
        <v>9.3637926799312154E-2</v>
      </c>
    </row>
    <row r="274" spans="1:4" x14ac:dyDescent="0.35">
      <c r="A274" s="57">
        <v>29738</v>
      </c>
      <c r="B274" s="58">
        <f>VLOOKUP(Table5345679103[[#This Row],[Date]],Database!A:E,MATCH($A$1,Database!$A$1:$E$1,),)</f>
        <v>44.698999999999998</v>
      </c>
      <c r="C274" s="8">
        <f t="shared" si="4"/>
        <v>3.9755626431876284E-3</v>
      </c>
      <c r="D274" s="7">
        <f>(Table5345679103[[#This Row],[Value]]-B262)/B262</f>
        <v>9.1097712793223803E-2</v>
      </c>
    </row>
    <row r="275" spans="1:4" x14ac:dyDescent="0.35">
      <c r="A275" s="57">
        <v>29768</v>
      </c>
      <c r="B275" s="58">
        <f>VLOOKUP(Table5345679103[[#This Row],[Date]],Database!A:E,MATCH($A$1,Database!$A$1:$E$1,),)</f>
        <v>44.969000000000001</v>
      </c>
      <c r="C275" s="8">
        <f t="shared" si="4"/>
        <v>6.0404035884472395E-3</v>
      </c>
      <c r="D275" s="7">
        <f>(Table5345679103[[#This Row],[Value]]-B263)/B263</f>
        <v>8.9233377740099429E-2</v>
      </c>
    </row>
    <row r="276" spans="1:4" x14ac:dyDescent="0.35">
      <c r="A276" s="57">
        <v>29799</v>
      </c>
      <c r="B276" s="58">
        <f>VLOOKUP(Table5345679103[[#This Row],[Date]],Database!A:E,MATCH($A$1,Database!$A$1:$E$1,),)</f>
        <v>45.25</v>
      </c>
      <c r="C276" s="8">
        <f t="shared" si="4"/>
        <v>6.2487491382952429E-3</v>
      </c>
      <c r="D276" s="7">
        <f>(Table5345679103[[#This Row],[Value]]-B264)/B264</f>
        <v>8.6982632299598892E-2</v>
      </c>
    </row>
    <row r="277" spans="1:4" x14ac:dyDescent="0.35">
      <c r="A277" s="57">
        <v>29830</v>
      </c>
      <c r="B277" s="58">
        <f>VLOOKUP(Table5345679103[[#This Row],[Date]],Database!A:E,MATCH($A$1,Database!$A$1:$E$1,),)</f>
        <v>45.524000000000001</v>
      </c>
      <c r="C277" s="8">
        <f t="shared" si="4"/>
        <v>6.0552486187845506E-3</v>
      </c>
      <c r="D277" s="7">
        <f>(Table5345679103[[#This Row],[Value]]-B265)/B265</f>
        <v>8.3543580711191459E-2</v>
      </c>
    </row>
    <row r="278" spans="1:4" x14ac:dyDescent="0.35">
      <c r="A278" s="57">
        <v>29860</v>
      </c>
      <c r="B278" s="58">
        <f>VLOOKUP(Table5345679103[[#This Row],[Date]],Database!A:E,MATCH($A$1,Database!$A$1:$E$1,),)</f>
        <v>45.73</v>
      </c>
      <c r="C278" s="8">
        <f t="shared" si="4"/>
        <v>4.5250856690975299E-3</v>
      </c>
      <c r="D278" s="7">
        <f>(Table5345679103[[#This Row],[Value]]-B266)/B266</f>
        <v>7.9785601284503266E-2</v>
      </c>
    </row>
    <row r="279" spans="1:4" x14ac:dyDescent="0.35">
      <c r="A279" s="57">
        <v>29891</v>
      </c>
      <c r="B279" s="58">
        <f>VLOOKUP(Table5345679103[[#This Row],[Date]],Database!A:E,MATCH($A$1,Database!$A$1:$E$1,),)</f>
        <v>45.975999999999999</v>
      </c>
      <c r="C279" s="8">
        <f t="shared" si="4"/>
        <v>5.3794008309644053E-3</v>
      </c>
      <c r="D279" s="7">
        <f>(Table5345679103[[#This Row],[Value]]-B267)/B267</f>
        <v>7.6822184747985786E-2</v>
      </c>
    </row>
    <row r="280" spans="1:4" x14ac:dyDescent="0.35">
      <c r="A280" s="57">
        <v>29921</v>
      </c>
      <c r="B280" s="58">
        <f>VLOOKUP(Table5345679103[[#This Row],[Date]],Database!A:E,MATCH($A$1,Database!$A$1:$E$1,),)</f>
        <v>46.118000000000002</v>
      </c>
      <c r="C280" s="8">
        <f t="shared" si="4"/>
        <v>3.0885679484949323E-3</v>
      </c>
      <c r="D280" s="7">
        <f>(Table5345679103[[#This Row],[Value]]-B268)/B268</f>
        <v>7.3185488562585888E-2</v>
      </c>
    </row>
    <row r="281" spans="1:4" x14ac:dyDescent="0.35">
      <c r="A281" s="57">
        <v>29952</v>
      </c>
      <c r="B281" s="58">
        <f>VLOOKUP(Table5345679103[[#This Row],[Date]],Database!A:E,MATCH($A$1,Database!$A$1:$E$1,),)</f>
        <v>46.392000000000003</v>
      </c>
      <c r="C281" s="8">
        <f t="shared" si="4"/>
        <v>5.941281061624548E-3</v>
      </c>
      <c r="D281" s="7">
        <f>(Table5345679103[[#This Row],[Value]]-B269)/B269</f>
        <v>6.9285022818420694E-2</v>
      </c>
    </row>
    <row r="282" spans="1:4" x14ac:dyDescent="0.35">
      <c r="A282" s="57">
        <v>29983</v>
      </c>
      <c r="B282" s="58">
        <f>VLOOKUP(Table5345679103[[#This Row],[Date]],Database!A:E,MATCH($A$1,Database!$A$1:$E$1,),)</f>
        <v>46.530999999999999</v>
      </c>
      <c r="C282" s="8">
        <f t="shared" si="4"/>
        <v>2.9962062424555048E-3</v>
      </c>
      <c r="D282" s="7">
        <f>(Table5345679103[[#This Row],[Value]]-B270)/B270</f>
        <v>6.1745579007415764E-2</v>
      </c>
    </row>
    <row r="283" spans="1:4" x14ac:dyDescent="0.35">
      <c r="A283" s="57">
        <v>30011</v>
      </c>
      <c r="B283" s="58">
        <f>VLOOKUP(Table5345679103[[#This Row],[Date]],Database!A:E,MATCH($A$1,Database!$A$1:$E$1,),)</f>
        <v>46.651000000000003</v>
      </c>
      <c r="C283" s="8">
        <f t="shared" si="4"/>
        <v>2.5789258773721725E-3</v>
      </c>
      <c r="D283" s="7">
        <f>(Table5345679103[[#This Row],[Value]]-B271)/B271</f>
        <v>5.7126671198731035E-2</v>
      </c>
    </row>
    <row r="284" spans="1:4" x14ac:dyDescent="0.35">
      <c r="A284" s="57">
        <v>30042</v>
      </c>
      <c r="B284" s="58">
        <f>VLOOKUP(Table5345679103[[#This Row],[Date]],Database!A:E,MATCH($A$1,Database!$A$1:$E$1,),)</f>
        <v>46.674999999999997</v>
      </c>
      <c r="C284" s="8">
        <f t="shared" si="4"/>
        <v>5.1445842532837026E-4</v>
      </c>
      <c r="D284" s="7">
        <f>(Table5345679103[[#This Row],[Value]]-B272)/B272</f>
        <v>5.3065000112808174E-2</v>
      </c>
    </row>
    <row r="285" spans="1:4" x14ac:dyDescent="0.35">
      <c r="A285" s="57">
        <v>30072</v>
      </c>
      <c r="B285" s="58">
        <f>VLOOKUP(Table5345679103[[#This Row],[Date]],Database!A:E,MATCH($A$1,Database!$A$1:$E$1,),)</f>
        <v>46.951000000000001</v>
      </c>
      <c r="C285" s="8">
        <f t="shared" si="4"/>
        <v>5.9132297803964297E-3</v>
      </c>
      <c r="D285" s="7">
        <f>(Table5345679103[[#This Row],[Value]]-B273)/B273</f>
        <v>5.4557297515834914E-2</v>
      </c>
    </row>
    <row r="286" spans="1:4" x14ac:dyDescent="0.35">
      <c r="A286" s="57">
        <v>30103</v>
      </c>
      <c r="B286" s="58">
        <f>VLOOKUP(Table5345679103[[#This Row],[Date]],Database!A:E,MATCH($A$1,Database!$A$1:$E$1,),)</f>
        <v>47.292000000000002</v>
      </c>
      <c r="C286" s="8">
        <f t="shared" si="4"/>
        <v>7.2628910992311359E-3</v>
      </c>
      <c r="D286" s="7">
        <f>(Table5345679103[[#This Row],[Value]]-B274)/B274</f>
        <v>5.8010246314235299E-2</v>
      </c>
    </row>
    <row r="287" spans="1:4" x14ac:dyDescent="0.35">
      <c r="A287" s="57">
        <v>30133</v>
      </c>
      <c r="B287" s="58">
        <f>VLOOKUP(Table5345679103[[#This Row],[Date]],Database!A:E,MATCH($A$1,Database!$A$1:$E$1,),)</f>
        <v>47.572000000000003</v>
      </c>
      <c r="C287" s="8">
        <f t="shared" si="4"/>
        <v>5.9206631142688223E-3</v>
      </c>
      <c r="D287" s="7">
        <f>(Table5345679103[[#This Row],[Value]]-B275)/B275</f>
        <v>5.7884320309546607E-2</v>
      </c>
    </row>
    <row r="288" spans="1:4" x14ac:dyDescent="0.35">
      <c r="A288" s="57">
        <v>30164</v>
      </c>
      <c r="B288" s="58">
        <f>VLOOKUP(Table5345679103[[#This Row],[Date]],Database!A:E,MATCH($A$1,Database!$A$1:$E$1,),)</f>
        <v>47.72</v>
      </c>
      <c r="C288" s="8">
        <f t="shared" si="4"/>
        <v>3.1110737408558842E-3</v>
      </c>
      <c r="D288" s="7">
        <f>(Table5345679103[[#This Row],[Value]]-B276)/B276</f>
        <v>5.4585635359115994E-2</v>
      </c>
    </row>
    <row r="289" spans="1:4" x14ac:dyDescent="0.35">
      <c r="A289" s="57">
        <v>30195</v>
      </c>
      <c r="B289" s="58">
        <f>VLOOKUP(Table5345679103[[#This Row],[Date]],Database!A:E,MATCH($A$1,Database!$A$1:$E$1,),)</f>
        <v>47.851999999999997</v>
      </c>
      <c r="C289" s="8">
        <f t="shared" si="4"/>
        <v>2.7661357921206602E-3</v>
      </c>
      <c r="D289" s="7">
        <f>(Table5345679103[[#This Row],[Value]]-B277)/B277</f>
        <v>5.1137861347860379E-2</v>
      </c>
    </row>
    <row r="290" spans="1:4" x14ac:dyDescent="0.35">
      <c r="A290" s="57">
        <v>30225</v>
      </c>
      <c r="B290" s="58">
        <f>VLOOKUP(Table5345679103[[#This Row],[Date]],Database!A:E,MATCH($A$1,Database!$A$1:$E$1,),)</f>
        <v>48.121000000000002</v>
      </c>
      <c r="C290" s="9">
        <f t="shared" si="4"/>
        <v>5.6214996238402879E-3</v>
      </c>
      <c r="D290" s="7">
        <f>(Table5345679103[[#This Row],[Value]]-B278)/B278</f>
        <v>5.2285151979007335E-2</v>
      </c>
    </row>
    <row r="291" spans="1:4" x14ac:dyDescent="0.35">
      <c r="A291" s="57">
        <v>30256</v>
      </c>
      <c r="B291" s="58">
        <f>VLOOKUP(Table5345679103[[#This Row],[Date]],Database!A:E,MATCH($A$1,Database!$A$1:$E$1,),)</f>
        <v>48.265000000000001</v>
      </c>
      <c r="C291" s="9">
        <f t="shared" si="4"/>
        <v>2.9924565158662192E-3</v>
      </c>
      <c r="D291" s="7">
        <f>(Table5345679103[[#This Row],[Value]]-B279)/B279</f>
        <v>4.9786845310596864E-2</v>
      </c>
    </row>
    <row r="292" spans="1:4" x14ac:dyDescent="0.35">
      <c r="A292" s="57">
        <v>30286</v>
      </c>
      <c r="B292" s="58">
        <f>VLOOKUP(Table5345679103[[#This Row],[Date]],Database!A:E,MATCH($A$1,Database!$A$1:$E$1,),)</f>
        <v>48.338000000000001</v>
      </c>
      <c r="C292" s="9">
        <f t="shared" si="4"/>
        <v>1.5124831658551827E-3</v>
      </c>
      <c r="D292" s="7">
        <f>(Table5345679103[[#This Row],[Value]]-B280)/B280</f>
        <v>4.8137386703673159E-2</v>
      </c>
    </row>
    <row r="293" spans="1:4" x14ac:dyDescent="0.35">
      <c r="A293" s="57">
        <v>30317</v>
      </c>
      <c r="B293" s="58">
        <f>VLOOKUP(Table5345679103[[#This Row],[Date]],Database!A:E,MATCH($A$1,Database!$A$1:$E$1,),)</f>
        <v>48.564</v>
      </c>
      <c r="C293" s="9">
        <f t="shared" si="4"/>
        <v>4.6754106500061874E-3</v>
      </c>
      <c r="D293" s="7">
        <f>(Table5345679103[[#This Row],[Value]]-B281)/B281</f>
        <v>4.6818416968442765E-2</v>
      </c>
    </row>
    <row r="294" spans="1:4" x14ac:dyDescent="0.35">
      <c r="A294" s="57">
        <v>30348</v>
      </c>
      <c r="B294" s="58">
        <f>VLOOKUP(Table5345679103[[#This Row],[Date]],Database!A:E,MATCH($A$1,Database!$A$1:$E$1,),)</f>
        <v>48.646000000000001</v>
      </c>
      <c r="C294" s="9">
        <f t="shared" si="4"/>
        <v>1.6884935343052618E-3</v>
      </c>
      <c r="D294" s="7">
        <f>(Table5345679103[[#This Row],[Value]]-B282)/B282</f>
        <v>4.5453568588682859E-2</v>
      </c>
    </row>
    <row r="295" spans="1:4" x14ac:dyDescent="0.35">
      <c r="A295" s="57">
        <v>30376</v>
      </c>
      <c r="B295" s="58">
        <f>VLOOKUP(Table5345679103[[#This Row],[Date]],Database!A:E,MATCH($A$1,Database!$A$1:$E$1,),)</f>
        <v>48.709000000000003</v>
      </c>
      <c r="C295" s="9">
        <f t="shared" si="4"/>
        <v>1.2950705093944493E-3</v>
      </c>
      <c r="D295" s="7">
        <f>(Table5345679103[[#This Row],[Value]]-B283)/B283</f>
        <v>4.411480997191914E-2</v>
      </c>
    </row>
    <row r="296" spans="1:4" x14ac:dyDescent="0.35">
      <c r="A296" s="57">
        <v>30407</v>
      </c>
      <c r="B296" s="58">
        <f>VLOOKUP(Table5345679103[[#This Row],[Date]],Database!A:E,MATCH($A$1,Database!$A$1:$E$1,),)</f>
        <v>48.930999999999997</v>
      </c>
      <c r="C296" s="9">
        <f t="shared" si="4"/>
        <v>4.5576792789832309E-3</v>
      </c>
      <c r="D296" s="7">
        <f>(Table5345679103[[#This Row],[Value]]-B284)/B284</f>
        <v>4.8334226031065887E-2</v>
      </c>
    </row>
    <row r="297" spans="1:4" x14ac:dyDescent="0.35">
      <c r="A297" s="57">
        <v>30437</v>
      </c>
      <c r="B297" s="58">
        <f>VLOOKUP(Table5345679103[[#This Row],[Date]],Database!A:E,MATCH($A$1,Database!$A$1:$E$1,),)</f>
        <v>49.07</v>
      </c>
      <c r="C297" s="9">
        <f t="shared" si="4"/>
        <v>2.8407349124277637E-3</v>
      </c>
      <c r="D297" s="7">
        <f>(Table5345679103[[#This Row],[Value]]-B285)/B285</f>
        <v>4.5132159059444947E-2</v>
      </c>
    </row>
    <row r="298" spans="1:4" x14ac:dyDescent="0.35">
      <c r="A298" s="57">
        <v>30468</v>
      </c>
      <c r="B298" s="58">
        <f>VLOOKUP(Table5345679103[[#This Row],[Date]],Database!A:E,MATCH($A$1,Database!$A$1:$E$1,),)</f>
        <v>49.253</v>
      </c>
      <c r="C298" s="9">
        <f t="shared" si="4"/>
        <v>3.729366211534539E-3</v>
      </c>
      <c r="D298" s="7">
        <f>(Table5345679103[[#This Row],[Value]]-B286)/B286</f>
        <v>4.1465787025289656E-2</v>
      </c>
    </row>
    <row r="299" spans="1:4" x14ac:dyDescent="0.35">
      <c r="A299" s="57">
        <v>30498</v>
      </c>
      <c r="B299" s="58">
        <f>VLOOKUP(Table5345679103[[#This Row],[Date]],Database!A:E,MATCH($A$1,Database!$A$1:$E$1,),)</f>
        <v>49.53</v>
      </c>
      <c r="C299" s="9">
        <f t="shared" si="4"/>
        <v>5.624022902158265E-3</v>
      </c>
      <c r="D299" s="7">
        <f>(Table5345679103[[#This Row],[Value]]-B287)/B287</f>
        <v>4.1158664760783621E-2</v>
      </c>
    </row>
    <row r="300" spans="1:4" x14ac:dyDescent="0.35">
      <c r="A300" s="57">
        <v>30529</v>
      </c>
      <c r="B300" s="58">
        <f>VLOOKUP(Table5345679103[[#This Row],[Date]],Database!A:E,MATCH($A$1,Database!$A$1:$E$1,),)</f>
        <v>49.743000000000002</v>
      </c>
      <c r="C300" s="9">
        <f t="shared" si="4"/>
        <v>4.3004239854633752E-3</v>
      </c>
      <c r="D300" s="7">
        <f>(Table5345679103[[#This Row],[Value]]-B288)/B288</f>
        <v>4.2393126571668133E-2</v>
      </c>
    </row>
    <row r="301" spans="1:4" x14ac:dyDescent="0.35">
      <c r="A301" s="57">
        <v>30560</v>
      </c>
      <c r="B301" s="58">
        <f>VLOOKUP(Table5345679103[[#This Row],[Date]],Database!A:E,MATCH($A$1,Database!$A$1:$E$1,),)</f>
        <v>49.915999999999997</v>
      </c>
      <c r="C301" s="9">
        <f t="shared" si="4"/>
        <v>3.4778762841001691E-3</v>
      </c>
      <c r="D301" s="7">
        <f>(Table5345679103[[#This Row],[Value]]-B289)/B289</f>
        <v>4.3132993396305282E-2</v>
      </c>
    </row>
    <row r="302" spans="1:4" x14ac:dyDescent="0.35">
      <c r="A302" s="57">
        <v>30590</v>
      </c>
      <c r="B302" s="58">
        <f>VLOOKUP(Table5345679103[[#This Row],[Date]],Database!A:E,MATCH($A$1,Database!$A$1:$E$1,),)</f>
        <v>50.002000000000002</v>
      </c>
      <c r="C302" s="9">
        <f t="shared" si="4"/>
        <v>1.7228944626974444E-3</v>
      </c>
      <c r="D302" s="7">
        <f>(Table5345679103[[#This Row],[Value]]-B290)/B290</f>
        <v>3.9088963238502944E-2</v>
      </c>
    </row>
    <row r="303" spans="1:4" x14ac:dyDescent="0.35">
      <c r="A303" s="57">
        <v>30621</v>
      </c>
      <c r="B303" s="58">
        <f>VLOOKUP(Table5345679103[[#This Row],[Date]],Database!A:E,MATCH($A$1,Database!$A$1:$E$1,),)</f>
        <v>50.072000000000003</v>
      </c>
      <c r="C303" s="9">
        <f t="shared" si="4"/>
        <v>1.3999440022399161E-3</v>
      </c>
      <c r="D303" s="7">
        <f>(Table5345679103[[#This Row],[Value]]-B291)/B291</f>
        <v>3.7439138091784979E-2</v>
      </c>
    </row>
    <row r="304" spans="1:4" x14ac:dyDescent="0.35">
      <c r="A304" s="57">
        <v>30651</v>
      </c>
      <c r="B304" s="58">
        <f>VLOOKUP(Table5345679103[[#This Row],[Date]],Database!A:E,MATCH($A$1,Database!$A$1:$E$1,),)</f>
        <v>50.1</v>
      </c>
      <c r="C304" s="9">
        <f t="shared" si="4"/>
        <v>5.5919475954622729E-4</v>
      </c>
      <c r="D304" s="7">
        <f>(Table5345679103[[#This Row],[Value]]-B292)/B292</f>
        <v>3.6451652943853705E-2</v>
      </c>
    </row>
    <row r="305" spans="1:4" x14ac:dyDescent="0.35">
      <c r="A305" s="57">
        <v>30682</v>
      </c>
      <c r="B305" s="58">
        <f>VLOOKUP(Table5345679103[[#This Row],[Date]],Database!A:E,MATCH($A$1,Database!$A$1:$E$1,),)</f>
        <v>50.317999999999998</v>
      </c>
      <c r="C305" s="9">
        <f t="shared" si="4"/>
        <v>4.3512974051895491E-3</v>
      </c>
      <c r="D305" s="7">
        <f>(Table5345679103[[#This Row],[Value]]-B293)/B293</f>
        <v>3.6117288526480475E-2</v>
      </c>
    </row>
    <row r="306" spans="1:4" x14ac:dyDescent="0.35">
      <c r="A306" s="57">
        <v>30713</v>
      </c>
      <c r="B306" s="58">
        <f>VLOOKUP(Table5345679103[[#This Row],[Date]],Database!A:E,MATCH($A$1,Database!$A$1:$E$1,),)</f>
        <v>50.655999999999999</v>
      </c>
      <c r="C306" s="9">
        <f t="shared" si="4"/>
        <v>6.7172781112127067E-3</v>
      </c>
      <c r="D306" s="7">
        <f>(Table5345679103[[#This Row],[Value]]-B294)/B294</f>
        <v>4.131891625210702E-2</v>
      </c>
    </row>
    <row r="307" spans="1:4" x14ac:dyDescent="0.35">
      <c r="A307" s="57">
        <v>30742</v>
      </c>
      <c r="B307" s="58">
        <f>VLOOKUP(Table5345679103[[#This Row],[Date]],Database!A:E,MATCH($A$1,Database!$A$1:$E$1,),)</f>
        <v>50.823</v>
      </c>
      <c r="C307" s="9">
        <f t="shared" si="4"/>
        <v>3.2967466835123497E-3</v>
      </c>
      <c r="D307" s="7">
        <f>(Table5345679103[[#This Row],[Value]]-B295)/B295</f>
        <v>4.3400603584553103E-2</v>
      </c>
    </row>
    <row r="308" spans="1:4" x14ac:dyDescent="0.35">
      <c r="A308" s="57">
        <v>30773</v>
      </c>
      <c r="B308" s="58">
        <f>VLOOKUP(Table5345679103[[#This Row],[Date]],Database!A:E,MATCH($A$1,Database!$A$1:$E$1,),)</f>
        <v>51.015999999999998</v>
      </c>
      <c r="C308" s="9">
        <f t="shared" si="4"/>
        <v>3.797493260925129E-3</v>
      </c>
      <c r="D308" s="7">
        <f>(Table5345679103[[#This Row],[Value]]-B296)/B296</f>
        <v>4.2611023686415582E-2</v>
      </c>
    </row>
    <row r="309" spans="1:4" x14ac:dyDescent="0.35">
      <c r="A309" s="57">
        <v>30803</v>
      </c>
      <c r="B309" s="58">
        <f>VLOOKUP(Table5345679103[[#This Row],[Date]],Database!A:E,MATCH($A$1,Database!$A$1:$E$1,),)</f>
        <v>51.08</v>
      </c>
      <c r="C309" s="9">
        <f t="shared" si="4"/>
        <v>1.254508389524856E-3</v>
      </c>
      <c r="D309" s="7">
        <f>(Table5345679103[[#This Row],[Value]]-B297)/B297</f>
        <v>4.0961891175871165E-2</v>
      </c>
    </row>
    <row r="310" spans="1:4" x14ac:dyDescent="0.35">
      <c r="A310" s="57">
        <v>30834</v>
      </c>
      <c r="B310" s="58">
        <f>VLOOKUP(Table5345679103[[#This Row],[Date]],Database!A:E,MATCH($A$1,Database!$A$1:$E$1,),)</f>
        <v>51.170999999999999</v>
      </c>
      <c r="C310" s="9">
        <f t="shared" si="4"/>
        <v>1.7815191855912506E-3</v>
      </c>
      <c r="D310" s="7">
        <f>(Table5345679103[[#This Row],[Value]]-B298)/B298</f>
        <v>3.894179034779606E-2</v>
      </c>
    </row>
    <row r="311" spans="1:4" x14ac:dyDescent="0.35">
      <c r="A311" s="57">
        <v>30864</v>
      </c>
      <c r="B311" s="58">
        <f>VLOOKUP(Table5345679103[[#This Row],[Date]],Database!A:E,MATCH($A$1,Database!$A$1:$E$1,),)</f>
        <v>51.353999999999999</v>
      </c>
      <c r="C311" s="9">
        <f t="shared" si="4"/>
        <v>3.5762443571554169E-3</v>
      </c>
      <c r="D311" s="7">
        <f>(Table5345679103[[#This Row],[Value]]-B299)/B299</f>
        <v>3.6826165960024186E-2</v>
      </c>
    </row>
    <row r="312" spans="1:4" x14ac:dyDescent="0.35">
      <c r="A312" s="57">
        <v>30895</v>
      </c>
      <c r="B312" s="58">
        <f>VLOOKUP(Table5345679103[[#This Row],[Date]],Database!A:E,MATCH($A$1,Database!$A$1:$E$1,),)</f>
        <v>51.512</v>
      </c>
      <c r="C312" s="9">
        <f t="shared" si="4"/>
        <v>3.076683413171345E-3</v>
      </c>
      <c r="D312" s="7">
        <f>(Table5345679103[[#This Row],[Value]]-B300)/B300</f>
        <v>3.5562792754759431E-2</v>
      </c>
    </row>
    <row r="313" spans="1:4" x14ac:dyDescent="0.35">
      <c r="A313" s="57">
        <v>30926</v>
      </c>
      <c r="B313" s="58">
        <f>VLOOKUP(Table5345679103[[#This Row],[Date]],Database!A:E,MATCH($A$1,Database!$A$1:$E$1,),)</f>
        <v>51.582000000000001</v>
      </c>
      <c r="C313" s="9">
        <f t="shared" si="4"/>
        <v>1.3589066625252424E-3</v>
      </c>
      <c r="D313" s="7">
        <f>(Table5345679103[[#This Row],[Value]]-B301)/B301</f>
        <v>3.3376071800625129E-2</v>
      </c>
    </row>
    <row r="314" spans="1:4" x14ac:dyDescent="0.35">
      <c r="A314" s="57">
        <v>30956</v>
      </c>
      <c r="B314" s="58">
        <f>VLOOKUP(Table5345679103[[#This Row],[Date]],Database!A:E,MATCH($A$1,Database!$A$1:$E$1,),)</f>
        <v>51.704000000000001</v>
      </c>
      <c r="C314" s="9">
        <f t="shared" si="4"/>
        <v>2.3651661432282558E-3</v>
      </c>
      <c r="D314" s="7">
        <f>(Table5345679103[[#This Row],[Value]]-B302)/B302</f>
        <v>3.4038638454461784E-2</v>
      </c>
    </row>
    <row r="315" spans="1:4" x14ac:dyDescent="0.35">
      <c r="A315" s="57">
        <v>30987</v>
      </c>
      <c r="B315" s="58">
        <f>VLOOKUP(Table5345679103[[#This Row],[Date]],Database!A:E,MATCH($A$1,Database!$A$1:$E$1,),)</f>
        <v>51.776000000000003</v>
      </c>
      <c r="C315" s="9">
        <f t="shared" si="4"/>
        <v>1.3925421630822128E-3</v>
      </c>
      <c r="D315" s="7">
        <f>(Table5345679103[[#This Row],[Value]]-B303)/B303</f>
        <v>3.4030995366672E-2</v>
      </c>
    </row>
    <row r="316" spans="1:4" x14ac:dyDescent="0.35">
      <c r="A316" s="57">
        <v>31017</v>
      </c>
      <c r="B316" s="58">
        <f>VLOOKUP(Table5345679103[[#This Row],[Date]],Database!A:E,MATCH($A$1,Database!$A$1:$E$1,),)</f>
        <v>51.921999999999997</v>
      </c>
      <c r="C316" s="9">
        <f t="shared" si="4"/>
        <v>2.8198393077872698E-3</v>
      </c>
      <c r="D316" s="7">
        <f>(Table5345679103[[#This Row],[Value]]-B304)/B304</f>
        <v>3.6367265469061785E-2</v>
      </c>
    </row>
    <row r="317" spans="1:4" x14ac:dyDescent="0.35">
      <c r="A317" s="57">
        <v>31048</v>
      </c>
      <c r="B317" s="58">
        <f>VLOOKUP(Table5345679103[[#This Row],[Date]],Database!A:E,MATCH($A$1,Database!$A$1:$E$1,),)</f>
        <v>52.182000000000002</v>
      </c>
      <c r="C317" s="9">
        <f t="shared" si="4"/>
        <v>5.0075112669004497E-3</v>
      </c>
      <c r="D317" s="7">
        <f>(Table5345679103[[#This Row],[Value]]-B305)/B305</f>
        <v>3.7044397631066504E-2</v>
      </c>
    </row>
    <row r="318" spans="1:4" x14ac:dyDescent="0.35">
      <c r="A318" s="57">
        <v>31079</v>
      </c>
      <c r="B318" s="58">
        <f>VLOOKUP(Table5345679103[[#This Row],[Date]],Database!A:E,MATCH($A$1,Database!$A$1:$E$1,),)</f>
        <v>52.423999999999999</v>
      </c>
      <c r="C318" s="9">
        <f t="shared" si="4"/>
        <v>4.6376145030853034E-3</v>
      </c>
      <c r="D318" s="7">
        <f>(Table5345679103[[#This Row],[Value]]-B306)/B306</f>
        <v>3.4902084649399888E-2</v>
      </c>
    </row>
    <row r="319" spans="1:4" x14ac:dyDescent="0.35">
      <c r="A319" s="57">
        <v>31107</v>
      </c>
      <c r="B319" s="58">
        <f>VLOOKUP(Table5345679103[[#This Row],[Date]],Database!A:E,MATCH($A$1,Database!$A$1:$E$1,),)</f>
        <v>52.628999999999998</v>
      </c>
      <c r="C319" s="9">
        <f t="shared" si="4"/>
        <v>3.9104227071569946E-3</v>
      </c>
      <c r="D319" s="7">
        <f>(Table5345679103[[#This Row],[Value]]-B307)/B307</f>
        <v>3.5535092379434453E-2</v>
      </c>
    </row>
    <row r="320" spans="1:4" x14ac:dyDescent="0.35">
      <c r="A320" s="57">
        <v>31138</v>
      </c>
      <c r="B320" s="58">
        <f>VLOOKUP(Table5345679103[[#This Row],[Date]],Database!A:E,MATCH($A$1,Database!$A$1:$E$1,),)</f>
        <v>52.706000000000003</v>
      </c>
      <c r="C320" s="9">
        <f t="shared" si="4"/>
        <v>1.4630716905129357E-3</v>
      </c>
      <c r="D320" s="7">
        <f>(Table5345679103[[#This Row],[Value]]-B308)/B308</f>
        <v>3.3126862160890794E-2</v>
      </c>
    </row>
    <row r="321" spans="1:4" x14ac:dyDescent="0.35">
      <c r="A321" s="57">
        <v>31168</v>
      </c>
      <c r="B321" s="58">
        <f>VLOOKUP(Table5345679103[[#This Row],[Date]],Database!A:E,MATCH($A$1,Database!$A$1:$E$1,),)</f>
        <v>52.831000000000003</v>
      </c>
      <c r="C321" s="9">
        <f t="shared" si="4"/>
        <v>2.3716464918605092E-3</v>
      </c>
      <c r="D321" s="7">
        <f>(Table5345679103[[#This Row],[Value]]-B309)/B309</f>
        <v>3.4279561472200563E-2</v>
      </c>
    </row>
    <row r="322" spans="1:4" x14ac:dyDescent="0.35">
      <c r="A322" s="57">
        <v>31199</v>
      </c>
      <c r="B322" s="58">
        <f>VLOOKUP(Table5345679103[[#This Row],[Date]],Database!A:E,MATCH($A$1,Database!$A$1:$E$1,),)</f>
        <v>52.973999999999997</v>
      </c>
      <c r="C322" s="9">
        <f t="shared" si="4"/>
        <v>2.7067441464290582E-3</v>
      </c>
      <c r="D322" s="7">
        <f>(Table5345679103[[#This Row],[Value]]-B310)/B310</f>
        <v>3.5234800961482036E-2</v>
      </c>
    </row>
    <row r="323" spans="1:4" x14ac:dyDescent="0.35">
      <c r="A323" s="57">
        <v>31229</v>
      </c>
      <c r="B323" s="58">
        <f>VLOOKUP(Table5345679103[[#This Row],[Date]],Database!A:E,MATCH($A$1,Database!$A$1:$E$1,),)</f>
        <v>53.103999999999999</v>
      </c>
      <c r="C323" s="9">
        <f t="shared" si="4"/>
        <v>2.4540340544418502E-3</v>
      </c>
      <c r="D323" s="7">
        <f>(Table5345679103[[#This Row],[Value]]-B311)/B311</f>
        <v>3.4077189702846906E-2</v>
      </c>
    </row>
    <row r="324" spans="1:4" x14ac:dyDescent="0.35">
      <c r="A324" s="57">
        <v>31260</v>
      </c>
      <c r="B324" s="58">
        <f>VLOOKUP(Table5345679103[[#This Row],[Date]],Database!A:E,MATCH($A$1,Database!$A$1:$E$1,),)</f>
        <v>53.28</v>
      </c>
      <c r="C324" s="9">
        <f t="shared" si="4"/>
        <v>3.3142512805062131E-3</v>
      </c>
      <c r="D324" s="7">
        <f>(Table5345679103[[#This Row],[Value]]-B312)/B312</f>
        <v>3.4322099704923135E-2</v>
      </c>
    </row>
    <row r="325" spans="1:4" x14ac:dyDescent="0.35">
      <c r="A325" s="57">
        <v>31291</v>
      </c>
      <c r="B325" s="58">
        <f>VLOOKUP(Table5345679103[[#This Row],[Date]],Database!A:E,MATCH($A$1,Database!$A$1:$E$1,),)</f>
        <v>53.37</v>
      </c>
      <c r="C325" s="9">
        <f t="shared" si="4"/>
        <v>1.6891891891891199E-3</v>
      </c>
      <c r="D325" s="7">
        <f>(Table5345679103[[#This Row],[Value]]-B313)/B313</f>
        <v>3.4663254623705876E-2</v>
      </c>
    </row>
    <row r="326" spans="1:4" x14ac:dyDescent="0.35">
      <c r="A326" s="57">
        <v>31321</v>
      </c>
      <c r="B326" s="58">
        <f>VLOOKUP(Table5345679103[[#This Row],[Date]],Database!A:E,MATCH($A$1,Database!$A$1:$E$1,),)</f>
        <v>53.459000000000003</v>
      </c>
      <c r="C326" s="9">
        <f t="shared" ref="C326:C389" si="5">(B326-B325)/B325</f>
        <v>1.6676035225783351E-3</v>
      </c>
      <c r="D326" s="7">
        <f>(Table5345679103[[#This Row],[Value]]-B314)/B314</f>
        <v>3.39432152251277E-2</v>
      </c>
    </row>
    <row r="327" spans="1:4" x14ac:dyDescent="0.35">
      <c r="A327" s="57">
        <v>31352</v>
      </c>
      <c r="B327" s="58">
        <f>VLOOKUP(Table5345679103[[#This Row],[Date]],Database!A:E,MATCH($A$1,Database!$A$1:$E$1,),)</f>
        <v>53.613999999999997</v>
      </c>
      <c r="C327" s="9">
        <f t="shared" si="5"/>
        <v>2.8994182457583199E-3</v>
      </c>
      <c r="D327" s="7">
        <f>(Table5345679103[[#This Row],[Value]]-B315)/B315</f>
        <v>3.5499072929542526E-2</v>
      </c>
    </row>
    <row r="328" spans="1:4" x14ac:dyDescent="0.35">
      <c r="A328" s="57">
        <v>31382</v>
      </c>
      <c r="B328" s="58">
        <f>VLOOKUP(Table5345679103[[#This Row],[Date]],Database!A:E,MATCH($A$1,Database!$A$1:$E$1,),)</f>
        <v>53.795000000000002</v>
      </c>
      <c r="C328" s="9">
        <f t="shared" si="5"/>
        <v>3.3759838848062911E-3</v>
      </c>
      <c r="D328" s="7">
        <f>(Table5345679103[[#This Row],[Value]]-B316)/B316</f>
        <v>3.6073340780401461E-2</v>
      </c>
    </row>
    <row r="329" spans="1:4" x14ac:dyDescent="0.35">
      <c r="A329" s="57">
        <v>31413</v>
      </c>
      <c r="B329" s="58">
        <f>VLOOKUP(Table5345679103[[#This Row],[Date]],Database!A:E,MATCH($A$1,Database!$A$1:$E$1,),)</f>
        <v>54.042000000000002</v>
      </c>
      <c r="C329" s="9">
        <f t="shared" si="5"/>
        <v>4.591504786690211E-3</v>
      </c>
      <c r="D329" s="7">
        <f>(Table5345679103[[#This Row],[Value]]-B317)/B317</f>
        <v>3.56444751063585E-2</v>
      </c>
    </row>
    <row r="330" spans="1:4" x14ac:dyDescent="0.35">
      <c r="A330" s="57">
        <v>31444</v>
      </c>
      <c r="B330" s="58">
        <f>VLOOKUP(Table5345679103[[#This Row],[Date]],Database!A:E,MATCH($A$1,Database!$A$1:$E$1,),)</f>
        <v>54.042000000000002</v>
      </c>
      <c r="C330" s="9">
        <f t="shared" si="5"/>
        <v>0</v>
      </c>
      <c r="D330" s="7">
        <f>(Table5345679103[[#This Row],[Value]]-B318)/B318</f>
        <v>3.0863726537463797E-2</v>
      </c>
    </row>
    <row r="331" spans="1:4" x14ac:dyDescent="0.35">
      <c r="A331" s="57">
        <v>31472</v>
      </c>
      <c r="B331" s="58">
        <f>VLOOKUP(Table5345679103[[#This Row],[Date]],Database!A:E,MATCH($A$1,Database!$A$1:$E$1,),)</f>
        <v>53.923999999999999</v>
      </c>
      <c r="C331" s="9">
        <f t="shared" si="5"/>
        <v>-2.1834869175826597E-3</v>
      </c>
      <c r="D331" s="7">
        <f>(Table5345679103[[#This Row],[Value]]-B319)/B319</f>
        <v>2.4606205704079533E-2</v>
      </c>
    </row>
    <row r="332" spans="1:4" x14ac:dyDescent="0.35">
      <c r="A332" s="57">
        <v>31503</v>
      </c>
      <c r="B332" s="58">
        <f>VLOOKUP(Table5345679103[[#This Row],[Date]],Database!A:E,MATCH($A$1,Database!$A$1:$E$1,),)</f>
        <v>53.813000000000002</v>
      </c>
      <c r="C332" s="9">
        <f t="shared" si="5"/>
        <v>-2.0584526370446758E-3</v>
      </c>
      <c r="D332" s="7">
        <f>(Table5345679103[[#This Row],[Value]]-B320)/B320</f>
        <v>2.1003301331916656E-2</v>
      </c>
    </row>
    <row r="333" spans="1:4" x14ac:dyDescent="0.35">
      <c r="A333" s="57">
        <v>31533</v>
      </c>
      <c r="B333" s="58">
        <f>VLOOKUP(Table5345679103[[#This Row],[Date]],Database!A:E,MATCH($A$1,Database!$A$1:$E$1,),)</f>
        <v>53.911999999999999</v>
      </c>
      <c r="C333" s="9">
        <f t="shared" si="5"/>
        <v>1.8397041607046E-3</v>
      </c>
      <c r="D333" s="7">
        <f>(Table5345679103[[#This Row],[Value]]-B321)/B321</f>
        <v>2.0461471484544982E-2</v>
      </c>
    </row>
    <row r="334" spans="1:4" x14ac:dyDescent="0.35">
      <c r="A334" s="57">
        <v>31564</v>
      </c>
      <c r="B334" s="58">
        <f>VLOOKUP(Table5345679103[[#This Row],[Date]],Database!A:E,MATCH($A$1,Database!$A$1:$E$1,),)</f>
        <v>54.112000000000002</v>
      </c>
      <c r="C334" s="9">
        <f t="shared" si="5"/>
        <v>3.7097492209527162E-3</v>
      </c>
      <c r="D334" s="7">
        <f>(Table5345679103[[#This Row],[Value]]-B322)/B322</f>
        <v>2.1482236568882949E-2</v>
      </c>
    </row>
    <row r="335" spans="1:4" x14ac:dyDescent="0.35">
      <c r="A335" s="57">
        <v>31594</v>
      </c>
      <c r="B335" s="58">
        <f>VLOOKUP(Table5345679103[[#This Row],[Date]],Database!A:E,MATCH($A$1,Database!$A$1:$E$1,),)</f>
        <v>54.125999999999998</v>
      </c>
      <c r="C335" s="9">
        <f t="shared" si="5"/>
        <v>2.5872264931985127E-4</v>
      </c>
      <c r="D335" s="7">
        <f>(Table5345679103[[#This Row],[Value]]-B323)/B323</f>
        <v>1.9245254594757427E-2</v>
      </c>
    </row>
    <row r="336" spans="1:4" x14ac:dyDescent="0.35">
      <c r="A336" s="57">
        <v>31625</v>
      </c>
      <c r="B336" s="58">
        <f>VLOOKUP(Table5345679103[[#This Row],[Date]],Database!A:E,MATCH($A$1,Database!$A$1:$E$1,),)</f>
        <v>54.194000000000003</v>
      </c>
      <c r="C336" s="9">
        <f t="shared" si="5"/>
        <v>1.2563278276614741E-3</v>
      </c>
      <c r="D336" s="7">
        <f>(Table5345679103[[#This Row],[Value]]-B324)/B324</f>
        <v>1.7154654654654683E-2</v>
      </c>
    </row>
    <row r="337" spans="1:4" x14ac:dyDescent="0.35">
      <c r="A337" s="57">
        <v>31656</v>
      </c>
      <c r="B337" s="58">
        <f>VLOOKUP(Table5345679103[[#This Row],[Date]],Database!A:E,MATCH($A$1,Database!$A$1:$E$1,),)</f>
        <v>54.371000000000002</v>
      </c>
      <c r="C337" s="9">
        <f t="shared" si="5"/>
        <v>3.266044211536325E-3</v>
      </c>
      <c r="D337" s="7">
        <f>(Table5345679103[[#This Row],[Value]]-B325)/B325</f>
        <v>1.8755855349447344E-2</v>
      </c>
    </row>
    <row r="338" spans="1:4" x14ac:dyDescent="0.35">
      <c r="A338" s="57">
        <v>31686</v>
      </c>
      <c r="B338" s="58">
        <f>VLOOKUP(Table5345679103[[#This Row],[Date]],Database!A:E,MATCH($A$1,Database!$A$1:$E$1,),)</f>
        <v>54.469000000000001</v>
      </c>
      <c r="C338" s="9">
        <f t="shared" si="5"/>
        <v>1.8024314432325867E-3</v>
      </c>
      <c r="D338" s="7">
        <f>(Table5345679103[[#This Row],[Value]]-B326)/B326</f>
        <v>1.8892983407845225E-2</v>
      </c>
    </row>
    <row r="339" spans="1:4" x14ac:dyDescent="0.35">
      <c r="A339" s="57">
        <v>31717</v>
      </c>
      <c r="B339" s="58">
        <f>VLOOKUP(Table5345679103[[#This Row],[Date]],Database!A:E,MATCH($A$1,Database!$A$1:$E$1,),)</f>
        <v>54.566000000000003</v>
      </c>
      <c r="C339" s="9">
        <f t="shared" si="5"/>
        <v>1.7808294626301439E-3</v>
      </c>
      <c r="D339" s="7">
        <f>(Table5345679103[[#This Row],[Value]]-B327)/B327</f>
        <v>1.7756556123400703E-2</v>
      </c>
    </row>
    <row r="340" spans="1:4" x14ac:dyDescent="0.35">
      <c r="A340" s="57">
        <v>31747</v>
      </c>
      <c r="B340" s="58">
        <f>VLOOKUP(Table5345679103[[#This Row],[Date]],Database!A:E,MATCH($A$1,Database!$A$1:$E$1,),)</f>
        <v>54.64</v>
      </c>
      <c r="C340" s="9">
        <f t="shared" si="5"/>
        <v>1.356155847963898E-3</v>
      </c>
      <c r="D340" s="7">
        <f>(Table5345679103[[#This Row],[Value]]-B328)/B328</f>
        <v>1.5707779533413863E-2</v>
      </c>
    </row>
    <row r="341" spans="1:4" x14ac:dyDescent="0.35">
      <c r="A341" s="57">
        <v>31778</v>
      </c>
      <c r="B341" s="58">
        <f>VLOOKUP(Table5345679103[[#This Row],[Date]],Database!A:E,MATCH($A$1,Database!$A$1:$E$1,),)</f>
        <v>54.895000000000003</v>
      </c>
      <c r="C341" s="9">
        <f t="shared" si="5"/>
        <v>4.6669106881406033E-3</v>
      </c>
      <c r="D341" s="7">
        <f>(Table5345679103[[#This Row],[Value]]-B329)/B329</f>
        <v>1.5784019836423552E-2</v>
      </c>
    </row>
    <row r="342" spans="1:4" x14ac:dyDescent="0.35">
      <c r="A342" s="57">
        <v>31809</v>
      </c>
      <c r="B342" s="58">
        <f>VLOOKUP(Table5345679103[[#This Row],[Date]],Database!A:E,MATCH($A$1,Database!$A$1:$E$1,),)</f>
        <v>55.088000000000001</v>
      </c>
      <c r="C342" s="9">
        <f t="shared" si="5"/>
        <v>3.5158028964386162E-3</v>
      </c>
      <c r="D342" s="7">
        <f>(Table5345679103[[#This Row],[Value]]-B330)/B330</f>
        <v>1.935531623552051E-2</v>
      </c>
    </row>
    <row r="343" spans="1:4" x14ac:dyDescent="0.35">
      <c r="A343" s="57">
        <v>31837</v>
      </c>
      <c r="B343" s="58">
        <f>VLOOKUP(Table5345679103[[#This Row],[Date]],Database!A:E,MATCH($A$1,Database!$A$1:$E$1,),)</f>
        <v>55.232999999999997</v>
      </c>
      <c r="C343" s="9">
        <f t="shared" si="5"/>
        <v>2.6321521928549959E-3</v>
      </c>
      <c r="D343" s="7">
        <f>(Table5345679103[[#This Row],[Value]]-B331)/B331</f>
        <v>2.4274905422446359E-2</v>
      </c>
    </row>
    <row r="344" spans="1:4" x14ac:dyDescent="0.35">
      <c r="A344" s="57">
        <v>31868</v>
      </c>
      <c r="B344" s="58">
        <f>VLOOKUP(Table5345679103[[#This Row],[Date]],Database!A:E,MATCH($A$1,Database!$A$1:$E$1,),)</f>
        <v>55.439</v>
      </c>
      <c r="C344" s="9">
        <f t="shared" si="5"/>
        <v>3.7296543732913854E-3</v>
      </c>
      <c r="D344" s="7">
        <f>(Table5345679103[[#This Row],[Value]]-B332)/B332</f>
        <v>3.0215747124300776E-2</v>
      </c>
    </row>
    <row r="345" spans="1:4" x14ac:dyDescent="0.35">
      <c r="A345" s="57">
        <v>31898</v>
      </c>
      <c r="B345" s="58">
        <f>VLOOKUP(Table5345679103[[#This Row],[Date]],Database!A:E,MATCH($A$1,Database!$A$1:$E$1,),)</f>
        <v>55.58</v>
      </c>
      <c r="C345" s="9">
        <f t="shared" si="5"/>
        <v>2.5433359187575218E-3</v>
      </c>
      <c r="D345" s="7">
        <f>(Table5345679103[[#This Row],[Value]]-B333)/B333</f>
        <v>3.0939308502745202E-2</v>
      </c>
    </row>
    <row r="346" spans="1:4" x14ac:dyDescent="0.35">
      <c r="A346" s="57">
        <v>31929</v>
      </c>
      <c r="B346" s="58">
        <f>VLOOKUP(Table5345679103[[#This Row],[Date]],Database!A:E,MATCH($A$1,Database!$A$1:$E$1,),)</f>
        <v>55.790999999999997</v>
      </c>
      <c r="C346" s="9">
        <f t="shared" si="5"/>
        <v>3.7963296149693868E-3</v>
      </c>
      <c r="D346" s="7">
        <f>(Table5345679103[[#This Row],[Value]]-B334)/B334</f>
        <v>3.1028237729154251E-2</v>
      </c>
    </row>
    <row r="347" spans="1:4" x14ac:dyDescent="0.35">
      <c r="A347" s="57">
        <v>31959</v>
      </c>
      <c r="B347" s="58">
        <f>VLOOKUP(Table5345679103[[#This Row],[Date]],Database!A:E,MATCH($A$1,Database!$A$1:$E$1,),)</f>
        <v>55.918999999999997</v>
      </c>
      <c r="C347" s="9">
        <f t="shared" si="5"/>
        <v>2.2942768546898268E-3</v>
      </c>
      <c r="D347" s="7">
        <f>(Table5345679103[[#This Row],[Value]]-B335)/B335</f>
        <v>3.3126408749953797E-2</v>
      </c>
    </row>
    <row r="348" spans="1:4" x14ac:dyDescent="0.35">
      <c r="A348" s="57">
        <v>31990</v>
      </c>
      <c r="B348" s="58">
        <f>VLOOKUP(Table5345679103[[#This Row],[Date]],Database!A:E,MATCH($A$1,Database!$A$1:$E$1,),)</f>
        <v>56.14</v>
      </c>
      <c r="C348" s="9">
        <f t="shared" si="5"/>
        <v>3.9521450669719356E-3</v>
      </c>
      <c r="D348" s="7">
        <f>(Table5345679103[[#This Row],[Value]]-B336)/B336</f>
        <v>3.5908034099715797E-2</v>
      </c>
    </row>
    <row r="349" spans="1:4" x14ac:dyDescent="0.35">
      <c r="A349" s="57">
        <v>32021</v>
      </c>
      <c r="B349" s="58">
        <f>VLOOKUP(Table5345679103[[#This Row],[Date]],Database!A:E,MATCH($A$1,Database!$A$1:$E$1,),)</f>
        <v>56.329000000000001</v>
      </c>
      <c r="C349" s="9">
        <f t="shared" si="5"/>
        <v>3.366583541147133E-3</v>
      </c>
      <c r="D349" s="7">
        <f>(Table5345679103[[#This Row],[Value]]-B337)/B337</f>
        <v>3.6011844549484071E-2</v>
      </c>
    </row>
    <row r="350" spans="1:4" x14ac:dyDescent="0.35">
      <c r="A350" s="57">
        <v>32051</v>
      </c>
      <c r="B350" s="58">
        <f>VLOOKUP(Table5345679103[[#This Row],[Date]],Database!A:E,MATCH($A$1,Database!$A$1:$E$1,),)</f>
        <v>56.508000000000003</v>
      </c>
      <c r="C350" s="9">
        <f t="shared" si="5"/>
        <v>3.1777592359175919E-3</v>
      </c>
      <c r="D350" s="7">
        <f>(Table5345679103[[#This Row],[Value]]-B338)/B338</f>
        <v>3.7434136848482652E-2</v>
      </c>
    </row>
    <row r="351" spans="1:4" x14ac:dyDescent="0.35">
      <c r="A351" s="57">
        <v>32082</v>
      </c>
      <c r="B351" s="58">
        <f>VLOOKUP(Table5345679103[[#This Row],[Date]],Database!A:E,MATCH($A$1,Database!$A$1:$E$1,),)</f>
        <v>56.616</v>
      </c>
      <c r="C351" s="9">
        <f t="shared" si="5"/>
        <v>1.9112338076024099E-3</v>
      </c>
      <c r="D351" s="7">
        <f>(Table5345679103[[#This Row],[Value]]-B339)/B339</f>
        <v>3.7569182274676483E-2</v>
      </c>
    </row>
    <row r="352" spans="1:4" x14ac:dyDescent="0.35">
      <c r="A352" s="57">
        <v>32112</v>
      </c>
      <c r="B352" s="58">
        <f>VLOOKUP(Table5345679103[[#This Row],[Date]],Database!A:E,MATCH($A$1,Database!$A$1:$E$1,),)</f>
        <v>56.72</v>
      </c>
      <c r="C352" s="9">
        <f t="shared" si="5"/>
        <v>1.8369365550374311E-3</v>
      </c>
      <c r="D352" s="7">
        <f>(Table5345679103[[#This Row],[Value]]-B340)/B340</f>
        <v>3.8067349926793524E-2</v>
      </c>
    </row>
    <row r="353" spans="1:4" x14ac:dyDescent="0.35">
      <c r="A353" s="57">
        <v>32143</v>
      </c>
      <c r="B353" s="58">
        <f>VLOOKUP(Table5345679103[[#This Row],[Date]],Database!A:E,MATCH($A$1,Database!$A$1:$E$1,),)</f>
        <v>56.941000000000003</v>
      </c>
      <c r="C353" s="9">
        <f t="shared" si="5"/>
        <v>3.8963328631876522E-3</v>
      </c>
      <c r="D353" s="7">
        <f>(Table5345679103[[#This Row],[Value]]-B341)/B341</f>
        <v>3.7271154021313403E-2</v>
      </c>
    </row>
    <row r="354" spans="1:4" x14ac:dyDescent="0.35">
      <c r="A354" s="57">
        <v>32174</v>
      </c>
      <c r="B354" s="58">
        <f>VLOOKUP(Table5345679103[[#This Row],[Date]],Database!A:E,MATCH($A$1,Database!$A$1:$E$1,),)</f>
        <v>57.024000000000001</v>
      </c>
      <c r="C354" s="9">
        <f t="shared" si="5"/>
        <v>1.4576491456068281E-3</v>
      </c>
      <c r="D354" s="7">
        <f>(Table5345679103[[#This Row],[Value]]-B342)/B342</f>
        <v>3.5143769968051117E-2</v>
      </c>
    </row>
    <row r="355" spans="1:4" x14ac:dyDescent="0.35">
      <c r="A355" s="57">
        <v>32203</v>
      </c>
      <c r="B355" s="58">
        <f>VLOOKUP(Table5345679103[[#This Row],[Date]],Database!A:E,MATCH($A$1,Database!$A$1:$E$1,),)</f>
        <v>57.220999999999997</v>
      </c>
      <c r="C355" s="9">
        <f t="shared" si="5"/>
        <v>3.4546857463523361E-3</v>
      </c>
      <c r="D355" s="7">
        <f>(Table5345679103[[#This Row],[Value]]-B343)/B343</f>
        <v>3.5992975214093018E-2</v>
      </c>
    </row>
    <row r="356" spans="1:4" x14ac:dyDescent="0.35">
      <c r="A356" s="57">
        <v>32234</v>
      </c>
      <c r="B356" s="58">
        <f>VLOOKUP(Table5345679103[[#This Row],[Date]],Database!A:E,MATCH($A$1,Database!$A$1:$E$1,),)</f>
        <v>57.499000000000002</v>
      </c>
      <c r="C356" s="9">
        <f t="shared" si="5"/>
        <v>4.858356197899474E-3</v>
      </c>
      <c r="D356" s="7">
        <f>(Table5345679103[[#This Row],[Value]]-B344)/B344</f>
        <v>3.7157957394613944E-2</v>
      </c>
    </row>
    <row r="357" spans="1:4" x14ac:dyDescent="0.35">
      <c r="A357" s="57">
        <v>32264</v>
      </c>
      <c r="B357" s="58">
        <f>VLOOKUP(Table5345679103[[#This Row],[Date]],Database!A:E,MATCH($A$1,Database!$A$1:$E$1,),)</f>
        <v>57.665999999999997</v>
      </c>
      <c r="C357" s="9">
        <f t="shared" si="5"/>
        <v>2.9043983373622929E-3</v>
      </c>
      <c r="D357" s="7">
        <f>(Table5345679103[[#This Row],[Value]]-B345)/B345</f>
        <v>3.7531486146095694E-2</v>
      </c>
    </row>
    <row r="358" spans="1:4" x14ac:dyDescent="0.35">
      <c r="A358" s="57">
        <v>32295</v>
      </c>
      <c r="B358" s="58">
        <f>VLOOKUP(Table5345679103[[#This Row],[Date]],Database!A:E,MATCH($A$1,Database!$A$1:$E$1,),)</f>
        <v>57.911999999999999</v>
      </c>
      <c r="C358" s="9">
        <f t="shared" si="5"/>
        <v>4.2659452710436347E-3</v>
      </c>
      <c r="D358" s="7">
        <f>(Table5345679103[[#This Row],[Value]]-B346)/B346</f>
        <v>3.8016884443727528E-2</v>
      </c>
    </row>
    <row r="359" spans="1:4" x14ac:dyDescent="0.35">
      <c r="A359" s="57">
        <v>32325</v>
      </c>
      <c r="B359" s="58">
        <f>VLOOKUP(Table5345679103[[#This Row],[Date]],Database!A:E,MATCH($A$1,Database!$A$1:$E$1,),)</f>
        <v>58.192999999999998</v>
      </c>
      <c r="C359" s="9">
        <f t="shared" si="5"/>
        <v>4.8521895289404407E-3</v>
      </c>
      <c r="D359" s="7">
        <f>(Table5345679103[[#This Row],[Value]]-B347)/B347</f>
        <v>4.0665963268298806E-2</v>
      </c>
    </row>
    <row r="360" spans="1:4" x14ac:dyDescent="0.35">
      <c r="A360" s="57">
        <v>32356</v>
      </c>
      <c r="B360" s="58">
        <f>VLOOKUP(Table5345679103[[#This Row],[Date]],Database!A:E,MATCH($A$1,Database!$A$1:$E$1,),)</f>
        <v>58.366</v>
      </c>
      <c r="C360" s="9">
        <f t="shared" si="5"/>
        <v>2.972866152286389E-3</v>
      </c>
      <c r="D360" s="7">
        <f>(Table5345679103[[#This Row],[Value]]-B348)/B348</f>
        <v>3.9650872817955096E-2</v>
      </c>
    </row>
    <row r="361" spans="1:4" x14ac:dyDescent="0.35">
      <c r="A361" s="57">
        <v>32387</v>
      </c>
      <c r="B361" s="58">
        <f>VLOOKUP(Table5345679103[[#This Row],[Date]],Database!A:E,MATCH($A$1,Database!$A$1:$E$1,),)</f>
        <v>58.65</v>
      </c>
      <c r="C361" s="9">
        <f t="shared" si="5"/>
        <v>4.8658465545008897E-3</v>
      </c>
      <c r="D361" s="7">
        <f>(Table5345679103[[#This Row],[Value]]-B349)/B349</f>
        <v>4.1204352997567827E-2</v>
      </c>
    </row>
    <row r="362" spans="1:4" x14ac:dyDescent="0.35">
      <c r="A362" s="57">
        <v>32417</v>
      </c>
      <c r="B362" s="58">
        <f>VLOOKUP(Table5345679103[[#This Row],[Date]],Database!A:E,MATCH($A$1,Database!$A$1:$E$1,),)</f>
        <v>58.841000000000001</v>
      </c>
      <c r="C362" s="9">
        <f t="shared" si="5"/>
        <v>3.2566069906223788E-3</v>
      </c>
      <c r="D362" s="7">
        <f>(Table5345679103[[#This Row],[Value]]-B350)/B350</f>
        <v>4.1286189566079108E-2</v>
      </c>
    </row>
    <row r="363" spans="1:4" x14ac:dyDescent="0.35">
      <c r="A363" s="57">
        <v>32448</v>
      </c>
      <c r="B363" s="58">
        <f>VLOOKUP(Table5345679103[[#This Row],[Date]],Database!A:E,MATCH($A$1,Database!$A$1:$E$1,),)</f>
        <v>58.978000000000002</v>
      </c>
      <c r="C363" s="9">
        <f t="shared" si="5"/>
        <v>2.3283084923777717E-3</v>
      </c>
      <c r="D363" s="7">
        <f>(Table5345679103[[#This Row],[Value]]-B351)/B351</f>
        <v>4.1719655221138935E-2</v>
      </c>
    </row>
    <row r="364" spans="1:4" x14ac:dyDescent="0.35">
      <c r="A364" s="57">
        <v>32478</v>
      </c>
      <c r="B364" s="58">
        <f>VLOOKUP(Table5345679103[[#This Row],[Date]],Database!A:E,MATCH($A$1,Database!$A$1:$E$1,),)</f>
        <v>59.161999999999999</v>
      </c>
      <c r="C364" s="9">
        <f t="shared" si="5"/>
        <v>3.1198073858048339E-3</v>
      </c>
      <c r="D364" s="7">
        <f>(Table5345679103[[#This Row],[Value]]-B352)/B352</f>
        <v>4.3053596614950639E-2</v>
      </c>
    </row>
    <row r="365" spans="1:4" x14ac:dyDescent="0.35">
      <c r="A365" s="57">
        <v>32509</v>
      </c>
      <c r="B365" s="58">
        <f>VLOOKUP(Table5345679103[[#This Row],[Date]],Database!A:E,MATCH($A$1,Database!$A$1:$E$1,),)</f>
        <v>59.465000000000003</v>
      </c>
      <c r="C365" s="9">
        <f t="shared" si="5"/>
        <v>5.1215307122816061E-3</v>
      </c>
      <c r="D365" s="7">
        <f>(Table5345679103[[#This Row],[Value]]-B353)/B353</f>
        <v>4.4326583656767546E-2</v>
      </c>
    </row>
    <row r="366" spans="1:4" x14ac:dyDescent="0.35">
      <c r="A366" s="57">
        <v>32540</v>
      </c>
      <c r="B366" s="58">
        <f>VLOOKUP(Table5345679103[[#This Row],[Date]],Database!A:E,MATCH($A$1,Database!$A$1:$E$1,),)</f>
        <v>59.662999999999997</v>
      </c>
      <c r="C366" s="9">
        <f t="shared" si="5"/>
        <v>3.3296897334565423E-3</v>
      </c>
      <c r="D366" s="7">
        <f>(Table5345679103[[#This Row],[Value]]-B354)/B354</f>
        <v>4.627875982042641E-2</v>
      </c>
    </row>
    <row r="367" spans="1:4" x14ac:dyDescent="0.35">
      <c r="A367" s="57">
        <v>32568</v>
      </c>
      <c r="B367" s="58">
        <f>VLOOKUP(Table5345679103[[#This Row],[Date]],Database!A:E,MATCH($A$1,Database!$A$1:$E$1,),)</f>
        <v>59.884999999999998</v>
      </c>
      <c r="C367" s="9">
        <f t="shared" si="5"/>
        <v>3.7208990496622918E-3</v>
      </c>
      <c r="D367" s="7">
        <f>(Table5345679103[[#This Row],[Value]]-B355)/B355</f>
        <v>4.6556334212963804E-2</v>
      </c>
    </row>
    <row r="368" spans="1:4" x14ac:dyDescent="0.35">
      <c r="A368" s="57">
        <v>32599</v>
      </c>
      <c r="B368" s="58">
        <f>VLOOKUP(Table5345679103[[#This Row],[Date]],Database!A:E,MATCH($A$1,Database!$A$1:$E$1,),)</f>
        <v>60.283999999999999</v>
      </c>
      <c r="C368" s="9">
        <f t="shared" si="5"/>
        <v>6.6627703097603894E-3</v>
      </c>
      <c r="D368" s="7">
        <f>(Table5345679103[[#This Row],[Value]]-B356)/B356</f>
        <v>4.8435624967390678E-2</v>
      </c>
    </row>
    <row r="369" spans="1:4" x14ac:dyDescent="0.35">
      <c r="A369" s="57">
        <v>32629</v>
      </c>
      <c r="B369" s="58">
        <f>VLOOKUP(Table5345679103[[#This Row],[Date]],Database!A:E,MATCH($A$1,Database!$A$1:$E$1,),)</f>
        <v>60.503999999999998</v>
      </c>
      <c r="C369" s="9">
        <f t="shared" si="5"/>
        <v>3.6493928737309877E-3</v>
      </c>
      <c r="D369" s="7">
        <f>(Table5345679103[[#This Row],[Value]]-B357)/B357</f>
        <v>4.9214441785454185E-2</v>
      </c>
    </row>
    <row r="370" spans="1:4" x14ac:dyDescent="0.35">
      <c r="A370" s="57">
        <v>32660</v>
      </c>
      <c r="B370" s="58">
        <f>VLOOKUP(Table5345679103[[#This Row],[Date]],Database!A:E,MATCH($A$1,Database!$A$1:$E$1,),)</f>
        <v>60.637</v>
      </c>
      <c r="C370" s="9">
        <f t="shared" si="5"/>
        <v>2.198201771783728E-3</v>
      </c>
      <c r="D370" s="7">
        <f>(Table5345679103[[#This Row],[Value]]-B358)/B358</f>
        <v>4.7054151125846135E-2</v>
      </c>
    </row>
    <row r="371" spans="1:4" x14ac:dyDescent="0.35">
      <c r="A371" s="57">
        <v>32690</v>
      </c>
      <c r="B371" s="58">
        <f>VLOOKUP(Table5345679103[[#This Row],[Date]],Database!A:E,MATCH($A$1,Database!$A$1:$E$1,),)</f>
        <v>60.781999999999996</v>
      </c>
      <c r="C371" s="9">
        <f t="shared" si="5"/>
        <v>2.3912792519418182E-3</v>
      </c>
      <c r="D371" s="7">
        <f>(Table5345679103[[#This Row],[Value]]-B359)/B359</f>
        <v>4.4489887099822982E-2</v>
      </c>
    </row>
    <row r="372" spans="1:4" x14ac:dyDescent="0.35">
      <c r="A372" s="57">
        <v>32721</v>
      </c>
      <c r="B372" s="58">
        <f>VLOOKUP(Table5345679103[[#This Row],[Date]],Database!A:E,MATCH($A$1,Database!$A$1:$E$1,),)</f>
        <v>60.789000000000001</v>
      </c>
      <c r="C372" s="9">
        <f t="shared" si="5"/>
        <v>1.1516567404832026E-4</v>
      </c>
      <c r="D372" s="7">
        <f>(Table5345679103[[#This Row],[Value]]-B360)/B360</f>
        <v>4.1513895075900385E-2</v>
      </c>
    </row>
    <row r="373" spans="1:4" x14ac:dyDescent="0.35">
      <c r="A373" s="57">
        <v>32752</v>
      </c>
      <c r="B373" s="58">
        <f>VLOOKUP(Table5345679103[[#This Row],[Date]],Database!A:E,MATCH($A$1,Database!$A$1:$E$1,),)</f>
        <v>60.923999999999999</v>
      </c>
      <c r="C373" s="9">
        <f t="shared" si="5"/>
        <v>2.2207965256871806E-3</v>
      </c>
      <c r="D373" s="7">
        <f>(Table5345679103[[#This Row],[Value]]-B361)/B361</f>
        <v>3.8772378516624059E-2</v>
      </c>
    </row>
    <row r="374" spans="1:4" x14ac:dyDescent="0.35">
      <c r="A374" s="57">
        <v>32782</v>
      </c>
      <c r="B374" s="58">
        <f>VLOOKUP(Table5345679103[[#This Row],[Date]],Database!A:E,MATCH($A$1,Database!$A$1:$E$1,),)</f>
        <v>61.161999999999999</v>
      </c>
      <c r="C374" s="9">
        <f t="shared" si="5"/>
        <v>3.906506467073724E-3</v>
      </c>
      <c r="D374" s="7">
        <f>(Table5345679103[[#This Row],[Value]]-B362)/B362</f>
        <v>3.9445284750429084E-2</v>
      </c>
    </row>
    <row r="375" spans="1:4" x14ac:dyDescent="0.35">
      <c r="A375" s="57">
        <v>32813</v>
      </c>
      <c r="B375" s="58">
        <f>VLOOKUP(Table5345679103[[#This Row],[Date]],Database!A:E,MATCH($A$1,Database!$A$1:$E$1,),)</f>
        <v>61.295999999999999</v>
      </c>
      <c r="C375" s="9">
        <f t="shared" si="5"/>
        <v>2.1909028481737081E-3</v>
      </c>
      <c r="D375" s="7">
        <f>(Table5345679103[[#This Row],[Value]]-B363)/B363</f>
        <v>3.9302790871172263E-2</v>
      </c>
    </row>
    <row r="376" spans="1:4" x14ac:dyDescent="0.35">
      <c r="A376" s="57">
        <v>32843</v>
      </c>
      <c r="B376" s="58">
        <f>VLOOKUP(Table5345679103[[#This Row],[Date]],Database!A:E,MATCH($A$1,Database!$A$1:$E$1,),)</f>
        <v>61.472999999999999</v>
      </c>
      <c r="C376" s="9">
        <f t="shared" si="5"/>
        <v>2.8876272513703931E-3</v>
      </c>
      <c r="D376" s="7">
        <f>(Table5345679103[[#This Row],[Value]]-B364)/B364</f>
        <v>3.9062235894662116E-2</v>
      </c>
    </row>
    <row r="377" spans="1:4" x14ac:dyDescent="0.35">
      <c r="A377" s="57">
        <v>32874</v>
      </c>
      <c r="B377" s="58">
        <f>VLOOKUP(Table5345679103[[#This Row],[Date]],Database!A:E,MATCH($A$1,Database!$A$1:$E$1,),)</f>
        <v>61.939</v>
      </c>
      <c r="C377" s="9">
        <f t="shared" si="5"/>
        <v>7.5805638247686156E-3</v>
      </c>
      <c r="D377" s="7">
        <f>(Table5345679103[[#This Row],[Value]]-B365)/B365</f>
        <v>4.1604305053392694E-2</v>
      </c>
    </row>
    <row r="378" spans="1:4" x14ac:dyDescent="0.35">
      <c r="A378" s="57">
        <v>32905</v>
      </c>
      <c r="B378" s="58">
        <f>VLOOKUP(Table5345679103[[#This Row],[Date]],Database!A:E,MATCH($A$1,Database!$A$1:$E$1,),)</f>
        <v>62.212000000000003</v>
      </c>
      <c r="C378" s="9">
        <f t="shared" si="5"/>
        <v>4.4075622790165038E-3</v>
      </c>
      <c r="D378" s="7">
        <f>(Table5345679103[[#This Row],[Value]]-B366)/B366</f>
        <v>4.2723295844996172E-2</v>
      </c>
    </row>
    <row r="379" spans="1:4" x14ac:dyDescent="0.35">
      <c r="A379" s="57">
        <v>32933</v>
      </c>
      <c r="B379" s="58">
        <f>VLOOKUP(Table5345679103[[#This Row],[Date]],Database!A:E,MATCH($A$1,Database!$A$1:$E$1,),)</f>
        <v>62.445999999999998</v>
      </c>
      <c r="C379" s="9">
        <f t="shared" si="5"/>
        <v>3.7613322188644418E-3</v>
      </c>
      <c r="D379" s="7">
        <f>(Table5345679103[[#This Row],[Value]]-B367)/B367</f>
        <v>4.2765300158637387E-2</v>
      </c>
    </row>
    <row r="380" spans="1:4" x14ac:dyDescent="0.35">
      <c r="A380" s="57">
        <v>32964</v>
      </c>
      <c r="B380" s="58">
        <f>VLOOKUP(Table5345679103[[#This Row],[Date]],Database!A:E,MATCH($A$1,Database!$A$1:$E$1,),)</f>
        <v>62.576999999999998</v>
      </c>
      <c r="C380" s="9">
        <f t="shared" si="5"/>
        <v>2.0978125100086513E-3</v>
      </c>
      <c r="D380" s="7">
        <f>(Table5345679103[[#This Row],[Value]]-B368)/B368</f>
        <v>3.8036626633932709E-2</v>
      </c>
    </row>
    <row r="381" spans="1:4" x14ac:dyDescent="0.35">
      <c r="A381" s="57">
        <v>32994</v>
      </c>
      <c r="B381" s="58">
        <f>VLOOKUP(Table5345679103[[#This Row],[Date]],Database!A:E,MATCH($A$1,Database!$A$1:$E$1,),)</f>
        <v>62.718000000000004</v>
      </c>
      <c r="C381" s="9">
        <f t="shared" si="5"/>
        <v>2.2532240279975924E-3</v>
      </c>
      <c r="D381" s="7">
        <f>(Table5345679103[[#This Row],[Value]]-B369)/B369</f>
        <v>3.6592621975406678E-2</v>
      </c>
    </row>
    <row r="382" spans="1:4" x14ac:dyDescent="0.35">
      <c r="A382" s="57">
        <v>33025</v>
      </c>
      <c r="B382" s="58">
        <f>VLOOKUP(Table5345679103[[#This Row],[Date]],Database!A:E,MATCH($A$1,Database!$A$1:$E$1,),)</f>
        <v>62.994999999999997</v>
      </c>
      <c r="C382" s="9">
        <f t="shared" si="5"/>
        <v>4.4165949169296514E-3</v>
      </c>
      <c r="D382" s="7">
        <f>(Table5345679103[[#This Row],[Value]]-B370)/B370</f>
        <v>3.8887148110889343E-2</v>
      </c>
    </row>
    <row r="383" spans="1:4" x14ac:dyDescent="0.35">
      <c r="A383" s="57">
        <v>33055</v>
      </c>
      <c r="B383" s="58">
        <f>VLOOKUP(Table5345679103[[#This Row],[Date]],Database!A:E,MATCH($A$1,Database!$A$1:$E$1,),)</f>
        <v>63.151000000000003</v>
      </c>
      <c r="C383" s="9">
        <f t="shared" si="5"/>
        <v>2.4763870148425417E-3</v>
      </c>
      <c r="D383" s="7">
        <f>(Table5345679103[[#This Row],[Value]]-B371)/B371</f>
        <v>3.8975354545753793E-2</v>
      </c>
    </row>
    <row r="384" spans="1:4" x14ac:dyDescent="0.35">
      <c r="A384" s="57">
        <v>33086</v>
      </c>
      <c r="B384" s="58">
        <f>VLOOKUP(Table5345679103[[#This Row],[Date]],Database!A:E,MATCH($A$1,Database!$A$1:$E$1,),)</f>
        <v>63.570999999999998</v>
      </c>
      <c r="C384" s="9">
        <f t="shared" si="5"/>
        <v>6.6507260375923511E-3</v>
      </c>
      <c r="D384" s="7">
        <f>(Table5345679103[[#This Row],[Value]]-B372)/B372</f>
        <v>4.5764858773791252E-2</v>
      </c>
    </row>
    <row r="385" spans="1:4" x14ac:dyDescent="0.35">
      <c r="A385" s="57">
        <v>33117</v>
      </c>
      <c r="B385" s="58">
        <f>VLOOKUP(Table5345679103[[#This Row],[Date]],Database!A:E,MATCH($A$1,Database!$A$1:$E$1,),)</f>
        <v>63.960999999999999</v>
      </c>
      <c r="C385" s="9">
        <f t="shared" si="5"/>
        <v>6.1348728193673305E-3</v>
      </c>
      <c r="D385" s="7">
        <f>(Table5345679103[[#This Row],[Value]]-B373)/B373</f>
        <v>4.9848992186987053E-2</v>
      </c>
    </row>
    <row r="386" spans="1:4" x14ac:dyDescent="0.35">
      <c r="A386" s="57">
        <v>33147</v>
      </c>
      <c r="B386" s="58">
        <f>VLOOKUP(Table5345679103[[#This Row],[Date]],Database!A:E,MATCH($A$1,Database!$A$1:$E$1,),)</f>
        <v>64.326999999999998</v>
      </c>
      <c r="C386" s="9">
        <f t="shared" si="5"/>
        <v>5.7222369881646572E-3</v>
      </c>
      <c r="D386" s="7">
        <f>(Table5345679103[[#This Row],[Value]]-B374)/B374</f>
        <v>5.174781727216244E-2</v>
      </c>
    </row>
    <row r="387" spans="1:4" x14ac:dyDescent="0.35">
      <c r="A387" s="57">
        <v>33178</v>
      </c>
      <c r="B387" s="58">
        <f>VLOOKUP(Table5345679103[[#This Row],[Date]],Database!A:E,MATCH($A$1,Database!$A$1:$E$1,),)</f>
        <v>64.409000000000006</v>
      </c>
      <c r="C387" s="9">
        <f t="shared" si="5"/>
        <v>1.2747368911966647E-3</v>
      </c>
      <c r="D387" s="7">
        <f>(Table5345679103[[#This Row],[Value]]-B375)/B375</f>
        <v>5.0786348211955212E-2</v>
      </c>
    </row>
    <row r="388" spans="1:4" x14ac:dyDescent="0.35">
      <c r="A388" s="57">
        <v>33208</v>
      </c>
      <c r="B388" s="58">
        <f>VLOOKUP(Table5345679103[[#This Row],[Date]],Database!A:E,MATCH($A$1,Database!$A$1:$E$1,),)</f>
        <v>64.468999999999994</v>
      </c>
      <c r="C388" s="9">
        <f t="shared" si="5"/>
        <v>9.3154683351686968E-4</v>
      </c>
      <c r="D388" s="7">
        <f>(Table5345679103[[#This Row],[Value]]-B376)/B376</f>
        <v>4.8736843817610905E-2</v>
      </c>
    </row>
    <row r="389" spans="1:4" x14ac:dyDescent="0.35">
      <c r="A389" s="57">
        <v>33239</v>
      </c>
      <c r="B389" s="58">
        <f>VLOOKUP(Table5345679103[[#This Row],[Date]],Database!A:E,MATCH($A$1,Database!$A$1:$E$1,),)</f>
        <v>64.713999999999999</v>
      </c>
      <c r="C389" s="9">
        <f t="shared" si="5"/>
        <v>3.8002761016923572E-3</v>
      </c>
      <c r="D389" s="7">
        <f>(Table5345679103[[#This Row],[Value]]-B377)/B377</f>
        <v>4.4802144044947423E-2</v>
      </c>
    </row>
    <row r="390" spans="1:4" x14ac:dyDescent="0.35">
      <c r="A390" s="57">
        <v>33270</v>
      </c>
      <c r="B390" s="58">
        <f>VLOOKUP(Table5345679103[[#This Row],[Date]],Database!A:E,MATCH($A$1,Database!$A$1:$E$1,),)</f>
        <v>64.747</v>
      </c>
      <c r="C390" s="9">
        <f t="shared" ref="C390:C453" si="6">(B390-B389)/B389</f>
        <v>5.0993602620764055E-4</v>
      </c>
      <c r="D390" s="7">
        <f>(Table5345679103[[#This Row],[Value]]-B378)/B378</f>
        <v>4.0747765704365661E-2</v>
      </c>
    </row>
    <row r="391" spans="1:4" x14ac:dyDescent="0.35">
      <c r="A391" s="57">
        <v>33298</v>
      </c>
      <c r="B391" s="58">
        <f>VLOOKUP(Table5345679103[[#This Row],[Date]],Database!A:E,MATCH($A$1,Database!$A$1:$E$1,),)</f>
        <v>64.760000000000005</v>
      </c>
      <c r="C391" s="9">
        <f t="shared" si="6"/>
        <v>2.0078150339019924E-4</v>
      </c>
      <c r="D391" s="7">
        <f>(Table5345679103[[#This Row],[Value]]-B379)/B379</f>
        <v>3.7056016398168135E-2</v>
      </c>
    </row>
    <row r="392" spans="1:4" x14ac:dyDescent="0.35">
      <c r="A392" s="57">
        <v>33329</v>
      </c>
      <c r="B392" s="58">
        <f>VLOOKUP(Table5345679103[[#This Row],[Date]],Database!A:E,MATCH($A$1,Database!$A$1:$E$1,),)</f>
        <v>64.878</v>
      </c>
      <c r="C392" s="9">
        <f t="shared" si="6"/>
        <v>1.822112415070954E-3</v>
      </c>
      <c r="D392" s="7">
        <f>(Table5345679103[[#This Row],[Value]]-B380)/B380</f>
        <v>3.6770698499448709E-2</v>
      </c>
    </row>
    <row r="393" spans="1:4" x14ac:dyDescent="0.35">
      <c r="A393" s="57">
        <v>33359</v>
      </c>
      <c r="B393" s="58">
        <f>VLOOKUP(Table5345679103[[#This Row],[Date]],Database!A:E,MATCH($A$1,Database!$A$1:$E$1,),)</f>
        <v>65.147000000000006</v>
      </c>
      <c r="C393" s="9">
        <f t="shared" si="6"/>
        <v>4.146243718980324E-3</v>
      </c>
      <c r="D393" s="7">
        <f>(Table5345679103[[#This Row],[Value]]-B381)/B381</f>
        <v>3.8728913549539237E-2</v>
      </c>
    </row>
    <row r="394" spans="1:4" x14ac:dyDescent="0.35">
      <c r="A394" s="57">
        <v>33390</v>
      </c>
      <c r="B394" s="58">
        <f>VLOOKUP(Table5345679103[[#This Row],[Date]],Database!A:E,MATCH($A$1,Database!$A$1:$E$1,),)</f>
        <v>65.257000000000005</v>
      </c>
      <c r="C394" s="9">
        <f t="shared" si="6"/>
        <v>1.6884891092452366E-3</v>
      </c>
      <c r="D394" s="7">
        <f>(Table5345679103[[#This Row],[Value]]-B382)/B382</f>
        <v>3.5907611715215615E-2</v>
      </c>
    </row>
    <row r="395" spans="1:4" x14ac:dyDescent="0.35">
      <c r="A395" s="57">
        <v>33420</v>
      </c>
      <c r="B395" s="58">
        <f>VLOOKUP(Table5345679103[[#This Row],[Date]],Database!A:E,MATCH($A$1,Database!$A$1:$E$1,),)</f>
        <v>65.36</v>
      </c>
      <c r="C395" s="9">
        <f t="shared" si="6"/>
        <v>1.5783747337449533E-3</v>
      </c>
      <c r="D395" s="7">
        <f>(Table5345679103[[#This Row],[Value]]-B383)/B383</f>
        <v>3.4979651945337302E-2</v>
      </c>
    </row>
    <row r="396" spans="1:4" x14ac:dyDescent="0.35">
      <c r="A396" s="57">
        <v>33451</v>
      </c>
      <c r="B396" s="58">
        <f>VLOOKUP(Table5345679103[[#This Row],[Date]],Database!A:E,MATCH($A$1,Database!$A$1:$E$1,),)</f>
        <v>65.510999999999996</v>
      </c>
      <c r="C396" s="9">
        <f t="shared" si="6"/>
        <v>2.3102815177478008E-3</v>
      </c>
      <c r="D396" s="7">
        <f>(Table5345679103[[#This Row],[Value]]-B384)/B384</f>
        <v>3.0517059665570744E-2</v>
      </c>
    </row>
    <row r="397" spans="1:4" x14ac:dyDescent="0.35">
      <c r="A397" s="57">
        <v>33482</v>
      </c>
      <c r="B397" s="58">
        <f>VLOOKUP(Table5345679103[[#This Row],[Date]],Database!A:E,MATCH($A$1,Database!$A$1:$E$1,),)</f>
        <v>65.736999999999995</v>
      </c>
      <c r="C397" s="9">
        <f t="shared" si="6"/>
        <v>3.4498023232739402E-3</v>
      </c>
      <c r="D397" s="7">
        <f>(Table5345679103[[#This Row],[Value]]-B385)/B385</f>
        <v>2.7766920467159617E-2</v>
      </c>
    </row>
    <row r="398" spans="1:4" x14ac:dyDescent="0.35">
      <c r="A398" s="57">
        <v>33512</v>
      </c>
      <c r="B398" s="58">
        <f>VLOOKUP(Table5345679103[[#This Row],[Date]],Database!A:E,MATCH($A$1,Database!$A$1:$E$1,),)</f>
        <v>65.86</v>
      </c>
      <c r="C398" s="9">
        <f t="shared" si="6"/>
        <v>1.871092383284979E-3</v>
      </c>
      <c r="D398" s="7">
        <f>(Table5345679103[[#This Row],[Value]]-B386)/B386</f>
        <v>2.3831361636637825E-2</v>
      </c>
    </row>
    <row r="399" spans="1:4" x14ac:dyDescent="0.35">
      <c r="A399" s="57">
        <v>33543</v>
      </c>
      <c r="B399" s="58">
        <f>VLOOKUP(Table5345679103[[#This Row],[Date]],Database!A:E,MATCH($A$1,Database!$A$1:$E$1,),)</f>
        <v>66.004999999999995</v>
      </c>
      <c r="C399" s="9">
        <f t="shared" si="6"/>
        <v>2.20163984208922E-3</v>
      </c>
      <c r="D399" s="7">
        <f>(Table5345679103[[#This Row],[Value]]-B387)/B387</f>
        <v>2.4779145771553497E-2</v>
      </c>
    </row>
    <row r="400" spans="1:4" x14ac:dyDescent="0.35">
      <c r="A400" s="57">
        <v>33573</v>
      </c>
      <c r="B400" s="58">
        <f>VLOOKUP(Table5345679103[[#This Row],[Date]],Database!A:E,MATCH($A$1,Database!$A$1:$E$1,),)</f>
        <v>66.17</v>
      </c>
      <c r="C400" s="9">
        <f t="shared" si="6"/>
        <v>2.4998106204076396E-3</v>
      </c>
      <c r="D400" s="7">
        <f>(Table5345679103[[#This Row],[Value]]-B388)/B388</f>
        <v>2.6384774077463709E-2</v>
      </c>
    </row>
    <row r="401" spans="1:4" x14ac:dyDescent="0.35">
      <c r="A401" s="57">
        <v>33604</v>
      </c>
      <c r="B401" s="58">
        <f>VLOOKUP(Table5345679103[[#This Row],[Date]],Database!A:E,MATCH($A$1,Database!$A$1:$E$1,),)</f>
        <v>66.260000000000005</v>
      </c>
      <c r="C401" s="9">
        <f t="shared" si="6"/>
        <v>1.3601329907813723E-3</v>
      </c>
      <c r="D401" s="7">
        <f>(Table5345679103[[#This Row],[Value]]-B389)/B389</f>
        <v>2.3889730197484416E-2</v>
      </c>
    </row>
    <row r="402" spans="1:4" x14ac:dyDescent="0.35">
      <c r="A402" s="57">
        <v>33635</v>
      </c>
      <c r="B402" s="58">
        <f>VLOOKUP(Table5345679103[[#This Row],[Date]],Database!A:E,MATCH($A$1,Database!$A$1:$E$1,),)</f>
        <v>66.427999999999997</v>
      </c>
      <c r="C402" s="9">
        <f t="shared" si="6"/>
        <v>2.5354663447025678E-3</v>
      </c>
      <c r="D402" s="7">
        <f>(Table5345679103[[#This Row],[Value]]-B390)/B390</f>
        <v>2.5962592861445279E-2</v>
      </c>
    </row>
    <row r="403" spans="1:4" x14ac:dyDescent="0.35">
      <c r="A403" s="57">
        <v>33664</v>
      </c>
      <c r="B403" s="58">
        <f>VLOOKUP(Table5345679103[[#This Row],[Date]],Database!A:E,MATCH($A$1,Database!$A$1:$E$1,),)</f>
        <v>66.588999999999999</v>
      </c>
      <c r="C403" s="9">
        <f t="shared" si="6"/>
        <v>2.4236767628108835E-3</v>
      </c>
      <c r="D403" s="7">
        <f>(Table5345679103[[#This Row],[Value]]-B391)/B391</f>
        <v>2.8242742433600886E-2</v>
      </c>
    </row>
    <row r="404" spans="1:4" x14ac:dyDescent="0.35">
      <c r="A404" s="57">
        <v>33695</v>
      </c>
      <c r="B404" s="58">
        <f>VLOOKUP(Table5345679103[[#This Row],[Date]],Database!A:E,MATCH($A$1,Database!$A$1:$E$1,),)</f>
        <v>66.769000000000005</v>
      </c>
      <c r="C404" s="9">
        <f t="shared" si="6"/>
        <v>2.7031491687817331E-3</v>
      </c>
      <c r="D404" s="7">
        <f>(Table5345679103[[#This Row],[Value]]-B392)/B392</f>
        <v>2.914701439625151E-2</v>
      </c>
    </row>
    <row r="405" spans="1:4" x14ac:dyDescent="0.35">
      <c r="A405" s="57">
        <v>33725</v>
      </c>
      <c r="B405" s="58">
        <f>VLOOKUP(Table5345679103[[#This Row],[Date]],Database!A:E,MATCH($A$1,Database!$A$1:$E$1,),)</f>
        <v>66.856999999999999</v>
      </c>
      <c r="C405" s="9">
        <f t="shared" si="6"/>
        <v>1.317976905450042E-3</v>
      </c>
      <c r="D405" s="7">
        <f>(Table5345679103[[#This Row],[Value]]-B393)/B393</f>
        <v>2.6248330698266899E-2</v>
      </c>
    </row>
    <row r="406" spans="1:4" x14ac:dyDescent="0.35">
      <c r="A406" s="57">
        <v>33756</v>
      </c>
      <c r="B406" s="58">
        <f>VLOOKUP(Table5345679103[[#This Row],[Date]],Database!A:E,MATCH($A$1,Database!$A$1:$E$1,),)</f>
        <v>66.975999999999999</v>
      </c>
      <c r="C406" s="9">
        <f t="shared" si="6"/>
        <v>1.7799183331588281E-3</v>
      </c>
      <c r="D406" s="7">
        <f>(Table5345679103[[#This Row],[Value]]-B394)/B394</f>
        <v>2.634200162434672E-2</v>
      </c>
    </row>
    <row r="407" spans="1:4" x14ac:dyDescent="0.35">
      <c r="A407" s="57">
        <v>33786</v>
      </c>
      <c r="B407" s="58">
        <f>VLOOKUP(Table5345679103[[#This Row],[Date]],Database!A:E,MATCH($A$1,Database!$A$1:$E$1,),)</f>
        <v>67.197000000000003</v>
      </c>
      <c r="C407" s="9">
        <f t="shared" si="6"/>
        <v>3.2996894409938432E-3</v>
      </c>
      <c r="D407" s="7">
        <f>(Table5345679103[[#This Row],[Value]]-B395)/B395</f>
        <v>2.8105875152998828E-2</v>
      </c>
    </row>
    <row r="408" spans="1:4" x14ac:dyDescent="0.35">
      <c r="A408" s="57">
        <v>33817</v>
      </c>
      <c r="B408" s="58">
        <f>VLOOKUP(Table5345679103[[#This Row],[Date]],Database!A:E,MATCH($A$1,Database!$A$1:$E$1,),)</f>
        <v>67.287000000000006</v>
      </c>
      <c r="C408" s="9">
        <f t="shared" si="6"/>
        <v>1.3393455064958763E-3</v>
      </c>
      <c r="D408" s="7">
        <f>(Table5345679103[[#This Row],[Value]]-B396)/B396</f>
        <v>2.7109951000595482E-2</v>
      </c>
    </row>
    <row r="409" spans="1:4" x14ac:dyDescent="0.35">
      <c r="A409" s="57">
        <v>33848</v>
      </c>
      <c r="B409" s="58">
        <f>VLOOKUP(Table5345679103[[#This Row],[Date]],Database!A:E,MATCH($A$1,Database!$A$1:$E$1,),)</f>
        <v>67.397000000000006</v>
      </c>
      <c r="C409" s="9">
        <f t="shared" si="6"/>
        <v>1.6347882949157998E-3</v>
      </c>
      <c r="D409" s="7">
        <f>(Table5345679103[[#This Row],[Value]]-B397)/B397</f>
        <v>2.5252141107747705E-2</v>
      </c>
    </row>
    <row r="410" spans="1:4" x14ac:dyDescent="0.35">
      <c r="A410" s="57">
        <v>33878</v>
      </c>
      <c r="B410" s="58">
        <f>VLOOKUP(Table5345679103[[#This Row],[Date]],Database!A:E,MATCH($A$1,Database!$A$1:$E$1,),)</f>
        <v>67.635000000000005</v>
      </c>
      <c r="C410" s="9">
        <f t="shared" si="6"/>
        <v>3.5313144501980731E-3</v>
      </c>
      <c r="D410" s="7">
        <f>(Table5345679103[[#This Row],[Value]]-B398)/B398</f>
        <v>2.6951108411782655E-2</v>
      </c>
    </row>
    <row r="411" spans="1:4" x14ac:dyDescent="0.35">
      <c r="A411" s="57">
        <v>33909</v>
      </c>
      <c r="B411" s="58">
        <f>VLOOKUP(Table5345679103[[#This Row],[Date]],Database!A:E,MATCH($A$1,Database!$A$1:$E$1,),)</f>
        <v>67.768000000000001</v>
      </c>
      <c r="C411" s="9">
        <f t="shared" si="6"/>
        <v>1.9664374953795452E-3</v>
      </c>
      <c r="D411" s="7">
        <f>(Table5345679103[[#This Row],[Value]]-B399)/B399</f>
        <v>2.6710097719869787E-2</v>
      </c>
    </row>
    <row r="412" spans="1:4" x14ac:dyDescent="0.35">
      <c r="A412" s="57">
        <v>33939</v>
      </c>
      <c r="B412" s="58">
        <f>VLOOKUP(Table5345679103[[#This Row],[Date]],Database!A:E,MATCH($A$1,Database!$A$1:$E$1,),)</f>
        <v>67.885999999999996</v>
      </c>
      <c r="C412" s="9">
        <f t="shared" si="6"/>
        <v>1.7412348010859846E-3</v>
      </c>
      <c r="D412" s="7">
        <f>(Table5345679103[[#This Row],[Value]]-B400)/B400</f>
        <v>2.5933202357563759E-2</v>
      </c>
    </row>
    <row r="413" spans="1:4" x14ac:dyDescent="0.35">
      <c r="A413" s="57">
        <v>33970</v>
      </c>
      <c r="B413" s="58">
        <f>VLOOKUP(Table5345679103[[#This Row],[Date]],Database!A:E,MATCH($A$1,Database!$A$1:$E$1,),)</f>
        <v>68.052000000000007</v>
      </c>
      <c r="C413" s="9">
        <f t="shared" si="6"/>
        <v>2.4452759037211064E-3</v>
      </c>
      <c r="D413" s="7">
        <f>(Table5345679103[[#This Row],[Value]]-B401)/B401</f>
        <v>2.7044974343495343E-2</v>
      </c>
    </row>
    <row r="414" spans="1:4" x14ac:dyDescent="0.35">
      <c r="A414" s="57">
        <v>34001</v>
      </c>
      <c r="B414" s="58">
        <f>VLOOKUP(Table5345679103[[#This Row],[Date]],Database!A:E,MATCH($A$1,Database!$A$1:$E$1,),)</f>
        <v>68.153999999999996</v>
      </c>
      <c r="C414" s="9">
        <f t="shared" si="6"/>
        <v>1.4988538176686893E-3</v>
      </c>
      <c r="D414" s="7">
        <f>(Table5345679103[[#This Row],[Value]]-B402)/B402</f>
        <v>2.5983019208767374E-2</v>
      </c>
    </row>
    <row r="415" spans="1:4" x14ac:dyDescent="0.35">
      <c r="A415" s="57">
        <v>34029</v>
      </c>
      <c r="B415" s="58">
        <f>VLOOKUP(Table5345679103[[#This Row],[Date]],Database!A:E,MATCH($A$1,Database!$A$1:$E$1,),)</f>
        <v>68.293999999999997</v>
      </c>
      <c r="C415" s="9">
        <f t="shared" si="6"/>
        <v>2.0541714352789358E-3</v>
      </c>
      <c r="D415" s="7">
        <f>(Table5345679103[[#This Row],[Value]]-B403)/B403</f>
        <v>2.5604829626514863E-2</v>
      </c>
    </row>
    <row r="416" spans="1:4" x14ac:dyDescent="0.35">
      <c r="A416" s="57">
        <v>34060</v>
      </c>
      <c r="B416" s="58">
        <f>VLOOKUP(Table5345679103[[#This Row],[Date]],Database!A:E,MATCH($A$1,Database!$A$1:$E$1,),)</f>
        <v>68.474999999999994</v>
      </c>
      <c r="C416" s="9">
        <f t="shared" si="6"/>
        <v>2.6503060298122441E-3</v>
      </c>
      <c r="D416" s="7">
        <f>(Table5345679103[[#This Row],[Value]]-B404)/B404</f>
        <v>2.5550779553385385E-2</v>
      </c>
    </row>
    <row r="417" spans="1:4" x14ac:dyDescent="0.35">
      <c r="A417" s="57">
        <v>34090</v>
      </c>
      <c r="B417" s="58">
        <f>VLOOKUP(Table5345679103[[#This Row],[Date]],Database!A:E,MATCH($A$1,Database!$A$1:$E$1,),)</f>
        <v>68.686999999999998</v>
      </c>
      <c r="C417" s="9">
        <f t="shared" si="6"/>
        <v>3.096020445418084E-3</v>
      </c>
      <c r="D417" s="7">
        <f>(Table5345679103[[#This Row],[Value]]-B405)/B405</f>
        <v>2.7371853358660998E-2</v>
      </c>
    </row>
    <row r="418" spans="1:4" x14ac:dyDescent="0.35">
      <c r="A418" s="57">
        <v>34121</v>
      </c>
      <c r="B418" s="58">
        <f>VLOOKUP(Table5345679103[[#This Row],[Date]],Database!A:E,MATCH($A$1,Database!$A$1:$E$1,),)</f>
        <v>68.710999999999999</v>
      </c>
      <c r="C418" s="9">
        <f t="shared" si="6"/>
        <v>3.4941109671409305E-4</v>
      </c>
      <c r="D418" s="7">
        <f>(Table5345679103[[#This Row],[Value]]-B406)/B406</f>
        <v>2.5904801720019102E-2</v>
      </c>
    </row>
    <row r="419" spans="1:4" x14ac:dyDescent="0.35">
      <c r="A419" s="57">
        <v>34151</v>
      </c>
      <c r="B419" s="58">
        <f>VLOOKUP(Table5345679103[[#This Row],[Date]],Database!A:E,MATCH($A$1,Database!$A$1:$E$1,),)</f>
        <v>68.819999999999993</v>
      </c>
      <c r="C419" s="9">
        <f t="shared" si="6"/>
        <v>1.5863544410646717E-3</v>
      </c>
      <c r="D419" s="7">
        <f>(Table5345679103[[#This Row],[Value]]-B407)/B407</f>
        <v>2.4152863967141246E-2</v>
      </c>
    </row>
    <row r="420" spans="1:4" x14ac:dyDescent="0.35">
      <c r="A420" s="57">
        <v>34182</v>
      </c>
      <c r="B420" s="58">
        <f>VLOOKUP(Table5345679103[[#This Row],[Date]],Database!A:E,MATCH($A$1,Database!$A$1:$E$1,),)</f>
        <v>68.938000000000002</v>
      </c>
      <c r="C420" s="9">
        <f t="shared" si="6"/>
        <v>1.7146178436502357E-3</v>
      </c>
      <c r="D420" s="7">
        <f>(Table5345679103[[#This Row],[Value]]-B408)/B408</f>
        <v>2.453668613550903E-2</v>
      </c>
    </row>
    <row r="421" spans="1:4" x14ac:dyDescent="0.35">
      <c r="A421" s="57">
        <v>34213</v>
      </c>
      <c r="B421" s="58">
        <f>VLOOKUP(Table5345679103[[#This Row],[Date]],Database!A:E,MATCH($A$1,Database!$A$1:$E$1,),)</f>
        <v>69.010000000000005</v>
      </c>
      <c r="C421" s="9">
        <f t="shared" si="6"/>
        <v>1.0444167222722262E-3</v>
      </c>
      <c r="D421" s="7">
        <f>(Table5345679103[[#This Row],[Value]]-B409)/B409</f>
        <v>2.393281600071219E-2</v>
      </c>
    </row>
    <row r="422" spans="1:4" x14ac:dyDescent="0.35">
      <c r="A422" s="57">
        <v>34243</v>
      </c>
      <c r="B422" s="58">
        <f>VLOOKUP(Table5345679103[[#This Row],[Date]],Database!A:E,MATCH($A$1,Database!$A$1:$E$1,),)</f>
        <v>69.227000000000004</v>
      </c>
      <c r="C422" s="9">
        <f t="shared" si="6"/>
        <v>3.1444718156788689E-3</v>
      </c>
      <c r="D422" s="7">
        <f>(Table5345679103[[#This Row],[Value]]-B410)/B410</f>
        <v>2.3538108967250664E-2</v>
      </c>
    </row>
    <row r="423" spans="1:4" x14ac:dyDescent="0.35">
      <c r="A423" s="57">
        <v>34274</v>
      </c>
      <c r="B423" s="58">
        <f>VLOOKUP(Table5345679103[[#This Row],[Date]],Database!A:E,MATCH($A$1,Database!$A$1:$E$1,),)</f>
        <v>69.358000000000004</v>
      </c>
      <c r="C423" s="9">
        <f t="shared" si="6"/>
        <v>1.8923252488191056E-3</v>
      </c>
      <c r="D423" s="7">
        <f>(Table5345679103[[#This Row],[Value]]-B411)/B411</f>
        <v>2.3462401133278292E-2</v>
      </c>
    </row>
    <row r="424" spans="1:4" x14ac:dyDescent="0.35">
      <c r="A424" s="57">
        <v>34304</v>
      </c>
      <c r="B424" s="58">
        <f>VLOOKUP(Table5345679103[[#This Row],[Date]],Database!A:E,MATCH($A$1,Database!$A$1:$E$1,),)</f>
        <v>69.373999999999995</v>
      </c>
      <c r="C424" s="9">
        <f t="shared" si="6"/>
        <v>2.3068715937586337E-4</v>
      </c>
      <c r="D424" s="7">
        <f>(Table5345679103[[#This Row],[Value]]-B412)/B412</f>
        <v>2.1919099667088937E-2</v>
      </c>
    </row>
    <row r="425" spans="1:4" x14ac:dyDescent="0.35">
      <c r="A425" s="57">
        <v>34335</v>
      </c>
      <c r="B425" s="58">
        <f>VLOOKUP(Table5345679103[[#This Row],[Date]],Database!A:E,MATCH($A$1,Database!$A$1:$E$1,),)</f>
        <v>69.397000000000006</v>
      </c>
      <c r="C425" s="9">
        <f t="shared" si="6"/>
        <v>3.3153631043345271E-4</v>
      </c>
      <c r="D425" s="7">
        <f>(Table5345679103[[#This Row],[Value]]-B413)/B413</f>
        <v>1.976429788984892E-2</v>
      </c>
    </row>
    <row r="426" spans="1:4" x14ac:dyDescent="0.35">
      <c r="A426" s="57">
        <v>34366</v>
      </c>
      <c r="B426" s="58">
        <f>VLOOKUP(Table5345679103[[#This Row],[Date]],Database!A:E,MATCH($A$1,Database!$A$1:$E$1,),)</f>
        <v>69.558000000000007</v>
      </c>
      <c r="C426" s="9">
        <f t="shared" si="6"/>
        <v>2.3199850137614214E-3</v>
      </c>
      <c r="D426" s="7">
        <f>(Table5345679103[[#This Row],[Value]]-B414)/B414</f>
        <v>2.0600404965225968E-2</v>
      </c>
    </row>
    <row r="427" spans="1:4" x14ac:dyDescent="0.35">
      <c r="A427" s="57">
        <v>34394</v>
      </c>
      <c r="B427" s="58">
        <f>VLOOKUP(Table5345679103[[#This Row],[Date]],Database!A:E,MATCH($A$1,Database!$A$1:$E$1,),)</f>
        <v>69.75</v>
      </c>
      <c r="C427" s="9">
        <f t="shared" si="6"/>
        <v>2.7602863797117952E-3</v>
      </c>
      <c r="D427" s="7">
        <f>(Table5345679103[[#This Row],[Value]]-B415)/B415</f>
        <v>2.1319588836501056E-2</v>
      </c>
    </row>
    <row r="428" spans="1:4" x14ac:dyDescent="0.35">
      <c r="A428" s="57">
        <v>34425</v>
      </c>
      <c r="B428" s="58">
        <f>VLOOKUP(Table5345679103[[#This Row],[Date]],Database!A:E,MATCH($A$1,Database!$A$1:$E$1,),)</f>
        <v>69.831999999999994</v>
      </c>
      <c r="C428" s="9">
        <f t="shared" si="6"/>
        <v>1.1756272401432779E-3</v>
      </c>
      <c r="D428" s="7">
        <f>(Table5345679103[[#This Row],[Value]]-B416)/B416</f>
        <v>1.9817451624680533E-2</v>
      </c>
    </row>
    <row r="429" spans="1:4" x14ac:dyDescent="0.35">
      <c r="A429" s="57">
        <v>34455</v>
      </c>
      <c r="B429" s="58">
        <f>VLOOKUP(Table5345679103[[#This Row],[Date]],Database!A:E,MATCH($A$1,Database!$A$1:$E$1,),)</f>
        <v>69.933000000000007</v>
      </c>
      <c r="C429" s="9">
        <f t="shared" si="6"/>
        <v>1.4463283308513762E-3</v>
      </c>
      <c r="D429" s="7">
        <f>(Table5345679103[[#This Row],[Value]]-B417)/B417</f>
        <v>1.8140259437739448E-2</v>
      </c>
    </row>
    <row r="430" spans="1:4" x14ac:dyDescent="0.35">
      <c r="A430" s="57">
        <v>34486</v>
      </c>
      <c r="B430" s="58">
        <f>VLOOKUP(Table5345679103[[#This Row],[Date]],Database!A:E,MATCH($A$1,Database!$A$1:$E$1,),)</f>
        <v>70.103999999999999</v>
      </c>
      <c r="C430" s="9">
        <f t="shared" si="6"/>
        <v>2.4451975462227026E-3</v>
      </c>
      <c r="D430" s="7">
        <f>(Table5345679103[[#This Row],[Value]]-B418)/B418</f>
        <v>2.027331868259814E-2</v>
      </c>
    </row>
    <row r="431" spans="1:4" x14ac:dyDescent="0.35">
      <c r="A431" s="57">
        <v>34516</v>
      </c>
      <c r="B431" s="58">
        <f>VLOOKUP(Table5345679103[[#This Row],[Date]],Database!A:E,MATCH($A$1,Database!$A$1:$E$1,),)</f>
        <v>70.325000000000003</v>
      </c>
      <c r="C431" s="9">
        <f t="shared" si="6"/>
        <v>3.1524592034691836E-3</v>
      </c>
      <c r="D431" s="7">
        <f>(Table5345679103[[#This Row],[Value]]-B419)/B419</f>
        <v>2.1868642836384913E-2</v>
      </c>
    </row>
    <row r="432" spans="1:4" x14ac:dyDescent="0.35">
      <c r="A432" s="57">
        <v>34547</v>
      </c>
      <c r="B432" s="58">
        <f>VLOOKUP(Table5345679103[[#This Row],[Date]],Database!A:E,MATCH($A$1,Database!$A$1:$E$1,),)</f>
        <v>70.486000000000004</v>
      </c>
      <c r="C432" s="9">
        <f t="shared" si="6"/>
        <v>2.2893707785282811E-3</v>
      </c>
      <c r="D432" s="7">
        <f>(Table5345679103[[#This Row],[Value]]-B420)/B420</f>
        <v>2.2454959528852039E-2</v>
      </c>
    </row>
    <row r="433" spans="1:4" x14ac:dyDescent="0.35">
      <c r="A433" s="57">
        <v>34578</v>
      </c>
      <c r="B433" s="58">
        <f>VLOOKUP(Table5345679103[[#This Row],[Date]],Database!A:E,MATCH($A$1,Database!$A$1:$E$1,),)</f>
        <v>70.564999999999998</v>
      </c>
      <c r="C433" s="9">
        <f t="shared" si="6"/>
        <v>1.120789944102283E-3</v>
      </c>
      <c r="D433" s="7">
        <f>(Table5345679103[[#This Row],[Value]]-B421)/B421</f>
        <v>2.2532966236777169E-2</v>
      </c>
    </row>
    <row r="434" spans="1:4" x14ac:dyDescent="0.35">
      <c r="A434" s="57">
        <v>34608</v>
      </c>
      <c r="B434" s="58">
        <f>VLOOKUP(Table5345679103[[#This Row],[Date]],Database!A:E,MATCH($A$1,Database!$A$1:$E$1,),)</f>
        <v>70.683999999999997</v>
      </c>
      <c r="C434" s="9">
        <f t="shared" si="6"/>
        <v>1.6863884361935772E-3</v>
      </c>
      <c r="D434" s="7">
        <f>(Table5345679103[[#This Row],[Value]]-B422)/B422</f>
        <v>2.1046701431522291E-2</v>
      </c>
    </row>
    <row r="435" spans="1:4" x14ac:dyDescent="0.35">
      <c r="A435" s="57">
        <v>34639</v>
      </c>
      <c r="B435" s="58">
        <f>VLOOKUP(Table5345679103[[#This Row],[Date]],Database!A:E,MATCH($A$1,Database!$A$1:$E$1,),)</f>
        <v>70.819000000000003</v>
      </c>
      <c r="C435" s="9">
        <f t="shared" si="6"/>
        <v>1.9099088902722698E-3</v>
      </c>
      <c r="D435" s="7">
        <f>(Table5345679103[[#This Row],[Value]]-B423)/B423</f>
        <v>2.1064621240520175E-2</v>
      </c>
    </row>
    <row r="436" spans="1:4" x14ac:dyDescent="0.35">
      <c r="A436" s="57">
        <v>34669</v>
      </c>
      <c r="B436" s="58">
        <f>VLOOKUP(Table5345679103[[#This Row],[Date]],Database!A:E,MATCH($A$1,Database!$A$1:$E$1,),)</f>
        <v>70.864999999999995</v>
      </c>
      <c r="C436" s="9">
        <f t="shared" si="6"/>
        <v>6.4954320168305495E-4</v>
      </c>
      <c r="D436" s="7">
        <f>(Table5345679103[[#This Row],[Value]]-B424)/B424</f>
        <v>2.1492201689393718E-2</v>
      </c>
    </row>
    <row r="437" spans="1:4" x14ac:dyDescent="0.35">
      <c r="A437" s="57">
        <v>34700</v>
      </c>
      <c r="B437" s="58">
        <f>VLOOKUP(Table5345679103[[#This Row],[Date]],Database!A:E,MATCH($A$1,Database!$A$1:$E$1,),)</f>
        <v>71.007999999999996</v>
      </c>
      <c r="C437" s="9">
        <f t="shared" si="6"/>
        <v>2.0179213998447851E-3</v>
      </c>
      <c r="D437" s="7">
        <f>(Table5345679103[[#This Row],[Value]]-B425)/B425</f>
        <v>2.3214259982419844E-2</v>
      </c>
    </row>
    <row r="438" spans="1:4" x14ac:dyDescent="0.35">
      <c r="A438" s="57">
        <v>34731</v>
      </c>
      <c r="B438" s="58">
        <f>VLOOKUP(Table5345679103[[#This Row],[Date]],Database!A:E,MATCH($A$1,Database!$A$1:$E$1,),)</f>
        <v>71.134</v>
      </c>
      <c r="C438" s="9">
        <f t="shared" si="6"/>
        <v>1.7744479495268811E-3</v>
      </c>
      <c r="D438" s="7">
        <f>(Table5345679103[[#This Row],[Value]]-B426)/B426</f>
        <v>2.2657350700135043E-2</v>
      </c>
    </row>
    <row r="439" spans="1:4" x14ac:dyDescent="0.35">
      <c r="A439" s="57">
        <v>34759</v>
      </c>
      <c r="B439" s="58">
        <f>VLOOKUP(Table5345679103[[#This Row],[Date]],Database!A:E,MATCH($A$1,Database!$A$1:$E$1,),)</f>
        <v>71.265000000000001</v>
      </c>
      <c r="C439" s="9">
        <f t="shared" si="6"/>
        <v>1.8415947366941297E-3</v>
      </c>
      <c r="D439" s="7">
        <f>(Table5345679103[[#This Row],[Value]]-B427)/B427</f>
        <v>2.1720430107526889E-2</v>
      </c>
    </row>
    <row r="440" spans="1:4" x14ac:dyDescent="0.35">
      <c r="A440" s="57">
        <v>34790</v>
      </c>
      <c r="B440" s="58">
        <f>VLOOKUP(Table5345679103[[#This Row],[Date]],Database!A:E,MATCH($A$1,Database!$A$1:$E$1,),)</f>
        <v>71.453000000000003</v>
      </c>
      <c r="C440" s="9">
        <f t="shared" si="6"/>
        <v>2.6380411141514403E-3</v>
      </c>
      <c r="D440" s="7">
        <f>(Table5345679103[[#This Row],[Value]]-B428)/B428</f>
        <v>2.3212853706037484E-2</v>
      </c>
    </row>
    <row r="441" spans="1:4" x14ac:dyDescent="0.35">
      <c r="A441" s="57">
        <v>34820</v>
      </c>
      <c r="B441" s="58">
        <f>VLOOKUP(Table5345679103[[#This Row],[Date]],Database!A:E,MATCH($A$1,Database!$A$1:$E$1,),)</f>
        <v>71.563000000000002</v>
      </c>
      <c r="C441" s="9">
        <f t="shared" si="6"/>
        <v>1.5394735000629704E-3</v>
      </c>
      <c r="D441" s="7">
        <f>(Table5345679103[[#This Row],[Value]]-B429)/B429</f>
        <v>2.3308023393819731E-2</v>
      </c>
    </row>
    <row r="442" spans="1:4" x14ac:dyDescent="0.35">
      <c r="A442" s="57">
        <v>34851</v>
      </c>
      <c r="B442" s="58">
        <f>VLOOKUP(Table5345679103[[#This Row],[Date]],Database!A:E,MATCH($A$1,Database!$A$1:$E$1,),)</f>
        <v>71.632999999999996</v>
      </c>
      <c r="C442" s="9">
        <f t="shared" si="6"/>
        <v>9.7815910456511301E-4</v>
      </c>
      <c r="D442" s="7">
        <f>(Table5345679103[[#This Row],[Value]]-B430)/B430</f>
        <v>2.1810453041195887E-2</v>
      </c>
    </row>
    <row r="443" spans="1:4" x14ac:dyDescent="0.35">
      <c r="A443" s="57">
        <v>34881</v>
      </c>
      <c r="B443" s="58">
        <f>VLOOKUP(Table5345679103[[#This Row],[Date]],Database!A:E,MATCH($A$1,Database!$A$1:$E$1,),)</f>
        <v>71.721999999999994</v>
      </c>
      <c r="C443" s="9">
        <f t="shared" si="6"/>
        <v>1.2424441249144758E-3</v>
      </c>
      <c r="D443" s="7">
        <f>(Table5345679103[[#This Row],[Value]]-B431)/B431</f>
        <v>1.9864912904372433E-2</v>
      </c>
    </row>
    <row r="444" spans="1:4" x14ac:dyDescent="0.35">
      <c r="A444" s="57">
        <v>34912</v>
      </c>
      <c r="B444" s="58">
        <f>VLOOKUP(Table5345679103[[#This Row],[Date]],Database!A:E,MATCH($A$1,Database!$A$1:$E$1,),)</f>
        <v>71.876999999999995</v>
      </c>
      <c r="C444" s="9">
        <f t="shared" si="6"/>
        <v>2.1611221103706138E-3</v>
      </c>
      <c r="D444" s="7">
        <f>(Table5345679103[[#This Row],[Value]]-B432)/B432</f>
        <v>1.9734415344891058E-2</v>
      </c>
    </row>
    <row r="445" spans="1:4" x14ac:dyDescent="0.35">
      <c r="A445" s="57">
        <v>34943</v>
      </c>
      <c r="B445" s="58">
        <f>VLOOKUP(Table5345679103[[#This Row],[Date]],Database!A:E,MATCH($A$1,Database!$A$1:$E$1,),)</f>
        <v>71.926000000000002</v>
      </c>
      <c r="C445" s="9">
        <f t="shared" si="6"/>
        <v>6.8172016083039915E-4</v>
      </c>
      <c r="D445" s="7">
        <f>(Table5345679103[[#This Row],[Value]]-B433)/B433</f>
        <v>1.9287182030751849E-2</v>
      </c>
    </row>
    <row r="446" spans="1:4" x14ac:dyDescent="0.35">
      <c r="A446" s="57">
        <v>34973</v>
      </c>
      <c r="B446" s="58">
        <f>VLOOKUP(Table5345679103[[#This Row],[Date]],Database!A:E,MATCH($A$1,Database!$A$1:$E$1,),)</f>
        <v>72.113</v>
      </c>
      <c r="C446" s="9">
        <f t="shared" si="6"/>
        <v>2.5998943358451409E-3</v>
      </c>
      <c r="D446" s="7">
        <f>(Table5345679103[[#This Row],[Value]]-B434)/B434</f>
        <v>2.0216739290362769E-2</v>
      </c>
    </row>
    <row r="447" spans="1:4" x14ac:dyDescent="0.35">
      <c r="A447" s="57">
        <v>35004</v>
      </c>
      <c r="B447" s="58">
        <f>VLOOKUP(Table5345679103[[#This Row],[Date]],Database!A:E,MATCH($A$1,Database!$A$1:$E$1,),)</f>
        <v>72.111000000000004</v>
      </c>
      <c r="C447" s="9">
        <f t="shared" si="6"/>
        <v>-2.7734250412482338E-5</v>
      </c>
      <c r="D447" s="7">
        <f>(Table5345679103[[#This Row],[Value]]-B435)/B435</f>
        <v>1.8243691664666283E-2</v>
      </c>
    </row>
    <row r="448" spans="1:4" x14ac:dyDescent="0.35">
      <c r="A448" s="57">
        <v>35034</v>
      </c>
      <c r="B448" s="58">
        <f>VLOOKUP(Table5345679103[[#This Row],[Date]],Database!A:E,MATCH($A$1,Database!$A$1:$E$1,),)</f>
        <v>72.248999999999995</v>
      </c>
      <c r="C448" s="9">
        <f t="shared" si="6"/>
        <v>1.9137163539541958E-3</v>
      </c>
      <c r="D448" s="7">
        <f>(Table5345679103[[#This Row],[Value]]-B436)/B436</f>
        <v>1.9530092429266923E-2</v>
      </c>
    </row>
    <row r="449" spans="1:4" x14ac:dyDescent="0.35">
      <c r="A449" s="57">
        <v>35065</v>
      </c>
      <c r="B449" s="58">
        <f>VLOOKUP(Table5345679103[[#This Row],[Date]],Database!A:E,MATCH($A$1,Database!$A$1:$E$1,),)</f>
        <v>72.41</v>
      </c>
      <c r="C449" s="9">
        <f t="shared" si="6"/>
        <v>2.2284045453916509E-3</v>
      </c>
      <c r="D449" s="7">
        <f>(Table5345679103[[#This Row],[Value]]-B437)/B437</f>
        <v>1.9744254168544403E-2</v>
      </c>
    </row>
    <row r="450" spans="1:4" x14ac:dyDescent="0.35">
      <c r="A450" s="57">
        <v>35096</v>
      </c>
      <c r="B450" s="58">
        <f>VLOOKUP(Table5345679103[[#This Row],[Date]],Database!A:E,MATCH($A$1,Database!$A$1:$E$1,),)</f>
        <v>72.524000000000001</v>
      </c>
      <c r="C450" s="9">
        <f t="shared" si="6"/>
        <v>1.574368181190503E-3</v>
      </c>
      <c r="D450" s="7">
        <f>(Table5345679103[[#This Row],[Value]]-B438)/B438</f>
        <v>1.9540585374082726E-2</v>
      </c>
    </row>
    <row r="451" spans="1:4" x14ac:dyDescent="0.35">
      <c r="A451" s="57">
        <v>35125</v>
      </c>
      <c r="B451" s="58">
        <f>VLOOKUP(Table5345679103[[#This Row],[Date]],Database!A:E,MATCH($A$1,Database!$A$1:$E$1,),)</f>
        <v>72.742999999999995</v>
      </c>
      <c r="C451" s="9">
        <f t="shared" si="6"/>
        <v>3.0196900336439537E-3</v>
      </c>
      <c r="D451" s="7">
        <f>(Table5345679103[[#This Row],[Value]]-B439)/B439</f>
        <v>2.0739493439977469E-2</v>
      </c>
    </row>
    <row r="452" spans="1:4" x14ac:dyDescent="0.35">
      <c r="A452" s="57">
        <v>35156</v>
      </c>
      <c r="B452" s="58">
        <f>VLOOKUP(Table5345679103[[#This Row],[Date]],Database!A:E,MATCH($A$1,Database!$A$1:$E$1,),)</f>
        <v>72.960999999999999</v>
      </c>
      <c r="C452" s="9">
        <f t="shared" si="6"/>
        <v>2.9968519307700197E-3</v>
      </c>
      <c r="D452" s="7">
        <f>(Table5345679103[[#This Row],[Value]]-B440)/B440</f>
        <v>2.1104782164499677E-2</v>
      </c>
    </row>
    <row r="453" spans="1:4" x14ac:dyDescent="0.35">
      <c r="A453" s="57">
        <v>35186</v>
      </c>
      <c r="B453" s="58">
        <f>VLOOKUP(Table5345679103[[#This Row],[Date]],Database!A:E,MATCH($A$1,Database!$A$1:$E$1,),)</f>
        <v>73.087000000000003</v>
      </c>
      <c r="C453" s="9">
        <f t="shared" si="6"/>
        <v>1.7269500143913155E-3</v>
      </c>
      <c r="D453" s="7">
        <f>(Table5345679103[[#This Row],[Value]]-B441)/B441</f>
        <v>2.1295921076533976E-2</v>
      </c>
    </row>
    <row r="454" spans="1:4" x14ac:dyDescent="0.35">
      <c r="A454" s="57">
        <v>35217</v>
      </c>
      <c r="B454" s="58">
        <f>VLOOKUP(Table5345679103[[#This Row],[Date]],Database!A:E,MATCH($A$1,Database!$A$1:$E$1,),)</f>
        <v>73.085999999999999</v>
      </c>
      <c r="C454" s="9">
        <f t="shared" ref="C454:C517" si="7">(B454-B453)/B453</f>
        <v>-1.368232380594052E-5</v>
      </c>
      <c r="D454" s="7">
        <f>(Table5345679103[[#This Row],[Value]]-B442)/B442</f>
        <v>2.0283947342705222E-2</v>
      </c>
    </row>
    <row r="455" spans="1:4" x14ac:dyDescent="0.35">
      <c r="A455" s="57">
        <v>35247</v>
      </c>
      <c r="B455" s="58">
        <f>VLOOKUP(Table5345679103[[#This Row],[Date]],Database!A:E,MATCH($A$1,Database!$A$1:$E$1,),)</f>
        <v>73.241</v>
      </c>
      <c r="C455" s="9">
        <f t="shared" si="7"/>
        <v>2.1207892072353275E-3</v>
      </c>
      <c r="D455" s="7">
        <f>(Table5345679103[[#This Row],[Value]]-B443)/B443</f>
        <v>2.1178996681631933E-2</v>
      </c>
    </row>
    <row r="456" spans="1:4" x14ac:dyDescent="0.35">
      <c r="A456" s="57">
        <v>35278</v>
      </c>
      <c r="B456" s="58">
        <f>VLOOKUP(Table5345679103[[#This Row],[Date]],Database!A:E,MATCH($A$1,Database!$A$1:$E$1,),)</f>
        <v>73.31</v>
      </c>
      <c r="C456" s="9">
        <f t="shared" si="7"/>
        <v>9.4209527450475302E-4</v>
      </c>
      <c r="D456" s="7">
        <f>(Table5345679103[[#This Row],[Value]]-B444)/B444</f>
        <v>1.9936836540200717E-2</v>
      </c>
    </row>
    <row r="457" spans="1:4" x14ac:dyDescent="0.35">
      <c r="A457" s="57">
        <v>35309</v>
      </c>
      <c r="B457" s="58">
        <f>VLOOKUP(Table5345679103[[#This Row],[Date]],Database!A:E,MATCH($A$1,Database!$A$1:$E$1,),)</f>
        <v>73.516999999999996</v>
      </c>
      <c r="C457" s="9">
        <f t="shared" si="7"/>
        <v>2.8236256990859859E-3</v>
      </c>
      <c r="D457" s="7">
        <f>(Table5345679103[[#This Row],[Value]]-B445)/B445</f>
        <v>2.2119956622083724E-2</v>
      </c>
    </row>
    <row r="458" spans="1:4" x14ac:dyDescent="0.35">
      <c r="A458" s="57">
        <v>35339</v>
      </c>
      <c r="B458" s="58">
        <f>VLOOKUP(Table5345679103[[#This Row],[Date]],Database!A:E,MATCH($A$1,Database!$A$1:$E$1,),)</f>
        <v>73.739999999999995</v>
      </c>
      <c r="C458" s="9">
        <f t="shared" si="7"/>
        <v>3.0333120230694802E-3</v>
      </c>
      <c r="D458" s="7">
        <f>(Table5345679103[[#This Row],[Value]]-B446)/B446</f>
        <v>2.25618127106069E-2</v>
      </c>
    </row>
    <row r="459" spans="1:4" x14ac:dyDescent="0.35">
      <c r="A459" s="57">
        <v>35370</v>
      </c>
      <c r="B459" s="58">
        <f>VLOOKUP(Table5345679103[[#This Row],[Date]],Database!A:E,MATCH($A$1,Database!$A$1:$E$1,),)</f>
        <v>73.870999999999995</v>
      </c>
      <c r="C459" s="9">
        <f t="shared" si="7"/>
        <v>1.7765120694331468E-3</v>
      </c>
      <c r="D459" s="7">
        <f>(Table5345679103[[#This Row],[Value]]-B447)/B447</f>
        <v>2.4406817267823091E-2</v>
      </c>
    </row>
    <row r="460" spans="1:4" x14ac:dyDescent="0.35">
      <c r="A460" s="57">
        <v>35400</v>
      </c>
      <c r="B460" s="58">
        <f>VLOOKUP(Table5345679103[[#This Row],[Date]],Database!A:E,MATCH($A$1,Database!$A$1:$E$1,),)</f>
        <v>73.956000000000003</v>
      </c>
      <c r="C460" s="9">
        <f t="shared" si="7"/>
        <v>1.1506545193649465E-3</v>
      </c>
      <c r="D460" s="7">
        <f>(Table5345679103[[#This Row],[Value]]-B448)/B448</f>
        <v>2.3626624589959833E-2</v>
      </c>
    </row>
    <row r="461" spans="1:4" x14ac:dyDescent="0.35">
      <c r="A461" s="57">
        <v>35431</v>
      </c>
      <c r="B461" s="58">
        <f>VLOOKUP(Table5345679103[[#This Row],[Date]],Database!A:E,MATCH($A$1,Database!$A$1:$E$1,),)</f>
        <v>74.052000000000007</v>
      </c>
      <c r="C461" s="9">
        <f t="shared" si="7"/>
        <v>1.2980691221808052E-3</v>
      </c>
      <c r="D461" s="7">
        <f>(Table5345679103[[#This Row],[Value]]-B449)/B449</f>
        <v>2.2676425908023896E-2</v>
      </c>
    </row>
    <row r="462" spans="1:4" x14ac:dyDescent="0.35">
      <c r="A462" s="57">
        <v>35462</v>
      </c>
      <c r="B462" s="58">
        <f>VLOOKUP(Table5345679103[[#This Row],[Date]],Database!A:E,MATCH($A$1,Database!$A$1:$E$1,),)</f>
        <v>74.207999999999998</v>
      </c>
      <c r="C462" s="9">
        <f t="shared" si="7"/>
        <v>2.1066277750768606E-3</v>
      </c>
      <c r="D462" s="7">
        <f>(Table5345679103[[#This Row],[Value]]-B450)/B450</f>
        <v>2.3219899619436289E-2</v>
      </c>
    </row>
    <row r="463" spans="1:4" x14ac:dyDescent="0.35">
      <c r="A463" s="57">
        <v>35490</v>
      </c>
      <c r="B463" s="58">
        <f>VLOOKUP(Table5345679103[[#This Row],[Date]],Database!A:E,MATCH($A$1,Database!$A$1:$E$1,),)</f>
        <v>74.286000000000001</v>
      </c>
      <c r="C463" s="9">
        <f t="shared" si="7"/>
        <v>1.0510996119017216E-3</v>
      </c>
      <c r="D463" s="7">
        <f>(Table5345679103[[#This Row],[Value]]-B451)/B451</f>
        <v>2.1211662977881122E-2</v>
      </c>
    </row>
    <row r="464" spans="1:4" x14ac:dyDescent="0.35">
      <c r="A464" s="57">
        <v>35521</v>
      </c>
      <c r="B464" s="58">
        <f>VLOOKUP(Table5345679103[[#This Row],[Date]],Database!A:E,MATCH($A$1,Database!$A$1:$E$1,),)</f>
        <v>74.358999999999995</v>
      </c>
      <c r="C464" s="9">
        <f t="shared" si="7"/>
        <v>9.826885281209554E-4</v>
      </c>
      <c r="D464" s="7">
        <f>(Table5345679103[[#This Row],[Value]]-B452)/B452</f>
        <v>1.9160921588245724E-2</v>
      </c>
    </row>
    <row r="465" spans="1:4" x14ac:dyDescent="0.35">
      <c r="A465" s="57">
        <v>35551</v>
      </c>
      <c r="B465" s="58">
        <f>VLOOKUP(Table5345679103[[#This Row],[Date]],Database!A:E,MATCH($A$1,Database!$A$1:$E$1,),)</f>
        <v>74.323999999999998</v>
      </c>
      <c r="C465" s="9">
        <f t="shared" si="7"/>
        <v>-4.7068949286564629E-4</v>
      </c>
      <c r="D465" s="7">
        <f>(Table5345679103[[#This Row],[Value]]-B453)/B453</f>
        <v>1.6925034547867538E-2</v>
      </c>
    </row>
    <row r="466" spans="1:4" x14ac:dyDescent="0.35">
      <c r="A466" s="57">
        <v>35582</v>
      </c>
      <c r="B466" s="58">
        <f>VLOOKUP(Table5345679103[[#This Row],[Date]],Database!A:E,MATCH($A$1,Database!$A$1:$E$1,),)</f>
        <v>74.42</v>
      </c>
      <c r="C466" s="9">
        <f t="shared" si="7"/>
        <v>1.2916419998924122E-3</v>
      </c>
      <c r="D466" s="7">
        <f>(Table5345679103[[#This Row],[Value]]-B454)/B454</f>
        <v>1.8252469693238148E-2</v>
      </c>
    </row>
    <row r="467" spans="1:4" x14ac:dyDescent="0.35">
      <c r="A467" s="57">
        <v>35612</v>
      </c>
      <c r="B467" s="58">
        <f>VLOOKUP(Table5345679103[[#This Row],[Date]],Database!A:E,MATCH($A$1,Database!$A$1:$E$1,),)</f>
        <v>74.463999999999999</v>
      </c>
      <c r="C467" s="9">
        <f t="shared" si="7"/>
        <v>5.9123891427031615E-4</v>
      </c>
      <c r="D467" s="7">
        <f>(Table5345679103[[#This Row],[Value]]-B455)/B455</f>
        <v>1.6698297401728526E-2</v>
      </c>
    </row>
    <row r="468" spans="1:4" x14ac:dyDescent="0.35">
      <c r="A468" s="57">
        <v>35643</v>
      </c>
      <c r="B468" s="58">
        <f>VLOOKUP(Table5345679103[[#This Row],[Date]],Database!A:E,MATCH($A$1,Database!$A$1:$E$1,),)</f>
        <v>74.524000000000001</v>
      </c>
      <c r="C468" s="9">
        <f t="shared" si="7"/>
        <v>8.0575848732276369E-4</v>
      </c>
      <c r="D468" s="7">
        <f>(Table5345679103[[#This Row],[Value]]-B456)/B456</f>
        <v>1.6559814486427481E-2</v>
      </c>
    </row>
    <row r="469" spans="1:4" x14ac:dyDescent="0.35">
      <c r="A469" s="57">
        <v>35674</v>
      </c>
      <c r="B469" s="58">
        <f>VLOOKUP(Table5345679103[[#This Row],[Date]],Database!A:E,MATCH($A$1,Database!$A$1:$E$1,),)</f>
        <v>74.703999999999994</v>
      </c>
      <c r="C469" s="9">
        <f t="shared" si="7"/>
        <v>2.4153292898930895E-3</v>
      </c>
      <c r="D469" s="7">
        <f>(Table5345679103[[#This Row],[Value]]-B457)/B457</f>
        <v>1.6145925432212927E-2</v>
      </c>
    </row>
    <row r="470" spans="1:4" x14ac:dyDescent="0.35">
      <c r="A470" s="57">
        <v>35704</v>
      </c>
      <c r="B470" s="58">
        <f>VLOOKUP(Table5345679103[[#This Row],[Date]],Database!A:E,MATCH($A$1,Database!$A$1:$E$1,),)</f>
        <v>74.801000000000002</v>
      </c>
      <c r="C470" s="9">
        <f t="shared" si="7"/>
        <v>1.2984579139003055E-3</v>
      </c>
      <c r="D470" s="7">
        <f>(Table5345679103[[#This Row],[Value]]-B458)/B458</f>
        <v>1.4388391646325022E-2</v>
      </c>
    </row>
    <row r="471" spans="1:4" x14ac:dyDescent="0.35">
      <c r="A471" s="57">
        <v>35735</v>
      </c>
      <c r="B471" s="58">
        <f>VLOOKUP(Table5345679103[[#This Row],[Date]],Database!A:E,MATCH($A$1,Database!$A$1:$E$1,),)</f>
        <v>74.804000000000002</v>
      </c>
      <c r="C471" s="9">
        <f t="shared" si="7"/>
        <v>4.0106415689631336E-5</v>
      </c>
      <c r="D471" s="7">
        <f>(Table5345679103[[#This Row],[Value]]-B459)/B459</f>
        <v>1.2630125489028265E-2</v>
      </c>
    </row>
    <row r="472" spans="1:4" x14ac:dyDescent="0.35">
      <c r="A472" s="57">
        <v>35765</v>
      </c>
      <c r="B472" s="58">
        <f>VLOOKUP(Table5345679103[[#This Row],[Date]],Database!A:E,MATCH($A$1,Database!$A$1:$E$1,),)</f>
        <v>74.787999999999997</v>
      </c>
      <c r="C472" s="9">
        <f t="shared" si="7"/>
        <v>-2.1389230522439099E-4</v>
      </c>
      <c r="D472" s="7">
        <f>(Table5345679103[[#This Row],[Value]]-B460)/B460</f>
        <v>1.1249932392233134E-2</v>
      </c>
    </row>
    <row r="473" spans="1:4" x14ac:dyDescent="0.35">
      <c r="A473" s="57">
        <v>35796</v>
      </c>
      <c r="B473" s="58">
        <f>VLOOKUP(Table5345679103[[#This Row],[Date]],Database!A:E,MATCH($A$1,Database!$A$1:$E$1,),)</f>
        <v>74.825000000000003</v>
      </c>
      <c r="C473" s="9">
        <f t="shared" si="7"/>
        <v>4.9473177515117588E-4</v>
      </c>
      <c r="D473" s="7">
        <f>(Table5345679103[[#This Row],[Value]]-B461)/B461</f>
        <v>1.0438610705990331E-2</v>
      </c>
    </row>
    <row r="474" spans="1:4" x14ac:dyDescent="0.35">
      <c r="A474" s="57">
        <v>35827</v>
      </c>
      <c r="B474" s="58">
        <f>VLOOKUP(Table5345679103[[#This Row],[Date]],Database!A:E,MATCH($A$1,Database!$A$1:$E$1,),)</f>
        <v>74.787000000000006</v>
      </c>
      <c r="C474" s="9">
        <f t="shared" si="7"/>
        <v>-5.0785165385896028E-4</v>
      </c>
      <c r="D474" s="7">
        <f>(Table5345679103[[#This Row],[Value]]-B462)/B462</f>
        <v>7.8023932729625878E-3</v>
      </c>
    </row>
    <row r="475" spans="1:4" x14ac:dyDescent="0.35">
      <c r="A475" s="57">
        <v>35855</v>
      </c>
      <c r="B475" s="58">
        <f>VLOOKUP(Table5345679103[[#This Row],[Date]],Database!A:E,MATCH($A$1,Database!$A$1:$E$1,),)</f>
        <v>74.799000000000007</v>
      </c>
      <c r="C475" s="9">
        <f t="shared" si="7"/>
        <v>1.6045569417145298E-4</v>
      </c>
      <c r="D475" s="7">
        <f>(Table5345679103[[#This Row],[Value]]-B463)/B463</f>
        <v>6.9057426702205695E-3</v>
      </c>
    </row>
    <row r="476" spans="1:4" x14ac:dyDescent="0.35">
      <c r="A476" s="57">
        <v>35886</v>
      </c>
      <c r="B476" s="58">
        <f>VLOOKUP(Table5345679103[[#This Row],[Date]],Database!A:E,MATCH($A$1,Database!$A$1:$E$1,),)</f>
        <v>74.891000000000005</v>
      </c>
      <c r="C476" s="9">
        <f t="shared" si="7"/>
        <v>1.2299629674193337E-3</v>
      </c>
      <c r="D476" s="7">
        <f>(Table5345679103[[#This Row],[Value]]-B464)/B464</f>
        <v>7.1544802915586648E-3</v>
      </c>
    </row>
    <row r="477" spans="1:4" x14ac:dyDescent="0.35">
      <c r="A477" s="57">
        <v>35916</v>
      </c>
      <c r="B477" s="58">
        <f>VLOOKUP(Table5345679103[[#This Row],[Date]],Database!A:E,MATCH($A$1,Database!$A$1:$E$1,),)</f>
        <v>74.994</v>
      </c>
      <c r="C477" s="9">
        <f t="shared" si="7"/>
        <v>1.3753321493903731E-3</v>
      </c>
      <c r="D477" s="7">
        <f>(Table5345679103[[#This Row],[Value]]-B465)/B465</f>
        <v>9.0145847909154746E-3</v>
      </c>
    </row>
    <row r="478" spans="1:4" x14ac:dyDescent="0.35">
      <c r="A478" s="57">
        <v>35947</v>
      </c>
      <c r="B478" s="58">
        <f>VLOOKUP(Table5345679103[[#This Row],[Date]],Database!A:E,MATCH($A$1,Database!$A$1:$E$1,),)</f>
        <v>74.930999999999997</v>
      </c>
      <c r="C478" s="9">
        <f t="shared" si="7"/>
        <v>-8.4006720537646194E-4</v>
      </c>
      <c r="D478" s="7">
        <f>(Table5345679103[[#This Row],[Value]]-B466)/B466</f>
        <v>6.866433754367047E-3</v>
      </c>
    </row>
    <row r="479" spans="1:4" x14ac:dyDescent="0.35">
      <c r="A479" s="57">
        <v>35977</v>
      </c>
      <c r="B479" s="58">
        <f>VLOOKUP(Table5345679103[[#This Row],[Date]],Database!A:E,MATCH($A$1,Database!$A$1:$E$1,),)</f>
        <v>75.116</v>
      </c>
      <c r="C479" s="9">
        <f t="shared" si="7"/>
        <v>2.4689380897092296E-3</v>
      </c>
      <c r="D479" s="7">
        <f>(Table5345679103[[#This Row],[Value]]-B467)/B467</f>
        <v>8.7559088955737139E-3</v>
      </c>
    </row>
    <row r="480" spans="1:4" x14ac:dyDescent="0.35">
      <c r="A480" s="57">
        <v>36008</v>
      </c>
      <c r="B480" s="58">
        <f>VLOOKUP(Table5345679103[[#This Row],[Date]],Database!A:E,MATCH($A$1,Database!$A$1:$E$1,),)</f>
        <v>75.22</v>
      </c>
      <c r="C480" s="9">
        <f t="shared" si="7"/>
        <v>1.3845252675861229E-3</v>
      </c>
      <c r="D480" s="7">
        <f>(Table5345679103[[#This Row],[Value]]-B468)/B468</f>
        <v>9.3392732542536359E-3</v>
      </c>
    </row>
    <row r="481" spans="1:4" x14ac:dyDescent="0.35">
      <c r="A481" s="57">
        <v>36039</v>
      </c>
      <c r="B481" s="58">
        <f>VLOOKUP(Table5345679103[[#This Row],[Date]],Database!A:E,MATCH($A$1,Database!$A$1:$E$1,),)</f>
        <v>75.176000000000002</v>
      </c>
      <c r="C481" s="9">
        <f t="shared" si="7"/>
        <v>-5.8495081095449257E-4</v>
      </c>
      <c r="D481" s="7">
        <f>(Table5345679103[[#This Row],[Value]]-B469)/B469</f>
        <v>6.3182694367103298E-3</v>
      </c>
    </row>
    <row r="482" spans="1:4" x14ac:dyDescent="0.35">
      <c r="A482" s="57">
        <v>36069</v>
      </c>
      <c r="B482" s="58">
        <f>VLOOKUP(Table5345679103[[#This Row],[Date]],Database!A:E,MATCH($A$1,Database!$A$1:$E$1,),)</f>
        <v>75.340999999999994</v>
      </c>
      <c r="C482" s="9">
        <f t="shared" si="7"/>
        <v>2.1948494200275627E-3</v>
      </c>
      <c r="D482" s="7">
        <f>(Table5345679103[[#This Row],[Value]]-B470)/B470</f>
        <v>7.219154824133261E-3</v>
      </c>
    </row>
    <row r="483" spans="1:4" x14ac:dyDescent="0.35">
      <c r="A483" s="57">
        <v>36100</v>
      </c>
      <c r="B483" s="58">
        <f>VLOOKUP(Table5345679103[[#This Row],[Date]],Database!A:E,MATCH($A$1,Database!$A$1:$E$1,),)</f>
        <v>75.344999999999999</v>
      </c>
      <c r="C483" s="9">
        <f t="shared" si="7"/>
        <v>5.3091941970572314E-5</v>
      </c>
      <c r="D483" s="7">
        <f>(Table5345679103[[#This Row],[Value]]-B471)/B471</f>
        <v>7.2322335703972618E-3</v>
      </c>
    </row>
    <row r="484" spans="1:4" x14ac:dyDescent="0.35">
      <c r="A484" s="57">
        <v>36130</v>
      </c>
      <c r="B484" s="58">
        <f>VLOOKUP(Table5345679103[[#This Row],[Date]],Database!A:E,MATCH($A$1,Database!$A$1:$E$1,),)</f>
        <v>75.42</v>
      </c>
      <c r="C484" s="9">
        <f t="shared" si="7"/>
        <v>9.9542106310973317E-4</v>
      </c>
      <c r="D484" s="7">
        <f>(Table5345679103[[#This Row],[Value]]-B472)/B472</f>
        <v>8.4505535647430748E-3</v>
      </c>
    </row>
    <row r="485" spans="1:4" x14ac:dyDescent="0.35">
      <c r="A485" s="57">
        <v>36161</v>
      </c>
      <c r="B485" s="58">
        <f>VLOOKUP(Table5345679103[[#This Row],[Date]],Database!A:E,MATCH($A$1,Database!$A$1:$E$1,),)</f>
        <v>75.527000000000001</v>
      </c>
      <c r="C485" s="9">
        <f t="shared" si="7"/>
        <v>1.4187218244497389E-3</v>
      </c>
      <c r="D485" s="7">
        <f>(Table5345679103[[#This Row],[Value]]-B473)/B473</f>
        <v>9.3818910791847402E-3</v>
      </c>
    </row>
    <row r="486" spans="1:4" x14ac:dyDescent="0.35">
      <c r="A486" s="57">
        <v>36192</v>
      </c>
      <c r="B486" s="58">
        <f>VLOOKUP(Table5345679103[[#This Row],[Date]],Database!A:E,MATCH($A$1,Database!$A$1:$E$1,),)</f>
        <v>75.483999999999995</v>
      </c>
      <c r="C486" s="9">
        <f t="shared" si="7"/>
        <v>-5.6933282137522161E-4</v>
      </c>
      <c r="D486" s="7">
        <f>(Table5345679103[[#This Row],[Value]]-B474)/B474</f>
        <v>9.3198015697913868E-3</v>
      </c>
    </row>
    <row r="487" spans="1:4" x14ac:dyDescent="0.35">
      <c r="A487" s="57">
        <v>36220</v>
      </c>
      <c r="B487" s="58">
        <f>VLOOKUP(Table5345679103[[#This Row],[Date]],Database!A:E,MATCH($A$1,Database!$A$1:$E$1,),)</f>
        <v>75.540999999999997</v>
      </c>
      <c r="C487" s="9">
        <f t="shared" si="7"/>
        <v>7.5512691431299571E-4</v>
      </c>
      <c r="D487" s="7">
        <f>(Table5345679103[[#This Row],[Value]]-B475)/B475</f>
        <v>9.9199187154907168E-3</v>
      </c>
    </row>
    <row r="488" spans="1:4" x14ac:dyDescent="0.35">
      <c r="A488" s="57">
        <v>36251</v>
      </c>
      <c r="B488" s="58">
        <f>VLOOKUP(Table5345679103[[#This Row],[Date]],Database!A:E,MATCH($A$1,Database!$A$1:$E$1,),)</f>
        <v>75.906000000000006</v>
      </c>
      <c r="C488" s="9">
        <f t="shared" si="7"/>
        <v>4.8318131875406617E-3</v>
      </c>
      <c r="D488" s="7">
        <f>(Table5345679103[[#This Row],[Value]]-B476)/B476</f>
        <v>1.3553030404187425E-2</v>
      </c>
    </row>
    <row r="489" spans="1:4" x14ac:dyDescent="0.35">
      <c r="A489" s="57">
        <v>36281</v>
      </c>
      <c r="B489" s="58">
        <f>VLOOKUP(Table5345679103[[#This Row],[Date]],Database!A:E,MATCH($A$1,Database!$A$1:$E$1,),)</f>
        <v>75.954999999999998</v>
      </c>
      <c r="C489" s="9">
        <f t="shared" si="7"/>
        <v>6.4553526730419704E-4</v>
      </c>
      <c r="D489" s="7">
        <f>(Table5345679103[[#This Row],[Value]]-B477)/B477</f>
        <v>1.2814358482011875E-2</v>
      </c>
    </row>
    <row r="490" spans="1:4" x14ac:dyDescent="0.35">
      <c r="A490" s="57">
        <v>36312</v>
      </c>
      <c r="B490" s="58">
        <f>VLOOKUP(Table5345679103[[#This Row],[Date]],Database!A:E,MATCH($A$1,Database!$A$1:$E$1,),)</f>
        <v>75.978999999999999</v>
      </c>
      <c r="C490" s="9">
        <f t="shared" si="7"/>
        <v>3.1597656507143586E-4</v>
      </c>
      <c r="D490" s="7">
        <f>(Table5345679103[[#This Row],[Value]]-B478)/B478</f>
        <v>1.3986200637920245E-2</v>
      </c>
    </row>
    <row r="491" spans="1:4" x14ac:dyDescent="0.35">
      <c r="A491" s="57">
        <v>36342</v>
      </c>
      <c r="B491" s="58">
        <f>VLOOKUP(Table5345679103[[#This Row],[Date]],Database!A:E,MATCH($A$1,Database!$A$1:$E$1,),)</f>
        <v>76.180999999999997</v>
      </c>
      <c r="C491" s="9">
        <f t="shared" si="7"/>
        <v>2.658629358112086E-3</v>
      </c>
      <c r="D491" s="7">
        <f>(Table5345679103[[#This Row],[Value]]-B479)/B479</f>
        <v>1.4178071249800278E-2</v>
      </c>
    </row>
    <row r="492" spans="1:4" x14ac:dyDescent="0.35">
      <c r="A492" s="57">
        <v>36373</v>
      </c>
      <c r="B492" s="58">
        <f>VLOOKUP(Table5345679103[[#This Row],[Date]],Database!A:E,MATCH($A$1,Database!$A$1:$E$1,),)</f>
        <v>76.319000000000003</v>
      </c>
      <c r="C492" s="9">
        <f t="shared" si="7"/>
        <v>1.8114753022407848E-3</v>
      </c>
      <c r="D492" s="7">
        <f>(Table5345679103[[#This Row],[Value]]-B480)/B480</f>
        <v>1.4610475937250782E-2</v>
      </c>
    </row>
    <row r="493" spans="1:4" x14ac:dyDescent="0.35">
      <c r="A493" s="57">
        <v>36404</v>
      </c>
      <c r="B493" s="58">
        <f>VLOOKUP(Table5345679103[[#This Row],[Date]],Database!A:E,MATCH($A$1,Database!$A$1:$E$1,),)</f>
        <v>76.593000000000004</v>
      </c>
      <c r="C493" s="9">
        <f t="shared" si="7"/>
        <v>3.5901937918473891E-3</v>
      </c>
      <c r="D493" s="7">
        <f>(Table5345679103[[#This Row],[Value]]-B481)/B481</f>
        <v>1.8849100776843694E-2</v>
      </c>
    </row>
    <row r="494" spans="1:4" x14ac:dyDescent="0.35">
      <c r="A494" s="57">
        <v>36434</v>
      </c>
      <c r="B494" s="58">
        <f>VLOOKUP(Table5345679103[[#This Row],[Date]],Database!A:E,MATCH($A$1,Database!$A$1:$E$1,),)</f>
        <v>76.722999999999999</v>
      </c>
      <c r="C494" s="9">
        <f t="shared" si="7"/>
        <v>1.6972830415311509E-3</v>
      </c>
      <c r="D494" s="7">
        <f>(Table5345679103[[#This Row],[Value]]-B482)/B482</f>
        <v>1.8343265950810383E-2</v>
      </c>
    </row>
    <row r="495" spans="1:4" x14ac:dyDescent="0.35">
      <c r="A495" s="57">
        <v>36465</v>
      </c>
      <c r="B495" s="58">
        <f>VLOOKUP(Table5345679103[[#This Row],[Date]],Database!A:E,MATCH($A$1,Database!$A$1:$E$1,),)</f>
        <v>76.792000000000002</v>
      </c>
      <c r="C495" s="9">
        <f t="shared" si="7"/>
        <v>8.9933918121036212E-4</v>
      </c>
      <c r="D495" s="7">
        <f>(Table5345679103[[#This Row],[Value]]-B483)/B483</f>
        <v>1.9204990377596428E-2</v>
      </c>
    </row>
    <row r="496" spans="1:4" x14ac:dyDescent="0.35">
      <c r="A496" s="57">
        <v>36495</v>
      </c>
      <c r="B496" s="58">
        <f>VLOOKUP(Table5345679103[[#This Row],[Date]],Database!A:E,MATCH($A$1,Database!$A$1:$E$1,),)</f>
        <v>76.97</v>
      </c>
      <c r="C496" s="9">
        <f t="shared" si="7"/>
        <v>2.3179497864360514E-3</v>
      </c>
      <c r="D496" s="7">
        <f>(Table5345679103[[#This Row],[Value]]-B484)/B484</f>
        <v>2.0551577830814068E-2</v>
      </c>
    </row>
    <row r="497" spans="1:4" x14ac:dyDescent="0.35">
      <c r="A497" s="57">
        <v>36526</v>
      </c>
      <c r="B497" s="58">
        <f>VLOOKUP(Table5345679103[[#This Row],[Date]],Database!A:E,MATCH($A$1,Database!$A$1:$E$1,),)</f>
        <v>77.180000000000007</v>
      </c>
      <c r="C497" s="9">
        <f t="shared" si="7"/>
        <v>2.7283357152138232E-3</v>
      </c>
      <c r="D497" s="7">
        <f>(Table5345679103[[#This Row],[Value]]-B485)/B485</f>
        <v>2.1886212877514077E-2</v>
      </c>
    </row>
    <row r="498" spans="1:4" x14ac:dyDescent="0.35">
      <c r="A498" s="57">
        <v>36557</v>
      </c>
      <c r="B498" s="58">
        <f>VLOOKUP(Table5345679103[[#This Row],[Date]],Database!A:E,MATCH($A$1,Database!$A$1:$E$1,),)</f>
        <v>77.421999999999997</v>
      </c>
      <c r="C498" s="9">
        <f t="shared" si="7"/>
        <v>3.1355273386886526E-3</v>
      </c>
      <c r="D498" s="7">
        <f>(Table5345679103[[#This Row],[Value]]-B486)/B486</f>
        <v>2.5674315086640909E-2</v>
      </c>
    </row>
    <row r="499" spans="1:4" x14ac:dyDescent="0.35">
      <c r="A499" s="57">
        <v>36586</v>
      </c>
      <c r="B499" s="58">
        <f>VLOOKUP(Table5345679103[[#This Row],[Date]],Database!A:E,MATCH($A$1,Database!$A$1:$E$1,),)</f>
        <v>77.754999999999995</v>
      </c>
      <c r="C499" s="9">
        <f t="shared" si="7"/>
        <v>4.3011030456459199E-3</v>
      </c>
      <c r="D499" s="7">
        <f>(Table5345679103[[#This Row],[Value]]-B487)/B487</f>
        <v>2.9308587389629454E-2</v>
      </c>
    </row>
    <row r="500" spans="1:4" x14ac:dyDescent="0.35">
      <c r="A500" s="57">
        <v>36617</v>
      </c>
      <c r="B500" s="58">
        <f>VLOOKUP(Table5345679103[[#This Row],[Date]],Database!A:E,MATCH($A$1,Database!$A$1:$E$1,),)</f>
        <v>77.69</v>
      </c>
      <c r="C500" s="9">
        <f t="shared" si="7"/>
        <v>-8.3595910230850406E-4</v>
      </c>
      <c r="D500" s="7">
        <f>(Table5345679103[[#This Row],[Value]]-B488)/B488</f>
        <v>2.3502753405527779E-2</v>
      </c>
    </row>
    <row r="501" spans="1:4" x14ac:dyDescent="0.35">
      <c r="A501" s="57">
        <v>36647</v>
      </c>
      <c r="B501" s="58">
        <f>VLOOKUP(Table5345679103[[#This Row],[Date]],Database!A:E,MATCH($A$1,Database!$A$1:$E$1,),)</f>
        <v>77.754999999999995</v>
      </c>
      <c r="C501" s="9">
        <f t="shared" si="7"/>
        <v>8.3665851460931555E-4</v>
      </c>
      <c r="D501" s="7">
        <f>(Table5345679103[[#This Row],[Value]]-B489)/B489</f>
        <v>2.3698242380356754E-2</v>
      </c>
    </row>
    <row r="502" spans="1:4" x14ac:dyDescent="0.35">
      <c r="A502" s="57">
        <v>36678</v>
      </c>
      <c r="B502" s="58">
        <f>VLOOKUP(Table5345679103[[#This Row],[Date]],Database!A:E,MATCH($A$1,Database!$A$1:$E$1,),)</f>
        <v>78.019000000000005</v>
      </c>
      <c r="C502" s="9">
        <f t="shared" si="7"/>
        <v>3.3952800462994023E-3</v>
      </c>
      <c r="D502" s="7">
        <f>(Table5345679103[[#This Row],[Value]]-B490)/B490</f>
        <v>2.6849524210637233E-2</v>
      </c>
    </row>
    <row r="503" spans="1:4" x14ac:dyDescent="0.35">
      <c r="A503" s="57">
        <v>36708</v>
      </c>
      <c r="B503" s="58">
        <f>VLOOKUP(Table5345679103[[#This Row],[Date]],Database!A:E,MATCH($A$1,Database!$A$1:$E$1,),)</f>
        <v>78.213999999999999</v>
      </c>
      <c r="C503" s="9">
        <f t="shared" si="7"/>
        <v>2.4993911739447207E-3</v>
      </c>
      <c r="D503" s="7">
        <f>(Table5345679103[[#This Row],[Value]]-B491)/B491</f>
        <v>2.6686444126488251E-2</v>
      </c>
    </row>
    <row r="504" spans="1:4" x14ac:dyDescent="0.35">
      <c r="A504" s="57">
        <v>36739</v>
      </c>
      <c r="B504" s="58">
        <f>VLOOKUP(Table5345679103[[#This Row],[Date]],Database!A:E,MATCH($A$1,Database!$A$1:$E$1,),)</f>
        <v>78.209000000000003</v>
      </c>
      <c r="C504" s="9">
        <f t="shared" si="7"/>
        <v>-6.3927174163135153E-5</v>
      </c>
      <c r="D504" s="7">
        <f>(Table5345679103[[#This Row],[Value]]-B492)/B492</f>
        <v>2.4764475425516588E-2</v>
      </c>
    </row>
    <row r="505" spans="1:4" x14ac:dyDescent="0.35">
      <c r="A505" s="57">
        <v>36770</v>
      </c>
      <c r="B505" s="58">
        <f>VLOOKUP(Table5345679103[[#This Row],[Date]],Database!A:E,MATCH($A$1,Database!$A$1:$E$1,),)</f>
        <v>78.545000000000002</v>
      </c>
      <c r="C505" s="9">
        <f t="shared" si="7"/>
        <v>4.2961807464613859E-3</v>
      </c>
      <c r="D505" s="7">
        <f>(Table5345679103[[#This Row],[Value]]-B493)/B493</f>
        <v>2.548535766976092E-2</v>
      </c>
    </row>
    <row r="506" spans="1:4" x14ac:dyDescent="0.35">
      <c r="A506" s="57">
        <v>36800</v>
      </c>
      <c r="B506" s="58">
        <f>VLOOKUP(Table5345679103[[#This Row],[Date]],Database!A:E,MATCH($A$1,Database!$A$1:$E$1,),)</f>
        <v>78.652000000000001</v>
      </c>
      <c r="C506" s="9">
        <f t="shared" si="7"/>
        <v>1.3622764020625032E-3</v>
      </c>
      <c r="D506" s="7">
        <f>(Table5345679103[[#This Row],[Value]]-B494)/B494</f>
        <v>2.5142395370358329E-2</v>
      </c>
    </row>
    <row r="507" spans="1:4" x14ac:dyDescent="0.35">
      <c r="A507" s="57">
        <v>36831</v>
      </c>
      <c r="B507" s="58">
        <f>VLOOKUP(Table5345679103[[#This Row],[Date]],Database!A:E,MATCH($A$1,Database!$A$1:$E$1,),)</f>
        <v>78.762</v>
      </c>
      <c r="C507" s="9">
        <f t="shared" si="7"/>
        <v>1.398565834308084E-3</v>
      </c>
      <c r="D507" s="7">
        <f>(Table5345679103[[#This Row],[Value]]-B495)/B495</f>
        <v>2.5653713928534206E-2</v>
      </c>
    </row>
    <row r="508" spans="1:4" x14ac:dyDescent="0.35">
      <c r="A508" s="57">
        <v>36861</v>
      </c>
      <c r="B508" s="58">
        <f>VLOOKUP(Table5345679103[[#This Row],[Date]],Database!A:E,MATCH($A$1,Database!$A$1:$E$1,),)</f>
        <v>78.882999999999996</v>
      </c>
      <c r="C508" s="9">
        <f t="shared" si="7"/>
        <v>1.5362738376373773E-3</v>
      </c>
      <c r="D508" s="7">
        <f>(Table5345679103[[#This Row],[Value]]-B496)/B496</f>
        <v>2.4853839158113507E-2</v>
      </c>
    </row>
    <row r="509" spans="1:4" x14ac:dyDescent="0.35">
      <c r="A509" s="57">
        <v>36892</v>
      </c>
      <c r="B509" s="58">
        <f>VLOOKUP(Table5345679103[[#This Row],[Date]],Database!A:E,MATCH($A$1,Database!$A$1:$E$1,),)</f>
        <v>79.265000000000001</v>
      </c>
      <c r="C509" s="9">
        <f t="shared" si="7"/>
        <v>4.8426150121066011E-3</v>
      </c>
      <c r="D509" s="7">
        <f>(Table5345679103[[#This Row],[Value]]-B497)/B497</f>
        <v>2.7014770665975556E-2</v>
      </c>
    </row>
    <row r="510" spans="1:4" x14ac:dyDescent="0.35">
      <c r="A510" s="57">
        <v>36923</v>
      </c>
      <c r="B510" s="58">
        <f>VLOOKUP(Table5345679103[[#This Row],[Date]],Database!A:E,MATCH($A$1,Database!$A$1:$E$1,),)</f>
        <v>79.388000000000005</v>
      </c>
      <c r="C510" s="9">
        <f t="shared" si="7"/>
        <v>1.5517567652810781E-3</v>
      </c>
      <c r="D510" s="7">
        <f>(Table5345679103[[#This Row],[Value]]-B498)/B498</f>
        <v>2.5393299062282146E-2</v>
      </c>
    </row>
    <row r="511" spans="1:4" x14ac:dyDescent="0.35">
      <c r="A511" s="57">
        <v>36951</v>
      </c>
      <c r="B511" s="58">
        <f>VLOOKUP(Table5345679103[[#This Row],[Date]],Database!A:E,MATCH($A$1,Database!$A$1:$E$1,),)</f>
        <v>79.394999999999996</v>
      </c>
      <c r="C511" s="9">
        <f t="shared" si="7"/>
        <v>8.8174535194119897E-5</v>
      </c>
      <c r="D511" s="7">
        <f>(Table5345679103[[#This Row],[Value]]-B499)/B499</f>
        <v>2.1091891196707617E-2</v>
      </c>
    </row>
    <row r="512" spans="1:4" x14ac:dyDescent="0.35">
      <c r="A512" s="57">
        <v>36982</v>
      </c>
      <c r="B512" s="58">
        <f>VLOOKUP(Table5345679103[[#This Row],[Date]],Database!A:E,MATCH($A$1,Database!$A$1:$E$1,),)</f>
        <v>79.534000000000006</v>
      </c>
      <c r="C512" s="9">
        <f t="shared" si="7"/>
        <v>1.7507399710310475E-3</v>
      </c>
      <c r="D512" s="7">
        <f>(Table5345679103[[#This Row],[Value]]-B500)/B500</f>
        <v>2.3735358475994443E-2</v>
      </c>
    </row>
    <row r="513" spans="1:4" x14ac:dyDescent="0.35">
      <c r="A513" s="57">
        <v>37012</v>
      </c>
      <c r="B513" s="58">
        <f>VLOOKUP(Table5345679103[[#This Row],[Date]],Database!A:E,MATCH($A$1,Database!$A$1:$E$1,),)</f>
        <v>79.742999999999995</v>
      </c>
      <c r="C513" s="9">
        <f t="shared" si="7"/>
        <v>2.6278069756329237E-3</v>
      </c>
      <c r="D513" s="7">
        <f>(Table5345679103[[#This Row],[Value]]-B501)/B501</f>
        <v>2.5567487621374826E-2</v>
      </c>
    </row>
    <row r="514" spans="1:4" x14ac:dyDescent="0.35">
      <c r="A514" s="57">
        <v>37043</v>
      </c>
      <c r="B514" s="58">
        <f>VLOOKUP(Table5345679103[[#This Row],[Date]],Database!A:E,MATCH($A$1,Database!$A$1:$E$1,),)</f>
        <v>79.885000000000005</v>
      </c>
      <c r="C514" s="9">
        <f t="shared" si="7"/>
        <v>1.7807205648145935E-3</v>
      </c>
      <c r="D514" s="7">
        <f>(Table5345679103[[#This Row],[Value]]-B502)/B502</f>
        <v>2.3917250926056469E-2</v>
      </c>
    </row>
    <row r="515" spans="1:4" x14ac:dyDescent="0.35">
      <c r="A515" s="57">
        <v>37073</v>
      </c>
      <c r="B515" s="58">
        <f>VLOOKUP(Table5345679103[[#This Row],[Date]],Database!A:E,MATCH($A$1,Database!$A$1:$E$1,),)</f>
        <v>79.858000000000004</v>
      </c>
      <c r="C515" s="9">
        <f t="shared" si="7"/>
        <v>-3.3798585466609528E-4</v>
      </c>
      <c r="D515" s="7">
        <f>(Table5345679103[[#This Row],[Value]]-B503)/B503</f>
        <v>2.1019254864858023E-2</v>
      </c>
    </row>
    <row r="516" spans="1:4" x14ac:dyDescent="0.35">
      <c r="A516" s="57">
        <v>37104</v>
      </c>
      <c r="B516" s="58">
        <f>VLOOKUP(Table5345679103[[#This Row],[Date]],Database!A:E,MATCH($A$1,Database!$A$1:$E$1,),)</f>
        <v>79.847999999999999</v>
      </c>
      <c r="C516" s="9">
        <f t="shared" si="7"/>
        <v>-1.2522226952847699E-4</v>
      </c>
      <c r="D516" s="7">
        <f>(Table5345679103[[#This Row],[Value]]-B504)/B504</f>
        <v>2.0956667391220905E-2</v>
      </c>
    </row>
    <row r="517" spans="1:4" x14ac:dyDescent="0.35">
      <c r="A517" s="57">
        <v>37135</v>
      </c>
      <c r="B517" s="58">
        <f>VLOOKUP(Table5345679103[[#This Row],[Date]],Database!A:E,MATCH($A$1,Database!$A$1:$E$1,),)</f>
        <v>79.576999999999998</v>
      </c>
      <c r="C517" s="9">
        <f t="shared" si="7"/>
        <v>-3.393948502154103E-3</v>
      </c>
      <c r="D517" s="7">
        <f>(Table5345679103[[#This Row],[Value]]-B505)/B505</f>
        <v>1.3138964924565491E-2</v>
      </c>
    </row>
    <row r="518" spans="1:4" x14ac:dyDescent="0.35">
      <c r="A518" s="57">
        <v>37165</v>
      </c>
      <c r="B518" s="58">
        <f>VLOOKUP(Table5345679103[[#This Row],[Date]],Database!A:E,MATCH($A$1,Database!$A$1:$E$1,),)</f>
        <v>79.856999999999999</v>
      </c>
      <c r="C518" s="9">
        <f t="shared" ref="C518:C581" si="8">(B518-B517)/B517</f>
        <v>3.518604621938514E-3</v>
      </c>
      <c r="D518" s="7">
        <f>(Table5345679103[[#This Row],[Value]]-B506)/B506</f>
        <v>1.5320653003102251E-2</v>
      </c>
    </row>
    <row r="519" spans="1:4" x14ac:dyDescent="0.35">
      <c r="A519" s="57">
        <v>37196</v>
      </c>
      <c r="B519" s="58">
        <f>VLOOKUP(Table5345679103[[#This Row],[Date]],Database!A:E,MATCH($A$1,Database!$A$1:$E$1,),)</f>
        <v>79.802999999999997</v>
      </c>
      <c r="C519" s="9">
        <f t="shared" si="8"/>
        <v>-6.7620872309255347E-4</v>
      </c>
      <c r="D519" s="7">
        <f>(Table5345679103[[#This Row],[Value]]-B507)/B507</f>
        <v>1.321703359488074E-2</v>
      </c>
    </row>
    <row r="520" spans="1:4" x14ac:dyDescent="0.35">
      <c r="A520" s="57">
        <v>37226</v>
      </c>
      <c r="B520" s="58">
        <f>VLOOKUP(Table5345679103[[#This Row],[Date]],Database!A:E,MATCH($A$1,Database!$A$1:$E$1,),)</f>
        <v>79.721000000000004</v>
      </c>
      <c r="C520" s="9">
        <f t="shared" si="8"/>
        <v>-1.0275302933472881E-3</v>
      </c>
      <c r="D520" s="7">
        <f>(Table5345679103[[#This Row],[Value]]-B508)/B508</f>
        <v>1.0623328220275702E-2</v>
      </c>
    </row>
    <row r="521" spans="1:4" x14ac:dyDescent="0.35">
      <c r="A521" s="57">
        <v>37257</v>
      </c>
      <c r="B521" s="58">
        <f>VLOOKUP(Table5345679103[[#This Row],[Date]],Database!A:E,MATCH($A$1,Database!$A$1:$E$1,),)</f>
        <v>79.793000000000006</v>
      </c>
      <c r="C521" s="9">
        <f t="shared" si="8"/>
        <v>9.031497346997996E-4</v>
      </c>
      <c r="D521" s="7">
        <f>(Table5345679103[[#This Row],[Value]]-B509)/B509</f>
        <v>6.661199772913717E-3</v>
      </c>
    </row>
    <row r="522" spans="1:4" x14ac:dyDescent="0.35">
      <c r="A522" s="57">
        <v>37288</v>
      </c>
      <c r="B522" s="58">
        <f>VLOOKUP(Table5345679103[[#This Row],[Date]],Database!A:E,MATCH($A$1,Database!$A$1:$E$1,),)</f>
        <v>79.926000000000002</v>
      </c>
      <c r="C522" s="9">
        <f t="shared" si="8"/>
        <v>1.6668128783226043E-3</v>
      </c>
      <c r="D522" s="7">
        <f>(Table5345679103[[#This Row],[Value]]-B510)/B510</f>
        <v>6.7768428477855179E-3</v>
      </c>
    </row>
    <row r="523" spans="1:4" x14ac:dyDescent="0.35">
      <c r="A523" s="57">
        <v>37316</v>
      </c>
      <c r="B523" s="58">
        <f>VLOOKUP(Table5345679103[[#This Row],[Date]],Database!A:E,MATCH($A$1,Database!$A$1:$E$1,),)</f>
        <v>80.144000000000005</v>
      </c>
      <c r="C523" s="9">
        <f t="shared" si="8"/>
        <v>2.7275229587368755E-3</v>
      </c>
      <c r="D523" s="7">
        <f>(Table5345679103[[#This Row],[Value]]-B511)/B511</f>
        <v>9.4338434410228544E-3</v>
      </c>
    </row>
    <row r="524" spans="1:4" x14ac:dyDescent="0.35">
      <c r="A524" s="57">
        <v>37347</v>
      </c>
      <c r="B524" s="58">
        <f>VLOOKUP(Table5345679103[[#This Row],[Date]],Database!A:E,MATCH($A$1,Database!$A$1:$E$1,),)</f>
        <v>80.478999999999999</v>
      </c>
      <c r="C524" s="9">
        <f t="shared" si="8"/>
        <v>4.179976043122301E-3</v>
      </c>
      <c r="D524" s="7">
        <f>(Table5345679103[[#This Row],[Value]]-B512)/B512</f>
        <v>1.1881710966379072E-2</v>
      </c>
    </row>
    <row r="525" spans="1:4" x14ac:dyDescent="0.35">
      <c r="A525" s="57">
        <v>37377</v>
      </c>
      <c r="B525" s="58">
        <f>VLOOKUP(Table5345679103[[#This Row],[Date]],Database!A:E,MATCH($A$1,Database!$A$1:$E$1,),)</f>
        <v>80.531000000000006</v>
      </c>
      <c r="C525" s="9">
        <f t="shared" si="8"/>
        <v>6.4613128890774873E-4</v>
      </c>
      <c r="D525" s="7">
        <f>(Table5345679103[[#This Row],[Value]]-B513)/B513</f>
        <v>9.8817451061536561E-3</v>
      </c>
    </row>
    <row r="526" spans="1:4" x14ac:dyDescent="0.35">
      <c r="A526" s="57">
        <v>37408</v>
      </c>
      <c r="B526" s="58">
        <f>VLOOKUP(Table5345679103[[#This Row],[Date]],Database!A:E,MATCH($A$1,Database!$A$1:$E$1,),)</f>
        <v>80.632000000000005</v>
      </c>
      <c r="C526" s="9">
        <f t="shared" si="8"/>
        <v>1.2541754107113917E-3</v>
      </c>
      <c r="D526" s="7">
        <f>(Table5345679103[[#This Row],[Value]]-B514)/B514</f>
        <v>9.3509419790949472E-3</v>
      </c>
    </row>
    <row r="527" spans="1:4" x14ac:dyDescent="0.35">
      <c r="A527" s="57">
        <v>37438</v>
      </c>
      <c r="B527" s="58">
        <f>VLOOKUP(Table5345679103[[#This Row],[Date]],Database!A:E,MATCH($A$1,Database!$A$1:$E$1,),)</f>
        <v>80.81</v>
      </c>
      <c r="C527" s="9">
        <f t="shared" si="8"/>
        <v>2.2075602738366564E-3</v>
      </c>
      <c r="D527" s="7">
        <f>(Table5345679103[[#This Row],[Value]]-B515)/B515</f>
        <v>1.1921160059104888E-2</v>
      </c>
    </row>
    <row r="528" spans="1:4" x14ac:dyDescent="0.35">
      <c r="A528" s="57">
        <v>37469</v>
      </c>
      <c r="B528" s="58">
        <f>VLOOKUP(Table5345679103[[#This Row],[Date]],Database!A:E,MATCH($A$1,Database!$A$1:$E$1,),)</f>
        <v>80.968999999999994</v>
      </c>
      <c r="C528" s="9">
        <f t="shared" si="8"/>
        <v>1.9675782700159859E-3</v>
      </c>
      <c r="D528" s="7">
        <f>(Table5345679103[[#This Row],[Value]]-B516)/B516</f>
        <v>1.4039174431419636E-2</v>
      </c>
    </row>
    <row r="529" spans="1:4" x14ac:dyDescent="0.35">
      <c r="A529" s="57">
        <v>37500</v>
      </c>
      <c r="B529" s="58">
        <f>VLOOKUP(Table5345679103[[#This Row],[Date]],Database!A:E,MATCH($A$1,Database!$A$1:$E$1,),)</f>
        <v>81.114999999999995</v>
      </c>
      <c r="C529" s="9">
        <f t="shared" si="8"/>
        <v>1.8031592337808397E-3</v>
      </c>
      <c r="D529" s="7">
        <f>(Table5345679103[[#This Row],[Value]]-B517)/B517</f>
        <v>1.9327192530505004E-2</v>
      </c>
    </row>
    <row r="530" spans="1:4" x14ac:dyDescent="0.35">
      <c r="A530" s="57">
        <v>37530</v>
      </c>
      <c r="B530" s="58">
        <f>VLOOKUP(Table5345679103[[#This Row],[Date]],Database!A:E,MATCH($A$1,Database!$A$1:$E$1,),)</f>
        <v>81.262</v>
      </c>
      <c r="C530" s="9">
        <f t="shared" si="8"/>
        <v>1.8122418788140983E-3</v>
      </c>
      <c r="D530" s="7">
        <f>(Table5345679103[[#This Row],[Value]]-B518)/B518</f>
        <v>1.7593949184166711E-2</v>
      </c>
    </row>
    <row r="531" spans="1:4" x14ac:dyDescent="0.35">
      <c r="A531" s="57">
        <v>37561</v>
      </c>
      <c r="B531" s="58">
        <f>VLOOKUP(Table5345679103[[#This Row],[Date]],Database!A:E,MATCH($A$1,Database!$A$1:$E$1,),)</f>
        <v>81.343000000000004</v>
      </c>
      <c r="C531" s="9">
        <f t="shared" si="8"/>
        <v>9.9677586079598168E-4</v>
      </c>
      <c r="D531" s="7">
        <f>(Table5345679103[[#This Row],[Value]]-B519)/B519</f>
        <v>1.9297520143353085E-2</v>
      </c>
    </row>
    <row r="532" spans="1:4" x14ac:dyDescent="0.35">
      <c r="A532" s="57">
        <v>37591</v>
      </c>
      <c r="B532" s="58">
        <f>VLOOKUP(Table5345679103[[#This Row],[Date]],Database!A:E,MATCH($A$1,Database!$A$1:$E$1,),)</f>
        <v>81.421000000000006</v>
      </c>
      <c r="C532" s="9">
        <f t="shared" si="8"/>
        <v>9.589024255314281E-4</v>
      </c>
      <c r="D532" s="7">
        <f>(Table5345679103[[#This Row],[Value]]-B520)/B520</f>
        <v>2.1324368735966718E-2</v>
      </c>
    </row>
    <row r="533" spans="1:4" x14ac:dyDescent="0.35">
      <c r="A533" s="57">
        <v>37622</v>
      </c>
      <c r="B533" s="58">
        <f>VLOOKUP(Table5345679103[[#This Row],[Date]],Database!A:E,MATCH($A$1,Database!$A$1:$E$1,),)</f>
        <v>81.664000000000001</v>
      </c>
      <c r="C533" s="9">
        <f t="shared" si="8"/>
        <v>2.9844880313432036E-3</v>
      </c>
      <c r="D533" s="7">
        <f>(Table5345679103[[#This Row],[Value]]-B521)/B521</f>
        <v>2.3448172145426226E-2</v>
      </c>
    </row>
    <row r="534" spans="1:4" x14ac:dyDescent="0.35">
      <c r="A534" s="57">
        <v>37653</v>
      </c>
      <c r="B534" s="58">
        <f>VLOOKUP(Table5345679103[[#This Row],[Date]],Database!A:E,MATCH($A$1,Database!$A$1:$E$1,),)</f>
        <v>82.009</v>
      </c>
      <c r="C534" s="9">
        <f t="shared" si="8"/>
        <v>4.2246277429466945E-3</v>
      </c>
      <c r="D534" s="7">
        <f>(Table5345679103[[#This Row],[Value]]-B522)/B522</f>
        <v>2.6061606986462458E-2</v>
      </c>
    </row>
    <row r="535" spans="1:4" x14ac:dyDescent="0.35">
      <c r="A535" s="57">
        <v>37681</v>
      </c>
      <c r="B535" s="58">
        <f>VLOOKUP(Table5345679103[[#This Row],[Date]],Database!A:E,MATCH($A$1,Database!$A$1:$E$1,),)</f>
        <v>82.218999999999994</v>
      </c>
      <c r="C535" s="9">
        <f t="shared" si="8"/>
        <v>2.560694557914299E-3</v>
      </c>
      <c r="D535" s="7">
        <f>(Table5345679103[[#This Row],[Value]]-B523)/B523</f>
        <v>2.5890896386504148E-2</v>
      </c>
    </row>
    <row r="536" spans="1:4" x14ac:dyDescent="0.35">
      <c r="A536" s="57">
        <v>37712</v>
      </c>
      <c r="B536" s="58">
        <f>VLOOKUP(Table5345679103[[#This Row],[Date]],Database!A:E,MATCH($A$1,Database!$A$1:$E$1,),)</f>
        <v>82.08</v>
      </c>
      <c r="C536" s="9">
        <f t="shared" si="8"/>
        <v>-1.690606794049986E-3</v>
      </c>
      <c r="D536" s="7">
        <f>(Table5345679103[[#This Row],[Value]]-B524)/B524</f>
        <v>1.9893388337330224E-2</v>
      </c>
    </row>
    <row r="537" spans="1:4" x14ac:dyDescent="0.35">
      <c r="A537" s="57">
        <v>37742</v>
      </c>
      <c r="B537" s="58">
        <f>VLOOKUP(Table5345679103[[#This Row],[Date]],Database!A:E,MATCH($A$1,Database!$A$1:$E$1,),)</f>
        <v>81.986000000000004</v>
      </c>
      <c r="C537" s="9">
        <f t="shared" si="8"/>
        <v>-1.1452241715398891E-3</v>
      </c>
      <c r="D537" s="7">
        <f>(Table5345679103[[#This Row],[Value]]-B525)/B525</f>
        <v>1.8067576461238508E-2</v>
      </c>
    </row>
    <row r="538" spans="1:4" x14ac:dyDescent="0.35">
      <c r="A538" s="57">
        <v>37773</v>
      </c>
      <c r="B538" s="58">
        <f>VLOOKUP(Table5345679103[[#This Row],[Date]],Database!A:E,MATCH($A$1,Database!$A$1:$E$1,),)</f>
        <v>82.073999999999998</v>
      </c>
      <c r="C538" s="9">
        <f t="shared" si="8"/>
        <v>1.0733539872660436E-3</v>
      </c>
      <c r="D538" s="7">
        <f>(Table5345679103[[#This Row],[Value]]-B526)/B526</f>
        <v>1.7883718622879168E-2</v>
      </c>
    </row>
    <row r="539" spans="1:4" x14ac:dyDescent="0.35">
      <c r="A539" s="57">
        <v>37803</v>
      </c>
      <c r="B539" s="58">
        <f>VLOOKUP(Table5345679103[[#This Row],[Date]],Database!A:E,MATCH($A$1,Database!$A$1:$E$1,),)</f>
        <v>82.314999999999998</v>
      </c>
      <c r="C539" s="9">
        <f t="shared" si="8"/>
        <v>2.9363744913127139E-3</v>
      </c>
      <c r="D539" s="7">
        <f>(Table5345679103[[#This Row],[Value]]-B527)/B527</f>
        <v>1.8623932681598756E-2</v>
      </c>
    </row>
    <row r="540" spans="1:4" x14ac:dyDescent="0.35">
      <c r="A540" s="57">
        <v>37834</v>
      </c>
      <c r="B540" s="58">
        <f>VLOOKUP(Table5345679103[[#This Row],[Date]],Database!A:E,MATCH($A$1,Database!$A$1:$E$1,),)</f>
        <v>82.593000000000004</v>
      </c>
      <c r="C540" s="9">
        <f t="shared" si="8"/>
        <v>3.37727024236173E-3</v>
      </c>
      <c r="D540" s="7">
        <f>(Table5345679103[[#This Row],[Value]]-B528)/B528</f>
        <v>2.0057058874384141E-2</v>
      </c>
    </row>
    <row r="541" spans="1:4" x14ac:dyDescent="0.35">
      <c r="A541" s="57">
        <v>37865</v>
      </c>
      <c r="B541" s="58">
        <f>VLOOKUP(Table5345679103[[#This Row],[Date]],Database!A:E,MATCH($A$1,Database!$A$1:$E$1,),)</f>
        <v>82.852000000000004</v>
      </c>
      <c r="C541" s="9">
        <f t="shared" si="8"/>
        <v>3.1358589710992497E-3</v>
      </c>
      <c r="D541" s="7">
        <f>(Table5345679103[[#This Row],[Value]]-B529)/B529</f>
        <v>2.1414041792516908E-2</v>
      </c>
    </row>
    <row r="542" spans="1:4" x14ac:dyDescent="0.35">
      <c r="A542" s="57">
        <v>37895</v>
      </c>
      <c r="B542" s="58">
        <f>VLOOKUP(Table5345679103[[#This Row],[Date]],Database!A:E,MATCH($A$1,Database!$A$1:$E$1,),)</f>
        <v>82.861999999999995</v>
      </c>
      <c r="C542" s="9">
        <f t="shared" si="8"/>
        <v>1.2069714671934177E-4</v>
      </c>
      <c r="D542" s="7">
        <f>(Table5345679103[[#This Row],[Value]]-B530)/B530</f>
        <v>1.9689399719425984E-2</v>
      </c>
    </row>
    <row r="543" spans="1:4" x14ac:dyDescent="0.35">
      <c r="A543" s="57">
        <v>37926</v>
      </c>
      <c r="B543" s="58">
        <f>VLOOKUP(Table5345679103[[#This Row],[Date]],Database!A:E,MATCH($A$1,Database!$A$1:$E$1,),)</f>
        <v>82.966999999999999</v>
      </c>
      <c r="C543" s="9">
        <f t="shared" si="8"/>
        <v>1.2671670971012524E-3</v>
      </c>
      <c r="D543" s="7">
        <f>(Table5345679103[[#This Row],[Value]]-B531)/B531</f>
        <v>1.9964840244397122E-2</v>
      </c>
    </row>
    <row r="544" spans="1:4" x14ac:dyDescent="0.35">
      <c r="A544" s="57">
        <v>37956</v>
      </c>
      <c r="B544" s="58">
        <f>VLOOKUP(Table5345679103[[#This Row],[Date]],Database!A:E,MATCH($A$1,Database!$A$1:$E$1,),)</f>
        <v>83.15</v>
      </c>
      <c r="C544" s="9">
        <f t="shared" si="8"/>
        <v>2.2056962406740866E-3</v>
      </c>
      <c r="D544" s="7">
        <f>(Table5345679103[[#This Row],[Value]]-B532)/B532</f>
        <v>2.1235307844413593E-2</v>
      </c>
    </row>
    <row r="545" spans="1:4" x14ac:dyDescent="0.35">
      <c r="A545" s="57">
        <v>37987</v>
      </c>
      <c r="B545" s="58">
        <f>VLOOKUP(Table5345679103[[#This Row],[Date]],Database!A:E,MATCH($A$1,Database!$A$1:$E$1,),)</f>
        <v>83.471000000000004</v>
      </c>
      <c r="C545" s="9">
        <f t="shared" si="8"/>
        <v>3.8604930847865055E-3</v>
      </c>
      <c r="D545" s="7">
        <f>(Table5345679103[[#This Row],[Value]]-B533)/B533</f>
        <v>2.2127253134796264E-2</v>
      </c>
    </row>
    <row r="546" spans="1:4" x14ac:dyDescent="0.35">
      <c r="A546" s="57">
        <v>38018</v>
      </c>
      <c r="B546" s="58">
        <f>VLOOKUP(Table5345679103[[#This Row],[Date]],Database!A:E,MATCH($A$1,Database!$A$1:$E$1,),)</f>
        <v>83.649000000000001</v>
      </c>
      <c r="C546" s="9">
        <f t="shared" si="8"/>
        <v>2.1324771477518809E-3</v>
      </c>
      <c r="D546" s="7">
        <f>(Table5345679103[[#This Row],[Value]]-B534)/B534</f>
        <v>1.9997805118950367E-2</v>
      </c>
    </row>
    <row r="547" spans="1:4" x14ac:dyDescent="0.35">
      <c r="A547" s="57">
        <v>38047</v>
      </c>
      <c r="B547" s="58">
        <f>VLOOKUP(Table5345679103[[#This Row],[Date]],Database!A:E,MATCH($A$1,Database!$A$1:$E$1,),)</f>
        <v>83.778000000000006</v>
      </c>
      <c r="C547" s="9">
        <f t="shared" si="8"/>
        <v>1.5421583043432065E-3</v>
      </c>
      <c r="D547" s="7">
        <f>(Table5345679103[[#This Row],[Value]]-B535)/B535</f>
        <v>1.8961553898734013E-2</v>
      </c>
    </row>
    <row r="548" spans="1:4" x14ac:dyDescent="0.35">
      <c r="A548" s="57">
        <v>38078</v>
      </c>
      <c r="B548" s="58">
        <f>VLOOKUP(Table5345679103[[#This Row],[Date]],Database!A:E,MATCH($A$1,Database!$A$1:$E$1,),)</f>
        <v>83.933999999999997</v>
      </c>
      <c r="C548" s="9">
        <f t="shared" si="8"/>
        <v>1.8620640263552685E-3</v>
      </c>
      <c r="D548" s="7">
        <f>(Table5345679103[[#This Row],[Value]]-B536)/B536</f>
        <v>2.2587719298245604E-2</v>
      </c>
    </row>
    <row r="549" spans="1:4" x14ac:dyDescent="0.35">
      <c r="A549" s="57">
        <v>38108</v>
      </c>
      <c r="B549" s="58">
        <f>VLOOKUP(Table5345679103[[#This Row],[Date]],Database!A:E,MATCH($A$1,Database!$A$1:$E$1,),)</f>
        <v>84.206000000000003</v>
      </c>
      <c r="C549" s="9">
        <f t="shared" si="8"/>
        <v>3.240641456382462E-3</v>
      </c>
      <c r="D549" s="7">
        <f>(Table5345679103[[#This Row],[Value]]-B537)/B537</f>
        <v>2.7077793769667978E-2</v>
      </c>
    </row>
    <row r="550" spans="1:4" x14ac:dyDescent="0.35">
      <c r="A550" s="57">
        <v>38139</v>
      </c>
      <c r="B550" s="58">
        <f>VLOOKUP(Table5345679103[[#This Row],[Date]],Database!A:E,MATCH($A$1,Database!$A$1:$E$1,),)</f>
        <v>84.447000000000003</v>
      </c>
      <c r="C550" s="9">
        <f t="shared" si="8"/>
        <v>2.8620288340498261E-3</v>
      </c>
      <c r="D550" s="7">
        <f>(Table5345679103[[#This Row],[Value]]-B538)/B538</f>
        <v>2.8912932231888355E-2</v>
      </c>
    </row>
    <row r="551" spans="1:4" x14ac:dyDescent="0.35">
      <c r="A551" s="57">
        <v>38169</v>
      </c>
      <c r="B551" s="58">
        <f>VLOOKUP(Table5345679103[[#This Row],[Date]],Database!A:E,MATCH($A$1,Database!$A$1:$E$1,),)</f>
        <v>84.525000000000006</v>
      </c>
      <c r="C551" s="9">
        <f t="shared" si="8"/>
        <v>9.2365625777118137E-4</v>
      </c>
      <c r="D551" s="7">
        <f>(Table5345679103[[#This Row],[Value]]-B539)/B539</f>
        <v>2.6848083581364368E-2</v>
      </c>
    </row>
    <row r="552" spans="1:4" x14ac:dyDescent="0.35">
      <c r="A552" s="57">
        <v>38200</v>
      </c>
      <c r="B552" s="58">
        <f>VLOOKUP(Table5345679103[[#This Row],[Date]],Database!A:E,MATCH($A$1,Database!$A$1:$E$1,),)</f>
        <v>84.569000000000003</v>
      </c>
      <c r="C552" s="9">
        <f t="shared" si="8"/>
        <v>5.2055604850632269E-4</v>
      </c>
      <c r="D552" s="7">
        <f>(Table5345679103[[#This Row],[Value]]-B540)/B540</f>
        <v>2.3924545663676085E-2</v>
      </c>
    </row>
    <row r="553" spans="1:4" x14ac:dyDescent="0.35">
      <c r="A553" s="57">
        <v>38231</v>
      </c>
      <c r="B553" s="58">
        <f>VLOOKUP(Table5345679103[[#This Row],[Date]],Database!A:E,MATCH($A$1,Database!$A$1:$E$1,),)</f>
        <v>84.734999999999999</v>
      </c>
      <c r="C553" s="9">
        <f t="shared" si="8"/>
        <v>1.9628942047321928E-3</v>
      </c>
      <c r="D553" s="7">
        <f>(Table5345679103[[#This Row],[Value]]-B541)/B541</f>
        <v>2.2727272727272672E-2</v>
      </c>
    </row>
    <row r="554" spans="1:4" x14ac:dyDescent="0.35">
      <c r="A554" s="57">
        <v>38261</v>
      </c>
      <c r="B554" s="58">
        <f>VLOOKUP(Table5345679103[[#This Row],[Date]],Database!A:E,MATCH($A$1,Database!$A$1:$E$1,),)</f>
        <v>85.099000000000004</v>
      </c>
      <c r="C554" s="9">
        <f t="shared" si="8"/>
        <v>4.2957455596861309E-3</v>
      </c>
      <c r="D554" s="7">
        <f>(Table5345679103[[#This Row],[Value]]-B542)/B542</f>
        <v>2.6996693297289581E-2</v>
      </c>
    </row>
    <row r="555" spans="1:4" x14ac:dyDescent="0.35">
      <c r="A555" s="57">
        <v>38292</v>
      </c>
      <c r="B555" s="58">
        <f>VLOOKUP(Table5345679103[[#This Row],[Date]],Database!A:E,MATCH($A$1,Database!$A$1:$E$1,),)</f>
        <v>85.427000000000007</v>
      </c>
      <c r="C555" s="9">
        <f t="shared" si="8"/>
        <v>3.8543343635060686E-3</v>
      </c>
      <c r="D555" s="7">
        <f>(Table5345679103[[#This Row],[Value]]-B543)/B543</f>
        <v>2.9650342907421121E-2</v>
      </c>
    </row>
    <row r="556" spans="1:4" x14ac:dyDescent="0.35">
      <c r="A556" s="57">
        <v>38322</v>
      </c>
      <c r="B556" s="58">
        <f>VLOOKUP(Table5345679103[[#This Row],[Date]],Database!A:E,MATCH($A$1,Database!$A$1:$E$1,),)</f>
        <v>85.472999999999999</v>
      </c>
      <c r="C556" s="9">
        <f t="shared" si="8"/>
        <v>5.3847144345455498E-4</v>
      </c>
      <c r="D556" s="7">
        <f>(Table5345679103[[#This Row],[Value]]-B544)/B544</f>
        <v>2.7937462417318017E-2</v>
      </c>
    </row>
    <row r="557" spans="1:4" x14ac:dyDescent="0.35">
      <c r="A557" s="57">
        <v>38353</v>
      </c>
      <c r="B557" s="58">
        <f>VLOOKUP(Table5345679103[[#This Row],[Date]],Database!A:E,MATCH($A$1,Database!$A$1:$E$1,),)</f>
        <v>85.584999999999994</v>
      </c>
      <c r="C557" s="9">
        <f t="shared" si="8"/>
        <v>1.3103553168836331E-3</v>
      </c>
      <c r="D557" s="7">
        <f>(Table5345679103[[#This Row],[Value]]-B545)/B545</f>
        <v>2.5326161181727667E-2</v>
      </c>
    </row>
    <row r="558" spans="1:4" x14ac:dyDescent="0.35">
      <c r="A558" s="57">
        <v>38384</v>
      </c>
      <c r="B558" s="58">
        <f>VLOOKUP(Table5345679103[[#This Row],[Date]],Database!A:E,MATCH($A$1,Database!$A$1:$E$1,),)</f>
        <v>85.822999999999993</v>
      </c>
      <c r="C558" s="9">
        <f t="shared" si="8"/>
        <v>2.7808611322077416E-3</v>
      </c>
      <c r="D558" s="7">
        <f>(Table5345679103[[#This Row],[Value]]-B546)/B546</f>
        <v>2.5989551578620096E-2</v>
      </c>
    </row>
    <row r="559" spans="1:4" x14ac:dyDescent="0.35">
      <c r="A559" s="57">
        <v>38412</v>
      </c>
      <c r="B559" s="58">
        <f>VLOOKUP(Table5345679103[[#This Row],[Date]],Database!A:E,MATCH($A$1,Database!$A$1:$E$1,),)</f>
        <v>86.08</v>
      </c>
      <c r="C559" s="9">
        <f t="shared" si="8"/>
        <v>2.9945352644396611E-3</v>
      </c>
      <c r="D559" s="7">
        <f>(Table5345679103[[#This Row],[Value]]-B547)/B547</f>
        <v>2.7477380696602834E-2</v>
      </c>
    </row>
    <row r="560" spans="1:4" x14ac:dyDescent="0.35">
      <c r="A560" s="57">
        <v>38443</v>
      </c>
      <c r="B560" s="58">
        <f>VLOOKUP(Table5345679103[[#This Row],[Date]],Database!A:E,MATCH($A$1,Database!$A$1:$E$1,),)</f>
        <v>86.320999999999998</v>
      </c>
      <c r="C560" s="9">
        <f t="shared" si="8"/>
        <v>2.799721189591074E-3</v>
      </c>
      <c r="D560" s="7">
        <f>(Table5345679103[[#This Row],[Value]]-B548)/B548</f>
        <v>2.8439011604355809E-2</v>
      </c>
    </row>
    <row r="561" spans="1:4" x14ac:dyDescent="0.35">
      <c r="A561" s="57">
        <v>38473</v>
      </c>
      <c r="B561" s="58">
        <f>VLOOKUP(Table5345679103[[#This Row],[Date]],Database!A:E,MATCH($A$1,Database!$A$1:$E$1,),)</f>
        <v>86.37</v>
      </c>
      <c r="C561" s="9">
        <f t="shared" si="8"/>
        <v>5.6764866023339164E-4</v>
      </c>
      <c r="D561" s="7">
        <f>(Table5345679103[[#This Row],[Value]]-B549)/B549</f>
        <v>2.5698881314870692E-2</v>
      </c>
    </row>
    <row r="562" spans="1:4" x14ac:dyDescent="0.35">
      <c r="A562" s="57">
        <v>38504</v>
      </c>
      <c r="B562" s="58">
        <f>VLOOKUP(Table5345679103[[#This Row],[Date]],Database!A:E,MATCH($A$1,Database!$A$1:$E$1,),)</f>
        <v>86.423000000000002</v>
      </c>
      <c r="C562" s="9">
        <f t="shared" si="8"/>
        <v>6.1363899502138788E-4</v>
      </c>
      <c r="D562" s="7">
        <f>(Table5345679103[[#This Row],[Value]]-B550)/B550</f>
        <v>2.3399291863535697E-2</v>
      </c>
    </row>
    <row r="563" spans="1:4" x14ac:dyDescent="0.35">
      <c r="A563" s="57">
        <v>38534</v>
      </c>
      <c r="B563" s="58">
        <f>VLOOKUP(Table5345679103[[#This Row],[Date]],Database!A:E,MATCH($A$1,Database!$A$1:$E$1,),)</f>
        <v>86.79</v>
      </c>
      <c r="C563" s="9">
        <f t="shared" si="8"/>
        <v>4.2465547365863766E-3</v>
      </c>
      <c r="D563" s="7">
        <f>(Table5345679103[[#This Row],[Value]]-B551)/B551</f>
        <v>2.6796805678793261E-2</v>
      </c>
    </row>
    <row r="564" spans="1:4" x14ac:dyDescent="0.35">
      <c r="A564" s="57">
        <v>38565</v>
      </c>
      <c r="B564" s="58">
        <f>VLOOKUP(Table5345679103[[#This Row],[Date]],Database!A:E,MATCH($A$1,Database!$A$1:$E$1,),)</f>
        <v>87.14</v>
      </c>
      <c r="C564" s="9">
        <f t="shared" si="8"/>
        <v>4.0327226639013053E-3</v>
      </c>
      <c r="D564" s="7">
        <f>(Table5345679103[[#This Row],[Value]]-B552)/B552</f>
        <v>3.0401210845581689E-2</v>
      </c>
    </row>
    <row r="565" spans="1:4" x14ac:dyDescent="0.35">
      <c r="A565" s="57">
        <v>38596</v>
      </c>
      <c r="B565" s="58">
        <f>VLOOKUP(Table5345679103[[#This Row],[Date]],Database!A:E,MATCH($A$1,Database!$A$1:$E$1,),)</f>
        <v>87.980999999999995</v>
      </c>
      <c r="C565" s="9">
        <f t="shared" si="8"/>
        <v>9.6511361028229735E-3</v>
      </c>
      <c r="D565" s="7">
        <f>(Table5345679103[[#This Row],[Value]]-B553)/B553</f>
        <v>3.8307665073464274E-2</v>
      </c>
    </row>
    <row r="566" spans="1:4" x14ac:dyDescent="0.35">
      <c r="A566" s="57">
        <v>38626</v>
      </c>
      <c r="B566" s="58">
        <f>VLOOKUP(Table5345679103[[#This Row],[Date]],Database!A:E,MATCH($A$1,Database!$A$1:$E$1,),)</f>
        <v>88.120999999999995</v>
      </c>
      <c r="C566" s="9">
        <f t="shared" si="8"/>
        <v>1.5912526568236389E-3</v>
      </c>
      <c r="D566" s="7">
        <f>(Table5345679103[[#This Row],[Value]]-B554)/B554</f>
        <v>3.5511580629619517E-2</v>
      </c>
    </row>
    <row r="567" spans="1:4" x14ac:dyDescent="0.35">
      <c r="A567" s="57">
        <v>38657</v>
      </c>
      <c r="B567" s="58">
        <f>VLOOKUP(Table5345679103[[#This Row],[Date]],Database!A:E,MATCH($A$1,Database!$A$1:$E$1,),)</f>
        <v>87.938000000000002</v>
      </c>
      <c r="C567" s="9">
        <f t="shared" si="8"/>
        <v>-2.0766900057874143E-3</v>
      </c>
      <c r="D567" s="7">
        <f>(Table5345679103[[#This Row],[Value]]-B555)/B555</f>
        <v>2.9393517272056791E-2</v>
      </c>
    </row>
    <row r="568" spans="1:4" x14ac:dyDescent="0.35">
      <c r="A568" s="57">
        <v>38687</v>
      </c>
      <c r="B568" s="58">
        <f>VLOOKUP(Table5345679103[[#This Row],[Date]],Database!A:E,MATCH($A$1,Database!$A$1:$E$1,),)</f>
        <v>87.938000000000002</v>
      </c>
      <c r="C568" s="9">
        <f t="shared" si="8"/>
        <v>0</v>
      </c>
      <c r="D568" s="7">
        <f>(Table5345679103[[#This Row],[Value]]-B556)/B556</f>
        <v>2.883951657248492E-2</v>
      </c>
    </row>
    <row r="569" spans="1:4" x14ac:dyDescent="0.35">
      <c r="A569" s="57">
        <v>38718</v>
      </c>
      <c r="B569" s="58">
        <f>VLOOKUP(Table5345679103[[#This Row],[Date]],Database!A:E,MATCH($A$1,Database!$A$1:$E$1,),)</f>
        <v>88.364000000000004</v>
      </c>
      <c r="C569" s="9">
        <f t="shared" si="8"/>
        <v>4.8443221360504208E-3</v>
      </c>
      <c r="D569" s="7">
        <f>(Table5345679103[[#This Row],[Value]]-B557)/B557</f>
        <v>3.2470643220190581E-2</v>
      </c>
    </row>
    <row r="570" spans="1:4" x14ac:dyDescent="0.35">
      <c r="A570" s="57">
        <v>38749</v>
      </c>
      <c r="B570" s="58">
        <f>VLOOKUP(Table5345679103[[#This Row],[Date]],Database!A:E,MATCH($A$1,Database!$A$1:$E$1,),)</f>
        <v>88.417000000000002</v>
      </c>
      <c r="C570" s="9">
        <f t="shared" si="8"/>
        <v>5.9979177040420616E-4</v>
      </c>
      <c r="D570" s="7">
        <f>(Table5345679103[[#This Row],[Value]]-B558)/B558</f>
        <v>3.0224997960919667E-2</v>
      </c>
    </row>
    <row r="571" spans="1:4" x14ac:dyDescent="0.35">
      <c r="A571" s="57">
        <v>38777</v>
      </c>
      <c r="B571" s="58">
        <f>VLOOKUP(Table5345679103[[#This Row],[Date]],Database!A:E,MATCH($A$1,Database!$A$1:$E$1,),)</f>
        <v>88.587999999999994</v>
      </c>
      <c r="C571" s="9">
        <f t="shared" si="8"/>
        <v>1.9340172138841204E-3</v>
      </c>
      <c r="D571" s="7">
        <f>(Table5345679103[[#This Row],[Value]]-B559)/B559</f>
        <v>2.9135687732341955E-2</v>
      </c>
    </row>
    <row r="572" spans="1:4" x14ac:dyDescent="0.35">
      <c r="A572" s="57">
        <v>38808</v>
      </c>
      <c r="B572" s="58">
        <f>VLOOKUP(Table5345679103[[#This Row],[Date]],Database!A:E,MATCH($A$1,Database!$A$1:$E$1,),)</f>
        <v>88.998999999999995</v>
      </c>
      <c r="C572" s="9">
        <f t="shared" si="8"/>
        <v>4.6394545536641687E-3</v>
      </c>
      <c r="D572" s="7">
        <f>(Table5345679103[[#This Row],[Value]]-B560)/B560</f>
        <v>3.102373698173095E-2</v>
      </c>
    </row>
    <row r="573" spans="1:4" x14ac:dyDescent="0.35">
      <c r="A573" s="57">
        <v>38838</v>
      </c>
      <c r="B573" s="58">
        <f>VLOOKUP(Table5345679103[[#This Row],[Date]],Database!A:E,MATCH($A$1,Database!$A$1:$E$1,),)</f>
        <v>89.239000000000004</v>
      </c>
      <c r="C573" s="9">
        <f t="shared" si="8"/>
        <v>2.6966595130283387E-3</v>
      </c>
      <c r="D573" s="7">
        <f>(Table5345679103[[#This Row],[Value]]-B561)/B561</f>
        <v>3.3217552390876461E-2</v>
      </c>
    </row>
    <row r="574" spans="1:4" x14ac:dyDescent="0.35">
      <c r="A574" s="57">
        <v>38869</v>
      </c>
      <c r="B574" s="58">
        <f>VLOOKUP(Table5345679103[[#This Row],[Date]],Database!A:E,MATCH($A$1,Database!$A$1:$E$1,),)</f>
        <v>89.459000000000003</v>
      </c>
      <c r="C574" s="9">
        <f t="shared" si="8"/>
        <v>2.4652898396440889E-3</v>
      </c>
      <c r="D574" s="7">
        <f>(Table5345679103[[#This Row],[Value]]-B562)/B562</f>
        <v>3.5129537275956649E-2</v>
      </c>
    </row>
    <row r="575" spans="1:4" x14ac:dyDescent="0.35">
      <c r="A575" s="57">
        <v>38899</v>
      </c>
      <c r="B575" s="58">
        <f>VLOOKUP(Table5345679103[[#This Row],[Date]],Database!A:E,MATCH($A$1,Database!$A$1:$E$1,),)</f>
        <v>89.765000000000001</v>
      </c>
      <c r="C575" s="9">
        <f t="shared" si="8"/>
        <v>3.4205613744843714E-3</v>
      </c>
      <c r="D575" s="7">
        <f>(Table5345679103[[#This Row],[Value]]-B563)/B563</f>
        <v>3.4278142643161584E-2</v>
      </c>
    </row>
    <row r="576" spans="1:4" x14ac:dyDescent="0.35">
      <c r="A576" s="57">
        <v>38930</v>
      </c>
      <c r="B576" s="58">
        <f>VLOOKUP(Table5345679103[[#This Row],[Date]],Database!A:E,MATCH($A$1,Database!$A$1:$E$1,),)</f>
        <v>90.046999999999997</v>
      </c>
      <c r="C576" s="9">
        <f t="shared" si="8"/>
        <v>3.1415362334985403E-3</v>
      </c>
      <c r="D576" s="7">
        <f>(Table5345679103[[#This Row],[Value]]-B564)/B564</f>
        <v>3.3360110167546433E-2</v>
      </c>
    </row>
    <row r="577" spans="1:4" x14ac:dyDescent="0.35">
      <c r="A577" s="57">
        <v>38961</v>
      </c>
      <c r="B577" s="58">
        <f>VLOOKUP(Table5345679103[[#This Row],[Date]],Database!A:E,MATCH($A$1,Database!$A$1:$E$1,),)</f>
        <v>89.811999999999998</v>
      </c>
      <c r="C577" s="9">
        <f t="shared" si="8"/>
        <v>-2.609748242584422E-3</v>
      </c>
      <c r="D577" s="7">
        <f>(Table5345679103[[#This Row],[Value]]-B565)/B565</f>
        <v>2.0811311533171971E-2</v>
      </c>
    </row>
    <row r="578" spans="1:4" x14ac:dyDescent="0.35">
      <c r="A578" s="57">
        <v>38991</v>
      </c>
      <c r="B578" s="58">
        <f>VLOOKUP(Table5345679103[[#This Row],[Date]],Database!A:E,MATCH($A$1,Database!$A$1:$E$1,),)</f>
        <v>89.599000000000004</v>
      </c>
      <c r="C578" s="9">
        <f t="shared" si="8"/>
        <v>-2.3716207188348311E-3</v>
      </c>
      <c r="D578" s="7">
        <f>(Table5345679103[[#This Row],[Value]]-B566)/B566</f>
        <v>1.6772392505759227E-2</v>
      </c>
    </row>
    <row r="579" spans="1:4" x14ac:dyDescent="0.35">
      <c r="A579" s="57">
        <v>39022</v>
      </c>
      <c r="B579" s="58">
        <f>VLOOKUP(Table5345679103[[#This Row],[Date]],Database!A:E,MATCH($A$1,Database!$A$1:$E$1,),)</f>
        <v>89.63</v>
      </c>
      <c r="C579" s="9">
        <f t="shared" si="8"/>
        <v>3.4598600430799114E-4</v>
      </c>
      <c r="D579" s="7">
        <f>(Table5345679103[[#This Row],[Value]]-B567)/B567</f>
        <v>1.9240828765721224E-2</v>
      </c>
    </row>
    <row r="580" spans="1:4" x14ac:dyDescent="0.35">
      <c r="A580" s="57">
        <v>39052</v>
      </c>
      <c r="B580" s="58">
        <f>VLOOKUP(Table5345679103[[#This Row],[Date]],Database!A:E,MATCH($A$1,Database!$A$1:$E$1,),)</f>
        <v>89.948999999999998</v>
      </c>
      <c r="C580" s="9">
        <f t="shared" si="8"/>
        <v>3.5590762021644831E-3</v>
      </c>
      <c r="D580" s="7">
        <f>(Table5345679103[[#This Row],[Value]]-B568)/B568</f>
        <v>2.2868384543655709E-2</v>
      </c>
    </row>
    <row r="581" spans="1:4" x14ac:dyDescent="0.35">
      <c r="A581" s="57">
        <v>39083</v>
      </c>
      <c r="B581" s="58">
        <f>VLOOKUP(Table5345679103[[#This Row],[Date]],Database!A:E,MATCH($A$1,Database!$A$1:$E$1,),)</f>
        <v>90.248999999999995</v>
      </c>
      <c r="C581" s="9">
        <f t="shared" si="8"/>
        <v>3.3352232931994482E-3</v>
      </c>
      <c r="D581" s="7">
        <f>(Table5345679103[[#This Row],[Value]]-B569)/B569</f>
        <v>2.1332216739848704E-2</v>
      </c>
    </row>
    <row r="582" spans="1:4" x14ac:dyDescent="0.35">
      <c r="A582" s="57">
        <v>39114</v>
      </c>
      <c r="B582" s="58">
        <f>VLOOKUP(Table5345679103[[#This Row],[Date]],Database!A:E,MATCH($A$1,Database!$A$1:$E$1,),)</f>
        <v>90.528999999999996</v>
      </c>
      <c r="C582" s="9">
        <f t="shared" ref="C582:C645" si="9">(B582-B581)/B581</f>
        <v>3.102527451827734E-3</v>
      </c>
      <c r="D582" s="7">
        <f>(Table5345679103[[#This Row],[Value]]-B570)/B570</f>
        <v>2.3886809097797876E-2</v>
      </c>
    </row>
    <row r="583" spans="1:4" x14ac:dyDescent="0.35">
      <c r="A583" s="57">
        <v>39142</v>
      </c>
      <c r="B583" s="58">
        <f>VLOOKUP(Table5345679103[[#This Row],[Date]],Database!A:E,MATCH($A$1,Database!$A$1:$E$1,),)</f>
        <v>90.861000000000004</v>
      </c>
      <c r="C583" s="9">
        <f t="shared" si="9"/>
        <v>3.667333119773861E-3</v>
      </c>
      <c r="D583" s="7">
        <f>(Table5345679103[[#This Row],[Value]]-B571)/B571</f>
        <v>2.565810267756367E-2</v>
      </c>
    </row>
    <row r="584" spans="1:4" x14ac:dyDescent="0.35">
      <c r="A584" s="57">
        <v>39173</v>
      </c>
      <c r="B584" s="58">
        <f>VLOOKUP(Table5345679103[[#This Row],[Date]],Database!A:E,MATCH($A$1,Database!$A$1:$E$1,),)</f>
        <v>91.073999999999998</v>
      </c>
      <c r="C584" s="9">
        <f t="shared" si="9"/>
        <v>2.3442401030144269E-3</v>
      </c>
      <c r="D584" s="7">
        <f>(Table5345679103[[#This Row],[Value]]-B572)/B572</f>
        <v>2.3314868706389994E-2</v>
      </c>
    </row>
    <row r="585" spans="1:4" x14ac:dyDescent="0.35">
      <c r="A585" s="57">
        <v>39203</v>
      </c>
      <c r="B585" s="58">
        <f>VLOOKUP(Table5345679103[[#This Row],[Date]],Database!A:E,MATCH($A$1,Database!$A$1:$E$1,),)</f>
        <v>91.338999999999999</v>
      </c>
      <c r="C585" s="9">
        <f t="shared" si="9"/>
        <v>2.9097217647188066E-3</v>
      </c>
      <c r="D585" s="7">
        <f>(Table5345679103[[#This Row],[Value]]-B573)/B573</f>
        <v>2.3532312105693634E-2</v>
      </c>
    </row>
    <row r="586" spans="1:4" x14ac:dyDescent="0.35">
      <c r="A586" s="57">
        <v>39234</v>
      </c>
      <c r="B586" s="58">
        <f>VLOOKUP(Table5345679103[[#This Row],[Date]],Database!A:E,MATCH($A$1,Database!$A$1:$E$1,),)</f>
        <v>91.531999999999996</v>
      </c>
      <c r="C586" s="9">
        <f t="shared" si="9"/>
        <v>2.1130075871204834E-3</v>
      </c>
      <c r="D586" s="7">
        <f>(Table5345679103[[#This Row],[Value]]-B574)/B574</f>
        <v>2.3172626566359933E-2</v>
      </c>
    </row>
    <row r="587" spans="1:4" x14ac:dyDescent="0.35">
      <c r="A587" s="57">
        <v>39264</v>
      </c>
      <c r="B587" s="58">
        <f>VLOOKUP(Table5345679103[[#This Row],[Date]],Database!A:E,MATCH($A$1,Database!$A$1:$E$1,),)</f>
        <v>91.671999999999997</v>
      </c>
      <c r="C587" s="9">
        <f t="shared" si="9"/>
        <v>1.5295197308045337E-3</v>
      </c>
      <c r="D587" s="7">
        <f>(Table5345679103[[#This Row],[Value]]-B575)/B575</f>
        <v>2.1244360274048867E-2</v>
      </c>
    </row>
    <row r="588" spans="1:4" x14ac:dyDescent="0.35">
      <c r="A588" s="57">
        <v>39295</v>
      </c>
      <c r="B588" s="58">
        <f>VLOOKUP(Table5345679103[[#This Row],[Date]],Database!A:E,MATCH($A$1,Database!$A$1:$E$1,),)</f>
        <v>91.733999999999995</v>
      </c>
      <c r="C588" s="9">
        <f t="shared" si="9"/>
        <v>6.7632428658693621E-4</v>
      </c>
      <c r="D588" s="7">
        <f>(Table5345679103[[#This Row],[Value]]-B576)/B576</f>
        <v>1.8734660788254996E-2</v>
      </c>
    </row>
    <row r="589" spans="1:4" x14ac:dyDescent="0.35">
      <c r="A589" s="57">
        <v>39326</v>
      </c>
      <c r="B589" s="58">
        <f>VLOOKUP(Table5345679103[[#This Row],[Date]],Database!A:E,MATCH($A$1,Database!$A$1:$E$1,),)</f>
        <v>92.087999999999994</v>
      </c>
      <c r="C589" s="9">
        <f t="shared" si="9"/>
        <v>3.8589835829681385E-3</v>
      </c>
      <c r="D589" s="7">
        <f>(Table5345679103[[#This Row],[Value]]-B577)/B577</f>
        <v>2.5341825145860201E-2</v>
      </c>
    </row>
    <row r="590" spans="1:4" x14ac:dyDescent="0.35">
      <c r="A590" s="57">
        <v>39356</v>
      </c>
      <c r="B590" s="58">
        <f>VLOOKUP(Table5345679103[[#This Row],[Date]],Database!A:E,MATCH($A$1,Database!$A$1:$E$1,),)</f>
        <v>92.367000000000004</v>
      </c>
      <c r="C590" s="9">
        <f t="shared" si="9"/>
        <v>3.0297107114934693E-3</v>
      </c>
      <c r="D590" s="7">
        <f>(Table5345679103[[#This Row],[Value]]-B578)/B578</f>
        <v>3.0893201933057293E-2</v>
      </c>
    </row>
    <row r="591" spans="1:4" x14ac:dyDescent="0.35">
      <c r="A591" s="57">
        <v>39387</v>
      </c>
      <c r="B591" s="58">
        <f>VLOOKUP(Table5345679103[[#This Row],[Date]],Database!A:E,MATCH($A$1,Database!$A$1:$E$1,),)</f>
        <v>92.855999999999995</v>
      </c>
      <c r="C591" s="9">
        <f t="shared" si="9"/>
        <v>5.2940985416868591E-3</v>
      </c>
      <c r="D591" s="7">
        <f>(Table5345679103[[#This Row],[Value]]-B579)/B579</f>
        <v>3.5992413254490672E-2</v>
      </c>
    </row>
    <row r="592" spans="1:4" x14ac:dyDescent="0.35">
      <c r="A592" s="57">
        <v>39417</v>
      </c>
      <c r="B592" s="58">
        <f>VLOOKUP(Table5345679103[[#This Row],[Date]],Database!A:E,MATCH($A$1,Database!$A$1:$E$1,),)</f>
        <v>93.072000000000003</v>
      </c>
      <c r="C592" s="9">
        <f t="shared" si="9"/>
        <v>2.3261824760921019E-3</v>
      </c>
      <c r="D592" s="7">
        <f>(Table5345679103[[#This Row],[Value]]-B580)/B580</f>
        <v>3.4719674482206635E-2</v>
      </c>
    </row>
    <row r="593" spans="1:4" x14ac:dyDescent="0.35">
      <c r="A593" s="57">
        <v>39448</v>
      </c>
      <c r="B593" s="58">
        <f>VLOOKUP(Table5345679103[[#This Row],[Date]],Database!A:E,MATCH($A$1,Database!$A$1:$E$1,),)</f>
        <v>93.307000000000002</v>
      </c>
      <c r="C593" s="9">
        <f t="shared" si="9"/>
        <v>2.5249269382843329E-3</v>
      </c>
      <c r="D593" s="7">
        <f>(Table5345679103[[#This Row],[Value]]-B581)/B581</f>
        <v>3.3884031956032831E-2</v>
      </c>
    </row>
    <row r="594" spans="1:4" x14ac:dyDescent="0.35">
      <c r="A594" s="57">
        <v>39479</v>
      </c>
      <c r="B594" s="58">
        <f>VLOOKUP(Table5345679103[[#This Row],[Date]],Database!A:E,MATCH($A$1,Database!$A$1:$E$1,),)</f>
        <v>93.492000000000004</v>
      </c>
      <c r="C594" s="9">
        <f t="shared" si="9"/>
        <v>1.9827022624240654E-3</v>
      </c>
      <c r="D594" s="7">
        <f>(Table5345679103[[#This Row],[Value]]-B582)/B582</f>
        <v>3.2729843475571452E-2</v>
      </c>
    </row>
    <row r="595" spans="1:4" x14ac:dyDescent="0.35">
      <c r="A595" s="57">
        <v>39508</v>
      </c>
      <c r="B595" s="58">
        <f>VLOOKUP(Table5345679103[[#This Row],[Date]],Database!A:E,MATCH($A$1,Database!$A$1:$E$1,),)</f>
        <v>93.76</v>
      </c>
      <c r="C595" s="9">
        <f t="shared" si="9"/>
        <v>2.8665554272023345E-3</v>
      </c>
      <c r="D595" s="7">
        <f>(Table5345679103[[#This Row],[Value]]-B583)/B583</f>
        <v>3.1905878209572872E-2</v>
      </c>
    </row>
    <row r="596" spans="1:4" x14ac:dyDescent="0.35">
      <c r="A596" s="57">
        <v>39539</v>
      </c>
      <c r="B596" s="58">
        <f>VLOOKUP(Table5345679103[[#This Row],[Date]],Database!A:E,MATCH($A$1,Database!$A$1:$E$1,),)</f>
        <v>93.933999999999997</v>
      </c>
      <c r="C596" s="9">
        <f t="shared" si="9"/>
        <v>1.8558020477814885E-3</v>
      </c>
      <c r="D596" s="7">
        <f>(Table5345679103[[#This Row],[Value]]-B584)/B584</f>
        <v>3.1403034894701004E-2</v>
      </c>
    </row>
    <row r="597" spans="1:4" x14ac:dyDescent="0.35">
      <c r="A597" s="57">
        <v>39569</v>
      </c>
      <c r="B597" s="58">
        <f>VLOOKUP(Table5345679103[[#This Row],[Date]],Database!A:E,MATCH($A$1,Database!$A$1:$E$1,),)</f>
        <v>94.337000000000003</v>
      </c>
      <c r="C597" s="9">
        <f t="shared" si="9"/>
        <v>4.2902463431771865E-3</v>
      </c>
      <c r="D597" s="7">
        <f>(Table5345679103[[#This Row],[Value]]-B585)/B585</f>
        <v>3.2822781068327929E-2</v>
      </c>
    </row>
    <row r="598" spans="1:4" x14ac:dyDescent="0.35">
      <c r="A598" s="57">
        <v>39600</v>
      </c>
      <c r="B598" s="58">
        <f>VLOOKUP(Table5345679103[[#This Row],[Date]],Database!A:E,MATCH($A$1,Database!$A$1:$E$1,),)</f>
        <v>95.021000000000001</v>
      </c>
      <c r="C598" s="9">
        <f t="shared" si="9"/>
        <v>7.2506015667235281E-3</v>
      </c>
      <c r="D598" s="7">
        <f>(Table5345679103[[#This Row],[Value]]-B586)/B586</f>
        <v>3.8117816719835731E-2</v>
      </c>
    </row>
    <row r="599" spans="1:4" x14ac:dyDescent="0.35">
      <c r="A599" s="57">
        <v>39630</v>
      </c>
      <c r="B599" s="58">
        <f>VLOOKUP(Table5345679103[[#This Row],[Date]],Database!A:E,MATCH($A$1,Database!$A$1:$E$1,),)</f>
        <v>95.462999999999994</v>
      </c>
      <c r="C599" s="9">
        <f t="shared" si="9"/>
        <v>4.6516033297901837E-3</v>
      </c>
      <c r="D599" s="7">
        <f>(Table5345679103[[#This Row],[Value]]-B587)/B587</f>
        <v>4.1353957587922124E-2</v>
      </c>
    </row>
    <row r="600" spans="1:4" x14ac:dyDescent="0.35">
      <c r="A600" s="57">
        <v>39661</v>
      </c>
      <c r="B600" s="58">
        <f>VLOOKUP(Table5345679103[[#This Row],[Date]],Database!A:E,MATCH($A$1,Database!$A$1:$E$1,),)</f>
        <v>95.385999999999996</v>
      </c>
      <c r="C600" s="9">
        <f t="shared" si="9"/>
        <v>-8.0659522537525731E-4</v>
      </c>
      <c r="D600" s="7">
        <f>(Table5345679103[[#This Row],[Value]]-B588)/B588</f>
        <v>3.9810757189264627E-2</v>
      </c>
    </row>
    <row r="601" spans="1:4" x14ac:dyDescent="0.35">
      <c r="A601" s="57">
        <v>39692</v>
      </c>
      <c r="B601" s="58">
        <f>VLOOKUP(Table5345679103[[#This Row],[Date]],Database!A:E,MATCH($A$1,Database!$A$1:$E$1,),)</f>
        <v>95.465000000000003</v>
      </c>
      <c r="C601" s="9">
        <f t="shared" si="9"/>
        <v>8.282137839935392E-4</v>
      </c>
      <c r="D601" s="7">
        <f>(Table5345679103[[#This Row],[Value]]-B589)/B589</f>
        <v>3.6671444705064823E-2</v>
      </c>
    </row>
    <row r="602" spans="1:4" x14ac:dyDescent="0.35">
      <c r="A602" s="57">
        <v>39722</v>
      </c>
      <c r="B602" s="58">
        <f>VLOOKUP(Table5345679103[[#This Row],[Date]],Database!A:E,MATCH($A$1,Database!$A$1:$E$1,),)</f>
        <v>94.834999999999994</v>
      </c>
      <c r="C602" s="9">
        <f t="shared" si="9"/>
        <v>-6.5992772220186419E-3</v>
      </c>
      <c r="D602" s="7">
        <f>(Table5345679103[[#This Row],[Value]]-B590)/B590</f>
        <v>2.6719499388309562E-2</v>
      </c>
    </row>
    <row r="603" spans="1:4" x14ac:dyDescent="0.35">
      <c r="A603" s="57">
        <v>39753</v>
      </c>
      <c r="B603" s="58">
        <f>VLOOKUP(Table5345679103[[#This Row],[Date]],Database!A:E,MATCH($A$1,Database!$A$1:$E$1,),)</f>
        <v>93.715999999999994</v>
      </c>
      <c r="C603" s="9">
        <f t="shared" si="9"/>
        <v>-1.1799441134602202E-2</v>
      </c>
      <c r="D603" s="7">
        <f>(Table5345679103[[#This Row],[Value]]-B591)/B591</f>
        <v>9.2616524511070844E-3</v>
      </c>
    </row>
    <row r="604" spans="1:4" x14ac:dyDescent="0.35">
      <c r="A604" s="57">
        <v>39783</v>
      </c>
      <c r="B604" s="58">
        <f>VLOOKUP(Table5345679103[[#This Row],[Date]],Database!A:E,MATCH($A$1,Database!$A$1:$E$1,),)</f>
        <v>93.191999999999993</v>
      </c>
      <c r="C604" s="9">
        <f t="shared" si="9"/>
        <v>-5.5913611336378096E-3</v>
      </c>
      <c r="D604" s="7">
        <f>(Table5345679103[[#This Row],[Value]]-B592)/B592</f>
        <v>1.289324394017431E-3</v>
      </c>
    </row>
    <row r="605" spans="1:4" x14ac:dyDescent="0.35">
      <c r="A605" s="57">
        <v>39814</v>
      </c>
      <c r="B605" s="58">
        <f>VLOOKUP(Table5345679103[[#This Row],[Date]],Database!A:E,MATCH($A$1,Database!$A$1:$E$1,),)</f>
        <v>93.203000000000003</v>
      </c>
      <c r="C605" s="9">
        <f t="shared" si="9"/>
        <v>1.1803588290851029E-4</v>
      </c>
      <c r="D605" s="7">
        <f>(Table5345679103[[#This Row],[Value]]-B593)/B593</f>
        <v>-1.1146001907681011E-3</v>
      </c>
    </row>
    <row r="606" spans="1:4" x14ac:dyDescent="0.35">
      <c r="A606" s="57">
        <v>39845</v>
      </c>
      <c r="B606" s="58">
        <f>VLOOKUP(Table5345679103[[#This Row],[Date]],Database!A:E,MATCH($A$1,Database!$A$1:$E$1,),)</f>
        <v>93.369</v>
      </c>
      <c r="C606" s="9">
        <f t="shared" si="9"/>
        <v>1.7810585496174673E-3</v>
      </c>
      <c r="D606" s="7">
        <f>(Table5345679103[[#This Row],[Value]]-B594)/B594</f>
        <v>-1.3156205878578344E-3</v>
      </c>
    </row>
    <row r="607" spans="1:4" x14ac:dyDescent="0.35">
      <c r="A607" s="57">
        <v>39873</v>
      </c>
      <c r="B607" s="58">
        <f>VLOOKUP(Table5345679103[[#This Row],[Date]],Database!A:E,MATCH($A$1,Database!$A$1:$E$1,),)</f>
        <v>93.266999999999996</v>
      </c>
      <c r="C607" s="9">
        <f t="shared" si="9"/>
        <v>-1.0924396748385851E-3</v>
      </c>
      <c r="D607" s="7">
        <f>(Table5345679103[[#This Row],[Value]]-B595)/B595</f>
        <v>-5.2581058020478794E-3</v>
      </c>
    </row>
    <row r="608" spans="1:4" x14ac:dyDescent="0.35">
      <c r="A608" s="57">
        <v>39904</v>
      </c>
      <c r="B608" s="58">
        <f>VLOOKUP(Table5345679103[[#This Row],[Date]],Database!A:E,MATCH($A$1,Database!$A$1:$E$1,),)</f>
        <v>93.400999999999996</v>
      </c>
      <c r="C608" s="9">
        <f t="shared" si="9"/>
        <v>1.4367353940836561E-3</v>
      </c>
      <c r="D608" s="7">
        <f>(Table5345679103[[#This Row],[Value]]-B596)/B596</f>
        <v>-5.6741967764600814E-3</v>
      </c>
    </row>
    <row r="609" spans="1:4" x14ac:dyDescent="0.35">
      <c r="A609" s="57">
        <v>39934</v>
      </c>
      <c r="B609" s="58">
        <f>VLOOKUP(Table5345679103[[#This Row],[Date]],Database!A:E,MATCH($A$1,Database!$A$1:$E$1,),)</f>
        <v>93.498000000000005</v>
      </c>
      <c r="C609" s="9">
        <f t="shared" si="9"/>
        <v>1.0385327780217386E-3</v>
      </c>
      <c r="D609" s="7">
        <f>(Table5345679103[[#This Row],[Value]]-B597)/B597</f>
        <v>-8.8936472433933517E-3</v>
      </c>
    </row>
    <row r="610" spans="1:4" x14ac:dyDescent="0.35">
      <c r="A610" s="57">
        <v>39965</v>
      </c>
      <c r="B610" s="58">
        <f>VLOOKUP(Table5345679103[[#This Row],[Date]],Database!A:E,MATCH($A$1,Database!$A$1:$E$1,),)</f>
        <v>94.052999999999997</v>
      </c>
      <c r="C610" s="9">
        <f t="shared" si="9"/>
        <v>5.9359558493229008E-3</v>
      </c>
      <c r="D610" s="7">
        <f>(Table5345679103[[#This Row],[Value]]-B598)/B598</f>
        <v>-1.0187221772029378E-2</v>
      </c>
    </row>
    <row r="611" spans="1:4" x14ac:dyDescent="0.35">
      <c r="A611" s="57">
        <v>39995</v>
      </c>
      <c r="B611" s="58">
        <f>VLOOKUP(Table5345679103[[#This Row],[Date]],Database!A:E,MATCH($A$1,Database!$A$1:$E$1,),)</f>
        <v>94.063000000000002</v>
      </c>
      <c r="C611" s="9">
        <f t="shared" si="9"/>
        <v>1.0632303063171952E-4</v>
      </c>
      <c r="D611" s="7">
        <f>(Table5345679103[[#This Row],[Value]]-B599)/B599</f>
        <v>-1.4665367734095843E-2</v>
      </c>
    </row>
    <row r="612" spans="1:4" x14ac:dyDescent="0.35">
      <c r="A612" s="57">
        <v>40026</v>
      </c>
      <c r="B612" s="58">
        <f>VLOOKUP(Table5345679103[[#This Row],[Date]],Database!A:E,MATCH($A$1,Database!$A$1:$E$1,),)</f>
        <v>94.335999999999999</v>
      </c>
      <c r="C612" s="9">
        <f t="shared" si="9"/>
        <v>2.9023101538330283E-3</v>
      </c>
      <c r="D612" s="7">
        <f>(Table5345679103[[#This Row],[Value]]-B600)/B600</f>
        <v>-1.1007904723963655E-2</v>
      </c>
    </row>
    <row r="613" spans="1:4" x14ac:dyDescent="0.35">
      <c r="A613" s="57">
        <v>40057</v>
      </c>
      <c r="B613" s="58">
        <f>VLOOKUP(Table5345679103[[#This Row],[Date]],Database!A:E,MATCH($A$1,Database!$A$1:$E$1,),)</f>
        <v>94.489000000000004</v>
      </c>
      <c r="C613" s="9">
        <f t="shared" si="9"/>
        <v>1.6218622795115948E-3</v>
      </c>
      <c r="D613" s="7">
        <f>(Table5345679103[[#This Row],[Value]]-B601)/B601</f>
        <v>-1.0223642172523952E-2</v>
      </c>
    </row>
    <row r="614" spans="1:4" x14ac:dyDescent="0.35">
      <c r="A614" s="57">
        <v>40087</v>
      </c>
      <c r="B614" s="58">
        <f>VLOOKUP(Table5345679103[[#This Row],[Date]],Database!A:E,MATCH($A$1,Database!$A$1:$E$1,),)</f>
        <v>94.846999999999994</v>
      </c>
      <c r="C614" s="9">
        <f t="shared" si="9"/>
        <v>3.7888008127929165E-3</v>
      </c>
      <c r="D614" s="7">
        <f>(Table5345679103[[#This Row],[Value]]-B602)/B602</f>
        <v>1.265355617651759E-4</v>
      </c>
    </row>
    <row r="615" spans="1:4" x14ac:dyDescent="0.35">
      <c r="A615" s="57">
        <v>40118</v>
      </c>
      <c r="B615" s="58">
        <f>VLOOKUP(Table5345679103[[#This Row],[Date]],Database!A:E,MATCH($A$1,Database!$A$1:$E$1,),)</f>
        <v>95.084000000000003</v>
      </c>
      <c r="C615" s="9">
        <f t="shared" si="9"/>
        <v>2.4987611627147826E-3</v>
      </c>
      <c r="D615" s="7">
        <f>(Table5345679103[[#This Row],[Value]]-B603)/B603</f>
        <v>1.4597293951940003E-2</v>
      </c>
    </row>
    <row r="616" spans="1:4" x14ac:dyDescent="0.35">
      <c r="A616" s="57">
        <v>40148</v>
      </c>
      <c r="B616" s="58">
        <f>VLOOKUP(Table5345679103[[#This Row],[Date]],Database!A:E,MATCH($A$1,Database!$A$1:$E$1,),)</f>
        <v>95.14</v>
      </c>
      <c r="C616" s="9">
        <f t="shared" si="9"/>
        <v>5.8895292583397189E-4</v>
      </c>
      <c r="D616" s="7">
        <f>(Table5345679103[[#This Row],[Value]]-B604)/B604</f>
        <v>2.0903081809597473E-2</v>
      </c>
    </row>
    <row r="617" spans="1:4" x14ac:dyDescent="0.35">
      <c r="A617" s="57">
        <v>40179</v>
      </c>
      <c r="B617" s="58">
        <f>VLOOKUP(Table5345679103[[#This Row],[Date]],Database!A:E,MATCH($A$1,Database!$A$1:$E$1,),)</f>
        <v>95.347999999999999</v>
      </c>
      <c r="C617" s="9">
        <f t="shared" si="9"/>
        <v>2.1862518393945597E-3</v>
      </c>
      <c r="D617" s="7">
        <f>(Table5345679103[[#This Row],[Value]]-B605)/B605</f>
        <v>2.3014280656202011E-2</v>
      </c>
    </row>
    <row r="618" spans="1:4" x14ac:dyDescent="0.35">
      <c r="A618" s="57">
        <v>40210</v>
      </c>
      <c r="B618" s="58">
        <f>VLOOKUP(Table5345679103[[#This Row],[Date]],Database!A:E,MATCH($A$1,Database!$A$1:$E$1,),)</f>
        <v>95.344999999999999</v>
      </c>
      <c r="C618" s="9">
        <f t="shared" si="9"/>
        <v>-3.1463690900701782E-5</v>
      </c>
      <c r="D618" s="7">
        <f>(Table5345679103[[#This Row],[Value]]-B606)/B606</f>
        <v>2.1163341151774134E-2</v>
      </c>
    </row>
    <row r="619" spans="1:4" x14ac:dyDescent="0.35">
      <c r="A619" s="57">
        <v>40238</v>
      </c>
      <c r="B619" s="58">
        <f>VLOOKUP(Table5345679103[[#This Row],[Date]],Database!A:E,MATCH($A$1,Database!$A$1:$E$1,),)</f>
        <v>95.48</v>
      </c>
      <c r="C619" s="9">
        <f t="shared" si="9"/>
        <v>1.41591064030631E-3</v>
      </c>
      <c r="D619" s="7">
        <f>(Table5345679103[[#This Row],[Value]]-B607)/B607</f>
        <v>2.3727577814232344E-2</v>
      </c>
    </row>
    <row r="620" spans="1:4" x14ac:dyDescent="0.35">
      <c r="A620" s="57">
        <v>40269</v>
      </c>
      <c r="B620" s="58">
        <f>VLOOKUP(Table5345679103[[#This Row],[Date]],Database!A:E,MATCH($A$1,Database!$A$1:$E$1,),)</f>
        <v>95.531999999999996</v>
      </c>
      <c r="C620" s="9">
        <f t="shared" si="9"/>
        <v>5.4461667364885311E-4</v>
      </c>
      <c r="D620" s="7">
        <f>(Table5345679103[[#This Row],[Value]]-B608)/B608</f>
        <v>2.2815601546021993E-2</v>
      </c>
    </row>
    <row r="621" spans="1:4" x14ac:dyDescent="0.35">
      <c r="A621" s="57">
        <v>40299</v>
      </c>
      <c r="B621" s="58">
        <f>VLOOKUP(Table5345679103[[#This Row],[Date]],Database!A:E,MATCH($A$1,Database!$A$1:$E$1,),)</f>
        <v>95.561999999999998</v>
      </c>
      <c r="C621" s="9">
        <f t="shared" si="9"/>
        <v>3.1403090064063496E-4</v>
      </c>
      <c r="D621" s="7">
        <f>(Table5345679103[[#This Row],[Value]]-B609)/B609</f>
        <v>2.2075338509914576E-2</v>
      </c>
    </row>
    <row r="622" spans="1:4" x14ac:dyDescent="0.35">
      <c r="A622" s="57">
        <v>40330</v>
      </c>
      <c r="B622" s="58">
        <f>VLOOKUP(Table5345679103[[#This Row],[Date]],Database!A:E,MATCH($A$1,Database!$A$1:$E$1,),)</f>
        <v>95.522000000000006</v>
      </c>
      <c r="C622" s="9">
        <f t="shared" si="9"/>
        <v>-4.1857642159008856E-4</v>
      </c>
      <c r="D622" s="7">
        <f>(Table5345679103[[#This Row],[Value]]-B610)/B610</f>
        <v>1.5618853199791696E-2</v>
      </c>
    </row>
    <row r="623" spans="1:4" x14ac:dyDescent="0.35">
      <c r="A623" s="57">
        <v>40360</v>
      </c>
      <c r="B623" s="58">
        <f>VLOOKUP(Table5345679103[[#This Row],[Date]],Database!A:E,MATCH($A$1,Database!$A$1:$E$1,),)</f>
        <v>95.603999999999999</v>
      </c>
      <c r="C623" s="9">
        <f t="shared" si="9"/>
        <v>8.5844098741644464E-4</v>
      </c>
      <c r="D623" s="7">
        <f>(Table5345679103[[#This Row],[Value]]-B611)/B611</f>
        <v>1.6382637168706044E-2</v>
      </c>
    </row>
    <row r="624" spans="1:4" x14ac:dyDescent="0.35">
      <c r="A624" s="57">
        <v>40391</v>
      </c>
      <c r="B624" s="58">
        <f>VLOOKUP(Table5345679103[[#This Row],[Date]],Database!A:E,MATCH($A$1,Database!$A$1:$E$1,),)</f>
        <v>95.734999999999999</v>
      </c>
      <c r="C624" s="9">
        <f t="shared" si="9"/>
        <v>1.3702355549977013E-3</v>
      </c>
      <c r="D624" s="7">
        <f>(Table5345679103[[#This Row],[Value]]-B612)/B612</f>
        <v>1.4829969470827689E-2</v>
      </c>
    </row>
    <row r="625" spans="1:4" x14ac:dyDescent="0.35">
      <c r="A625" s="57">
        <v>40422</v>
      </c>
      <c r="B625" s="58">
        <f>VLOOKUP(Table5345679103[[#This Row],[Date]],Database!A:E,MATCH($A$1,Database!$A$1:$E$1,),)</f>
        <v>95.83</v>
      </c>
      <c r="C625" s="9">
        <f t="shared" si="9"/>
        <v>9.9232255705853506E-4</v>
      </c>
      <c r="D625" s="7">
        <f>(Table5345679103[[#This Row],[Value]]-B613)/B613</f>
        <v>1.4192128184233021E-2</v>
      </c>
    </row>
    <row r="626" spans="1:4" x14ac:dyDescent="0.35">
      <c r="A626" s="57">
        <v>40452</v>
      </c>
      <c r="B626" s="58">
        <f>VLOOKUP(Table5345679103[[#This Row],[Date]],Database!A:E,MATCH($A$1,Database!$A$1:$E$1,),)</f>
        <v>96.135000000000005</v>
      </c>
      <c r="C626" s="9">
        <f t="shared" si="9"/>
        <v>3.1827193989356862E-3</v>
      </c>
      <c r="D626" s="7">
        <f>(Table5345679103[[#This Row],[Value]]-B614)/B614</f>
        <v>1.3579765306230149E-2</v>
      </c>
    </row>
    <row r="627" spans="1:4" x14ac:dyDescent="0.35">
      <c r="A627" s="57">
        <v>40483</v>
      </c>
      <c r="B627" s="58">
        <f>VLOOKUP(Table5345679103[[#This Row],[Date]],Database!A:E,MATCH($A$1,Database!$A$1:$E$1,),)</f>
        <v>96.326999999999998</v>
      </c>
      <c r="C627" s="9">
        <f t="shared" si="9"/>
        <v>1.9971914495240345E-3</v>
      </c>
      <c r="D627" s="7">
        <f>(Table5345679103[[#This Row],[Value]]-B615)/B615</f>
        <v>1.3072651550208184E-2</v>
      </c>
    </row>
    <row r="628" spans="1:4" x14ac:dyDescent="0.35">
      <c r="A628" s="57">
        <v>40513</v>
      </c>
      <c r="B628" s="58">
        <f>VLOOKUP(Table5345679103[[#This Row],[Date]],Database!A:E,MATCH($A$1,Database!$A$1:$E$1,),)</f>
        <v>96.545000000000002</v>
      </c>
      <c r="C628" s="9">
        <f t="shared" si="9"/>
        <v>2.2631245652828752E-3</v>
      </c>
      <c r="D628" s="7">
        <f>(Table5345679103[[#This Row],[Value]]-B616)/B616</f>
        <v>1.4767710742064339E-2</v>
      </c>
    </row>
    <row r="629" spans="1:4" x14ac:dyDescent="0.35">
      <c r="A629" s="57">
        <v>40544</v>
      </c>
      <c r="B629" s="58">
        <f>VLOOKUP(Table5345679103[[#This Row],[Date]],Database!A:E,MATCH($A$1,Database!$A$1:$E$1,),)</f>
        <v>96.834999999999994</v>
      </c>
      <c r="C629" s="9">
        <f t="shared" si="9"/>
        <v>3.0037806204359836E-3</v>
      </c>
      <c r="D629" s="7">
        <f>(Table5345679103[[#This Row],[Value]]-B617)/B617</f>
        <v>1.5595502789780539E-2</v>
      </c>
    </row>
    <row r="630" spans="1:4" x14ac:dyDescent="0.35">
      <c r="A630" s="57">
        <v>40575</v>
      </c>
      <c r="B630" s="58">
        <f>VLOOKUP(Table5345679103[[#This Row],[Date]],Database!A:E,MATCH($A$1,Database!$A$1:$E$1,),)</f>
        <v>97.105000000000004</v>
      </c>
      <c r="C630" s="9">
        <f t="shared" si="9"/>
        <v>2.7882480508081816E-3</v>
      </c>
      <c r="D630" s="7">
        <f>(Table5345679103[[#This Row],[Value]]-B618)/B618</f>
        <v>1.8459279458807543E-2</v>
      </c>
    </row>
    <row r="631" spans="1:4" x14ac:dyDescent="0.35">
      <c r="A631" s="57">
        <v>40603</v>
      </c>
      <c r="B631" s="58">
        <f>VLOOKUP(Table5345679103[[#This Row],[Date]],Database!A:E,MATCH($A$1,Database!$A$1:$E$1,),)</f>
        <v>97.495999999999995</v>
      </c>
      <c r="C631" s="9">
        <f t="shared" si="9"/>
        <v>4.0265691776941569E-3</v>
      </c>
      <c r="D631" s="7">
        <f>(Table5345679103[[#This Row],[Value]]-B619)/B619</f>
        <v>2.1114369501466182E-2</v>
      </c>
    </row>
    <row r="632" spans="1:4" x14ac:dyDescent="0.35">
      <c r="A632" s="57">
        <v>40634</v>
      </c>
      <c r="B632" s="58">
        <f>VLOOKUP(Table5345679103[[#This Row],[Date]],Database!A:E,MATCH($A$1,Database!$A$1:$E$1,),)</f>
        <v>97.908000000000001</v>
      </c>
      <c r="C632" s="9">
        <f t="shared" si="9"/>
        <v>4.225814392385392E-3</v>
      </c>
      <c r="D632" s="7">
        <f>(Table5345679103[[#This Row],[Value]]-B620)/B620</f>
        <v>2.4871247330737395E-2</v>
      </c>
    </row>
    <row r="633" spans="1:4" x14ac:dyDescent="0.35">
      <c r="A633" s="57">
        <v>40664</v>
      </c>
      <c r="B633" s="58">
        <f>VLOOKUP(Table5345679103[[#This Row],[Date]],Database!A:E,MATCH($A$1,Database!$A$1:$E$1,),)</f>
        <v>98.206000000000003</v>
      </c>
      <c r="C633" s="9">
        <f t="shared" si="9"/>
        <v>3.0436736528169487E-3</v>
      </c>
      <c r="D633" s="7">
        <f>(Table5345679103[[#This Row],[Value]]-B621)/B621</f>
        <v>2.7667901467110415E-2</v>
      </c>
    </row>
    <row r="634" spans="1:4" x14ac:dyDescent="0.35">
      <c r="A634" s="57">
        <v>40695</v>
      </c>
      <c r="B634" s="58">
        <f>VLOOKUP(Table5345679103[[#This Row],[Date]],Database!A:E,MATCH($A$1,Database!$A$1:$E$1,),)</f>
        <v>98.186000000000007</v>
      </c>
      <c r="C634" s="9">
        <f t="shared" si="9"/>
        <v>-2.0365354458990308E-4</v>
      </c>
      <c r="D634" s="7">
        <f>(Table5345679103[[#This Row],[Value]]-B622)/B622</f>
        <v>2.7888863298507163E-2</v>
      </c>
    </row>
    <row r="635" spans="1:4" x14ac:dyDescent="0.35">
      <c r="A635" s="57">
        <v>40725</v>
      </c>
      <c r="B635" s="58">
        <f>VLOOKUP(Table5345679103[[#This Row],[Date]],Database!A:E,MATCH($A$1,Database!$A$1:$E$1,),)</f>
        <v>98.352999999999994</v>
      </c>
      <c r="C635" s="9">
        <f t="shared" si="9"/>
        <v>1.7008534821663717E-3</v>
      </c>
      <c r="D635" s="7">
        <f>(Table5345679103[[#This Row],[Value]]-B623)/B623</f>
        <v>2.8754027028157769E-2</v>
      </c>
    </row>
    <row r="636" spans="1:4" x14ac:dyDescent="0.35">
      <c r="A636" s="57">
        <v>40756</v>
      </c>
      <c r="B636" s="58">
        <f>VLOOKUP(Table5345679103[[#This Row],[Date]],Database!A:E,MATCH($A$1,Database!$A$1:$E$1,),)</f>
        <v>98.584000000000003</v>
      </c>
      <c r="C636" s="9">
        <f t="shared" si="9"/>
        <v>2.3486828058118083E-3</v>
      </c>
      <c r="D636" s="7">
        <f>(Table5345679103[[#This Row],[Value]]-B624)/B624</f>
        <v>2.9759231211155833E-2</v>
      </c>
    </row>
    <row r="637" spans="1:4" x14ac:dyDescent="0.35">
      <c r="A637" s="57">
        <v>40787</v>
      </c>
      <c r="B637" s="58">
        <f>VLOOKUP(Table5345679103[[#This Row],[Date]],Database!A:E,MATCH($A$1,Database!$A$1:$E$1,),)</f>
        <v>98.722999999999999</v>
      </c>
      <c r="C637" s="9">
        <f t="shared" si="9"/>
        <v>1.4099651058994947E-3</v>
      </c>
      <c r="D637" s="7">
        <f>(Table5345679103[[#This Row],[Value]]-B625)/B625</f>
        <v>3.0188876134822087E-2</v>
      </c>
    </row>
    <row r="638" spans="1:4" x14ac:dyDescent="0.35">
      <c r="A638" s="57">
        <v>40817</v>
      </c>
      <c r="B638" s="58">
        <f>VLOOKUP(Table5345679103[[#This Row],[Date]],Database!A:E,MATCH($A$1,Database!$A$1:$E$1,),)</f>
        <v>98.724999999999994</v>
      </c>
      <c r="C638" s="9">
        <f t="shared" si="9"/>
        <v>2.0258703645506507E-5</v>
      </c>
      <c r="D638" s="7">
        <f>(Table5345679103[[#This Row],[Value]]-B626)/B626</f>
        <v>2.6941280490976119E-2</v>
      </c>
    </row>
    <row r="639" spans="1:4" x14ac:dyDescent="0.35">
      <c r="A639" s="57">
        <v>40848</v>
      </c>
      <c r="B639" s="58">
        <f>VLOOKUP(Table5345679103[[#This Row],[Date]],Database!A:E,MATCH($A$1,Database!$A$1:$E$1,),)</f>
        <v>98.927999999999997</v>
      </c>
      <c r="C639" s="9">
        <f t="shared" si="9"/>
        <v>2.0562167637376851E-3</v>
      </c>
      <c r="D639" s="7">
        <f>(Table5345679103[[#This Row],[Value]]-B627)/B627</f>
        <v>2.7001775203214042E-2</v>
      </c>
    </row>
    <row r="640" spans="1:4" x14ac:dyDescent="0.35">
      <c r="A640" s="57">
        <v>40878</v>
      </c>
      <c r="B640" s="58">
        <f>VLOOKUP(Table5345679103[[#This Row],[Date]],Database!A:E,MATCH($A$1,Database!$A$1:$E$1,),)</f>
        <v>98.983999999999995</v>
      </c>
      <c r="C640" s="9">
        <f t="shared" si="9"/>
        <v>5.6606825165774486E-4</v>
      </c>
      <c r="D640" s="7">
        <f>(Table5345679103[[#This Row],[Value]]-B628)/B628</f>
        <v>2.5262830804288084E-2</v>
      </c>
    </row>
    <row r="641" spans="1:4" x14ac:dyDescent="0.35">
      <c r="A641" s="57">
        <v>40909</v>
      </c>
      <c r="B641" s="58">
        <f>VLOOKUP(Table5345679103[[#This Row],[Date]],Database!A:E,MATCH($A$1,Database!$A$1:$E$1,),)</f>
        <v>99.322999999999993</v>
      </c>
      <c r="C641" s="9">
        <f t="shared" si="9"/>
        <v>3.4247959266143885E-3</v>
      </c>
      <c r="D641" s="7">
        <f>(Table5345679103[[#This Row],[Value]]-B629)/B629</f>
        <v>2.5693189445964784E-2</v>
      </c>
    </row>
    <row r="642" spans="1:4" x14ac:dyDescent="0.35">
      <c r="A642" s="57">
        <v>40940</v>
      </c>
      <c r="B642" s="58">
        <f>VLOOKUP(Table5345679103[[#This Row],[Date]],Database!A:E,MATCH($A$1,Database!$A$1:$E$1,),)</f>
        <v>99.545000000000002</v>
      </c>
      <c r="C642" s="9">
        <f t="shared" si="9"/>
        <v>2.2351318425743124E-3</v>
      </c>
      <c r="D642" s="7">
        <f>(Table5345679103[[#This Row],[Value]]-B630)/B630</f>
        <v>2.5127439369754364E-2</v>
      </c>
    </row>
    <row r="643" spans="1:4" x14ac:dyDescent="0.35">
      <c r="A643" s="57">
        <v>40969</v>
      </c>
      <c r="B643" s="58">
        <f>VLOOKUP(Table5345679103[[#This Row],[Date]],Database!A:E,MATCH($A$1,Database!$A$1:$E$1,),)</f>
        <v>99.734999999999999</v>
      </c>
      <c r="C643" s="9">
        <f t="shared" si="9"/>
        <v>1.9086845145411394E-3</v>
      </c>
      <c r="D643" s="7">
        <f>(Table5345679103[[#This Row],[Value]]-B631)/B631</f>
        <v>2.2965044719783421E-2</v>
      </c>
    </row>
    <row r="644" spans="1:4" x14ac:dyDescent="0.35">
      <c r="A644" s="57">
        <v>41000</v>
      </c>
      <c r="B644" s="58">
        <f>VLOOKUP(Table5345679103[[#This Row],[Date]],Database!A:E,MATCH($A$1,Database!$A$1:$E$1,),)</f>
        <v>99.866</v>
      </c>
      <c r="C644" s="9">
        <f t="shared" si="9"/>
        <v>1.3134807239183861E-3</v>
      </c>
      <c r="D644" s="7">
        <f>(Table5345679103[[#This Row],[Value]]-B632)/B632</f>
        <v>1.9998365812803839E-2</v>
      </c>
    </row>
    <row r="645" spans="1:4" x14ac:dyDescent="0.35">
      <c r="A645" s="57">
        <v>41030</v>
      </c>
      <c r="B645" s="58">
        <f>VLOOKUP(Table5345679103[[#This Row],[Date]],Database!A:E,MATCH($A$1,Database!$A$1:$E$1,),)</f>
        <v>99.754000000000005</v>
      </c>
      <c r="C645" s="9">
        <f t="shared" si="9"/>
        <v>-1.1215028137703999E-3</v>
      </c>
      <c r="D645" s="7">
        <f>(Table5345679103[[#This Row],[Value]]-B633)/B633</f>
        <v>1.576278435126165E-2</v>
      </c>
    </row>
    <row r="646" spans="1:4" x14ac:dyDescent="0.35">
      <c r="A646" s="57">
        <v>41061</v>
      </c>
      <c r="B646" s="58">
        <f>VLOOKUP(Table5345679103[[#This Row],[Date]],Database!A:E,MATCH($A$1,Database!$A$1:$E$1,),)</f>
        <v>99.703999999999994</v>
      </c>
      <c r="C646" s="9">
        <f t="shared" ref="C646:C709" si="10">(B646-B645)/B645</f>
        <v>-5.0123303326193803E-4</v>
      </c>
      <c r="D646" s="7">
        <f>(Table5345679103[[#This Row],[Value]]-B634)/B634</f>
        <v>1.5460452610351642E-2</v>
      </c>
    </row>
    <row r="647" spans="1:4" x14ac:dyDescent="0.35">
      <c r="A647" s="57">
        <v>41091</v>
      </c>
      <c r="B647" s="58">
        <f>VLOOKUP(Table5345679103[[#This Row],[Date]],Database!A:E,MATCH($A$1,Database!$A$1:$E$1,),)</f>
        <v>99.74</v>
      </c>
      <c r="C647" s="9">
        <f t="shared" si="10"/>
        <v>3.6106876354009235E-4</v>
      </c>
      <c r="D647" s="7">
        <f>(Table5345679103[[#This Row],[Value]]-B635)/B635</f>
        <v>1.4102264292904136E-2</v>
      </c>
    </row>
    <row r="648" spans="1:4" x14ac:dyDescent="0.35">
      <c r="A648" s="57">
        <v>41122</v>
      </c>
      <c r="B648" s="58">
        <f>VLOOKUP(Table5345679103[[#This Row],[Date]],Database!A:E,MATCH($A$1,Database!$A$1:$E$1,),)</f>
        <v>100.075</v>
      </c>
      <c r="C648" s="9">
        <f t="shared" si="10"/>
        <v>3.3587327050331661E-3</v>
      </c>
      <c r="D648" s="7">
        <f>(Table5345679103[[#This Row],[Value]]-B636)/B636</f>
        <v>1.5124158078389998E-2</v>
      </c>
    </row>
    <row r="649" spans="1:4" x14ac:dyDescent="0.35">
      <c r="A649" s="57">
        <v>41153</v>
      </c>
      <c r="B649" s="58">
        <f>VLOOKUP(Table5345679103[[#This Row],[Date]],Database!A:E,MATCH($A$1,Database!$A$1:$E$1,),)</f>
        <v>100.379</v>
      </c>
      <c r="C649" s="9">
        <f t="shared" si="10"/>
        <v>3.0377217087184816E-3</v>
      </c>
      <c r="D649" s="7">
        <f>(Table5345679103[[#This Row],[Value]]-B637)/B637</f>
        <v>1.6774206618518542E-2</v>
      </c>
    </row>
    <row r="650" spans="1:4" x14ac:dyDescent="0.35">
      <c r="A650" s="57">
        <v>41183</v>
      </c>
      <c r="B650" s="58">
        <f>VLOOKUP(Table5345679103[[#This Row],[Date]],Database!A:E,MATCH($A$1,Database!$A$1:$E$1,),)</f>
        <v>100.67700000000001</v>
      </c>
      <c r="C650" s="9">
        <f t="shared" si="10"/>
        <v>2.9687484433995339E-3</v>
      </c>
      <c r="D650" s="7">
        <f>(Table5345679103[[#This Row],[Value]]-B638)/B638</f>
        <v>1.9772094201063687E-2</v>
      </c>
    </row>
    <row r="651" spans="1:4" x14ac:dyDescent="0.35">
      <c r="A651" s="57">
        <v>41214</v>
      </c>
      <c r="B651" s="58">
        <f>VLOOKUP(Table5345679103[[#This Row],[Date]],Database!A:E,MATCH($A$1,Database!$A$1:$E$1,),)</f>
        <v>100.60899999999999</v>
      </c>
      <c r="C651" s="9">
        <f t="shared" si="10"/>
        <v>-6.754273567946209E-4</v>
      </c>
      <c r="D651" s="7">
        <f>(Table5345679103[[#This Row],[Value]]-B639)/B639</f>
        <v>1.699215591136986E-2</v>
      </c>
    </row>
    <row r="652" spans="1:4" x14ac:dyDescent="0.35">
      <c r="A652" s="57">
        <v>41244</v>
      </c>
      <c r="B652" s="58">
        <f>VLOOKUP(Table5345679103[[#This Row],[Date]],Database!A:E,MATCH($A$1,Database!$A$1:$E$1,),)</f>
        <v>100.593</v>
      </c>
      <c r="C652" s="9">
        <f t="shared" si="10"/>
        <v>-1.5903149817601939E-4</v>
      </c>
      <c r="D652" s="7">
        <f>(Table5345679103[[#This Row],[Value]]-B640)/B640</f>
        <v>1.6255152347854289E-2</v>
      </c>
    </row>
    <row r="653" spans="1:4" x14ac:dyDescent="0.35">
      <c r="A653" s="57">
        <v>41275</v>
      </c>
      <c r="B653" s="58">
        <f>VLOOKUP(Table5345679103[[#This Row],[Date]],Database!A:E,MATCH($A$1,Database!$A$1:$E$1,),)</f>
        <v>100.78700000000001</v>
      </c>
      <c r="C653" s="9">
        <f t="shared" si="10"/>
        <v>1.9285636177467876E-3</v>
      </c>
      <c r="D653" s="7">
        <f>(Table5345679103[[#This Row],[Value]]-B641)/B641</f>
        <v>1.4739788367246388E-2</v>
      </c>
    </row>
    <row r="654" spans="1:4" x14ac:dyDescent="0.35">
      <c r="A654" s="57">
        <v>41306</v>
      </c>
      <c r="B654" s="58">
        <f>VLOOKUP(Table5345679103[[#This Row],[Date]],Database!A:E,MATCH($A$1,Database!$A$1:$E$1,),)</f>
        <v>101.15600000000001</v>
      </c>
      <c r="C654" s="9">
        <f t="shared" si="10"/>
        <v>3.6611864625398093E-3</v>
      </c>
      <c r="D654" s="7">
        <f>(Table5345679103[[#This Row],[Value]]-B642)/B642</f>
        <v>1.6183635541714845E-2</v>
      </c>
    </row>
    <row r="655" spans="1:4" x14ac:dyDescent="0.35">
      <c r="A655" s="57">
        <v>41334</v>
      </c>
      <c r="B655" s="58">
        <f>VLOOKUP(Table5345679103[[#This Row],[Date]],Database!A:E,MATCH($A$1,Database!$A$1:$E$1,),)</f>
        <v>101.023</v>
      </c>
      <c r="C655" s="9">
        <f t="shared" si="10"/>
        <v>-1.3148009015778576E-3</v>
      </c>
      <c r="D655" s="7">
        <f>(Table5345679103[[#This Row],[Value]]-B643)/B643</f>
        <v>1.2914222690128808E-2</v>
      </c>
    </row>
    <row r="656" spans="1:4" x14ac:dyDescent="0.35">
      <c r="A656" s="57">
        <v>41365</v>
      </c>
      <c r="B656" s="58">
        <f>VLOOKUP(Table5345679103[[#This Row],[Date]],Database!A:E,MATCH($A$1,Database!$A$1:$E$1,),)</f>
        <v>100.944</v>
      </c>
      <c r="C656" s="9">
        <f t="shared" si="10"/>
        <v>-7.8200013858223893E-4</v>
      </c>
      <c r="D656" s="7">
        <f>(Table5345679103[[#This Row],[Value]]-B644)/B644</f>
        <v>1.0794464582540634E-2</v>
      </c>
    </row>
    <row r="657" spans="1:4" x14ac:dyDescent="0.35">
      <c r="A657" s="57">
        <v>41395</v>
      </c>
      <c r="B657" s="58">
        <f>VLOOKUP(Table5345679103[[#This Row],[Date]],Database!A:E,MATCH($A$1,Database!$A$1:$E$1,),)</f>
        <v>101.01</v>
      </c>
      <c r="C657" s="9">
        <f t="shared" si="10"/>
        <v>6.5382786495485118E-4</v>
      </c>
      <c r="D657" s="7">
        <f>(Table5345679103[[#This Row],[Value]]-B645)/B645</f>
        <v>1.2590973795537024E-2</v>
      </c>
    </row>
    <row r="658" spans="1:4" x14ac:dyDescent="0.35">
      <c r="A658" s="57">
        <v>41426</v>
      </c>
      <c r="B658" s="58">
        <f>VLOOKUP(Table5345679103[[#This Row],[Date]],Database!A:E,MATCH($A$1,Database!$A$1:$E$1,),)</f>
        <v>101.22799999999999</v>
      </c>
      <c r="C658" s="9">
        <f t="shared" si="10"/>
        <v>2.1582021582020523E-3</v>
      </c>
      <c r="D658" s="7">
        <f>(Table5345679103[[#This Row],[Value]]-B646)/B646</f>
        <v>1.5285244323196672E-2</v>
      </c>
    </row>
    <row r="659" spans="1:4" x14ac:dyDescent="0.35">
      <c r="A659" s="57">
        <v>41456</v>
      </c>
      <c r="B659" s="58">
        <f>VLOOKUP(Table5345679103[[#This Row],[Date]],Database!A:E,MATCH($A$1,Database!$A$1:$E$1,),)</f>
        <v>101.354</v>
      </c>
      <c r="C659" s="9">
        <f t="shared" si="10"/>
        <v>1.2447149010155764E-3</v>
      </c>
      <c r="D659" s="7">
        <f>(Table5345679103[[#This Row],[Value]]-B647)/B647</f>
        <v>1.6182073390816166E-2</v>
      </c>
    </row>
    <row r="660" spans="1:4" x14ac:dyDescent="0.35">
      <c r="A660" s="57">
        <v>41487</v>
      </c>
      <c r="B660" s="58">
        <f>VLOOKUP(Table5345679103[[#This Row],[Date]],Database!A:E,MATCH($A$1,Database!$A$1:$E$1,),)</f>
        <v>101.51</v>
      </c>
      <c r="C660" s="9">
        <f t="shared" si="10"/>
        <v>1.5391597766245626E-3</v>
      </c>
      <c r="D660" s="7">
        <f>(Table5345679103[[#This Row],[Value]]-B648)/B648</f>
        <v>1.4339245565825652E-2</v>
      </c>
    </row>
    <row r="661" spans="1:4" x14ac:dyDescent="0.35">
      <c r="A661" s="57">
        <v>41518</v>
      </c>
      <c r="B661" s="58">
        <f>VLOOKUP(Table5345679103[[#This Row],[Date]],Database!A:E,MATCH($A$1,Database!$A$1:$E$1,),)</f>
        <v>101.55</v>
      </c>
      <c r="C661" s="9">
        <f t="shared" si="10"/>
        <v>3.9404984730560577E-4</v>
      </c>
      <c r="D661" s="7">
        <f>(Table5345679103[[#This Row],[Value]]-B649)/B649</f>
        <v>1.1665786668526208E-2</v>
      </c>
    </row>
    <row r="662" spans="1:4" x14ac:dyDescent="0.35">
      <c r="A662" s="57">
        <v>41548</v>
      </c>
      <c r="B662" s="58">
        <f>VLOOKUP(Table5345679103[[#This Row],[Date]],Database!A:E,MATCH($A$1,Database!$A$1:$E$1,),)</f>
        <v>101.72199999999999</v>
      </c>
      <c r="C662" s="9">
        <f t="shared" si="10"/>
        <v>1.6937469226981491E-3</v>
      </c>
      <c r="D662" s="7">
        <f>(Table5345679103[[#This Row],[Value]]-B650)/B650</f>
        <v>1.0379729233091842E-2</v>
      </c>
    </row>
    <row r="663" spans="1:4" x14ac:dyDescent="0.35">
      <c r="A663" s="57">
        <v>41579</v>
      </c>
      <c r="B663" s="58">
        <f>VLOOKUP(Table5345679103[[#This Row],[Date]],Database!A:E,MATCH($A$1,Database!$A$1:$E$1,),)</f>
        <v>101.881</v>
      </c>
      <c r="C663" s="9">
        <f t="shared" si="10"/>
        <v>1.5630836987083033E-3</v>
      </c>
      <c r="D663" s="7">
        <f>(Table5345679103[[#This Row],[Value]]-B651)/B651</f>
        <v>1.2643004105000603E-2</v>
      </c>
    </row>
    <row r="664" spans="1:4" x14ac:dyDescent="0.35">
      <c r="A664" s="57">
        <v>41609</v>
      </c>
      <c r="B664" s="58">
        <f>VLOOKUP(Table5345679103[[#This Row],[Date]],Database!A:E,MATCH($A$1,Database!$A$1:$E$1,),)</f>
        <v>102.084</v>
      </c>
      <c r="C664" s="9">
        <f t="shared" si="10"/>
        <v>1.9925206858982828E-3</v>
      </c>
      <c r="D664" s="7">
        <f>(Table5345679103[[#This Row],[Value]]-B652)/B652</f>
        <v>1.4822104917837222E-2</v>
      </c>
    </row>
    <row r="665" spans="1:4" x14ac:dyDescent="0.35">
      <c r="A665" s="57">
        <v>41640</v>
      </c>
      <c r="B665" s="58">
        <f>VLOOKUP(Table5345679103[[#This Row],[Date]],Database!A:E,MATCH($A$1,Database!$A$1:$E$1,),)</f>
        <v>102.27800000000001</v>
      </c>
      <c r="C665" s="9">
        <f t="shared" si="10"/>
        <v>1.9003957525175602E-3</v>
      </c>
      <c r="D665" s="7">
        <f>(Table5345679103[[#This Row],[Value]]-B653)/B653</f>
        <v>1.4793574568148666E-2</v>
      </c>
    </row>
    <row r="666" spans="1:4" x14ac:dyDescent="0.35">
      <c r="A666" s="57">
        <v>41671</v>
      </c>
      <c r="B666" s="58">
        <f>VLOOKUP(Table5345679103[[#This Row],[Date]],Database!A:E,MATCH($A$1,Database!$A$1:$E$1,),)</f>
        <v>102.33799999999999</v>
      </c>
      <c r="C666" s="9">
        <f t="shared" si="10"/>
        <v>5.8663642229988915E-4</v>
      </c>
      <c r="D666" s="7">
        <f>(Table5345679103[[#This Row],[Value]]-B654)/B654</f>
        <v>1.1684922298232312E-2</v>
      </c>
    </row>
    <row r="667" spans="1:4" x14ac:dyDescent="0.35">
      <c r="A667" s="57">
        <v>41699</v>
      </c>
      <c r="B667" s="58">
        <f>VLOOKUP(Table5345679103[[#This Row],[Date]],Database!A:E,MATCH($A$1,Database!$A$1:$E$1,),)</f>
        <v>102.54300000000001</v>
      </c>
      <c r="C667" s="9">
        <f t="shared" si="10"/>
        <v>2.0031659794017133E-3</v>
      </c>
      <c r="D667" s="7">
        <f>(Table5345679103[[#This Row],[Value]]-B655)/B655</f>
        <v>1.5046078615760869E-2</v>
      </c>
    </row>
    <row r="668" spans="1:4" x14ac:dyDescent="0.35">
      <c r="A668" s="57">
        <v>41730</v>
      </c>
      <c r="B668" s="58">
        <f>VLOOKUP(Table5345679103[[#This Row],[Date]],Database!A:E,MATCH($A$1,Database!$A$1:$E$1,),)</f>
        <v>102.742</v>
      </c>
      <c r="C668" s="9">
        <f t="shared" si="10"/>
        <v>1.9406492885911087E-3</v>
      </c>
      <c r="D668" s="7">
        <f>(Table5345679103[[#This Row],[Value]]-B656)/B656</f>
        <v>1.7811856078617867E-2</v>
      </c>
    </row>
    <row r="669" spans="1:4" x14ac:dyDescent="0.35">
      <c r="A669" s="57">
        <v>41760</v>
      </c>
      <c r="B669" s="58">
        <f>VLOOKUP(Table5345679103[[#This Row],[Date]],Database!A:E,MATCH($A$1,Database!$A$1:$E$1,),)</f>
        <v>102.919</v>
      </c>
      <c r="C669" s="9">
        <f t="shared" si="10"/>
        <v>1.7227618695372145E-3</v>
      </c>
      <c r="D669" s="7">
        <f>(Table5345679103[[#This Row],[Value]]-B657)/B657</f>
        <v>1.8899118899118817E-2</v>
      </c>
    </row>
    <row r="670" spans="1:4" x14ac:dyDescent="0.35">
      <c r="A670" s="57">
        <v>41791</v>
      </c>
      <c r="B670" s="58">
        <f>VLOOKUP(Table5345679103[[#This Row],[Date]],Database!A:E,MATCH($A$1,Database!$A$1:$E$1,),)</f>
        <v>103.035</v>
      </c>
      <c r="C670" s="9">
        <f t="shared" si="10"/>
        <v>1.1270999523897401E-3</v>
      </c>
      <c r="D670" s="7">
        <f>(Table5345679103[[#This Row],[Value]]-B658)/B658</f>
        <v>1.7850792270913209E-2</v>
      </c>
    </row>
    <row r="671" spans="1:4" x14ac:dyDescent="0.35">
      <c r="A671" s="57">
        <v>41821</v>
      </c>
      <c r="B671" s="58">
        <f>VLOOKUP(Table5345679103[[#This Row],[Date]],Database!A:E,MATCH($A$1,Database!$A$1:$E$1,),)</f>
        <v>103.19</v>
      </c>
      <c r="C671" s="9">
        <f t="shared" si="10"/>
        <v>1.5043431843548419E-3</v>
      </c>
      <c r="D671" s="7">
        <f>(Table5345679103[[#This Row],[Value]]-B659)/B659</f>
        <v>1.8114726601811459E-2</v>
      </c>
    </row>
    <row r="672" spans="1:4" x14ac:dyDescent="0.35">
      <c r="A672" s="57">
        <v>41852</v>
      </c>
      <c r="B672" s="58">
        <f>VLOOKUP(Table5345679103[[#This Row],[Date]],Database!A:E,MATCH($A$1,Database!$A$1:$E$1,),)</f>
        <v>103.17700000000001</v>
      </c>
      <c r="C672" s="9">
        <f t="shared" si="10"/>
        <v>-1.2598119972856883E-4</v>
      </c>
      <c r="D672" s="7">
        <f>(Table5345679103[[#This Row],[Value]]-B660)/B660</f>
        <v>1.6422027386464401E-2</v>
      </c>
    </row>
    <row r="673" spans="1:4" x14ac:dyDescent="0.35">
      <c r="A673" s="57">
        <v>41883</v>
      </c>
      <c r="B673" s="58">
        <f>VLOOKUP(Table5345679103[[#This Row],[Date]],Database!A:E,MATCH($A$1,Database!$A$1:$E$1,),)</f>
        <v>103.203</v>
      </c>
      <c r="C673" s="9">
        <f t="shared" si="10"/>
        <v>2.519941459821108E-4</v>
      </c>
      <c r="D673" s="7">
        <f>(Table5345679103[[#This Row],[Value]]-B661)/B661</f>
        <v>1.627769571639592E-2</v>
      </c>
    </row>
    <row r="674" spans="1:4" x14ac:dyDescent="0.35">
      <c r="A674" s="57">
        <v>41913</v>
      </c>
      <c r="B674" s="58">
        <f>VLOOKUP(Table5345679103[[#This Row],[Date]],Database!A:E,MATCH($A$1,Database!$A$1:$E$1,),)</f>
        <v>103.17700000000001</v>
      </c>
      <c r="C674" s="9">
        <f t="shared" si="10"/>
        <v>-2.5193066093036294E-4</v>
      </c>
      <c r="D674" s="7">
        <f>(Table5345679103[[#This Row],[Value]]-B662)/B662</f>
        <v>1.4303690450443489E-2</v>
      </c>
    </row>
    <row r="675" spans="1:4" x14ac:dyDescent="0.35">
      <c r="A675" s="57">
        <v>41944</v>
      </c>
      <c r="B675" s="58">
        <f>VLOOKUP(Table5345679103[[#This Row],[Date]],Database!A:E,MATCH($A$1,Database!$A$1:$E$1,),)</f>
        <v>103.098</v>
      </c>
      <c r="C675" s="9">
        <f t="shared" si="10"/>
        <v>-7.6567452048429134E-4</v>
      </c>
      <c r="D675" s="7">
        <f>(Table5345679103[[#This Row],[Value]]-B663)/B663</f>
        <v>1.1945308742552573E-2</v>
      </c>
    </row>
    <row r="676" spans="1:4" x14ac:dyDescent="0.35">
      <c r="A676" s="57">
        <v>41974</v>
      </c>
      <c r="B676" s="58">
        <f>VLOOKUP(Table5345679103[[#This Row],[Date]],Database!A:E,MATCH($A$1,Database!$A$1:$E$1,),)</f>
        <v>102.94</v>
      </c>
      <c r="C676" s="9">
        <f t="shared" si="10"/>
        <v>-1.5325224543638214E-3</v>
      </c>
      <c r="D676" s="7">
        <f>(Table5345679103[[#This Row],[Value]]-B664)/B664</f>
        <v>8.3852513616237065E-3</v>
      </c>
    </row>
    <row r="677" spans="1:4" x14ac:dyDescent="0.35">
      <c r="A677" s="57">
        <v>42005</v>
      </c>
      <c r="B677" s="58">
        <f>VLOOKUP(Table5345679103[[#This Row],[Date]],Database!A:E,MATCH($A$1,Database!$A$1:$E$1,),)</f>
        <v>102.465</v>
      </c>
      <c r="C677" s="9">
        <f t="shared" si="10"/>
        <v>-4.6143384495822256E-3</v>
      </c>
      <c r="D677" s="7">
        <f>(Table5345679103[[#This Row],[Value]]-B665)/B665</f>
        <v>1.8283501828349948E-3</v>
      </c>
    </row>
    <row r="678" spans="1:4" x14ac:dyDescent="0.35">
      <c r="A678" s="57">
        <v>42036</v>
      </c>
      <c r="B678" s="58">
        <f>VLOOKUP(Table5345679103[[#This Row],[Date]],Database!A:E,MATCH($A$1,Database!$A$1:$E$1,),)</f>
        <v>102.634</v>
      </c>
      <c r="C678" s="9">
        <f t="shared" si="10"/>
        <v>1.6493436783291556E-3</v>
      </c>
      <c r="D678" s="7">
        <f>(Table5345679103[[#This Row],[Value]]-B666)/B666</f>
        <v>2.892376243428702E-3</v>
      </c>
    </row>
    <row r="679" spans="1:4" x14ac:dyDescent="0.35">
      <c r="A679" s="57">
        <v>42064</v>
      </c>
      <c r="B679" s="58">
        <f>VLOOKUP(Table5345679103[[#This Row],[Date]],Database!A:E,MATCH($A$1,Database!$A$1:$E$1,),)</f>
        <v>102.831</v>
      </c>
      <c r="C679" s="9">
        <f t="shared" si="10"/>
        <v>1.9194419003449414E-3</v>
      </c>
      <c r="D679" s="7">
        <f>(Table5345679103[[#This Row],[Value]]-B667)/B667</f>
        <v>2.8085778648956699E-3</v>
      </c>
    </row>
    <row r="680" spans="1:4" x14ac:dyDescent="0.35">
      <c r="A680" s="57">
        <v>42095</v>
      </c>
      <c r="B680" s="58">
        <f>VLOOKUP(Table5345679103[[#This Row],[Date]],Database!A:E,MATCH($A$1,Database!$A$1:$E$1,),)</f>
        <v>102.91</v>
      </c>
      <c r="C680" s="9">
        <f t="shared" si="10"/>
        <v>7.6825081930539929E-4</v>
      </c>
      <c r="D680" s="7">
        <f>(Table5345679103[[#This Row],[Value]]-B668)/B668</f>
        <v>1.6351638083742983E-3</v>
      </c>
    </row>
    <row r="681" spans="1:4" x14ac:dyDescent="0.35">
      <c r="A681" s="57">
        <v>42125</v>
      </c>
      <c r="B681" s="58">
        <f>VLOOKUP(Table5345679103[[#This Row],[Date]],Database!A:E,MATCH($A$1,Database!$A$1:$E$1,),)</f>
        <v>103.15600000000001</v>
      </c>
      <c r="C681" s="9">
        <f t="shared" si="10"/>
        <v>2.3904382470120427E-3</v>
      </c>
      <c r="D681" s="7">
        <f>(Table5345679103[[#This Row],[Value]]-B669)/B669</f>
        <v>2.3027817992791319E-3</v>
      </c>
    </row>
    <row r="682" spans="1:4" x14ac:dyDescent="0.35">
      <c r="A682" s="57">
        <v>42156</v>
      </c>
      <c r="B682" s="58">
        <f>VLOOKUP(Table5345679103[[#This Row],[Date]],Database!A:E,MATCH($A$1,Database!$A$1:$E$1,),)</f>
        <v>103.35599999999999</v>
      </c>
      <c r="C682" s="9">
        <f t="shared" si="10"/>
        <v>1.9388111210204798E-3</v>
      </c>
      <c r="D682" s="7">
        <f>(Table5345679103[[#This Row],[Value]]-B670)/B670</f>
        <v>3.1154462075993396E-3</v>
      </c>
    </row>
    <row r="683" spans="1:4" x14ac:dyDescent="0.35">
      <c r="A683" s="57">
        <v>42186</v>
      </c>
      <c r="B683" s="58">
        <f>VLOOKUP(Table5345679103[[#This Row],[Date]],Database!A:E,MATCH($A$1,Database!$A$1:$E$1,),)</f>
        <v>103.441</v>
      </c>
      <c r="C683" s="9">
        <f t="shared" si="10"/>
        <v>8.2240024768768106E-4</v>
      </c>
      <c r="D683" s="7">
        <f>(Table5345679103[[#This Row],[Value]]-B671)/B671</f>
        <v>2.4324062409148638E-3</v>
      </c>
    </row>
    <row r="684" spans="1:4" x14ac:dyDescent="0.35">
      <c r="A684" s="57">
        <v>42217</v>
      </c>
      <c r="B684" s="58">
        <f>VLOOKUP(Table5345679103[[#This Row],[Date]],Database!A:E,MATCH($A$1,Database!$A$1:$E$1,),)</f>
        <v>103.44199999999999</v>
      </c>
      <c r="C684" s="9">
        <f t="shared" si="10"/>
        <v>9.6673466032865491E-6</v>
      </c>
      <c r="D684" s="7">
        <f>(Table5345679103[[#This Row],[Value]]-B672)/B672</f>
        <v>2.5684018725102139E-3</v>
      </c>
    </row>
    <row r="685" spans="1:4" x14ac:dyDescent="0.35">
      <c r="A685" s="57">
        <v>42248</v>
      </c>
      <c r="B685" s="58">
        <f>VLOOKUP(Table5345679103[[#This Row],[Date]],Database!A:E,MATCH($A$1,Database!$A$1:$E$1,),)</f>
        <v>103.289</v>
      </c>
      <c r="C685" s="9">
        <f t="shared" si="10"/>
        <v>-1.4790897314436264E-3</v>
      </c>
      <c r="D685" s="7">
        <f>(Table5345679103[[#This Row],[Value]]-B673)/B673</f>
        <v>8.3330910923130647E-4</v>
      </c>
    </row>
    <row r="686" spans="1:4" x14ac:dyDescent="0.35">
      <c r="A686" s="57">
        <v>42278</v>
      </c>
      <c r="B686" s="58">
        <f>VLOOKUP(Table5345679103[[#This Row],[Date]],Database!A:E,MATCH($A$1,Database!$A$1:$E$1,),)</f>
        <v>103.274</v>
      </c>
      <c r="C686" s="9">
        <f t="shared" si="10"/>
        <v>-1.452235959298722E-4</v>
      </c>
      <c r="D686" s="7">
        <f>(Table5345679103[[#This Row],[Value]]-B674)/B674</f>
        <v>9.4013200616410828E-4</v>
      </c>
    </row>
    <row r="687" spans="1:4" x14ac:dyDescent="0.35">
      <c r="A687" s="57">
        <v>42309</v>
      </c>
      <c r="B687" s="58">
        <f>VLOOKUP(Table5345679103[[#This Row],[Date]],Database!A:E,MATCH($A$1,Database!$A$1:$E$1,),)</f>
        <v>103.337</v>
      </c>
      <c r="C687" s="9">
        <f t="shared" si="10"/>
        <v>6.1002769332070398E-4</v>
      </c>
      <c r="D687" s="7">
        <f>(Table5345679103[[#This Row],[Value]]-B675)/B675</f>
        <v>2.3181826999554241E-3</v>
      </c>
    </row>
    <row r="688" spans="1:4" x14ac:dyDescent="0.35">
      <c r="A688" s="57">
        <v>42339</v>
      </c>
      <c r="B688" s="58">
        <f>VLOOKUP(Table5345679103[[#This Row],[Date]],Database!A:E,MATCH($A$1,Database!$A$1:$E$1,),)</f>
        <v>103.253</v>
      </c>
      <c r="C688" s="9">
        <f t="shared" si="10"/>
        <v>-8.1287438187680285E-4</v>
      </c>
      <c r="D688" s="7">
        <f>(Table5345679103[[#This Row],[Value]]-B676)/B676</f>
        <v>3.0406061783563474E-3</v>
      </c>
    </row>
    <row r="689" spans="1:4" x14ac:dyDescent="0.35">
      <c r="A689" s="57">
        <v>42370</v>
      </c>
      <c r="B689" s="58">
        <f>VLOOKUP(Table5345679103[[#This Row],[Date]],Database!A:E,MATCH($A$1,Database!$A$1:$E$1,),)</f>
        <v>103.306</v>
      </c>
      <c r="C689" s="9">
        <f t="shared" si="10"/>
        <v>5.1330227693139447E-4</v>
      </c>
      <c r="D689" s="7">
        <f>(Table5345679103[[#This Row],[Value]]-B677)/B677</f>
        <v>8.2076806714487284E-3</v>
      </c>
    </row>
    <row r="690" spans="1:4" x14ac:dyDescent="0.35">
      <c r="A690" s="57">
        <v>42401</v>
      </c>
      <c r="B690" s="58">
        <f>VLOOKUP(Table5345679103[[#This Row],[Date]],Database!A:E,MATCH($A$1,Database!$A$1:$E$1,),)</f>
        <v>103.242</v>
      </c>
      <c r="C690" s="9">
        <f t="shared" si="10"/>
        <v>-6.195187114010121E-4</v>
      </c>
      <c r="D690" s="7">
        <f>(Table5345679103[[#This Row],[Value]]-B678)/B678</f>
        <v>5.9239628193386608E-3</v>
      </c>
    </row>
    <row r="691" spans="1:4" x14ac:dyDescent="0.35">
      <c r="A691" s="57">
        <v>42430</v>
      </c>
      <c r="B691" s="58">
        <f>VLOOKUP(Table5345679103[[#This Row],[Date]],Database!A:E,MATCH($A$1,Database!$A$1:$E$1,),)</f>
        <v>103.48099999999999</v>
      </c>
      <c r="C691" s="9">
        <f t="shared" si="10"/>
        <v>2.3149493423218273E-3</v>
      </c>
      <c r="D691" s="7">
        <f>(Table5345679103[[#This Row],[Value]]-B679)/B679</f>
        <v>6.3210510449182777E-3</v>
      </c>
    </row>
    <row r="692" spans="1:4" x14ac:dyDescent="0.35">
      <c r="A692" s="57">
        <v>42461</v>
      </c>
      <c r="B692" s="58">
        <f>VLOOKUP(Table5345679103[[#This Row],[Date]],Database!A:E,MATCH($A$1,Database!$A$1:$E$1,),)</f>
        <v>103.82299999999999</v>
      </c>
      <c r="C692" s="9">
        <f t="shared" si="10"/>
        <v>3.3049545327161387E-3</v>
      </c>
      <c r="D692" s="7">
        <f>(Table5345679103[[#This Row],[Value]]-B680)/B680</f>
        <v>8.8718297541540841E-3</v>
      </c>
    </row>
    <row r="693" spans="1:4" x14ac:dyDescent="0.35">
      <c r="A693" s="57">
        <v>42491</v>
      </c>
      <c r="B693" s="58">
        <f>VLOOKUP(Table5345679103[[#This Row],[Date]],Database!A:E,MATCH($A$1,Database!$A$1:$E$1,),)</f>
        <v>103.977</v>
      </c>
      <c r="C693" s="9">
        <f t="shared" si="10"/>
        <v>1.4832936825174632E-3</v>
      </c>
      <c r="D693" s="7">
        <f>(Table5345679103[[#This Row],[Value]]-B681)/B681</f>
        <v>7.9588196517895032E-3</v>
      </c>
    </row>
    <row r="694" spans="1:4" x14ac:dyDescent="0.35">
      <c r="A694" s="57">
        <v>42522</v>
      </c>
      <c r="B694" s="58">
        <f>VLOOKUP(Table5345679103[[#This Row],[Date]],Database!A:E,MATCH($A$1,Database!$A$1:$E$1,),)</f>
        <v>104.175</v>
      </c>
      <c r="C694" s="9">
        <f t="shared" si="10"/>
        <v>1.9042672898813514E-3</v>
      </c>
      <c r="D694" s="7">
        <f>(Table5345679103[[#This Row],[Value]]-B682)/B682</f>
        <v>7.9240682688958806E-3</v>
      </c>
    </row>
    <row r="695" spans="1:4" x14ac:dyDescent="0.35">
      <c r="A695" s="57">
        <v>42552</v>
      </c>
      <c r="B695" s="58">
        <f>VLOOKUP(Table5345679103[[#This Row],[Date]],Database!A:E,MATCH($A$1,Database!$A$1:$E$1,),)</f>
        <v>104.218</v>
      </c>
      <c r="C695" s="9">
        <f t="shared" si="10"/>
        <v>4.1276697864176979E-4</v>
      </c>
      <c r="D695" s="7">
        <f>(Table5345679103[[#This Row],[Value]]-B683)/B683</f>
        <v>7.5115283108245379E-3</v>
      </c>
    </row>
    <row r="696" spans="1:4" x14ac:dyDescent="0.35">
      <c r="A696" s="57">
        <v>42583</v>
      </c>
      <c r="B696" s="58">
        <f>VLOOKUP(Table5345679103[[#This Row],[Date]],Database!A:E,MATCH($A$1,Database!$A$1:$E$1,),)</f>
        <v>104.374</v>
      </c>
      <c r="C696" s="9">
        <f t="shared" si="10"/>
        <v>1.4968623462356953E-3</v>
      </c>
      <c r="D696" s="7">
        <f>(Table5345679103[[#This Row],[Value]]-B684)/B684</f>
        <v>9.0098799327159394E-3</v>
      </c>
    </row>
    <row r="697" spans="1:4" x14ac:dyDescent="0.35">
      <c r="A697" s="57">
        <v>42614</v>
      </c>
      <c r="B697" s="58">
        <f>VLOOKUP(Table5345679103[[#This Row],[Date]],Database!A:E,MATCH($A$1,Database!$A$1:$E$1,),)</f>
        <v>104.55500000000001</v>
      </c>
      <c r="C697" s="9">
        <f t="shared" si="10"/>
        <v>1.7341483511220382E-3</v>
      </c>
      <c r="D697" s="7">
        <f>(Table5345679103[[#This Row],[Value]]-B685)/B685</f>
        <v>1.22568714964808E-2</v>
      </c>
    </row>
    <row r="698" spans="1:4" x14ac:dyDescent="0.35">
      <c r="A698" s="57">
        <v>42644</v>
      </c>
      <c r="B698" s="58">
        <f>VLOOKUP(Table5345679103[[#This Row],[Date]],Database!A:E,MATCH($A$1,Database!$A$1:$E$1,),)</f>
        <v>104.786</v>
      </c>
      <c r="C698" s="9">
        <f t="shared" si="10"/>
        <v>2.2093634928984219E-3</v>
      </c>
      <c r="D698" s="7">
        <f>(Table5345679103[[#This Row],[Value]]-B686)/B686</f>
        <v>1.4640664639696346E-2</v>
      </c>
    </row>
    <row r="699" spans="1:4" x14ac:dyDescent="0.35">
      <c r="A699" s="57">
        <v>42675</v>
      </c>
      <c r="B699" s="58">
        <f>VLOOKUP(Table5345679103[[#This Row],[Date]],Database!A:E,MATCH($A$1,Database!$A$1:$E$1,),)</f>
        <v>104.82599999999999</v>
      </c>
      <c r="C699" s="9">
        <f t="shared" si="10"/>
        <v>3.8173038382982501E-4</v>
      </c>
      <c r="D699" s="7">
        <f>(Table5345679103[[#This Row],[Value]]-B687)/B687</f>
        <v>1.4409166126363162E-2</v>
      </c>
    </row>
    <row r="700" spans="1:4" x14ac:dyDescent="0.35">
      <c r="A700" s="57">
        <v>42705</v>
      </c>
      <c r="B700" s="58">
        <f>VLOOKUP(Table5345679103[[#This Row],[Date]],Database!A:E,MATCH($A$1,Database!$A$1:$E$1,),)</f>
        <v>105.017</v>
      </c>
      <c r="C700" s="9">
        <f t="shared" si="10"/>
        <v>1.8220670444355647E-3</v>
      </c>
      <c r="D700" s="7">
        <f>(Table5345679103[[#This Row],[Value]]-B688)/B688</f>
        <v>1.7084249368057063E-2</v>
      </c>
    </row>
    <row r="701" spans="1:4" x14ac:dyDescent="0.35">
      <c r="A701" s="57">
        <v>42736</v>
      </c>
      <c r="B701" s="58">
        <f>VLOOKUP(Table5345679103[[#This Row],[Date]],Database!A:E,MATCH($A$1,Database!$A$1:$E$1,),)</f>
        <v>105.408</v>
      </c>
      <c r="C701" s="9">
        <f t="shared" si="10"/>
        <v>3.7232067189122272E-3</v>
      </c>
      <c r="D701" s="7">
        <f>(Table5345679103[[#This Row],[Value]]-B689)/B689</f>
        <v>2.0347317677579267E-2</v>
      </c>
    </row>
    <row r="702" spans="1:4" x14ac:dyDescent="0.35">
      <c r="A702" s="57">
        <v>42767</v>
      </c>
      <c r="B702" s="58">
        <f>VLOOKUP(Table5345679103[[#This Row],[Date]],Database!A:E,MATCH($A$1,Database!$A$1:$E$1,),)</f>
        <v>105.57</v>
      </c>
      <c r="C702" s="9">
        <f t="shared" si="10"/>
        <v>1.5368852459015628E-3</v>
      </c>
      <c r="D702" s="7">
        <f>(Table5345679103[[#This Row],[Value]]-B690)/B690</f>
        <v>2.2548962631487077E-2</v>
      </c>
    </row>
    <row r="703" spans="1:4" x14ac:dyDescent="0.35">
      <c r="A703" s="57">
        <v>42795</v>
      </c>
      <c r="B703" s="58">
        <f>VLOOKUP(Table5345679103[[#This Row],[Date]],Database!A:E,MATCH($A$1,Database!$A$1:$E$1,),)</f>
        <v>105.512</v>
      </c>
      <c r="C703" s="9">
        <f t="shared" si="10"/>
        <v>-5.493985033626288E-4</v>
      </c>
      <c r="D703" s="7">
        <f>(Table5345679103[[#This Row],[Value]]-B691)/B691</f>
        <v>1.9626791391656496E-2</v>
      </c>
    </row>
    <row r="704" spans="1:4" x14ac:dyDescent="0.35">
      <c r="A704" s="57">
        <v>42826</v>
      </c>
      <c r="B704" s="58">
        <f>VLOOKUP(Table5345679103[[#This Row],[Date]],Database!A:E,MATCH($A$1,Database!$A$1:$E$1,),)</f>
        <v>105.744</v>
      </c>
      <c r="C704" s="9">
        <f t="shared" si="10"/>
        <v>2.1988020319963541E-3</v>
      </c>
      <c r="D704" s="7">
        <f>(Table5345679103[[#This Row],[Value]]-B692)/B692</f>
        <v>1.8502643922830266E-2</v>
      </c>
    </row>
    <row r="705" spans="1:4" x14ac:dyDescent="0.35">
      <c r="A705" s="57">
        <v>42856</v>
      </c>
      <c r="B705" s="58">
        <f>VLOOKUP(Table5345679103[[#This Row],[Date]],Database!A:E,MATCH($A$1,Database!$A$1:$E$1,),)</f>
        <v>105.714</v>
      </c>
      <c r="C705" s="9">
        <f t="shared" si="10"/>
        <v>-2.8370403994553957E-4</v>
      </c>
      <c r="D705" s="7">
        <f>(Table5345679103[[#This Row],[Value]]-B693)/B693</f>
        <v>1.6705617588505098E-2</v>
      </c>
    </row>
    <row r="706" spans="1:4" x14ac:dyDescent="0.35">
      <c r="A706" s="57">
        <v>42887</v>
      </c>
      <c r="B706" s="58">
        <f>VLOOKUP(Table5345679103[[#This Row],[Date]],Database!A:E,MATCH($A$1,Database!$A$1:$E$1,),)</f>
        <v>105.815</v>
      </c>
      <c r="C706" s="9">
        <f t="shared" si="10"/>
        <v>9.5540798758914709E-4</v>
      </c>
      <c r="D706" s="7">
        <f>(Table5345679103[[#This Row],[Value]]-B694)/B694</f>
        <v>1.5742740580753544E-2</v>
      </c>
    </row>
    <row r="707" spans="1:4" x14ac:dyDescent="0.35">
      <c r="A707" s="57">
        <v>42917</v>
      </c>
      <c r="B707" s="58">
        <f>VLOOKUP(Table5345679103[[#This Row],[Date]],Database!A:E,MATCH($A$1,Database!$A$1:$E$1,),)</f>
        <v>105.842</v>
      </c>
      <c r="C707" s="9">
        <f t="shared" si="10"/>
        <v>2.5516231158154347E-4</v>
      </c>
      <c r="D707" s="7">
        <f>(Table5345679103[[#This Row],[Value]]-B695)/B695</f>
        <v>1.558272083517238E-2</v>
      </c>
    </row>
    <row r="708" spans="1:4" x14ac:dyDescent="0.35">
      <c r="A708" s="57">
        <v>42948</v>
      </c>
      <c r="B708" s="58">
        <f>VLOOKUP(Table5345679103[[#This Row],[Date]],Database!A:E,MATCH($A$1,Database!$A$1:$E$1,),)</f>
        <v>106.093</v>
      </c>
      <c r="C708" s="9">
        <f t="shared" si="10"/>
        <v>2.3714593450615521E-3</v>
      </c>
      <c r="D708" s="7">
        <f>(Table5345679103[[#This Row],[Value]]-B696)/B696</f>
        <v>1.6469618870600038E-2</v>
      </c>
    </row>
    <row r="709" spans="1:4" x14ac:dyDescent="0.35">
      <c r="A709" s="57">
        <v>42979</v>
      </c>
      <c r="B709" s="58">
        <f>VLOOKUP(Table5345679103[[#This Row],[Date]],Database!A:E,MATCH($A$1,Database!$A$1:$E$1,),)</f>
        <v>106.491</v>
      </c>
      <c r="C709" s="9">
        <f t="shared" si="10"/>
        <v>3.7514256359985686E-3</v>
      </c>
      <c r="D709" s="7">
        <f>(Table5345679103[[#This Row],[Value]]-B697)/B697</f>
        <v>1.8516570226196669E-2</v>
      </c>
    </row>
    <row r="710" spans="1:4" x14ac:dyDescent="0.35">
      <c r="A710" s="57">
        <v>43009</v>
      </c>
      <c r="B710" s="58">
        <f>VLOOKUP(Table5345679103[[#This Row],[Date]],Database!A:E,MATCH($A$1,Database!$A$1:$E$1,),)</f>
        <v>106.648</v>
      </c>
      <c r="C710" s="9">
        <f t="shared" ref="C710:C773" si="11">(B710-B709)/B709</f>
        <v>1.4743029927411376E-3</v>
      </c>
      <c r="D710" s="7">
        <f>(Table5345679103[[#This Row],[Value]]-B698)/B698</f>
        <v>1.7769549367281839E-2</v>
      </c>
    </row>
    <row r="711" spans="1:4" x14ac:dyDescent="0.35">
      <c r="A711" s="57">
        <v>43040</v>
      </c>
      <c r="B711" s="58">
        <f>VLOOKUP(Table5345679103[[#This Row],[Date]],Database!A:E,MATCH($A$1,Database!$A$1:$E$1,),)</f>
        <v>106.825</v>
      </c>
      <c r="C711" s="9">
        <f t="shared" si="11"/>
        <v>1.659665441452317E-3</v>
      </c>
      <c r="D711" s="7">
        <f>(Table5345679103[[#This Row],[Value]]-B699)/B699</f>
        <v>1.9069696449354259E-2</v>
      </c>
    </row>
    <row r="712" spans="1:4" x14ac:dyDescent="0.35">
      <c r="A712" s="57">
        <v>43070</v>
      </c>
      <c r="B712" s="58">
        <f>VLOOKUP(Table5345679103[[#This Row],[Date]],Database!A:E,MATCH($A$1,Database!$A$1:$E$1,),)</f>
        <v>106.98</v>
      </c>
      <c r="C712" s="9">
        <f t="shared" si="11"/>
        <v>1.4509712146033337E-3</v>
      </c>
      <c r="D712" s="7">
        <f>(Table5345679103[[#This Row],[Value]]-B700)/B700</f>
        <v>1.8692211737147395E-2</v>
      </c>
    </row>
    <row r="713" spans="1:4" x14ac:dyDescent="0.35">
      <c r="A713" s="57">
        <v>43101</v>
      </c>
      <c r="B713" s="58">
        <f>VLOOKUP(Table5345679103[[#This Row],[Date]],Database!A:E,MATCH($A$1,Database!$A$1:$E$1,),)</f>
        <v>107.36199999999999</v>
      </c>
      <c r="C713" s="9">
        <f t="shared" si="11"/>
        <v>3.5707608898858738E-3</v>
      </c>
      <c r="D713" s="7">
        <f>(Table5345679103[[#This Row],[Value]]-B701)/B701</f>
        <v>1.8537492410443168E-2</v>
      </c>
    </row>
    <row r="714" spans="1:4" x14ac:dyDescent="0.35">
      <c r="A714" s="57">
        <v>43132</v>
      </c>
      <c r="B714" s="58">
        <f>VLOOKUP(Table5345679103[[#This Row],[Date]],Database!A:E,MATCH($A$1,Database!$A$1:$E$1,),)</f>
        <v>107.625</v>
      </c>
      <c r="C714" s="9">
        <f t="shared" si="11"/>
        <v>2.4496563029750306E-3</v>
      </c>
      <c r="D714" s="7">
        <f>(Table5345679103[[#This Row],[Value]]-B702)/B702</f>
        <v>1.9465757317419789E-2</v>
      </c>
    </row>
    <row r="715" spans="1:4" x14ac:dyDescent="0.35">
      <c r="A715" s="57">
        <v>43160</v>
      </c>
      <c r="B715" s="58">
        <f>VLOOKUP(Table5345679103[[#This Row],[Date]],Database!A:E,MATCH($A$1,Database!$A$1:$E$1,),)</f>
        <v>107.777</v>
      </c>
      <c r="C715" s="9">
        <f t="shared" si="11"/>
        <v>1.412311265969812E-3</v>
      </c>
      <c r="D715" s="7">
        <f>(Table5345679103[[#This Row],[Value]]-B703)/B703</f>
        <v>2.1466752596861025E-2</v>
      </c>
    </row>
    <row r="716" spans="1:4" x14ac:dyDescent="0.35">
      <c r="A716" s="57">
        <v>43191</v>
      </c>
      <c r="B716" s="58">
        <f>VLOOKUP(Table5345679103[[#This Row],[Date]],Database!A:E,MATCH($A$1,Database!$A$1:$E$1,),)</f>
        <v>107.988</v>
      </c>
      <c r="C716" s="9">
        <f t="shared" si="11"/>
        <v>1.957746086827417E-3</v>
      </c>
      <c r="D716" s="7">
        <f>(Table5345679103[[#This Row],[Value]]-B704)/B704</f>
        <v>2.1221062187925552E-2</v>
      </c>
    </row>
    <row r="717" spans="1:4" x14ac:dyDescent="0.35">
      <c r="A717" s="57">
        <v>43221</v>
      </c>
      <c r="B717" s="58">
        <f>VLOOKUP(Table5345679103[[#This Row],[Date]],Database!A:E,MATCH($A$1,Database!$A$1:$E$1,),)</f>
        <v>108.193</v>
      </c>
      <c r="C717" s="9">
        <f t="shared" si="11"/>
        <v>1.8983590769344584E-3</v>
      </c>
      <c r="D717" s="7">
        <f>(Table5345679103[[#This Row],[Value]]-B705)/B705</f>
        <v>2.3450063378549664E-2</v>
      </c>
    </row>
    <row r="718" spans="1:4" x14ac:dyDescent="0.35">
      <c r="A718" s="57">
        <v>43252</v>
      </c>
      <c r="B718" s="58">
        <f>VLOOKUP(Table5345679103[[#This Row],[Date]],Database!A:E,MATCH($A$1,Database!$A$1:$E$1,),)</f>
        <v>108.31699999999999</v>
      </c>
      <c r="C718" s="9">
        <f t="shared" si="11"/>
        <v>1.1461000249553598E-3</v>
      </c>
      <c r="D718" s="7">
        <f>(Table5345679103[[#This Row],[Value]]-B706)/B706</f>
        <v>2.3645040873222091E-2</v>
      </c>
    </row>
    <row r="719" spans="1:4" x14ac:dyDescent="0.35">
      <c r="A719" s="57">
        <v>43282</v>
      </c>
      <c r="B719" s="58">
        <f>VLOOKUP(Table5345679103[[#This Row],[Date]],Database!A:E,MATCH($A$1,Database!$A$1:$E$1,),)</f>
        <v>108.417</v>
      </c>
      <c r="C719" s="9">
        <f t="shared" si="11"/>
        <v>9.2321611566059376E-4</v>
      </c>
      <c r="D719" s="7">
        <f>(Table5345679103[[#This Row],[Value]]-B707)/B707</f>
        <v>2.4328716388579232E-2</v>
      </c>
    </row>
    <row r="720" spans="1:4" x14ac:dyDescent="0.35">
      <c r="A720" s="57">
        <v>43313</v>
      </c>
      <c r="B720" s="58">
        <f>VLOOKUP(Table5345679103[[#This Row],[Date]],Database!A:E,MATCH($A$1,Database!$A$1:$E$1,),)</f>
        <v>108.502</v>
      </c>
      <c r="C720" s="9">
        <f t="shared" si="11"/>
        <v>7.840098877481737E-4</v>
      </c>
      <c r="D720" s="7">
        <f>(Table5345679103[[#This Row],[Value]]-B708)/B708</f>
        <v>2.2706493359599518E-2</v>
      </c>
    </row>
    <row r="721" spans="1:4" x14ac:dyDescent="0.35">
      <c r="A721" s="57">
        <v>43344</v>
      </c>
      <c r="B721" s="58">
        <f>VLOOKUP(Table5345679103[[#This Row],[Date]],Database!A:E,MATCH($A$1,Database!$A$1:$E$1,),)</f>
        <v>108.738</v>
      </c>
      <c r="C721" s="9">
        <f t="shared" si="11"/>
        <v>2.1750751138228256E-3</v>
      </c>
      <c r="D721" s="7">
        <f>(Table5345679103[[#This Row],[Value]]-B709)/B709</f>
        <v>2.1100374679550383E-2</v>
      </c>
    </row>
    <row r="722" spans="1:4" x14ac:dyDescent="0.35">
      <c r="A722" s="57">
        <v>43374</v>
      </c>
      <c r="B722" s="58">
        <f>VLOOKUP(Table5345679103[[#This Row],[Date]],Database!A:E,MATCH($A$1,Database!$A$1:$E$1,),)</f>
        <v>108.92400000000001</v>
      </c>
      <c r="C722" s="9">
        <f t="shared" si="11"/>
        <v>1.7105335761188089E-3</v>
      </c>
      <c r="D722" s="7">
        <f>(Table5345679103[[#This Row],[Value]]-B710)/B710</f>
        <v>2.1341234716075411E-2</v>
      </c>
    </row>
    <row r="723" spans="1:4" x14ac:dyDescent="0.35">
      <c r="A723" s="57">
        <v>43405</v>
      </c>
      <c r="B723" s="58">
        <f>VLOOKUP(Table5345679103[[#This Row],[Date]],Database!A:E,MATCH($A$1,Database!$A$1:$E$1,),)</f>
        <v>108.96899999999999</v>
      </c>
      <c r="C723" s="9">
        <f t="shared" si="11"/>
        <v>4.1313209210079956E-4</v>
      </c>
      <c r="D723" s="7">
        <f>(Table5345679103[[#This Row],[Value]]-B711)/B711</f>
        <v>2.0070208284577496E-2</v>
      </c>
    </row>
    <row r="724" spans="1:4" x14ac:dyDescent="0.35">
      <c r="A724" s="57">
        <v>43435</v>
      </c>
      <c r="B724" s="58">
        <f>VLOOKUP(Table5345679103[[#This Row],[Date]],Database!A:E,MATCH($A$1,Database!$A$1:$E$1,),)</f>
        <v>108.991</v>
      </c>
      <c r="C724" s="9">
        <f t="shared" si="11"/>
        <v>2.018922812910605E-4</v>
      </c>
      <c r="D724" s="7">
        <f>(Table5345679103[[#This Row],[Value]]-B712)/B712</f>
        <v>1.8797906150682331E-2</v>
      </c>
    </row>
    <row r="725" spans="1:4" x14ac:dyDescent="0.35">
      <c r="A725" s="57">
        <v>43466</v>
      </c>
      <c r="B725" s="58">
        <f>VLOOKUP(Table5345679103[[#This Row],[Date]],Database!A:E,MATCH($A$1,Database!$A$1:$E$1,),)</f>
        <v>108.977</v>
      </c>
      <c r="C725" s="9">
        <f t="shared" si="11"/>
        <v>-1.2845097301608199E-4</v>
      </c>
      <c r="D725" s="7">
        <f>(Table5345679103[[#This Row],[Value]]-B713)/B713</f>
        <v>1.504256627112022E-2</v>
      </c>
    </row>
    <row r="726" spans="1:4" x14ac:dyDescent="0.35">
      <c r="A726" s="57">
        <v>43497</v>
      </c>
      <c r="B726" s="58">
        <f>VLOOKUP(Table5345679103[[#This Row],[Date]],Database!A:E,MATCH($A$1,Database!$A$1:$E$1,),)</f>
        <v>109.146</v>
      </c>
      <c r="C726" s="9">
        <f t="shared" si="11"/>
        <v>1.5507859456582299E-3</v>
      </c>
      <c r="D726" s="7">
        <f>(Table5345679103[[#This Row],[Value]]-B714)/B714</f>
        <v>1.4132404181184676E-2</v>
      </c>
    </row>
    <row r="727" spans="1:4" x14ac:dyDescent="0.35">
      <c r="A727" s="57">
        <v>43525</v>
      </c>
      <c r="B727" s="58">
        <f>VLOOKUP(Table5345679103[[#This Row],[Date]],Database!A:E,MATCH($A$1,Database!$A$1:$E$1,),)</f>
        <v>109.443</v>
      </c>
      <c r="C727" s="9">
        <f t="shared" si="11"/>
        <v>2.721125831455088E-3</v>
      </c>
      <c r="D727" s="7">
        <f>(Table5345679103[[#This Row],[Value]]-B715)/B715</f>
        <v>1.5457843510210869E-2</v>
      </c>
    </row>
    <row r="728" spans="1:4" x14ac:dyDescent="0.35">
      <c r="A728" s="57">
        <v>43556</v>
      </c>
      <c r="B728" s="58">
        <f>VLOOKUP(Table5345679103[[#This Row],[Date]],Database!A:E,MATCH($A$1,Database!$A$1:$E$1,),)</f>
        <v>109.78</v>
      </c>
      <c r="C728" s="9">
        <f t="shared" si="11"/>
        <v>3.0792284568223029E-3</v>
      </c>
      <c r="D728" s="7">
        <f>(Table5345679103[[#This Row],[Value]]-B716)/B716</f>
        <v>1.659443641886137E-2</v>
      </c>
    </row>
    <row r="729" spans="1:4" x14ac:dyDescent="0.35">
      <c r="A729" s="57">
        <v>43586</v>
      </c>
      <c r="B729" s="58">
        <f>VLOOKUP(Table5345679103[[#This Row],[Date]],Database!A:E,MATCH($A$1,Database!$A$1:$E$1,),)</f>
        <v>109.85599999999999</v>
      </c>
      <c r="C729" s="9">
        <f t="shared" si="11"/>
        <v>6.9229367826556206E-4</v>
      </c>
      <c r="D729" s="7">
        <f>(Table5345679103[[#This Row],[Value]]-B717)/B717</f>
        <v>1.5370680173393813E-2</v>
      </c>
    </row>
    <row r="730" spans="1:4" x14ac:dyDescent="0.35">
      <c r="A730" s="57">
        <v>43617</v>
      </c>
      <c r="B730" s="58">
        <f>VLOOKUP(Table5345679103[[#This Row],[Date]],Database!A:E,MATCH($A$1,Database!$A$1:$E$1,),)</f>
        <v>109.935</v>
      </c>
      <c r="C730" s="9">
        <f t="shared" si="11"/>
        <v>7.1912321584626903E-4</v>
      </c>
      <c r="D730" s="7">
        <f>(Table5345679103[[#This Row],[Value]]-B718)/B718</f>
        <v>1.4937636751387219E-2</v>
      </c>
    </row>
    <row r="731" spans="1:4" x14ac:dyDescent="0.35">
      <c r="A731" s="57">
        <v>43647</v>
      </c>
      <c r="B731" s="58">
        <f>VLOOKUP(Table5345679103[[#This Row],[Date]],Database!A:E,MATCH($A$1,Database!$A$1:$E$1,),)</f>
        <v>110.09399999999999</v>
      </c>
      <c r="C731" s="9">
        <f t="shared" si="11"/>
        <v>1.4463091826987929E-3</v>
      </c>
      <c r="D731" s="7">
        <f>(Table5345679103[[#This Row],[Value]]-B719)/B719</f>
        <v>1.5468053902985624E-2</v>
      </c>
    </row>
    <row r="732" spans="1:4" s="64" customFormat="1" x14ac:dyDescent="0.35">
      <c r="A732" s="57">
        <v>43678</v>
      </c>
      <c r="B732" s="58">
        <f>VLOOKUP(Table5345679103[[#This Row],[Date]],Database!A:E,MATCH($A$1,Database!$A$1:$E$1,),)</f>
        <v>110.13200000000001</v>
      </c>
      <c r="C732" s="9">
        <f t="shared" si="11"/>
        <v>3.4515959089515246E-4</v>
      </c>
      <c r="D732" s="7">
        <f>(Table5345679103[[#This Row],[Value]]-B720)/B720</f>
        <v>1.5022764557335439E-2</v>
      </c>
    </row>
    <row r="733" spans="1:4" s="64" customFormat="1" x14ac:dyDescent="0.35">
      <c r="A733" s="57">
        <v>43709</v>
      </c>
      <c r="B733" s="58">
        <f>VLOOKUP(Table5345679103[[#This Row],[Date]],Database!A:E,MATCH($A$1,Database!$A$1:$E$1,),)</f>
        <v>110.20699999999999</v>
      </c>
      <c r="C733" s="9">
        <f t="shared" si="11"/>
        <v>6.810009806413089E-4</v>
      </c>
      <c r="D733" s="7">
        <f>(Table5345679103[[#This Row],[Value]]-B721)/B721</f>
        <v>1.3509536684507661E-2</v>
      </c>
    </row>
    <row r="734" spans="1:4" s="64" customFormat="1" x14ac:dyDescent="0.35">
      <c r="A734" s="57">
        <v>43739</v>
      </c>
      <c r="B734" s="58">
        <f>VLOOKUP(Table5345679103[[#This Row],[Date]],Database!A:E,MATCH($A$1,Database!$A$1:$E$1,),)</f>
        <v>110.423</v>
      </c>
      <c r="C734" s="9">
        <f t="shared" si="11"/>
        <v>1.9599480976708211E-3</v>
      </c>
      <c r="D734" s="7">
        <f>(Table5345679103[[#This Row],[Value]]-B722)/B722</f>
        <v>1.3761889023539304E-2</v>
      </c>
    </row>
    <row r="735" spans="1:4" s="64" customFormat="1" x14ac:dyDescent="0.35">
      <c r="A735" s="57">
        <v>43770</v>
      </c>
      <c r="B735" s="58">
        <f>VLOOKUP(Table5345679103[[#This Row],[Date]],Database!A:E,MATCH($A$1,Database!$A$1:$E$1,),)</f>
        <v>110.46899999999999</v>
      </c>
      <c r="C735" s="9">
        <f t="shared" si="11"/>
        <v>4.16579879191765E-4</v>
      </c>
      <c r="D735" s="7">
        <f>(Table5345679103[[#This Row],[Value]]-B723)/B723</f>
        <v>1.3765382815296094E-2</v>
      </c>
    </row>
    <row r="736" spans="1:4" s="64" customFormat="1" x14ac:dyDescent="0.35">
      <c r="A736" s="57">
        <v>43800</v>
      </c>
      <c r="B736" s="58">
        <f>VLOOKUP(Table5345679103[[#This Row],[Date]],Database!A:E,MATCH($A$1,Database!$A$1:$E$1,),)</f>
        <v>110.736</v>
      </c>
      <c r="C736" s="9">
        <f t="shared" si="11"/>
        <v>2.4169676560846041E-3</v>
      </c>
      <c r="D736" s="7">
        <f>(Table5345679103[[#This Row],[Value]]-B724)/B724</f>
        <v>1.6010496279509359E-2</v>
      </c>
    </row>
    <row r="737" spans="1:4" s="64" customFormat="1" x14ac:dyDescent="0.35">
      <c r="A737" s="57">
        <v>43831</v>
      </c>
      <c r="B737" s="58">
        <f>VLOOKUP(Table5345679103[[#This Row],[Date]],Database!A:E,MATCH($A$1,Database!$A$1:$E$1,),)</f>
        <v>110.944</v>
      </c>
      <c r="C737" s="9">
        <f t="shared" si="11"/>
        <v>1.8783412801618119E-3</v>
      </c>
      <c r="D737" s="7">
        <f>(Table5345679103[[#This Row],[Value]]-B725)/B725</f>
        <v>1.8049680207750246E-2</v>
      </c>
    </row>
    <row r="738" spans="1:4" s="64" customFormat="1" x14ac:dyDescent="0.35">
      <c r="A738" s="57">
        <v>43862</v>
      </c>
      <c r="B738" s="58">
        <f>VLOOKUP(Table5345679103[[#This Row],[Date]],Database!A:E,MATCH($A$1,Database!$A$1:$E$1,),)</f>
        <v>111.07</v>
      </c>
      <c r="C738" s="9">
        <f t="shared" si="11"/>
        <v>1.1357081049898198E-3</v>
      </c>
      <c r="D738" s="7">
        <f>(Table5345679103[[#This Row],[Value]]-B726)/B726</f>
        <v>1.762776464552061E-2</v>
      </c>
    </row>
    <row r="739" spans="1:4" s="64" customFormat="1" x14ac:dyDescent="0.35">
      <c r="A739" s="57">
        <v>43891</v>
      </c>
      <c r="B739" s="58">
        <f>VLOOKUP(Table5345679103[[#This Row],[Date]],Database!A:E,MATCH($A$1,Database!$A$1:$E$1,),)</f>
        <v>110.824</v>
      </c>
      <c r="C739" s="9">
        <f t="shared" si="11"/>
        <v>-2.2148194832087432E-3</v>
      </c>
      <c r="D739" s="7">
        <f>(Table5345679103[[#This Row],[Value]]-B727)/B727</f>
        <v>1.2618440649470503E-2</v>
      </c>
    </row>
    <row r="740" spans="1:4" s="64" customFormat="1" x14ac:dyDescent="0.35">
      <c r="A740" s="57">
        <v>43922</v>
      </c>
      <c r="B740" s="58">
        <f>VLOOKUP(Table5345679103[[#This Row],[Date]],Database!A:E,MATCH($A$1,Database!$A$1:$E$1,),)</f>
        <v>110.23699999999999</v>
      </c>
      <c r="C740" s="9">
        <f t="shared" si="11"/>
        <v>-5.2966866382733284E-3</v>
      </c>
      <c r="D740" s="7">
        <f>(Table5345679103[[#This Row],[Value]]-B728)/B728</f>
        <v>4.1628711969392751E-3</v>
      </c>
    </row>
    <row r="741" spans="1:4" s="64" customFormat="1" x14ac:dyDescent="0.35">
      <c r="A741" s="57">
        <v>43952</v>
      </c>
      <c r="B741" s="58">
        <f>VLOOKUP(Table5345679103[[#This Row],[Date]],Database!A:E,MATCH($A$1,Database!$A$1:$E$1,),)</f>
        <v>110.35299999999999</v>
      </c>
      <c r="C741" s="9">
        <f t="shared" si="11"/>
        <v>1.0522782731750653E-3</v>
      </c>
      <c r="D741" s="7">
        <f>(Table5345679103[[#This Row],[Value]]-B729)/B729</f>
        <v>4.5241042819691227E-3</v>
      </c>
    </row>
    <row r="742" spans="1:4" s="64" customFormat="1" x14ac:dyDescent="0.35">
      <c r="A742" s="57">
        <v>43983</v>
      </c>
      <c r="B742" s="58">
        <f>VLOOKUP(Table5345679103[[#This Row],[Date]],Database!A:E,MATCH($A$1,Database!$A$1:$E$1,),)</f>
        <v>110.746</v>
      </c>
      <c r="C742" s="9">
        <f t="shared" si="11"/>
        <v>3.561298741311978E-3</v>
      </c>
      <c r="D742" s="7">
        <f>(Table5345679103[[#This Row],[Value]]-B730)/B730</f>
        <v>7.3770864601809504E-3</v>
      </c>
    </row>
    <row r="743" spans="1:4" s="64" customFormat="1" x14ac:dyDescent="0.35">
      <c r="A743" s="57">
        <v>44013</v>
      </c>
      <c r="B743" s="58">
        <f>VLOOKUP(Table5345679103[[#This Row],[Date]],Database!A:E,MATCH($A$1,Database!$A$1:$E$1,),)</f>
        <v>111.072</v>
      </c>
      <c r="C743" s="9">
        <f t="shared" si="11"/>
        <v>2.9436729091796331E-3</v>
      </c>
      <c r="D743" s="7">
        <f>(Table5345679103[[#This Row],[Value]]-B731)/B731</f>
        <v>8.8833178919832927E-3</v>
      </c>
    </row>
    <row r="744" spans="1:4" s="64" customFormat="1" x14ac:dyDescent="0.35">
      <c r="A744" s="57">
        <v>44044</v>
      </c>
      <c r="B744" s="58">
        <f>VLOOKUP(Table5345679103[[#This Row],[Date]],Database!A:E,MATCH($A$1,Database!$A$1:$E$1,),)</f>
        <v>111.411</v>
      </c>
      <c r="C744" s="9">
        <f t="shared" si="11"/>
        <v>3.0520743301642055E-3</v>
      </c>
      <c r="D744" s="7">
        <f>(Table5345679103[[#This Row],[Value]]-B732)/B732</f>
        <v>1.1613336723204849E-2</v>
      </c>
    </row>
    <row r="745" spans="1:4" s="64" customFormat="1" x14ac:dyDescent="0.35">
      <c r="A745" s="57">
        <v>44075</v>
      </c>
      <c r="B745" s="58">
        <f>VLOOKUP(Table5345679103[[#This Row],[Date]],Database!A:E,MATCH($A$1,Database!$A$1:$E$1,),)</f>
        <v>111.613</v>
      </c>
      <c r="C745" s="9">
        <f t="shared" si="11"/>
        <v>1.8131064257568658E-3</v>
      </c>
      <c r="D745" s="7">
        <f>(Table5345679103[[#This Row],[Value]]-B733)/B733</f>
        <v>1.2757810302430934E-2</v>
      </c>
    </row>
    <row r="746" spans="1:4" s="64" customFormat="1" x14ac:dyDescent="0.35">
      <c r="A746" s="57">
        <v>44105</v>
      </c>
      <c r="B746" s="58">
        <f>VLOOKUP(Table5345679103[[#This Row],[Date]],Database!A:E,MATCH($A$1,Database!$A$1:$E$1,),)</f>
        <v>111.648</v>
      </c>
      <c r="C746" s="9">
        <f t="shared" si="11"/>
        <v>3.135835431356257E-4</v>
      </c>
      <c r="D746" s="7">
        <f>(Table5345679103[[#This Row],[Value]]-B734)/B734</f>
        <v>1.1093703304565121E-2</v>
      </c>
    </row>
    <row r="747" spans="1:4" s="64" customFormat="1" x14ac:dyDescent="0.35">
      <c r="A747" s="57">
        <v>44136</v>
      </c>
      <c r="B747" s="58">
        <f>VLOOKUP(Table5345679103[[#This Row],[Date]],Database!A:E,MATCH($A$1,Database!$A$1:$E$1,),)</f>
        <v>111.666</v>
      </c>
      <c r="C747" s="9">
        <f t="shared" si="11"/>
        <v>1.6122098022356587E-4</v>
      </c>
      <c r="D747" s="7">
        <f>(Table5345679103[[#This Row],[Value]]-B735)/B735</f>
        <v>1.0835619042446322E-2</v>
      </c>
    </row>
    <row r="748" spans="1:4" s="64" customFormat="1" x14ac:dyDescent="0.35">
      <c r="A748" s="57">
        <v>44166</v>
      </c>
      <c r="B748" s="58">
        <f>VLOOKUP(Table5345679103[[#This Row],[Date]],Database!A:E,MATCH($A$1,Database!$A$1:$E$1,),)</f>
        <v>112.15</v>
      </c>
      <c r="C748" s="9">
        <f t="shared" si="11"/>
        <v>4.3343542349507363E-3</v>
      </c>
      <c r="D748" s="7">
        <f>(Table5345679103[[#This Row],[Value]]-B736)/B736</f>
        <v>1.276910851033089E-2</v>
      </c>
    </row>
    <row r="749" spans="1:4" s="64" customFormat="1" x14ac:dyDescent="0.35">
      <c r="A749" s="57">
        <v>44197</v>
      </c>
      <c r="B749" s="58">
        <f>VLOOKUP(Table5345679103[[#This Row],[Date]],Database!A:E,MATCH($A$1,Database!$A$1:$E$1,),)</f>
        <v>112.583</v>
      </c>
      <c r="C749" s="9">
        <f t="shared" si="11"/>
        <v>3.8609005795808534E-3</v>
      </c>
      <c r="D749" s="7">
        <f>(Table5345679103[[#This Row],[Value]]-B737)/B737</f>
        <v>1.4773218921257533E-2</v>
      </c>
    </row>
    <row r="750" spans="1:4" s="64" customFormat="1" x14ac:dyDescent="0.35">
      <c r="A750" s="57">
        <v>44228</v>
      </c>
      <c r="B750" s="58">
        <f>VLOOKUP(Table5345679103[[#This Row],[Date]],Database!A:E,MATCH($A$1,Database!$A$1:$E$1,),)</f>
        <v>112.961</v>
      </c>
      <c r="C750" s="9">
        <f t="shared" si="11"/>
        <v>3.357522894220265E-3</v>
      </c>
      <c r="D750" s="7">
        <f>(Table5345679103[[#This Row],[Value]]-B738)/B738</f>
        <v>1.7025299360763531E-2</v>
      </c>
    </row>
    <row r="751" spans="1:4" s="64" customFormat="1" x14ac:dyDescent="0.35">
      <c r="A751" s="57">
        <v>44256</v>
      </c>
      <c r="B751" s="58">
        <f>VLOOKUP(Table5345679103[[#This Row],[Date]],Database!A:E,MATCH($A$1,Database!$A$1:$E$1,),)</f>
        <v>113.63200000000001</v>
      </c>
      <c r="C751" s="9">
        <f t="shared" si="11"/>
        <v>5.9401032214658729E-3</v>
      </c>
      <c r="D751" s="7">
        <f>(Table5345679103[[#This Row],[Value]]-B739)/B739</f>
        <v>2.5337472027719691E-2</v>
      </c>
    </row>
    <row r="752" spans="1:4" s="64" customFormat="1" x14ac:dyDescent="0.35">
      <c r="A752" s="57">
        <v>44287</v>
      </c>
      <c r="B752" s="58">
        <f>VLOOKUP(Table5345679103[[#This Row],[Date]],Database!A:E,MATCH($A$1,Database!$A$1:$E$1,),)</f>
        <v>114.238</v>
      </c>
      <c r="C752" s="9">
        <f t="shared" si="11"/>
        <v>5.3330047873837872E-3</v>
      </c>
      <c r="D752" s="7">
        <f>(Table5345679103[[#This Row],[Value]]-B740)/B740</f>
        <v>3.6294529060115974E-2</v>
      </c>
    </row>
    <row r="753" spans="1:4" s="64" customFormat="1" x14ac:dyDescent="0.35">
      <c r="A753" s="57">
        <v>44317</v>
      </c>
      <c r="B753" s="58">
        <f>VLOOKUP(Table5345679103[[#This Row],[Date]],Database!A:E,MATCH($A$1,Database!$A$1:$E$1,),)</f>
        <v>114.819</v>
      </c>
      <c r="C753" s="9">
        <f t="shared" si="11"/>
        <v>5.085873352124539E-3</v>
      </c>
      <c r="D753" s="7">
        <f>(Table5345679103[[#This Row],[Value]]-B741)/B741</f>
        <v>4.0470127681168692E-2</v>
      </c>
    </row>
    <row r="754" spans="1:4" s="64" customFormat="1" x14ac:dyDescent="0.35">
      <c r="A754" s="57">
        <v>44348</v>
      </c>
      <c r="B754" s="58">
        <f>VLOOKUP(Table5345679103[[#This Row],[Date]],Database!A:E,MATCH($A$1,Database!$A$1:$E$1,),)</f>
        <v>115.458</v>
      </c>
      <c r="C754" s="9">
        <f t="shared" si="11"/>
        <v>5.5652810074987222E-3</v>
      </c>
      <c r="D754" s="7">
        <f>(Table5345679103[[#This Row],[Value]]-B742)/B742</f>
        <v>4.2547812110595447E-2</v>
      </c>
    </row>
    <row r="755" spans="1:4" s="64" customFormat="1" x14ac:dyDescent="0.35">
      <c r="A755" s="57">
        <v>44378</v>
      </c>
      <c r="B755" s="58">
        <f>VLOOKUP(Table5345679103[[#This Row],[Date]],Database!A:E,MATCH($A$1,Database!$A$1:$E$1,),)</f>
        <v>115.986</v>
      </c>
      <c r="C755" s="9">
        <f t="shared" si="11"/>
        <v>4.5730915137972752E-3</v>
      </c>
      <c r="D755" s="7">
        <f>(Table5345679103[[#This Row],[Value]]-B743)/B743</f>
        <v>4.4241573033707876E-2</v>
      </c>
    </row>
    <row r="756" spans="1:4" s="64" customFormat="1" x14ac:dyDescent="0.35">
      <c r="A756" s="57">
        <v>44409</v>
      </c>
      <c r="B756" s="58">
        <f>VLOOKUP(Table5345679103[[#This Row],[Date]],Database!A:E,MATCH($A$1,Database!$A$1:$E$1,),)</f>
        <v>116.444</v>
      </c>
      <c r="C756" s="9">
        <f t="shared" si="11"/>
        <v>3.9487524356387705E-3</v>
      </c>
      <c r="D756" s="7">
        <f>(Table5345679103[[#This Row],[Value]]-B744)/B744</f>
        <v>4.5175072479378166E-2</v>
      </c>
    </row>
    <row r="757" spans="1:4" s="64" customFormat="1" x14ac:dyDescent="0.35">
      <c r="A757" s="57">
        <v>44440</v>
      </c>
      <c r="B757" s="58">
        <f>VLOOKUP(Table5345679103[[#This Row],[Date]],Database!A:E,MATCH($A$1,Database!$A$1:$E$1,),)</f>
        <v>116.80800000000001</v>
      </c>
      <c r="C757" s="9">
        <f t="shared" si="11"/>
        <v>3.125966129641753E-3</v>
      </c>
      <c r="D757" s="7">
        <f>(Table5345679103[[#This Row],[Value]]-B745)/B745</f>
        <v>4.6544757331135327E-2</v>
      </c>
    </row>
    <row r="758" spans="1:4" s="64" customFormat="1" x14ac:dyDescent="0.35">
      <c r="A758" s="57">
        <v>44470</v>
      </c>
      <c r="B758" s="58">
        <f>VLOOKUP(Table5345679103[[#This Row],[Date]],Database!A:E,MATCH($A$1,Database!$A$1:$E$1,),)</f>
        <v>117.479</v>
      </c>
      <c r="C758" s="9">
        <f t="shared" si="11"/>
        <v>5.7444695568795992E-3</v>
      </c>
      <c r="D758" s="7">
        <f>(Table5345679103[[#This Row],[Value]]-B746)/B746</f>
        <v>5.2226640871309862E-2</v>
      </c>
    </row>
    <row r="759" spans="1:4" s="64" customFormat="1" x14ac:dyDescent="0.35">
      <c r="A759" s="57">
        <v>44501</v>
      </c>
      <c r="B759" s="58">
        <f>VLOOKUP(Table5345679103[[#This Row],[Date]],Database!A:E,MATCH($A$1,Database!$A$1:$E$1,),)</f>
        <v>118.2</v>
      </c>
      <c r="C759" s="9">
        <f t="shared" si="11"/>
        <v>6.1372670860324286E-3</v>
      </c>
      <c r="D759" s="7">
        <f>(Table5345679103[[#This Row],[Value]]-B747)/B747</f>
        <v>5.8513782171833915E-2</v>
      </c>
    </row>
    <row r="760" spans="1:4" s="64" customFormat="1" x14ac:dyDescent="0.35">
      <c r="A760" s="57">
        <v>44531</v>
      </c>
      <c r="B760" s="58">
        <f>VLOOKUP(Table5345679103[[#This Row],[Date]],Database!A:E,MATCH($A$1,Database!$A$1:$E$1,),)</f>
        <v>118.84099999999999</v>
      </c>
      <c r="C760" s="9">
        <f t="shared" si="11"/>
        <v>5.4230118443315658E-3</v>
      </c>
      <c r="D760" s="7">
        <f>(Table5345679103[[#This Row],[Value]]-B748)/B748</f>
        <v>5.9661168078466234E-2</v>
      </c>
    </row>
    <row r="761" spans="1:4" s="64" customFormat="1" x14ac:dyDescent="0.35">
      <c r="A761" s="57">
        <v>44562</v>
      </c>
      <c r="B761" s="58">
        <f>VLOOKUP(Table5345679103[[#This Row],[Date]],Database!A:E,MATCH($A$1,Database!$A$1:$E$1,),)</f>
        <v>119.46899999999999</v>
      </c>
      <c r="C761" s="9">
        <f t="shared" si="11"/>
        <v>5.2843715552713302E-3</v>
      </c>
      <c r="D761" s="7">
        <f>(Table5345679103[[#This Row],[Value]]-B749)/B749</f>
        <v>6.1163763623282338E-2</v>
      </c>
    </row>
    <row r="762" spans="1:4" s="64" customFormat="1" x14ac:dyDescent="0.35">
      <c r="A762" s="57">
        <v>44593</v>
      </c>
      <c r="B762" s="58">
        <f>VLOOKUP(Table5345679103[[#This Row],[Date]],Database!A:E,MATCH($A$1,Database!$A$1:$E$1,),)</f>
        <v>120.178</v>
      </c>
      <c r="C762" s="9">
        <f t="shared" si="11"/>
        <v>5.9345939113912664E-3</v>
      </c>
      <c r="D762" s="7">
        <f>(Table5345679103[[#This Row],[Value]]-B750)/B750</f>
        <v>6.3889306928940071E-2</v>
      </c>
    </row>
    <row r="763" spans="1:4" s="64" customFormat="1" x14ac:dyDescent="0.35">
      <c r="A763" s="57">
        <v>44621</v>
      </c>
      <c r="B763" s="58">
        <f>VLOOKUP(Table5345679103[[#This Row],[Date]],Database!A:E,MATCH($A$1,Database!$A$1:$E$1,),)</f>
        <v>121.321</v>
      </c>
      <c r="C763" s="9">
        <f t="shared" si="11"/>
        <v>9.5108921766047082E-3</v>
      </c>
      <c r="D763" s="7">
        <f>(Table5345679103[[#This Row],[Value]]-B751)/B751</f>
        <v>6.7665798366657218E-2</v>
      </c>
    </row>
    <row r="764" spans="1:4" s="64" customFormat="1" x14ac:dyDescent="0.35">
      <c r="A764" s="57">
        <v>44652</v>
      </c>
      <c r="B764" s="58">
        <f>VLOOKUP(Table5345679103[[#This Row],[Date]],Database!A:E,MATCH($A$1,Database!$A$1:$E$1,),)</f>
        <v>121.563</v>
      </c>
      <c r="C764" s="9">
        <f t="shared" si="11"/>
        <v>1.9947082533114994E-3</v>
      </c>
      <c r="D764" s="7">
        <f>(Table5345679103[[#This Row],[Value]]-B752)/B752</f>
        <v>6.4120520317232463E-2</v>
      </c>
    </row>
    <row r="765" spans="1:4" s="64" customFormat="1" x14ac:dyDescent="0.35">
      <c r="A765" s="57">
        <v>44682</v>
      </c>
      <c r="B765" s="58">
        <f>VLOOKUP(Table5345679103[[#This Row],[Date]],Database!A:E,MATCH($A$1,Database!$A$1:$E$1,),)</f>
        <v>122.3</v>
      </c>
      <c r="C765" s="9">
        <f t="shared" si="11"/>
        <v>6.0626999991773385E-3</v>
      </c>
      <c r="D765" s="7">
        <f>(Table5345679103[[#This Row],[Value]]-B753)/B753</f>
        <v>6.5154721779496369E-2</v>
      </c>
    </row>
    <row r="766" spans="1:4" s="64" customFormat="1" x14ac:dyDescent="0.35">
      <c r="A766" s="57">
        <v>44713</v>
      </c>
      <c r="B766" s="58">
        <f>VLOOKUP(Table5345679103[[#This Row],[Date]],Database!A:E,MATCH($A$1,Database!$A$1:$E$1,),)</f>
        <v>123.512</v>
      </c>
      <c r="C766" s="9">
        <f t="shared" si="11"/>
        <v>9.9100572363041966E-3</v>
      </c>
      <c r="D766" s="7">
        <f>(Table5345679103[[#This Row],[Value]]-B754)/B754</f>
        <v>6.9756967901747846E-2</v>
      </c>
    </row>
    <row r="767" spans="1:4" s="64" customFormat="1" x14ac:dyDescent="0.35">
      <c r="A767" s="57">
        <v>44743</v>
      </c>
      <c r="B767" s="58">
        <f>VLOOKUP(Table5345679103[[#This Row],[Date]],Database!A:E,MATCH($A$1,Database!$A$1:$E$1,),)</f>
        <v>123.38500000000001</v>
      </c>
      <c r="C767" s="9">
        <f t="shared" si="11"/>
        <v>-1.0282401709954931E-3</v>
      </c>
      <c r="D767" s="7">
        <f>(Table5345679103[[#This Row],[Value]]-B755)/B755</f>
        <v>6.3792181815046645E-2</v>
      </c>
    </row>
    <row r="768" spans="1:4" s="64" customFormat="1" x14ac:dyDescent="0.35">
      <c r="A768" s="57">
        <v>44774</v>
      </c>
      <c r="B768" s="58">
        <f>VLOOKUP(Table5345679103[[#This Row],[Date]],Database!A:E,MATCH($A$1,Database!$A$1:$E$1,),)</f>
        <v>123.71</v>
      </c>
      <c r="C768" s="9">
        <f t="shared" si="11"/>
        <v>2.6340316894273097E-3</v>
      </c>
      <c r="D768" s="7">
        <f>(Table5345679103[[#This Row],[Value]]-B756)/B756</f>
        <v>6.2399093126309563E-2</v>
      </c>
    </row>
    <row r="769" spans="1:4" s="64" customFormat="1" x14ac:dyDescent="0.35">
      <c r="A769" s="57">
        <v>44805</v>
      </c>
      <c r="B769" s="58">
        <f>VLOOKUP(Table5345679103[[#This Row],[Date]],Database!A:E,MATCH($A$1,Database!$A$1:$E$1,),)</f>
        <v>124.134</v>
      </c>
      <c r="C769" s="9">
        <f t="shared" si="11"/>
        <v>3.4273704631800714E-3</v>
      </c>
      <c r="D769" s="7">
        <f>(Table5345679103[[#This Row],[Value]]-B757)/B757</f>
        <v>6.2718306965276291E-2</v>
      </c>
    </row>
    <row r="770" spans="1:4" s="64" customFormat="1" x14ac:dyDescent="0.35">
      <c r="A770" s="57">
        <v>44835</v>
      </c>
      <c r="B770" s="58">
        <f>VLOOKUP(Table5345679103[[#This Row],[Date]],Database!A:E,MATCH($A$1,Database!$A$1:$E$1,),)</f>
        <v>124.55</v>
      </c>
      <c r="C770" s="9">
        <f t="shared" si="11"/>
        <v>3.3512172329901303E-3</v>
      </c>
      <c r="D770" s="7">
        <f>(Table5345679103[[#This Row],[Value]]-B758)/B758</f>
        <v>6.0189480673141567E-2</v>
      </c>
    </row>
    <row r="771" spans="1:4" s="64" customFormat="1" x14ac:dyDescent="0.35">
      <c r="A771" s="6"/>
      <c r="B771" s="53"/>
      <c r="C771" s="4"/>
      <c r="D771" s="5"/>
    </row>
    <row r="772" spans="1:4" s="64" customFormat="1" x14ac:dyDescent="0.35">
      <c r="A772" s="6"/>
      <c r="B772" s="53"/>
      <c r="C772" s="4"/>
      <c r="D772" s="5"/>
    </row>
    <row r="773" spans="1:4" s="64" customFormat="1" x14ac:dyDescent="0.35">
      <c r="A773" s="6"/>
      <c r="B773" s="53"/>
      <c r="C773" s="4"/>
      <c r="D773" s="5"/>
    </row>
    <row r="774" spans="1:4" s="64" customFormat="1" x14ac:dyDescent="0.35">
      <c r="A774" s="6"/>
      <c r="B774" s="53"/>
      <c r="C774" s="4"/>
      <c r="D774" s="5"/>
    </row>
    <row r="775" spans="1:4" s="64" customFormat="1" x14ac:dyDescent="0.35">
      <c r="A775" s="6"/>
      <c r="B775" s="53"/>
      <c r="C775" s="4"/>
      <c r="D775" s="5"/>
    </row>
    <row r="776" spans="1:4" s="64" customFormat="1" x14ac:dyDescent="0.35">
      <c r="A776" s="6"/>
      <c r="B776" s="53"/>
      <c r="C776" s="4"/>
      <c r="D776" s="5"/>
    </row>
    <row r="777" spans="1:4" s="64" customFormat="1" x14ac:dyDescent="0.35">
      <c r="A777" s="6"/>
      <c r="B777" s="53"/>
      <c r="C777" s="4"/>
      <c r="D777" s="5"/>
    </row>
    <row r="778" spans="1:4" s="64" customFormat="1" x14ac:dyDescent="0.35">
      <c r="A778" s="6"/>
      <c r="B778" s="53"/>
      <c r="C778" s="4"/>
      <c r="D778" s="5"/>
    </row>
    <row r="779" spans="1:4" s="64" customFormat="1" x14ac:dyDescent="0.35">
      <c r="A779" s="6"/>
      <c r="B779" s="53"/>
      <c r="C779" s="4"/>
      <c r="D779" s="5"/>
    </row>
    <row r="780" spans="1:4" s="64" customFormat="1" x14ac:dyDescent="0.35">
      <c r="A780" s="6"/>
      <c r="B780" s="53"/>
      <c r="C780" s="4"/>
      <c r="D780" s="5"/>
    </row>
    <row r="781" spans="1:4" s="64" customFormat="1" x14ac:dyDescent="0.35">
      <c r="A781" s="6"/>
      <c r="B781" s="53"/>
      <c r="C781" s="4"/>
      <c r="D781" s="5"/>
    </row>
    <row r="782" spans="1:4" s="64" customFormat="1" x14ac:dyDescent="0.35">
      <c r="A782" s="6"/>
      <c r="B782" s="53"/>
      <c r="C782" s="4"/>
      <c r="D782" s="5"/>
    </row>
    <row r="783" spans="1:4" s="64" customFormat="1" x14ac:dyDescent="0.35">
      <c r="A783" s="6"/>
      <c r="B783" s="53"/>
      <c r="C783" s="4"/>
      <c r="D783" s="5"/>
    </row>
    <row r="784" spans="1:4" s="64" customFormat="1" x14ac:dyDescent="0.35">
      <c r="A784" s="6"/>
      <c r="B784" s="53"/>
      <c r="C784" s="4"/>
      <c r="D784" s="5"/>
    </row>
    <row r="785" spans="1:4" s="64" customFormat="1" x14ac:dyDescent="0.35">
      <c r="A785" s="6"/>
      <c r="B785" s="53"/>
      <c r="C785" s="4"/>
      <c r="D785" s="5"/>
    </row>
    <row r="786" spans="1:4" s="64" customFormat="1" x14ac:dyDescent="0.35">
      <c r="A786" s="6"/>
      <c r="B786" s="53"/>
      <c r="C786" s="4"/>
      <c r="D786" s="5"/>
    </row>
    <row r="787" spans="1:4" s="64" customFormat="1" x14ac:dyDescent="0.35">
      <c r="A787" s="6"/>
      <c r="B787" s="53"/>
      <c r="C787" s="4"/>
      <c r="D787" s="5"/>
    </row>
    <row r="788" spans="1:4" s="64" customFormat="1" x14ac:dyDescent="0.35">
      <c r="A788" s="6"/>
      <c r="B788" s="53"/>
      <c r="C788" s="4"/>
      <c r="D788" s="5"/>
    </row>
    <row r="789" spans="1:4" s="64" customFormat="1" x14ac:dyDescent="0.35">
      <c r="A789" s="6"/>
      <c r="B789" s="53"/>
      <c r="C789" s="4"/>
      <c r="D789" s="5"/>
    </row>
    <row r="790" spans="1:4" s="64" customFormat="1" x14ac:dyDescent="0.35">
      <c r="A790" s="6"/>
      <c r="B790" s="53"/>
      <c r="C790" s="4"/>
      <c r="D790" s="5"/>
    </row>
    <row r="791" spans="1:4" s="64" customFormat="1" x14ac:dyDescent="0.35">
      <c r="A791" s="6"/>
      <c r="B791" s="53"/>
      <c r="C791" s="4"/>
      <c r="D791" s="5"/>
    </row>
    <row r="792" spans="1:4" s="64" customFormat="1" x14ac:dyDescent="0.35">
      <c r="A792" s="6"/>
      <c r="B792" s="53"/>
      <c r="C792" s="4"/>
      <c r="D792" s="5"/>
    </row>
    <row r="793" spans="1:4" s="64" customFormat="1" x14ac:dyDescent="0.35">
      <c r="A793" s="6"/>
      <c r="B793" s="53"/>
      <c r="C793" s="4"/>
      <c r="D793" s="5"/>
    </row>
    <row r="794" spans="1:4" s="64" customFormat="1" x14ac:dyDescent="0.35">
      <c r="A794" s="6"/>
      <c r="B794" s="53"/>
      <c r="C794" s="4"/>
      <c r="D794" s="5"/>
    </row>
    <row r="795" spans="1:4" s="64" customFormat="1" x14ac:dyDescent="0.35">
      <c r="A795" s="6"/>
      <c r="B795" s="53"/>
      <c r="C795" s="4"/>
      <c r="D795" s="5"/>
    </row>
    <row r="796" spans="1:4" s="64" customFormat="1" x14ac:dyDescent="0.35">
      <c r="A796" s="6"/>
      <c r="B796" s="53"/>
      <c r="C796" s="4"/>
      <c r="D796" s="5"/>
    </row>
    <row r="797" spans="1:4" s="64" customFormat="1" x14ac:dyDescent="0.35">
      <c r="A797" s="6"/>
      <c r="B797" s="53"/>
      <c r="C797" s="4"/>
      <c r="D797" s="5"/>
    </row>
    <row r="798" spans="1:4" s="64" customFormat="1" x14ac:dyDescent="0.35">
      <c r="A798" s="6"/>
      <c r="B798" s="53"/>
      <c r="C798" s="4"/>
      <c r="D798" s="5"/>
    </row>
    <row r="799" spans="1:4" s="64" customFormat="1" x14ac:dyDescent="0.35">
      <c r="A799" s="6"/>
      <c r="B799" s="53"/>
      <c r="C799" s="4"/>
      <c r="D799" s="5"/>
    </row>
    <row r="800" spans="1:4" s="64" customFormat="1" x14ac:dyDescent="0.35">
      <c r="A800" s="6"/>
      <c r="B800" s="53"/>
      <c r="C800" s="4"/>
      <c r="D800" s="5"/>
    </row>
    <row r="801" spans="1:4" s="64" customFormat="1" x14ac:dyDescent="0.35">
      <c r="A801" s="6"/>
      <c r="B801" s="53"/>
      <c r="C801" s="4"/>
      <c r="D801" s="5"/>
    </row>
    <row r="802" spans="1:4" s="64" customFormat="1" x14ac:dyDescent="0.35">
      <c r="A802" s="6"/>
      <c r="B802" s="53"/>
      <c r="C802" s="4"/>
      <c r="D802" s="5"/>
    </row>
    <row r="803" spans="1:4" s="64" customFormat="1" x14ac:dyDescent="0.35">
      <c r="A803" s="6"/>
      <c r="B803" s="53"/>
      <c r="C803" s="4"/>
      <c r="D803" s="5"/>
    </row>
    <row r="804" spans="1:4" s="64" customFormat="1" x14ac:dyDescent="0.35">
      <c r="A804" s="6"/>
      <c r="B804" s="53"/>
      <c r="C804" s="4"/>
      <c r="D804" s="5"/>
    </row>
    <row r="805" spans="1:4" s="64" customFormat="1" x14ac:dyDescent="0.35">
      <c r="A805" s="6"/>
      <c r="B805" s="53"/>
      <c r="C805" s="4"/>
      <c r="D805" s="5"/>
    </row>
    <row r="806" spans="1:4" s="64" customFormat="1" x14ac:dyDescent="0.35">
      <c r="A806" s="6"/>
      <c r="B806" s="53"/>
      <c r="C806" s="4"/>
      <c r="D806" s="5"/>
    </row>
    <row r="807" spans="1:4" s="64" customFormat="1" x14ac:dyDescent="0.35">
      <c r="A807" s="6"/>
      <c r="B807" s="53"/>
      <c r="C807" s="4"/>
      <c r="D807" s="5"/>
    </row>
    <row r="808" spans="1:4" s="64" customFormat="1" x14ac:dyDescent="0.35">
      <c r="A808" s="6"/>
      <c r="B808" s="53"/>
      <c r="C808" s="4"/>
      <c r="D808" s="5"/>
    </row>
    <row r="809" spans="1:4" s="64" customFormat="1" x14ac:dyDescent="0.35">
      <c r="A809" s="6"/>
      <c r="B809" s="53"/>
      <c r="C809" s="4"/>
      <c r="D809" s="5"/>
    </row>
    <row r="810" spans="1:4" s="64" customFormat="1" x14ac:dyDescent="0.35">
      <c r="A810" s="6"/>
      <c r="B810" s="53"/>
      <c r="C810" s="4"/>
      <c r="D810" s="5"/>
    </row>
    <row r="811" spans="1:4" s="64" customFormat="1" x14ac:dyDescent="0.35">
      <c r="A811" s="6"/>
      <c r="B811" s="53"/>
      <c r="C811" s="4"/>
      <c r="D811" s="5"/>
    </row>
    <row r="812" spans="1:4" s="64" customFormat="1" x14ac:dyDescent="0.35">
      <c r="A812" s="6"/>
      <c r="B812" s="53"/>
      <c r="C812" s="4"/>
      <c r="D812" s="5"/>
    </row>
    <row r="813" spans="1:4" s="64" customFormat="1" x14ac:dyDescent="0.35">
      <c r="A813" s="6"/>
      <c r="B813" s="53"/>
      <c r="C813" s="4"/>
      <c r="D813" s="5"/>
    </row>
    <row r="814" spans="1:4" s="64" customFormat="1" x14ac:dyDescent="0.35">
      <c r="A814" s="6"/>
      <c r="B814" s="53"/>
      <c r="C814" s="4"/>
      <c r="D814" s="5"/>
    </row>
    <row r="815" spans="1:4" s="64" customFormat="1" x14ac:dyDescent="0.35">
      <c r="A815" s="6"/>
      <c r="B815" s="53"/>
      <c r="C815" s="4"/>
      <c r="D815" s="5"/>
    </row>
    <row r="816" spans="1:4" s="64" customFormat="1" x14ac:dyDescent="0.35">
      <c r="A816" s="6"/>
      <c r="B816" s="53"/>
      <c r="C816" s="4"/>
      <c r="D816" s="5"/>
    </row>
    <row r="817" spans="1:4" s="64" customFormat="1" x14ac:dyDescent="0.35">
      <c r="A817" s="6"/>
      <c r="B817" s="53"/>
      <c r="C817" s="4"/>
      <c r="D817" s="5"/>
    </row>
    <row r="818" spans="1:4" s="64" customFormat="1" x14ac:dyDescent="0.35">
      <c r="A818" s="6"/>
      <c r="B818" s="53"/>
      <c r="C818" s="4"/>
      <c r="D818" s="5"/>
    </row>
    <row r="819" spans="1:4" s="64" customFormat="1" x14ac:dyDescent="0.35">
      <c r="A819" s="6"/>
      <c r="B819" s="53"/>
      <c r="C819" s="4"/>
      <c r="D819" s="5"/>
    </row>
    <row r="820" spans="1:4" s="64" customFormat="1" x14ac:dyDescent="0.35">
      <c r="A820" s="6"/>
      <c r="B820" s="53"/>
      <c r="C820" s="4"/>
      <c r="D820" s="5"/>
    </row>
    <row r="821" spans="1:4" s="64" customFormat="1" x14ac:dyDescent="0.35">
      <c r="A821" s="6"/>
      <c r="B821" s="53"/>
      <c r="C821" s="4"/>
      <c r="D821" s="5"/>
    </row>
    <row r="822" spans="1:4" s="64" customFormat="1" x14ac:dyDescent="0.35">
      <c r="A822" s="6"/>
      <c r="B822" s="53"/>
      <c r="C822" s="4"/>
      <c r="D822" s="5"/>
    </row>
    <row r="823" spans="1:4" s="64" customFormat="1" x14ac:dyDescent="0.35">
      <c r="A823" s="6"/>
      <c r="B823" s="53"/>
      <c r="C823" s="4"/>
      <c r="D823" s="5"/>
    </row>
    <row r="824" spans="1:4" s="64" customFormat="1" x14ac:dyDescent="0.35">
      <c r="A824" s="6"/>
      <c r="B824" s="53"/>
      <c r="C824" s="4"/>
      <c r="D824" s="5"/>
    </row>
    <row r="825" spans="1:4" s="64" customFormat="1" x14ac:dyDescent="0.35">
      <c r="A825" s="6"/>
      <c r="B825" s="53"/>
      <c r="C825" s="4"/>
      <c r="D825" s="5"/>
    </row>
    <row r="826" spans="1:4" s="64" customFormat="1" x14ac:dyDescent="0.35">
      <c r="A826" s="6"/>
      <c r="B826" s="53"/>
      <c r="C826" s="4"/>
      <c r="D826" s="5"/>
    </row>
    <row r="827" spans="1:4" s="64" customFormat="1" x14ac:dyDescent="0.35">
      <c r="A827" s="6"/>
      <c r="B827" s="53"/>
      <c r="C827" s="4"/>
      <c r="D827" s="5"/>
    </row>
    <row r="828" spans="1:4" s="64" customFormat="1" x14ac:dyDescent="0.35">
      <c r="A828" s="6"/>
      <c r="B828" s="53"/>
      <c r="C828" s="4"/>
      <c r="D828" s="5"/>
    </row>
    <row r="829" spans="1:4" s="64" customFormat="1" x14ac:dyDescent="0.35">
      <c r="A829" s="6"/>
      <c r="B829" s="53"/>
      <c r="C829" s="4"/>
      <c r="D829" s="5"/>
    </row>
    <row r="830" spans="1:4" s="64" customFormat="1" x14ac:dyDescent="0.35">
      <c r="A830" s="6"/>
      <c r="B830" s="53"/>
      <c r="C830" s="4"/>
      <c r="D830" s="5"/>
    </row>
    <row r="831" spans="1:4" s="64" customFormat="1" x14ac:dyDescent="0.35">
      <c r="A831" s="6"/>
      <c r="B831" s="53"/>
      <c r="C831" s="4"/>
      <c r="D831" s="5"/>
    </row>
    <row r="832" spans="1:4" s="64" customFormat="1" x14ac:dyDescent="0.35">
      <c r="A832" s="6"/>
      <c r="B832" s="53"/>
      <c r="C832" s="4"/>
      <c r="D832" s="5"/>
    </row>
    <row r="833" spans="1:4" s="64" customFormat="1" x14ac:dyDescent="0.35">
      <c r="A833" s="6"/>
      <c r="B833" s="53"/>
      <c r="C833" s="4"/>
      <c r="D833" s="5"/>
    </row>
    <row r="834" spans="1:4" s="64" customFormat="1" x14ac:dyDescent="0.35">
      <c r="A834" s="6"/>
      <c r="B834" s="53"/>
      <c r="C834" s="4"/>
      <c r="D834" s="5"/>
    </row>
    <row r="835" spans="1:4" s="64" customFormat="1" x14ac:dyDescent="0.35">
      <c r="A835" s="6"/>
      <c r="B835" s="53"/>
      <c r="C835" s="4"/>
      <c r="D835" s="5"/>
    </row>
    <row r="836" spans="1:4" s="64" customFormat="1" x14ac:dyDescent="0.35">
      <c r="A836" s="6"/>
      <c r="B836" s="53"/>
      <c r="C836" s="4"/>
      <c r="D836" s="5"/>
    </row>
    <row r="837" spans="1:4" s="64" customFormat="1" x14ac:dyDescent="0.35">
      <c r="A837" s="6"/>
      <c r="B837" s="53"/>
      <c r="C837" s="4"/>
      <c r="D837" s="5"/>
    </row>
    <row r="838" spans="1:4" s="64" customFormat="1" x14ac:dyDescent="0.35">
      <c r="A838" s="6"/>
      <c r="B838" s="53"/>
      <c r="C838" s="4"/>
      <c r="D838" s="5"/>
    </row>
    <row r="839" spans="1:4" s="64" customFormat="1" x14ac:dyDescent="0.35">
      <c r="A839" s="6"/>
      <c r="B839" s="53"/>
      <c r="C839" s="4"/>
      <c r="D839" s="5"/>
    </row>
    <row r="840" spans="1:4" s="64" customFormat="1" x14ac:dyDescent="0.35">
      <c r="A840" s="6"/>
      <c r="B840" s="53"/>
      <c r="C840" s="4"/>
      <c r="D840" s="5"/>
    </row>
    <row r="841" spans="1:4" s="64" customFormat="1" x14ac:dyDescent="0.35">
      <c r="A841" s="6"/>
      <c r="B841" s="53"/>
      <c r="C841" s="4"/>
      <c r="D841" s="5"/>
    </row>
    <row r="842" spans="1:4" s="64" customFormat="1" x14ac:dyDescent="0.35">
      <c r="A842" s="6"/>
      <c r="B842" s="53"/>
      <c r="C842" s="4"/>
      <c r="D842" s="5"/>
    </row>
    <row r="843" spans="1:4" s="64" customFormat="1" x14ac:dyDescent="0.35">
      <c r="A843" s="6"/>
      <c r="B843" s="53"/>
      <c r="C843" s="4"/>
      <c r="D843" s="5"/>
    </row>
    <row r="844" spans="1:4" s="64" customFormat="1" x14ac:dyDescent="0.35">
      <c r="A844" s="6"/>
      <c r="B844" s="53"/>
      <c r="C844" s="4"/>
      <c r="D844" s="5"/>
    </row>
    <row r="845" spans="1:4" s="64" customFormat="1" x14ac:dyDescent="0.35">
      <c r="A845" s="6"/>
      <c r="B845" s="53"/>
      <c r="C845" s="4"/>
      <c r="D845" s="5"/>
    </row>
    <row r="846" spans="1:4" s="64" customFormat="1" x14ac:dyDescent="0.35">
      <c r="A846" s="6"/>
      <c r="B846" s="53"/>
      <c r="C846" s="4"/>
      <c r="D846" s="5"/>
    </row>
    <row r="847" spans="1:4" s="64" customFormat="1" x14ac:dyDescent="0.35">
      <c r="A847" s="6"/>
      <c r="B847" s="53"/>
      <c r="C847" s="4"/>
      <c r="D847" s="5"/>
    </row>
    <row r="848" spans="1:4" s="64" customFormat="1" x14ac:dyDescent="0.35">
      <c r="A848" s="6"/>
      <c r="B848" s="53"/>
      <c r="C848" s="4"/>
      <c r="D848" s="5"/>
    </row>
    <row r="849" spans="1:4" s="64" customFormat="1" x14ac:dyDescent="0.35">
      <c r="A849" s="6"/>
      <c r="B849" s="53"/>
      <c r="C849" s="4"/>
      <c r="D849" s="5"/>
    </row>
    <row r="850" spans="1:4" s="64" customFormat="1" x14ac:dyDescent="0.35">
      <c r="A850" s="6"/>
      <c r="B850" s="53"/>
      <c r="C850" s="4"/>
      <c r="D850" s="5"/>
    </row>
    <row r="851" spans="1:4" s="64" customFormat="1" x14ac:dyDescent="0.35">
      <c r="A851" s="6"/>
      <c r="B851" s="53"/>
      <c r="C851" s="4"/>
      <c r="D851" s="5"/>
    </row>
    <row r="852" spans="1:4" s="64" customFormat="1" x14ac:dyDescent="0.35">
      <c r="A852" s="6"/>
      <c r="B852" s="53"/>
      <c r="C852" s="4"/>
      <c r="D852" s="5"/>
    </row>
    <row r="853" spans="1:4" s="64" customFormat="1" x14ac:dyDescent="0.35">
      <c r="A853" s="6"/>
      <c r="B853" s="53"/>
      <c r="C853" s="4"/>
      <c r="D853" s="5"/>
    </row>
    <row r="854" spans="1:4" s="64" customFormat="1" x14ac:dyDescent="0.35">
      <c r="A854" s="6"/>
      <c r="B854" s="53"/>
      <c r="C854" s="4"/>
      <c r="D854" s="5"/>
    </row>
    <row r="855" spans="1:4" s="64" customFormat="1" x14ac:dyDescent="0.35">
      <c r="A855" s="6"/>
      <c r="B855" s="53"/>
      <c r="C855" s="4"/>
      <c r="D855" s="5"/>
    </row>
    <row r="856" spans="1:4" s="64" customFormat="1" x14ac:dyDescent="0.35">
      <c r="A856" s="6"/>
      <c r="B856" s="53"/>
      <c r="C856" s="4"/>
      <c r="D856" s="5"/>
    </row>
    <row r="857" spans="1:4" s="64" customFormat="1" x14ac:dyDescent="0.35">
      <c r="A857" s="6"/>
      <c r="B857" s="53"/>
      <c r="C857" s="4"/>
      <c r="D857" s="5"/>
    </row>
    <row r="858" spans="1:4" s="64" customFormat="1" x14ac:dyDescent="0.35">
      <c r="A858" s="6"/>
      <c r="B858" s="53"/>
      <c r="C858" s="4"/>
      <c r="D858" s="5"/>
    </row>
    <row r="859" spans="1:4" s="64" customFormat="1" x14ac:dyDescent="0.35">
      <c r="A859" s="6"/>
      <c r="B859" s="53"/>
      <c r="C859" s="4"/>
      <c r="D859" s="5"/>
    </row>
    <row r="860" spans="1:4" s="64" customFormat="1" x14ac:dyDescent="0.35">
      <c r="A860" s="6"/>
      <c r="B860" s="53"/>
      <c r="C860" s="4"/>
      <c r="D860" s="5"/>
    </row>
    <row r="861" spans="1:4" s="64" customFormat="1" x14ac:dyDescent="0.35">
      <c r="A861" s="6"/>
      <c r="B861" s="53"/>
      <c r="C861" s="4"/>
      <c r="D861" s="5"/>
    </row>
    <row r="862" spans="1:4" s="64" customFormat="1" x14ac:dyDescent="0.35">
      <c r="A862" s="6"/>
      <c r="B862" s="53"/>
      <c r="C862" s="4"/>
      <c r="D862" s="5"/>
    </row>
    <row r="863" spans="1:4" s="64" customFormat="1" x14ac:dyDescent="0.35">
      <c r="A863" s="6"/>
      <c r="B863" s="53"/>
      <c r="C863" s="4"/>
      <c r="D863" s="5"/>
    </row>
    <row r="864" spans="1:4" s="64" customFormat="1" x14ac:dyDescent="0.35">
      <c r="A864" s="6"/>
      <c r="B864" s="53"/>
      <c r="C864" s="4"/>
      <c r="D864" s="5"/>
    </row>
    <row r="865" spans="1:4" s="64" customFormat="1" x14ac:dyDescent="0.35">
      <c r="A865" s="6"/>
      <c r="B865" s="53"/>
      <c r="C865" s="4"/>
      <c r="D865" s="5"/>
    </row>
    <row r="866" spans="1:4" s="64" customFormat="1" x14ac:dyDescent="0.35">
      <c r="A866" s="6"/>
      <c r="B866" s="53"/>
      <c r="C866" s="4"/>
      <c r="D866" s="5"/>
    </row>
    <row r="867" spans="1:4" s="64" customFormat="1" x14ac:dyDescent="0.35">
      <c r="A867" s="6"/>
      <c r="B867" s="53"/>
      <c r="C867" s="4"/>
      <c r="D867" s="5"/>
    </row>
    <row r="868" spans="1:4" s="64" customFormat="1" x14ac:dyDescent="0.35">
      <c r="A868" s="6"/>
      <c r="B868" s="53"/>
      <c r="C868" s="4"/>
      <c r="D868" s="5"/>
    </row>
    <row r="869" spans="1:4" s="64" customFormat="1" x14ac:dyDescent="0.35">
      <c r="A869" s="6"/>
      <c r="B869" s="53"/>
      <c r="C869" s="4"/>
      <c r="D869" s="5"/>
    </row>
    <row r="870" spans="1:4" s="64" customFormat="1" x14ac:dyDescent="0.35">
      <c r="A870" s="6"/>
      <c r="B870" s="53"/>
      <c r="C870" s="4"/>
      <c r="D870" s="5"/>
    </row>
    <row r="871" spans="1:4" s="64" customFormat="1" x14ac:dyDescent="0.35">
      <c r="A871" s="6"/>
      <c r="B871" s="53"/>
      <c r="C871" s="4"/>
      <c r="D871" s="5"/>
    </row>
    <row r="872" spans="1:4" s="64" customFormat="1" x14ac:dyDescent="0.35">
      <c r="A872" s="6"/>
      <c r="B872" s="53"/>
      <c r="C872" s="4"/>
      <c r="D872" s="5"/>
    </row>
    <row r="873" spans="1:4" s="64" customFormat="1" x14ac:dyDescent="0.35">
      <c r="A873" s="6"/>
      <c r="B873" s="53"/>
      <c r="C873" s="4"/>
      <c r="D873" s="5"/>
    </row>
    <row r="874" spans="1:4" s="64" customFormat="1" x14ac:dyDescent="0.35">
      <c r="A874" s="6"/>
      <c r="B874" s="53"/>
      <c r="C874" s="4"/>
      <c r="D874" s="5"/>
    </row>
    <row r="875" spans="1:4" s="64" customFormat="1" x14ac:dyDescent="0.35">
      <c r="A875" s="6"/>
      <c r="B875" s="53"/>
      <c r="C875" s="4"/>
      <c r="D875" s="5"/>
    </row>
    <row r="876" spans="1:4" s="64" customFormat="1" x14ac:dyDescent="0.35">
      <c r="A876" s="6"/>
      <c r="B876" s="53"/>
      <c r="C876" s="4"/>
      <c r="D876" s="5"/>
    </row>
    <row r="877" spans="1:4" s="64" customFormat="1" x14ac:dyDescent="0.35">
      <c r="A877" s="6"/>
      <c r="B877" s="53"/>
      <c r="C877" s="4"/>
      <c r="D877" s="5"/>
    </row>
    <row r="878" spans="1:4" s="64" customFormat="1" x14ac:dyDescent="0.35">
      <c r="A878" s="6"/>
      <c r="B878" s="53"/>
      <c r="C878" s="4"/>
      <c r="D878" s="5"/>
    </row>
    <row r="879" spans="1:4" s="64" customFormat="1" x14ac:dyDescent="0.35">
      <c r="A879" s="6"/>
      <c r="B879" s="53"/>
      <c r="C879" s="4"/>
      <c r="D879" s="5"/>
    </row>
    <row r="880" spans="1:4" s="64" customFormat="1" x14ac:dyDescent="0.35">
      <c r="A880" s="6"/>
      <c r="B880" s="53"/>
      <c r="C880" s="4"/>
      <c r="D880" s="5"/>
    </row>
    <row r="881" spans="1:4" s="64" customFormat="1" x14ac:dyDescent="0.35">
      <c r="A881" s="6"/>
      <c r="B881" s="53"/>
      <c r="C881" s="4"/>
      <c r="D881" s="5"/>
    </row>
    <row r="882" spans="1:4" s="64" customFormat="1" x14ac:dyDescent="0.35">
      <c r="A882" s="6"/>
      <c r="B882" s="53"/>
      <c r="C882" s="4"/>
      <c r="D882" s="5"/>
    </row>
    <row r="883" spans="1:4" s="64" customFormat="1" x14ac:dyDescent="0.35">
      <c r="A883" s="6"/>
      <c r="B883" s="53"/>
      <c r="C883" s="4"/>
      <c r="D883" s="5"/>
    </row>
    <row r="884" spans="1:4" s="64" customFormat="1" x14ac:dyDescent="0.35">
      <c r="A884" s="6"/>
      <c r="B884" s="53"/>
      <c r="C884" s="4"/>
      <c r="D884" s="5"/>
    </row>
    <row r="885" spans="1:4" s="64" customFormat="1" x14ac:dyDescent="0.35">
      <c r="A885" s="6"/>
      <c r="B885" s="53"/>
      <c r="C885" s="4"/>
      <c r="D885" s="5"/>
    </row>
    <row r="886" spans="1:4" s="64" customFormat="1" x14ac:dyDescent="0.35">
      <c r="A886" s="6"/>
      <c r="B886" s="53"/>
      <c r="C886" s="4"/>
      <c r="D886" s="5"/>
    </row>
    <row r="887" spans="1:4" s="64" customFormat="1" x14ac:dyDescent="0.35">
      <c r="A887" s="6"/>
      <c r="B887" s="53"/>
      <c r="C887" s="4"/>
      <c r="D887" s="5"/>
    </row>
    <row r="888" spans="1:4" s="64" customFormat="1" x14ac:dyDescent="0.35">
      <c r="A888" s="6"/>
      <c r="B888" s="53"/>
      <c r="C888" s="4"/>
      <c r="D888" s="5"/>
    </row>
    <row r="889" spans="1:4" s="64" customFormat="1" x14ac:dyDescent="0.35">
      <c r="A889" s="6"/>
      <c r="B889" s="53"/>
      <c r="C889" s="4"/>
      <c r="D889" s="5"/>
    </row>
    <row r="890" spans="1:4" s="64" customFormat="1" x14ac:dyDescent="0.35">
      <c r="A890" s="6"/>
      <c r="B890" s="53"/>
      <c r="C890" s="4"/>
      <c r="D890" s="5"/>
    </row>
    <row r="891" spans="1:4" s="64" customFormat="1" x14ac:dyDescent="0.35">
      <c r="A891" s="6"/>
      <c r="B891" s="53"/>
      <c r="C891" s="4"/>
      <c r="D891" s="5"/>
    </row>
    <row r="892" spans="1:4" s="64" customFormat="1" x14ac:dyDescent="0.35">
      <c r="A892" s="6"/>
      <c r="B892" s="53"/>
      <c r="C892" s="4"/>
      <c r="D892" s="5"/>
    </row>
    <row r="893" spans="1:4" s="64" customFormat="1" x14ac:dyDescent="0.35">
      <c r="A893" s="6"/>
      <c r="B893" s="53"/>
      <c r="C893" s="4"/>
      <c r="D893" s="5"/>
    </row>
    <row r="894" spans="1:4" s="64" customFormat="1" x14ac:dyDescent="0.35">
      <c r="A894" s="6"/>
      <c r="B894" s="53"/>
      <c r="C894" s="4"/>
      <c r="D894" s="5"/>
    </row>
    <row r="895" spans="1:4" s="64" customFormat="1" x14ac:dyDescent="0.35">
      <c r="A895" s="6"/>
      <c r="B895" s="53"/>
      <c r="C895" s="4"/>
      <c r="D895" s="5"/>
    </row>
    <row r="896" spans="1:4" s="64" customFormat="1" x14ac:dyDescent="0.35">
      <c r="A896" s="6"/>
      <c r="B896" s="53"/>
      <c r="C896" s="4"/>
      <c r="D896" s="5"/>
    </row>
    <row r="897" spans="1:4" s="64" customFormat="1" x14ac:dyDescent="0.35">
      <c r="A897" s="6"/>
      <c r="B897" s="53"/>
      <c r="C897" s="4"/>
      <c r="D897" s="5"/>
    </row>
    <row r="898" spans="1:4" s="64" customFormat="1" x14ac:dyDescent="0.35">
      <c r="A898" s="6"/>
      <c r="B898" s="53"/>
      <c r="C898" s="4"/>
      <c r="D898" s="5"/>
    </row>
    <row r="899" spans="1:4" s="64" customFormat="1" x14ac:dyDescent="0.35">
      <c r="A899" s="6"/>
      <c r="B899" s="53"/>
      <c r="C899" s="4"/>
      <c r="D899" s="5"/>
    </row>
    <row r="900" spans="1:4" s="64" customFormat="1" x14ac:dyDescent="0.35">
      <c r="A900" s="6"/>
      <c r="B900" s="53"/>
      <c r="C900" s="4"/>
      <c r="D900" s="5"/>
    </row>
    <row r="901" spans="1:4" s="64" customFormat="1" x14ac:dyDescent="0.35">
      <c r="A901" s="6"/>
      <c r="B901" s="53"/>
      <c r="C901" s="4"/>
      <c r="D901" s="5"/>
    </row>
    <row r="902" spans="1:4" s="64" customFormat="1" x14ac:dyDescent="0.35">
      <c r="A902" s="6"/>
      <c r="B902" s="53"/>
      <c r="C902" s="4"/>
      <c r="D902" s="5"/>
    </row>
    <row r="903" spans="1:4" s="64" customFormat="1" x14ac:dyDescent="0.35">
      <c r="A903" s="6"/>
      <c r="B903" s="53"/>
      <c r="C903" s="4"/>
      <c r="D903" s="5"/>
    </row>
    <row r="904" spans="1:4" s="64" customFormat="1" x14ac:dyDescent="0.35">
      <c r="A904" s="6"/>
      <c r="B904" s="53"/>
      <c r="C904" s="4"/>
      <c r="D904" s="5"/>
    </row>
    <row r="905" spans="1:4" s="64" customFormat="1" x14ac:dyDescent="0.35">
      <c r="A905" s="6"/>
      <c r="B905" s="53"/>
      <c r="C905" s="4"/>
      <c r="D905" s="5"/>
    </row>
    <row r="906" spans="1:4" s="64" customFormat="1" x14ac:dyDescent="0.35">
      <c r="A906" s="6"/>
      <c r="B906" s="53"/>
      <c r="C906" s="4"/>
      <c r="D906" s="5"/>
    </row>
    <row r="907" spans="1:4" s="64" customFormat="1" x14ac:dyDescent="0.35">
      <c r="A907" s="6"/>
      <c r="B907" s="53"/>
      <c r="C907" s="4"/>
      <c r="D907" s="5"/>
    </row>
    <row r="908" spans="1:4" s="64" customFormat="1" x14ac:dyDescent="0.35">
      <c r="A908" s="6"/>
      <c r="B908" s="53"/>
      <c r="C908" s="4"/>
      <c r="D908" s="5"/>
    </row>
    <row r="909" spans="1:4" s="64" customFormat="1" x14ac:dyDescent="0.35">
      <c r="A909" s="6"/>
      <c r="B909" s="53"/>
      <c r="C909" s="4"/>
      <c r="D909" s="5"/>
    </row>
    <row r="910" spans="1:4" s="64" customFormat="1" x14ac:dyDescent="0.35">
      <c r="A910" s="6"/>
      <c r="B910" s="53"/>
      <c r="C910" s="4"/>
      <c r="D910" s="5"/>
    </row>
    <row r="911" spans="1:4" s="64" customFormat="1" x14ac:dyDescent="0.35">
      <c r="A911" s="6"/>
      <c r="B911" s="53"/>
      <c r="C911" s="4"/>
      <c r="D911" s="5"/>
    </row>
    <row r="912" spans="1:4" s="64" customFormat="1" x14ac:dyDescent="0.35">
      <c r="A912" s="6"/>
      <c r="B912" s="53"/>
      <c r="C912" s="4"/>
      <c r="D912" s="5"/>
    </row>
    <row r="913" spans="1:4" s="64" customFormat="1" x14ac:dyDescent="0.35">
      <c r="A913" s="6"/>
      <c r="B913" s="53"/>
      <c r="C913" s="4"/>
      <c r="D913" s="5"/>
    </row>
    <row r="914" spans="1:4" s="64" customFormat="1" x14ac:dyDescent="0.35">
      <c r="A914" s="6"/>
      <c r="B914" s="53"/>
      <c r="C914" s="4"/>
      <c r="D914" s="5"/>
    </row>
    <row r="915" spans="1:4" s="64" customFormat="1" x14ac:dyDescent="0.35">
      <c r="A915" s="6"/>
      <c r="B915" s="53"/>
      <c r="C915" s="4"/>
      <c r="D915" s="5"/>
    </row>
    <row r="916" spans="1:4" s="64" customFormat="1" x14ac:dyDescent="0.35">
      <c r="A916" s="6"/>
      <c r="B916" s="53"/>
      <c r="C916" s="4"/>
      <c r="D916" s="5"/>
    </row>
    <row r="917" spans="1:4" s="64" customFormat="1" x14ac:dyDescent="0.35">
      <c r="A917" s="6"/>
      <c r="B917" s="53"/>
      <c r="C917" s="4"/>
      <c r="D917" s="5"/>
    </row>
    <row r="918" spans="1:4" s="64" customFormat="1" x14ac:dyDescent="0.35">
      <c r="A918" s="6"/>
      <c r="B918" s="53"/>
      <c r="C918" s="4"/>
      <c r="D918" s="5"/>
    </row>
    <row r="919" spans="1:4" s="64" customFormat="1" x14ac:dyDescent="0.35">
      <c r="A919" s="6"/>
      <c r="B919" s="53"/>
      <c r="C919" s="4"/>
      <c r="D919" s="5"/>
    </row>
    <row r="920" spans="1:4" s="64" customFormat="1" x14ac:dyDescent="0.35">
      <c r="A920" s="6"/>
      <c r="B920" s="53"/>
      <c r="C920" s="4"/>
      <c r="D920" s="5"/>
    </row>
    <row r="921" spans="1:4" s="64" customFormat="1" x14ac:dyDescent="0.35">
      <c r="A921" s="6"/>
      <c r="B921" s="53"/>
      <c r="C921" s="4"/>
      <c r="D921" s="5"/>
    </row>
    <row r="922" spans="1:4" s="64" customFormat="1" x14ac:dyDescent="0.35">
      <c r="A922" s="6"/>
      <c r="B922" s="53"/>
      <c r="C922" s="4"/>
      <c r="D922" s="5"/>
    </row>
    <row r="923" spans="1:4" s="64" customFormat="1" x14ac:dyDescent="0.35">
      <c r="A923" s="6"/>
      <c r="B923" s="53"/>
      <c r="C923" s="4"/>
      <c r="D923" s="5"/>
    </row>
    <row r="924" spans="1:4" s="64" customFormat="1" x14ac:dyDescent="0.35">
      <c r="A924" s="6"/>
      <c r="B924" s="53"/>
      <c r="C924" s="4"/>
      <c r="D924" s="5"/>
    </row>
    <row r="925" spans="1:4" s="64" customFormat="1" x14ac:dyDescent="0.35">
      <c r="A925" s="6"/>
      <c r="B925" s="53"/>
      <c r="C925" s="4"/>
      <c r="D925" s="5"/>
    </row>
    <row r="926" spans="1:4" s="64" customFormat="1" x14ac:dyDescent="0.35">
      <c r="A926" s="6"/>
      <c r="B926" s="53"/>
      <c r="C926" s="4"/>
      <c r="D926" s="5"/>
    </row>
    <row r="927" spans="1:4" s="64" customFormat="1" x14ac:dyDescent="0.35">
      <c r="A927" s="6"/>
      <c r="B927" s="53"/>
      <c r="C927" s="4"/>
      <c r="D927" s="5"/>
    </row>
    <row r="928" spans="1:4" s="64" customFormat="1" x14ac:dyDescent="0.35">
      <c r="A928" s="6"/>
      <c r="B928" s="53"/>
      <c r="C928" s="4"/>
      <c r="D928" s="5"/>
    </row>
    <row r="929" spans="1:4" s="64" customFormat="1" x14ac:dyDescent="0.35">
      <c r="A929" s="6"/>
      <c r="B929" s="53"/>
      <c r="C929" s="4"/>
      <c r="D929" s="5"/>
    </row>
    <row r="930" spans="1:4" s="64" customFormat="1" x14ac:dyDescent="0.35">
      <c r="A930" s="6"/>
      <c r="B930" s="53"/>
      <c r="C930" s="4"/>
      <c r="D930" s="5"/>
    </row>
    <row r="931" spans="1:4" s="64" customFormat="1" x14ac:dyDescent="0.35">
      <c r="A931" s="6"/>
      <c r="B931" s="53"/>
      <c r="C931" s="4"/>
      <c r="D931" s="5"/>
    </row>
    <row r="932" spans="1:4" s="64" customFormat="1" x14ac:dyDescent="0.35">
      <c r="A932" s="6"/>
      <c r="B932" s="53"/>
      <c r="C932" s="4"/>
      <c r="D932" s="5"/>
    </row>
    <row r="933" spans="1:4" s="64" customFormat="1" x14ac:dyDescent="0.35">
      <c r="A933" s="6"/>
      <c r="B933" s="53"/>
      <c r="C933" s="4"/>
      <c r="D933" s="5"/>
    </row>
    <row r="934" spans="1:4" s="64" customFormat="1" x14ac:dyDescent="0.35">
      <c r="A934" s="6"/>
      <c r="B934" s="53"/>
      <c r="C934" s="4"/>
      <c r="D934" s="5"/>
    </row>
    <row r="935" spans="1:4" s="64" customFormat="1" x14ac:dyDescent="0.35">
      <c r="A935" s="6"/>
      <c r="B935" s="53"/>
      <c r="C935" s="4"/>
      <c r="D935" s="5"/>
    </row>
    <row r="936" spans="1:4" s="64" customFormat="1" x14ac:dyDescent="0.35">
      <c r="A936" s="6"/>
      <c r="B936" s="53"/>
      <c r="C936" s="4"/>
      <c r="D936" s="5"/>
    </row>
    <row r="937" spans="1:4" s="64" customFormat="1" x14ac:dyDescent="0.35">
      <c r="A937" s="6"/>
      <c r="B937" s="53"/>
      <c r="C937" s="4"/>
      <c r="D937" s="5"/>
    </row>
    <row r="938" spans="1:4" s="64" customFormat="1" x14ac:dyDescent="0.35">
      <c r="A938" s="6"/>
      <c r="B938" s="53"/>
      <c r="C938" s="4"/>
      <c r="D938" s="5"/>
    </row>
    <row r="939" spans="1:4" s="64" customFormat="1" x14ac:dyDescent="0.35">
      <c r="A939" s="6"/>
      <c r="B939" s="53"/>
      <c r="C939" s="4"/>
      <c r="D939" s="5"/>
    </row>
    <row r="940" spans="1:4" s="64" customFormat="1" x14ac:dyDescent="0.35">
      <c r="A940" s="6"/>
      <c r="B940" s="53"/>
      <c r="C940" s="4"/>
      <c r="D940" s="5"/>
    </row>
    <row r="941" spans="1:4" s="64" customFormat="1" x14ac:dyDescent="0.35">
      <c r="A941" s="6"/>
      <c r="B941" s="53"/>
      <c r="C941" s="4"/>
      <c r="D941" s="5"/>
    </row>
    <row r="942" spans="1:4" s="64" customFormat="1" x14ac:dyDescent="0.35">
      <c r="A942" s="6"/>
      <c r="B942" s="53"/>
      <c r="C942" s="4"/>
      <c r="D942" s="5"/>
    </row>
    <row r="943" spans="1:4" s="64" customFormat="1" x14ac:dyDescent="0.35">
      <c r="A943" s="6"/>
      <c r="B943" s="53"/>
      <c r="C943" s="4"/>
      <c r="D943" s="5"/>
    </row>
    <row r="944" spans="1:4" s="64" customFormat="1" x14ac:dyDescent="0.35">
      <c r="A944" s="6"/>
      <c r="B944" s="53"/>
      <c r="C944" s="4"/>
      <c r="D944" s="5"/>
    </row>
    <row r="945" spans="1:4" s="64" customFormat="1" x14ac:dyDescent="0.35">
      <c r="A945" s="6"/>
      <c r="B945" s="53"/>
      <c r="C945" s="4"/>
      <c r="D945" s="5"/>
    </row>
    <row r="946" spans="1:4" s="64" customFormat="1" x14ac:dyDescent="0.35">
      <c r="A946" s="6"/>
      <c r="B946" s="53"/>
      <c r="C946" s="4"/>
      <c r="D946" s="5"/>
    </row>
    <row r="947" spans="1:4" s="64" customFormat="1" x14ac:dyDescent="0.35">
      <c r="A947" s="6"/>
      <c r="B947" s="53"/>
      <c r="C947" s="4"/>
      <c r="D947" s="5"/>
    </row>
    <row r="948" spans="1:4" s="64" customFormat="1" x14ac:dyDescent="0.35">
      <c r="A948" s="6"/>
      <c r="B948" s="53"/>
      <c r="C948" s="4"/>
      <c r="D948" s="5"/>
    </row>
    <row r="949" spans="1:4" s="64" customFormat="1" x14ac:dyDescent="0.35">
      <c r="A949" s="6"/>
      <c r="B949" s="53"/>
      <c r="C949" s="4"/>
      <c r="D949" s="5"/>
    </row>
    <row r="950" spans="1:4" s="64" customFormat="1" x14ac:dyDescent="0.35">
      <c r="A950" s="6"/>
      <c r="B950" s="53"/>
      <c r="C950" s="4"/>
      <c r="D950" s="5"/>
    </row>
    <row r="951" spans="1:4" s="64" customFormat="1" x14ac:dyDescent="0.35">
      <c r="A951" s="6"/>
      <c r="B951" s="53"/>
      <c r="C951" s="4"/>
      <c r="D951" s="5"/>
    </row>
    <row r="952" spans="1:4" s="64" customFormat="1" x14ac:dyDescent="0.35">
      <c r="A952" s="6"/>
      <c r="B952" s="53"/>
      <c r="C952" s="4"/>
      <c r="D952" s="5"/>
    </row>
    <row r="953" spans="1:4" s="64" customFormat="1" x14ac:dyDescent="0.35">
      <c r="A953" s="6"/>
      <c r="B953" s="53"/>
      <c r="C953" s="4"/>
      <c r="D953" s="5"/>
    </row>
    <row r="954" spans="1:4" s="64" customFormat="1" x14ac:dyDescent="0.35">
      <c r="A954" s="6"/>
      <c r="B954" s="53"/>
      <c r="C954" s="4"/>
      <c r="D954" s="5"/>
    </row>
    <row r="955" spans="1:4" s="64" customFormat="1" x14ac:dyDescent="0.35">
      <c r="A955" s="6"/>
      <c r="B955" s="53"/>
      <c r="C955" s="4"/>
      <c r="D955" s="5"/>
    </row>
    <row r="956" spans="1:4" s="64" customFormat="1" x14ac:dyDescent="0.35">
      <c r="A956" s="6"/>
      <c r="B956" s="53"/>
      <c r="C956" s="4"/>
      <c r="D956" s="5"/>
    </row>
    <row r="957" spans="1:4" s="64" customFormat="1" x14ac:dyDescent="0.35">
      <c r="A957" s="6"/>
      <c r="B957" s="53"/>
      <c r="C957" s="4"/>
      <c r="D957" s="5"/>
    </row>
    <row r="958" spans="1:4" s="64" customFormat="1" x14ac:dyDescent="0.35">
      <c r="A958" s="6"/>
      <c r="B958" s="53"/>
      <c r="C958" s="4"/>
      <c r="D958" s="5"/>
    </row>
    <row r="959" spans="1:4" s="64" customFormat="1" x14ac:dyDescent="0.35">
      <c r="A959" s="6"/>
      <c r="B959" s="53"/>
      <c r="C959" s="4"/>
      <c r="D959" s="5"/>
    </row>
    <row r="960" spans="1:4" s="64" customFormat="1" x14ac:dyDescent="0.35">
      <c r="A960" s="6"/>
      <c r="B960" s="53"/>
      <c r="C960" s="4"/>
      <c r="D960" s="5"/>
    </row>
    <row r="961" spans="1:4" s="64" customFormat="1" x14ac:dyDescent="0.35">
      <c r="A961" s="6"/>
      <c r="B961" s="53"/>
      <c r="C961" s="4"/>
      <c r="D961" s="5"/>
    </row>
    <row r="962" spans="1:4" s="64" customFormat="1" x14ac:dyDescent="0.35">
      <c r="A962" s="6"/>
      <c r="B962" s="53"/>
      <c r="C962" s="4"/>
      <c r="D962" s="5"/>
    </row>
    <row r="963" spans="1:4" s="64" customFormat="1" x14ac:dyDescent="0.35">
      <c r="A963" s="6"/>
      <c r="B963" s="53"/>
      <c r="C963" s="4"/>
      <c r="D963" s="5"/>
    </row>
    <row r="964" spans="1:4" s="64" customFormat="1" x14ac:dyDescent="0.35">
      <c r="A964" s="6"/>
      <c r="B964" s="53"/>
      <c r="C964" s="4"/>
      <c r="D964" s="5"/>
    </row>
    <row r="965" spans="1:4" s="64" customFormat="1" x14ac:dyDescent="0.35">
      <c r="A965" s="6"/>
      <c r="B965" s="53"/>
      <c r="C965" s="4"/>
      <c r="D965" s="5"/>
    </row>
    <row r="966" spans="1:4" s="64" customFormat="1" x14ac:dyDescent="0.35">
      <c r="A966" s="6"/>
      <c r="B966" s="53"/>
      <c r="C966" s="4"/>
      <c r="D966" s="5"/>
    </row>
    <row r="967" spans="1:4" s="64" customFormat="1" x14ac:dyDescent="0.35">
      <c r="A967" s="6"/>
      <c r="B967" s="53"/>
      <c r="C967" s="4"/>
      <c r="D967" s="5"/>
    </row>
    <row r="968" spans="1:4" s="64" customFormat="1" x14ac:dyDescent="0.35">
      <c r="A968" s="6"/>
      <c r="B968" s="53"/>
      <c r="C968" s="4"/>
      <c r="D968" s="5"/>
    </row>
    <row r="969" spans="1:4" s="64" customFormat="1" x14ac:dyDescent="0.35">
      <c r="A969" s="6"/>
      <c r="B969" s="53"/>
      <c r="C969" s="4"/>
      <c r="D969" s="5"/>
    </row>
    <row r="970" spans="1:4" s="64" customFormat="1" x14ac:dyDescent="0.35">
      <c r="A970" s="6"/>
      <c r="B970" s="53"/>
      <c r="C970" s="4"/>
      <c r="D970" s="5"/>
    </row>
    <row r="971" spans="1:4" s="64" customFormat="1" x14ac:dyDescent="0.35">
      <c r="A971" s="6"/>
      <c r="B971" s="53"/>
      <c r="C971" s="4"/>
      <c r="D971" s="5"/>
    </row>
    <row r="972" spans="1:4" s="64" customFormat="1" x14ac:dyDescent="0.35">
      <c r="A972" s="6"/>
      <c r="B972" s="53"/>
      <c r="C972" s="4"/>
      <c r="D972" s="5"/>
    </row>
    <row r="973" spans="1:4" s="64" customFormat="1" x14ac:dyDescent="0.35">
      <c r="A973" s="6"/>
      <c r="B973" s="53"/>
      <c r="C973" s="4"/>
      <c r="D973" s="5"/>
    </row>
    <row r="974" spans="1:4" s="64" customFormat="1" x14ac:dyDescent="0.35">
      <c r="A974" s="6"/>
      <c r="B974" s="53"/>
      <c r="C974" s="4"/>
      <c r="D974" s="5"/>
    </row>
    <row r="975" spans="1:4" s="64" customFormat="1" x14ac:dyDescent="0.35">
      <c r="A975" s="6"/>
      <c r="B975" s="53"/>
      <c r="C975" s="4"/>
      <c r="D975" s="5"/>
    </row>
    <row r="976" spans="1:4" s="64" customFormat="1" x14ac:dyDescent="0.35">
      <c r="A976" s="6"/>
      <c r="B976" s="53"/>
      <c r="C976" s="4"/>
      <c r="D976" s="5"/>
    </row>
    <row r="977" spans="1:4" s="64" customFormat="1" x14ac:dyDescent="0.35">
      <c r="A977" s="6"/>
      <c r="B977" s="53"/>
      <c r="C977" s="4"/>
      <c r="D977" s="5"/>
    </row>
    <row r="978" spans="1:4" s="64" customFormat="1" x14ac:dyDescent="0.35">
      <c r="A978" s="6"/>
      <c r="B978" s="53"/>
      <c r="C978" s="4"/>
      <c r="D978" s="5"/>
    </row>
    <row r="979" spans="1:4" s="64" customFormat="1" x14ac:dyDescent="0.35">
      <c r="A979" s="6"/>
      <c r="B979" s="53"/>
      <c r="C979" s="4"/>
      <c r="D979" s="5"/>
    </row>
    <row r="980" spans="1:4" s="64" customFormat="1" x14ac:dyDescent="0.35">
      <c r="A980" s="6"/>
      <c r="B980" s="53"/>
      <c r="C980" s="4"/>
      <c r="D980" s="5"/>
    </row>
    <row r="981" spans="1:4" s="64" customFormat="1" x14ac:dyDescent="0.35">
      <c r="A981" s="6"/>
      <c r="B981" s="53"/>
      <c r="C981" s="4"/>
      <c r="D981" s="5"/>
    </row>
    <row r="982" spans="1:4" s="64" customFormat="1" x14ac:dyDescent="0.35">
      <c r="A982" s="6"/>
      <c r="B982" s="53"/>
      <c r="C982" s="4"/>
      <c r="D982" s="5"/>
    </row>
    <row r="983" spans="1:4" s="64" customFormat="1" x14ac:dyDescent="0.35">
      <c r="A983" s="6"/>
      <c r="B983" s="53"/>
      <c r="C983" s="4"/>
      <c r="D983" s="5"/>
    </row>
    <row r="984" spans="1:4" s="64" customFormat="1" x14ac:dyDescent="0.35">
      <c r="A984" s="6"/>
      <c r="B984" s="53"/>
      <c r="C984" s="4"/>
      <c r="D984" s="5"/>
    </row>
    <row r="985" spans="1:4" s="64" customFormat="1" x14ac:dyDescent="0.35">
      <c r="A985" s="6"/>
      <c r="B985" s="53"/>
      <c r="C985" s="4"/>
      <c r="D985" s="5"/>
    </row>
    <row r="986" spans="1:4" s="64" customFormat="1" x14ac:dyDescent="0.35">
      <c r="A986" s="6"/>
      <c r="B986" s="53"/>
      <c r="C986" s="4"/>
      <c r="D986" s="5"/>
    </row>
    <row r="987" spans="1:4" s="64" customFormat="1" x14ac:dyDescent="0.35">
      <c r="A987" s="6"/>
      <c r="B987" s="53"/>
      <c r="C987" s="4"/>
      <c r="D987" s="5"/>
    </row>
    <row r="988" spans="1:4" s="64" customFormat="1" x14ac:dyDescent="0.35">
      <c r="A988" s="6"/>
      <c r="B988" s="53"/>
      <c r="C988" s="4"/>
      <c r="D988" s="5"/>
    </row>
    <row r="989" spans="1:4" s="64" customFormat="1" x14ac:dyDescent="0.35">
      <c r="A989" s="6"/>
      <c r="B989" s="53"/>
      <c r="C989" s="4"/>
      <c r="D989" s="5"/>
    </row>
    <row r="990" spans="1:4" s="64" customFormat="1" x14ac:dyDescent="0.35">
      <c r="A990" s="6"/>
      <c r="B990" s="53"/>
      <c r="C990" s="4"/>
      <c r="D990" s="5"/>
    </row>
    <row r="991" spans="1:4" s="64" customFormat="1" x14ac:dyDescent="0.35">
      <c r="A991" s="6"/>
      <c r="B991" s="53"/>
      <c r="C991" s="4"/>
      <c r="D991" s="5"/>
    </row>
    <row r="992" spans="1:4" s="64" customFormat="1" x14ac:dyDescent="0.35">
      <c r="A992" s="6"/>
      <c r="B992" s="53"/>
      <c r="C992" s="4"/>
      <c r="D992" s="5"/>
    </row>
    <row r="993" spans="1:4" s="64" customFormat="1" x14ac:dyDescent="0.35">
      <c r="A993" s="6"/>
      <c r="B993" s="53"/>
      <c r="C993" s="4"/>
      <c r="D993" s="5"/>
    </row>
    <row r="994" spans="1:4" s="64" customFormat="1" x14ac:dyDescent="0.35">
      <c r="A994" s="6"/>
      <c r="B994" s="53"/>
      <c r="C994" s="4"/>
      <c r="D994" s="5"/>
    </row>
    <row r="995" spans="1:4" s="64" customFormat="1" x14ac:dyDescent="0.35">
      <c r="A995" s="6"/>
      <c r="B995" s="53"/>
      <c r="C995" s="4"/>
      <c r="D995" s="5"/>
    </row>
    <row r="996" spans="1:4" s="64" customFormat="1" x14ac:dyDescent="0.35">
      <c r="A996" s="6"/>
      <c r="B996" s="53"/>
      <c r="C996" s="4"/>
      <c r="D996" s="5"/>
    </row>
    <row r="997" spans="1:4" s="64" customFormat="1" x14ac:dyDescent="0.35">
      <c r="A997" s="6"/>
      <c r="B997" s="53"/>
      <c r="C997" s="4"/>
      <c r="D997" s="5"/>
    </row>
    <row r="998" spans="1:4" s="64" customFormat="1" x14ac:dyDescent="0.35">
      <c r="A998" s="6"/>
      <c r="B998" s="53"/>
      <c r="C998" s="4"/>
      <c r="D998" s="5"/>
    </row>
    <row r="999" spans="1:4" s="64" customFormat="1" x14ac:dyDescent="0.35">
      <c r="A999" s="6"/>
      <c r="B999" s="53"/>
      <c r="C999" s="4"/>
      <c r="D999" s="5"/>
    </row>
    <row r="1000" spans="1:4" s="64" customFormat="1" x14ac:dyDescent="0.35">
      <c r="A1000" s="6"/>
      <c r="B1000" s="53"/>
      <c r="C1000" s="4"/>
      <c r="D1000" s="5"/>
    </row>
    <row r="1001" spans="1:4" s="64" customFormat="1" x14ac:dyDescent="0.35">
      <c r="A1001" s="6"/>
      <c r="B1001" s="53"/>
      <c r="C1001" s="4"/>
      <c r="D1001" s="5"/>
    </row>
    <row r="1002" spans="1:4" s="64" customFormat="1" x14ac:dyDescent="0.35">
      <c r="A1002" s="6"/>
      <c r="B1002" s="53"/>
      <c r="C1002" s="4"/>
      <c r="D1002" s="5"/>
    </row>
    <row r="1003" spans="1:4" s="64" customFormat="1" x14ac:dyDescent="0.35">
      <c r="A1003" s="6"/>
      <c r="B1003" s="53"/>
      <c r="C1003" s="4"/>
      <c r="D1003" s="5"/>
    </row>
    <row r="1004" spans="1:4" s="64" customFormat="1" x14ac:dyDescent="0.35">
      <c r="A1004" s="6"/>
      <c r="B1004" s="53"/>
      <c r="C1004" s="4"/>
      <c r="D1004" s="5"/>
    </row>
    <row r="1005" spans="1:4" s="64" customFormat="1" x14ac:dyDescent="0.35">
      <c r="A1005" s="6"/>
      <c r="B1005" s="53"/>
      <c r="C1005" s="4"/>
      <c r="D1005" s="5"/>
    </row>
    <row r="1006" spans="1:4" s="64" customFormat="1" x14ac:dyDescent="0.35">
      <c r="A1006" s="6"/>
      <c r="B1006" s="53"/>
      <c r="C1006" s="4"/>
      <c r="D1006" s="5"/>
    </row>
    <row r="1007" spans="1:4" s="64" customFormat="1" x14ac:dyDescent="0.35">
      <c r="A1007" s="6"/>
      <c r="B1007" s="53"/>
      <c r="C1007" s="4"/>
      <c r="D1007" s="5"/>
    </row>
    <row r="1008" spans="1:4" s="64" customFormat="1" x14ac:dyDescent="0.35">
      <c r="A1008" s="6"/>
      <c r="B1008" s="53"/>
      <c r="C1008" s="4"/>
      <c r="D1008" s="5"/>
    </row>
    <row r="1009" spans="1:4" s="64" customFormat="1" x14ac:dyDescent="0.35">
      <c r="A1009" s="6"/>
      <c r="B1009" s="53"/>
      <c r="C1009" s="4"/>
      <c r="D1009" s="5"/>
    </row>
    <row r="1010" spans="1:4" s="64" customFormat="1" x14ac:dyDescent="0.35">
      <c r="A1010" s="6"/>
      <c r="B1010" s="53"/>
      <c r="C1010" s="4"/>
      <c r="D1010" s="5"/>
    </row>
    <row r="1011" spans="1:4" s="64" customFormat="1" x14ac:dyDescent="0.35">
      <c r="A1011" s="6"/>
      <c r="B1011" s="53"/>
      <c r="C1011" s="4"/>
      <c r="D1011" s="5"/>
    </row>
    <row r="1012" spans="1:4" s="64" customFormat="1" x14ac:dyDescent="0.35">
      <c r="A1012" s="6"/>
      <c r="B1012" s="53"/>
      <c r="C1012" s="4"/>
      <c r="D1012" s="5"/>
    </row>
    <row r="1013" spans="1:4" s="64" customFormat="1" x14ac:dyDescent="0.35">
      <c r="A1013" s="6"/>
      <c r="B1013" s="53"/>
      <c r="C1013" s="4"/>
      <c r="D1013" s="5"/>
    </row>
    <row r="1014" spans="1:4" s="64" customFormat="1" x14ac:dyDescent="0.35">
      <c r="A1014" s="6"/>
      <c r="B1014" s="53"/>
      <c r="C1014" s="4"/>
      <c r="D1014" s="5"/>
    </row>
    <row r="1015" spans="1:4" s="64" customFormat="1" x14ac:dyDescent="0.35">
      <c r="A1015" s="6"/>
      <c r="B1015" s="53"/>
      <c r="C1015" s="4"/>
      <c r="D1015" s="5"/>
    </row>
    <row r="1016" spans="1:4" s="64" customFormat="1" x14ac:dyDescent="0.35">
      <c r="A1016" s="6"/>
      <c r="B1016" s="53"/>
      <c r="C1016" s="4"/>
      <c r="D1016" s="5"/>
    </row>
    <row r="1017" spans="1:4" s="64" customFormat="1" x14ac:dyDescent="0.35">
      <c r="A1017" s="6"/>
      <c r="B1017" s="53"/>
      <c r="C1017" s="4"/>
      <c r="D1017" s="5"/>
    </row>
    <row r="1018" spans="1:4" s="64" customFormat="1" x14ac:dyDescent="0.35">
      <c r="A1018" s="6"/>
      <c r="B1018" s="53"/>
      <c r="C1018" s="4"/>
      <c r="D1018" s="5"/>
    </row>
    <row r="1019" spans="1:4" s="64" customFormat="1" x14ac:dyDescent="0.35">
      <c r="A1019" s="6"/>
      <c r="B1019" s="53"/>
      <c r="C1019" s="4"/>
      <c r="D1019" s="5"/>
    </row>
    <row r="1020" spans="1:4" s="64" customFormat="1" x14ac:dyDescent="0.35">
      <c r="A1020" s="6"/>
      <c r="B1020" s="53"/>
      <c r="C1020" s="4"/>
      <c r="D1020" s="5"/>
    </row>
    <row r="1021" spans="1:4" s="64" customFormat="1" x14ac:dyDescent="0.35">
      <c r="A1021" s="6"/>
      <c r="B1021" s="53"/>
      <c r="C1021" s="4"/>
      <c r="D1021" s="5"/>
    </row>
    <row r="1022" spans="1:4" s="64" customFormat="1" x14ac:dyDescent="0.35">
      <c r="A1022" s="6"/>
      <c r="B1022" s="53"/>
      <c r="C1022" s="4"/>
      <c r="D1022" s="5"/>
    </row>
    <row r="1023" spans="1:4" s="64" customFormat="1" x14ac:dyDescent="0.35">
      <c r="A1023" s="6"/>
      <c r="B1023" s="53"/>
      <c r="C1023" s="4"/>
      <c r="D1023" s="5"/>
    </row>
    <row r="1024" spans="1:4" s="64" customFormat="1" x14ac:dyDescent="0.35">
      <c r="A1024" s="6"/>
      <c r="B1024" s="53"/>
      <c r="C1024" s="4"/>
      <c r="D1024" s="5"/>
    </row>
    <row r="1025" spans="1:4" s="64" customFormat="1" x14ac:dyDescent="0.35">
      <c r="A1025" s="6"/>
      <c r="B1025" s="53"/>
      <c r="C1025" s="4"/>
      <c r="D1025" s="5"/>
    </row>
    <row r="1026" spans="1:4" s="64" customFormat="1" x14ac:dyDescent="0.35">
      <c r="A1026" s="6"/>
      <c r="B1026" s="53"/>
      <c r="C1026" s="4"/>
      <c r="D1026" s="5"/>
    </row>
    <row r="1027" spans="1:4" s="64" customFormat="1" x14ac:dyDescent="0.35">
      <c r="A1027" s="6"/>
      <c r="B1027" s="53"/>
      <c r="C1027" s="4"/>
      <c r="D1027" s="5"/>
    </row>
    <row r="1028" spans="1:4" s="64" customFormat="1" x14ac:dyDescent="0.35">
      <c r="A1028" s="6"/>
      <c r="B1028" s="53"/>
      <c r="C1028" s="4"/>
      <c r="D1028" s="5"/>
    </row>
    <row r="1029" spans="1:4" s="64" customFormat="1" x14ac:dyDescent="0.35">
      <c r="A1029" s="6"/>
      <c r="B1029" s="53"/>
      <c r="C1029" s="4"/>
      <c r="D1029" s="5"/>
    </row>
    <row r="1030" spans="1:4" s="64" customFormat="1" x14ac:dyDescent="0.35">
      <c r="A1030" s="6"/>
      <c r="B1030" s="53"/>
      <c r="C1030" s="4"/>
      <c r="D1030" s="5"/>
    </row>
    <row r="1031" spans="1:4" s="64" customFormat="1" x14ac:dyDescent="0.35">
      <c r="A1031" s="6"/>
      <c r="B1031" s="53"/>
      <c r="C1031" s="4"/>
      <c r="D1031" s="5"/>
    </row>
    <row r="1032" spans="1:4" s="64" customFormat="1" x14ac:dyDescent="0.35">
      <c r="A1032" s="6"/>
      <c r="B1032" s="53"/>
      <c r="C1032" s="4"/>
      <c r="D1032" s="5"/>
    </row>
    <row r="1033" spans="1:4" s="64" customFormat="1" x14ac:dyDescent="0.35">
      <c r="A1033" s="6"/>
      <c r="B1033" s="53"/>
      <c r="C1033" s="4"/>
      <c r="D1033" s="5"/>
    </row>
    <row r="1034" spans="1:4" s="64" customFormat="1" x14ac:dyDescent="0.35">
      <c r="A1034" s="6"/>
      <c r="B1034" s="53"/>
      <c r="C1034" s="4"/>
      <c r="D1034" s="5"/>
    </row>
    <row r="1035" spans="1:4" s="64" customFormat="1" x14ac:dyDescent="0.35">
      <c r="A1035" s="6"/>
      <c r="B1035" s="53"/>
      <c r="C1035" s="4"/>
      <c r="D1035" s="5"/>
    </row>
    <row r="1036" spans="1:4" s="64" customFormat="1" x14ac:dyDescent="0.35">
      <c r="A1036" s="6"/>
      <c r="B1036" s="53"/>
      <c r="C1036" s="4"/>
      <c r="D1036" s="5"/>
    </row>
    <row r="1037" spans="1:4" s="64" customFormat="1" x14ac:dyDescent="0.35">
      <c r="A1037" s="6"/>
      <c r="B1037" s="53"/>
      <c r="C1037" s="4"/>
      <c r="D1037" s="5"/>
    </row>
    <row r="1038" spans="1:4" s="64" customFormat="1" x14ac:dyDescent="0.35">
      <c r="A1038" s="6"/>
      <c r="B1038" s="53"/>
      <c r="C1038" s="4"/>
      <c r="D1038" s="5"/>
    </row>
    <row r="1039" spans="1:4" s="64" customFormat="1" x14ac:dyDescent="0.35">
      <c r="A1039" s="6"/>
      <c r="B1039" s="53"/>
      <c r="C1039" s="4"/>
      <c r="D1039" s="5"/>
    </row>
    <row r="1040" spans="1:4" s="64" customFormat="1" x14ac:dyDescent="0.35">
      <c r="A1040" s="6"/>
      <c r="B1040" s="53"/>
      <c r="C1040" s="4"/>
      <c r="D1040" s="5"/>
    </row>
    <row r="1041" spans="1:4" s="64" customFormat="1" x14ac:dyDescent="0.35">
      <c r="A1041" s="6"/>
      <c r="B1041" s="53"/>
      <c r="C1041" s="4"/>
      <c r="D1041" s="5"/>
    </row>
    <row r="1042" spans="1:4" s="64" customFormat="1" x14ac:dyDescent="0.35">
      <c r="A1042" s="6"/>
      <c r="B1042" s="53"/>
      <c r="C1042" s="4"/>
      <c r="D1042" s="5"/>
    </row>
    <row r="1043" spans="1:4" s="64" customFormat="1" x14ac:dyDescent="0.35">
      <c r="A1043" s="6"/>
      <c r="B1043" s="53"/>
      <c r="C1043" s="4"/>
      <c r="D1043" s="5"/>
    </row>
    <row r="1044" spans="1:4" s="64" customFormat="1" x14ac:dyDescent="0.35">
      <c r="A1044" s="6"/>
      <c r="B1044" s="53"/>
      <c r="C1044" s="4"/>
      <c r="D1044" s="5"/>
    </row>
    <row r="1045" spans="1:4" s="64" customFormat="1" x14ac:dyDescent="0.35">
      <c r="A1045" s="6"/>
      <c r="B1045" s="53"/>
      <c r="C1045" s="4"/>
      <c r="D1045" s="5"/>
    </row>
    <row r="1046" spans="1:4" s="64" customFormat="1" x14ac:dyDescent="0.35">
      <c r="A1046" s="6"/>
      <c r="B1046" s="53"/>
      <c r="C1046" s="4"/>
      <c r="D1046" s="5"/>
    </row>
    <row r="1047" spans="1:4" s="64" customFormat="1" x14ac:dyDescent="0.35">
      <c r="A1047" s="6"/>
      <c r="B1047" s="53"/>
      <c r="C1047" s="4"/>
      <c r="D1047" s="5"/>
    </row>
    <row r="1048" spans="1:4" s="64" customFormat="1" x14ac:dyDescent="0.35">
      <c r="A1048" s="6"/>
      <c r="B1048" s="53"/>
      <c r="C1048" s="4"/>
      <c r="D1048" s="5"/>
    </row>
    <row r="1049" spans="1:4" s="64" customFormat="1" x14ac:dyDescent="0.35">
      <c r="A1049" s="6"/>
      <c r="B1049" s="53"/>
      <c r="C1049" s="4"/>
      <c r="D1049" s="5"/>
    </row>
    <row r="1050" spans="1:4" s="64" customFormat="1" x14ac:dyDescent="0.35">
      <c r="A1050" s="6"/>
      <c r="B1050" s="53"/>
      <c r="C1050" s="4"/>
      <c r="D1050" s="5"/>
    </row>
    <row r="1051" spans="1:4" s="64" customFormat="1" x14ac:dyDescent="0.35">
      <c r="A1051" s="6"/>
      <c r="B1051" s="53"/>
      <c r="C1051" s="4"/>
      <c r="D1051" s="5"/>
    </row>
    <row r="1052" spans="1:4" s="64" customFormat="1" x14ac:dyDescent="0.35">
      <c r="A1052" s="6"/>
      <c r="B1052" s="53"/>
      <c r="C1052" s="4"/>
      <c r="D1052" s="5"/>
    </row>
    <row r="1053" spans="1:4" s="64" customFormat="1" x14ac:dyDescent="0.35">
      <c r="A1053" s="6"/>
      <c r="B1053" s="53"/>
      <c r="C1053" s="4"/>
      <c r="D1053" s="5"/>
    </row>
    <row r="1054" spans="1:4" s="64" customFormat="1" x14ac:dyDescent="0.35">
      <c r="A1054" s="6"/>
      <c r="B1054" s="53"/>
      <c r="C1054" s="4"/>
      <c r="D1054" s="5"/>
    </row>
    <row r="1055" spans="1:4" s="64" customFormat="1" x14ac:dyDescent="0.35">
      <c r="A1055" s="6"/>
      <c r="B1055" s="53"/>
      <c r="C1055" s="4"/>
      <c r="D1055" s="5"/>
    </row>
    <row r="1056" spans="1:4" s="64" customFormat="1" x14ac:dyDescent="0.35">
      <c r="A1056" s="6"/>
      <c r="B1056" s="53"/>
      <c r="C1056" s="4"/>
      <c r="D1056" s="5"/>
    </row>
    <row r="1057" spans="1:4" s="64" customFormat="1" x14ac:dyDescent="0.35">
      <c r="A1057" s="6"/>
      <c r="B1057" s="53"/>
      <c r="C1057" s="4"/>
      <c r="D1057" s="5"/>
    </row>
    <row r="1058" spans="1:4" s="64" customFormat="1" x14ac:dyDescent="0.35">
      <c r="A1058" s="6"/>
      <c r="B1058" s="53"/>
      <c r="C1058" s="4"/>
      <c r="D1058" s="5"/>
    </row>
    <row r="1059" spans="1:4" s="64" customFormat="1" x14ac:dyDescent="0.35">
      <c r="A1059" s="6"/>
      <c r="B1059" s="53"/>
      <c r="C1059" s="4"/>
      <c r="D1059" s="5"/>
    </row>
    <row r="1060" spans="1:4" s="64" customFormat="1" x14ac:dyDescent="0.35">
      <c r="A1060" s="6"/>
      <c r="B1060" s="53"/>
      <c r="C1060" s="4"/>
      <c r="D1060" s="5"/>
    </row>
    <row r="1061" spans="1:4" s="64" customFormat="1" x14ac:dyDescent="0.35">
      <c r="A1061" s="6"/>
      <c r="B1061" s="53"/>
      <c r="C1061" s="4"/>
      <c r="D1061" s="5"/>
    </row>
    <row r="1062" spans="1:4" s="64" customFormat="1" x14ac:dyDescent="0.35">
      <c r="A1062" s="6"/>
      <c r="B1062" s="53"/>
      <c r="C1062" s="4"/>
      <c r="D1062" s="5"/>
    </row>
    <row r="1063" spans="1:4" s="64" customFormat="1" x14ac:dyDescent="0.35">
      <c r="A1063" s="6"/>
      <c r="B1063" s="53"/>
      <c r="C1063" s="4"/>
      <c r="D1063" s="5"/>
    </row>
    <row r="1064" spans="1:4" s="64" customFormat="1" x14ac:dyDescent="0.35">
      <c r="A1064" s="6"/>
      <c r="B1064" s="53"/>
      <c r="C1064" s="4"/>
      <c r="D1064" s="5"/>
    </row>
    <row r="1065" spans="1:4" s="64" customFormat="1" x14ac:dyDescent="0.35">
      <c r="A1065" s="6"/>
      <c r="B1065" s="53"/>
      <c r="C1065" s="4"/>
      <c r="D1065" s="5"/>
    </row>
    <row r="1066" spans="1:4" s="64" customFormat="1" x14ac:dyDescent="0.35">
      <c r="A1066" s="6"/>
      <c r="B1066" s="53"/>
      <c r="C1066" s="4"/>
      <c r="D1066" s="5"/>
    </row>
    <row r="1067" spans="1:4" s="64" customFormat="1" x14ac:dyDescent="0.35">
      <c r="A1067" s="6"/>
      <c r="B1067" s="53"/>
      <c r="C1067" s="4"/>
      <c r="D1067" s="5"/>
    </row>
    <row r="1068" spans="1:4" s="64" customFormat="1" x14ac:dyDescent="0.35">
      <c r="A1068" s="6"/>
      <c r="B1068" s="53"/>
      <c r="C1068" s="4"/>
      <c r="D1068" s="5"/>
    </row>
    <row r="1069" spans="1:4" s="64" customFormat="1" x14ac:dyDescent="0.35">
      <c r="A1069" s="6"/>
      <c r="B1069" s="53"/>
      <c r="C1069" s="4"/>
      <c r="D1069" s="5"/>
    </row>
    <row r="1070" spans="1:4" s="64" customFormat="1" x14ac:dyDescent="0.35">
      <c r="A1070" s="6"/>
      <c r="B1070" s="53"/>
      <c r="C1070" s="4"/>
      <c r="D1070" s="5"/>
    </row>
    <row r="1071" spans="1:4" s="64" customFormat="1" x14ac:dyDescent="0.35">
      <c r="A1071" s="6"/>
      <c r="B1071" s="53"/>
      <c r="C1071" s="4"/>
      <c r="D1071" s="5"/>
    </row>
    <row r="1072" spans="1:4" s="64" customFormat="1" x14ac:dyDescent="0.35">
      <c r="A1072" s="6"/>
      <c r="B1072" s="53"/>
      <c r="C1072" s="4"/>
      <c r="D1072" s="5"/>
    </row>
    <row r="1073" spans="1:4" s="64" customFormat="1" x14ac:dyDescent="0.35">
      <c r="A1073" s="6"/>
      <c r="B1073" s="53"/>
      <c r="C1073" s="4"/>
      <c r="D1073" s="5"/>
    </row>
    <row r="1074" spans="1:4" s="64" customFormat="1" x14ac:dyDescent="0.35">
      <c r="A1074" s="6"/>
      <c r="B1074" s="53"/>
      <c r="C1074" s="4"/>
      <c r="D1074" s="5"/>
    </row>
    <row r="1075" spans="1:4" s="64" customFormat="1" x14ac:dyDescent="0.35">
      <c r="A1075" s="6"/>
      <c r="B1075" s="53"/>
      <c r="C1075" s="4"/>
      <c r="D1075" s="5"/>
    </row>
    <row r="1076" spans="1:4" s="64" customFormat="1" x14ac:dyDescent="0.35">
      <c r="A1076" s="6"/>
      <c r="B1076" s="53"/>
      <c r="C1076" s="4"/>
      <c r="D1076" s="5"/>
    </row>
    <row r="1077" spans="1:4" s="64" customFormat="1" x14ac:dyDescent="0.35">
      <c r="A1077" s="6"/>
      <c r="B1077" s="53"/>
      <c r="C1077" s="4"/>
      <c r="D1077" s="5"/>
    </row>
    <row r="1078" spans="1:4" s="64" customFormat="1" x14ac:dyDescent="0.35">
      <c r="A1078" s="6"/>
      <c r="B1078" s="53"/>
      <c r="C1078" s="4"/>
      <c r="D1078" s="5"/>
    </row>
    <row r="1079" spans="1:4" s="64" customFormat="1" x14ac:dyDescent="0.35">
      <c r="A1079" s="6"/>
      <c r="B1079" s="53"/>
      <c r="C1079" s="4"/>
      <c r="D1079" s="5"/>
    </row>
    <row r="1080" spans="1:4" s="64" customFormat="1" x14ac:dyDescent="0.35">
      <c r="A1080" s="6"/>
      <c r="B1080" s="53"/>
      <c r="C1080" s="4"/>
      <c r="D1080" s="5"/>
    </row>
    <row r="1081" spans="1:4" s="64" customFormat="1" x14ac:dyDescent="0.35">
      <c r="A1081" s="6"/>
      <c r="B1081" s="53"/>
      <c r="C1081" s="4"/>
      <c r="D1081" s="5"/>
    </row>
    <row r="1082" spans="1:4" s="64" customFormat="1" x14ac:dyDescent="0.35">
      <c r="A1082" s="6"/>
      <c r="B1082" s="53"/>
      <c r="C1082" s="4"/>
      <c r="D1082" s="5"/>
    </row>
    <row r="1083" spans="1:4" s="64" customFormat="1" x14ac:dyDescent="0.35">
      <c r="A1083" s="6"/>
      <c r="B1083" s="53"/>
      <c r="C1083" s="4"/>
      <c r="D1083" s="5"/>
    </row>
    <row r="1084" spans="1:4" s="64" customFormat="1" x14ac:dyDescent="0.35">
      <c r="A1084" s="6"/>
      <c r="B1084" s="53"/>
      <c r="C1084" s="4"/>
      <c r="D1084" s="5"/>
    </row>
    <row r="1085" spans="1:4" s="64" customFormat="1" x14ac:dyDescent="0.35">
      <c r="A1085" s="6"/>
      <c r="B1085" s="53"/>
      <c r="C1085" s="4"/>
      <c r="D1085" s="5"/>
    </row>
    <row r="1086" spans="1:4" s="64" customFormat="1" x14ac:dyDescent="0.35">
      <c r="A1086" s="6"/>
      <c r="B1086" s="53"/>
      <c r="C1086" s="4"/>
      <c r="D1086" s="5"/>
    </row>
    <row r="1087" spans="1:4" s="64" customFormat="1" x14ac:dyDescent="0.35">
      <c r="A1087" s="6"/>
      <c r="B1087" s="53"/>
      <c r="C1087" s="4"/>
      <c r="D1087" s="5"/>
    </row>
    <row r="1088" spans="1:4" s="64" customFormat="1" x14ac:dyDescent="0.35">
      <c r="A1088" s="6"/>
      <c r="B1088" s="53"/>
      <c r="C1088" s="4"/>
      <c r="D1088" s="5"/>
    </row>
    <row r="1089" spans="1:4" s="64" customFormat="1" x14ac:dyDescent="0.35">
      <c r="A1089" s="6"/>
      <c r="B1089" s="53"/>
      <c r="C1089" s="4"/>
      <c r="D1089" s="5"/>
    </row>
    <row r="1090" spans="1:4" s="64" customFormat="1" x14ac:dyDescent="0.35">
      <c r="A1090" s="6"/>
      <c r="B1090" s="53"/>
      <c r="C1090" s="4"/>
      <c r="D1090" s="5"/>
    </row>
    <row r="1091" spans="1:4" s="64" customFormat="1" x14ac:dyDescent="0.35">
      <c r="A1091" s="6"/>
      <c r="B1091" s="53"/>
      <c r="C1091" s="4"/>
      <c r="D1091" s="5"/>
    </row>
    <row r="1092" spans="1:4" s="64" customFormat="1" x14ac:dyDescent="0.35">
      <c r="A1092" s="6"/>
      <c r="B1092" s="53"/>
      <c r="C1092" s="4"/>
      <c r="D1092" s="5"/>
    </row>
    <row r="1093" spans="1:4" s="64" customFormat="1" x14ac:dyDescent="0.35">
      <c r="A1093" s="6"/>
      <c r="B1093" s="53"/>
      <c r="C1093" s="4"/>
      <c r="D1093" s="5"/>
    </row>
    <row r="1094" spans="1:4" s="64" customFormat="1" x14ac:dyDescent="0.35">
      <c r="A1094" s="6"/>
      <c r="B1094" s="53"/>
      <c r="C1094" s="4"/>
      <c r="D1094" s="5"/>
    </row>
    <row r="1095" spans="1:4" s="64" customFormat="1" x14ac:dyDescent="0.35">
      <c r="A1095" s="6"/>
      <c r="B1095" s="53"/>
      <c r="C1095" s="4"/>
      <c r="D1095" s="5"/>
    </row>
    <row r="1096" spans="1:4" s="64" customFormat="1" x14ac:dyDescent="0.35">
      <c r="A1096" s="6"/>
      <c r="B1096" s="53"/>
      <c r="C1096" s="4"/>
      <c r="D1096" s="5"/>
    </row>
    <row r="1097" spans="1:4" s="64" customFormat="1" x14ac:dyDescent="0.35">
      <c r="A1097" s="6"/>
      <c r="B1097" s="53"/>
      <c r="C1097" s="4"/>
      <c r="D1097" s="5"/>
    </row>
    <row r="1098" spans="1:4" s="64" customFormat="1" x14ac:dyDescent="0.35">
      <c r="A1098" s="6"/>
      <c r="B1098" s="53"/>
      <c r="C1098" s="4"/>
      <c r="D1098" s="5"/>
    </row>
    <row r="1099" spans="1:4" s="64" customFormat="1" x14ac:dyDescent="0.35">
      <c r="A1099" s="6"/>
      <c r="B1099" s="53"/>
      <c r="C1099" s="4"/>
      <c r="D1099" s="5"/>
    </row>
    <row r="1100" spans="1:4" s="64" customFormat="1" x14ac:dyDescent="0.35">
      <c r="A1100" s="6"/>
      <c r="B1100" s="53"/>
      <c r="C1100" s="4"/>
      <c r="D1100" s="5"/>
    </row>
    <row r="1101" spans="1:4" s="64" customFormat="1" x14ac:dyDescent="0.35">
      <c r="A1101" s="6"/>
      <c r="B1101" s="53"/>
      <c r="C1101" s="4"/>
      <c r="D1101" s="5"/>
    </row>
    <row r="1102" spans="1:4" s="64" customFormat="1" x14ac:dyDescent="0.35">
      <c r="A1102" s="6"/>
      <c r="B1102" s="53"/>
      <c r="C1102" s="4"/>
      <c r="D1102" s="5"/>
    </row>
    <row r="1103" spans="1:4" s="64" customFormat="1" x14ac:dyDescent="0.35">
      <c r="A1103" s="6"/>
      <c r="B1103" s="53"/>
      <c r="C1103" s="4"/>
      <c r="D1103" s="5"/>
    </row>
    <row r="1104" spans="1:4" s="64" customFormat="1" x14ac:dyDescent="0.35">
      <c r="A1104" s="6"/>
      <c r="B1104" s="53"/>
      <c r="C1104" s="4"/>
      <c r="D1104" s="5"/>
    </row>
    <row r="1105" spans="1:4" s="64" customFormat="1" x14ac:dyDescent="0.35">
      <c r="A1105" s="6"/>
      <c r="B1105" s="53"/>
      <c r="C1105" s="4"/>
      <c r="D1105" s="5"/>
    </row>
    <row r="1106" spans="1:4" s="64" customFormat="1" x14ac:dyDescent="0.35">
      <c r="A1106" s="6"/>
      <c r="B1106" s="53"/>
      <c r="C1106" s="4"/>
      <c r="D1106" s="5"/>
    </row>
    <row r="1107" spans="1:4" s="64" customFormat="1" x14ac:dyDescent="0.35">
      <c r="A1107" s="6"/>
      <c r="B1107" s="53"/>
      <c r="C1107" s="4"/>
      <c r="D1107" s="5"/>
    </row>
    <row r="1108" spans="1:4" s="64" customFormat="1" x14ac:dyDescent="0.35">
      <c r="A1108" s="6"/>
      <c r="B1108" s="53"/>
      <c r="C1108" s="4"/>
      <c r="D1108" s="5"/>
    </row>
    <row r="1109" spans="1:4" s="64" customFormat="1" x14ac:dyDescent="0.35">
      <c r="A1109" s="6"/>
      <c r="B1109" s="53"/>
      <c r="C1109" s="4"/>
      <c r="D1109" s="5"/>
    </row>
    <row r="1110" spans="1:4" s="64" customFormat="1" x14ac:dyDescent="0.35">
      <c r="A1110" s="6"/>
      <c r="B1110" s="53"/>
      <c r="C1110" s="4"/>
      <c r="D1110" s="5"/>
    </row>
    <row r="1111" spans="1:4" s="64" customFormat="1" x14ac:dyDescent="0.35">
      <c r="A1111" s="6"/>
      <c r="B1111" s="53"/>
      <c r="C1111" s="4"/>
      <c r="D1111" s="5"/>
    </row>
    <row r="1112" spans="1:4" s="64" customFormat="1" x14ac:dyDescent="0.35">
      <c r="A1112" s="6"/>
      <c r="B1112" s="53"/>
      <c r="C1112" s="4"/>
      <c r="D1112" s="5"/>
    </row>
    <row r="1113" spans="1:4" s="64" customFormat="1" x14ac:dyDescent="0.35">
      <c r="A1113" s="6"/>
      <c r="B1113" s="53"/>
      <c r="C1113" s="4"/>
      <c r="D1113" s="5"/>
    </row>
    <row r="1114" spans="1:4" s="64" customFormat="1" x14ac:dyDescent="0.35">
      <c r="A1114" s="6"/>
      <c r="B1114" s="53"/>
      <c r="C1114" s="4"/>
      <c r="D1114" s="5"/>
    </row>
    <row r="1115" spans="1:4" s="64" customFormat="1" x14ac:dyDescent="0.35">
      <c r="A1115" s="6"/>
      <c r="B1115" s="53"/>
      <c r="C1115" s="4"/>
      <c r="D1115" s="5"/>
    </row>
    <row r="1116" spans="1:4" s="64" customFormat="1" x14ac:dyDescent="0.35">
      <c r="A1116" s="6"/>
      <c r="B1116" s="53"/>
      <c r="C1116" s="4"/>
      <c r="D1116" s="5"/>
    </row>
    <row r="1117" spans="1:4" s="64" customFormat="1" x14ac:dyDescent="0.35">
      <c r="A1117" s="6"/>
      <c r="B1117" s="53"/>
      <c r="C1117" s="4"/>
      <c r="D1117" s="5"/>
    </row>
    <row r="1118" spans="1:4" s="64" customFormat="1" x14ac:dyDescent="0.35">
      <c r="A1118" s="6"/>
      <c r="B1118" s="53"/>
      <c r="C1118" s="4"/>
      <c r="D1118" s="5"/>
    </row>
    <row r="1119" spans="1:4" s="64" customFormat="1" x14ac:dyDescent="0.35">
      <c r="A1119" s="6"/>
      <c r="B1119" s="53"/>
      <c r="C1119" s="4"/>
      <c r="D1119" s="5"/>
    </row>
    <row r="1120" spans="1:4" s="64" customFormat="1" x14ac:dyDescent="0.35">
      <c r="A1120" s="6"/>
      <c r="B1120" s="53"/>
      <c r="C1120" s="4"/>
      <c r="D1120" s="5"/>
    </row>
    <row r="1121" spans="1:4" s="64" customFormat="1" x14ac:dyDescent="0.35">
      <c r="A1121" s="6"/>
      <c r="B1121" s="53"/>
      <c r="C1121" s="4"/>
      <c r="D1121" s="5"/>
    </row>
    <row r="1122" spans="1:4" s="64" customFormat="1" x14ac:dyDescent="0.35">
      <c r="A1122" s="6"/>
      <c r="B1122" s="53"/>
      <c r="C1122" s="4"/>
      <c r="D1122" s="5"/>
    </row>
    <row r="1123" spans="1:4" s="64" customFormat="1" x14ac:dyDescent="0.35">
      <c r="A1123" s="6"/>
      <c r="B1123" s="53"/>
      <c r="C1123" s="4"/>
      <c r="D1123" s="5"/>
    </row>
    <row r="1124" spans="1:4" s="64" customFormat="1" x14ac:dyDescent="0.35">
      <c r="A1124" s="6"/>
      <c r="B1124" s="53"/>
      <c r="C1124" s="4"/>
      <c r="D1124" s="5"/>
    </row>
    <row r="1125" spans="1:4" s="64" customFormat="1" x14ac:dyDescent="0.35">
      <c r="A1125" s="6"/>
      <c r="B1125" s="53"/>
      <c r="C1125" s="4"/>
      <c r="D1125" s="5"/>
    </row>
    <row r="1126" spans="1:4" s="64" customFormat="1" x14ac:dyDescent="0.35">
      <c r="A1126" s="6"/>
      <c r="B1126" s="53"/>
      <c r="C1126" s="4"/>
      <c r="D1126" s="5"/>
    </row>
    <row r="1127" spans="1:4" s="64" customFormat="1" x14ac:dyDescent="0.35">
      <c r="A1127" s="6"/>
      <c r="B1127" s="53"/>
      <c r="C1127" s="4"/>
      <c r="D1127" s="5"/>
    </row>
    <row r="1128" spans="1:4" s="64" customFormat="1" x14ac:dyDescent="0.35">
      <c r="A1128" s="6"/>
      <c r="B1128" s="53"/>
      <c r="C1128" s="4"/>
      <c r="D1128" s="5"/>
    </row>
    <row r="1129" spans="1:4" s="64" customFormat="1" x14ac:dyDescent="0.35">
      <c r="A1129" s="6"/>
      <c r="B1129" s="53"/>
      <c r="C1129" s="4"/>
      <c r="D1129" s="5"/>
    </row>
    <row r="1130" spans="1:4" s="64" customFormat="1" x14ac:dyDescent="0.35">
      <c r="A1130" s="6"/>
      <c r="B1130" s="53"/>
      <c r="C1130" s="4"/>
      <c r="D1130" s="5"/>
    </row>
    <row r="1131" spans="1:4" s="64" customFormat="1" x14ac:dyDescent="0.35">
      <c r="A1131" s="6"/>
      <c r="B1131" s="53"/>
      <c r="C1131" s="4"/>
      <c r="D1131" s="5"/>
    </row>
    <row r="1132" spans="1:4" s="64" customFormat="1" x14ac:dyDescent="0.35">
      <c r="A1132" s="6"/>
      <c r="B1132" s="53"/>
      <c r="C1132" s="4"/>
      <c r="D1132" s="5"/>
    </row>
    <row r="1133" spans="1:4" s="64" customFormat="1" x14ac:dyDescent="0.35">
      <c r="A1133" s="6"/>
      <c r="B1133" s="53"/>
      <c r="C1133" s="4"/>
      <c r="D1133" s="5"/>
    </row>
    <row r="1134" spans="1:4" s="64" customFormat="1" x14ac:dyDescent="0.35">
      <c r="A1134" s="6"/>
      <c r="B1134" s="53"/>
      <c r="C1134" s="4"/>
      <c r="D1134" s="5"/>
    </row>
    <row r="1135" spans="1:4" s="64" customFormat="1" x14ac:dyDescent="0.35">
      <c r="A1135" s="6"/>
      <c r="B1135" s="53"/>
      <c r="C1135" s="4"/>
      <c r="D1135" s="5"/>
    </row>
    <row r="1136" spans="1:4" s="64" customFormat="1" x14ac:dyDescent="0.35">
      <c r="A1136" s="6"/>
      <c r="B1136" s="53"/>
      <c r="C1136" s="4"/>
      <c r="D1136" s="5"/>
    </row>
    <row r="1137" spans="1:4" s="64" customFormat="1" x14ac:dyDescent="0.35">
      <c r="A1137" s="6"/>
      <c r="B1137" s="53"/>
      <c r="C1137" s="4"/>
      <c r="D1137" s="5"/>
    </row>
    <row r="1138" spans="1:4" s="64" customFormat="1" x14ac:dyDescent="0.35">
      <c r="A1138" s="6"/>
      <c r="B1138" s="53"/>
      <c r="C1138" s="4"/>
      <c r="D1138" s="5"/>
    </row>
    <row r="1139" spans="1:4" s="64" customFormat="1" x14ac:dyDescent="0.35">
      <c r="A1139" s="6"/>
      <c r="B1139" s="53"/>
      <c r="C1139" s="4"/>
      <c r="D1139" s="5"/>
    </row>
    <row r="1140" spans="1:4" s="64" customFormat="1" x14ac:dyDescent="0.35">
      <c r="A1140" s="6"/>
      <c r="B1140" s="53"/>
      <c r="C1140" s="4"/>
      <c r="D1140" s="5"/>
    </row>
    <row r="1141" spans="1:4" s="64" customFormat="1" x14ac:dyDescent="0.35">
      <c r="A1141" s="6"/>
      <c r="B1141" s="53"/>
      <c r="C1141" s="4"/>
      <c r="D1141" s="5"/>
    </row>
    <row r="1142" spans="1:4" s="64" customFormat="1" x14ac:dyDescent="0.35">
      <c r="A1142" s="6"/>
      <c r="B1142" s="53"/>
      <c r="C1142" s="4"/>
      <c r="D1142" s="5"/>
    </row>
    <row r="1143" spans="1:4" s="64" customFormat="1" x14ac:dyDescent="0.35">
      <c r="A1143" s="6"/>
      <c r="B1143" s="53"/>
      <c r="C1143" s="4"/>
      <c r="D1143" s="5"/>
    </row>
    <row r="1144" spans="1:4" s="64" customFormat="1" x14ac:dyDescent="0.35">
      <c r="A1144" s="6"/>
      <c r="B1144" s="53"/>
      <c r="C1144" s="4"/>
      <c r="D1144" s="5"/>
    </row>
    <row r="1145" spans="1:4" s="64" customFormat="1" x14ac:dyDescent="0.35">
      <c r="A1145" s="6"/>
      <c r="B1145" s="53"/>
      <c r="C1145" s="4"/>
      <c r="D1145" s="5"/>
    </row>
    <row r="1146" spans="1:4" s="64" customFormat="1" x14ac:dyDescent="0.35">
      <c r="A1146" s="6"/>
      <c r="B1146" s="53"/>
      <c r="C1146" s="4"/>
      <c r="D1146" s="5"/>
    </row>
    <row r="1147" spans="1:4" s="64" customFormat="1" x14ac:dyDescent="0.35">
      <c r="A1147" s="6"/>
      <c r="B1147" s="53"/>
      <c r="C1147" s="4"/>
      <c r="D1147" s="5"/>
    </row>
    <row r="1148" spans="1:4" s="64" customFormat="1" x14ac:dyDescent="0.35">
      <c r="A1148" s="6"/>
      <c r="B1148" s="53"/>
      <c r="C1148" s="4"/>
      <c r="D1148" s="5"/>
    </row>
    <row r="1149" spans="1:4" s="64" customFormat="1" x14ac:dyDescent="0.35">
      <c r="A1149" s="6"/>
      <c r="B1149" s="53"/>
      <c r="C1149" s="4"/>
      <c r="D1149" s="5"/>
    </row>
    <row r="1150" spans="1:4" s="64" customFormat="1" x14ac:dyDescent="0.35">
      <c r="A1150" s="6"/>
      <c r="B1150" s="53"/>
      <c r="C1150" s="4"/>
      <c r="D1150" s="5"/>
    </row>
    <row r="1151" spans="1:4" s="64" customFormat="1" x14ac:dyDescent="0.35">
      <c r="A1151" s="6"/>
      <c r="B1151" s="53"/>
      <c r="C1151" s="4"/>
      <c r="D1151" s="5"/>
    </row>
    <row r="1152" spans="1:4" s="64" customFormat="1" x14ac:dyDescent="0.35">
      <c r="A1152" s="6"/>
      <c r="B1152" s="53"/>
      <c r="C1152" s="4"/>
      <c r="D1152" s="5"/>
    </row>
    <row r="1153" spans="1:4" s="64" customFormat="1" x14ac:dyDescent="0.35">
      <c r="A1153" s="6"/>
      <c r="B1153" s="53"/>
      <c r="C1153" s="4"/>
      <c r="D1153" s="5"/>
    </row>
    <row r="1154" spans="1:4" s="64" customFormat="1" x14ac:dyDescent="0.35">
      <c r="A1154" s="6"/>
      <c r="B1154" s="53"/>
      <c r="C1154" s="4"/>
      <c r="D1154" s="5"/>
    </row>
    <row r="1155" spans="1:4" s="64" customFormat="1" x14ac:dyDescent="0.35">
      <c r="A1155" s="6"/>
      <c r="B1155" s="53"/>
      <c r="C1155" s="4"/>
      <c r="D1155" s="5"/>
    </row>
    <row r="1156" spans="1:4" s="64" customFormat="1" x14ac:dyDescent="0.35">
      <c r="A1156" s="6"/>
      <c r="B1156" s="53"/>
      <c r="C1156" s="4"/>
      <c r="D1156" s="5"/>
    </row>
    <row r="1157" spans="1:4" s="64" customFormat="1" x14ac:dyDescent="0.35">
      <c r="A1157" s="6"/>
      <c r="B1157" s="53"/>
      <c r="C1157" s="4"/>
      <c r="D1157" s="5"/>
    </row>
    <row r="1158" spans="1:4" s="64" customFormat="1" x14ac:dyDescent="0.35">
      <c r="A1158" s="6"/>
      <c r="B1158" s="53"/>
      <c r="C1158" s="4"/>
      <c r="D1158" s="5"/>
    </row>
    <row r="1159" spans="1:4" s="64" customFormat="1" x14ac:dyDescent="0.35">
      <c r="A1159" s="6"/>
      <c r="B1159" s="53"/>
      <c r="C1159" s="4"/>
      <c r="D1159" s="5"/>
    </row>
    <row r="1160" spans="1:4" s="64" customFormat="1" x14ac:dyDescent="0.35">
      <c r="A1160" s="6"/>
      <c r="B1160" s="53"/>
      <c r="C1160" s="4"/>
      <c r="D1160" s="5"/>
    </row>
    <row r="1161" spans="1:4" s="64" customFormat="1" x14ac:dyDescent="0.35">
      <c r="A1161" s="6"/>
      <c r="B1161" s="53"/>
      <c r="C1161" s="4"/>
      <c r="D1161" s="5"/>
    </row>
    <row r="1162" spans="1:4" s="64" customFormat="1" x14ac:dyDescent="0.35">
      <c r="A1162" s="6"/>
      <c r="B1162" s="53"/>
      <c r="C1162" s="4"/>
      <c r="D1162" s="5"/>
    </row>
    <row r="1163" spans="1:4" s="64" customFormat="1" x14ac:dyDescent="0.35">
      <c r="A1163" s="6"/>
      <c r="B1163" s="53"/>
      <c r="C1163" s="4"/>
      <c r="D1163" s="5"/>
    </row>
    <row r="1164" spans="1:4" s="64" customFormat="1" x14ac:dyDescent="0.35">
      <c r="A1164" s="6"/>
      <c r="B1164" s="53"/>
      <c r="C1164" s="4"/>
      <c r="D1164" s="5"/>
    </row>
    <row r="1165" spans="1:4" s="64" customFormat="1" x14ac:dyDescent="0.35">
      <c r="A1165" s="6"/>
      <c r="B1165" s="53"/>
      <c r="C1165" s="4"/>
      <c r="D1165" s="5"/>
    </row>
    <row r="1166" spans="1:4" s="64" customFormat="1" x14ac:dyDescent="0.35">
      <c r="A1166" s="6"/>
      <c r="B1166" s="53"/>
      <c r="C1166" s="4"/>
      <c r="D1166" s="5"/>
    </row>
    <row r="1167" spans="1:4" s="64" customFormat="1" x14ac:dyDescent="0.35">
      <c r="A1167" s="6"/>
      <c r="B1167" s="53"/>
      <c r="C1167" s="4"/>
      <c r="D1167" s="5"/>
    </row>
    <row r="1168" spans="1:4" s="64" customFormat="1" x14ac:dyDescent="0.35">
      <c r="A1168" s="6"/>
      <c r="B1168" s="53"/>
      <c r="C1168" s="4"/>
      <c r="D1168" s="5"/>
    </row>
    <row r="1169" spans="1:4" s="64" customFormat="1" x14ac:dyDescent="0.35">
      <c r="A1169" s="6"/>
      <c r="B1169" s="53"/>
      <c r="C1169" s="4"/>
      <c r="D1169" s="5"/>
    </row>
    <row r="1170" spans="1:4" s="64" customFormat="1" x14ac:dyDescent="0.35">
      <c r="A1170" s="6"/>
      <c r="B1170" s="53"/>
      <c r="C1170" s="4"/>
      <c r="D1170" s="5"/>
    </row>
    <row r="1171" spans="1:4" s="64" customFormat="1" x14ac:dyDescent="0.35">
      <c r="A1171" s="6"/>
      <c r="B1171" s="53"/>
      <c r="C1171" s="4"/>
      <c r="D1171" s="5"/>
    </row>
    <row r="1172" spans="1:4" s="64" customFormat="1" x14ac:dyDescent="0.35">
      <c r="A1172" s="6"/>
      <c r="B1172" s="53"/>
      <c r="C1172" s="4"/>
      <c r="D1172" s="5"/>
    </row>
    <row r="1173" spans="1:4" s="64" customFormat="1" x14ac:dyDescent="0.35">
      <c r="A1173" s="6"/>
      <c r="B1173" s="53"/>
      <c r="C1173" s="4"/>
      <c r="D1173" s="5"/>
    </row>
    <row r="1174" spans="1:4" s="64" customFormat="1" x14ac:dyDescent="0.35">
      <c r="A1174" s="6"/>
      <c r="B1174" s="53"/>
      <c r="C1174" s="4"/>
      <c r="D1174" s="5"/>
    </row>
    <row r="1175" spans="1:4" s="64" customFormat="1" x14ac:dyDescent="0.35">
      <c r="A1175" s="6"/>
      <c r="B1175" s="53"/>
      <c r="C1175" s="4"/>
      <c r="D1175" s="5"/>
    </row>
    <row r="1176" spans="1:4" s="64" customFormat="1" x14ac:dyDescent="0.35">
      <c r="A1176" s="6"/>
      <c r="B1176" s="53"/>
      <c r="C1176" s="4"/>
      <c r="D1176" s="5"/>
    </row>
    <row r="1177" spans="1:4" s="64" customFormat="1" x14ac:dyDescent="0.35">
      <c r="A1177" s="6"/>
      <c r="B1177" s="53"/>
      <c r="C1177" s="4"/>
      <c r="D1177" s="5"/>
    </row>
    <row r="1178" spans="1:4" s="64" customFormat="1" x14ac:dyDescent="0.35">
      <c r="A1178" s="6"/>
      <c r="B1178" s="53"/>
      <c r="C1178" s="4"/>
      <c r="D1178" s="5"/>
    </row>
    <row r="1179" spans="1:4" s="64" customFormat="1" x14ac:dyDescent="0.35">
      <c r="A1179" s="6"/>
      <c r="B1179" s="53"/>
      <c r="C1179" s="4"/>
      <c r="D1179" s="5"/>
    </row>
    <row r="1180" spans="1:4" s="64" customFormat="1" x14ac:dyDescent="0.35">
      <c r="A1180" s="6"/>
      <c r="B1180" s="53"/>
      <c r="C1180" s="4"/>
      <c r="D1180" s="5"/>
    </row>
    <row r="1181" spans="1:4" s="64" customFormat="1" x14ac:dyDescent="0.35">
      <c r="A1181" s="6"/>
      <c r="B1181" s="53"/>
      <c r="C1181" s="4"/>
      <c r="D1181" s="5"/>
    </row>
    <row r="1182" spans="1:4" s="64" customFormat="1" x14ac:dyDescent="0.35">
      <c r="A1182" s="6"/>
      <c r="B1182" s="53"/>
      <c r="C1182" s="4"/>
      <c r="D1182" s="5"/>
    </row>
    <row r="1183" spans="1:4" s="64" customFormat="1" x14ac:dyDescent="0.35">
      <c r="A1183" s="6"/>
      <c r="B1183" s="53"/>
      <c r="C1183" s="4"/>
      <c r="D1183" s="5"/>
    </row>
    <row r="1184" spans="1:4" s="64" customFormat="1" x14ac:dyDescent="0.35">
      <c r="A1184" s="6"/>
      <c r="B1184" s="53"/>
      <c r="C1184" s="4"/>
      <c r="D1184" s="5"/>
    </row>
    <row r="1185" spans="1:4" s="64" customFormat="1" x14ac:dyDescent="0.35">
      <c r="A1185" s="6"/>
      <c r="B1185" s="53"/>
      <c r="C1185" s="4"/>
      <c r="D1185" s="5"/>
    </row>
    <row r="1186" spans="1:4" s="64" customFormat="1" x14ac:dyDescent="0.35">
      <c r="A1186" s="6"/>
      <c r="B1186" s="53"/>
      <c r="C1186" s="4"/>
      <c r="D1186" s="5"/>
    </row>
    <row r="1187" spans="1:4" s="64" customFormat="1" x14ac:dyDescent="0.35">
      <c r="A1187" s="6"/>
      <c r="B1187" s="53"/>
      <c r="C1187" s="4"/>
      <c r="D1187" s="5"/>
    </row>
    <row r="1188" spans="1:4" s="64" customFormat="1" x14ac:dyDescent="0.35">
      <c r="A1188" s="6"/>
      <c r="B1188" s="53"/>
      <c r="C1188" s="4"/>
      <c r="D1188" s="5"/>
    </row>
    <row r="1189" spans="1:4" s="64" customFormat="1" x14ac:dyDescent="0.35">
      <c r="A1189" s="6"/>
      <c r="B1189" s="53"/>
      <c r="C1189" s="4"/>
      <c r="D1189" s="5"/>
    </row>
    <row r="1190" spans="1:4" s="64" customFormat="1" x14ac:dyDescent="0.35">
      <c r="A1190" s="6"/>
      <c r="B1190" s="53"/>
      <c r="C1190" s="4"/>
      <c r="D1190" s="5"/>
    </row>
    <row r="1191" spans="1:4" s="64" customFormat="1" x14ac:dyDescent="0.35">
      <c r="A1191" s="6"/>
      <c r="B1191" s="53"/>
      <c r="C1191" s="4"/>
      <c r="D1191" s="5"/>
    </row>
    <row r="1192" spans="1:4" s="64" customFormat="1" x14ac:dyDescent="0.35">
      <c r="A1192" s="6"/>
      <c r="B1192" s="53"/>
      <c r="C1192" s="4"/>
      <c r="D1192" s="5"/>
    </row>
    <row r="1193" spans="1:4" s="64" customFormat="1" x14ac:dyDescent="0.35">
      <c r="A1193" s="6"/>
      <c r="B1193" s="53"/>
      <c r="C1193" s="4"/>
      <c r="D1193" s="5"/>
    </row>
    <row r="1194" spans="1:4" s="64" customFormat="1" x14ac:dyDescent="0.35">
      <c r="A1194" s="6"/>
      <c r="B1194" s="53"/>
      <c r="C1194" s="4"/>
      <c r="D1194" s="5"/>
    </row>
    <row r="1195" spans="1:4" s="64" customFormat="1" x14ac:dyDescent="0.35">
      <c r="A1195" s="6"/>
      <c r="B1195" s="53"/>
      <c r="C1195" s="4"/>
      <c r="D1195" s="5"/>
    </row>
    <row r="1196" spans="1:4" s="64" customFormat="1" x14ac:dyDescent="0.35">
      <c r="A1196" s="6"/>
      <c r="B1196" s="53"/>
      <c r="C1196" s="4"/>
      <c r="D1196" s="5"/>
    </row>
    <row r="1197" spans="1:4" s="64" customFormat="1" x14ac:dyDescent="0.35">
      <c r="A1197" s="6"/>
      <c r="B1197" s="53"/>
      <c r="C1197" s="4"/>
      <c r="D1197" s="5"/>
    </row>
    <row r="1198" spans="1:4" s="64" customFormat="1" x14ac:dyDescent="0.35">
      <c r="A1198" s="6"/>
      <c r="B1198" s="53"/>
      <c r="C1198" s="4"/>
      <c r="D1198" s="5"/>
    </row>
    <row r="1199" spans="1:4" s="64" customFormat="1" x14ac:dyDescent="0.35">
      <c r="A1199" s="6"/>
      <c r="B1199" s="53"/>
      <c r="C1199" s="4"/>
      <c r="D1199" s="5"/>
    </row>
    <row r="1200" spans="1:4" s="64" customFormat="1" x14ac:dyDescent="0.35">
      <c r="A1200" s="6"/>
      <c r="B1200" s="53"/>
      <c r="C1200" s="4"/>
      <c r="D1200" s="5"/>
    </row>
    <row r="1201" spans="1:4" s="64" customFormat="1" x14ac:dyDescent="0.35">
      <c r="A1201" s="6"/>
      <c r="B1201" s="53"/>
      <c r="C1201" s="4"/>
      <c r="D1201" s="5"/>
    </row>
    <row r="1202" spans="1:4" s="64" customFormat="1" x14ac:dyDescent="0.35">
      <c r="A1202" s="6"/>
      <c r="B1202" s="53"/>
      <c r="C1202" s="4"/>
      <c r="D1202" s="5"/>
    </row>
    <row r="1203" spans="1:4" s="64" customFormat="1" x14ac:dyDescent="0.35">
      <c r="A1203" s="6"/>
      <c r="B1203" s="53"/>
      <c r="C1203" s="4"/>
      <c r="D1203" s="5"/>
    </row>
  </sheetData>
  <conditionalFormatting sqref="D692:D770">
    <cfRule type="colorScale" priority="4">
      <colorScale>
        <cfvo type="min"/>
        <cfvo type="percentile" val="50"/>
        <cfvo type="max"/>
        <color rgb="FF63BE7B"/>
        <color rgb="FFFFEB84"/>
        <color rgb="FFF8696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WVL1095"/>
  <sheetViews>
    <sheetView zoomScale="90" zoomScaleNormal="90" workbookViewId="0">
      <pane ySplit="4" topLeftCell="A752" activePane="bottomLeft" state="frozen"/>
      <selection activeCell="H29" sqref="H29"/>
      <selection pane="bottomLeft" activeCell="J770" sqref="J770"/>
    </sheetView>
  </sheetViews>
  <sheetFormatPr defaultColWidth="8.81640625" defaultRowHeight="14.5" x14ac:dyDescent="0.35"/>
  <cols>
    <col min="1" max="1" width="10.81640625" style="3" customWidth="1"/>
    <col min="2" max="2" width="18.1796875" style="51" customWidth="1"/>
    <col min="3" max="3" width="15" style="1" customWidth="1"/>
    <col min="4" max="4" width="13" style="2" customWidth="1"/>
    <col min="5" max="6" width="9.1796875" style="13" customWidth="1"/>
    <col min="7" max="122" width="9.1796875" style="64" customWidth="1"/>
    <col min="253" max="253" width="10.81640625" style="34" customWidth="1"/>
    <col min="254" max="254" width="18.1796875" style="34" customWidth="1"/>
    <col min="255" max="255" width="15" style="34" customWidth="1"/>
    <col min="256" max="259" width="13" style="34" customWidth="1"/>
    <col min="260" max="260" width="17.6328125" style="34" customWidth="1"/>
    <col min="509" max="509" width="10.81640625" style="34" customWidth="1"/>
    <col min="510" max="510" width="18.1796875" style="34" customWidth="1"/>
    <col min="511" max="511" width="15" style="34" customWidth="1"/>
    <col min="512" max="515" width="13" style="34" customWidth="1"/>
    <col min="516" max="516" width="17.6328125" style="34" customWidth="1"/>
    <col min="765" max="765" width="10.81640625" style="34" customWidth="1"/>
    <col min="766" max="766" width="18.1796875" style="34" customWidth="1"/>
    <col min="767" max="767" width="15" style="34" customWidth="1"/>
    <col min="768" max="771" width="13" style="34" customWidth="1"/>
    <col min="772" max="772" width="17.6328125" style="34" customWidth="1"/>
    <col min="1021" max="1021" width="10.81640625" style="34" customWidth="1"/>
    <col min="1022" max="1022" width="18.1796875" style="34" customWidth="1"/>
    <col min="1023" max="1023" width="15" style="34" customWidth="1"/>
    <col min="1024" max="1027" width="13" style="34" customWidth="1"/>
    <col min="1028" max="1028" width="17.6328125" style="34" customWidth="1"/>
    <col min="1277" max="1277" width="10.81640625" style="34" customWidth="1"/>
    <col min="1278" max="1278" width="18.1796875" style="34" customWidth="1"/>
    <col min="1279" max="1279" width="15" style="34" customWidth="1"/>
    <col min="1280" max="1283" width="13" style="34" customWidth="1"/>
    <col min="1284" max="1284" width="17.6328125" style="34" customWidth="1"/>
    <col min="1533" max="1533" width="10.81640625" style="34" customWidth="1"/>
    <col min="1534" max="1534" width="18.1796875" style="34" customWidth="1"/>
    <col min="1535" max="1535" width="15" style="34" customWidth="1"/>
    <col min="1536" max="1539" width="13" style="34" customWidth="1"/>
    <col min="1540" max="1540" width="17.6328125" style="34" customWidth="1"/>
    <col min="1789" max="1789" width="10.81640625" style="34" customWidth="1"/>
    <col min="1790" max="1790" width="18.1796875" style="34" customWidth="1"/>
    <col min="1791" max="1791" width="15" style="34" customWidth="1"/>
    <col min="1792" max="1795" width="13" style="34" customWidth="1"/>
    <col min="1796" max="1796" width="17.6328125" style="34" customWidth="1"/>
    <col min="2045" max="2045" width="10.81640625" style="34" customWidth="1"/>
    <col min="2046" max="2046" width="18.1796875" style="34" customWidth="1"/>
    <col min="2047" max="2047" width="15" style="34" customWidth="1"/>
    <col min="2048" max="2051" width="13" style="34" customWidth="1"/>
    <col min="2052" max="2052" width="17.6328125" style="34" customWidth="1"/>
    <col min="2301" max="2301" width="10.81640625" style="34" customWidth="1"/>
    <col min="2302" max="2302" width="18.1796875" style="34" customWidth="1"/>
    <col min="2303" max="2303" width="15" style="34" customWidth="1"/>
    <col min="2304" max="2307" width="13" style="34" customWidth="1"/>
    <col min="2308" max="2308" width="17.6328125" style="34" customWidth="1"/>
    <col min="2557" max="2557" width="10.81640625" style="34" customWidth="1"/>
    <col min="2558" max="2558" width="18.1796875" style="34" customWidth="1"/>
    <col min="2559" max="2559" width="15" style="34" customWidth="1"/>
    <col min="2560" max="2563" width="13" style="34" customWidth="1"/>
    <col min="2564" max="2564" width="17.6328125" style="34" customWidth="1"/>
    <col min="2813" max="2813" width="10.81640625" style="34" customWidth="1"/>
    <col min="2814" max="2814" width="18.1796875" style="34" customWidth="1"/>
    <col min="2815" max="2815" width="15" style="34" customWidth="1"/>
    <col min="2816" max="2819" width="13" style="34" customWidth="1"/>
    <col min="2820" max="2820" width="17.6328125" style="34" customWidth="1"/>
    <col min="3069" max="3069" width="10.81640625" style="34" customWidth="1"/>
    <col min="3070" max="3070" width="18.1796875" style="34" customWidth="1"/>
    <col min="3071" max="3071" width="15" style="34" customWidth="1"/>
    <col min="3072" max="3075" width="13" style="34" customWidth="1"/>
    <col min="3076" max="3076" width="17.6328125" style="34" customWidth="1"/>
    <col min="3325" max="3325" width="10.81640625" style="34" customWidth="1"/>
    <col min="3326" max="3326" width="18.1796875" style="34" customWidth="1"/>
    <col min="3327" max="3327" width="15" style="34" customWidth="1"/>
    <col min="3328" max="3331" width="13" style="34" customWidth="1"/>
    <col min="3332" max="3332" width="17.6328125" style="34" customWidth="1"/>
    <col min="3581" max="3581" width="10.81640625" style="34" customWidth="1"/>
    <col min="3582" max="3582" width="18.1796875" style="34" customWidth="1"/>
    <col min="3583" max="3583" width="15" style="34" customWidth="1"/>
    <col min="3584" max="3587" width="13" style="34" customWidth="1"/>
    <col min="3588" max="3588" width="17.6328125" style="34" customWidth="1"/>
    <col min="3837" max="3837" width="10.81640625" style="34" customWidth="1"/>
    <col min="3838" max="3838" width="18.1796875" style="34" customWidth="1"/>
    <col min="3839" max="3839" width="15" style="34" customWidth="1"/>
    <col min="3840" max="3843" width="13" style="34" customWidth="1"/>
    <col min="3844" max="3844" width="17.6328125" style="34" customWidth="1"/>
    <col min="4093" max="4093" width="10.81640625" style="34" customWidth="1"/>
    <col min="4094" max="4094" width="18.1796875" style="34" customWidth="1"/>
    <col min="4095" max="4095" width="15" style="34" customWidth="1"/>
    <col min="4096" max="4099" width="13" style="34" customWidth="1"/>
    <col min="4100" max="4100" width="17.6328125" style="34" customWidth="1"/>
    <col min="4349" max="4349" width="10.81640625" style="34" customWidth="1"/>
    <col min="4350" max="4350" width="18.1796875" style="34" customWidth="1"/>
    <col min="4351" max="4351" width="15" style="34" customWidth="1"/>
    <col min="4352" max="4355" width="13" style="34" customWidth="1"/>
    <col min="4356" max="4356" width="17.6328125" style="34" customWidth="1"/>
    <col min="4605" max="4605" width="10.81640625" style="34" customWidth="1"/>
    <col min="4606" max="4606" width="18.1796875" style="34" customWidth="1"/>
    <col min="4607" max="4607" width="15" style="34" customWidth="1"/>
    <col min="4608" max="4611" width="13" style="34" customWidth="1"/>
    <col min="4612" max="4612" width="17.6328125" style="34" customWidth="1"/>
    <col min="4861" max="4861" width="10.81640625" style="34" customWidth="1"/>
    <col min="4862" max="4862" width="18.1796875" style="34" customWidth="1"/>
    <col min="4863" max="4863" width="15" style="34" customWidth="1"/>
    <col min="4864" max="4867" width="13" style="34" customWidth="1"/>
    <col min="4868" max="4868" width="17.6328125" style="34" customWidth="1"/>
    <col min="5117" max="5117" width="10.81640625" style="34" customWidth="1"/>
    <col min="5118" max="5118" width="18.1796875" style="34" customWidth="1"/>
    <col min="5119" max="5119" width="15" style="34" customWidth="1"/>
    <col min="5120" max="5123" width="13" style="34" customWidth="1"/>
    <col min="5124" max="5124" width="17.6328125" style="34" customWidth="1"/>
    <col min="5373" max="5373" width="10.81640625" style="34" customWidth="1"/>
    <col min="5374" max="5374" width="18.1796875" style="34" customWidth="1"/>
    <col min="5375" max="5375" width="15" style="34" customWidth="1"/>
    <col min="5376" max="5379" width="13" style="34" customWidth="1"/>
    <col min="5380" max="5380" width="17.6328125" style="34" customWidth="1"/>
    <col min="5629" max="5629" width="10.81640625" style="34" customWidth="1"/>
    <col min="5630" max="5630" width="18.1796875" style="34" customWidth="1"/>
    <col min="5631" max="5631" width="15" style="34" customWidth="1"/>
    <col min="5632" max="5635" width="13" style="34" customWidth="1"/>
    <col min="5636" max="5636" width="17.6328125" style="34" customWidth="1"/>
    <col min="5885" max="5885" width="10.81640625" style="34" customWidth="1"/>
    <col min="5886" max="5886" width="18.1796875" style="34" customWidth="1"/>
    <col min="5887" max="5887" width="15" style="34" customWidth="1"/>
    <col min="5888" max="5891" width="13" style="34" customWidth="1"/>
    <col min="5892" max="5892" width="17.6328125" style="34" customWidth="1"/>
    <col min="6141" max="6141" width="10.81640625" style="34" customWidth="1"/>
    <col min="6142" max="6142" width="18.1796875" style="34" customWidth="1"/>
    <col min="6143" max="6143" width="15" style="34" customWidth="1"/>
    <col min="6144" max="6147" width="13" style="34" customWidth="1"/>
    <col min="6148" max="6148" width="17.6328125" style="34" customWidth="1"/>
    <col min="6397" max="6397" width="10.81640625" style="34" customWidth="1"/>
    <col min="6398" max="6398" width="18.1796875" style="34" customWidth="1"/>
    <col min="6399" max="6399" width="15" style="34" customWidth="1"/>
    <col min="6400" max="6403" width="13" style="34" customWidth="1"/>
    <col min="6404" max="6404" width="17.6328125" style="34" customWidth="1"/>
    <col min="6653" max="6653" width="10.81640625" style="34" customWidth="1"/>
    <col min="6654" max="6654" width="18.1796875" style="34" customWidth="1"/>
    <col min="6655" max="6655" width="15" style="34" customWidth="1"/>
    <col min="6656" max="6659" width="13" style="34" customWidth="1"/>
    <col min="6660" max="6660" width="17.6328125" style="34" customWidth="1"/>
    <col min="6909" max="6909" width="10.81640625" style="34" customWidth="1"/>
    <col min="6910" max="6910" width="18.1796875" style="34" customWidth="1"/>
    <col min="6911" max="6911" width="15" style="34" customWidth="1"/>
    <col min="6912" max="6915" width="13" style="34" customWidth="1"/>
    <col min="6916" max="6916" width="17.6328125" style="34" customWidth="1"/>
    <col min="7165" max="7165" width="10.81640625" style="34" customWidth="1"/>
    <col min="7166" max="7166" width="18.1796875" style="34" customWidth="1"/>
    <col min="7167" max="7167" width="15" style="34" customWidth="1"/>
    <col min="7168" max="7171" width="13" style="34" customWidth="1"/>
    <col min="7172" max="7172" width="17.6328125" style="34" customWidth="1"/>
    <col min="7421" max="7421" width="10.81640625" style="34" customWidth="1"/>
    <col min="7422" max="7422" width="18.1796875" style="34" customWidth="1"/>
    <col min="7423" max="7423" width="15" style="34" customWidth="1"/>
    <col min="7424" max="7427" width="13" style="34" customWidth="1"/>
    <col min="7428" max="7428" width="17.6328125" style="34" customWidth="1"/>
    <col min="7677" max="7677" width="10.81640625" style="34" customWidth="1"/>
    <col min="7678" max="7678" width="18.1796875" style="34" customWidth="1"/>
    <col min="7679" max="7679" width="15" style="34" customWidth="1"/>
    <col min="7680" max="7683" width="13" style="34" customWidth="1"/>
    <col min="7684" max="7684" width="17.6328125" style="34" customWidth="1"/>
    <col min="7933" max="7933" width="10.81640625" style="34" customWidth="1"/>
    <col min="7934" max="7934" width="18.1796875" style="34" customWidth="1"/>
    <col min="7935" max="7935" width="15" style="34" customWidth="1"/>
    <col min="7936" max="7939" width="13" style="34" customWidth="1"/>
    <col min="7940" max="7940" width="17.6328125" style="34" customWidth="1"/>
    <col min="8189" max="8189" width="10.81640625" style="34" customWidth="1"/>
    <col min="8190" max="8190" width="18.1796875" style="34" customWidth="1"/>
    <col min="8191" max="8191" width="15" style="34" customWidth="1"/>
    <col min="8192" max="8195" width="13" style="34" customWidth="1"/>
    <col min="8196" max="8196" width="17.6328125" style="34" customWidth="1"/>
    <col min="8445" max="8445" width="10.81640625" style="34" customWidth="1"/>
    <col min="8446" max="8446" width="18.1796875" style="34" customWidth="1"/>
    <col min="8447" max="8447" width="15" style="34" customWidth="1"/>
    <col min="8448" max="8451" width="13" style="34" customWidth="1"/>
    <col min="8452" max="8452" width="17.6328125" style="34" customWidth="1"/>
    <col min="8701" max="8701" width="10.81640625" style="34" customWidth="1"/>
    <col min="8702" max="8702" width="18.1796875" style="34" customWidth="1"/>
    <col min="8703" max="8703" width="15" style="34" customWidth="1"/>
    <col min="8704" max="8707" width="13" style="34" customWidth="1"/>
    <col min="8708" max="8708" width="17.6328125" style="34" customWidth="1"/>
    <col min="8957" max="8957" width="10.81640625" style="34" customWidth="1"/>
    <col min="8958" max="8958" width="18.1796875" style="34" customWidth="1"/>
    <col min="8959" max="8959" width="15" style="34" customWidth="1"/>
    <col min="8960" max="8963" width="13" style="34" customWidth="1"/>
    <col min="8964" max="8964" width="17.6328125" style="34" customWidth="1"/>
    <col min="9213" max="9213" width="10.81640625" style="34" customWidth="1"/>
    <col min="9214" max="9214" width="18.1796875" style="34" customWidth="1"/>
    <col min="9215" max="9215" width="15" style="34" customWidth="1"/>
    <col min="9216" max="9219" width="13" style="34" customWidth="1"/>
    <col min="9220" max="9220" width="17.6328125" style="34" customWidth="1"/>
    <col min="9469" max="9469" width="10.81640625" style="34" customWidth="1"/>
    <col min="9470" max="9470" width="18.1796875" style="34" customWidth="1"/>
    <col min="9471" max="9471" width="15" style="34" customWidth="1"/>
    <col min="9472" max="9475" width="13" style="34" customWidth="1"/>
    <col min="9476" max="9476" width="17.6328125" style="34" customWidth="1"/>
    <col min="9725" max="9725" width="10.81640625" style="34" customWidth="1"/>
    <col min="9726" max="9726" width="18.1796875" style="34" customWidth="1"/>
    <col min="9727" max="9727" width="15" style="34" customWidth="1"/>
    <col min="9728" max="9731" width="13" style="34" customWidth="1"/>
    <col min="9732" max="9732" width="17.6328125" style="34" customWidth="1"/>
    <col min="9981" max="9981" width="10.81640625" style="34" customWidth="1"/>
    <col min="9982" max="9982" width="18.1796875" style="34" customWidth="1"/>
    <col min="9983" max="9983" width="15" style="34" customWidth="1"/>
    <col min="9984" max="9987" width="13" style="34" customWidth="1"/>
    <col min="9988" max="9988" width="17.6328125" style="34" customWidth="1"/>
    <col min="10237" max="10237" width="10.81640625" style="34" customWidth="1"/>
    <col min="10238" max="10238" width="18.1796875" style="34" customWidth="1"/>
    <col min="10239" max="10239" width="15" style="34" customWidth="1"/>
    <col min="10240" max="10243" width="13" style="34" customWidth="1"/>
    <col min="10244" max="10244" width="17.6328125" style="34" customWidth="1"/>
    <col min="10493" max="10493" width="10.81640625" style="34" customWidth="1"/>
    <col min="10494" max="10494" width="18.1796875" style="34" customWidth="1"/>
    <col min="10495" max="10495" width="15" style="34" customWidth="1"/>
    <col min="10496" max="10499" width="13" style="34" customWidth="1"/>
    <col min="10500" max="10500" width="17.6328125" style="34" customWidth="1"/>
    <col min="10749" max="10749" width="10.81640625" style="34" customWidth="1"/>
    <col min="10750" max="10750" width="18.1796875" style="34" customWidth="1"/>
    <col min="10751" max="10751" width="15" style="34" customWidth="1"/>
    <col min="10752" max="10755" width="13" style="34" customWidth="1"/>
    <col min="10756" max="10756" width="17.6328125" style="34" customWidth="1"/>
    <col min="11005" max="11005" width="10.81640625" style="34" customWidth="1"/>
    <col min="11006" max="11006" width="18.1796875" style="34" customWidth="1"/>
    <col min="11007" max="11007" width="15" style="34" customWidth="1"/>
    <col min="11008" max="11011" width="13" style="34" customWidth="1"/>
    <col min="11012" max="11012" width="17.6328125" style="34" customWidth="1"/>
    <col min="11261" max="11261" width="10.81640625" style="34" customWidth="1"/>
    <col min="11262" max="11262" width="18.1796875" style="34" customWidth="1"/>
    <col min="11263" max="11263" width="15" style="34" customWidth="1"/>
    <col min="11264" max="11267" width="13" style="34" customWidth="1"/>
    <col min="11268" max="11268" width="17.6328125" style="34" customWidth="1"/>
    <col min="11517" max="11517" width="10.81640625" style="34" customWidth="1"/>
    <col min="11518" max="11518" width="18.1796875" style="34" customWidth="1"/>
    <col min="11519" max="11519" width="15" style="34" customWidth="1"/>
    <col min="11520" max="11523" width="13" style="34" customWidth="1"/>
    <col min="11524" max="11524" width="17.6328125" style="34" customWidth="1"/>
    <col min="11773" max="11773" width="10.81640625" style="34" customWidth="1"/>
    <col min="11774" max="11774" width="18.1796875" style="34" customWidth="1"/>
    <col min="11775" max="11775" width="15" style="34" customWidth="1"/>
    <col min="11776" max="11779" width="13" style="34" customWidth="1"/>
    <col min="11780" max="11780" width="17.6328125" style="34" customWidth="1"/>
    <col min="12029" max="12029" width="10.81640625" style="34" customWidth="1"/>
    <col min="12030" max="12030" width="18.1796875" style="34" customWidth="1"/>
    <col min="12031" max="12031" width="15" style="34" customWidth="1"/>
    <col min="12032" max="12035" width="13" style="34" customWidth="1"/>
    <col min="12036" max="12036" width="17.6328125" style="34" customWidth="1"/>
    <col min="12285" max="12285" width="10.81640625" style="34" customWidth="1"/>
    <col min="12286" max="12286" width="18.1796875" style="34" customWidth="1"/>
    <col min="12287" max="12287" width="15" style="34" customWidth="1"/>
    <col min="12288" max="12291" width="13" style="34" customWidth="1"/>
    <col min="12292" max="12292" width="17.6328125" style="34" customWidth="1"/>
    <col min="12541" max="12541" width="10.81640625" style="34" customWidth="1"/>
    <col min="12542" max="12542" width="18.1796875" style="34" customWidth="1"/>
    <col min="12543" max="12543" width="15" style="34" customWidth="1"/>
    <col min="12544" max="12547" width="13" style="34" customWidth="1"/>
    <col min="12548" max="12548" width="17.6328125" style="34" customWidth="1"/>
    <col min="12797" max="12797" width="10.81640625" style="34" customWidth="1"/>
    <col min="12798" max="12798" width="18.1796875" style="34" customWidth="1"/>
    <col min="12799" max="12799" width="15" style="34" customWidth="1"/>
    <col min="12800" max="12803" width="13" style="34" customWidth="1"/>
    <col min="12804" max="12804" width="17.6328125" style="34" customWidth="1"/>
    <col min="13053" max="13053" width="10.81640625" style="34" customWidth="1"/>
    <col min="13054" max="13054" width="18.1796875" style="34" customWidth="1"/>
    <col min="13055" max="13055" width="15" style="34" customWidth="1"/>
    <col min="13056" max="13059" width="13" style="34" customWidth="1"/>
    <col min="13060" max="13060" width="17.6328125" style="34" customWidth="1"/>
    <col min="13309" max="13309" width="10.81640625" style="34" customWidth="1"/>
    <col min="13310" max="13310" width="18.1796875" style="34" customWidth="1"/>
    <col min="13311" max="13311" width="15" style="34" customWidth="1"/>
    <col min="13312" max="13315" width="13" style="34" customWidth="1"/>
    <col min="13316" max="13316" width="17.6328125" style="34" customWidth="1"/>
    <col min="13565" max="13565" width="10.81640625" style="34" customWidth="1"/>
    <col min="13566" max="13566" width="18.1796875" style="34" customWidth="1"/>
    <col min="13567" max="13567" width="15" style="34" customWidth="1"/>
    <col min="13568" max="13571" width="13" style="34" customWidth="1"/>
    <col min="13572" max="13572" width="17.6328125" style="34" customWidth="1"/>
    <col min="13821" max="13821" width="10.81640625" style="34" customWidth="1"/>
    <col min="13822" max="13822" width="18.1796875" style="34" customWidth="1"/>
    <col min="13823" max="13823" width="15" style="34" customWidth="1"/>
    <col min="13824" max="13827" width="13" style="34" customWidth="1"/>
    <col min="13828" max="13828" width="17.6328125" style="34" customWidth="1"/>
    <col min="14077" max="14077" width="10.81640625" style="34" customWidth="1"/>
    <col min="14078" max="14078" width="18.1796875" style="34" customWidth="1"/>
    <col min="14079" max="14079" width="15" style="34" customWidth="1"/>
    <col min="14080" max="14083" width="13" style="34" customWidth="1"/>
    <col min="14084" max="14084" width="17.6328125" style="34" customWidth="1"/>
    <col min="14333" max="14333" width="10.81640625" style="34" customWidth="1"/>
    <col min="14334" max="14334" width="18.1796875" style="34" customWidth="1"/>
    <col min="14335" max="14335" width="15" style="34" customWidth="1"/>
    <col min="14336" max="14339" width="13" style="34" customWidth="1"/>
    <col min="14340" max="14340" width="17.6328125" style="34" customWidth="1"/>
    <col min="14589" max="14589" width="10.81640625" style="34" customWidth="1"/>
    <col min="14590" max="14590" width="18.1796875" style="34" customWidth="1"/>
    <col min="14591" max="14591" width="15" style="34" customWidth="1"/>
    <col min="14592" max="14595" width="13" style="34" customWidth="1"/>
    <col min="14596" max="14596" width="17.6328125" style="34" customWidth="1"/>
    <col min="14845" max="14845" width="10.81640625" style="34" customWidth="1"/>
    <col min="14846" max="14846" width="18.1796875" style="34" customWidth="1"/>
    <col min="14847" max="14847" width="15" style="34" customWidth="1"/>
    <col min="14848" max="14851" width="13" style="34" customWidth="1"/>
    <col min="14852" max="14852" width="17.6328125" style="34" customWidth="1"/>
    <col min="15101" max="15101" width="10.81640625" style="34" customWidth="1"/>
    <col min="15102" max="15102" width="18.1796875" style="34" customWidth="1"/>
    <col min="15103" max="15103" width="15" style="34" customWidth="1"/>
    <col min="15104" max="15107" width="13" style="34" customWidth="1"/>
    <col min="15108" max="15108" width="17.6328125" style="34" customWidth="1"/>
    <col min="15357" max="15357" width="10.81640625" style="34" customWidth="1"/>
    <col min="15358" max="15358" width="18.1796875" style="34" customWidth="1"/>
    <col min="15359" max="15359" width="15" style="34" customWidth="1"/>
    <col min="15360" max="15363" width="13" style="34" customWidth="1"/>
    <col min="15364" max="15364" width="17.6328125" style="34" customWidth="1"/>
    <col min="15613" max="15613" width="10.81640625" style="34" customWidth="1"/>
    <col min="15614" max="15614" width="18.1796875" style="34" customWidth="1"/>
    <col min="15615" max="15615" width="15" style="34" customWidth="1"/>
    <col min="15616" max="15619" width="13" style="34" customWidth="1"/>
    <col min="15620" max="15620" width="17.6328125" style="34" customWidth="1"/>
    <col min="15869" max="15869" width="10.81640625" style="34" customWidth="1"/>
    <col min="15870" max="15870" width="18.1796875" style="34" customWidth="1"/>
    <col min="15871" max="15871" width="15" style="34" customWidth="1"/>
    <col min="15872" max="15875" width="13" style="34" customWidth="1"/>
    <col min="15876" max="15876" width="17.6328125" style="34" customWidth="1"/>
    <col min="16125" max="16125" width="10.81640625" style="34" customWidth="1"/>
    <col min="16126" max="16126" width="18.1796875" style="34" customWidth="1"/>
    <col min="16127" max="16127" width="15" style="34" customWidth="1"/>
    <col min="16128" max="16131" width="13" style="34" customWidth="1"/>
    <col min="16132" max="16132" width="17.6328125" style="34" customWidth="1"/>
  </cols>
  <sheetData>
    <row r="1" spans="1:11" s="64" customFormat="1" x14ac:dyDescent="0.35">
      <c r="A1" s="52" t="s">
        <v>18</v>
      </c>
      <c r="B1" s="53"/>
      <c r="C1" s="4"/>
      <c r="D1" s="5"/>
      <c r="E1" s="12"/>
      <c r="F1" s="12"/>
    </row>
    <row r="2" spans="1:11" s="64" customFormat="1" x14ac:dyDescent="0.35">
      <c r="A2" s="14" t="s">
        <v>19</v>
      </c>
      <c r="B2" s="54"/>
      <c r="C2" s="4"/>
      <c r="D2" s="5"/>
      <c r="E2" s="12"/>
      <c r="F2" s="12"/>
      <c r="H2" s="55"/>
      <c r="J2" s="11"/>
    </row>
    <row r="3" spans="1:11" s="64" customFormat="1" ht="16" customHeight="1" thickBot="1" x14ac:dyDescent="0.4">
      <c r="A3" s="6"/>
      <c r="B3" s="53"/>
      <c r="C3" s="4"/>
      <c r="D3" s="5"/>
      <c r="E3" s="12"/>
      <c r="F3" s="12" t="s">
        <v>22</v>
      </c>
      <c r="K3" s="65"/>
    </row>
    <row r="4" spans="1:11" ht="30.75" customHeight="1" x14ac:dyDescent="0.35">
      <c r="A4" s="18" t="s">
        <v>28</v>
      </c>
      <c r="B4" s="59" t="s">
        <v>29</v>
      </c>
      <c r="C4" s="19" t="s">
        <v>30</v>
      </c>
      <c r="D4" s="20" t="s">
        <v>31</v>
      </c>
      <c r="E4" s="21" t="s">
        <v>32</v>
      </c>
      <c r="F4" s="22" t="s">
        <v>33</v>
      </c>
    </row>
    <row r="5" spans="1:11" x14ac:dyDescent="0.35">
      <c r="A5" s="60">
        <v>21551</v>
      </c>
      <c r="B5" s="58">
        <f>VLOOKUP(Table534567910[[#This Row],[Date]],Database!A:E,MATCH($A$1,Database!$A$1:$E$1,),)</f>
        <v>16.687999999999999</v>
      </c>
      <c r="C5" s="7"/>
      <c r="D5" s="7"/>
      <c r="E5" s="15"/>
      <c r="F5" s="15"/>
    </row>
    <row r="6" spans="1:11" x14ac:dyDescent="0.35">
      <c r="A6" s="60">
        <v>21582</v>
      </c>
      <c r="B6" s="58">
        <f>VLOOKUP(Table534567910[[#This Row],[Date]],Database!A:E,MATCH($A$1,Database!$A$1:$E$1,),)</f>
        <v>16.701000000000001</v>
      </c>
      <c r="C6" s="8">
        <f t="shared" ref="C6:C69" si="0">(B6-B5)/B5</f>
        <v>7.7900287631841312E-4</v>
      </c>
      <c r="D6" s="7"/>
      <c r="E6" s="15"/>
      <c r="F6" s="15"/>
    </row>
    <row r="7" spans="1:11" x14ac:dyDescent="0.35">
      <c r="A7" s="60">
        <v>21610</v>
      </c>
      <c r="B7" s="58">
        <f>VLOOKUP(Table534567910[[#This Row],[Date]],Database!A:E,MATCH($A$1,Database!$A$1:$E$1,),)</f>
        <v>16.719000000000001</v>
      </c>
      <c r="C7" s="8">
        <f t="shared" si="0"/>
        <v>1.0777797736662884E-3</v>
      </c>
      <c r="D7" s="7"/>
      <c r="E7" s="15"/>
      <c r="F7" s="15"/>
    </row>
    <row r="8" spans="1:11" x14ac:dyDescent="0.35">
      <c r="A8" s="60">
        <v>21641</v>
      </c>
      <c r="B8" s="58">
        <f>VLOOKUP(Table534567910[[#This Row],[Date]],Database!A:E,MATCH($A$1,Database!$A$1:$E$1,),)</f>
        <v>16.762</v>
      </c>
      <c r="C8" s="8">
        <f t="shared" si="0"/>
        <v>2.5719241581433853E-3</v>
      </c>
      <c r="D8" s="7"/>
      <c r="E8" s="15"/>
      <c r="F8" s="15"/>
    </row>
    <row r="9" spans="1:11" x14ac:dyDescent="0.35">
      <c r="A9" s="60">
        <v>21671</v>
      </c>
      <c r="B9" s="58">
        <f>VLOOKUP(Table534567910[[#This Row],[Date]],Database!A:E,MATCH($A$1,Database!$A$1:$E$1,),)</f>
        <v>16.783000000000001</v>
      </c>
      <c r="C9" s="8">
        <f t="shared" si="0"/>
        <v>1.2528337907171457E-3</v>
      </c>
      <c r="D9" s="7"/>
      <c r="E9" s="15"/>
      <c r="F9" s="15"/>
    </row>
    <row r="10" spans="1:11" x14ac:dyDescent="0.35">
      <c r="A10" s="60">
        <v>21702</v>
      </c>
      <c r="B10" s="58">
        <f>VLOOKUP(Table534567910[[#This Row],[Date]],Database!A:E,MATCH($A$1,Database!$A$1:$E$1,),)</f>
        <v>16.832000000000001</v>
      </c>
      <c r="C10" s="8">
        <f t="shared" si="0"/>
        <v>2.9196210451051352E-3</v>
      </c>
      <c r="D10" s="7"/>
      <c r="E10" s="15"/>
      <c r="F10" s="15"/>
    </row>
    <row r="11" spans="1:11" x14ac:dyDescent="0.35">
      <c r="A11" s="60">
        <v>21732</v>
      </c>
      <c r="B11" s="58">
        <f>VLOOKUP(Table534567910[[#This Row],[Date]],Database!A:E,MATCH($A$1,Database!$A$1:$E$1,),)</f>
        <v>16.870999999999999</v>
      </c>
      <c r="C11" s="8">
        <f t="shared" si="0"/>
        <v>2.317015209125352E-3</v>
      </c>
      <c r="D11" s="7"/>
      <c r="E11" s="15"/>
      <c r="F11" s="15"/>
    </row>
    <row r="12" spans="1:11" x14ac:dyDescent="0.35">
      <c r="A12" s="60">
        <v>21763</v>
      </c>
      <c r="B12" s="58">
        <f>VLOOKUP(Table534567910[[#This Row],[Date]],Database!A:E,MATCH($A$1,Database!$A$1:$E$1,),)</f>
        <v>16.899000000000001</v>
      </c>
      <c r="C12" s="8">
        <f t="shared" si="0"/>
        <v>1.6596526584080522E-3</v>
      </c>
      <c r="D12" s="7"/>
      <c r="E12" s="15"/>
      <c r="F12" s="15"/>
    </row>
    <row r="13" spans="1:11" x14ac:dyDescent="0.35">
      <c r="A13" s="60">
        <v>21794</v>
      </c>
      <c r="B13" s="58">
        <f>VLOOKUP(Table534567910[[#This Row],[Date]],Database!A:E,MATCH($A$1,Database!$A$1:$E$1,),)</f>
        <v>16.943000000000001</v>
      </c>
      <c r="C13" s="8">
        <f t="shared" si="0"/>
        <v>2.6037043612048335E-3</v>
      </c>
      <c r="D13" s="7"/>
      <c r="E13" s="15"/>
      <c r="F13" s="15"/>
    </row>
    <row r="14" spans="1:11" x14ac:dyDescent="0.35">
      <c r="A14" s="60">
        <v>21824</v>
      </c>
      <c r="B14" s="58">
        <f>VLOOKUP(Table534567910[[#This Row],[Date]],Database!A:E,MATCH($A$1,Database!$A$1:$E$1,),)</f>
        <v>16.972000000000001</v>
      </c>
      <c r="C14" s="8">
        <f t="shared" si="0"/>
        <v>1.7116213185386243E-3</v>
      </c>
      <c r="D14" s="7"/>
      <c r="E14" s="15"/>
      <c r="F14" s="15"/>
    </row>
    <row r="15" spans="1:11" x14ac:dyDescent="0.35">
      <c r="A15" s="60">
        <v>21855</v>
      </c>
      <c r="B15" s="58">
        <f>VLOOKUP(Table534567910[[#This Row],[Date]],Database!A:E,MATCH($A$1,Database!$A$1:$E$1,),)</f>
        <v>17.003</v>
      </c>
      <c r="C15" s="8">
        <f t="shared" si="0"/>
        <v>1.8265378270091212E-3</v>
      </c>
      <c r="D15" s="7"/>
      <c r="E15" s="15"/>
      <c r="F15" s="15"/>
    </row>
    <row r="16" spans="1:11" x14ac:dyDescent="0.35">
      <c r="A16" s="60">
        <v>21885</v>
      </c>
      <c r="B16" s="58">
        <f>VLOOKUP(Table534567910[[#This Row],[Date]],Database!A:E,MATCH($A$1,Database!$A$1:$E$1,),)</f>
        <v>17.029</v>
      </c>
      <c r="C16" s="8">
        <f t="shared" si="0"/>
        <v>1.5291419161324355E-3</v>
      </c>
      <c r="D16" s="7"/>
      <c r="E16" s="15"/>
      <c r="F16" s="15"/>
    </row>
    <row r="17" spans="1:6" x14ac:dyDescent="0.35">
      <c r="A17" s="60">
        <v>21916</v>
      </c>
      <c r="B17" s="58">
        <f>VLOOKUP(Table534567910[[#This Row],[Date]],Database!A:E,MATCH($A$1,Database!$A$1:$E$1,),)</f>
        <v>17.033000000000001</v>
      </c>
      <c r="C17" s="8">
        <f t="shared" si="0"/>
        <v>2.3489341711206387E-4</v>
      </c>
      <c r="D17" s="7">
        <f>(Table534567910[[#This Row],[Value]]-B5)/B5</f>
        <v>2.0673537871524594E-2</v>
      </c>
      <c r="E17" s="16">
        <v>0.02</v>
      </c>
      <c r="F17" s="15"/>
    </row>
    <row r="18" spans="1:6" x14ac:dyDescent="0.35">
      <c r="A18" s="60">
        <v>21947</v>
      </c>
      <c r="B18" s="58">
        <f>VLOOKUP(Table534567910[[#This Row],[Date]],Database!A:E,MATCH($A$1,Database!$A$1:$E$1,),)</f>
        <v>17.065000000000001</v>
      </c>
      <c r="C18" s="8">
        <f t="shared" si="0"/>
        <v>1.8787060412141154E-3</v>
      </c>
      <c r="D18" s="7">
        <f>(Table534567910[[#This Row],[Value]]-B6)/B6</f>
        <v>2.1795102089695272E-2</v>
      </c>
      <c r="E18" s="16">
        <v>0.02</v>
      </c>
      <c r="F18" s="15"/>
    </row>
    <row r="19" spans="1:6" x14ac:dyDescent="0.35">
      <c r="A19" s="60">
        <v>21976</v>
      </c>
      <c r="B19" s="58">
        <f>VLOOKUP(Table534567910[[#This Row],[Date]],Database!A:E,MATCH($A$1,Database!$A$1:$E$1,),)</f>
        <v>17.067</v>
      </c>
      <c r="C19" s="8">
        <f t="shared" si="0"/>
        <v>1.1719894520942815E-4</v>
      </c>
      <c r="D19" s="7">
        <f>(Table534567910[[#This Row],[Value]]-B7)/B7</f>
        <v>2.0814642024044438E-2</v>
      </c>
      <c r="E19" s="16">
        <v>0.02</v>
      </c>
      <c r="F19" s="15"/>
    </row>
    <row r="20" spans="1:6" x14ac:dyDescent="0.35">
      <c r="A20" s="60">
        <v>22007</v>
      </c>
      <c r="B20" s="58">
        <f>VLOOKUP(Table534567910[[#This Row],[Date]],Database!A:E,MATCH($A$1,Database!$A$1:$E$1,),)</f>
        <v>17.097999999999999</v>
      </c>
      <c r="C20" s="8">
        <f t="shared" si="0"/>
        <v>1.8163707740082502E-3</v>
      </c>
      <c r="D20" s="7">
        <f>(Table534567910[[#This Row],[Value]]-B8)/B8</f>
        <v>2.0045340651473481E-2</v>
      </c>
      <c r="E20" s="16">
        <v>0.02</v>
      </c>
      <c r="F20" s="15"/>
    </row>
    <row r="21" spans="1:6" x14ac:dyDescent="0.35">
      <c r="A21" s="60">
        <v>22037</v>
      </c>
      <c r="B21" s="58">
        <f>VLOOKUP(Table534567910[[#This Row],[Date]],Database!A:E,MATCH($A$1,Database!$A$1:$E$1,),)</f>
        <v>17.125</v>
      </c>
      <c r="C21" s="8">
        <f t="shared" si="0"/>
        <v>1.5791320622295605E-3</v>
      </c>
      <c r="D21" s="7">
        <f>(Table534567910[[#This Row],[Value]]-B9)/B9</f>
        <v>2.0377763212774756E-2</v>
      </c>
      <c r="E21" s="16">
        <v>0.02</v>
      </c>
      <c r="F21" s="15"/>
    </row>
    <row r="22" spans="1:6" x14ac:dyDescent="0.35">
      <c r="A22" s="60">
        <v>22068</v>
      </c>
      <c r="B22" s="58">
        <f>VLOOKUP(Table534567910[[#This Row],[Date]],Database!A:E,MATCH($A$1,Database!$A$1:$E$1,),)</f>
        <v>17.135999999999999</v>
      </c>
      <c r="C22" s="8">
        <f t="shared" si="0"/>
        <v>6.423357664233129E-4</v>
      </c>
      <c r="D22" s="7">
        <f>(Table534567910[[#This Row],[Value]]-B10)/B10</f>
        <v>1.8060836501901049E-2</v>
      </c>
      <c r="E22" s="16">
        <v>0.02</v>
      </c>
      <c r="F22" s="15"/>
    </row>
    <row r="23" spans="1:6" x14ac:dyDescent="0.35">
      <c r="A23" s="60">
        <v>22098</v>
      </c>
      <c r="B23" s="58">
        <f>VLOOKUP(Table534567910[[#This Row],[Date]],Database!A:E,MATCH($A$1,Database!$A$1:$E$1,),)</f>
        <v>17.166</v>
      </c>
      <c r="C23" s="8">
        <f t="shared" si="0"/>
        <v>1.7507002801121112E-3</v>
      </c>
      <c r="D23" s="7">
        <f>(Table534567910[[#This Row],[Value]]-B11)/B11</f>
        <v>1.7485626222512107E-2</v>
      </c>
      <c r="E23" s="16">
        <v>0.02</v>
      </c>
      <c r="F23" s="15"/>
    </row>
    <row r="24" spans="1:6" x14ac:dyDescent="0.35">
      <c r="A24" s="60">
        <v>22129</v>
      </c>
      <c r="B24" s="58">
        <f>VLOOKUP(Table534567910[[#This Row],[Date]],Database!A:E,MATCH($A$1,Database!$A$1:$E$1,),)</f>
        <v>17.190999999999999</v>
      </c>
      <c r="C24" s="8">
        <f t="shared" si="0"/>
        <v>1.4563672375625409E-3</v>
      </c>
      <c r="D24" s="7">
        <f>(Table534567910[[#This Row],[Value]]-B12)/B12</f>
        <v>1.7279128942540863E-2</v>
      </c>
      <c r="E24" s="16">
        <v>0.02</v>
      </c>
      <c r="F24" s="15"/>
    </row>
    <row r="25" spans="1:6" x14ac:dyDescent="0.35">
      <c r="A25" s="60">
        <v>22160</v>
      </c>
      <c r="B25" s="58">
        <f>VLOOKUP(Table534567910[[#This Row],[Date]],Database!A:E,MATCH($A$1,Database!$A$1:$E$1,),)</f>
        <v>17.204000000000001</v>
      </c>
      <c r="C25" s="8">
        <f t="shared" si="0"/>
        <v>7.5620964458156465E-4</v>
      </c>
      <c r="D25" s="7">
        <f>(Table534567910[[#This Row],[Value]]-B13)/B13</f>
        <v>1.5404591866847618E-2</v>
      </c>
      <c r="E25" s="16">
        <v>0.02</v>
      </c>
      <c r="F25" s="15"/>
    </row>
    <row r="26" spans="1:6" x14ac:dyDescent="0.35">
      <c r="A26" s="60">
        <v>22190</v>
      </c>
      <c r="B26" s="58">
        <f>VLOOKUP(Table534567910[[#This Row],[Date]],Database!A:E,MATCH($A$1,Database!$A$1:$E$1,),)</f>
        <v>17.213999999999999</v>
      </c>
      <c r="C26" s="8">
        <f t="shared" si="0"/>
        <v>5.8126017205289526E-4</v>
      </c>
      <c r="D26" s="7">
        <f>(Table534567910[[#This Row],[Value]]-B14)/B14</f>
        <v>1.4258779165684498E-2</v>
      </c>
      <c r="E26" s="16">
        <v>0.02</v>
      </c>
      <c r="F26" s="15"/>
    </row>
    <row r="27" spans="1:6" x14ac:dyDescent="0.35">
      <c r="A27" s="60">
        <v>22221</v>
      </c>
      <c r="B27" s="58">
        <f>VLOOKUP(Table534567910[[#This Row],[Date]],Database!A:E,MATCH($A$1,Database!$A$1:$E$1,),)</f>
        <v>17.260000000000002</v>
      </c>
      <c r="C27" s="8">
        <f t="shared" si="0"/>
        <v>2.6722435227142403E-3</v>
      </c>
      <c r="D27" s="7">
        <f>(Table534567910[[#This Row],[Value]]-B15)/B15</f>
        <v>1.5114979709463121E-2</v>
      </c>
      <c r="E27" s="16">
        <v>0.02</v>
      </c>
      <c r="F27" s="15"/>
    </row>
    <row r="28" spans="1:6" x14ac:dyDescent="0.35">
      <c r="A28" s="60">
        <v>22251</v>
      </c>
      <c r="B28" s="58">
        <f>VLOOKUP(Table534567910[[#This Row],[Date]],Database!A:E,MATCH($A$1,Database!$A$1:$E$1,),)</f>
        <v>17.254999999999999</v>
      </c>
      <c r="C28" s="8">
        <f t="shared" si="0"/>
        <v>-2.8968713789122579E-4</v>
      </c>
      <c r="D28" s="7">
        <f>(Table534567910[[#This Row],[Value]]-B16)/B16</f>
        <v>1.3271478066827123E-2</v>
      </c>
      <c r="E28" s="16">
        <v>0.02</v>
      </c>
      <c r="F28" s="15"/>
    </row>
    <row r="29" spans="1:6" x14ac:dyDescent="0.35">
      <c r="A29" s="60">
        <v>22282</v>
      </c>
      <c r="B29" s="58">
        <f>VLOOKUP(Table534567910[[#This Row],[Date]],Database!A:E,MATCH($A$1,Database!$A$1:$E$1,),)</f>
        <v>17.259</v>
      </c>
      <c r="C29" s="8">
        <f t="shared" si="0"/>
        <v>2.3181686467698266E-4</v>
      </c>
      <c r="D29" s="7">
        <f>(Table534567910[[#This Row],[Value]]-B17)/B17</f>
        <v>1.3268361416074624E-2</v>
      </c>
      <c r="E29" s="16">
        <v>0.02</v>
      </c>
      <c r="F29" s="15"/>
    </row>
    <row r="30" spans="1:6" x14ac:dyDescent="0.35">
      <c r="A30" s="60">
        <v>22313</v>
      </c>
      <c r="B30" s="58">
        <f>VLOOKUP(Table534567910[[#This Row],[Date]],Database!A:E,MATCH($A$1,Database!$A$1:$E$1,),)</f>
        <v>17.276</v>
      </c>
      <c r="C30" s="8">
        <f t="shared" si="0"/>
        <v>9.8499333680974912E-4</v>
      </c>
      <c r="D30" s="7">
        <f>(Table534567910[[#This Row],[Value]]-B18)/B18</f>
        <v>1.2364488719601436E-2</v>
      </c>
      <c r="E30" s="16">
        <v>0.02</v>
      </c>
      <c r="F30" s="15"/>
    </row>
    <row r="31" spans="1:6" x14ac:dyDescent="0.35">
      <c r="A31" s="60">
        <v>22341</v>
      </c>
      <c r="B31" s="58">
        <f>VLOOKUP(Table534567910[[#This Row],[Date]],Database!A:E,MATCH($A$1,Database!$A$1:$E$1,),)</f>
        <v>17.282</v>
      </c>
      <c r="C31" s="8">
        <f t="shared" si="0"/>
        <v>3.4730261634638963E-4</v>
      </c>
      <c r="D31" s="7">
        <f>(Table534567910[[#This Row],[Value]]-B19)/B19</f>
        <v>1.259741020683189E-2</v>
      </c>
      <c r="E31" s="16">
        <v>0.02</v>
      </c>
      <c r="F31" s="15"/>
    </row>
    <row r="32" spans="1:6" x14ac:dyDescent="0.35">
      <c r="A32" s="60">
        <v>22372</v>
      </c>
      <c r="B32" s="58">
        <f>VLOOKUP(Table534567910[[#This Row],[Date]],Database!A:E,MATCH($A$1,Database!$A$1:$E$1,),)</f>
        <v>17.306000000000001</v>
      </c>
      <c r="C32" s="8">
        <f t="shared" si="0"/>
        <v>1.388728156463425E-3</v>
      </c>
      <c r="D32" s="7">
        <f>(Table534567910[[#This Row],[Value]]-B20)/B20</f>
        <v>1.2165165516434786E-2</v>
      </c>
      <c r="E32" s="16">
        <v>0.02</v>
      </c>
      <c r="F32" s="15"/>
    </row>
    <row r="33" spans="1:6" x14ac:dyDescent="0.35">
      <c r="A33" s="60">
        <v>22402</v>
      </c>
      <c r="B33" s="58">
        <f>VLOOKUP(Table534567910[[#This Row],[Date]],Database!A:E,MATCH($A$1,Database!$A$1:$E$1,),)</f>
        <v>17.327999999999999</v>
      </c>
      <c r="C33" s="8">
        <f t="shared" si="0"/>
        <v>1.2712354096844137E-3</v>
      </c>
      <c r="D33" s="7">
        <f>(Table534567910[[#This Row],[Value]]-B21)/B21</f>
        <v>1.1854014598540111E-2</v>
      </c>
      <c r="E33" s="16">
        <v>0.02</v>
      </c>
      <c r="F33" s="15"/>
    </row>
    <row r="34" spans="1:6" x14ac:dyDescent="0.35">
      <c r="A34" s="60">
        <v>22433</v>
      </c>
      <c r="B34" s="58">
        <f>VLOOKUP(Table534567910[[#This Row],[Date]],Database!A:E,MATCH($A$1,Database!$A$1:$E$1,),)</f>
        <v>17.353999999999999</v>
      </c>
      <c r="C34" s="8">
        <f t="shared" si="0"/>
        <v>1.5004616805170707E-3</v>
      </c>
      <c r="D34" s="7">
        <f>(Table534567910[[#This Row],[Value]]-B22)/B22</f>
        <v>1.2721755368814191E-2</v>
      </c>
      <c r="E34" s="16">
        <v>0.02</v>
      </c>
      <c r="F34" s="15"/>
    </row>
    <row r="35" spans="1:6" x14ac:dyDescent="0.35">
      <c r="A35" s="60">
        <v>22463</v>
      </c>
      <c r="B35" s="58">
        <f>VLOOKUP(Table534567910[[#This Row],[Date]],Database!A:E,MATCH($A$1,Database!$A$1:$E$1,),)</f>
        <v>17.381</v>
      </c>
      <c r="C35" s="8">
        <f t="shared" si="0"/>
        <v>1.5558372709462386E-3</v>
      </c>
      <c r="D35" s="7">
        <f>(Table534567910[[#This Row],[Value]]-B23)/B23</f>
        <v>1.2524758243038557E-2</v>
      </c>
      <c r="E35" s="16">
        <v>0.02</v>
      </c>
      <c r="F35" s="15"/>
    </row>
    <row r="36" spans="1:6" x14ac:dyDescent="0.35">
      <c r="A36" s="60">
        <v>22494</v>
      </c>
      <c r="B36" s="58">
        <f>VLOOKUP(Table534567910[[#This Row],[Date]],Database!A:E,MATCH($A$1,Database!$A$1:$E$1,),)</f>
        <v>17.399000000000001</v>
      </c>
      <c r="C36" s="8">
        <f t="shared" si="0"/>
        <v>1.0356136010586665E-3</v>
      </c>
      <c r="D36" s="7">
        <f>(Table534567910[[#This Row],[Value]]-B24)/B24</f>
        <v>1.2099354313303588E-2</v>
      </c>
      <c r="E36" s="16">
        <v>0.02</v>
      </c>
      <c r="F36" s="15"/>
    </row>
    <row r="37" spans="1:6" x14ac:dyDescent="0.35">
      <c r="A37" s="60">
        <v>22525</v>
      </c>
      <c r="B37" s="58">
        <f>VLOOKUP(Table534567910[[#This Row],[Date]],Database!A:E,MATCH($A$1,Database!$A$1:$E$1,),)</f>
        <v>17.434000000000001</v>
      </c>
      <c r="C37" s="8">
        <f t="shared" si="0"/>
        <v>2.0116098626357919E-3</v>
      </c>
      <c r="D37" s="7">
        <f>(Table534567910[[#This Row],[Value]]-B25)/B25</f>
        <v>1.3368983957219275E-2</v>
      </c>
      <c r="E37" s="16">
        <v>0.02</v>
      </c>
      <c r="F37" s="15"/>
    </row>
    <row r="38" spans="1:6" x14ac:dyDescent="0.35">
      <c r="A38" s="60">
        <v>22555</v>
      </c>
      <c r="B38" s="58">
        <f>VLOOKUP(Table534567910[[#This Row],[Date]],Database!A:E,MATCH($A$1,Database!$A$1:$E$1,),)</f>
        <v>17.440000000000001</v>
      </c>
      <c r="C38" s="8">
        <f t="shared" si="0"/>
        <v>3.4415509923139997E-4</v>
      </c>
      <c r="D38" s="7">
        <f>(Table534567910[[#This Row],[Value]]-B26)/B26</f>
        <v>1.3128848611595368E-2</v>
      </c>
      <c r="E38" s="16">
        <v>0.02</v>
      </c>
      <c r="F38" s="15"/>
    </row>
    <row r="39" spans="1:6" x14ac:dyDescent="0.35">
      <c r="A39" s="60">
        <v>22586</v>
      </c>
      <c r="B39" s="58">
        <f>VLOOKUP(Table534567910[[#This Row],[Date]],Database!A:E,MATCH($A$1,Database!$A$1:$E$1,),)</f>
        <v>17.443000000000001</v>
      </c>
      <c r="C39" s="8">
        <f t="shared" si="0"/>
        <v>1.7201834862385973E-4</v>
      </c>
      <c r="D39" s="7">
        <f>(Table534567910[[#This Row],[Value]]-B27)/B27</f>
        <v>1.060254924681343E-2</v>
      </c>
      <c r="E39" s="16">
        <v>0.02</v>
      </c>
      <c r="F39" s="15"/>
    </row>
    <row r="40" spans="1:6" x14ac:dyDescent="0.35">
      <c r="A40" s="60">
        <v>22616</v>
      </c>
      <c r="B40" s="58">
        <f>VLOOKUP(Table534567910[[#This Row],[Date]],Database!A:E,MATCH($A$1,Database!$A$1:$E$1,),)</f>
        <v>17.457999999999998</v>
      </c>
      <c r="C40" s="8">
        <f t="shared" si="0"/>
        <v>8.5994381700378456E-4</v>
      </c>
      <c r="D40" s="7">
        <f>(Table534567910[[#This Row],[Value]]-B28)/B28</f>
        <v>1.1764705882352908E-2</v>
      </c>
      <c r="E40" s="16">
        <v>0.02</v>
      </c>
      <c r="F40" s="15"/>
    </row>
    <row r="41" spans="1:6" x14ac:dyDescent="0.35">
      <c r="A41" s="60">
        <v>22647</v>
      </c>
      <c r="B41" s="58">
        <f>VLOOKUP(Table534567910[[#This Row],[Date]],Database!A:E,MATCH($A$1,Database!$A$1:$E$1,),)</f>
        <v>17.478000000000002</v>
      </c>
      <c r="C41" s="8">
        <f t="shared" si="0"/>
        <v>1.1456065986941877E-3</v>
      </c>
      <c r="D41" s="7">
        <f>(Table534567910[[#This Row],[Value]]-B29)/B29</f>
        <v>1.2689031809490769E-2</v>
      </c>
      <c r="E41" s="16">
        <v>0.02</v>
      </c>
      <c r="F41" s="15"/>
    </row>
    <row r="42" spans="1:6" x14ac:dyDescent="0.35">
      <c r="A42" s="60">
        <v>22678</v>
      </c>
      <c r="B42" s="58">
        <f>VLOOKUP(Table534567910[[#This Row],[Date]],Database!A:E,MATCH($A$1,Database!$A$1:$E$1,),)</f>
        <v>17.507000000000001</v>
      </c>
      <c r="C42" s="8">
        <f t="shared" si="0"/>
        <v>1.6592287447076274E-3</v>
      </c>
      <c r="D42" s="7">
        <f>(Table534567910[[#This Row],[Value]]-B30)/B30</f>
        <v>1.337115072933559E-2</v>
      </c>
      <c r="E42" s="16">
        <v>0.02</v>
      </c>
      <c r="F42" s="15"/>
    </row>
    <row r="43" spans="1:6" x14ac:dyDescent="0.35">
      <c r="A43" s="60">
        <v>22706</v>
      </c>
      <c r="B43" s="58">
        <f>VLOOKUP(Table534567910[[#This Row],[Date]],Database!A:E,MATCH($A$1,Database!$A$1:$E$1,),)</f>
        <v>17.547999999999998</v>
      </c>
      <c r="C43" s="8">
        <f t="shared" si="0"/>
        <v>2.3419203747070778E-3</v>
      </c>
      <c r="D43" s="7">
        <f>(Table534567910[[#This Row],[Value]]-B31)/B31</f>
        <v>1.5391737067468941E-2</v>
      </c>
      <c r="E43" s="16">
        <v>0.02</v>
      </c>
      <c r="F43" s="15"/>
    </row>
    <row r="44" spans="1:6" x14ac:dyDescent="0.35">
      <c r="A44" s="60">
        <v>22737</v>
      </c>
      <c r="B44" s="58">
        <f>VLOOKUP(Table534567910[[#This Row],[Date]],Database!A:E,MATCH($A$1,Database!$A$1:$E$1,),)</f>
        <v>17.550999999999998</v>
      </c>
      <c r="C44" s="8">
        <f t="shared" si="0"/>
        <v>1.7095965352177537E-4</v>
      </c>
      <c r="D44" s="7">
        <f>(Table534567910[[#This Row],[Value]]-B32)/B32</f>
        <v>1.4156939789668175E-2</v>
      </c>
      <c r="E44" s="16">
        <v>0.02</v>
      </c>
      <c r="F44" s="15"/>
    </row>
    <row r="45" spans="1:6" x14ac:dyDescent="0.35">
      <c r="A45" s="60">
        <v>22767</v>
      </c>
      <c r="B45" s="58">
        <f>VLOOKUP(Table534567910[[#This Row],[Date]],Database!A:E,MATCH($A$1,Database!$A$1:$E$1,),)</f>
        <v>17.576000000000001</v>
      </c>
      <c r="C45" s="8">
        <f t="shared" si="0"/>
        <v>1.4244202609539135E-3</v>
      </c>
      <c r="D45" s="7">
        <f>(Table534567910[[#This Row],[Value]]-B33)/B33</f>
        <v>1.4312096029547618E-2</v>
      </c>
      <c r="E45" s="16">
        <v>0.02</v>
      </c>
      <c r="F45" s="15"/>
    </row>
    <row r="46" spans="1:6" x14ac:dyDescent="0.35">
      <c r="A46" s="60">
        <v>22798</v>
      </c>
      <c r="B46" s="58">
        <f>VLOOKUP(Table534567910[[#This Row],[Date]],Database!A:E,MATCH($A$1,Database!$A$1:$E$1,),)</f>
        <v>17.608000000000001</v>
      </c>
      <c r="C46" s="8">
        <f t="shared" si="0"/>
        <v>1.8206645425580352E-3</v>
      </c>
      <c r="D46" s="7">
        <f>(Table534567910[[#This Row],[Value]]-B34)/B34</f>
        <v>1.4636395067419693E-2</v>
      </c>
      <c r="E46" s="16">
        <v>0.02</v>
      </c>
      <c r="F46" s="15"/>
    </row>
    <row r="47" spans="1:6" x14ac:dyDescent="0.35">
      <c r="A47" s="60">
        <v>22828</v>
      </c>
      <c r="B47" s="58">
        <f>VLOOKUP(Table534567910[[#This Row],[Date]],Database!A:E,MATCH($A$1,Database!$A$1:$E$1,),)</f>
        <v>17.623000000000001</v>
      </c>
      <c r="C47" s="8">
        <f t="shared" si="0"/>
        <v>8.5188550658794686E-4</v>
      </c>
      <c r="D47" s="7">
        <f>(Table534567910[[#This Row],[Value]]-B35)/B35</f>
        <v>1.3923249525343817E-2</v>
      </c>
      <c r="E47" s="16">
        <v>0.02</v>
      </c>
      <c r="F47" s="15"/>
    </row>
    <row r="48" spans="1:6" x14ac:dyDescent="0.35">
      <c r="A48" s="60">
        <v>22859</v>
      </c>
      <c r="B48" s="58">
        <f>VLOOKUP(Table534567910[[#This Row],[Date]],Database!A:E,MATCH($A$1,Database!$A$1:$E$1,),)</f>
        <v>17.626000000000001</v>
      </c>
      <c r="C48" s="8">
        <f t="shared" si="0"/>
        <v>1.7023208307326298E-4</v>
      </c>
      <c r="D48" s="7">
        <f>(Table534567910[[#This Row],[Value]]-B36)/B36</f>
        <v>1.3046726823380671E-2</v>
      </c>
      <c r="E48" s="16">
        <v>0.02</v>
      </c>
      <c r="F48" s="15"/>
    </row>
    <row r="49" spans="1:6" x14ac:dyDescent="0.35">
      <c r="A49" s="60">
        <v>22890</v>
      </c>
      <c r="B49" s="58">
        <f>VLOOKUP(Table534567910[[#This Row],[Date]],Database!A:E,MATCH($A$1,Database!$A$1:$E$1,),)</f>
        <v>17.66</v>
      </c>
      <c r="C49" s="8">
        <f t="shared" si="0"/>
        <v>1.9289685691591353E-3</v>
      </c>
      <c r="D49" s="7">
        <f>(Table534567910[[#This Row],[Value]]-B37)/B37</f>
        <v>1.2963175404382188E-2</v>
      </c>
      <c r="E49" s="16">
        <v>0.02</v>
      </c>
      <c r="F49" s="15"/>
    </row>
    <row r="50" spans="1:6" x14ac:dyDescent="0.35">
      <c r="A50" s="60">
        <v>22920</v>
      </c>
      <c r="B50" s="58">
        <f>VLOOKUP(Table534567910[[#This Row],[Date]],Database!A:E,MATCH($A$1,Database!$A$1:$E$1,),)</f>
        <v>17.658999999999999</v>
      </c>
      <c r="C50" s="8">
        <f t="shared" si="0"/>
        <v>-5.6625141562923107E-5</v>
      </c>
      <c r="D50" s="7">
        <f>(Table534567910[[#This Row],[Value]]-B38)/B38</f>
        <v>1.2557339449541148E-2</v>
      </c>
      <c r="E50" s="16">
        <v>0.02</v>
      </c>
      <c r="F50" s="15"/>
    </row>
    <row r="51" spans="1:6" x14ac:dyDescent="0.35">
      <c r="A51" s="60">
        <v>22951</v>
      </c>
      <c r="B51" s="58">
        <f>VLOOKUP(Table534567910[[#This Row],[Date]],Database!A:E,MATCH($A$1,Database!$A$1:$E$1,),)</f>
        <v>17.672000000000001</v>
      </c>
      <c r="C51" s="8">
        <f t="shared" si="0"/>
        <v>7.361685259641926E-4</v>
      </c>
      <c r="D51" s="7">
        <f>(Table534567910[[#This Row],[Value]]-B39)/B39</f>
        <v>1.3128475606260345E-2</v>
      </c>
      <c r="E51" s="16">
        <v>0.02</v>
      </c>
      <c r="F51" s="15"/>
    </row>
    <row r="52" spans="1:6" x14ac:dyDescent="0.35">
      <c r="A52" s="60">
        <v>22981</v>
      </c>
      <c r="B52" s="58">
        <f>VLOOKUP(Table534567910[[#This Row],[Date]],Database!A:E,MATCH($A$1,Database!$A$1:$E$1,),)</f>
        <v>17.677</v>
      </c>
      <c r="C52" s="8">
        <f t="shared" si="0"/>
        <v>2.8293345405155078E-4</v>
      </c>
      <c r="D52" s="7">
        <f>(Table534567910[[#This Row],[Value]]-B40)/B40</f>
        <v>1.2544392255699463E-2</v>
      </c>
      <c r="E52" s="16">
        <v>0.02</v>
      </c>
      <c r="F52" s="15"/>
    </row>
    <row r="53" spans="1:6" x14ac:dyDescent="0.35">
      <c r="A53" s="60">
        <v>23012</v>
      </c>
      <c r="B53" s="58">
        <f>VLOOKUP(Table534567910[[#This Row],[Date]],Database!A:E,MATCH($A$1,Database!$A$1:$E$1,),)</f>
        <v>17.710999999999999</v>
      </c>
      <c r="C53" s="8">
        <f t="shared" si="0"/>
        <v>1.9234032924138101E-3</v>
      </c>
      <c r="D53" s="7">
        <f>(Table534567910[[#This Row],[Value]]-B41)/B41</f>
        <v>1.3331044741961149E-2</v>
      </c>
      <c r="E53" s="16">
        <v>0.02</v>
      </c>
      <c r="F53" s="15"/>
    </row>
    <row r="54" spans="1:6" x14ac:dyDescent="0.35">
      <c r="A54" s="60">
        <v>23043</v>
      </c>
      <c r="B54" s="58">
        <f>VLOOKUP(Table534567910[[#This Row],[Date]],Database!A:E,MATCH($A$1,Database!$A$1:$E$1,),)</f>
        <v>17.731000000000002</v>
      </c>
      <c r="C54" s="8">
        <f t="shared" si="0"/>
        <v>1.1292417141890987E-3</v>
      </c>
      <c r="D54" s="7">
        <f>(Table534567910[[#This Row],[Value]]-B42)/B42</f>
        <v>1.2794882047181138E-2</v>
      </c>
      <c r="E54" s="16">
        <v>0.02</v>
      </c>
      <c r="F54" s="15"/>
    </row>
    <row r="55" spans="1:6" x14ac:dyDescent="0.35">
      <c r="A55" s="60">
        <v>23071</v>
      </c>
      <c r="B55" s="58">
        <f>VLOOKUP(Table534567910[[#This Row],[Date]],Database!A:E,MATCH($A$1,Database!$A$1:$E$1,),)</f>
        <v>17.742000000000001</v>
      </c>
      <c r="C55" s="8">
        <f t="shared" si="0"/>
        <v>6.2038238114033224E-4</v>
      </c>
      <c r="D55" s="7">
        <f>(Table534567910[[#This Row],[Value]]-B43)/B43</f>
        <v>1.1055390927741203E-2</v>
      </c>
      <c r="E55" s="16">
        <v>0.02</v>
      </c>
      <c r="F55" s="15"/>
    </row>
    <row r="56" spans="1:6" x14ac:dyDescent="0.35">
      <c r="A56" s="60">
        <v>23102</v>
      </c>
      <c r="B56" s="58">
        <f>VLOOKUP(Table534567910[[#This Row],[Date]],Database!A:E,MATCH($A$1,Database!$A$1:$E$1,),)</f>
        <v>17.763000000000002</v>
      </c>
      <c r="C56" s="8">
        <f t="shared" si="0"/>
        <v>1.1836320595198283E-3</v>
      </c>
      <c r="D56" s="7">
        <f>(Table534567910[[#This Row],[Value]]-B44)/B44</f>
        <v>1.2079083812888344E-2</v>
      </c>
      <c r="E56" s="16">
        <v>0.02</v>
      </c>
      <c r="F56" s="15"/>
    </row>
    <row r="57" spans="1:6" x14ac:dyDescent="0.35">
      <c r="A57" s="60">
        <v>23132</v>
      </c>
      <c r="B57" s="58">
        <f>VLOOKUP(Table534567910[[#This Row],[Date]],Database!A:E,MATCH($A$1,Database!$A$1:$E$1,),)</f>
        <v>17.795000000000002</v>
      </c>
      <c r="C57" s="8">
        <f t="shared" si="0"/>
        <v>1.8014974947925476E-3</v>
      </c>
      <c r="D57" s="7">
        <f>(Table534567910[[#This Row],[Value]]-B45)/B45</f>
        <v>1.2460172963131611E-2</v>
      </c>
      <c r="E57" s="16">
        <v>0.02</v>
      </c>
      <c r="F57" s="15"/>
    </row>
    <row r="58" spans="1:6" x14ac:dyDescent="0.35">
      <c r="A58" s="60">
        <v>23163</v>
      </c>
      <c r="B58" s="58">
        <f>VLOOKUP(Table534567910[[#This Row],[Date]],Database!A:E,MATCH($A$1,Database!$A$1:$E$1,),)</f>
        <v>17.826000000000001</v>
      </c>
      <c r="C58" s="8">
        <f t="shared" si="0"/>
        <v>1.7420623770721441E-3</v>
      </c>
      <c r="D58" s="7">
        <f>(Table534567910[[#This Row],[Value]]-B46)/B46</f>
        <v>1.238073602907769E-2</v>
      </c>
      <c r="E58" s="16">
        <v>0.02</v>
      </c>
      <c r="F58" s="15"/>
    </row>
    <row r="59" spans="1:6" x14ac:dyDescent="0.35">
      <c r="A59" s="60">
        <v>23193</v>
      </c>
      <c r="B59" s="58">
        <f>VLOOKUP(Table534567910[[#This Row],[Date]],Database!A:E,MATCH($A$1,Database!$A$1:$E$1,),)</f>
        <v>17.841999999999999</v>
      </c>
      <c r="C59" s="8">
        <f t="shared" si="0"/>
        <v>8.9756535397723762E-4</v>
      </c>
      <c r="D59" s="7">
        <f>(Table534567910[[#This Row],[Value]]-B47)/B47</f>
        <v>1.2426942064347593E-2</v>
      </c>
      <c r="E59" s="16">
        <v>0.02</v>
      </c>
      <c r="F59" s="15"/>
    </row>
    <row r="60" spans="1:6" x14ac:dyDescent="0.35">
      <c r="A60" s="60">
        <v>23224</v>
      </c>
      <c r="B60" s="58">
        <f>VLOOKUP(Table534567910[[#This Row],[Date]],Database!A:E,MATCH($A$1,Database!$A$1:$E$1,),)</f>
        <v>17.858000000000001</v>
      </c>
      <c r="C60" s="8">
        <f t="shared" si="0"/>
        <v>8.9676045286412914E-4</v>
      </c>
      <c r="D60" s="7">
        <f>(Table534567910[[#This Row],[Value]]-B48)/B48</f>
        <v>1.316237376602742E-2</v>
      </c>
      <c r="E60" s="16">
        <v>0.02</v>
      </c>
      <c r="F60" s="15"/>
    </row>
    <row r="61" spans="1:6" x14ac:dyDescent="0.35">
      <c r="A61" s="60">
        <v>23255</v>
      </c>
      <c r="B61" s="58">
        <f>VLOOKUP(Table534567910[[#This Row],[Date]],Database!A:E,MATCH($A$1,Database!$A$1:$E$1,),)</f>
        <v>17.89</v>
      </c>
      <c r="C61" s="8">
        <f t="shared" si="0"/>
        <v>1.7919139881285714E-3</v>
      </c>
      <c r="D61" s="7">
        <f>(Table534567910[[#This Row],[Value]]-B49)/B49</f>
        <v>1.3023782559456423E-2</v>
      </c>
      <c r="E61" s="16">
        <v>0.02</v>
      </c>
      <c r="F61" s="15"/>
    </row>
    <row r="62" spans="1:6" x14ac:dyDescent="0.35">
      <c r="A62" s="60">
        <v>23285</v>
      </c>
      <c r="B62" s="58">
        <f>VLOOKUP(Table534567910[[#This Row],[Date]],Database!A:E,MATCH($A$1,Database!$A$1:$E$1,),)</f>
        <v>17.93</v>
      </c>
      <c r="C62" s="8">
        <f t="shared" si="0"/>
        <v>2.2358859698154918E-3</v>
      </c>
      <c r="D62" s="7">
        <f>(Table534567910[[#This Row],[Value]]-B50)/B50</f>
        <v>1.5346282348943927E-2</v>
      </c>
      <c r="E62" s="16">
        <v>0.02</v>
      </c>
      <c r="F62" s="15"/>
    </row>
    <row r="63" spans="1:6" x14ac:dyDescent="0.35">
      <c r="A63" s="60">
        <v>23316</v>
      </c>
      <c r="B63" s="58">
        <f>VLOOKUP(Table534567910[[#This Row],[Date]],Database!A:E,MATCH($A$1,Database!$A$1:$E$1,),)</f>
        <v>17.946999999999999</v>
      </c>
      <c r="C63" s="8">
        <f t="shared" si="0"/>
        <v>9.4813162297821866E-4</v>
      </c>
      <c r="D63" s="7">
        <f>(Table534567910[[#This Row],[Value]]-B51)/B51</f>
        <v>1.5561339972838307E-2</v>
      </c>
      <c r="E63" s="16">
        <v>0.02</v>
      </c>
      <c r="F63" s="15"/>
    </row>
    <row r="64" spans="1:6" x14ac:dyDescent="0.35">
      <c r="A64" s="60">
        <v>23346</v>
      </c>
      <c r="B64" s="58">
        <f>VLOOKUP(Table534567910[[#This Row],[Date]],Database!A:E,MATCH($A$1,Database!$A$1:$E$1,),)</f>
        <v>17.972000000000001</v>
      </c>
      <c r="C64" s="8">
        <f t="shared" si="0"/>
        <v>1.3929904719452908E-3</v>
      </c>
      <c r="D64" s="7">
        <f>(Table534567910[[#This Row],[Value]]-B52)/B52</f>
        <v>1.6688352095943979E-2</v>
      </c>
      <c r="E64" s="16">
        <v>0.02</v>
      </c>
      <c r="F64" s="15"/>
    </row>
    <row r="65" spans="1:6" x14ac:dyDescent="0.35">
      <c r="A65" s="60">
        <v>23377</v>
      </c>
      <c r="B65" s="58">
        <f>VLOOKUP(Table534567910[[#This Row],[Date]],Database!A:E,MATCH($A$1,Database!$A$1:$E$1,),)</f>
        <v>17.997</v>
      </c>
      <c r="C65" s="8">
        <f t="shared" si="0"/>
        <v>1.3910527487201523E-3</v>
      </c>
      <c r="D65" s="7">
        <f>(Table534567910[[#This Row],[Value]]-B53)/B53</f>
        <v>1.6148156512901666E-2</v>
      </c>
      <c r="E65" s="16">
        <v>0.02</v>
      </c>
      <c r="F65" s="15"/>
    </row>
    <row r="66" spans="1:6" x14ac:dyDescent="0.35">
      <c r="A66" s="60">
        <v>23408</v>
      </c>
      <c r="B66" s="58">
        <f>VLOOKUP(Table534567910[[#This Row],[Date]],Database!A:E,MATCH($A$1,Database!$A$1:$E$1,),)</f>
        <v>18.030999999999999</v>
      </c>
      <c r="C66" s="8">
        <f t="shared" si="0"/>
        <v>1.8892037561815259E-3</v>
      </c>
      <c r="D66" s="7">
        <f>(Table534567910[[#This Row],[Value]]-B54)/B54</f>
        <v>1.6919519485646444E-2</v>
      </c>
      <c r="E66" s="16">
        <v>0.02</v>
      </c>
      <c r="F66" s="15"/>
    </row>
    <row r="67" spans="1:6" x14ac:dyDescent="0.35">
      <c r="A67" s="60">
        <v>23437</v>
      </c>
      <c r="B67" s="58">
        <f>VLOOKUP(Table534567910[[#This Row],[Date]],Database!A:E,MATCH($A$1,Database!$A$1:$E$1,),)</f>
        <v>18.047999999999998</v>
      </c>
      <c r="C67" s="8">
        <f t="shared" si="0"/>
        <v>9.4282069768728645E-4</v>
      </c>
      <c r="D67" s="7">
        <f>(Table534567910[[#This Row],[Value]]-B55)/B55</f>
        <v>1.7247210010145269E-2</v>
      </c>
      <c r="E67" s="16">
        <v>0.02</v>
      </c>
      <c r="F67" s="15"/>
    </row>
    <row r="68" spans="1:6" x14ac:dyDescent="0.35">
      <c r="A68" s="60">
        <v>23468</v>
      </c>
      <c r="B68" s="58">
        <f>VLOOKUP(Table534567910[[#This Row],[Date]],Database!A:E,MATCH($A$1,Database!$A$1:$E$1,),)</f>
        <v>18.065000000000001</v>
      </c>
      <c r="C68" s="8">
        <f t="shared" si="0"/>
        <v>9.419326241136422E-4</v>
      </c>
      <c r="D68" s="7">
        <f>(Table534567910[[#This Row],[Value]]-B56)/B56</f>
        <v>1.7001632607104633E-2</v>
      </c>
      <c r="E68" s="16">
        <v>0.02</v>
      </c>
      <c r="F68" s="15"/>
    </row>
    <row r="69" spans="1:6" x14ac:dyDescent="0.35">
      <c r="A69" s="60">
        <v>23498</v>
      </c>
      <c r="B69" s="58">
        <f>VLOOKUP(Table534567910[[#This Row],[Date]],Database!A:E,MATCH($A$1,Database!$A$1:$E$1,),)</f>
        <v>18.079999999999998</v>
      </c>
      <c r="C69" s="8">
        <f t="shared" si="0"/>
        <v>8.3033490174353808E-4</v>
      </c>
      <c r="D69" s="7">
        <f>(Table534567910[[#This Row],[Value]]-B57)/B57</f>
        <v>1.6015734756954007E-2</v>
      </c>
      <c r="E69" s="16">
        <v>0.02</v>
      </c>
      <c r="F69" s="15"/>
    </row>
    <row r="70" spans="1:6" x14ac:dyDescent="0.35">
      <c r="A70" s="60">
        <v>23529</v>
      </c>
      <c r="B70" s="58">
        <f>VLOOKUP(Table534567910[[#This Row],[Date]],Database!A:E,MATCH($A$1,Database!$A$1:$E$1,),)</f>
        <v>18.093</v>
      </c>
      <c r="C70" s="8">
        <f t="shared" ref="C70:C133" si="1">(B70-B69)/B69</f>
        <v>7.1902654867265917E-4</v>
      </c>
      <c r="D70" s="7">
        <f>(Table534567910[[#This Row],[Value]]-B58)/B58</f>
        <v>1.4978121844496772E-2</v>
      </c>
      <c r="E70" s="16">
        <v>0.02</v>
      </c>
      <c r="F70" s="15"/>
    </row>
    <row r="71" spans="1:6" x14ac:dyDescent="0.35">
      <c r="A71" s="60">
        <v>23559</v>
      </c>
      <c r="B71" s="58">
        <f>VLOOKUP(Table534567910[[#This Row],[Date]],Database!A:E,MATCH($A$1,Database!$A$1:$E$1,),)</f>
        <v>18.111000000000001</v>
      </c>
      <c r="C71" s="8">
        <f t="shared" si="1"/>
        <v>9.9485989056544979E-4</v>
      </c>
      <c r="D71" s="7">
        <f>(Table534567910[[#This Row],[Value]]-B59)/B59</f>
        <v>1.5076785113776589E-2</v>
      </c>
      <c r="E71" s="16">
        <v>0.02</v>
      </c>
      <c r="F71" s="15"/>
    </row>
    <row r="72" spans="1:6" x14ac:dyDescent="0.35">
      <c r="A72" s="60">
        <v>23590</v>
      </c>
      <c r="B72" s="58">
        <f>VLOOKUP(Table534567910[[#This Row],[Date]],Database!A:E,MATCH($A$1,Database!$A$1:$E$1,),)</f>
        <v>18.135000000000002</v>
      </c>
      <c r="C72" s="8">
        <f t="shared" si="1"/>
        <v>1.3251615040583574E-3</v>
      </c>
      <c r="D72" s="7">
        <f>(Table534567910[[#This Row],[Value]]-B60)/B60</f>
        <v>1.5511255459737989E-2</v>
      </c>
      <c r="E72" s="16">
        <v>0.02</v>
      </c>
      <c r="F72" s="15"/>
    </row>
    <row r="73" spans="1:6" x14ac:dyDescent="0.35">
      <c r="A73" s="60">
        <v>23621</v>
      </c>
      <c r="B73" s="58">
        <f>VLOOKUP(Table534567910[[#This Row],[Date]],Database!A:E,MATCH($A$1,Database!$A$1:$E$1,),)</f>
        <v>18.143000000000001</v>
      </c>
      <c r="C73" s="8">
        <f t="shared" si="1"/>
        <v>4.4113592500684412E-4</v>
      </c>
      <c r="D73" s="7">
        <f>(Table534567910[[#This Row],[Value]]-B61)/B61</f>
        <v>1.4141978759083292E-2</v>
      </c>
      <c r="E73" s="16">
        <v>0.02</v>
      </c>
      <c r="F73" s="15"/>
    </row>
    <row r="74" spans="1:6" x14ac:dyDescent="0.35">
      <c r="A74" s="60">
        <v>23651</v>
      </c>
      <c r="B74" s="58">
        <f>VLOOKUP(Table534567910[[#This Row],[Date]],Database!A:E,MATCH($A$1,Database!$A$1:$E$1,),)</f>
        <v>18.149000000000001</v>
      </c>
      <c r="C74" s="8">
        <f t="shared" si="1"/>
        <v>3.3070605743263113E-4</v>
      </c>
      <c r="D74" s="7">
        <f>(Table534567910[[#This Row],[Value]]-B62)/B62</f>
        <v>1.221416620189633E-2</v>
      </c>
      <c r="E74" s="16">
        <v>0.02</v>
      </c>
      <c r="F74" s="15"/>
    </row>
    <row r="75" spans="1:6" x14ac:dyDescent="0.35">
      <c r="A75" s="60">
        <v>23682</v>
      </c>
      <c r="B75" s="58">
        <f>VLOOKUP(Table534567910[[#This Row],[Date]],Database!A:E,MATCH($A$1,Database!$A$1:$E$1,),)</f>
        <v>18.175999999999998</v>
      </c>
      <c r="C75" s="8">
        <f t="shared" si="1"/>
        <v>1.4876852719156687E-3</v>
      </c>
      <c r="D75" s="7">
        <f>(Table534567910[[#This Row],[Value]]-B63)/B63</f>
        <v>1.2759792723017731E-2</v>
      </c>
      <c r="E75" s="16">
        <v>0.02</v>
      </c>
      <c r="F75" s="15"/>
    </row>
    <row r="76" spans="1:6" x14ac:dyDescent="0.35">
      <c r="A76" s="60">
        <v>23712</v>
      </c>
      <c r="B76" s="58">
        <f>VLOOKUP(Table534567910[[#This Row],[Date]],Database!A:E,MATCH($A$1,Database!$A$1:$E$1,),)</f>
        <v>18.201000000000001</v>
      </c>
      <c r="C76" s="8">
        <f t="shared" si="1"/>
        <v>1.3754401408451879E-3</v>
      </c>
      <c r="D76" s="7">
        <f>(Table534567910[[#This Row],[Value]]-B64)/B64</f>
        <v>1.2742043178277275E-2</v>
      </c>
      <c r="E76" s="16">
        <v>0.02</v>
      </c>
      <c r="F76" s="15"/>
    </row>
    <row r="77" spans="1:6" x14ac:dyDescent="0.35">
      <c r="A77" s="60">
        <v>23743</v>
      </c>
      <c r="B77" s="58">
        <f>VLOOKUP(Table534567910[[#This Row],[Date]],Database!A:E,MATCH($A$1,Database!$A$1:$E$1,),)</f>
        <v>18.225999999999999</v>
      </c>
      <c r="C77" s="8">
        <f t="shared" si="1"/>
        <v>1.3735509037964167E-3</v>
      </c>
      <c r="D77" s="7">
        <f>(Table534567910[[#This Row],[Value]]-B65)/B65</f>
        <v>1.2724342946046518E-2</v>
      </c>
      <c r="E77" s="16">
        <v>0.02</v>
      </c>
      <c r="F77" s="15"/>
    </row>
    <row r="78" spans="1:6" x14ac:dyDescent="0.35">
      <c r="A78" s="60">
        <v>23774</v>
      </c>
      <c r="B78" s="58">
        <f>VLOOKUP(Table534567910[[#This Row],[Date]],Database!A:E,MATCH($A$1,Database!$A$1:$E$1,),)</f>
        <v>18.248000000000001</v>
      </c>
      <c r="C78" s="8">
        <f t="shared" si="1"/>
        <v>1.2070668276090212E-3</v>
      </c>
      <c r="D78" s="7">
        <f>(Table534567910[[#This Row],[Value]]-B66)/B66</f>
        <v>1.203482890577352E-2</v>
      </c>
      <c r="E78" s="16">
        <v>0.02</v>
      </c>
      <c r="F78" s="15"/>
    </row>
    <row r="79" spans="1:6" x14ac:dyDescent="0.35">
      <c r="A79" s="60">
        <v>23802</v>
      </c>
      <c r="B79" s="58">
        <f>VLOOKUP(Table534567910[[#This Row],[Date]],Database!A:E,MATCH($A$1,Database!$A$1:$E$1,),)</f>
        <v>18.257999999999999</v>
      </c>
      <c r="C79" s="8">
        <f t="shared" si="1"/>
        <v>5.4800526085039506E-4</v>
      </c>
      <c r="D79" s="7">
        <f>(Table534567910[[#This Row],[Value]]-B67)/B67</f>
        <v>1.1635638297872388E-2</v>
      </c>
      <c r="E79" s="16">
        <v>0.02</v>
      </c>
      <c r="F79" s="15"/>
    </row>
    <row r="80" spans="1:6" x14ac:dyDescent="0.35">
      <c r="A80" s="60">
        <v>23833</v>
      </c>
      <c r="B80" s="58">
        <f>VLOOKUP(Table534567910[[#This Row],[Date]],Database!A:E,MATCH($A$1,Database!$A$1:$E$1,),)</f>
        <v>18.28</v>
      </c>
      <c r="C80" s="8">
        <f t="shared" si="1"/>
        <v>1.2049512542448252E-3</v>
      </c>
      <c r="D80" s="7">
        <f>(Table534567910[[#This Row],[Value]]-B68)/B68</f>
        <v>1.1901466924993071E-2</v>
      </c>
      <c r="E80" s="16">
        <v>0.02</v>
      </c>
      <c r="F80" s="15"/>
    </row>
    <row r="81" spans="1:6" x14ac:dyDescent="0.35">
      <c r="A81" s="60">
        <v>23863</v>
      </c>
      <c r="B81" s="58">
        <f>VLOOKUP(Table534567910[[#This Row],[Date]],Database!A:E,MATCH($A$1,Database!$A$1:$E$1,),)</f>
        <v>18.314</v>
      </c>
      <c r="C81" s="8">
        <f t="shared" si="1"/>
        <v>1.859956236323792E-3</v>
      </c>
      <c r="D81" s="7">
        <f>(Table534567910[[#This Row],[Value]]-B69)/B69</f>
        <v>1.2942477876106293E-2</v>
      </c>
      <c r="E81" s="16">
        <v>0.02</v>
      </c>
      <c r="F81" s="15"/>
    </row>
    <row r="82" spans="1:6" x14ac:dyDescent="0.35">
      <c r="A82" s="60">
        <v>23894</v>
      </c>
      <c r="B82" s="58">
        <f>VLOOKUP(Table534567910[[#This Row],[Date]],Database!A:E,MATCH($A$1,Database!$A$1:$E$1,),)</f>
        <v>18.309000000000001</v>
      </c>
      <c r="C82" s="8">
        <f t="shared" si="1"/>
        <v>-2.7301517964393388E-4</v>
      </c>
      <c r="D82" s="7">
        <f>(Table534567910[[#This Row],[Value]]-B70)/B70</f>
        <v>1.1938318686785004E-2</v>
      </c>
      <c r="E82" s="16">
        <v>0.02</v>
      </c>
      <c r="F82" s="15"/>
    </row>
    <row r="83" spans="1:6" x14ac:dyDescent="0.35">
      <c r="A83" s="60">
        <v>23924</v>
      </c>
      <c r="B83" s="58">
        <f>VLOOKUP(Table534567910[[#This Row],[Date]],Database!A:E,MATCH($A$1,Database!$A$1:$E$1,),)</f>
        <v>18.327000000000002</v>
      </c>
      <c r="C83" s="8">
        <f t="shared" si="1"/>
        <v>9.8312305423565896E-4</v>
      </c>
      <c r="D83" s="7">
        <f>(Table534567910[[#This Row],[Value]]-B71)/B71</f>
        <v>1.1926453536524823E-2</v>
      </c>
      <c r="E83" s="16">
        <v>0.02</v>
      </c>
      <c r="F83" s="15"/>
    </row>
    <row r="84" spans="1:6" x14ac:dyDescent="0.35">
      <c r="A84" s="60">
        <v>23955</v>
      </c>
      <c r="B84" s="58">
        <f>VLOOKUP(Table534567910[[#This Row],[Date]],Database!A:E,MATCH($A$1,Database!$A$1:$E$1,),)</f>
        <v>18.361999999999998</v>
      </c>
      <c r="C84" s="8">
        <f t="shared" si="1"/>
        <v>1.9097506411303862E-3</v>
      </c>
      <c r="D84" s="7">
        <f>(Table534567910[[#This Row],[Value]]-B72)/B72</f>
        <v>1.2517231872070402E-2</v>
      </c>
      <c r="E84" s="16">
        <v>0.02</v>
      </c>
      <c r="F84" s="15"/>
    </row>
    <row r="85" spans="1:6" x14ac:dyDescent="0.35">
      <c r="A85" s="60">
        <v>23986</v>
      </c>
      <c r="B85" s="58">
        <f>VLOOKUP(Table534567910[[#This Row],[Date]],Database!A:E,MATCH($A$1,Database!$A$1:$E$1,),)</f>
        <v>18.384</v>
      </c>
      <c r="C85" s="8">
        <f t="shared" si="1"/>
        <v>1.1981265657336902E-3</v>
      </c>
      <c r="D85" s="7">
        <f>(Table534567910[[#This Row],[Value]]-B73)/B73</f>
        <v>1.3283359973543496E-2</v>
      </c>
      <c r="E85" s="16">
        <v>0.02</v>
      </c>
      <c r="F85" s="15"/>
    </row>
    <row r="86" spans="1:6" x14ac:dyDescent="0.35">
      <c r="A86" s="60">
        <v>24016</v>
      </c>
      <c r="B86" s="58">
        <f>VLOOKUP(Table534567910[[#This Row],[Date]],Database!A:E,MATCH($A$1,Database!$A$1:$E$1,),)</f>
        <v>18.376999999999999</v>
      </c>
      <c r="C86" s="8">
        <f t="shared" si="1"/>
        <v>-3.8076588337692828E-4</v>
      </c>
      <c r="D86" s="7">
        <f>(Table534567910[[#This Row],[Value]]-B74)/B74</f>
        <v>1.2562675629511156E-2</v>
      </c>
      <c r="E86" s="16">
        <v>0.02</v>
      </c>
      <c r="F86" s="15"/>
    </row>
    <row r="87" spans="1:6" x14ac:dyDescent="0.35">
      <c r="A87" s="60">
        <v>24047</v>
      </c>
      <c r="B87" s="58">
        <f>VLOOKUP(Table534567910[[#This Row],[Date]],Database!A:E,MATCH($A$1,Database!$A$1:$E$1,),)</f>
        <v>18.411000000000001</v>
      </c>
      <c r="C87" s="8">
        <f t="shared" si="1"/>
        <v>1.8501387604071653E-3</v>
      </c>
      <c r="D87" s="7">
        <f>(Table534567910[[#This Row],[Value]]-B75)/B75</f>
        <v>1.2929137323943827E-2</v>
      </c>
      <c r="E87" s="16">
        <v>0.02</v>
      </c>
      <c r="F87" s="15"/>
    </row>
    <row r="88" spans="1:6" x14ac:dyDescent="0.35">
      <c r="A88" s="60">
        <v>24077</v>
      </c>
      <c r="B88" s="58">
        <f>VLOOKUP(Table534567910[[#This Row],[Date]],Database!A:E,MATCH($A$1,Database!$A$1:$E$1,),)</f>
        <v>18.466999999999999</v>
      </c>
      <c r="C88" s="8">
        <f t="shared" si="1"/>
        <v>3.0416598772471555E-3</v>
      </c>
      <c r="D88" s="7">
        <f>(Table534567910[[#This Row],[Value]]-B76)/B76</f>
        <v>1.4614581616394607E-2</v>
      </c>
      <c r="E88" s="16">
        <v>0.02</v>
      </c>
      <c r="F88" s="15"/>
    </row>
    <row r="89" spans="1:6" x14ac:dyDescent="0.35">
      <c r="A89" s="60">
        <v>24108</v>
      </c>
      <c r="B89" s="58">
        <f>VLOOKUP(Table534567910[[#This Row],[Date]],Database!A:E,MATCH($A$1,Database!$A$1:$E$1,),)</f>
        <v>18.472999999999999</v>
      </c>
      <c r="C89" s="8">
        <f t="shared" si="1"/>
        <v>3.2490388260140941E-4</v>
      </c>
      <c r="D89" s="7">
        <f>(Table534567910[[#This Row],[Value]]-B77)/B77</f>
        <v>1.3552068473609125E-2</v>
      </c>
      <c r="E89" s="16">
        <v>0.02</v>
      </c>
      <c r="F89" s="15"/>
    </row>
    <row r="90" spans="1:6" x14ac:dyDescent="0.35">
      <c r="A90" s="60">
        <v>24139</v>
      </c>
      <c r="B90" s="58">
        <f>VLOOKUP(Table534567910[[#This Row],[Date]],Database!A:E,MATCH($A$1,Database!$A$1:$E$1,),)</f>
        <v>18.518000000000001</v>
      </c>
      <c r="C90" s="8">
        <f t="shared" si="1"/>
        <v>2.4359876576626267E-3</v>
      </c>
      <c r="D90" s="7">
        <f>(Table534567910[[#This Row],[Value]]-B78)/B78</f>
        <v>1.4796142042963588E-2</v>
      </c>
      <c r="E90" s="16">
        <v>0.02</v>
      </c>
      <c r="F90" s="15"/>
    </row>
    <row r="91" spans="1:6" x14ac:dyDescent="0.35">
      <c r="A91" s="60">
        <v>24167</v>
      </c>
      <c r="B91" s="58">
        <f>VLOOKUP(Table534567910[[#This Row],[Date]],Database!A:E,MATCH($A$1,Database!$A$1:$E$1,),)</f>
        <v>18.542000000000002</v>
      </c>
      <c r="C91" s="8">
        <f t="shared" si="1"/>
        <v>1.2960362890161415E-3</v>
      </c>
      <c r="D91" s="7">
        <f>(Table534567910[[#This Row],[Value]]-B79)/B79</f>
        <v>1.5554825282068271E-2</v>
      </c>
      <c r="E91" s="16">
        <v>0.02</v>
      </c>
      <c r="F91" s="15"/>
    </row>
    <row r="92" spans="1:6" x14ac:dyDescent="0.35">
      <c r="A92" s="60">
        <v>24198</v>
      </c>
      <c r="B92" s="58">
        <f>VLOOKUP(Table534567910[[#This Row],[Date]],Database!A:E,MATCH($A$1,Database!$A$1:$E$1,),)</f>
        <v>18.608000000000001</v>
      </c>
      <c r="C92" s="8">
        <f t="shared" si="1"/>
        <v>3.5594865710278797E-3</v>
      </c>
      <c r="D92" s="7">
        <f>(Table534567910[[#This Row],[Value]]-B80)/B80</f>
        <v>1.7943107221006532E-2</v>
      </c>
      <c r="E92" s="16">
        <v>0.02</v>
      </c>
      <c r="F92" s="15"/>
    </row>
    <row r="93" spans="1:6" x14ac:dyDescent="0.35">
      <c r="A93" s="60">
        <v>24228</v>
      </c>
      <c r="B93" s="58">
        <f>VLOOKUP(Table534567910[[#This Row],[Date]],Database!A:E,MATCH($A$1,Database!$A$1:$E$1,),)</f>
        <v>18.657</v>
      </c>
      <c r="C93" s="8">
        <f t="shared" si="1"/>
        <v>2.6332760103181152E-3</v>
      </c>
      <c r="D93" s="7">
        <f>(Table534567910[[#This Row],[Value]]-B81)/B81</f>
        <v>1.8728841323577588E-2</v>
      </c>
      <c r="E93" s="16">
        <v>0.02</v>
      </c>
      <c r="F93" s="15"/>
    </row>
    <row r="94" spans="1:6" x14ac:dyDescent="0.35">
      <c r="A94" s="60">
        <v>24259</v>
      </c>
      <c r="B94" s="58">
        <f>VLOOKUP(Table534567910[[#This Row],[Date]],Database!A:E,MATCH($A$1,Database!$A$1:$E$1,),)</f>
        <v>18.718</v>
      </c>
      <c r="C94" s="8">
        <f t="shared" si="1"/>
        <v>3.2695503028353939E-3</v>
      </c>
      <c r="D94" s="7">
        <f>(Table534567910[[#This Row],[Value]]-B82)/B82</f>
        <v>2.2338740510131568E-2</v>
      </c>
      <c r="E94" s="16">
        <v>0.02</v>
      </c>
      <c r="F94" s="15"/>
    </row>
    <row r="95" spans="1:6" x14ac:dyDescent="0.35">
      <c r="A95" s="60">
        <v>24289</v>
      </c>
      <c r="B95" s="58">
        <f>VLOOKUP(Table534567910[[#This Row],[Date]],Database!A:E,MATCH($A$1,Database!$A$1:$E$1,),)</f>
        <v>18.773</v>
      </c>
      <c r="C95" s="8">
        <f t="shared" si="1"/>
        <v>2.9383481141147406E-3</v>
      </c>
      <c r="D95" s="7">
        <f>(Table534567910[[#This Row],[Value]]-B83)/B83</f>
        <v>2.4335679598406608E-2</v>
      </c>
      <c r="E95" s="16">
        <v>0.02</v>
      </c>
      <c r="F95" s="15"/>
    </row>
    <row r="96" spans="1:6" x14ac:dyDescent="0.35">
      <c r="A96" s="60">
        <v>24320</v>
      </c>
      <c r="B96" s="58">
        <f>VLOOKUP(Table534567910[[#This Row],[Date]],Database!A:E,MATCH($A$1,Database!$A$1:$E$1,),)</f>
        <v>18.806999999999999</v>
      </c>
      <c r="C96" s="8">
        <f t="shared" si="1"/>
        <v>1.8111117029776232E-3</v>
      </c>
      <c r="D96" s="7">
        <f>(Table534567910[[#This Row],[Value]]-B84)/B84</f>
        <v>2.4234832806883801E-2</v>
      </c>
      <c r="E96" s="16">
        <v>0.02</v>
      </c>
      <c r="F96" s="15"/>
    </row>
    <row r="97" spans="1:6" x14ac:dyDescent="0.35">
      <c r="A97" s="60">
        <v>24351</v>
      </c>
      <c r="B97" s="58">
        <f>VLOOKUP(Table534567910[[#This Row],[Date]],Database!A:E,MATCH($A$1,Database!$A$1:$E$1,),)</f>
        <v>18.864999999999998</v>
      </c>
      <c r="C97" s="8">
        <f t="shared" si="1"/>
        <v>3.0839581007071747E-3</v>
      </c>
      <c r="D97" s="7">
        <f>(Table534567910[[#This Row],[Value]]-B85)/B85</f>
        <v>2.6164055700609121E-2</v>
      </c>
      <c r="E97" s="16">
        <v>0.02</v>
      </c>
      <c r="F97" s="15"/>
    </row>
    <row r="98" spans="1:6" x14ac:dyDescent="0.35">
      <c r="A98" s="60">
        <v>24381</v>
      </c>
      <c r="B98" s="58">
        <f>VLOOKUP(Table534567910[[#This Row],[Date]],Database!A:E,MATCH($A$1,Database!$A$1:$E$1,),)</f>
        <v>18.927</v>
      </c>
      <c r="C98" s="8">
        <f t="shared" si="1"/>
        <v>3.2865094089584504E-3</v>
      </c>
      <c r="D98" s="7">
        <f>(Table534567910[[#This Row],[Value]]-B86)/B86</f>
        <v>2.9928715241878477E-2</v>
      </c>
      <c r="E98" s="16">
        <v>0.02</v>
      </c>
      <c r="F98" s="15"/>
    </row>
    <row r="99" spans="1:6" x14ac:dyDescent="0.35">
      <c r="A99" s="60">
        <v>24412</v>
      </c>
      <c r="B99" s="58">
        <f>VLOOKUP(Table534567910[[#This Row],[Date]],Database!A:E,MATCH($A$1,Database!$A$1:$E$1,),)</f>
        <v>18.975000000000001</v>
      </c>
      <c r="C99" s="8">
        <f t="shared" si="1"/>
        <v>2.5360595974006353E-3</v>
      </c>
      <c r="D99" s="7">
        <f>(Table534567910[[#This Row],[Value]]-B87)/B87</f>
        <v>3.0633860192276357E-2</v>
      </c>
      <c r="E99" s="16">
        <v>0.02</v>
      </c>
      <c r="F99" s="15"/>
    </row>
    <row r="100" spans="1:6" x14ac:dyDescent="0.35">
      <c r="A100" s="60">
        <v>24442</v>
      </c>
      <c r="B100" s="58">
        <f>VLOOKUP(Table534567910[[#This Row],[Date]],Database!A:E,MATCH($A$1,Database!$A$1:$E$1,),)</f>
        <v>19.032</v>
      </c>
      <c r="C100" s="8">
        <f t="shared" si="1"/>
        <v>3.0039525691698868E-3</v>
      </c>
      <c r="D100" s="7">
        <f>(Table534567910[[#This Row],[Value]]-B88)/B88</f>
        <v>3.059511561163163E-2</v>
      </c>
      <c r="E100" s="16">
        <v>0.02</v>
      </c>
      <c r="F100" s="15"/>
    </row>
    <row r="101" spans="1:6" x14ac:dyDescent="0.35">
      <c r="A101" s="60">
        <v>24473</v>
      </c>
      <c r="B101" s="58">
        <f>VLOOKUP(Table534567910[[#This Row],[Date]],Database!A:E,MATCH($A$1,Database!$A$1:$E$1,),)</f>
        <v>19.05</v>
      </c>
      <c r="C101" s="8">
        <f t="shared" si="1"/>
        <v>9.4577553593950625E-4</v>
      </c>
      <c r="D101" s="7">
        <f>(Table534567910[[#This Row],[Value]]-B89)/B89</f>
        <v>3.1234775077139704E-2</v>
      </c>
      <c r="E101" s="16">
        <v>0.02</v>
      </c>
      <c r="F101" s="15"/>
    </row>
    <row r="102" spans="1:6" x14ac:dyDescent="0.35">
      <c r="A102" s="60">
        <v>24504</v>
      </c>
      <c r="B102" s="58">
        <f>VLOOKUP(Table534567910[[#This Row],[Date]],Database!A:E,MATCH($A$1,Database!$A$1:$E$1,),)</f>
        <v>19.084</v>
      </c>
      <c r="C102" s="8">
        <f t="shared" si="1"/>
        <v>1.7847769028870824E-3</v>
      </c>
      <c r="D102" s="7">
        <f>(Table534567910[[#This Row],[Value]]-B90)/B90</f>
        <v>3.0564855815962789E-2</v>
      </c>
      <c r="E102" s="16">
        <v>0.02</v>
      </c>
      <c r="F102" s="15"/>
    </row>
    <row r="103" spans="1:6" x14ac:dyDescent="0.35">
      <c r="A103" s="60">
        <v>24532</v>
      </c>
      <c r="B103" s="58">
        <f>VLOOKUP(Table534567910[[#This Row],[Date]],Database!A:E,MATCH($A$1,Database!$A$1:$E$1,),)</f>
        <v>19.113</v>
      </c>
      <c r="C103" s="8">
        <f t="shared" si="1"/>
        <v>1.5195975686438858E-3</v>
      </c>
      <c r="D103" s="7">
        <f>(Table534567910[[#This Row],[Value]]-B91)/B91</f>
        <v>3.0794952000862793E-2</v>
      </c>
      <c r="E103" s="16">
        <v>0.02</v>
      </c>
      <c r="F103" s="15"/>
    </row>
    <row r="104" spans="1:6" x14ac:dyDescent="0.35">
      <c r="A104" s="60">
        <v>24563</v>
      </c>
      <c r="B104" s="58">
        <f>VLOOKUP(Table534567910[[#This Row],[Date]],Database!A:E,MATCH($A$1,Database!$A$1:$E$1,),)</f>
        <v>19.164999999999999</v>
      </c>
      <c r="C104" s="8">
        <f t="shared" si="1"/>
        <v>2.7206613299848065E-3</v>
      </c>
      <c r="D104" s="7">
        <f>(Table534567910[[#This Row],[Value]]-B92)/B92</f>
        <v>2.9933361994840854E-2</v>
      </c>
      <c r="E104" s="16">
        <v>0.02</v>
      </c>
      <c r="F104" s="15"/>
    </row>
    <row r="105" spans="1:6" x14ac:dyDescent="0.35">
      <c r="A105" s="60">
        <v>24593</v>
      </c>
      <c r="B105" s="58">
        <f>VLOOKUP(Table534567910[[#This Row],[Date]],Database!A:E,MATCH($A$1,Database!$A$1:$E$1,),)</f>
        <v>19.207999999999998</v>
      </c>
      <c r="C105" s="8">
        <f t="shared" si="1"/>
        <v>2.2436733629010832E-3</v>
      </c>
      <c r="D105" s="7">
        <f>(Table534567910[[#This Row],[Value]]-B93)/B93</f>
        <v>2.9533151096103251E-2</v>
      </c>
      <c r="E105" s="16">
        <v>0.02</v>
      </c>
      <c r="F105" s="15"/>
    </row>
    <row r="106" spans="1:6" x14ac:dyDescent="0.35">
      <c r="A106" s="60">
        <v>24624</v>
      </c>
      <c r="B106" s="58">
        <f>VLOOKUP(Table534567910[[#This Row],[Date]],Database!A:E,MATCH($A$1,Database!$A$1:$E$1,),)</f>
        <v>19.257000000000001</v>
      </c>
      <c r="C106" s="8">
        <f t="shared" si="1"/>
        <v>2.5510204081634238E-3</v>
      </c>
      <c r="D106" s="7">
        <f>(Table534567910[[#This Row],[Value]]-B94)/B94</f>
        <v>2.8795811518324686E-2</v>
      </c>
      <c r="E106" s="16">
        <v>0.02</v>
      </c>
      <c r="F106" s="15"/>
    </row>
    <row r="107" spans="1:6" x14ac:dyDescent="0.35">
      <c r="A107" s="60">
        <v>24654</v>
      </c>
      <c r="B107" s="58">
        <f>VLOOKUP(Table534567910[[#This Row],[Date]],Database!A:E,MATCH($A$1,Database!$A$1:$E$1,),)</f>
        <v>19.321999999999999</v>
      </c>
      <c r="C107" s="8">
        <f t="shared" si="1"/>
        <v>3.3753959599105636E-3</v>
      </c>
      <c r="D107" s="7">
        <f>(Table534567910[[#This Row],[Value]]-B95)/B95</f>
        <v>2.9244127203963112E-2</v>
      </c>
      <c r="E107" s="16">
        <v>0.02</v>
      </c>
      <c r="F107" s="15"/>
    </row>
    <row r="108" spans="1:6" x14ac:dyDescent="0.35">
      <c r="A108" s="60">
        <v>24685</v>
      </c>
      <c r="B108" s="58">
        <f>VLOOKUP(Table534567910[[#This Row],[Date]],Database!A:E,MATCH($A$1,Database!$A$1:$E$1,),)</f>
        <v>19.382000000000001</v>
      </c>
      <c r="C108" s="8">
        <f t="shared" si="1"/>
        <v>3.1052686057345138E-3</v>
      </c>
      <c r="D108" s="7">
        <f>(Table534567910[[#This Row],[Value]]-B96)/B96</f>
        <v>3.0573722550114472E-2</v>
      </c>
      <c r="E108" s="16">
        <v>0.02</v>
      </c>
      <c r="F108" s="15"/>
    </row>
    <row r="109" spans="1:6" x14ac:dyDescent="0.35">
      <c r="A109" s="60">
        <v>24716</v>
      </c>
      <c r="B109" s="58">
        <f>VLOOKUP(Table534567910[[#This Row],[Date]],Database!A:E,MATCH($A$1,Database!$A$1:$E$1,),)</f>
        <v>19.45</v>
      </c>
      <c r="C109" s="8">
        <f t="shared" si="1"/>
        <v>3.50840986482292E-3</v>
      </c>
      <c r="D109" s="7">
        <f>(Table534567910[[#This Row],[Value]]-B97)/B97</f>
        <v>3.100980652001065E-2</v>
      </c>
      <c r="E109" s="16">
        <v>0.02</v>
      </c>
      <c r="F109" s="15"/>
    </row>
    <row r="110" spans="1:6" x14ac:dyDescent="0.35">
      <c r="A110" s="60">
        <v>24746</v>
      </c>
      <c r="B110" s="58">
        <f>VLOOKUP(Table534567910[[#This Row],[Date]],Database!A:E,MATCH($A$1,Database!$A$1:$E$1,),)</f>
        <v>19.523</v>
      </c>
      <c r="C110" s="8">
        <f t="shared" si="1"/>
        <v>3.7532133676092751E-3</v>
      </c>
      <c r="D110" s="7">
        <f>(Table534567910[[#This Row],[Value]]-B98)/B98</f>
        <v>3.148940666772336E-2</v>
      </c>
      <c r="E110" s="16">
        <v>0.02</v>
      </c>
      <c r="F110" s="15"/>
    </row>
    <row r="111" spans="1:6" x14ac:dyDescent="0.35">
      <c r="A111" s="60">
        <v>24777</v>
      </c>
      <c r="B111" s="58">
        <f>VLOOKUP(Table534567910[[#This Row],[Date]],Database!A:E,MATCH($A$1,Database!$A$1:$E$1,),)</f>
        <v>19.585000000000001</v>
      </c>
      <c r="C111" s="8">
        <f t="shared" si="1"/>
        <v>3.1757414331814358E-3</v>
      </c>
      <c r="D111" s="7">
        <f>(Table534567910[[#This Row],[Value]]-B99)/B99</f>
        <v>3.2147562582345156E-2</v>
      </c>
      <c r="E111" s="16">
        <v>0.02</v>
      </c>
      <c r="F111" s="15"/>
    </row>
    <row r="112" spans="1:6" x14ac:dyDescent="0.35">
      <c r="A112" s="60">
        <v>24807</v>
      </c>
      <c r="B112" s="58">
        <f>VLOOKUP(Table534567910[[#This Row],[Date]],Database!A:E,MATCH($A$1,Database!$A$1:$E$1,),)</f>
        <v>19.632999999999999</v>
      </c>
      <c r="C112" s="8">
        <f t="shared" si="1"/>
        <v>2.4508552463619231E-3</v>
      </c>
      <c r="D112" s="7">
        <f>(Table534567910[[#This Row],[Value]]-B100)/B100</f>
        <v>3.1578394283312265E-2</v>
      </c>
      <c r="E112" s="16">
        <v>0.02</v>
      </c>
      <c r="F112" s="15"/>
    </row>
    <row r="113" spans="1:6" x14ac:dyDescent="0.35">
      <c r="A113" s="60">
        <v>24838</v>
      </c>
      <c r="B113" s="58">
        <f>VLOOKUP(Table534567910[[#This Row],[Date]],Database!A:E,MATCH($A$1,Database!$A$1:$E$1,),)</f>
        <v>19.72</v>
      </c>
      <c r="C113" s="8">
        <f t="shared" si="1"/>
        <v>4.4313146233382443E-3</v>
      </c>
      <c r="D113" s="7">
        <f>(Table534567910[[#This Row],[Value]]-B101)/B101</f>
        <v>3.5170603674540585E-2</v>
      </c>
      <c r="E113" s="16">
        <v>0.02</v>
      </c>
      <c r="F113" s="15"/>
    </row>
    <row r="114" spans="1:6" x14ac:dyDescent="0.35">
      <c r="A114" s="60">
        <v>24869</v>
      </c>
      <c r="B114" s="58">
        <f>VLOOKUP(Table534567910[[#This Row],[Date]],Database!A:E,MATCH($A$1,Database!$A$1:$E$1,),)</f>
        <v>19.805</v>
      </c>
      <c r="C114" s="8">
        <f t="shared" si="1"/>
        <v>4.3103448275862502E-3</v>
      </c>
      <c r="D114" s="7">
        <f>(Table534567910[[#This Row],[Value]]-B102)/B102</f>
        <v>3.7780339551456724E-2</v>
      </c>
      <c r="E114" s="16">
        <v>0.02</v>
      </c>
      <c r="F114" s="15"/>
    </row>
    <row r="115" spans="1:6" x14ac:dyDescent="0.35">
      <c r="A115" s="60">
        <v>24898</v>
      </c>
      <c r="B115" s="58">
        <f>VLOOKUP(Table534567910[[#This Row],[Date]],Database!A:E,MATCH($A$1,Database!$A$1:$E$1,),)</f>
        <v>19.884</v>
      </c>
      <c r="C115" s="8">
        <f t="shared" si="1"/>
        <v>3.9888916940166944E-3</v>
      </c>
      <c r="D115" s="7">
        <f>(Table534567910[[#This Row],[Value]]-B103)/B103</f>
        <v>4.0339036258044303E-2</v>
      </c>
      <c r="E115" s="16">
        <v>0.02</v>
      </c>
      <c r="F115" s="15"/>
    </row>
    <row r="116" spans="1:6" x14ac:dyDescent="0.35">
      <c r="A116" s="60">
        <v>24929</v>
      </c>
      <c r="B116" s="58">
        <f>VLOOKUP(Table534567910[[#This Row],[Date]],Database!A:E,MATCH($A$1,Database!$A$1:$E$1,),)</f>
        <v>19.957000000000001</v>
      </c>
      <c r="C116" s="8">
        <f t="shared" si="1"/>
        <v>3.6712935023134378E-3</v>
      </c>
      <c r="D116" s="7">
        <f>(Table534567910[[#This Row],[Value]]-B104)/B104</f>
        <v>4.1325332637620747E-2</v>
      </c>
      <c r="E116" s="16">
        <v>0.02</v>
      </c>
      <c r="F116" s="15"/>
    </row>
    <row r="117" spans="1:6" x14ac:dyDescent="0.35">
      <c r="A117" s="60">
        <v>24959</v>
      </c>
      <c r="B117" s="58">
        <f>VLOOKUP(Table534567910[[#This Row],[Date]],Database!A:E,MATCH($A$1,Database!$A$1:$E$1,),)</f>
        <v>20.033000000000001</v>
      </c>
      <c r="C117" s="8">
        <f t="shared" si="1"/>
        <v>3.8081876033472218E-3</v>
      </c>
      <c r="D117" s="7">
        <f>(Table534567910[[#This Row],[Value]]-B105)/B105</f>
        <v>4.2950853810912272E-2</v>
      </c>
      <c r="E117" s="16">
        <v>0.02</v>
      </c>
      <c r="F117" s="15"/>
    </row>
    <row r="118" spans="1:6" x14ac:dyDescent="0.35">
      <c r="A118" s="60">
        <v>24990</v>
      </c>
      <c r="B118" s="58">
        <f>VLOOKUP(Table534567910[[#This Row],[Date]],Database!A:E,MATCH($A$1,Database!$A$1:$E$1,),)</f>
        <v>20.111000000000001</v>
      </c>
      <c r="C118" s="8">
        <f t="shared" si="1"/>
        <v>3.8935756002595415E-3</v>
      </c>
      <c r="D118" s="7">
        <f>(Table534567910[[#This Row],[Value]]-B106)/B106</f>
        <v>4.4347509996364914E-2</v>
      </c>
      <c r="E118" s="16">
        <v>0.02</v>
      </c>
      <c r="F118" s="15"/>
    </row>
    <row r="119" spans="1:6" x14ac:dyDescent="0.35">
      <c r="A119" s="60">
        <v>25020</v>
      </c>
      <c r="B119" s="58">
        <f>VLOOKUP(Table534567910[[#This Row],[Date]],Database!A:E,MATCH($A$1,Database!$A$1:$E$1,),)</f>
        <v>20.178000000000001</v>
      </c>
      <c r="C119" s="8">
        <f t="shared" si="1"/>
        <v>3.3315101188404438E-3</v>
      </c>
      <c r="D119" s="7">
        <f>(Table534567910[[#This Row],[Value]]-B107)/B107</f>
        <v>4.4301832108477469E-2</v>
      </c>
      <c r="E119" s="16">
        <v>0.02</v>
      </c>
      <c r="F119" s="15"/>
    </row>
    <row r="120" spans="1:6" x14ac:dyDescent="0.35">
      <c r="A120" s="60">
        <v>25051</v>
      </c>
      <c r="B120" s="58">
        <f>VLOOKUP(Table534567910[[#This Row],[Date]],Database!A:E,MATCH($A$1,Database!$A$1:$E$1,),)</f>
        <v>20.257000000000001</v>
      </c>
      <c r="C120" s="8">
        <f t="shared" si="1"/>
        <v>3.915155119437041E-3</v>
      </c>
      <c r="D120" s="7">
        <f>(Table534567910[[#This Row],[Value]]-B108)/B108</f>
        <v>4.514497987823754E-2</v>
      </c>
      <c r="E120" s="16">
        <v>0.02</v>
      </c>
      <c r="F120" s="15"/>
    </row>
    <row r="121" spans="1:6" x14ac:dyDescent="0.35">
      <c r="A121" s="60">
        <v>25082</v>
      </c>
      <c r="B121" s="58">
        <f>VLOOKUP(Table534567910[[#This Row],[Date]],Database!A:E,MATCH($A$1,Database!$A$1:$E$1,),)</f>
        <v>20.338999999999999</v>
      </c>
      <c r="C121" s="8">
        <f t="shared" si="1"/>
        <v>4.0479834131409969E-3</v>
      </c>
      <c r="D121" s="7">
        <f>(Table534567910[[#This Row],[Value]]-B109)/B109</f>
        <v>4.5706940874035956E-2</v>
      </c>
      <c r="E121" s="16">
        <v>0.02</v>
      </c>
      <c r="F121" s="15"/>
    </row>
    <row r="122" spans="1:6" x14ac:dyDescent="0.35">
      <c r="A122" s="60">
        <v>25112</v>
      </c>
      <c r="B122" s="58">
        <f>VLOOKUP(Table534567910[[#This Row],[Date]],Database!A:E,MATCH($A$1,Database!$A$1:$E$1,),)</f>
        <v>20.422000000000001</v>
      </c>
      <c r="C122" s="8">
        <f t="shared" si="1"/>
        <v>4.0808299326418199E-3</v>
      </c>
      <c r="D122" s="7">
        <f>(Table534567910[[#This Row],[Value]]-B110)/B110</f>
        <v>4.604825078113E-2</v>
      </c>
      <c r="E122" s="16">
        <v>0.02</v>
      </c>
      <c r="F122" s="15"/>
    </row>
    <row r="123" spans="1:6" x14ac:dyDescent="0.35">
      <c r="A123" s="60">
        <v>25143</v>
      </c>
      <c r="B123" s="58">
        <f>VLOOKUP(Table534567910[[#This Row],[Date]],Database!A:E,MATCH($A$1,Database!$A$1:$E$1,),)</f>
        <v>20.498000000000001</v>
      </c>
      <c r="C123" s="8">
        <f t="shared" si="1"/>
        <v>3.7214768387033841E-3</v>
      </c>
      <c r="D123" s="7">
        <f>(Table534567910[[#This Row],[Value]]-B111)/B111</f>
        <v>4.6617309165177444E-2</v>
      </c>
      <c r="E123" s="16">
        <v>0.02</v>
      </c>
      <c r="F123" s="15"/>
    </row>
    <row r="124" spans="1:6" x14ac:dyDescent="0.35">
      <c r="A124" s="60">
        <v>25173</v>
      </c>
      <c r="B124" s="58">
        <f>VLOOKUP(Table534567910[[#This Row],[Date]],Database!A:E,MATCH($A$1,Database!$A$1:$E$1,),)</f>
        <v>20.56</v>
      </c>
      <c r="C124" s="8">
        <f t="shared" si="1"/>
        <v>3.0246853351545326E-3</v>
      </c>
      <c r="D124" s="7">
        <f>(Table534567910[[#This Row],[Value]]-B112)/B112</f>
        <v>4.7216421331431752E-2</v>
      </c>
      <c r="E124" s="16">
        <v>0.02</v>
      </c>
      <c r="F124" s="15"/>
    </row>
    <row r="125" spans="1:6" x14ac:dyDescent="0.35">
      <c r="A125" s="60">
        <v>25204</v>
      </c>
      <c r="B125" s="58">
        <f>VLOOKUP(Table534567910[[#This Row],[Date]],Database!A:E,MATCH($A$1,Database!$A$1:$E$1,),)</f>
        <v>20.638000000000002</v>
      </c>
      <c r="C125" s="8">
        <f t="shared" si="1"/>
        <v>3.7937743190662918E-3</v>
      </c>
      <c r="D125" s="7">
        <f>(Table534567910[[#This Row],[Value]]-B113)/B113</f>
        <v>4.6551724137931183E-2</v>
      </c>
      <c r="E125" s="16">
        <v>0.02</v>
      </c>
      <c r="F125" s="15"/>
    </row>
    <row r="126" spans="1:6" x14ac:dyDescent="0.35">
      <c r="A126" s="60">
        <v>25235</v>
      </c>
      <c r="B126" s="58">
        <f>VLOOKUP(Table534567910[[#This Row],[Date]],Database!A:E,MATCH($A$1,Database!$A$1:$E$1,),)</f>
        <v>20.709</v>
      </c>
      <c r="C126" s="8">
        <f t="shared" si="1"/>
        <v>3.440255838743965E-3</v>
      </c>
      <c r="D126" s="7">
        <f>(Table534567910[[#This Row],[Value]]-B114)/B114</f>
        <v>4.5645039131532436E-2</v>
      </c>
      <c r="E126" s="16">
        <v>0.02</v>
      </c>
      <c r="F126" s="15"/>
    </row>
    <row r="127" spans="1:6" x14ac:dyDescent="0.35">
      <c r="A127" s="60">
        <v>25263</v>
      </c>
      <c r="B127" s="58">
        <f>VLOOKUP(Table534567910[[#This Row],[Date]],Database!A:E,MATCH($A$1,Database!$A$1:$E$1,),)</f>
        <v>20.805</v>
      </c>
      <c r="C127" s="8">
        <f t="shared" si="1"/>
        <v>4.6356656526148092E-3</v>
      </c>
      <c r="D127" s="7">
        <f>(Table534567910[[#This Row],[Value]]-B115)/B115</f>
        <v>4.6318648159324044E-2</v>
      </c>
      <c r="E127" s="16">
        <v>0.02</v>
      </c>
      <c r="F127" s="15"/>
    </row>
    <row r="128" spans="1:6" x14ac:dyDescent="0.35">
      <c r="A128" s="60">
        <v>25294</v>
      </c>
      <c r="B128" s="58">
        <f>VLOOKUP(Table534567910[[#This Row],[Date]],Database!A:E,MATCH($A$1,Database!$A$1:$E$1,),)</f>
        <v>20.885999999999999</v>
      </c>
      <c r="C128" s="8">
        <f t="shared" si="1"/>
        <v>3.8932948810381889E-3</v>
      </c>
      <c r="D128" s="7">
        <f>(Table534567910[[#This Row],[Value]]-B116)/B116</f>
        <v>4.65500826777571E-2</v>
      </c>
      <c r="E128" s="16">
        <v>0.02</v>
      </c>
      <c r="F128" s="15"/>
    </row>
    <row r="129" spans="1:6" x14ac:dyDescent="0.35">
      <c r="A129" s="60">
        <v>25324</v>
      </c>
      <c r="B129" s="58">
        <f>VLOOKUP(Table534567910[[#This Row],[Date]],Database!A:E,MATCH($A$1,Database!$A$1:$E$1,),)</f>
        <v>20.969000000000001</v>
      </c>
      <c r="C129" s="8">
        <f t="shared" si="1"/>
        <v>3.9739538446807417E-3</v>
      </c>
      <c r="D129" s="7">
        <f>(Table534567910[[#This Row],[Value]]-B117)/B117</f>
        <v>4.6722907203114852E-2</v>
      </c>
      <c r="E129" s="16">
        <v>0.02</v>
      </c>
      <c r="F129" s="15"/>
    </row>
    <row r="130" spans="1:6" x14ac:dyDescent="0.35">
      <c r="A130" s="60">
        <v>25355</v>
      </c>
      <c r="B130" s="58">
        <f>VLOOKUP(Table534567910[[#This Row],[Date]],Database!A:E,MATCH($A$1,Database!$A$1:$E$1,),)</f>
        <v>21.041</v>
      </c>
      <c r="C130" s="8">
        <f t="shared" si="1"/>
        <v>3.433640135437988E-3</v>
      </c>
      <c r="D130" s="7">
        <f>(Table534567910[[#This Row],[Value]]-B118)/B118</f>
        <v>4.6243349410770213E-2</v>
      </c>
      <c r="E130" s="16">
        <v>0.02</v>
      </c>
      <c r="F130" s="15"/>
    </row>
    <row r="131" spans="1:6" x14ac:dyDescent="0.35">
      <c r="A131" s="60">
        <v>25385</v>
      </c>
      <c r="B131" s="58">
        <f>VLOOKUP(Table534567910[[#This Row],[Date]],Database!A:E,MATCH($A$1,Database!$A$1:$E$1,),)</f>
        <v>21.138999999999999</v>
      </c>
      <c r="C131" s="8">
        <f t="shared" si="1"/>
        <v>4.6575733092533139E-3</v>
      </c>
      <c r="D131" s="7">
        <f>(Table534567910[[#This Row],[Value]]-B119)/B119</f>
        <v>4.7626127465556473E-2</v>
      </c>
      <c r="E131" s="16">
        <v>0.02</v>
      </c>
      <c r="F131" s="15"/>
    </row>
    <row r="132" spans="1:6" x14ac:dyDescent="0.35">
      <c r="A132" s="60">
        <v>25416</v>
      </c>
      <c r="B132" s="58">
        <f>VLOOKUP(Table534567910[[#This Row],[Date]],Database!A:E,MATCH($A$1,Database!$A$1:$E$1,),)</f>
        <v>21.199000000000002</v>
      </c>
      <c r="C132" s="8">
        <f t="shared" si="1"/>
        <v>2.8383556459625468E-3</v>
      </c>
      <c r="D132" s="7">
        <f>(Table534567910[[#This Row],[Value]]-B120)/B120</f>
        <v>4.6502443599743301E-2</v>
      </c>
      <c r="E132" s="16">
        <v>0.02</v>
      </c>
      <c r="F132" s="15"/>
    </row>
    <row r="133" spans="1:6" x14ac:dyDescent="0.35">
      <c r="A133" s="60">
        <v>25447</v>
      </c>
      <c r="B133" s="58">
        <f>VLOOKUP(Table534567910[[#This Row],[Date]],Database!A:E,MATCH($A$1,Database!$A$1:$E$1,),)</f>
        <v>21.283999999999999</v>
      </c>
      <c r="C133" s="8">
        <f t="shared" si="1"/>
        <v>4.0096230954289021E-3</v>
      </c>
      <c r="D133" s="7">
        <f>(Table534567910[[#This Row],[Value]]-B121)/B121</f>
        <v>4.6462461281282286E-2</v>
      </c>
      <c r="E133" s="16">
        <v>0.02</v>
      </c>
      <c r="F133" s="15"/>
    </row>
    <row r="134" spans="1:6" x14ac:dyDescent="0.35">
      <c r="A134" s="60">
        <v>25477</v>
      </c>
      <c r="B134" s="58">
        <f>VLOOKUP(Table534567910[[#This Row],[Date]],Database!A:E,MATCH($A$1,Database!$A$1:$E$1,),)</f>
        <v>21.375</v>
      </c>
      <c r="C134" s="8">
        <f t="shared" ref="C134:C197" si="2">(B134-B133)/B133</f>
        <v>4.2755121217816711E-3</v>
      </c>
      <c r="D134" s="7">
        <f>(Table534567910[[#This Row],[Value]]-B122)/B122</f>
        <v>4.6665360885319723E-2</v>
      </c>
      <c r="E134" s="16">
        <v>0.02</v>
      </c>
      <c r="F134" s="15"/>
    </row>
    <row r="135" spans="1:6" x14ac:dyDescent="0.35">
      <c r="A135" s="60">
        <v>25508</v>
      </c>
      <c r="B135" s="58">
        <f>VLOOKUP(Table534567910[[#This Row],[Date]],Database!A:E,MATCH($A$1,Database!$A$1:$E$1,),)</f>
        <v>21.457000000000001</v>
      </c>
      <c r="C135" s="8">
        <f t="shared" si="2"/>
        <v>3.8362573099415551E-3</v>
      </c>
      <c r="D135" s="7">
        <f>(Table534567910[[#This Row],[Value]]-B123)/B123</f>
        <v>4.6785052200214637E-2</v>
      </c>
      <c r="E135" s="16">
        <v>0.02</v>
      </c>
      <c r="F135" s="15"/>
    </row>
    <row r="136" spans="1:6" x14ac:dyDescent="0.35">
      <c r="A136" s="60">
        <v>25538</v>
      </c>
      <c r="B136" s="58">
        <f>VLOOKUP(Table534567910[[#This Row],[Date]],Database!A:E,MATCH($A$1,Database!$A$1:$E$1,),)</f>
        <v>21.536999999999999</v>
      </c>
      <c r="C136" s="8">
        <f t="shared" si="2"/>
        <v>3.7283870065712025E-3</v>
      </c>
      <c r="D136" s="7">
        <f>(Table534567910[[#This Row],[Value]]-B124)/B124</f>
        <v>4.7519455252918306E-2</v>
      </c>
      <c r="E136" s="16">
        <v>0.02</v>
      </c>
      <c r="F136" s="15"/>
    </row>
    <row r="137" spans="1:6" x14ac:dyDescent="0.35">
      <c r="A137" s="60">
        <v>25569</v>
      </c>
      <c r="B137" s="58">
        <f>VLOOKUP(Table534567910[[#This Row],[Date]],Database!A:E,MATCH($A$1,Database!$A$1:$E$1,),)</f>
        <v>21.608000000000001</v>
      </c>
      <c r="C137" s="8">
        <f t="shared" si="2"/>
        <v>3.2966522728328693E-3</v>
      </c>
      <c r="D137" s="7">
        <f>(Table534567910[[#This Row],[Value]]-B125)/B125</f>
        <v>4.7000678360306171E-2</v>
      </c>
      <c r="E137" s="16">
        <v>0.02</v>
      </c>
      <c r="F137" s="15"/>
    </row>
    <row r="138" spans="1:6" x14ac:dyDescent="0.35">
      <c r="A138" s="60">
        <v>25600</v>
      </c>
      <c r="B138" s="58">
        <f>VLOOKUP(Table534567910[[#This Row],[Date]],Database!A:E,MATCH($A$1,Database!$A$1:$E$1,),)</f>
        <v>21.690999999999999</v>
      </c>
      <c r="C138" s="8">
        <f t="shared" si="2"/>
        <v>3.8411699370602742E-3</v>
      </c>
      <c r="D138" s="7">
        <f>(Table534567910[[#This Row],[Value]]-B126)/B126</f>
        <v>4.7418996571538911E-2</v>
      </c>
      <c r="E138" s="16">
        <v>0.02</v>
      </c>
      <c r="F138" s="15"/>
    </row>
    <row r="139" spans="1:6" x14ac:dyDescent="0.35">
      <c r="A139" s="60">
        <v>25628</v>
      </c>
      <c r="B139" s="58">
        <f>VLOOKUP(Table534567910[[#This Row],[Date]],Database!A:E,MATCH($A$1,Database!$A$1:$E$1,),)</f>
        <v>21.771999999999998</v>
      </c>
      <c r="C139" s="8">
        <f t="shared" si="2"/>
        <v>3.7342676686182991E-3</v>
      </c>
      <c r="D139" s="7">
        <f>(Table534567910[[#This Row],[Value]]-B127)/B127</f>
        <v>4.647921172794995E-2</v>
      </c>
      <c r="E139" s="16">
        <v>0.02</v>
      </c>
      <c r="F139" s="15"/>
    </row>
    <row r="140" spans="1:6" x14ac:dyDescent="0.35">
      <c r="A140" s="60">
        <v>25659</v>
      </c>
      <c r="B140" s="58">
        <f>VLOOKUP(Table534567910[[#This Row],[Date]],Database!A:E,MATCH($A$1,Database!$A$1:$E$1,),)</f>
        <v>21.856999999999999</v>
      </c>
      <c r="C140" s="8">
        <f t="shared" si="2"/>
        <v>3.9040970053279837E-3</v>
      </c>
      <c r="D140" s="7">
        <f>(Table534567910[[#This Row],[Value]]-B128)/B128</f>
        <v>4.649047208656517E-2</v>
      </c>
      <c r="E140" s="16">
        <v>0.02</v>
      </c>
      <c r="F140" s="15"/>
    </row>
    <row r="141" spans="1:6" x14ac:dyDescent="0.35">
      <c r="A141" s="60">
        <v>25689</v>
      </c>
      <c r="B141" s="58">
        <f>VLOOKUP(Table534567910[[#This Row],[Date]],Database!A:E,MATCH($A$1,Database!$A$1:$E$1,),)</f>
        <v>21.934000000000001</v>
      </c>
      <c r="C141" s="8">
        <f t="shared" si="2"/>
        <v>3.5228988424761739E-3</v>
      </c>
      <c r="D141" s="7">
        <f>(Table534567910[[#This Row],[Value]]-B129)/B129</f>
        <v>4.6020315704134666E-2</v>
      </c>
      <c r="E141" s="16">
        <v>0.02</v>
      </c>
      <c r="F141" s="15"/>
    </row>
    <row r="142" spans="1:6" x14ac:dyDescent="0.35">
      <c r="A142" s="60">
        <v>25720</v>
      </c>
      <c r="B142" s="58">
        <f>VLOOKUP(Table534567910[[#This Row],[Date]],Database!A:E,MATCH($A$1,Database!$A$1:$E$1,),)</f>
        <v>22.013999999999999</v>
      </c>
      <c r="C142" s="8">
        <f t="shared" si="2"/>
        <v>3.6473055530226264E-3</v>
      </c>
      <c r="D142" s="7">
        <f>(Table534567910[[#This Row],[Value]]-B130)/B130</f>
        <v>4.6243049284729762E-2</v>
      </c>
      <c r="E142" s="16">
        <v>0.02</v>
      </c>
      <c r="F142" s="15"/>
    </row>
    <row r="143" spans="1:6" x14ac:dyDescent="0.35">
      <c r="A143" s="60">
        <v>25750</v>
      </c>
      <c r="B143" s="58">
        <f>VLOOKUP(Table534567910[[#This Row],[Date]],Database!A:E,MATCH($A$1,Database!$A$1:$E$1,),)</f>
        <v>22.097999999999999</v>
      </c>
      <c r="C143" s="8">
        <f t="shared" si="2"/>
        <v>3.8157536113382225E-3</v>
      </c>
      <c r="D143" s="7">
        <f>(Table534567910[[#This Row],[Value]]-B131)/B131</f>
        <v>4.5366384407966302E-2</v>
      </c>
      <c r="E143" s="16">
        <v>0.02</v>
      </c>
      <c r="F143" s="15"/>
    </row>
    <row r="144" spans="1:6" x14ac:dyDescent="0.35">
      <c r="A144" s="60">
        <v>25781</v>
      </c>
      <c r="B144" s="58">
        <f>VLOOKUP(Table534567910[[#This Row],[Date]],Database!A:E,MATCH($A$1,Database!$A$1:$E$1,),)</f>
        <v>22.173999999999999</v>
      </c>
      <c r="C144" s="8">
        <f t="shared" si="2"/>
        <v>3.4392252692551596E-3</v>
      </c>
      <c r="D144" s="7">
        <f>(Table534567910[[#This Row],[Value]]-B132)/B132</f>
        <v>4.5992735506391706E-2</v>
      </c>
      <c r="E144" s="16">
        <v>0.02</v>
      </c>
      <c r="F144" s="15"/>
    </row>
    <row r="145" spans="1:6" x14ac:dyDescent="0.35">
      <c r="A145" s="60">
        <v>25812</v>
      </c>
      <c r="B145" s="58">
        <f>VLOOKUP(Table534567910[[#This Row],[Date]],Database!A:E,MATCH($A$1,Database!$A$1:$E$1,),)</f>
        <v>22.266999999999999</v>
      </c>
      <c r="C145" s="8">
        <f t="shared" si="2"/>
        <v>4.1941011996031374E-3</v>
      </c>
      <c r="D145" s="7">
        <f>(Table534567910[[#This Row],[Value]]-B133)/B133</f>
        <v>4.6184927645179508E-2</v>
      </c>
      <c r="E145" s="16">
        <v>0.02</v>
      </c>
      <c r="F145" s="15"/>
    </row>
    <row r="146" spans="1:6" x14ac:dyDescent="0.35">
      <c r="A146" s="60">
        <v>25842</v>
      </c>
      <c r="B146" s="58">
        <f>VLOOKUP(Table534567910[[#This Row],[Date]],Database!A:E,MATCH($A$1,Database!$A$1:$E$1,),)</f>
        <v>22.376000000000001</v>
      </c>
      <c r="C146" s="8">
        <f t="shared" si="2"/>
        <v>4.8951363003548647E-3</v>
      </c>
      <c r="D146" s="7">
        <f>(Table534567910[[#This Row],[Value]]-B134)/B134</f>
        <v>4.6830409356725201E-2</v>
      </c>
      <c r="E146" s="16">
        <v>0.02</v>
      </c>
      <c r="F146" s="15"/>
    </row>
    <row r="147" spans="1:6" x14ac:dyDescent="0.35">
      <c r="A147" s="60">
        <v>25873</v>
      </c>
      <c r="B147" s="58">
        <f>VLOOKUP(Table534567910[[#This Row],[Date]],Database!A:E,MATCH($A$1,Database!$A$1:$E$1,),)</f>
        <v>22.492000000000001</v>
      </c>
      <c r="C147" s="8">
        <f t="shared" si="2"/>
        <v>5.1841258491240457E-3</v>
      </c>
      <c r="D147" s="7">
        <f>(Table534567910[[#This Row],[Value]]-B135)/B135</f>
        <v>4.8236006897515969E-2</v>
      </c>
      <c r="E147" s="16">
        <v>0.02</v>
      </c>
      <c r="F147" s="15"/>
    </row>
    <row r="148" spans="1:6" x14ac:dyDescent="0.35">
      <c r="A148" s="60">
        <v>25903</v>
      </c>
      <c r="B148" s="58">
        <f>VLOOKUP(Table534567910[[#This Row],[Date]],Database!A:E,MATCH($A$1,Database!$A$1:$E$1,),)</f>
        <v>22.605</v>
      </c>
      <c r="C148" s="8">
        <f t="shared" si="2"/>
        <v>5.0240085363684661E-3</v>
      </c>
      <c r="D148" s="7">
        <f>(Table534567910[[#This Row],[Value]]-B136)/B136</f>
        <v>4.9589079258949779E-2</v>
      </c>
      <c r="E148" s="16">
        <v>0.02</v>
      </c>
      <c r="F148" s="15"/>
    </row>
    <row r="149" spans="1:6" x14ac:dyDescent="0.35">
      <c r="A149" s="60">
        <v>25934</v>
      </c>
      <c r="B149" s="58">
        <f>VLOOKUP(Table534567910[[#This Row],[Date]],Database!A:E,MATCH($A$1,Database!$A$1:$E$1,),)</f>
        <v>22.693999999999999</v>
      </c>
      <c r="C149" s="8">
        <f t="shared" si="2"/>
        <v>3.9371820393717602E-3</v>
      </c>
      <c r="D149" s="7">
        <f>(Table534567910[[#This Row],[Value]]-B137)/B137</f>
        <v>5.0259163272861833E-2</v>
      </c>
      <c r="E149" s="16">
        <v>0.02</v>
      </c>
      <c r="F149" s="15">
        <v>4</v>
      </c>
    </row>
    <row r="150" spans="1:6" x14ac:dyDescent="0.35">
      <c r="A150" s="60">
        <v>25965</v>
      </c>
      <c r="B150" s="58">
        <f>VLOOKUP(Table534567910[[#This Row],[Date]],Database!A:E,MATCH($A$1,Database!$A$1:$E$1,),)</f>
        <v>22.78</v>
      </c>
      <c r="C150" s="8">
        <f t="shared" si="2"/>
        <v>3.7895478981229435E-3</v>
      </c>
      <c r="D150" s="7">
        <f>(Table534567910[[#This Row],[Value]]-B138)/B138</f>
        <v>5.0205154211424199E-2</v>
      </c>
      <c r="E150" s="16">
        <v>0.02</v>
      </c>
      <c r="F150" s="15">
        <v>3.5</v>
      </c>
    </row>
    <row r="151" spans="1:6" x14ac:dyDescent="0.35">
      <c r="A151" s="60">
        <v>25993</v>
      </c>
      <c r="B151" s="58">
        <f>VLOOKUP(Table534567910[[#This Row],[Date]],Database!A:E,MATCH($A$1,Database!$A$1:$E$1,),)</f>
        <v>22.853000000000002</v>
      </c>
      <c r="C151" s="8">
        <f t="shared" si="2"/>
        <v>3.2045654082528707E-3</v>
      </c>
      <c r="D151" s="7">
        <f>(Table534567910[[#This Row],[Value]]-B139)/B139</f>
        <v>4.965092779717082E-2</v>
      </c>
      <c r="E151" s="16">
        <v>0.02</v>
      </c>
      <c r="F151" s="15">
        <v>5.5</v>
      </c>
    </row>
    <row r="152" spans="1:6" x14ac:dyDescent="0.35">
      <c r="A152" s="60">
        <v>26024</v>
      </c>
      <c r="B152" s="58">
        <f>VLOOKUP(Table534567910[[#This Row],[Date]],Database!A:E,MATCH($A$1,Database!$A$1:$E$1,),)</f>
        <v>22.939</v>
      </c>
      <c r="C152" s="8">
        <f t="shared" si="2"/>
        <v>3.7631820767513461E-3</v>
      </c>
      <c r="D152" s="7">
        <f>(Table534567910[[#This Row],[Value]]-B140)/B140</f>
        <v>4.9503591526742038E-2</v>
      </c>
      <c r="E152" s="16">
        <v>0.02</v>
      </c>
      <c r="F152" s="15">
        <v>5.5</v>
      </c>
    </row>
    <row r="153" spans="1:6" x14ac:dyDescent="0.35">
      <c r="A153" s="60">
        <v>26054</v>
      </c>
      <c r="B153" s="58">
        <f>VLOOKUP(Table534567910[[#This Row],[Date]],Database!A:E,MATCH($A$1,Database!$A$1:$E$1,),)</f>
        <v>23.039000000000001</v>
      </c>
      <c r="C153" s="8">
        <f t="shared" si="2"/>
        <v>4.3593879419330144E-3</v>
      </c>
      <c r="D153" s="7">
        <f>(Table534567910[[#This Row],[Value]]-B141)/B141</f>
        <v>5.0378407951126122E-2</v>
      </c>
      <c r="E153" s="16">
        <v>0.02</v>
      </c>
      <c r="F153" s="15">
        <v>5.5</v>
      </c>
    </row>
    <row r="154" spans="1:6" x14ac:dyDescent="0.35">
      <c r="A154" s="60">
        <v>26085</v>
      </c>
      <c r="B154" s="58">
        <f>VLOOKUP(Table534567910[[#This Row],[Date]],Database!A:E,MATCH($A$1,Database!$A$1:$E$1,),)</f>
        <v>23.129000000000001</v>
      </c>
      <c r="C154" s="8">
        <f t="shared" si="2"/>
        <v>3.9064195494596058E-3</v>
      </c>
      <c r="D154" s="7">
        <f>(Table534567910[[#This Row],[Value]]-B142)/B142</f>
        <v>5.0649586626692195E-2</v>
      </c>
      <c r="E154" s="16">
        <v>0.02</v>
      </c>
      <c r="F154" s="15">
        <v>5.5</v>
      </c>
    </row>
    <row r="155" spans="1:6" x14ac:dyDescent="0.35">
      <c r="A155" s="60">
        <v>26115</v>
      </c>
      <c r="B155" s="58">
        <f>VLOOKUP(Table534567910[[#This Row],[Date]],Database!A:E,MATCH($A$1,Database!$A$1:$E$1,),)</f>
        <v>23.218</v>
      </c>
      <c r="C155" s="8">
        <f t="shared" si="2"/>
        <v>3.8479830515802081E-3</v>
      </c>
      <c r="D155" s="7">
        <f>(Table534567910[[#This Row],[Value]]-B143)/B143</f>
        <v>5.068331975744416E-2</v>
      </c>
      <c r="E155" s="16">
        <v>0.02</v>
      </c>
      <c r="F155" s="15">
        <v>5.5</v>
      </c>
    </row>
    <row r="156" spans="1:6" x14ac:dyDescent="0.35">
      <c r="A156" s="60">
        <v>26146</v>
      </c>
      <c r="B156" s="58">
        <f>VLOOKUP(Table534567910[[#This Row],[Date]],Database!A:E,MATCH($A$1,Database!$A$1:$E$1,),)</f>
        <v>23.251000000000001</v>
      </c>
      <c r="C156" s="8">
        <f t="shared" si="2"/>
        <v>1.4213110517702322E-3</v>
      </c>
      <c r="D156" s="7">
        <f>(Table534567910[[#This Row],[Value]]-B144)/B144</f>
        <v>4.8570397763146103E-2</v>
      </c>
      <c r="E156" s="16">
        <v>0.02</v>
      </c>
      <c r="F156" s="15">
        <v>5.75</v>
      </c>
    </row>
    <row r="157" spans="1:6" x14ac:dyDescent="0.35">
      <c r="A157" s="60">
        <v>26177</v>
      </c>
      <c r="B157" s="58">
        <f>VLOOKUP(Table534567910[[#This Row],[Date]],Database!A:E,MATCH($A$1,Database!$A$1:$E$1,),)</f>
        <v>23.289000000000001</v>
      </c>
      <c r="C157" s="8">
        <f t="shared" si="2"/>
        <v>1.6343383080297731E-3</v>
      </c>
      <c r="D157" s="7">
        <f>(Table534567910[[#This Row],[Value]]-B145)/B145</f>
        <v>4.5897516504244042E-2</v>
      </c>
      <c r="E157" s="16">
        <v>0.02</v>
      </c>
      <c r="F157" s="15">
        <v>5.13</v>
      </c>
    </row>
    <row r="158" spans="1:6" x14ac:dyDescent="0.35">
      <c r="A158" s="60">
        <v>26207</v>
      </c>
      <c r="B158" s="58">
        <f>VLOOKUP(Table534567910[[#This Row],[Date]],Database!A:E,MATCH($A$1,Database!$A$1:$E$1,),)</f>
        <v>23.326000000000001</v>
      </c>
      <c r="C158" s="8">
        <f t="shared" si="2"/>
        <v>1.5887328781827915E-3</v>
      </c>
      <c r="D158" s="7">
        <f>(Table534567910[[#This Row],[Value]]-B146)/B146</f>
        <v>4.2456203074722886E-2</v>
      </c>
      <c r="E158" s="16">
        <v>0.02</v>
      </c>
      <c r="F158" s="15">
        <v>5.13</v>
      </c>
    </row>
    <row r="159" spans="1:6" x14ac:dyDescent="0.35">
      <c r="A159" s="60">
        <v>26238</v>
      </c>
      <c r="B159" s="58">
        <f>VLOOKUP(Table534567910[[#This Row],[Date]],Database!A:E,MATCH($A$1,Database!$A$1:$E$1,),)</f>
        <v>23.379000000000001</v>
      </c>
      <c r="C159" s="8">
        <f t="shared" si="2"/>
        <v>2.2721426734116788E-3</v>
      </c>
      <c r="D159" s="7">
        <f>(Table534567910[[#This Row],[Value]]-B147)/B147</f>
        <v>3.9436243997865925E-2</v>
      </c>
      <c r="E159" s="16">
        <v>0.02</v>
      </c>
      <c r="F159" s="15">
        <v>4.5</v>
      </c>
    </row>
    <row r="160" spans="1:6" x14ac:dyDescent="0.35">
      <c r="A160" s="60">
        <v>26268</v>
      </c>
      <c r="B160" s="58">
        <f>VLOOKUP(Table534567910[[#This Row],[Date]],Database!A:E,MATCH($A$1,Database!$A$1:$E$1,),)</f>
        <v>23.452000000000002</v>
      </c>
      <c r="C160" s="8">
        <f t="shared" si="2"/>
        <v>3.1224603276444841E-3</v>
      </c>
      <c r="D160" s="7">
        <f>(Table534567910[[#This Row],[Value]]-B148)/B148</f>
        <v>3.7469586374695919E-2</v>
      </c>
      <c r="E160" s="16">
        <v>0.02</v>
      </c>
      <c r="F160" s="15">
        <v>3.5</v>
      </c>
    </row>
    <row r="161" spans="1:6" x14ac:dyDescent="0.35">
      <c r="A161" s="60">
        <v>26299</v>
      </c>
      <c r="B161" s="58">
        <f>VLOOKUP(Table534567910[[#This Row],[Date]],Database!A:E,MATCH($A$1,Database!$A$1:$E$1,),)</f>
        <v>23.552</v>
      </c>
      <c r="C161" s="8">
        <f t="shared" si="2"/>
        <v>4.2640286542724656E-3</v>
      </c>
      <c r="D161" s="7">
        <f>(Table534567910[[#This Row],[Value]]-B149)/B149</f>
        <v>3.7807349960341963E-2</v>
      </c>
      <c r="E161" s="16">
        <v>0.02</v>
      </c>
      <c r="F161" s="15">
        <v>3.5</v>
      </c>
    </row>
    <row r="162" spans="1:6" x14ac:dyDescent="0.35">
      <c r="A162" s="60">
        <v>26330</v>
      </c>
      <c r="B162" s="58">
        <f>VLOOKUP(Table534567910[[#This Row],[Date]],Database!A:E,MATCH($A$1,Database!$A$1:$E$1,),)</f>
        <v>23.614999999999998</v>
      </c>
      <c r="C162" s="8">
        <f t="shared" si="2"/>
        <v>2.674932065217342E-3</v>
      </c>
      <c r="D162" s="7">
        <f>(Table534567910[[#This Row],[Value]]-B150)/B150</f>
        <v>3.6654960491659228E-2</v>
      </c>
      <c r="E162" s="16">
        <v>0.02</v>
      </c>
      <c r="F162" s="15">
        <v>3.5</v>
      </c>
    </row>
    <row r="163" spans="1:6" x14ac:dyDescent="0.35">
      <c r="A163" s="60">
        <v>26359</v>
      </c>
      <c r="B163" s="58">
        <f>VLOOKUP(Table534567910[[#This Row],[Date]],Database!A:E,MATCH($A$1,Database!$A$1:$E$1,),)</f>
        <v>23.661999999999999</v>
      </c>
      <c r="C163" s="8">
        <f t="shared" si="2"/>
        <v>1.9902604276942877E-3</v>
      </c>
      <c r="D163" s="7">
        <f>(Table534567910[[#This Row],[Value]]-B151)/B151</f>
        <v>3.5400166280138166E-2</v>
      </c>
      <c r="E163" s="16">
        <v>0.02</v>
      </c>
      <c r="F163" s="15">
        <v>5.5</v>
      </c>
    </row>
    <row r="164" spans="1:6" x14ac:dyDescent="0.35">
      <c r="A164" s="60">
        <v>26390</v>
      </c>
      <c r="B164" s="58">
        <f>VLOOKUP(Table534567910[[#This Row],[Date]],Database!A:E,MATCH($A$1,Database!$A$1:$E$1,),)</f>
        <v>23.716999999999999</v>
      </c>
      <c r="C164" s="8">
        <f t="shared" si="2"/>
        <v>2.3244019947595181E-3</v>
      </c>
      <c r="D164" s="7">
        <f>(Table534567910[[#This Row],[Value]]-B152)/B152</f>
        <v>3.3916038188238316E-2</v>
      </c>
      <c r="E164" s="16">
        <v>0.02</v>
      </c>
      <c r="F164" s="15">
        <v>5.5</v>
      </c>
    </row>
    <row r="165" spans="1:6" x14ac:dyDescent="0.35">
      <c r="A165" s="60">
        <v>26420</v>
      </c>
      <c r="B165" s="58">
        <f>VLOOKUP(Table534567910[[#This Row],[Date]],Database!A:E,MATCH($A$1,Database!$A$1:$E$1,),)</f>
        <v>23.771999999999998</v>
      </c>
      <c r="C165" s="8">
        <f t="shared" si="2"/>
        <v>2.3190116793860827E-3</v>
      </c>
      <c r="D165" s="7">
        <f>(Table534567910[[#This Row],[Value]]-B153)/B153</f>
        <v>3.1815616997265372E-2</v>
      </c>
      <c r="E165" s="16">
        <v>0.02</v>
      </c>
      <c r="F165" s="15">
        <v>5.5</v>
      </c>
    </row>
    <row r="166" spans="1:6" x14ac:dyDescent="0.35">
      <c r="A166" s="60">
        <v>26451</v>
      </c>
      <c r="B166" s="58">
        <f>VLOOKUP(Table534567910[[#This Row],[Date]],Database!A:E,MATCH($A$1,Database!$A$1:$E$1,),)</f>
        <v>23.818999999999999</v>
      </c>
      <c r="C166" s="8">
        <f t="shared" si="2"/>
        <v>1.9771159347131331E-3</v>
      </c>
      <c r="D166" s="7">
        <f>(Table534567910[[#This Row],[Value]]-B154)/B154</f>
        <v>2.9832677590903096E-2</v>
      </c>
      <c r="E166" s="16">
        <v>0.02</v>
      </c>
      <c r="F166" s="15">
        <v>5.5</v>
      </c>
    </row>
    <row r="167" spans="1:6" x14ac:dyDescent="0.35">
      <c r="A167" s="60">
        <v>26481</v>
      </c>
      <c r="B167" s="58">
        <f>VLOOKUP(Table534567910[[#This Row],[Date]],Database!A:E,MATCH($A$1,Database!$A$1:$E$1,),)</f>
        <v>23.888000000000002</v>
      </c>
      <c r="C167" s="8">
        <f t="shared" si="2"/>
        <v>2.8968470548722709E-3</v>
      </c>
      <c r="D167" s="7">
        <f>(Table534567910[[#This Row],[Value]]-B155)/B155</f>
        <v>2.8856921354121875E-2</v>
      </c>
      <c r="E167" s="16">
        <v>0.02</v>
      </c>
      <c r="F167" s="15">
        <v>5.5</v>
      </c>
    </row>
    <row r="168" spans="1:6" x14ac:dyDescent="0.35">
      <c r="A168" s="60">
        <v>26512</v>
      </c>
      <c r="B168" s="58">
        <f>VLOOKUP(Table534567910[[#This Row],[Date]],Database!A:E,MATCH($A$1,Database!$A$1:$E$1,),)</f>
        <v>23.937999999999999</v>
      </c>
      <c r="C168" s="8">
        <f t="shared" si="2"/>
        <v>2.0931011386469004E-3</v>
      </c>
      <c r="D168" s="7">
        <f>(Table534567910[[#This Row],[Value]]-B156)/B156</f>
        <v>2.954711625306428E-2</v>
      </c>
      <c r="E168" s="16">
        <v>0.02</v>
      </c>
      <c r="F168" s="15">
        <v>5.5</v>
      </c>
    </row>
    <row r="169" spans="1:6" x14ac:dyDescent="0.35">
      <c r="A169" s="60">
        <v>26543</v>
      </c>
      <c r="B169" s="58">
        <f>VLOOKUP(Table534567910[[#This Row],[Date]],Database!A:E,MATCH($A$1,Database!$A$1:$E$1,),)</f>
        <v>24.018000000000001</v>
      </c>
      <c r="C169" s="8">
        <f t="shared" si="2"/>
        <v>3.3419667474309405E-3</v>
      </c>
      <c r="D169" s="7">
        <f>(Table534567910[[#This Row],[Value]]-B157)/B157</f>
        <v>3.130233157284551E-2</v>
      </c>
      <c r="E169" s="16">
        <v>0.02</v>
      </c>
      <c r="F169" s="15">
        <v>5.5</v>
      </c>
    </row>
    <row r="170" spans="1:6" x14ac:dyDescent="0.35">
      <c r="A170" s="60">
        <v>26573</v>
      </c>
      <c r="B170" s="58">
        <f>VLOOKUP(Table534567910[[#This Row],[Date]],Database!A:E,MATCH($A$1,Database!$A$1:$E$1,),)</f>
        <v>24.032</v>
      </c>
      <c r="C170" s="8">
        <f t="shared" si="2"/>
        <v>5.828961612123968E-4</v>
      </c>
      <c r="D170" s="7">
        <f>(Table534567910[[#This Row],[Value]]-B158)/B158</f>
        <v>3.0266655234502251E-2</v>
      </c>
      <c r="E170" s="16">
        <v>0.02</v>
      </c>
      <c r="F170" s="15">
        <v>5.5</v>
      </c>
    </row>
    <row r="171" spans="1:6" x14ac:dyDescent="0.35">
      <c r="A171" s="60">
        <v>26604</v>
      </c>
      <c r="B171" s="58">
        <f>VLOOKUP(Table534567910[[#This Row],[Date]],Database!A:E,MATCH($A$1,Database!$A$1:$E$1,),)</f>
        <v>24.094999999999999</v>
      </c>
      <c r="C171" s="8">
        <f t="shared" si="2"/>
        <v>2.621504660452681E-3</v>
      </c>
      <c r="D171" s="7">
        <f>(Table534567910[[#This Row],[Value]]-B159)/B159</f>
        <v>3.0625775268403162E-2</v>
      </c>
      <c r="E171" s="16">
        <v>0.02</v>
      </c>
      <c r="F171" s="15">
        <v>5.5</v>
      </c>
    </row>
    <row r="172" spans="1:6" x14ac:dyDescent="0.35">
      <c r="A172" s="60">
        <v>26634</v>
      </c>
      <c r="B172" s="58">
        <f>VLOOKUP(Table534567910[[#This Row],[Date]],Database!A:E,MATCH($A$1,Database!$A$1:$E$1,),)</f>
        <v>24.167999999999999</v>
      </c>
      <c r="C172" s="8">
        <f t="shared" si="2"/>
        <v>3.0296742062668768E-3</v>
      </c>
      <c r="D172" s="7">
        <f>(Table534567910[[#This Row],[Value]]-B160)/B160</f>
        <v>3.0530445164591399E-2</v>
      </c>
      <c r="E172" s="16">
        <v>0.02</v>
      </c>
      <c r="F172" s="15">
        <v>5.5</v>
      </c>
    </row>
    <row r="173" spans="1:6" x14ac:dyDescent="0.35">
      <c r="A173" s="60">
        <v>26665</v>
      </c>
      <c r="B173" s="58">
        <f>VLOOKUP(Table534567910[[#This Row],[Date]],Database!A:E,MATCH($A$1,Database!$A$1:$E$1,),)</f>
        <v>24.183</v>
      </c>
      <c r="C173" s="8">
        <f t="shared" si="2"/>
        <v>6.2065541211521718E-4</v>
      </c>
      <c r="D173" s="7">
        <f>(Table534567910[[#This Row],[Value]]-B161)/B161</f>
        <v>2.6791779891304358E-2</v>
      </c>
      <c r="E173" s="16">
        <v>0.02</v>
      </c>
      <c r="F173" s="15">
        <v>6</v>
      </c>
    </row>
    <row r="174" spans="1:6" x14ac:dyDescent="0.35">
      <c r="A174" s="60">
        <v>26696</v>
      </c>
      <c r="B174" s="58">
        <f>VLOOKUP(Table534567910[[#This Row],[Date]],Database!A:E,MATCH($A$1,Database!$A$1:$E$1,),)</f>
        <v>24.259</v>
      </c>
      <c r="C174" s="8">
        <f t="shared" si="2"/>
        <v>3.1427035520820621E-3</v>
      </c>
      <c r="D174" s="7">
        <f>(Table534567910[[#This Row],[Value]]-B162)/B162</f>
        <v>2.7270802456066143E-2</v>
      </c>
      <c r="E174" s="16">
        <v>0.02</v>
      </c>
      <c r="F174" s="15">
        <v>6.75</v>
      </c>
    </row>
    <row r="175" spans="1:6" x14ac:dyDescent="0.35">
      <c r="A175" s="60">
        <v>26724</v>
      </c>
      <c r="B175" s="58">
        <f>VLOOKUP(Table534567910[[#This Row],[Date]],Database!A:E,MATCH($A$1,Database!$A$1:$E$1,),)</f>
        <v>24.356999999999999</v>
      </c>
      <c r="C175" s="8">
        <f t="shared" si="2"/>
        <v>4.0397378292592019E-3</v>
      </c>
      <c r="D175" s="7">
        <f>(Table534567910[[#This Row],[Value]]-B163)/B163</f>
        <v>2.9371988842870438E-2</v>
      </c>
      <c r="E175" s="16">
        <v>0.02</v>
      </c>
      <c r="F175" s="15">
        <v>7.25</v>
      </c>
    </row>
    <row r="176" spans="1:6" x14ac:dyDescent="0.35">
      <c r="A176" s="60">
        <v>26755</v>
      </c>
      <c r="B176" s="58">
        <f>VLOOKUP(Table534567910[[#This Row],[Date]],Database!A:E,MATCH($A$1,Database!$A$1:$E$1,),)</f>
        <v>24.498000000000001</v>
      </c>
      <c r="C176" s="8">
        <f t="shared" si="2"/>
        <v>5.7888902574209384E-3</v>
      </c>
      <c r="D176" s="7">
        <f>(Table534567910[[#This Row],[Value]]-B164)/B164</f>
        <v>3.2929965847282638E-2</v>
      </c>
      <c r="E176" s="16">
        <v>0.02</v>
      </c>
      <c r="F176" s="15">
        <v>7.25</v>
      </c>
    </row>
    <row r="177" spans="1:6" x14ac:dyDescent="0.35">
      <c r="A177" s="60">
        <v>26785</v>
      </c>
      <c r="B177" s="58">
        <f>VLOOKUP(Table534567910[[#This Row],[Date]],Database!A:E,MATCH($A$1,Database!$A$1:$E$1,),)</f>
        <v>24.593</v>
      </c>
      <c r="C177" s="8">
        <f t="shared" si="2"/>
        <v>3.8778675810269762E-3</v>
      </c>
      <c r="D177" s="7">
        <f>(Table534567910[[#This Row],[Value]]-B165)/B165</f>
        <v>3.4536429412754567E-2</v>
      </c>
      <c r="E177" s="16">
        <v>0.02</v>
      </c>
      <c r="F177" s="15">
        <v>8.25</v>
      </c>
    </row>
    <row r="178" spans="1:6" x14ac:dyDescent="0.35">
      <c r="A178" s="60">
        <v>26816</v>
      </c>
      <c r="B178" s="58">
        <f>VLOOKUP(Table534567910[[#This Row],[Date]],Database!A:E,MATCH($A$1,Database!$A$1:$E$1,),)</f>
        <v>24.699000000000002</v>
      </c>
      <c r="C178" s="8">
        <f t="shared" si="2"/>
        <v>4.3101695604440956E-3</v>
      </c>
      <c r="D178" s="7">
        <f>(Table534567910[[#This Row],[Value]]-B166)/B166</f>
        <v>3.6945295772282741E-2</v>
      </c>
      <c r="E178" s="16">
        <v>0.02</v>
      </c>
      <c r="F178" s="15">
        <v>8.5</v>
      </c>
    </row>
    <row r="179" spans="1:6" x14ac:dyDescent="0.35">
      <c r="A179" s="60">
        <v>26846</v>
      </c>
      <c r="B179" s="58">
        <f>VLOOKUP(Table534567910[[#This Row],[Date]],Database!A:E,MATCH($A$1,Database!$A$1:$E$1,),)</f>
        <v>24.805</v>
      </c>
      <c r="C179" s="8">
        <f t="shared" si="2"/>
        <v>4.2916717276002304E-3</v>
      </c>
      <c r="D179" s="7">
        <f>(Table534567910[[#This Row],[Value]]-B167)/B167</f>
        <v>3.8387474882786252E-2</v>
      </c>
      <c r="E179" s="16">
        <v>0.02</v>
      </c>
      <c r="F179" s="15">
        <v>10.5</v>
      </c>
    </row>
    <row r="180" spans="1:6" x14ac:dyDescent="0.35">
      <c r="A180" s="60">
        <v>26877</v>
      </c>
      <c r="B180" s="58">
        <f>VLOOKUP(Table534567910[[#This Row],[Date]],Database!A:E,MATCH($A$1,Database!$A$1:$E$1,),)</f>
        <v>24.920999999999999</v>
      </c>
      <c r="C180" s="8">
        <f t="shared" si="2"/>
        <v>4.6764765168312702E-3</v>
      </c>
      <c r="D180" s="7">
        <f>(Table534567910[[#This Row],[Value]]-B168)/B168</f>
        <v>4.1064416409056753E-2</v>
      </c>
      <c r="E180" s="16">
        <v>0.02</v>
      </c>
      <c r="F180" s="15">
        <v>11</v>
      </c>
    </row>
    <row r="181" spans="1:6" x14ac:dyDescent="0.35">
      <c r="A181" s="60">
        <v>26908</v>
      </c>
      <c r="B181" s="58">
        <f>VLOOKUP(Table534567910[[#This Row],[Date]],Database!A:E,MATCH($A$1,Database!$A$1:$E$1,),)</f>
        <v>25.045999999999999</v>
      </c>
      <c r="C181" s="8">
        <f t="shared" si="2"/>
        <v>5.0158500862726215E-3</v>
      </c>
      <c r="D181" s="7">
        <f>(Table534567910[[#This Row],[Value]]-B169)/B169</f>
        <v>4.2801232409026509E-2</v>
      </c>
      <c r="E181" s="16">
        <v>0.02</v>
      </c>
      <c r="F181" s="15">
        <v>9</v>
      </c>
    </row>
    <row r="182" spans="1:6" x14ac:dyDescent="0.35">
      <c r="A182" s="60">
        <v>26938</v>
      </c>
      <c r="B182" s="58">
        <f>VLOOKUP(Table534567910[[#This Row],[Date]],Database!A:E,MATCH($A$1,Database!$A$1:$E$1,),)</f>
        <v>25.143000000000001</v>
      </c>
      <c r="C182" s="8">
        <f t="shared" si="2"/>
        <v>3.8728739120019689E-3</v>
      </c>
      <c r="D182" s="7">
        <f>(Table534567910[[#This Row],[Value]]-B170)/B170</f>
        <v>4.623002663115848E-2</v>
      </c>
      <c r="E182" s="16">
        <v>0.02</v>
      </c>
      <c r="F182" s="15">
        <v>9</v>
      </c>
    </row>
    <row r="183" spans="1:6" x14ac:dyDescent="0.35">
      <c r="A183" s="60">
        <v>26969</v>
      </c>
      <c r="B183" s="58">
        <f>VLOOKUP(Table534567910[[#This Row],[Date]],Database!A:E,MATCH($A$1,Database!$A$1:$E$1,),)</f>
        <v>25.263999999999999</v>
      </c>
      <c r="C183" s="8">
        <f t="shared" si="2"/>
        <v>4.8124726564053076E-3</v>
      </c>
      <c r="D183" s="7">
        <f>(Table534567910[[#This Row],[Value]]-B171)/B171</f>
        <v>4.8516289686657006E-2</v>
      </c>
      <c r="E183" s="16">
        <v>0.02</v>
      </c>
      <c r="F183" s="15">
        <v>9</v>
      </c>
    </row>
    <row r="184" spans="1:6" x14ac:dyDescent="0.35">
      <c r="A184" s="60">
        <v>26999</v>
      </c>
      <c r="B184" s="58">
        <f>VLOOKUP(Table534567910[[#This Row],[Date]],Database!A:E,MATCH($A$1,Database!$A$1:$E$1,),)</f>
        <v>25.404</v>
      </c>
      <c r="C184" s="8">
        <f t="shared" si="2"/>
        <v>5.5414819506016694E-3</v>
      </c>
      <c r="D184" s="7">
        <f>(Table534567910[[#This Row],[Value]]-B172)/B172</f>
        <v>5.1142005958291985E-2</v>
      </c>
      <c r="E184" s="16">
        <v>0.02</v>
      </c>
      <c r="F184" s="15">
        <v>9</v>
      </c>
    </row>
    <row r="185" spans="1:6" x14ac:dyDescent="0.35">
      <c r="A185" s="60">
        <v>27030</v>
      </c>
      <c r="B185" s="58">
        <f>VLOOKUP(Table534567910[[#This Row],[Date]],Database!A:E,MATCH($A$1,Database!$A$1:$E$1,),)</f>
        <v>25.529</v>
      </c>
      <c r="C185" s="8">
        <f t="shared" si="2"/>
        <v>4.9204849629979532E-3</v>
      </c>
      <c r="D185" s="7">
        <f>(Table534567910[[#This Row],[Value]]-B173)/B173</f>
        <v>5.5658933961874046E-2</v>
      </c>
      <c r="E185" s="16">
        <v>0.02</v>
      </c>
      <c r="F185" s="15">
        <v>9</v>
      </c>
    </row>
    <row r="186" spans="1:6" x14ac:dyDescent="0.35">
      <c r="A186" s="60">
        <v>27061</v>
      </c>
      <c r="B186" s="58">
        <f>VLOOKUP(Table534567910[[#This Row],[Date]],Database!A:E,MATCH($A$1,Database!$A$1:$E$1,),)</f>
        <v>25.692</v>
      </c>
      <c r="C186" s="8">
        <f t="shared" si="2"/>
        <v>6.3848956089153615E-3</v>
      </c>
      <c r="D186" s="7">
        <f>(Table534567910[[#This Row],[Value]]-B174)/B174</f>
        <v>5.9070860299270368E-2</v>
      </c>
      <c r="E186" s="16">
        <v>0.02</v>
      </c>
      <c r="F186" s="15">
        <v>9</v>
      </c>
    </row>
    <row r="187" spans="1:6" x14ac:dyDescent="0.35">
      <c r="A187" s="60">
        <v>27089</v>
      </c>
      <c r="B187" s="58">
        <f>VLOOKUP(Table534567910[[#This Row],[Date]],Database!A:E,MATCH($A$1,Database!$A$1:$E$1,),)</f>
        <v>25.891999999999999</v>
      </c>
      <c r="C187" s="8">
        <f t="shared" si="2"/>
        <v>7.7845243655612368E-3</v>
      </c>
      <c r="D187" s="7">
        <f>(Table534567910[[#This Row],[Value]]-B175)/B175</f>
        <v>6.3020897483269708E-2</v>
      </c>
      <c r="E187" s="16">
        <v>0.02</v>
      </c>
      <c r="F187" s="15">
        <v>10</v>
      </c>
    </row>
    <row r="188" spans="1:6" x14ac:dyDescent="0.35">
      <c r="A188" s="60">
        <v>27120</v>
      </c>
      <c r="B188" s="58">
        <f>VLOOKUP(Table534567910[[#This Row],[Date]],Database!A:E,MATCH($A$1,Database!$A$1:$E$1,),)</f>
        <v>26.085999999999999</v>
      </c>
      <c r="C188" s="8">
        <f t="shared" si="2"/>
        <v>7.4926618260466194E-3</v>
      </c>
      <c r="D188" s="7">
        <f>(Table534567910[[#This Row],[Value]]-B176)/B176</f>
        <v>6.4821618091272654E-2</v>
      </c>
      <c r="E188" s="16">
        <v>0.02</v>
      </c>
      <c r="F188" s="15">
        <v>10.75</v>
      </c>
    </row>
    <row r="189" spans="1:6" x14ac:dyDescent="0.35">
      <c r="A189" s="60">
        <v>27150</v>
      </c>
      <c r="B189" s="58">
        <f>VLOOKUP(Table534567910[[#This Row],[Date]],Database!A:E,MATCH($A$1,Database!$A$1:$E$1,),)</f>
        <v>26.337</v>
      </c>
      <c r="C189" s="8">
        <f t="shared" si="2"/>
        <v>9.6220194740474288E-3</v>
      </c>
      <c r="D189" s="7">
        <f>(Table534567910[[#This Row],[Value]]-B177)/B177</f>
        <v>7.0914487862399858E-2</v>
      </c>
      <c r="E189" s="16">
        <v>0.02</v>
      </c>
      <c r="F189" s="15">
        <v>13</v>
      </c>
    </row>
    <row r="190" spans="1:6" x14ac:dyDescent="0.35">
      <c r="A190" s="60">
        <v>27181</v>
      </c>
      <c r="B190" s="58">
        <f>VLOOKUP(Table534567910[[#This Row],[Date]],Database!A:E,MATCH($A$1,Database!$A$1:$E$1,),)</f>
        <v>26.606999999999999</v>
      </c>
      <c r="C190" s="8">
        <f t="shared" si="2"/>
        <v>1.0251737099897467E-2</v>
      </c>
      <c r="D190" s="7">
        <f>(Table534567910[[#This Row],[Value]]-B178)/B178</f>
        <v>7.7250091096805446E-2</v>
      </c>
      <c r="E190" s="16">
        <v>0.02</v>
      </c>
      <c r="F190" s="15">
        <v>13</v>
      </c>
    </row>
    <row r="191" spans="1:6" x14ac:dyDescent="0.35">
      <c r="A191" s="60">
        <v>27211</v>
      </c>
      <c r="B191" s="58">
        <f>VLOOKUP(Table534567910[[#This Row],[Date]],Database!A:E,MATCH($A$1,Database!$A$1:$E$1,),)</f>
        <v>26.843</v>
      </c>
      <c r="C191" s="8">
        <f t="shared" si="2"/>
        <v>8.8698462810538822E-3</v>
      </c>
      <c r="D191" s="7">
        <f>(Table534567910[[#This Row],[Value]]-B179)/B179</f>
        <v>8.2160854666397914E-2</v>
      </c>
      <c r="E191" s="16">
        <v>0.02</v>
      </c>
      <c r="F191" s="15">
        <v>9.25</v>
      </c>
    </row>
    <row r="192" spans="1:6" x14ac:dyDescent="0.35">
      <c r="A192" s="60">
        <v>27242</v>
      </c>
      <c r="B192" s="58">
        <f>VLOOKUP(Table534567910[[#This Row],[Date]],Database!A:E,MATCH($A$1,Database!$A$1:$E$1,),)</f>
        <v>27.100999999999999</v>
      </c>
      <c r="C192" s="8">
        <f t="shared" si="2"/>
        <v>9.61144432440484E-3</v>
      </c>
      <c r="D192" s="7">
        <f>(Table534567910[[#This Row],[Value]]-B180)/B180</f>
        <v>8.7476425504594515E-2</v>
      </c>
      <c r="E192" s="16">
        <v>0.02</v>
      </c>
      <c r="F192" s="15">
        <v>9.25</v>
      </c>
    </row>
    <row r="193" spans="1:6" x14ac:dyDescent="0.35">
      <c r="A193" s="60">
        <v>27273</v>
      </c>
      <c r="B193" s="58">
        <f>VLOOKUP(Table534567910[[#This Row],[Date]],Database!A:E,MATCH($A$1,Database!$A$1:$E$1,),)</f>
        <v>27.344999999999999</v>
      </c>
      <c r="C193" s="8">
        <f t="shared" si="2"/>
        <v>9.0033578096749122E-3</v>
      </c>
      <c r="D193" s="7">
        <f>(Table534567910[[#This Row],[Value]]-B181)/B181</f>
        <v>9.1791104367962936E-2</v>
      </c>
      <c r="E193" s="16">
        <v>0.02</v>
      </c>
      <c r="F193" s="15">
        <v>9.25</v>
      </c>
    </row>
    <row r="194" spans="1:6" x14ac:dyDescent="0.35">
      <c r="A194" s="60">
        <v>27303</v>
      </c>
      <c r="B194" s="58">
        <f>VLOOKUP(Table534567910[[#This Row],[Date]],Database!A:E,MATCH($A$1,Database!$A$1:$E$1,),)</f>
        <v>27.559000000000001</v>
      </c>
      <c r="C194" s="8">
        <f t="shared" si="2"/>
        <v>7.8259279575791617E-3</v>
      </c>
      <c r="D194" s="7">
        <f>(Table534567910[[#This Row],[Value]]-B182)/B182</f>
        <v>9.6090363122936812E-2</v>
      </c>
      <c r="E194" s="16">
        <v>0.02</v>
      </c>
      <c r="F194" s="15">
        <v>9.25</v>
      </c>
    </row>
    <row r="195" spans="1:6" x14ac:dyDescent="0.35">
      <c r="A195" s="60">
        <v>27334</v>
      </c>
      <c r="B195" s="58">
        <f>VLOOKUP(Table534567910[[#This Row],[Date]],Database!A:E,MATCH($A$1,Database!$A$1:$E$1,),)</f>
        <v>27.76</v>
      </c>
      <c r="C195" s="8">
        <f t="shared" si="2"/>
        <v>7.2934431583149065E-3</v>
      </c>
      <c r="D195" s="7">
        <f>(Table534567910[[#This Row],[Value]]-B183)/B183</f>
        <v>9.8796706776440882E-2</v>
      </c>
      <c r="E195" s="16">
        <v>0.02</v>
      </c>
      <c r="F195" s="15">
        <v>9.25</v>
      </c>
    </row>
    <row r="196" spans="1:6" x14ac:dyDescent="0.35">
      <c r="A196" s="60">
        <v>27364</v>
      </c>
      <c r="B196" s="58">
        <f>VLOOKUP(Table534567910[[#This Row],[Date]],Database!A:E,MATCH($A$1,Database!$A$1:$E$1,),)</f>
        <v>27.956</v>
      </c>
      <c r="C196" s="8">
        <f t="shared" si="2"/>
        <v>7.0605187319883987E-3</v>
      </c>
      <c r="D196" s="7">
        <f>(Table534567910[[#This Row],[Value]]-B184)/B184</f>
        <v>0.10045662100456619</v>
      </c>
      <c r="E196" s="16">
        <v>0.02</v>
      </c>
      <c r="F196" s="15">
        <v>8</v>
      </c>
    </row>
    <row r="197" spans="1:6" x14ac:dyDescent="0.35">
      <c r="A197" s="60">
        <v>27395</v>
      </c>
      <c r="B197" s="58">
        <f>VLOOKUP(Table534567910[[#This Row],[Date]],Database!A:E,MATCH($A$1,Database!$A$1:$E$1,),)</f>
        <v>28.119</v>
      </c>
      <c r="C197" s="8">
        <f t="shared" si="2"/>
        <v>5.8305909286020981E-3</v>
      </c>
      <c r="D197" s="7">
        <f>(Table534567910[[#This Row],[Value]]-B185)/B185</f>
        <v>0.10145324924595557</v>
      </c>
      <c r="E197" s="16">
        <v>0.02</v>
      </c>
      <c r="F197" s="15">
        <v>7</v>
      </c>
    </row>
    <row r="198" spans="1:6" x14ac:dyDescent="0.35">
      <c r="A198" s="60">
        <v>27426</v>
      </c>
      <c r="B198" s="58">
        <f>VLOOKUP(Table534567910[[#This Row],[Date]],Database!A:E,MATCH($A$1,Database!$A$1:$E$1,),)</f>
        <v>28.318000000000001</v>
      </c>
      <c r="C198" s="8">
        <f t="shared" ref="C198:C261" si="3">(B198-B197)/B197</f>
        <v>7.0770653294925717E-3</v>
      </c>
      <c r="D198" s="7">
        <f>(Table534567910[[#This Row],[Value]]-B186)/B186</f>
        <v>0.10221080491981945</v>
      </c>
      <c r="E198" s="16">
        <v>0.02</v>
      </c>
      <c r="F198" s="15">
        <v>6</v>
      </c>
    </row>
    <row r="199" spans="1:6" x14ac:dyDescent="0.35">
      <c r="A199" s="60">
        <v>27454</v>
      </c>
      <c r="B199" s="58">
        <f>VLOOKUP(Table534567910[[#This Row],[Date]],Database!A:E,MATCH($A$1,Database!$A$1:$E$1,),)</f>
        <v>28.466000000000001</v>
      </c>
      <c r="C199" s="8">
        <f t="shared" si="3"/>
        <v>5.2263577936294825E-3</v>
      </c>
      <c r="D199" s="7">
        <f>(Table534567910[[#This Row],[Value]]-B187)/B187</f>
        <v>9.9412946083732495E-2</v>
      </c>
      <c r="E199" s="16">
        <v>0.02</v>
      </c>
      <c r="F199" s="15">
        <v>5.5</v>
      </c>
    </row>
    <row r="200" spans="1:6" x14ac:dyDescent="0.35">
      <c r="A200" s="60">
        <v>27485</v>
      </c>
      <c r="B200" s="58">
        <f>VLOOKUP(Table534567910[[#This Row],[Date]],Database!A:E,MATCH($A$1,Database!$A$1:$E$1,),)</f>
        <v>28.603999999999999</v>
      </c>
      <c r="C200" s="8">
        <f t="shared" si="3"/>
        <v>4.847888709337389E-3</v>
      </c>
      <c r="D200" s="7">
        <f>(Table534567910[[#This Row],[Value]]-B188)/B188</f>
        <v>9.6526872651997275E-2</v>
      </c>
      <c r="E200" s="16">
        <v>0.02</v>
      </c>
      <c r="F200" s="15">
        <v>5.25</v>
      </c>
    </row>
    <row r="201" spans="1:6" x14ac:dyDescent="0.35">
      <c r="A201" s="60">
        <v>27515</v>
      </c>
      <c r="B201" s="58">
        <f>VLOOKUP(Table534567910[[#This Row],[Date]],Database!A:E,MATCH($A$1,Database!$A$1:$E$1,),)</f>
        <v>28.725000000000001</v>
      </c>
      <c r="C201" s="8">
        <f t="shared" si="3"/>
        <v>4.2301775975388837E-3</v>
      </c>
      <c r="D201" s="7">
        <f>(Table534567910[[#This Row],[Value]]-B189)/B189</f>
        <v>9.0670919239093359E-2</v>
      </c>
      <c r="E201" s="16">
        <v>0.02</v>
      </c>
      <c r="F201" s="15">
        <v>5.25</v>
      </c>
    </row>
    <row r="202" spans="1:6" x14ac:dyDescent="0.35">
      <c r="A202" s="60">
        <v>27546</v>
      </c>
      <c r="B202" s="58">
        <f>VLOOKUP(Table534567910[[#This Row],[Date]],Database!A:E,MATCH($A$1,Database!$A$1:$E$1,),)</f>
        <v>28.866</v>
      </c>
      <c r="C202" s="8">
        <f t="shared" si="3"/>
        <v>4.9086161879894948E-3</v>
      </c>
      <c r="D202" s="7">
        <f>(Table534567910[[#This Row],[Value]]-B190)/B190</f>
        <v>8.4902469275002834E-2</v>
      </c>
      <c r="E202" s="16">
        <v>0.02</v>
      </c>
      <c r="F202" s="15">
        <v>6.5</v>
      </c>
    </row>
    <row r="203" spans="1:6" x14ac:dyDescent="0.35">
      <c r="A203" s="60">
        <v>27576</v>
      </c>
      <c r="B203" s="58">
        <f>VLOOKUP(Table534567910[[#This Row],[Date]],Database!A:E,MATCH($A$1,Database!$A$1:$E$1,),)</f>
        <v>29.044</v>
      </c>
      <c r="C203" s="8">
        <f t="shared" si="3"/>
        <v>6.1664241668399093E-3</v>
      </c>
      <c r="D203" s="7">
        <f>(Table534567910[[#This Row],[Value]]-B191)/B191</f>
        <v>8.1995306038818327E-2</v>
      </c>
      <c r="E203" s="16">
        <v>0.02</v>
      </c>
      <c r="F203" s="15">
        <v>6.5</v>
      </c>
    </row>
    <row r="204" spans="1:6" x14ac:dyDescent="0.35">
      <c r="A204" s="60">
        <v>27607</v>
      </c>
      <c r="B204" s="58">
        <f>VLOOKUP(Table534567910[[#This Row],[Date]],Database!A:E,MATCH($A$1,Database!$A$1:$E$1,),)</f>
        <v>29.143999999999998</v>
      </c>
      <c r="C204" s="8">
        <f t="shared" si="3"/>
        <v>3.4430519212228987E-3</v>
      </c>
      <c r="D204" s="7">
        <f>(Table534567910[[#This Row],[Value]]-B192)/B192</f>
        <v>7.5384672152319074E-2</v>
      </c>
      <c r="E204" s="16">
        <v>0.02</v>
      </c>
      <c r="F204" s="15">
        <v>6.5</v>
      </c>
    </row>
    <row r="205" spans="1:6" x14ac:dyDescent="0.35">
      <c r="A205" s="60">
        <v>27638</v>
      </c>
      <c r="B205" s="58">
        <f>VLOOKUP(Table534567910[[#This Row],[Date]],Database!A:E,MATCH($A$1,Database!$A$1:$E$1,),)</f>
        <v>29.302</v>
      </c>
      <c r="C205" s="8">
        <f t="shared" si="3"/>
        <v>5.4213560252539547E-3</v>
      </c>
      <c r="D205" s="7">
        <f>(Table534567910[[#This Row],[Value]]-B193)/B193</f>
        <v>7.1567014079356409E-2</v>
      </c>
      <c r="E205" s="16">
        <v>0.02</v>
      </c>
      <c r="F205" s="15">
        <v>6.5</v>
      </c>
    </row>
    <row r="206" spans="1:6" x14ac:dyDescent="0.35">
      <c r="A206" s="60">
        <v>27668</v>
      </c>
      <c r="B206" s="58">
        <f>VLOOKUP(Table534567910[[#This Row],[Date]],Database!A:E,MATCH($A$1,Database!$A$1:$E$1,),)</f>
        <v>29.448</v>
      </c>
      <c r="C206" s="8">
        <f t="shared" si="3"/>
        <v>4.982595044706873E-3</v>
      </c>
      <c r="D206" s="7">
        <f>(Table534567910[[#This Row],[Value]]-B194)/B194</f>
        <v>6.8543851373417009E-2</v>
      </c>
      <c r="E206" s="16">
        <v>0.02</v>
      </c>
      <c r="F206" s="15">
        <v>4.88</v>
      </c>
    </row>
    <row r="207" spans="1:6" x14ac:dyDescent="0.35">
      <c r="A207" s="60">
        <v>27699</v>
      </c>
      <c r="B207" s="58">
        <f>VLOOKUP(Table534567910[[#This Row],[Date]],Database!A:E,MATCH($A$1,Database!$A$1:$E$1,),)</f>
        <v>29.643000000000001</v>
      </c>
      <c r="C207" s="8">
        <f t="shared" si="3"/>
        <v>6.6218418907905557E-3</v>
      </c>
      <c r="D207" s="7">
        <f>(Table534567910[[#This Row],[Value]]-B195)/B195</f>
        <v>6.7831412103746366E-2</v>
      </c>
      <c r="E207" s="16">
        <v>0.02</v>
      </c>
      <c r="F207" s="15">
        <v>4.88</v>
      </c>
    </row>
    <row r="208" spans="1:6" x14ac:dyDescent="0.35">
      <c r="A208" s="60">
        <v>27729</v>
      </c>
      <c r="B208" s="58">
        <f>VLOOKUP(Table534567910[[#This Row],[Date]],Database!A:E,MATCH($A$1,Database!$A$1:$E$1,),)</f>
        <v>29.823</v>
      </c>
      <c r="C208" s="8">
        <f t="shared" si="3"/>
        <v>6.0722598927233987E-3</v>
      </c>
      <c r="D208" s="7">
        <f>(Table534567910[[#This Row],[Value]]-B196)/B196</f>
        <v>6.6783516955215366E-2</v>
      </c>
      <c r="E208" s="16">
        <v>0.02</v>
      </c>
      <c r="F208" s="15">
        <v>4.88</v>
      </c>
    </row>
    <row r="209" spans="1:6" x14ac:dyDescent="0.35">
      <c r="A209" s="60">
        <v>27760</v>
      </c>
      <c r="B209" s="58">
        <f>VLOOKUP(Table534567910[[#This Row],[Date]],Database!A:E,MATCH($A$1,Database!$A$1:$E$1,),)</f>
        <v>29.975999999999999</v>
      </c>
      <c r="C209" s="8">
        <f t="shared" si="3"/>
        <v>5.1302685846493874E-3</v>
      </c>
      <c r="D209" s="7">
        <f>(Table534567910[[#This Row],[Value]]-B197)/B197</f>
        <v>6.6040755361143691E-2</v>
      </c>
      <c r="E209" s="16">
        <v>0.02</v>
      </c>
      <c r="F209" s="15">
        <v>4.75</v>
      </c>
    </row>
    <row r="210" spans="1:6" x14ac:dyDescent="0.35">
      <c r="A210" s="60">
        <v>27791</v>
      </c>
      <c r="B210" s="58">
        <f>VLOOKUP(Table534567910[[#This Row],[Date]],Database!A:E,MATCH($A$1,Database!$A$1:$E$1,),)</f>
        <v>30.094999999999999</v>
      </c>
      <c r="C210" s="8">
        <f t="shared" si="3"/>
        <v>3.9698425406992184E-3</v>
      </c>
      <c r="D210" s="7">
        <f>(Table534567910[[#This Row],[Value]]-B198)/B198</f>
        <v>6.2751606751889163E-2</v>
      </c>
      <c r="E210" s="16">
        <v>0.02</v>
      </c>
      <c r="F210" s="15">
        <v>4.75</v>
      </c>
    </row>
    <row r="211" spans="1:6" x14ac:dyDescent="0.35">
      <c r="A211" s="60">
        <v>27820</v>
      </c>
      <c r="B211" s="58">
        <f>VLOOKUP(Table534567910[[#This Row],[Date]],Database!A:E,MATCH($A$1,Database!$A$1:$E$1,),)</f>
        <v>30.195</v>
      </c>
      <c r="C211" s="8">
        <f t="shared" si="3"/>
        <v>3.3228110981891154E-3</v>
      </c>
      <c r="D211" s="7">
        <f>(Table534567910[[#This Row],[Value]]-B199)/B199</f>
        <v>6.0739127380032287E-2</v>
      </c>
      <c r="E211" s="16">
        <v>0.02</v>
      </c>
      <c r="F211" s="15">
        <v>4.75</v>
      </c>
    </row>
    <row r="212" spans="1:6" x14ac:dyDescent="0.35">
      <c r="A212" s="60">
        <v>27851</v>
      </c>
      <c r="B212" s="58">
        <f>VLOOKUP(Table534567910[[#This Row],[Date]],Database!A:E,MATCH($A$1,Database!$A$1:$E$1,),)</f>
        <v>30.312000000000001</v>
      </c>
      <c r="C212" s="8">
        <f t="shared" si="3"/>
        <v>3.8748137108793137E-3</v>
      </c>
      <c r="D212" s="7">
        <f>(Table534567910[[#This Row],[Value]]-B200)/B200</f>
        <v>5.9711928401622219E-2</v>
      </c>
      <c r="E212" s="16">
        <v>0.02</v>
      </c>
      <c r="F212" s="15">
        <v>4.88</v>
      </c>
    </row>
    <row r="213" spans="1:6" x14ac:dyDescent="0.35">
      <c r="A213" s="60">
        <v>27881</v>
      </c>
      <c r="B213" s="58">
        <f>VLOOKUP(Table534567910[[#This Row],[Date]],Database!A:E,MATCH($A$1,Database!$A$1:$E$1,),)</f>
        <v>30.456</v>
      </c>
      <c r="C213" s="8">
        <f t="shared" si="3"/>
        <v>4.7505938242279741E-3</v>
      </c>
      <c r="D213" s="7">
        <f>(Table534567910[[#This Row],[Value]]-B201)/B201</f>
        <v>6.0261096605744059E-2</v>
      </c>
      <c r="E213" s="16">
        <v>0.02</v>
      </c>
      <c r="F213" s="15">
        <v>5.5</v>
      </c>
    </row>
    <row r="214" spans="1:6" x14ac:dyDescent="0.35">
      <c r="A214" s="60">
        <v>27912</v>
      </c>
      <c r="B214" s="58">
        <f>VLOOKUP(Table534567910[[#This Row],[Date]],Database!A:E,MATCH($A$1,Database!$A$1:$E$1,),)</f>
        <v>30.579000000000001</v>
      </c>
      <c r="C214" s="8">
        <f t="shared" si="3"/>
        <v>4.0386130811663088E-3</v>
      </c>
      <c r="D214" s="7">
        <f>(Table534567910[[#This Row],[Value]]-B202)/B202</f>
        <v>5.9343171897734394E-2</v>
      </c>
      <c r="E214" s="16">
        <v>0.02</v>
      </c>
      <c r="F214" s="15">
        <v>5.5</v>
      </c>
    </row>
    <row r="215" spans="1:6" x14ac:dyDescent="0.35">
      <c r="A215" s="60">
        <v>27942</v>
      </c>
      <c r="B215" s="58">
        <f>VLOOKUP(Table534567910[[#This Row],[Date]],Database!A:E,MATCH($A$1,Database!$A$1:$E$1,),)</f>
        <v>30.748000000000001</v>
      </c>
      <c r="C215" s="8">
        <f t="shared" si="3"/>
        <v>5.5266686287975568E-3</v>
      </c>
      <c r="D215" s="7">
        <f>(Table534567910[[#This Row],[Value]]-B203)/B203</f>
        <v>5.8669604737639464E-2</v>
      </c>
      <c r="E215" s="16">
        <v>0.02</v>
      </c>
      <c r="F215" s="15">
        <v>5.13</v>
      </c>
    </row>
    <row r="216" spans="1:6" x14ac:dyDescent="0.35">
      <c r="A216" s="60">
        <v>27973</v>
      </c>
      <c r="B216" s="58">
        <f>VLOOKUP(Table534567910[[#This Row],[Date]],Database!A:E,MATCH($A$1,Database!$A$1:$E$1,),)</f>
        <v>30.925000000000001</v>
      </c>
      <c r="C216" s="8">
        <f t="shared" si="3"/>
        <v>5.7564719656562893E-3</v>
      </c>
      <c r="D216" s="7">
        <f>(Table534567910[[#This Row],[Value]]-B204)/B204</f>
        <v>6.1110348613779938E-2</v>
      </c>
      <c r="E216" s="16">
        <v>0.02</v>
      </c>
      <c r="F216" s="15">
        <v>5.13</v>
      </c>
    </row>
    <row r="217" spans="1:6" x14ac:dyDescent="0.35">
      <c r="A217" s="60">
        <v>28004</v>
      </c>
      <c r="B217" s="58">
        <f>VLOOKUP(Table534567910[[#This Row],[Date]],Database!A:E,MATCH($A$1,Database!$A$1:$E$1,),)</f>
        <v>31.106000000000002</v>
      </c>
      <c r="C217" s="8">
        <f t="shared" si="3"/>
        <v>5.8528698464026174E-3</v>
      </c>
      <c r="D217" s="7">
        <f>(Table534567910[[#This Row],[Value]]-B205)/B205</f>
        <v>6.1565763429117536E-2</v>
      </c>
      <c r="E217" s="16">
        <v>0.02</v>
      </c>
      <c r="F217" s="15">
        <v>5.13</v>
      </c>
    </row>
    <row r="218" spans="1:6" x14ac:dyDescent="0.35">
      <c r="A218" s="60">
        <v>28034</v>
      </c>
      <c r="B218" s="58">
        <f>VLOOKUP(Table534567910[[#This Row],[Date]],Database!A:E,MATCH($A$1,Database!$A$1:$E$1,),)</f>
        <v>31.257999999999999</v>
      </c>
      <c r="C218" s="8">
        <f t="shared" si="3"/>
        <v>4.8865170706615269E-3</v>
      </c>
      <c r="D218" s="7">
        <f>(Table534567910[[#This Row],[Value]]-B206)/B206</f>
        <v>6.1464276011953228E-2</v>
      </c>
      <c r="E218" s="16">
        <v>0.02</v>
      </c>
      <c r="F218" s="15">
        <v>5</v>
      </c>
    </row>
    <row r="219" spans="1:6" x14ac:dyDescent="0.35">
      <c r="A219" s="60">
        <v>28065</v>
      </c>
      <c r="B219" s="58">
        <f>VLOOKUP(Table534567910[[#This Row],[Date]],Database!A:E,MATCH($A$1,Database!$A$1:$E$1,),)</f>
        <v>31.401</v>
      </c>
      <c r="C219" s="8">
        <f t="shared" si="3"/>
        <v>4.5748288438160053E-3</v>
      </c>
      <c r="D219" s="7">
        <f>(Table534567910[[#This Row],[Value]]-B207)/B207</f>
        <v>5.930573828559859E-2</v>
      </c>
      <c r="E219" s="16">
        <v>0.02</v>
      </c>
      <c r="F219" s="15">
        <v>4.75</v>
      </c>
    </row>
    <row r="220" spans="1:6" x14ac:dyDescent="0.35">
      <c r="A220" s="60">
        <v>28095</v>
      </c>
      <c r="B220" s="58">
        <f>VLOOKUP(Table534567910[[#This Row],[Date]],Database!A:E,MATCH($A$1,Database!$A$1:$E$1,),)</f>
        <v>31.571000000000002</v>
      </c>
      <c r="C220" s="8">
        <f t="shared" si="3"/>
        <v>5.413840323556629E-3</v>
      </c>
      <c r="D220" s="7">
        <f>(Table534567910[[#This Row],[Value]]-B208)/B208</f>
        <v>5.8612480300439293E-2</v>
      </c>
      <c r="E220" s="16">
        <v>0.02</v>
      </c>
      <c r="F220" s="15">
        <v>5.88</v>
      </c>
    </row>
    <row r="221" spans="1:6" x14ac:dyDescent="0.35">
      <c r="A221" s="60">
        <v>28126</v>
      </c>
      <c r="B221" s="58">
        <f>VLOOKUP(Table534567910[[#This Row],[Date]],Database!A:E,MATCH($A$1,Database!$A$1:$E$1,),)</f>
        <v>31.763000000000002</v>
      </c>
      <c r="C221" s="8">
        <f t="shared" si="3"/>
        <v>6.0815305185138308E-3</v>
      </c>
      <c r="D221" s="7">
        <f>(Table534567910[[#This Row],[Value]]-B209)/B209</f>
        <v>5.9614358153189308E-2</v>
      </c>
      <c r="E221" s="16">
        <v>0.02</v>
      </c>
      <c r="F221" s="15">
        <v>5.88</v>
      </c>
    </row>
    <row r="222" spans="1:6" x14ac:dyDescent="0.35">
      <c r="A222" s="60">
        <v>28157</v>
      </c>
      <c r="B222" s="58">
        <f>VLOOKUP(Table534567910[[#This Row],[Date]],Database!A:E,MATCH($A$1,Database!$A$1:$E$1,),)</f>
        <v>31.957999999999998</v>
      </c>
      <c r="C222" s="8">
        <f t="shared" si="3"/>
        <v>6.1392185876647902E-3</v>
      </c>
      <c r="D222" s="7">
        <f>(Table534567910[[#This Row],[Value]]-B210)/B210</f>
        <v>6.1903970759262322E-2</v>
      </c>
      <c r="E222" s="16">
        <v>0.02</v>
      </c>
      <c r="F222" s="15">
        <v>5.88</v>
      </c>
    </row>
    <row r="223" spans="1:6" x14ac:dyDescent="0.35">
      <c r="A223" s="60">
        <v>28185</v>
      </c>
      <c r="B223" s="58">
        <f>VLOOKUP(Table534567910[[#This Row],[Date]],Database!A:E,MATCH($A$1,Database!$A$1:$E$1,),)</f>
        <v>32.094000000000001</v>
      </c>
      <c r="C223" s="8">
        <f t="shared" si="3"/>
        <v>4.2555854559109705E-3</v>
      </c>
      <c r="D223" s="7">
        <f>(Table534567910[[#This Row],[Value]]-B211)/B211</f>
        <v>6.2891207153502271E-2</v>
      </c>
      <c r="E223" s="16">
        <v>0.02</v>
      </c>
      <c r="F223" s="15">
        <v>5.88</v>
      </c>
    </row>
    <row r="224" spans="1:6" x14ac:dyDescent="0.35">
      <c r="A224" s="60">
        <v>28216</v>
      </c>
      <c r="B224" s="58">
        <f>VLOOKUP(Table534567910[[#This Row],[Date]],Database!A:E,MATCH($A$1,Database!$A$1:$E$1,),)</f>
        <v>32.253</v>
      </c>
      <c r="C224" s="8">
        <f t="shared" si="3"/>
        <v>4.9541970461768215E-3</v>
      </c>
      <c r="D224" s="7">
        <f>(Table534567910[[#This Row],[Value]]-B212)/B212</f>
        <v>6.4034045922406926E-2</v>
      </c>
      <c r="E224" s="16">
        <v>0.02</v>
      </c>
      <c r="F224" s="15">
        <v>5.88</v>
      </c>
    </row>
    <row r="225" spans="1:6" x14ac:dyDescent="0.35">
      <c r="A225" s="60">
        <v>28246</v>
      </c>
      <c r="B225" s="58">
        <f>VLOOKUP(Table534567910[[#This Row],[Date]],Database!A:E,MATCH($A$1,Database!$A$1:$E$1,),)</f>
        <v>32.417000000000002</v>
      </c>
      <c r="C225" s="8">
        <f t="shared" si="3"/>
        <v>5.0847983133352394E-3</v>
      </c>
      <c r="D225" s="7">
        <f>(Table534567910[[#This Row],[Value]]-B213)/B213</f>
        <v>6.4387969529813571E-2</v>
      </c>
      <c r="E225" s="16">
        <v>0.02</v>
      </c>
      <c r="F225" s="15">
        <v>5.88</v>
      </c>
    </row>
    <row r="226" spans="1:6" x14ac:dyDescent="0.35">
      <c r="A226" s="60">
        <v>28277</v>
      </c>
      <c r="B226" s="58">
        <f>VLOOKUP(Table534567910[[#This Row],[Date]],Database!A:E,MATCH($A$1,Database!$A$1:$E$1,),)</f>
        <v>32.610999999999997</v>
      </c>
      <c r="C226" s="8">
        <f t="shared" si="3"/>
        <v>5.9845142980533518E-3</v>
      </c>
      <c r="D226" s="7">
        <f>(Table534567910[[#This Row],[Value]]-B214)/B214</f>
        <v>6.6450832270512322E-2</v>
      </c>
      <c r="E226" s="16">
        <v>0.02</v>
      </c>
      <c r="F226" s="15">
        <v>5.88</v>
      </c>
    </row>
    <row r="227" spans="1:6" x14ac:dyDescent="0.35">
      <c r="A227" s="60">
        <v>28307</v>
      </c>
      <c r="B227" s="58">
        <f>VLOOKUP(Table534567910[[#This Row],[Date]],Database!A:E,MATCH($A$1,Database!$A$1:$E$1,),)</f>
        <v>32.813000000000002</v>
      </c>
      <c r="C227" s="8">
        <f t="shared" si="3"/>
        <v>6.1942289411549877E-3</v>
      </c>
      <c r="D227" s="7">
        <f>(Table534567910[[#This Row],[Value]]-B215)/B215</f>
        <v>6.7158839599323575E-2</v>
      </c>
      <c r="E227" s="16">
        <v>0.02</v>
      </c>
      <c r="F227" s="15">
        <v>5.88</v>
      </c>
    </row>
    <row r="228" spans="1:6" x14ac:dyDescent="0.35">
      <c r="A228" s="60">
        <v>28338</v>
      </c>
      <c r="B228" s="58">
        <f>VLOOKUP(Table534567910[[#This Row],[Date]],Database!A:E,MATCH($A$1,Database!$A$1:$E$1,),)</f>
        <v>32.972999999999999</v>
      </c>
      <c r="C228" s="8">
        <f t="shared" si="3"/>
        <v>4.8761161734677287E-3</v>
      </c>
      <c r="D228" s="7">
        <f>(Table534567910[[#This Row],[Value]]-B216)/B216</f>
        <v>6.6224737267582809E-2</v>
      </c>
      <c r="E228" s="16">
        <v>0.02</v>
      </c>
      <c r="F228" s="15">
        <v>6</v>
      </c>
    </row>
    <row r="229" spans="1:6" x14ac:dyDescent="0.35">
      <c r="A229" s="60">
        <v>28369</v>
      </c>
      <c r="B229" s="58">
        <f>VLOOKUP(Table534567910[[#This Row],[Date]],Database!A:E,MATCH($A$1,Database!$A$1:$E$1,),)</f>
        <v>33.113</v>
      </c>
      <c r="C229" s="8">
        <f t="shared" si="3"/>
        <v>4.2458981590998866E-3</v>
      </c>
      <c r="D229" s="7">
        <f>(Table534567910[[#This Row],[Value]]-B217)/B217</f>
        <v>6.452131421590683E-2</v>
      </c>
      <c r="E229" s="16">
        <v>0.02</v>
      </c>
      <c r="F229" s="15">
        <v>6.25</v>
      </c>
    </row>
    <row r="230" spans="1:6" x14ac:dyDescent="0.35">
      <c r="A230" s="60">
        <v>28399</v>
      </c>
      <c r="B230" s="58">
        <f>VLOOKUP(Table534567910[[#This Row],[Date]],Database!A:E,MATCH($A$1,Database!$A$1:$E$1,),)</f>
        <v>33.273000000000003</v>
      </c>
      <c r="C230" s="8">
        <f t="shared" si="3"/>
        <v>4.8319391175672306E-3</v>
      </c>
      <c r="D230" s="7">
        <f>(Table534567910[[#This Row],[Value]]-B218)/B218</f>
        <v>6.446349734467989E-2</v>
      </c>
      <c r="E230" s="16">
        <v>0.02</v>
      </c>
      <c r="F230" s="15">
        <v>6.5</v>
      </c>
    </row>
    <row r="231" spans="1:6" x14ac:dyDescent="0.35">
      <c r="A231" s="60">
        <v>28430</v>
      </c>
      <c r="B231" s="58">
        <f>VLOOKUP(Table534567910[[#This Row],[Date]],Database!A:E,MATCH($A$1,Database!$A$1:$E$1,),)</f>
        <v>33.445</v>
      </c>
      <c r="C231" s="8">
        <f t="shared" si="3"/>
        <v>5.1693565353288558E-3</v>
      </c>
      <c r="D231" s="7">
        <f>(Table534567910[[#This Row],[Value]]-B219)/B219</f>
        <v>6.5093468360880244E-2</v>
      </c>
      <c r="E231" s="16">
        <v>0.02</v>
      </c>
      <c r="F231" s="15">
        <v>6.5</v>
      </c>
    </row>
    <row r="232" spans="1:6" x14ac:dyDescent="0.35">
      <c r="A232" s="60">
        <v>28460</v>
      </c>
      <c r="B232" s="58">
        <f>VLOOKUP(Table534567910[[#This Row],[Date]],Database!A:E,MATCH($A$1,Database!$A$1:$E$1,),)</f>
        <v>33.618000000000002</v>
      </c>
      <c r="C232" s="8">
        <f t="shared" si="3"/>
        <v>5.172671550306528E-3</v>
      </c>
      <c r="D232" s="7">
        <f>(Table534567910[[#This Row],[Value]]-B220)/B220</f>
        <v>6.4837984226030237E-2</v>
      </c>
      <c r="E232" s="16">
        <v>0.02</v>
      </c>
      <c r="F232" s="15">
        <v>6.5</v>
      </c>
    </row>
    <row r="233" spans="1:6" x14ac:dyDescent="0.35">
      <c r="A233" s="60">
        <v>28491</v>
      </c>
      <c r="B233" s="58">
        <f>VLOOKUP(Table534567910[[#This Row],[Date]],Database!A:E,MATCH($A$1,Database!$A$1:$E$1,),)</f>
        <v>33.819000000000003</v>
      </c>
      <c r="C233" s="8">
        <f t="shared" si="3"/>
        <v>5.9789398536498452E-3</v>
      </c>
      <c r="D233" s="7">
        <f>(Table534567910[[#This Row],[Value]]-B221)/B221</f>
        <v>6.4729402134559105E-2</v>
      </c>
      <c r="E233" s="16">
        <v>0.02</v>
      </c>
      <c r="F233" s="15">
        <v>6.75</v>
      </c>
    </row>
    <row r="234" spans="1:6" x14ac:dyDescent="0.35">
      <c r="A234" s="60">
        <v>28522</v>
      </c>
      <c r="B234" s="58">
        <f>VLOOKUP(Table534567910[[#This Row],[Date]],Database!A:E,MATCH($A$1,Database!$A$1:$E$1,),)</f>
        <v>33.948999999999998</v>
      </c>
      <c r="C234" s="8">
        <f t="shared" si="3"/>
        <v>3.8439930216740722E-3</v>
      </c>
      <c r="D234" s="7">
        <f>(Table534567910[[#This Row],[Value]]-B222)/B222</f>
        <v>6.2300519431754173E-2</v>
      </c>
      <c r="E234" s="16">
        <v>0.02</v>
      </c>
      <c r="F234" s="15">
        <v>6.75</v>
      </c>
    </row>
    <row r="235" spans="1:6" x14ac:dyDescent="0.35">
      <c r="A235" s="60">
        <v>28550</v>
      </c>
      <c r="B235" s="58">
        <f>VLOOKUP(Table534567910[[#This Row],[Date]],Database!A:E,MATCH($A$1,Database!$A$1:$E$1,),)</f>
        <v>34.133000000000003</v>
      </c>
      <c r="C235" s="8">
        <f t="shared" si="3"/>
        <v>5.4198945477040451E-3</v>
      </c>
      <c r="D235" s="7">
        <f>(Table534567910[[#This Row],[Value]]-B223)/B223</f>
        <v>6.353212438462022E-2</v>
      </c>
      <c r="E235" s="16">
        <v>0.02</v>
      </c>
      <c r="F235" s="15">
        <v>6.75</v>
      </c>
    </row>
    <row r="236" spans="1:6" x14ac:dyDescent="0.35">
      <c r="A236" s="60">
        <v>28581</v>
      </c>
      <c r="B236" s="58">
        <f>VLOOKUP(Table534567910[[#This Row],[Date]],Database!A:E,MATCH($A$1,Database!$A$1:$E$1,),)</f>
        <v>34.353999999999999</v>
      </c>
      <c r="C236" s="8">
        <f t="shared" si="3"/>
        <v>6.4746726042245488E-3</v>
      </c>
      <c r="D236" s="7">
        <f>(Table534567910[[#This Row],[Value]]-B224)/B224</f>
        <v>6.5141227172666086E-2</v>
      </c>
      <c r="E236" s="16">
        <v>0.02</v>
      </c>
      <c r="F236" s="15">
        <v>7.25</v>
      </c>
    </row>
    <row r="237" spans="1:6" x14ac:dyDescent="0.35">
      <c r="A237" s="60">
        <v>28611</v>
      </c>
      <c r="B237" s="58">
        <f>VLOOKUP(Table534567910[[#This Row],[Date]],Database!A:E,MATCH($A$1,Database!$A$1:$E$1,),)</f>
        <v>34.555999999999997</v>
      </c>
      <c r="C237" s="8">
        <f t="shared" si="3"/>
        <v>5.8799557547883274E-3</v>
      </c>
      <c r="D237" s="7">
        <f>(Table534567910[[#This Row],[Value]]-B225)/B225</f>
        <v>6.5983897337816441E-2</v>
      </c>
      <c r="E237" s="16">
        <v>0.02</v>
      </c>
      <c r="F237" s="15">
        <v>7.5</v>
      </c>
    </row>
    <row r="238" spans="1:6" x14ac:dyDescent="0.35">
      <c r="A238" s="60">
        <v>28642</v>
      </c>
      <c r="B238" s="58">
        <f>VLOOKUP(Table534567910[[#This Row],[Date]],Database!A:E,MATCH($A$1,Database!$A$1:$E$1,),)</f>
        <v>34.749000000000002</v>
      </c>
      <c r="C238" s="8">
        <f t="shared" si="3"/>
        <v>5.5851371686539229E-3</v>
      </c>
      <c r="D238" s="7">
        <f>(Table534567910[[#This Row],[Value]]-B226)/B226</f>
        <v>6.5560700377173514E-2</v>
      </c>
      <c r="E238" s="16">
        <v>0.02</v>
      </c>
      <c r="F238" s="15">
        <v>7.75</v>
      </c>
    </row>
    <row r="239" spans="1:6" x14ac:dyDescent="0.35">
      <c r="A239" s="60">
        <v>28672</v>
      </c>
      <c r="B239" s="58">
        <f>VLOOKUP(Table534567910[[#This Row],[Date]],Database!A:E,MATCH($A$1,Database!$A$1:$E$1,),)</f>
        <v>34.953000000000003</v>
      </c>
      <c r="C239" s="8">
        <f t="shared" si="3"/>
        <v>5.8706725373392213E-3</v>
      </c>
      <c r="D239" s="7">
        <f>(Table534567910[[#This Row],[Value]]-B227)/B227</f>
        <v>6.521805382013228E-2</v>
      </c>
      <c r="E239" s="16">
        <v>0.02</v>
      </c>
      <c r="F239" s="15">
        <v>7.88</v>
      </c>
    </row>
    <row r="240" spans="1:6" x14ac:dyDescent="0.35">
      <c r="A240" s="60">
        <v>28703</v>
      </c>
      <c r="B240" s="58">
        <f>VLOOKUP(Table534567910[[#This Row],[Date]],Database!A:E,MATCH($A$1,Database!$A$1:$E$1,),)</f>
        <v>35.140999999999998</v>
      </c>
      <c r="C240" s="8">
        <f t="shared" si="3"/>
        <v>5.3786513317882661E-3</v>
      </c>
      <c r="D240" s="7">
        <f>(Table534567910[[#This Row],[Value]]-B228)/B228</f>
        <v>6.5750765778060813E-2</v>
      </c>
      <c r="E240" s="16">
        <v>0.02</v>
      </c>
      <c r="F240" s="15">
        <v>8.25</v>
      </c>
    </row>
    <row r="241" spans="1:6" x14ac:dyDescent="0.35">
      <c r="A241" s="60">
        <v>28734</v>
      </c>
      <c r="B241" s="58">
        <f>VLOOKUP(Table534567910[[#This Row],[Date]],Database!A:E,MATCH($A$1,Database!$A$1:$E$1,),)</f>
        <v>35.343000000000004</v>
      </c>
      <c r="C241" s="8">
        <f t="shared" si="3"/>
        <v>5.7482712501068633E-3</v>
      </c>
      <c r="D241" s="7">
        <f>(Table534567910[[#This Row],[Value]]-B229)/B229</f>
        <v>6.7345151451091836E-2</v>
      </c>
      <c r="E241" s="16">
        <v>0.02</v>
      </c>
      <c r="F241" s="15">
        <v>8.75</v>
      </c>
    </row>
    <row r="242" spans="1:6" x14ac:dyDescent="0.35">
      <c r="A242" s="60">
        <v>28764</v>
      </c>
      <c r="B242" s="58">
        <f>VLOOKUP(Table534567910[[#This Row],[Date]],Database!A:E,MATCH($A$1,Database!$A$1:$E$1,),)</f>
        <v>35.603000000000002</v>
      </c>
      <c r="C242" s="8">
        <f t="shared" si="3"/>
        <v>7.356477944713182E-3</v>
      </c>
      <c r="D242" s="7">
        <f>(Table534567910[[#This Row],[Value]]-B230)/B230</f>
        <v>7.0026748414630427E-2</v>
      </c>
      <c r="E242" s="16">
        <v>0.02</v>
      </c>
      <c r="F242" s="15">
        <v>9</v>
      </c>
    </row>
    <row r="243" spans="1:6" x14ac:dyDescent="0.35">
      <c r="A243" s="60">
        <v>28795</v>
      </c>
      <c r="B243" s="58">
        <f>VLOOKUP(Table534567910[[#This Row],[Date]],Database!A:E,MATCH($A$1,Database!$A$1:$E$1,),)</f>
        <v>35.793999999999997</v>
      </c>
      <c r="C243" s="8">
        <f t="shared" si="3"/>
        <v>5.3647164564782574E-3</v>
      </c>
      <c r="D243" s="7">
        <f>(Table534567910[[#This Row],[Value]]-B231)/B231</f>
        <v>7.0234713709074498E-2</v>
      </c>
      <c r="E243" s="16">
        <v>0.02</v>
      </c>
      <c r="F243" s="15">
        <v>9.8800000000000008</v>
      </c>
    </row>
    <row r="244" spans="1:6" x14ac:dyDescent="0.35">
      <c r="A244" s="60">
        <v>28825</v>
      </c>
      <c r="B244" s="58">
        <f>VLOOKUP(Table534567910[[#This Row],[Date]],Database!A:E,MATCH($A$1,Database!$A$1:$E$1,),)</f>
        <v>35.933999999999997</v>
      </c>
      <c r="C244" s="8">
        <f t="shared" si="3"/>
        <v>3.9112700452589985E-3</v>
      </c>
      <c r="D244" s="7">
        <f>(Table534567910[[#This Row],[Value]]-B232)/B232</f>
        <v>6.8891665179368053E-2</v>
      </c>
      <c r="E244" s="16">
        <v>0.02</v>
      </c>
      <c r="F244" s="15">
        <v>10</v>
      </c>
    </row>
    <row r="245" spans="1:6" x14ac:dyDescent="0.35">
      <c r="A245" s="60">
        <v>28856</v>
      </c>
      <c r="B245" s="58">
        <f>VLOOKUP(Table534567910[[#This Row],[Date]],Database!A:E,MATCH($A$1,Database!$A$1:$E$1,),)</f>
        <v>36.118000000000002</v>
      </c>
      <c r="C245" s="8">
        <f t="shared" si="3"/>
        <v>5.1204986920466581E-3</v>
      </c>
      <c r="D245" s="7">
        <f>(Table534567910[[#This Row],[Value]]-B233)/B233</f>
        <v>6.7979538129453843E-2</v>
      </c>
      <c r="E245" s="16">
        <v>0.02</v>
      </c>
      <c r="F245" s="15">
        <v>10</v>
      </c>
    </row>
    <row r="246" spans="1:6" x14ac:dyDescent="0.35">
      <c r="A246" s="60">
        <v>28887</v>
      </c>
      <c r="B246" s="58">
        <f>VLOOKUP(Table534567910[[#This Row],[Date]],Database!A:E,MATCH($A$1,Database!$A$1:$E$1,),)</f>
        <v>36.234999999999999</v>
      </c>
      <c r="C246" s="8">
        <f t="shared" si="3"/>
        <v>3.2393820255827376E-3</v>
      </c>
      <c r="D246" s="7">
        <f>(Table534567910[[#This Row],[Value]]-B234)/B234</f>
        <v>6.7336298565495348E-2</v>
      </c>
      <c r="E246" s="16">
        <v>0.02</v>
      </c>
      <c r="F246" s="15">
        <v>10</v>
      </c>
    </row>
    <row r="247" spans="1:6" x14ac:dyDescent="0.35">
      <c r="A247" s="60">
        <v>28915</v>
      </c>
      <c r="B247" s="58">
        <f>VLOOKUP(Table534567910[[#This Row],[Date]],Database!A:E,MATCH($A$1,Database!$A$1:$E$1,),)</f>
        <v>36.444000000000003</v>
      </c>
      <c r="C247" s="8">
        <f t="shared" si="3"/>
        <v>5.767903960259506E-3</v>
      </c>
      <c r="D247" s="7">
        <f>(Table534567910[[#This Row],[Value]]-B235)/B235</f>
        <v>6.770573931386048E-2</v>
      </c>
      <c r="E247" s="16">
        <v>0.02</v>
      </c>
      <c r="F247" s="15">
        <v>10</v>
      </c>
    </row>
    <row r="248" spans="1:6" x14ac:dyDescent="0.35">
      <c r="A248" s="60">
        <v>28946</v>
      </c>
      <c r="B248" s="58">
        <f>VLOOKUP(Table534567910[[#This Row],[Date]],Database!A:E,MATCH($A$1,Database!$A$1:$E$1,),)</f>
        <v>36.78</v>
      </c>
      <c r="C248" s="8">
        <f t="shared" si="3"/>
        <v>9.2196246295686117E-3</v>
      </c>
      <c r="D248" s="7">
        <f>(Table534567910[[#This Row],[Value]]-B236)/B236</f>
        <v>7.061768644117139E-2</v>
      </c>
      <c r="E248" s="16">
        <v>0.02</v>
      </c>
      <c r="F248" s="15">
        <v>10.25</v>
      </c>
    </row>
    <row r="249" spans="1:6" x14ac:dyDescent="0.35">
      <c r="A249" s="60">
        <v>28976</v>
      </c>
      <c r="B249" s="58">
        <f>VLOOKUP(Table534567910[[#This Row],[Date]],Database!A:E,MATCH($A$1,Database!$A$1:$E$1,),)</f>
        <v>37.1</v>
      </c>
      <c r="C249" s="8">
        <f t="shared" si="3"/>
        <v>8.7003806416530802E-3</v>
      </c>
      <c r="D249" s="7">
        <f>(Table534567910[[#This Row],[Value]]-B237)/B237</f>
        <v>7.3619631901840607E-2</v>
      </c>
      <c r="E249" s="16">
        <v>0.02</v>
      </c>
      <c r="F249" s="15">
        <v>10.25</v>
      </c>
    </row>
    <row r="250" spans="1:6" x14ac:dyDescent="0.35">
      <c r="A250" s="60">
        <v>29007</v>
      </c>
      <c r="B250" s="58">
        <f>VLOOKUP(Table534567910[[#This Row],[Date]],Database!A:E,MATCH($A$1,Database!$A$1:$E$1,),)</f>
        <v>37.308</v>
      </c>
      <c r="C250" s="8">
        <f t="shared" si="3"/>
        <v>5.6064690026953745E-3</v>
      </c>
      <c r="D250" s="7">
        <f>(Table534567910[[#This Row],[Value]]-B238)/B238</f>
        <v>7.3642406975740232E-2</v>
      </c>
      <c r="E250" s="16">
        <v>0.02</v>
      </c>
      <c r="F250" s="15">
        <v>10.25</v>
      </c>
    </row>
    <row r="251" spans="1:6" x14ac:dyDescent="0.35">
      <c r="A251" s="60">
        <v>29037</v>
      </c>
      <c r="B251" s="58">
        <f>VLOOKUP(Table534567910[[#This Row],[Date]],Database!A:E,MATCH($A$1,Database!$A$1:$E$1,),)</f>
        <v>37.494999999999997</v>
      </c>
      <c r="C251" s="8">
        <f t="shared" si="3"/>
        <v>5.0123297952181199E-3</v>
      </c>
      <c r="D251" s="7">
        <f>(Table534567910[[#This Row],[Value]]-B239)/B239</f>
        <v>7.2726232369181312E-2</v>
      </c>
      <c r="E251" s="16">
        <v>0.02</v>
      </c>
      <c r="F251" s="15">
        <v>10.63</v>
      </c>
    </row>
    <row r="252" spans="1:6" x14ac:dyDescent="0.35">
      <c r="A252" s="60">
        <v>29068</v>
      </c>
      <c r="B252" s="58">
        <f>VLOOKUP(Table534567910[[#This Row],[Date]],Database!A:E,MATCH($A$1,Database!$A$1:$E$1,),)</f>
        <v>37.744</v>
      </c>
      <c r="C252" s="8">
        <f t="shared" si="3"/>
        <v>6.6408854513935814E-3</v>
      </c>
      <c r="D252" s="7">
        <f>(Table534567910[[#This Row],[Value]]-B240)/B240</f>
        <v>7.4073020118949423E-2</v>
      </c>
      <c r="E252" s="16">
        <v>0.02</v>
      </c>
      <c r="F252" s="15">
        <v>11.38</v>
      </c>
    </row>
    <row r="253" spans="1:6" x14ac:dyDescent="0.35">
      <c r="A253" s="60">
        <v>29099</v>
      </c>
      <c r="B253" s="58">
        <f>VLOOKUP(Table534567910[[#This Row],[Date]],Database!A:E,MATCH($A$1,Database!$A$1:$E$1,),)</f>
        <v>38.002000000000002</v>
      </c>
      <c r="C253" s="8">
        <f t="shared" si="3"/>
        <v>6.8355235269182569E-3</v>
      </c>
      <c r="D253" s="7">
        <f>(Table534567910[[#This Row],[Value]]-B241)/B241</f>
        <v>7.5234134057663438E-2</v>
      </c>
      <c r="E253" s="16">
        <v>0.02</v>
      </c>
      <c r="F253" s="15">
        <v>11.5</v>
      </c>
    </row>
    <row r="254" spans="1:6" x14ac:dyDescent="0.35">
      <c r="A254" s="60">
        <v>29129</v>
      </c>
      <c r="B254" s="58">
        <f>VLOOKUP(Table534567910[[#This Row],[Date]],Database!A:E,MATCH($A$1,Database!$A$1:$E$1,),)</f>
        <v>38.279000000000003</v>
      </c>
      <c r="C254" s="8">
        <f t="shared" si="3"/>
        <v>7.2890900478922429E-3</v>
      </c>
      <c r="D254" s="7">
        <f>(Table534567910[[#This Row],[Value]]-B242)/B242</f>
        <v>7.5162205432126553E-2</v>
      </c>
      <c r="E254" s="16">
        <v>0.02</v>
      </c>
      <c r="F254" s="15">
        <v>15.5</v>
      </c>
    </row>
    <row r="255" spans="1:6" x14ac:dyDescent="0.35">
      <c r="A255" s="60">
        <v>29160</v>
      </c>
      <c r="B255" s="58">
        <f>VLOOKUP(Table534567910[[#This Row],[Date]],Database!A:E,MATCH($A$1,Database!$A$1:$E$1,),)</f>
        <v>38.524000000000001</v>
      </c>
      <c r="C255" s="8">
        <f t="shared" si="3"/>
        <v>6.4003761853757262E-3</v>
      </c>
      <c r="D255" s="7">
        <f>(Table534567910[[#This Row],[Value]]-B243)/B243</f>
        <v>7.6269765882550272E-2</v>
      </c>
      <c r="E255" s="16">
        <v>0.02</v>
      </c>
      <c r="F255" s="15">
        <v>15.5</v>
      </c>
    </row>
    <row r="256" spans="1:6" x14ac:dyDescent="0.35">
      <c r="A256" s="60">
        <v>29190</v>
      </c>
      <c r="B256" s="58">
        <f>VLOOKUP(Table534567910[[#This Row],[Date]],Database!A:E,MATCH($A$1,Database!$A$1:$E$1,),)</f>
        <v>38.801000000000002</v>
      </c>
      <c r="C256" s="8">
        <f t="shared" si="3"/>
        <v>7.1903229155851163E-3</v>
      </c>
      <c r="D256" s="7">
        <f>(Table534567910[[#This Row],[Value]]-B244)/B244</f>
        <v>7.9785161685312092E-2</v>
      </c>
      <c r="E256" s="16">
        <v>0.02</v>
      </c>
      <c r="F256" s="15">
        <v>14</v>
      </c>
    </row>
    <row r="257" spans="1:6" x14ac:dyDescent="0.35">
      <c r="A257" s="60">
        <v>29221</v>
      </c>
      <c r="B257" s="58">
        <f>VLOOKUP(Table534567910[[#This Row],[Date]],Database!A:E,MATCH($A$1,Database!$A$1:$E$1,),)</f>
        <v>39.094999999999999</v>
      </c>
      <c r="C257" s="8">
        <f t="shared" si="3"/>
        <v>7.57712430092E-3</v>
      </c>
      <c r="D257" s="7">
        <f>(Table534567910[[#This Row],[Value]]-B245)/B245</f>
        <v>8.2424275984273682E-2</v>
      </c>
      <c r="E257" s="16">
        <v>0.02</v>
      </c>
      <c r="F257" s="15">
        <v>14</v>
      </c>
    </row>
    <row r="258" spans="1:6" x14ac:dyDescent="0.35">
      <c r="A258" s="60">
        <v>29252</v>
      </c>
      <c r="B258" s="58">
        <f>VLOOKUP(Table534567910[[#This Row],[Date]],Database!A:E,MATCH($A$1,Database!$A$1:$E$1,),)</f>
        <v>39.484999999999999</v>
      </c>
      <c r="C258" s="8">
        <f t="shared" si="3"/>
        <v>9.9757002174191214E-3</v>
      </c>
      <c r="D258" s="7">
        <f>(Table534567910[[#This Row],[Value]]-B246)/B246</f>
        <v>8.9692286463364149E-2</v>
      </c>
      <c r="E258" s="16">
        <v>0.02</v>
      </c>
      <c r="F258" s="15">
        <v>15</v>
      </c>
    </row>
    <row r="259" spans="1:6" x14ac:dyDescent="0.35">
      <c r="A259" s="60">
        <v>29281</v>
      </c>
      <c r="B259" s="58">
        <f>VLOOKUP(Table534567910[[#This Row],[Date]],Database!A:E,MATCH($A$1,Database!$A$1:$E$1,),)</f>
        <v>39.850999999999999</v>
      </c>
      <c r="C259" s="8">
        <f t="shared" si="3"/>
        <v>9.2693427884006502E-3</v>
      </c>
      <c r="D259" s="7">
        <f>(Table534567910[[#This Row],[Value]]-B247)/B247</f>
        <v>9.3485896169465371E-2</v>
      </c>
      <c r="E259" s="16">
        <v>0.02</v>
      </c>
      <c r="F259" s="15">
        <v>20</v>
      </c>
    </row>
    <row r="260" spans="1:6" x14ac:dyDescent="0.35">
      <c r="A260" s="60">
        <v>29312</v>
      </c>
      <c r="B260" s="58">
        <f>VLOOKUP(Table534567910[[#This Row],[Date]],Database!A:E,MATCH($A$1,Database!$A$1:$E$1,),)</f>
        <v>40.055999999999997</v>
      </c>
      <c r="C260" s="8">
        <f t="shared" si="3"/>
        <v>5.1441620034628566E-3</v>
      </c>
      <c r="D260" s="7">
        <f>(Table534567910[[#This Row],[Value]]-B248)/B248</f>
        <v>8.9070146818923224E-2</v>
      </c>
      <c r="E260" s="16">
        <v>0.02</v>
      </c>
      <c r="F260" s="15">
        <v>11.5</v>
      </c>
    </row>
    <row r="261" spans="1:6" x14ac:dyDescent="0.35">
      <c r="A261" s="60">
        <v>29342</v>
      </c>
      <c r="B261" s="58">
        <f>VLOOKUP(Table534567910[[#This Row],[Date]],Database!A:E,MATCH($A$1,Database!$A$1:$E$1,),)</f>
        <v>40.378</v>
      </c>
      <c r="C261" s="8">
        <f t="shared" si="3"/>
        <v>8.0387457559417501E-3</v>
      </c>
      <c r="D261" s="7">
        <f>(Table534567910[[#This Row],[Value]]-B249)/B249</f>
        <v>8.8355795148247943E-2</v>
      </c>
      <c r="E261" s="16">
        <v>0.02</v>
      </c>
      <c r="F261" s="15">
        <v>10.75</v>
      </c>
    </row>
    <row r="262" spans="1:6" x14ac:dyDescent="0.35">
      <c r="A262" s="60">
        <v>29373</v>
      </c>
      <c r="B262" s="58">
        <f>VLOOKUP(Table534567910[[#This Row],[Date]],Database!A:E,MATCH($A$1,Database!$A$1:$E$1,),)</f>
        <v>40.646000000000001</v>
      </c>
      <c r="C262" s="8">
        <f t="shared" ref="C262:C325" si="4">(B262-B261)/B261</f>
        <v>6.6372777254940975E-3</v>
      </c>
      <c r="D262" s="7">
        <f>(Table534567910[[#This Row],[Value]]-B250)/B250</f>
        <v>8.9471427039777021E-2</v>
      </c>
      <c r="E262" s="16">
        <v>0.02</v>
      </c>
      <c r="F262" s="15">
        <v>9.5</v>
      </c>
    </row>
    <row r="263" spans="1:6" x14ac:dyDescent="0.35">
      <c r="A263" s="60">
        <v>29403</v>
      </c>
      <c r="B263" s="58">
        <f>VLOOKUP(Table534567910[[#This Row],[Date]],Database!A:E,MATCH($A$1,Database!$A$1:$E$1,),)</f>
        <v>40.932000000000002</v>
      </c>
      <c r="C263" s="8">
        <f t="shared" si="4"/>
        <v>7.0363627417212356E-3</v>
      </c>
      <c r="D263" s="7">
        <f>(Table534567910[[#This Row],[Value]]-B251)/B251</f>
        <v>9.1665555407387786E-2</v>
      </c>
      <c r="E263" s="16">
        <v>0.02</v>
      </c>
      <c r="F263" s="15">
        <v>9.5</v>
      </c>
    </row>
    <row r="264" spans="1:6" x14ac:dyDescent="0.35">
      <c r="A264" s="60">
        <v>29434</v>
      </c>
      <c r="B264" s="58">
        <f>VLOOKUP(Table534567910[[#This Row],[Date]],Database!A:E,MATCH($A$1,Database!$A$1:$E$1,),)</f>
        <v>41.228000000000002</v>
      </c>
      <c r="C264" s="8">
        <f t="shared" si="4"/>
        <v>7.2315059122446826E-3</v>
      </c>
      <c r="D264" s="7">
        <f>(Table534567910[[#This Row],[Value]]-B252)/B252</f>
        <v>9.2306061890631674E-2</v>
      </c>
      <c r="E264" s="16">
        <v>0.02</v>
      </c>
      <c r="F264" s="15">
        <v>10</v>
      </c>
    </row>
    <row r="265" spans="1:6" x14ac:dyDescent="0.35">
      <c r="A265" s="60">
        <v>29465</v>
      </c>
      <c r="B265" s="58">
        <f>VLOOKUP(Table534567910[[#This Row],[Date]],Database!A:E,MATCH($A$1,Database!$A$1:$E$1,),)</f>
        <v>41.616</v>
      </c>
      <c r="C265" s="8">
        <f t="shared" si="4"/>
        <v>9.4110798486465048E-3</v>
      </c>
      <c r="D265" s="7">
        <f>(Table534567910[[#This Row],[Value]]-B253)/B253</f>
        <v>9.5100257881164066E-2</v>
      </c>
      <c r="E265" s="16">
        <v>0.02</v>
      </c>
      <c r="F265" s="15">
        <v>12</v>
      </c>
    </row>
    <row r="266" spans="1:6" x14ac:dyDescent="0.35">
      <c r="A266" s="60">
        <v>29495</v>
      </c>
      <c r="B266" s="58">
        <f>VLOOKUP(Table534567910[[#This Row],[Date]],Database!A:E,MATCH($A$1,Database!$A$1:$E$1,),)</f>
        <v>41.959000000000003</v>
      </c>
      <c r="C266" s="8">
        <f t="shared" si="4"/>
        <v>8.2420222991158101E-3</v>
      </c>
      <c r="D266" s="7">
        <f>(Table534567910[[#This Row],[Value]]-B254)/B254</f>
        <v>9.6136262702787412E-2</v>
      </c>
      <c r="E266" s="16">
        <v>0.02</v>
      </c>
      <c r="F266" s="15">
        <v>13.75</v>
      </c>
    </row>
    <row r="267" spans="1:6" x14ac:dyDescent="0.35">
      <c r="A267" s="60">
        <v>29526</v>
      </c>
      <c r="B267" s="58">
        <f>VLOOKUP(Table534567910[[#This Row],[Date]],Database!A:E,MATCH($A$1,Database!$A$1:$E$1,),)</f>
        <v>42.289000000000001</v>
      </c>
      <c r="C267" s="8">
        <f t="shared" si="4"/>
        <v>7.8648204199337039E-3</v>
      </c>
      <c r="D267" s="7">
        <f>(Table534567910[[#This Row],[Value]]-B255)/B255</f>
        <v>9.7731284394143927E-2</v>
      </c>
      <c r="E267" s="16">
        <v>0.02</v>
      </c>
      <c r="F267" s="15">
        <v>18</v>
      </c>
    </row>
    <row r="268" spans="1:6" x14ac:dyDescent="0.35">
      <c r="A268" s="60">
        <v>29556</v>
      </c>
      <c r="B268" s="58">
        <f>VLOOKUP(Table534567910[[#This Row],[Date]],Database!A:E,MATCH($A$1,Database!$A$1:$E$1,),)</f>
        <v>42.543999999999997</v>
      </c>
      <c r="C268" s="8">
        <f t="shared" si="4"/>
        <v>6.0299368630139152E-3</v>
      </c>
      <c r="D268" s="7">
        <f>(Table534567910[[#This Row],[Value]]-B256)/B256</f>
        <v>9.6466585912734076E-2</v>
      </c>
      <c r="E268" s="16">
        <v>0.02</v>
      </c>
      <c r="F268" s="15">
        <v>18</v>
      </c>
    </row>
    <row r="269" spans="1:6" x14ac:dyDescent="0.35">
      <c r="A269" s="60">
        <v>29587</v>
      </c>
      <c r="B269" s="58">
        <f>VLOOKUP(Table534567910[[#This Row],[Date]],Database!A:E,MATCH($A$1,Database!$A$1:$E$1,),)</f>
        <v>42.911999999999999</v>
      </c>
      <c r="C269" s="8">
        <f t="shared" si="4"/>
        <v>8.6498683715683089E-3</v>
      </c>
      <c r="D269" s="7">
        <f>(Table534567910[[#This Row],[Value]]-B257)/B257</f>
        <v>9.7633968538176241E-2</v>
      </c>
      <c r="E269" s="16">
        <v>0.02</v>
      </c>
      <c r="F269" s="15">
        <v>16</v>
      </c>
    </row>
    <row r="270" spans="1:6" x14ac:dyDescent="0.35">
      <c r="A270" s="60">
        <v>29618</v>
      </c>
      <c r="B270" s="58">
        <f>VLOOKUP(Table534567910[[#This Row],[Date]],Database!A:E,MATCH($A$1,Database!$A$1:$E$1,),)</f>
        <v>43.225999999999999</v>
      </c>
      <c r="C270" s="8">
        <f t="shared" si="4"/>
        <v>7.3173005219985101E-3</v>
      </c>
      <c r="D270" s="7">
        <f>(Table534567910[[#This Row],[Value]]-B258)/B258</f>
        <v>9.4744839812587051E-2</v>
      </c>
      <c r="E270" s="16">
        <v>0.02</v>
      </c>
      <c r="F270" s="15">
        <v>16</v>
      </c>
    </row>
    <row r="271" spans="1:6" x14ac:dyDescent="0.35">
      <c r="A271" s="60">
        <v>29646</v>
      </c>
      <c r="B271" s="58">
        <f>VLOOKUP(Table534567910[[#This Row],[Date]],Database!A:E,MATCH($A$1,Database!$A$1:$E$1,),)</f>
        <v>43.466000000000001</v>
      </c>
      <c r="C271" s="8">
        <f t="shared" si="4"/>
        <v>5.5522139453107388E-3</v>
      </c>
      <c r="D271" s="7">
        <f>(Table534567910[[#This Row],[Value]]-B259)/B259</f>
        <v>9.0712905573260449E-2</v>
      </c>
      <c r="E271" s="16">
        <v>0.02</v>
      </c>
      <c r="F271" s="15">
        <v>16</v>
      </c>
    </row>
    <row r="272" spans="1:6" x14ac:dyDescent="0.35">
      <c r="A272" s="60">
        <v>29677</v>
      </c>
      <c r="B272" s="58">
        <f>VLOOKUP(Table534567910[[#This Row],[Date]],Database!A:E,MATCH($A$1,Database!$A$1:$E$1,),)</f>
        <v>43.744</v>
      </c>
      <c r="C272" s="8">
        <f t="shared" si="4"/>
        <v>6.395803616619857E-3</v>
      </c>
      <c r="D272" s="7">
        <f>(Table534567910[[#This Row],[Value]]-B260)/B260</f>
        <v>9.2071100459356972E-2</v>
      </c>
      <c r="E272" s="16">
        <v>0.02</v>
      </c>
      <c r="F272" s="15">
        <v>16</v>
      </c>
    </row>
    <row r="273" spans="1:6" x14ac:dyDescent="0.35">
      <c r="A273" s="60">
        <v>29707</v>
      </c>
      <c r="B273" s="58">
        <f>VLOOKUP(Table534567910[[#This Row],[Date]],Database!A:E,MATCH($A$1,Database!$A$1:$E$1,),)</f>
        <v>44.045000000000002</v>
      </c>
      <c r="C273" s="8">
        <f t="shared" si="4"/>
        <v>6.8809436722750989E-3</v>
      </c>
      <c r="D273" s="7">
        <f>(Table534567910[[#This Row],[Value]]-B261)/B261</f>
        <v>9.0816781415622411E-2</v>
      </c>
      <c r="E273" s="16">
        <v>0.02</v>
      </c>
      <c r="F273" s="15">
        <v>20</v>
      </c>
    </row>
    <row r="274" spans="1:6" x14ac:dyDescent="0.35">
      <c r="A274" s="60">
        <v>29738</v>
      </c>
      <c r="B274" s="58">
        <f>VLOOKUP(Table534567910[[#This Row],[Date]],Database!A:E,MATCH($A$1,Database!$A$1:$E$1,),)</f>
        <v>44.265000000000001</v>
      </c>
      <c r="C274" s="8">
        <f t="shared" si="4"/>
        <v>4.9948915881484583E-3</v>
      </c>
      <c r="D274" s="7">
        <f>(Table534567910[[#This Row],[Value]]-B262)/B262</f>
        <v>8.9037051616395205E-2</v>
      </c>
      <c r="E274" s="16">
        <v>0.02</v>
      </c>
      <c r="F274" s="15">
        <v>15.5</v>
      </c>
    </row>
    <row r="275" spans="1:6" x14ac:dyDescent="0.35">
      <c r="A275" s="60">
        <v>29768</v>
      </c>
      <c r="B275" s="58">
        <f>VLOOKUP(Table534567910[[#This Row],[Date]],Database!A:E,MATCH($A$1,Database!$A$1:$E$1,),)</f>
        <v>44.531999999999996</v>
      </c>
      <c r="C275" s="8">
        <f t="shared" si="4"/>
        <v>6.0318536089460275E-3</v>
      </c>
      <c r="D275" s="7">
        <f>(Table534567910[[#This Row],[Value]]-B263)/B263</f>
        <v>8.7950747581354294E-2</v>
      </c>
      <c r="E275" s="16">
        <v>0.02</v>
      </c>
      <c r="F275" s="15">
        <v>15.5</v>
      </c>
    </row>
    <row r="276" spans="1:6" x14ac:dyDescent="0.35">
      <c r="A276" s="60">
        <v>29799</v>
      </c>
      <c r="B276" s="58">
        <f>VLOOKUP(Table534567910[[#This Row],[Date]],Database!A:E,MATCH($A$1,Database!$A$1:$E$1,),)</f>
        <v>44.83</v>
      </c>
      <c r="C276" s="8">
        <f t="shared" si="4"/>
        <v>6.6918171202731032E-3</v>
      </c>
      <c r="D276" s="7">
        <f>(Table534567910[[#This Row],[Value]]-B264)/B264</f>
        <v>8.7367808285631038E-2</v>
      </c>
      <c r="E276" s="16">
        <v>0.02</v>
      </c>
      <c r="F276" s="15">
        <v>15.5</v>
      </c>
    </row>
    <row r="277" spans="1:6" x14ac:dyDescent="0.35">
      <c r="A277" s="60">
        <v>29830</v>
      </c>
      <c r="B277" s="58">
        <f>VLOOKUP(Table534567910[[#This Row],[Date]],Database!A:E,MATCH($A$1,Database!$A$1:$E$1,),)</f>
        <v>45.124000000000002</v>
      </c>
      <c r="C277" s="8">
        <f t="shared" si="4"/>
        <v>6.5581084095472685E-3</v>
      </c>
      <c r="D277" s="7">
        <f>(Table534567910[[#This Row],[Value]]-B265)/B265</f>
        <v>8.4294502114571387E-2</v>
      </c>
      <c r="E277" s="16">
        <v>0.02</v>
      </c>
      <c r="F277" s="15">
        <v>15.5</v>
      </c>
    </row>
    <row r="278" spans="1:6" x14ac:dyDescent="0.35">
      <c r="A278" s="60">
        <v>29860</v>
      </c>
      <c r="B278" s="58">
        <f>VLOOKUP(Table534567910[[#This Row],[Date]],Database!A:E,MATCH($A$1,Database!$A$1:$E$1,),)</f>
        <v>45.393000000000001</v>
      </c>
      <c r="C278" s="8">
        <f t="shared" si="4"/>
        <v>5.961350944065206E-3</v>
      </c>
      <c r="D278" s="7">
        <f>(Table534567910[[#This Row],[Value]]-B266)/B266</f>
        <v>8.1841797945613512E-2</v>
      </c>
      <c r="E278" s="16">
        <v>0.02</v>
      </c>
      <c r="F278" s="15">
        <v>15.5</v>
      </c>
    </row>
    <row r="279" spans="1:6" x14ac:dyDescent="0.35">
      <c r="A279" s="60">
        <v>29891</v>
      </c>
      <c r="B279" s="58">
        <f>VLOOKUP(Table534567910[[#This Row],[Date]],Database!A:E,MATCH($A$1,Database!$A$1:$E$1,),)</f>
        <v>45.658000000000001</v>
      </c>
      <c r="C279" s="8">
        <f t="shared" si="4"/>
        <v>5.8379045227237806E-3</v>
      </c>
      <c r="D279" s="7">
        <f>(Table534567910[[#This Row],[Value]]-B267)/B267</f>
        <v>7.9666107025467614E-2</v>
      </c>
      <c r="E279" s="16">
        <v>0.02</v>
      </c>
      <c r="F279" s="15">
        <v>13</v>
      </c>
    </row>
    <row r="280" spans="1:6" x14ac:dyDescent="0.35">
      <c r="A280" s="60">
        <v>29921</v>
      </c>
      <c r="B280" s="58">
        <f>VLOOKUP(Table534567910[[#This Row],[Date]],Database!A:E,MATCH($A$1,Database!$A$1:$E$1,),)</f>
        <v>45.826000000000001</v>
      </c>
      <c r="C280" s="8">
        <f t="shared" si="4"/>
        <v>3.679530421831864E-3</v>
      </c>
      <c r="D280" s="7">
        <f>(Table534567910[[#This Row],[Value]]-B268)/B268</f>
        <v>7.7143663031214837E-2</v>
      </c>
      <c r="E280" s="16">
        <v>0.02</v>
      </c>
      <c r="F280" s="15">
        <v>12</v>
      </c>
    </row>
    <row r="281" spans="1:6" x14ac:dyDescent="0.35">
      <c r="A281" s="60">
        <v>29952</v>
      </c>
      <c r="B281" s="58">
        <f>VLOOKUP(Table534567910[[#This Row],[Date]],Database!A:E,MATCH($A$1,Database!$A$1:$E$1,),)</f>
        <v>46.107999999999997</v>
      </c>
      <c r="C281" s="8">
        <f t="shared" si="4"/>
        <v>6.1537118666258562E-3</v>
      </c>
      <c r="D281" s="7">
        <f>(Table534567910[[#This Row],[Value]]-B269)/B269</f>
        <v>7.4478001491424264E-2</v>
      </c>
      <c r="E281" s="16">
        <v>0.02</v>
      </c>
      <c r="F281" s="15">
        <v>15</v>
      </c>
    </row>
    <row r="282" spans="1:6" x14ac:dyDescent="0.35">
      <c r="A282" s="60">
        <v>29983</v>
      </c>
      <c r="B282" s="58">
        <f>VLOOKUP(Table534567910[[#This Row],[Date]],Database!A:E,MATCH($A$1,Database!$A$1:$E$1,),)</f>
        <v>46.286000000000001</v>
      </c>
      <c r="C282" s="8">
        <f t="shared" si="4"/>
        <v>3.8605014314219742E-3</v>
      </c>
      <c r="D282" s="7">
        <f>(Table534567910[[#This Row],[Value]]-B270)/B270</f>
        <v>7.0790727802711381E-2</v>
      </c>
      <c r="E282" s="16">
        <v>0.02</v>
      </c>
      <c r="F282" s="15">
        <v>15</v>
      </c>
    </row>
    <row r="283" spans="1:6" x14ac:dyDescent="0.35">
      <c r="A283" s="60">
        <v>30011</v>
      </c>
      <c r="B283" s="58">
        <f>VLOOKUP(Table534567910[[#This Row],[Date]],Database!A:E,MATCH($A$1,Database!$A$1:$E$1,),)</f>
        <v>46.488</v>
      </c>
      <c r="C283" s="8">
        <f t="shared" si="4"/>
        <v>4.3641705915395193E-3</v>
      </c>
      <c r="D283" s="7">
        <f>(Table534567910[[#This Row],[Value]]-B271)/B271</f>
        <v>6.9525606220954272E-2</v>
      </c>
      <c r="E283" s="16">
        <v>0.02</v>
      </c>
      <c r="F283" s="15">
        <v>15</v>
      </c>
    </row>
    <row r="284" spans="1:6" x14ac:dyDescent="0.35">
      <c r="A284" s="60">
        <v>30042</v>
      </c>
      <c r="B284" s="58">
        <f>VLOOKUP(Table534567910[[#This Row],[Date]],Database!A:E,MATCH($A$1,Database!$A$1:$E$1,),)</f>
        <v>46.671999999999997</v>
      </c>
      <c r="C284" s="8">
        <f t="shared" si="4"/>
        <v>3.9580106694200113E-3</v>
      </c>
      <c r="D284" s="7">
        <f>(Table534567910[[#This Row],[Value]]-B272)/B272</f>
        <v>6.6934893928310105E-2</v>
      </c>
      <c r="E284" s="16">
        <v>0.02</v>
      </c>
      <c r="F284" s="15">
        <v>13</v>
      </c>
    </row>
    <row r="285" spans="1:6" x14ac:dyDescent="0.35">
      <c r="A285" s="60">
        <v>30072</v>
      </c>
      <c r="B285" s="58">
        <f>VLOOKUP(Table534567910[[#This Row],[Date]],Database!A:E,MATCH($A$1,Database!$A$1:$E$1,),)</f>
        <v>46.927</v>
      </c>
      <c r="C285" s="8">
        <f t="shared" si="4"/>
        <v>5.4636612958519574E-3</v>
      </c>
      <c r="D285" s="7">
        <f>(Table534567910[[#This Row],[Value]]-B273)/B273</f>
        <v>6.5433079804745095E-2</v>
      </c>
      <c r="E285" s="16">
        <v>0.02</v>
      </c>
      <c r="F285" s="15">
        <v>13</v>
      </c>
    </row>
    <row r="286" spans="1:6" x14ac:dyDescent="0.35">
      <c r="A286" s="60">
        <v>30103</v>
      </c>
      <c r="B286" s="58">
        <f>VLOOKUP(Table534567910[[#This Row],[Date]],Database!A:E,MATCH($A$1,Database!$A$1:$E$1,),)</f>
        <v>47.161999999999999</v>
      </c>
      <c r="C286" s="8">
        <f t="shared" si="4"/>
        <v>5.0077780382295784E-3</v>
      </c>
      <c r="D286" s="7">
        <f>(Table534567910[[#This Row],[Value]]-B274)/B274</f>
        <v>6.544674121766629E-2</v>
      </c>
      <c r="E286" s="16">
        <v>0.02</v>
      </c>
      <c r="F286" s="15">
        <v>13</v>
      </c>
    </row>
    <row r="287" spans="1:6" x14ac:dyDescent="0.35">
      <c r="A287" s="60">
        <v>30133</v>
      </c>
      <c r="B287" s="58">
        <f>VLOOKUP(Table534567910[[#This Row],[Date]],Database!A:E,MATCH($A$1,Database!$A$1:$E$1,),)</f>
        <v>47.468000000000004</v>
      </c>
      <c r="C287" s="8">
        <f t="shared" si="4"/>
        <v>6.4882744582503817E-3</v>
      </c>
      <c r="D287" s="7">
        <f>(Table534567910[[#This Row],[Value]]-B275)/B275</f>
        <v>6.5930117668193816E-2</v>
      </c>
      <c r="E287" s="16">
        <v>0.02</v>
      </c>
      <c r="F287" s="15">
        <v>11.5</v>
      </c>
    </row>
    <row r="288" spans="1:6" x14ac:dyDescent="0.35">
      <c r="A288" s="60">
        <v>30164</v>
      </c>
      <c r="B288" s="58">
        <f>VLOOKUP(Table534567910[[#This Row],[Date]],Database!A:E,MATCH($A$1,Database!$A$1:$E$1,),)</f>
        <v>47.686</v>
      </c>
      <c r="C288" s="8">
        <f t="shared" si="4"/>
        <v>4.5925676245048537E-3</v>
      </c>
      <c r="D288" s="7">
        <f>(Table534567910[[#This Row],[Value]]-B276)/B276</f>
        <v>6.3707338835601202E-2</v>
      </c>
      <c r="E288" s="16">
        <v>0.02</v>
      </c>
      <c r="F288" s="15">
        <v>9.5</v>
      </c>
    </row>
    <row r="289" spans="1:6" x14ac:dyDescent="0.35">
      <c r="A289" s="60">
        <v>30195</v>
      </c>
      <c r="B289" s="58">
        <f>VLOOKUP(Table534567910[[#This Row],[Date]],Database!A:E,MATCH($A$1,Database!$A$1:$E$1,),)</f>
        <v>47.863</v>
      </c>
      <c r="C289" s="8">
        <f t="shared" si="4"/>
        <v>3.7117812355827624E-3</v>
      </c>
      <c r="D289" s="7">
        <f>(Table534567910[[#This Row],[Value]]-B277)/B277</f>
        <v>6.0699406081021118E-2</v>
      </c>
      <c r="E289" s="16">
        <v>0.02</v>
      </c>
      <c r="F289" s="15">
        <v>10</v>
      </c>
    </row>
    <row r="290" spans="1:6" x14ac:dyDescent="0.35">
      <c r="A290" s="60">
        <v>30225</v>
      </c>
      <c r="B290" s="58">
        <f>VLOOKUP(Table534567910[[#This Row],[Date]],Database!A:E,MATCH($A$1,Database!$A$1:$E$1,),)</f>
        <v>48.165999999999997</v>
      </c>
      <c r="C290" s="9">
        <f t="shared" si="4"/>
        <v>6.3305684975868059E-3</v>
      </c>
      <c r="D290" s="7">
        <f>(Table534567910[[#This Row],[Value]]-B278)/B278</f>
        <v>6.1088714118916927E-2</v>
      </c>
      <c r="E290" s="16">
        <v>0.02</v>
      </c>
      <c r="F290" s="15">
        <v>9.5</v>
      </c>
    </row>
    <row r="291" spans="1:6" x14ac:dyDescent="0.35">
      <c r="A291" s="60">
        <v>30256</v>
      </c>
      <c r="B291" s="58">
        <f>VLOOKUP(Table534567910[[#This Row],[Date]],Database!A:E,MATCH($A$1,Database!$A$1:$E$1,),)</f>
        <v>48.344000000000001</v>
      </c>
      <c r="C291" s="9">
        <f t="shared" si="4"/>
        <v>3.6955528796247224E-3</v>
      </c>
      <c r="D291" s="7">
        <f>(Table534567910[[#This Row],[Value]]-B279)/B279</f>
        <v>5.8828682815716848E-2</v>
      </c>
      <c r="E291" s="16">
        <v>0.02</v>
      </c>
      <c r="F291" s="15">
        <v>9</v>
      </c>
    </row>
    <row r="292" spans="1:6" x14ac:dyDescent="0.35">
      <c r="A292" s="60">
        <v>30286</v>
      </c>
      <c r="B292" s="58">
        <f>VLOOKUP(Table534567910[[#This Row],[Date]],Database!A:E,MATCH($A$1,Database!$A$1:$E$1,),)</f>
        <v>48.497999999999998</v>
      </c>
      <c r="C292" s="9">
        <f t="shared" si="4"/>
        <v>3.18550388879688E-3</v>
      </c>
      <c r="D292" s="7">
        <f>(Table534567910[[#This Row],[Value]]-B280)/B280</f>
        <v>5.8307511019944941E-2</v>
      </c>
      <c r="E292" s="16">
        <v>0.02</v>
      </c>
      <c r="F292" s="15">
        <v>8.5</v>
      </c>
    </row>
    <row r="293" spans="1:6" x14ac:dyDescent="0.35">
      <c r="A293" s="60">
        <v>30317</v>
      </c>
      <c r="B293" s="58">
        <f>VLOOKUP(Table534567910[[#This Row],[Date]],Database!A:E,MATCH($A$1,Database!$A$1:$E$1,),)</f>
        <v>48.83</v>
      </c>
      <c r="C293" s="9">
        <f t="shared" si="4"/>
        <v>6.8456431193039046E-3</v>
      </c>
      <c r="D293" s="7">
        <f>(Table534567910[[#This Row],[Value]]-B281)/B281</f>
        <v>5.9035308406350337E-2</v>
      </c>
      <c r="E293" s="16">
        <v>0.02</v>
      </c>
      <c r="F293" s="15">
        <v>8.5</v>
      </c>
    </row>
    <row r="294" spans="1:6" x14ac:dyDescent="0.35">
      <c r="A294" s="60">
        <v>30348</v>
      </c>
      <c r="B294" s="58">
        <f>VLOOKUP(Table534567910[[#This Row],[Date]],Database!A:E,MATCH($A$1,Database!$A$1:$E$1,),)</f>
        <v>49.011000000000003</v>
      </c>
      <c r="C294" s="9">
        <f t="shared" si="4"/>
        <v>3.7067376612738992E-3</v>
      </c>
      <c r="D294" s="7">
        <f>(Table534567910[[#This Row],[Value]]-B282)/B282</f>
        <v>5.8873093375966842E-2</v>
      </c>
      <c r="E294" s="16">
        <v>0.02</v>
      </c>
      <c r="F294" s="15">
        <v>8.5</v>
      </c>
    </row>
    <row r="295" spans="1:6" x14ac:dyDescent="0.35">
      <c r="A295" s="60">
        <v>30376</v>
      </c>
      <c r="B295" s="58">
        <f>VLOOKUP(Table534567910[[#This Row],[Date]],Database!A:E,MATCH($A$1,Database!$A$1:$E$1,),)</f>
        <v>49.073</v>
      </c>
      <c r="C295" s="9">
        <f t="shared" si="4"/>
        <v>1.2650221378873643E-3</v>
      </c>
      <c r="D295" s="7">
        <f>(Table534567910[[#This Row],[Value]]-B283)/B283</f>
        <v>5.5605747719841697E-2</v>
      </c>
      <c r="E295" s="16">
        <v>0.02</v>
      </c>
      <c r="F295" s="15">
        <v>8.5</v>
      </c>
    </row>
    <row r="296" spans="1:6" x14ac:dyDescent="0.35">
      <c r="A296" s="60">
        <v>30407</v>
      </c>
      <c r="B296" s="58">
        <f>VLOOKUP(Table534567910[[#This Row],[Date]],Database!A:E,MATCH($A$1,Database!$A$1:$E$1,),)</f>
        <v>49.222000000000001</v>
      </c>
      <c r="C296" s="9">
        <f t="shared" si="4"/>
        <v>3.0362928698062256E-3</v>
      </c>
      <c r="D296" s="7">
        <f>(Table534567910[[#This Row],[Value]]-B284)/B284</f>
        <v>5.4636612958519119E-2</v>
      </c>
      <c r="E296" s="16">
        <v>0.02</v>
      </c>
      <c r="F296" s="15">
        <v>8.5</v>
      </c>
    </row>
    <row r="297" spans="1:6" x14ac:dyDescent="0.35">
      <c r="A297" s="60">
        <v>30437</v>
      </c>
      <c r="B297" s="58">
        <f>VLOOKUP(Table534567910[[#This Row],[Date]],Database!A:E,MATCH($A$1,Database!$A$1:$E$1,),)</f>
        <v>49.292999999999999</v>
      </c>
      <c r="C297" s="9">
        <f t="shared" si="4"/>
        <v>1.4424444354150167E-3</v>
      </c>
      <c r="D297" s="7">
        <f>(Table534567910[[#This Row],[Value]]-B285)/B285</f>
        <v>5.0418735482771107E-2</v>
      </c>
      <c r="E297" s="16">
        <v>0.02</v>
      </c>
      <c r="F297" s="15">
        <v>9.6300000000000008</v>
      </c>
    </row>
    <row r="298" spans="1:6" x14ac:dyDescent="0.35">
      <c r="A298" s="60">
        <v>30468</v>
      </c>
      <c r="B298" s="58">
        <f>VLOOKUP(Table534567910[[#This Row],[Date]],Database!A:E,MATCH($A$1,Database!$A$1:$E$1,),)</f>
        <v>49.523000000000003</v>
      </c>
      <c r="C298" s="9">
        <f t="shared" si="4"/>
        <v>4.6659769135577863E-3</v>
      </c>
      <c r="D298" s="7">
        <f>(Table534567910[[#This Row],[Value]]-B286)/B286</f>
        <v>5.0061490182774358E-2</v>
      </c>
      <c r="E298" s="16">
        <v>0.02</v>
      </c>
      <c r="F298" s="15">
        <v>9.6300000000000008</v>
      </c>
    </row>
    <row r="299" spans="1:6" x14ac:dyDescent="0.35">
      <c r="A299" s="60">
        <v>30498</v>
      </c>
      <c r="B299" s="58">
        <f>VLOOKUP(Table534567910[[#This Row],[Date]],Database!A:E,MATCH($A$1,Database!$A$1:$E$1,),)</f>
        <v>49.856000000000002</v>
      </c>
      <c r="C299" s="9">
        <f t="shared" si="4"/>
        <v>6.7241483755022596E-3</v>
      </c>
      <c r="D299" s="7">
        <f>(Table534567910[[#This Row],[Value]]-B287)/B287</f>
        <v>5.0307575629897995E-2</v>
      </c>
      <c r="E299" s="16">
        <v>0.02</v>
      </c>
      <c r="F299" s="15">
        <v>9.6300000000000008</v>
      </c>
    </row>
    <row r="300" spans="1:6" x14ac:dyDescent="0.35">
      <c r="A300" s="60">
        <v>30529</v>
      </c>
      <c r="B300" s="58">
        <f>VLOOKUP(Table534567910[[#This Row],[Date]],Database!A:E,MATCH($A$1,Database!$A$1:$E$1,),)</f>
        <v>50.113</v>
      </c>
      <c r="C300" s="9">
        <f t="shared" si="4"/>
        <v>5.1548459563542579E-3</v>
      </c>
      <c r="D300" s="7">
        <f>(Table534567910[[#This Row],[Value]]-B288)/B288</f>
        <v>5.0895441009940014E-2</v>
      </c>
      <c r="E300" s="16">
        <v>0.02</v>
      </c>
      <c r="F300" s="15">
        <v>9.6300000000000008</v>
      </c>
    </row>
    <row r="301" spans="1:6" x14ac:dyDescent="0.35">
      <c r="A301" s="60">
        <v>30560</v>
      </c>
      <c r="B301" s="58">
        <f>VLOOKUP(Table534567910[[#This Row],[Date]],Database!A:E,MATCH($A$1,Database!$A$1:$E$1,),)</f>
        <v>50.316000000000003</v>
      </c>
      <c r="C301" s="9">
        <f t="shared" si="4"/>
        <v>4.0508450900964416E-3</v>
      </c>
      <c r="D301" s="7">
        <f>(Table534567910[[#This Row],[Value]]-B289)/B289</f>
        <v>5.125044397551351E-2</v>
      </c>
      <c r="E301" s="16">
        <v>0.02</v>
      </c>
      <c r="F301" s="15">
        <v>9.5</v>
      </c>
    </row>
    <row r="302" spans="1:6" x14ac:dyDescent="0.35">
      <c r="A302" s="60">
        <v>30590</v>
      </c>
      <c r="B302" s="58">
        <f>VLOOKUP(Table534567910[[#This Row],[Date]],Database!A:E,MATCH($A$1,Database!$A$1:$E$1,),)</f>
        <v>50.405000000000001</v>
      </c>
      <c r="C302" s="9">
        <f t="shared" si="4"/>
        <v>1.7688210509579185E-3</v>
      </c>
      <c r="D302" s="7">
        <f>(Table534567910[[#This Row],[Value]]-B290)/B290</f>
        <v>4.6485072457750375E-2</v>
      </c>
      <c r="E302" s="16">
        <v>0.02</v>
      </c>
      <c r="F302" s="15">
        <v>9.5</v>
      </c>
    </row>
    <row r="303" spans="1:6" x14ac:dyDescent="0.35">
      <c r="A303" s="60">
        <v>30621</v>
      </c>
      <c r="B303" s="58">
        <f>VLOOKUP(Table534567910[[#This Row],[Date]],Database!A:E,MATCH($A$1,Database!$A$1:$E$1,),)</f>
        <v>50.523000000000003</v>
      </c>
      <c r="C303" s="9">
        <f t="shared" si="4"/>
        <v>2.3410375954766808E-3</v>
      </c>
      <c r="D303" s="7">
        <f>(Table534567910[[#This Row],[Value]]-B291)/B291</f>
        <v>4.5072811517458254E-2</v>
      </c>
      <c r="E303" s="16">
        <v>0.02</v>
      </c>
      <c r="F303" s="15">
        <v>9.5</v>
      </c>
    </row>
    <row r="304" spans="1:6" x14ac:dyDescent="0.35">
      <c r="A304" s="60">
        <v>30651</v>
      </c>
      <c r="B304" s="58">
        <f>VLOOKUP(Table534567910[[#This Row],[Date]],Database!A:E,MATCH($A$1,Database!$A$1:$E$1,),)</f>
        <v>50.56</v>
      </c>
      <c r="C304" s="9">
        <f t="shared" si="4"/>
        <v>7.3233972646119647E-4</v>
      </c>
      <c r="D304" s="7">
        <f>(Table534567910[[#This Row],[Value]]-B292)/B292</f>
        <v>4.2517217204833285E-2</v>
      </c>
      <c r="E304" s="16">
        <v>0.02</v>
      </c>
      <c r="F304" s="15">
        <v>9.5</v>
      </c>
    </row>
    <row r="305" spans="1:6" x14ac:dyDescent="0.35">
      <c r="A305" s="60">
        <v>30682</v>
      </c>
      <c r="B305" s="58">
        <f>VLOOKUP(Table534567910[[#This Row],[Date]],Database!A:E,MATCH($A$1,Database!$A$1:$E$1,),)</f>
        <v>50.728999999999999</v>
      </c>
      <c r="C305" s="9">
        <f t="shared" si="4"/>
        <v>3.3425632911391798E-3</v>
      </c>
      <c r="D305" s="7">
        <f>(Table534567910[[#This Row],[Value]]-B293)/B293</f>
        <v>3.8890026622977698E-2</v>
      </c>
      <c r="E305" s="16">
        <v>0.02</v>
      </c>
      <c r="F305" s="15">
        <v>9.5</v>
      </c>
    </row>
    <row r="306" spans="1:6" x14ac:dyDescent="0.35">
      <c r="A306" s="60">
        <v>30713</v>
      </c>
      <c r="B306" s="58">
        <f>VLOOKUP(Table534567910[[#This Row],[Date]],Database!A:E,MATCH($A$1,Database!$A$1:$E$1,),)</f>
        <v>51.048999999999999</v>
      </c>
      <c r="C306" s="9">
        <f t="shared" si="4"/>
        <v>6.3080289380827593E-3</v>
      </c>
      <c r="D306" s="7">
        <f>(Table534567910[[#This Row],[Value]]-B294)/B294</f>
        <v>4.1582501887331348E-2</v>
      </c>
      <c r="E306" s="16">
        <v>0.02</v>
      </c>
      <c r="F306" s="15">
        <v>9.5</v>
      </c>
    </row>
    <row r="307" spans="1:6" x14ac:dyDescent="0.35">
      <c r="A307" s="60">
        <v>30742</v>
      </c>
      <c r="B307" s="58">
        <f>VLOOKUP(Table534567910[[#This Row],[Date]],Database!A:E,MATCH($A$1,Database!$A$1:$E$1,),)</f>
        <v>51.241999999999997</v>
      </c>
      <c r="C307" s="9">
        <f t="shared" si="4"/>
        <v>3.7806813061959654E-3</v>
      </c>
      <c r="D307" s="7">
        <f>(Table534567910[[#This Row],[Value]]-B295)/B295</f>
        <v>4.419945795040036E-2</v>
      </c>
      <c r="E307" s="16">
        <v>0.02</v>
      </c>
      <c r="F307" s="15">
        <v>10.5</v>
      </c>
    </row>
    <row r="308" spans="1:6" x14ac:dyDescent="0.35">
      <c r="A308" s="60">
        <v>30773</v>
      </c>
      <c r="B308" s="58">
        <f>VLOOKUP(Table534567910[[#This Row],[Date]],Database!A:E,MATCH($A$1,Database!$A$1:$E$1,),)</f>
        <v>51.482999999999997</v>
      </c>
      <c r="C308" s="9">
        <f t="shared" si="4"/>
        <v>4.7031731782522087E-3</v>
      </c>
      <c r="D308" s="7">
        <f>(Table534567910[[#This Row],[Value]]-B296)/B296</f>
        <v>4.5934744626386484E-2</v>
      </c>
      <c r="E308" s="16">
        <v>0.02</v>
      </c>
      <c r="F308" s="15">
        <v>10.5</v>
      </c>
    </row>
    <row r="309" spans="1:6" x14ac:dyDescent="0.35">
      <c r="A309" s="60">
        <v>30803</v>
      </c>
      <c r="B309" s="58">
        <f>VLOOKUP(Table534567910[[#This Row],[Date]],Database!A:E,MATCH($A$1,Database!$A$1:$E$1,),)</f>
        <v>51.601999999999997</v>
      </c>
      <c r="C309" s="9">
        <f t="shared" si="4"/>
        <v>2.3114426121243863E-3</v>
      </c>
      <c r="D309" s="7">
        <f>(Table534567910[[#This Row],[Value]]-B297)/B297</f>
        <v>4.684235084089014E-2</v>
      </c>
      <c r="E309" s="16">
        <v>0.02</v>
      </c>
      <c r="F309" s="15">
        <v>10.5</v>
      </c>
    </row>
    <row r="310" spans="1:6" x14ac:dyDescent="0.35">
      <c r="A310" s="60">
        <v>30834</v>
      </c>
      <c r="B310" s="58">
        <f>VLOOKUP(Table534567910[[#This Row],[Date]],Database!A:E,MATCH($A$1,Database!$A$1:$E$1,),)</f>
        <v>51.723999999999997</v>
      </c>
      <c r="C310" s="9">
        <f t="shared" si="4"/>
        <v>2.3642494476958237E-3</v>
      </c>
      <c r="D310" s="7">
        <f>(Table534567910[[#This Row],[Value]]-B298)/B298</f>
        <v>4.4443995719160655E-2</v>
      </c>
      <c r="E310" s="16">
        <v>0.02</v>
      </c>
      <c r="F310" s="15">
        <v>10.5</v>
      </c>
    </row>
    <row r="311" spans="1:6" x14ac:dyDescent="0.35">
      <c r="A311" s="60">
        <v>30864</v>
      </c>
      <c r="B311" s="58">
        <f>VLOOKUP(Table534567910[[#This Row],[Date]],Database!A:E,MATCH($A$1,Database!$A$1:$E$1,),)</f>
        <v>51.947000000000003</v>
      </c>
      <c r="C311" s="9">
        <f t="shared" si="4"/>
        <v>4.3113448302529982E-3</v>
      </c>
      <c r="D311" s="7">
        <f>(Table534567910[[#This Row],[Value]]-B299)/B299</f>
        <v>4.194078947368423E-2</v>
      </c>
      <c r="E311" s="16">
        <v>0.02</v>
      </c>
      <c r="F311" s="15">
        <v>11</v>
      </c>
    </row>
    <row r="312" spans="1:6" x14ac:dyDescent="0.35">
      <c r="A312" s="60">
        <v>30895</v>
      </c>
      <c r="B312" s="58">
        <f>VLOOKUP(Table534567910[[#This Row],[Date]],Database!A:E,MATCH($A$1,Database!$A$1:$E$1,),)</f>
        <v>52.118000000000002</v>
      </c>
      <c r="C312" s="9">
        <f t="shared" si="4"/>
        <v>3.2918166592873382E-3</v>
      </c>
      <c r="D312" s="7">
        <f>(Table534567910[[#This Row],[Value]]-B300)/B300</f>
        <v>4.0009578352922445E-2</v>
      </c>
      <c r="E312" s="16">
        <v>0.02</v>
      </c>
      <c r="F312" s="15">
        <v>11.75</v>
      </c>
    </row>
    <row r="313" spans="1:6" x14ac:dyDescent="0.35">
      <c r="A313" s="60">
        <v>30926</v>
      </c>
      <c r="B313" s="58">
        <f>VLOOKUP(Table534567910[[#This Row],[Date]],Database!A:E,MATCH($A$1,Database!$A$1:$E$1,),)</f>
        <v>52.198</v>
      </c>
      <c r="C313" s="9">
        <f t="shared" si="4"/>
        <v>1.5349783184312193E-3</v>
      </c>
      <c r="D313" s="7">
        <f>(Table534567910[[#This Row],[Value]]-B301)/B301</f>
        <v>3.7403609189919661E-2</v>
      </c>
      <c r="E313" s="16">
        <v>0.02</v>
      </c>
      <c r="F313" s="15">
        <v>11.75</v>
      </c>
    </row>
    <row r="314" spans="1:6" x14ac:dyDescent="0.35">
      <c r="A314" s="60">
        <v>30956</v>
      </c>
      <c r="B314" s="58">
        <f>VLOOKUP(Table534567910[[#This Row],[Date]],Database!A:E,MATCH($A$1,Database!$A$1:$E$1,),)</f>
        <v>52.314999999999998</v>
      </c>
      <c r="C314" s="9">
        <f t="shared" si="4"/>
        <v>2.2414651902371227E-3</v>
      </c>
      <c r="D314" s="7">
        <f>(Table534567910[[#This Row],[Value]]-B302)/B302</f>
        <v>3.7893066164070954E-2</v>
      </c>
      <c r="E314" s="16">
        <v>0.02</v>
      </c>
      <c r="F314" s="15">
        <v>10</v>
      </c>
    </row>
    <row r="315" spans="1:6" x14ac:dyDescent="0.35">
      <c r="A315" s="60">
        <v>30987</v>
      </c>
      <c r="B315" s="58">
        <f>VLOOKUP(Table534567910[[#This Row],[Date]],Database!A:E,MATCH($A$1,Database!$A$1:$E$1,),)</f>
        <v>52.426000000000002</v>
      </c>
      <c r="C315" s="9">
        <f t="shared" si="4"/>
        <v>2.1217624008411395E-3</v>
      </c>
      <c r="D315" s="7">
        <f>(Table534567910[[#This Row],[Value]]-B303)/B303</f>
        <v>3.7666013498802497E-2</v>
      </c>
      <c r="E315" s="16">
        <v>0.02</v>
      </c>
      <c r="F315" s="15">
        <v>9</v>
      </c>
    </row>
    <row r="316" spans="1:6" x14ac:dyDescent="0.35">
      <c r="A316" s="60">
        <v>31017</v>
      </c>
      <c r="B316" s="58">
        <f>VLOOKUP(Table534567910[[#This Row],[Date]],Database!A:E,MATCH($A$1,Database!$A$1:$E$1,),)</f>
        <v>52.634</v>
      </c>
      <c r="C316" s="9">
        <f t="shared" si="4"/>
        <v>3.9674970434516923E-3</v>
      </c>
      <c r="D316" s="7">
        <f>(Table534567910[[#This Row],[Value]]-B304)/B304</f>
        <v>4.1020569620253126E-2</v>
      </c>
      <c r="E316" s="16">
        <v>0.02</v>
      </c>
      <c r="F316" s="15">
        <v>8.25</v>
      </c>
    </row>
    <row r="317" spans="1:6" x14ac:dyDescent="0.35">
      <c r="A317" s="60">
        <v>31048</v>
      </c>
      <c r="B317" s="58">
        <f>VLOOKUP(Table534567910[[#This Row],[Date]],Database!A:E,MATCH($A$1,Database!$A$1:$E$1,),)</f>
        <v>52.927999999999997</v>
      </c>
      <c r="C317" s="9">
        <f t="shared" si="4"/>
        <v>5.5857430558193741E-3</v>
      </c>
      <c r="D317" s="7">
        <f>(Table534567910[[#This Row],[Value]]-B305)/B305</f>
        <v>4.3347986358887383E-2</v>
      </c>
      <c r="E317" s="16">
        <v>0.02</v>
      </c>
      <c r="F317" s="15">
        <v>8.25</v>
      </c>
    </row>
    <row r="318" spans="1:6" x14ac:dyDescent="0.35">
      <c r="A318" s="60">
        <v>31079</v>
      </c>
      <c r="B318" s="58">
        <f>VLOOKUP(Table534567910[[#This Row],[Date]],Database!A:E,MATCH($A$1,Database!$A$1:$E$1,),)</f>
        <v>53.204000000000001</v>
      </c>
      <c r="C318" s="9">
        <f t="shared" si="4"/>
        <v>5.214631197098008E-3</v>
      </c>
      <c r="D318" s="7">
        <f>(Table534567910[[#This Row],[Value]]-B306)/B306</f>
        <v>4.2214343082136792E-2</v>
      </c>
      <c r="E318" s="16">
        <v>0.02</v>
      </c>
      <c r="F318" s="15">
        <v>9</v>
      </c>
    </row>
    <row r="319" spans="1:6" x14ac:dyDescent="0.35">
      <c r="A319" s="60">
        <v>31107</v>
      </c>
      <c r="B319" s="58">
        <f>VLOOKUP(Table534567910[[#This Row],[Date]],Database!A:E,MATCH($A$1,Database!$A$1:$E$1,),)</f>
        <v>53.39</v>
      </c>
      <c r="C319" s="9">
        <f t="shared" si="4"/>
        <v>3.4959777460341315E-3</v>
      </c>
      <c r="D319" s="7">
        <f>(Table534567910[[#This Row],[Value]]-B307)/B307</f>
        <v>4.1918738534795739E-2</v>
      </c>
      <c r="E319" s="16">
        <v>0.02</v>
      </c>
      <c r="F319" s="15">
        <v>8.5</v>
      </c>
    </row>
    <row r="320" spans="1:6" x14ac:dyDescent="0.35">
      <c r="A320" s="60">
        <v>31138</v>
      </c>
      <c r="B320" s="58">
        <f>VLOOKUP(Table534567910[[#This Row],[Date]],Database!A:E,MATCH($A$1,Database!$A$1:$E$1,),)</f>
        <v>53.453000000000003</v>
      </c>
      <c r="C320" s="9">
        <f t="shared" si="4"/>
        <v>1.1799962539801908E-3</v>
      </c>
      <c r="D320" s="7">
        <f>(Table534567910[[#This Row],[Value]]-B308)/B308</f>
        <v>3.8265058368782044E-2</v>
      </c>
      <c r="E320" s="16">
        <v>0.02</v>
      </c>
      <c r="F320" s="15">
        <v>8.25</v>
      </c>
    </row>
    <row r="321" spans="1:6" x14ac:dyDescent="0.35">
      <c r="A321" s="60">
        <v>31168</v>
      </c>
      <c r="B321" s="58">
        <f>VLOOKUP(Table534567910[[#This Row],[Date]],Database!A:E,MATCH($A$1,Database!$A$1:$E$1,),)</f>
        <v>53.637999999999998</v>
      </c>
      <c r="C321" s="9">
        <f t="shared" si="4"/>
        <v>3.4609844162160246E-3</v>
      </c>
      <c r="D321" s="7">
        <f>(Table534567910[[#This Row],[Value]]-B309)/B309</f>
        <v>3.945583504515332E-2</v>
      </c>
      <c r="E321" s="16">
        <v>0.02</v>
      </c>
      <c r="F321" s="15">
        <v>7.75</v>
      </c>
    </row>
    <row r="322" spans="1:6" x14ac:dyDescent="0.35">
      <c r="A322" s="60">
        <v>31199</v>
      </c>
      <c r="B322" s="58">
        <f>VLOOKUP(Table534567910[[#This Row],[Date]],Database!A:E,MATCH($A$1,Database!$A$1:$E$1,),)</f>
        <v>53.814999999999998</v>
      </c>
      <c r="C322" s="9">
        <f t="shared" si="4"/>
        <v>3.2998993251053283E-3</v>
      </c>
      <c r="D322" s="7">
        <f>(Table534567910[[#This Row],[Value]]-B310)/B310</f>
        <v>4.0426107802954164E-2</v>
      </c>
      <c r="E322" s="16">
        <v>0.02</v>
      </c>
      <c r="F322" s="15">
        <v>7.75</v>
      </c>
    </row>
    <row r="323" spans="1:6" x14ac:dyDescent="0.35">
      <c r="A323" s="60">
        <v>31229</v>
      </c>
      <c r="B323" s="58">
        <f>VLOOKUP(Table534567910[[#This Row],[Date]],Database!A:E,MATCH($A$1,Database!$A$1:$E$1,),)</f>
        <v>53.972999999999999</v>
      </c>
      <c r="C323" s="9">
        <f t="shared" si="4"/>
        <v>2.9359843909690839E-3</v>
      </c>
      <c r="D323" s="7">
        <f>(Table534567910[[#This Row],[Value]]-B311)/B311</f>
        <v>3.9001289776117894E-2</v>
      </c>
      <c r="E323" s="16">
        <v>0.02</v>
      </c>
      <c r="F323" s="15">
        <v>7.75</v>
      </c>
    </row>
    <row r="324" spans="1:6" x14ac:dyDescent="0.35">
      <c r="A324" s="60">
        <v>31260</v>
      </c>
      <c r="B324" s="58">
        <f>VLOOKUP(Table534567910[[#This Row],[Date]],Database!A:E,MATCH($A$1,Database!$A$1:$E$1,),)</f>
        <v>54.237000000000002</v>
      </c>
      <c r="C324" s="9">
        <f t="shared" si="4"/>
        <v>4.8913345561670263E-3</v>
      </c>
      <c r="D324" s="7">
        <f>(Table534567910[[#This Row],[Value]]-B312)/B312</f>
        <v>4.0657738209447784E-2</v>
      </c>
      <c r="E324" s="16">
        <v>0.02</v>
      </c>
      <c r="F324" s="15">
        <v>8</v>
      </c>
    </row>
    <row r="325" spans="1:6" x14ac:dyDescent="0.35">
      <c r="A325" s="60">
        <v>31291</v>
      </c>
      <c r="B325" s="58">
        <f>VLOOKUP(Table534567910[[#This Row],[Date]],Database!A:E,MATCH($A$1,Database!$A$1:$E$1,),)</f>
        <v>54.348999999999997</v>
      </c>
      <c r="C325" s="9">
        <f t="shared" si="4"/>
        <v>2.0650109703706835E-3</v>
      </c>
      <c r="D325" s="7">
        <f>(Table534567910[[#This Row],[Value]]-B313)/B313</f>
        <v>4.1208475420514125E-2</v>
      </c>
      <c r="E325" s="16">
        <v>0.02</v>
      </c>
      <c r="F325" s="15">
        <v>8</v>
      </c>
    </row>
    <row r="326" spans="1:6" x14ac:dyDescent="0.35">
      <c r="A326" s="60">
        <v>31321</v>
      </c>
      <c r="B326" s="58">
        <f>VLOOKUP(Table534567910[[#This Row],[Date]],Database!A:E,MATCH($A$1,Database!$A$1:$E$1,),)</f>
        <v>54.436</v>
      </c>
      <c r="C326" s="9">
        <f t="shared" ref="C326:C389" si="5">(B326-B325)/B325</f>
        <v>1.600765423466914E-3</v>
      </c>
      <c r="D326" s="7">
        <f>(Table534567910[[#This Row],[Value]]-B314)/B314</f>
        <v>4.0542865334990005E-2</v>
      </c>
      <c r="E326" s="16">
        <v>0.02</v>
      </c>
      <c r="F326" s="15">
        <v>8</v>
      </c>
    </row>
    <row r="327" spans="1:6" x14ac:dyDescent="0.35">
      <c r="A327" s="60">
        <v>31352</v>
      </c>
      <c r="B327" s="58">
        <f>VLOOKUP(Table534567910[[#This Row],[Date]],Database!A:E,MATCH($A$1,Database!$A$1:$E$1,),)</f>
        <v>54.57</v>
      </c>
      <c r="C327" s="9">
        <f t="shared" si="5"/>
        <v>2.461606289955183E-3</v>
      </c>
      <c r="D327" s="7">
        <f>(Table534567910[[#This Row],[Value]]-B315)/B315</f>
        <v>4.089573875557926E-2</v>
      </c>
      <c r="E327" s="16">
        <v>0.02</v>
      </c>
      <c r="F327" s="15">
        <v>8</v>
      </c>
    </row>
    <row r="328" spans="1:6" x14ac:dyDescent="0.35">
      <c r="A328" s="60">
        <v>31382</v>
      </c>
      <c r="B328" s="58">
        <f>VLOOKUP(Table534567910[[#This Row],[Date]],Database!A:E,MATCH($A$1,Database!$A$1:$E$1,),)</f>
        <v>54.718000000000004</v>
      </c>
      <c r="C328" s="9">
        <f t="shared" si="5"/>
        <v>2.7121128825362516E-3</v>
      </c>
      <c r="D328" s="7">
        <f>(Table534567910[[#This Row],[Value]]-B316)/B316</f>
        <v>3.9594178667781345E-2</v>
      </c>
      <c r="E328" s="16">
        <v>0.02</v>
      </c>
      <c r="F328" s="15">
        <v>7.75</v>
      </c>
    </row>
    <row r="329" spans="1:6" x14ac:dyDescent="0.35">
      <c r="A329" s="60">
        <v>31413</v>
      </c>
      <c r="B329" s="58">
        <f>VLOOKUP(Table534567910[[#This Row],[Date]],Database!A:E,MATCH($A$1,Database!$A$1:$E$1,),)</f>
        <v>55.014000000000003</v>
      </c>
      <c r="C329" s="9">
        <f t="shared" si="5"/>
        <v>5.4095544427793293E-3</v>
      </c>
      <c r="D329" s="7">
        <f>(Table534567910[[#This Row],[Value]]-B317)/B317</f>
        <v>3.941203143893602E-2</v>
      </c>
      <c r="E329" s="16">
        <v>0.02</v>
      </c>
      <c r="F329" s="15">
        <v>7.75</v>
      </c>
    </row>
    <row r="330" spans="1:6" x14ac:dyDescent="0.35">
      <c r="A330" s="60">
        <v>31444</v>
      </c>
      <c r="B330" s="58">
        <f>VLOOKUP(Table534567910[[#This Row],[Date]],Database!A:E,MATCH($A$1,Database!$A$1:$E$1,),)</f>
        <v>55.155999999999999</v>
      </c>
      <c r="C330" s="9">
        <f t="shared" si="5"/>
        <v>2.5811611589776403E-3</v>
      </c>
      <c r="D330" s="7">
        <f>(Table534567910[[#This Row],[Value]]-B318)/B318</f>
        <v>3.6688970754078606E-2</v>
      </c>
      <c r="E330" s="16">
        <v>0.02</v>
      </c>
      <c r="F330" s="15">
        <v>7.75</v>
      </c>
    </row>
    <row r="331" spans="1:6" x14ac:dyDescent="0.35">
      <c r="A331" s="60">
        <v>31472</v>
      </c>
      <c r="B331" s="58">
        <f>VLOOKUP(Table534567910[[#This Row],[Date]],Database!A:E,MATCH($A$1,Database!$A$1:$E$1,),)</f>
        <v>55.323999999999998</v>
      </c>
      <c r="C331" s="9">
        <f t="shared" si="5"/>
        <v>3.0459061570817184E-3</v>
      </c>
      <c r="D331" s="7">
        <f>(Table534567910[[#This Row],[Value]]-B319)/B319</f>
        <v>3.6224011987263487E-2</v>
      </c>
      <c r="E331" s="16">
        <v>0.02</v>
      </c>
      <c r="F331" s="15">
        <v>7.25</v>
      </c>
    </row>
    <row r="332" spans="1:6" x14ac:dyDescent="0.35">
      <c r="A332" s="60">
        <v>31503</v>
      </c>
      <c r="B332" s="58">
        <f>VLOOKUP(Table534567910[[#This Row],[Date]],Database!A:E,MATCH($A$1,Database!$A$1:$E$1,),)</f>
        <v>55.423999999999999</v>
      </c>
      <c r="C332" s="9">
        <f t="shared" si="5"/>
        <v>1.8075338008821022E-3</v>
      </c>
      <c r="D332" s="7">
        <f>(Table534567910[[#This Row],[Value]]-B320)/B320</f>
        <v>3.6873515050605141E-2</v>
      </c>
      <c r="E332" s="16">
        <v>0.02</v>
      </c>
      <c r="F332" s="15">
        <v>6.75</v>
      </c>
    </row>
    <row r="333" spans="1:6" x14ac:dyDescent="0.35">
      <c r="A333" s="60">
        <v>31533</v>
      </c>
      <c r="B333" s="58">
        <f>VLOOKUP(Table534567910[[#This Row],[Date]],Database!A:E,MATCH($A$1,Database!$A$1:$E$1,),)</f>
        <v>55.518000000000001</v>
      </c>
      <c r="C333" s="9">
        <f t="shared" si="5"/>
        <v>1.6960161662817768E-3</v>
      </c>
      <c r="D333" s="7">
        <f>(Table534567910[[#This Row],[Value]]-B321)/B321</f>
        <v>3.5049778142361807E-2</v>
      </c>
      <c r="E333" s="16">
        <v>0.02</v>
      </c>
      <c r="F333" s="15">
        <v>6.88</v>
      </c>
    </row>
    <row r="334" spans="1:6" x14ac:dyDescent="0.35">
      <c r="A334" s="60">
        <v>31564</v>
      </c>
      <c r="B334" s="58">
        <f>VLOOKUP(Table534567910[[#This Row],[Date]],Database!A:E,MATCH($A$1,Database!$A$1:$E$1,),)</f>
        <v>55.685000000000002</v>
      </c>
      <c r="C334" s="9">
        <f t="shared" si="5"/>
        <v>3.0080334305991135E-3</v>
      </c>
      <c r="D334" s="7">
        <f>(Table534567910[[#This Row],[Value]]-B322)/B322</f>
        <v>3.4748676019697194E-2</v>
      </c>
      <c r="E334" s="16">
        <v>0.02</v>
      </c>
      <c r="F334" s="15">
        <v>6.88</v>
      </c>
    </row>
    <row r="335" spans="1:6" x14ac:dyDescent="0.35">
      <c r="A335" s="60">
        <v>31594</v>
      </c>
      <c r="B335" s="58">
        <f>VLOOKUP(Table534567910[[#This Row],[Date]],Database!A:E,MATCH($A$1,Database!$A$1:$E$1,),)</f>
        <v>55.786000000000001</v>
      </c>
      <c r="C335" s="9">
        <f t="shared" si="5"/>
        <v>1.8137739067971461E-3</v>
      </c>
      <c r="D335" s="7">
        <f>(Table534567910[[#This Row],[Value]]-B323)/B323</f>
        <v>3.359086950882853E-2</v>
      </c>
      <c r="E335" s="16">
        <v>0.02</v>
      </c>
      <c r="F335" s="15">
        <v>6.38</v>
      </c>
    </row>
    <row r="336" spans="1:6" x14ac:dyDescent="0.35">
      <c r="A336" s="60">
        <v>31625</v>
      </c>
      <c r="B336" s="58">
        <f>VLOOKUP(Table534567910[[#This Row],[Date]],Database!A:E,MATCH($A$1,Database!$A$1:$E$1,),)</f>
        <v>55.901000000000003</v>
      </c>
      <c r="C336" s="9">
        <f t="shared" si="5"/>
        <v>2.0614491090955077E-3</v>
      </c>
      <c r="D336" s="7">
        <f>(Table534567910[[#This Row],[Value]]-B324)/B324</f>
        <v>3.0680162988365903E-2</v>
      </c>
      <c r="E336" s="16">
        <v>0.02</v>
      </c>
      <c r="F336" s="15">
        <v>5.88</v>
      </c>
    </row>
    <row r="337" spans="1:6" x14ac:dyDescent="0.35">
      <c r="A337" s="60">
        <v>31656</v>
      </c>
      <c r="B337" s="58">
        <f>VLOOKUP(Table534567910[[#This Row],[Date]],Database!A:E,MATCH($A$1,Database!$A$1:$E$1,),)</f>
        <v>56.085000000000001</v>
      </c>
      <c r="C337" s="9">
        <f t="shared" si="5"/>
        <v>3.2915332462746193E-3</v>
      </c>
      <c r="D337" s="7">
        <f>(Table534567910[[#This Row],[Value]]-B325)/B325</f>
        <v>3.1941710059062801E-2</v>
      </c>
      <c r="E337" s="16">
        <v>0.02</v>
      </c>
      <c r="F337" s="15">
        <v>5.88</v>
      </c>
    </row>
    <row r="338" spans="1:6" x14ac:dyDescent="0.35">
      <c r="A338" s="60">
        <v>31686</v>
      </c>
      <c r="B338" s="58">
        <f>VLOOKUP(Table534567910[[#This Row],[Date]],Database!A:E,MATCH($A$1,Database!$A$1:$E$1,),)</f>
        <v>56.274000000000001</v>
      </c>
      <c r="C338" s="9">
        <f t="shared" si="5"/>
        <v>3.3698849959882329E-3</v>
      </c>
      <c r="D338" s="7">
        <f>(Table534567910[[#This Row],[Value]]-B326)/B326</f>
        <v>3.3764420604012066E-2</v>
      </c>
      <c r="E338" s="16">
        <v>0.02</v>
      </c>
      <c r="F338" s="15">
        <v>5.88</v>
      </c>
    </row>
    <row r="339" spans="1:6" x14ac:dyDescent="0.35">
      <c r="A339" s="60">
        <v>31717</v>
      </c>
      <c r="B339" s="58">
        <f>VLOOKUP(Table534567910[[#This Row],[Date]],Database!A:E,MATCH($A$1,Database!$A$1:$E$1,),)</f>
        <v>56.393999999999998</v>
      </c>
      <c r="C339" s="9">
        <f t="shared" si="5"/>
        <v>2.132423499306917E-3</v>
      </c>
      <c r="D339" s="7">
        <f>(Table534567910[[#This Row],[Value]]-B327)/B327</f>
        <v>3.3424958768554114E-2</v>
      </c>
      <c r="E339" s="16">
        <v>0.02</v>
      </c>
      <c r="F339" s="15">
        <v>5.88</v>
      </c>
    </row>
    <row r="340" spans="1:6" x14ac:dyDescent="0.35">
      <c r="A340" s="60">
        <v>31747</v>
      </c>
      <c r="B340" s="58">
        <f>VLOOKUP(Table534567910[[#This Row],[Date]],Database!A:E,MATCH($A$1,Database!$A$1:$E$1,),)</f>
        <v>56.466000000000001</v>
      </c>
      <c r="C340" s="9">
        <f t="shared" si="5"/>
        <v>1.2767315671880471E-3</v>
      </c>
      <c r="D340" s="7">
        <f>(Table534567910[[#This Row],[Value]]-B328)/B328</f>
        <v>3.1945612047223904E-2</v>
      </c>
      <c r="E340" s="16">
        <v>0.02</v>
      </c>
      <c r="F340" s="15">
        <v>6</v>
      </c>
    </row>
    <row r="341" spans="1:6" x14ac:dyDescent="0.35">
      <c r="A341" s="60">
        <v>31778</v>
      </c>
      <c r="B341" s="58">
        <f>VLOOKUP(Table534567910[[#This Row],[Date]],Database!A:E,MATCH($A$1,Database!$A$1:$E$1,),)</f>
        <v>56.600999999999999</v>
      </c>
      <c r="C341" s="9">
        <f t="shared" si="5"/>
        <v>2.3908192540643574E-3</v>
      </c>
      <c r="D341" s="7">
        <f>(Table534567910[[#This Row],[Value]]-B329)/B329</f>
        <v>2.8847202530264952E-2</v>
      </c>
      <c r="E341" s="16">
        <v>0.02</v>
      </c>
      <c r="F341" s="15">
        <v>6</v>
      </c>
    </row>
    <row r="342" spans="1:6" x14ac:dyDescent="0.35">
      <c r="A342" s="60">
        <v>31809</v>
      </c>
      <c r="B342" s="58">
        <f>VLOOKUP(Table534567910[[#This Row],[Date]],Database!A:E,MATCH($A$1,Database!$A$1:$E$1,),)</f>
        <v>56.713999999999999</v>
      </c>
      <c r="C342" s="9">
        <f t="shared" si="5"/>
        <v>1.99643115846009E-3</v>
      </c>
      <c r="D342" s="7">
        <f>(Table534567910[[#This Row],[Value]]-B330)/B330</f>
        <v>2.824715352817463E-2</v>
      </c>
      <c r="E342" s="16">
        <v>0.02</v>
      </c>
      <c r="F342" s="15">
        <v>6</v>
      </c>
    </row>
    <row r="343" spans="1:6" x14ac:dyDescent="0.35">
      <c r="A343" s="60">
        <v>31837</v>
      </c>
      <c r="B343" s="58">
        <f>VLOOKUP(Table534567910[[#This Row],[Date]],Database!A:E,MATCH($A$1,Database!$A$1:$E$1,),)</f>
        <v>56.881999999999998</v>
      </c>
      <c r="C343" s="9">
        <f t="shared" si="5"/>
        <v>2.9622315477659707E-3</v>
      </c>
      <c r="D343" s="7">
        <f>(Table534567910[[#This Row],[Value]]-B331)/B331</f>
        <v>2.8161376617742751E-2</v>
      </c>
      <c r="E343" s="16">
        <v>0.02</v>
      </c>
      <c r="F343" s="15">
        <v>6</v>
      </c>
    </row>
    <row r="344" spans="1:6" x14ac:dyDescent="0.35">
      <c r="A344" s="60">
        <v>31868</v>
      </c>
      <c r="B344" s="58">
        <f>VLOOKUP(Table534567910[[#This Row],[Date]],Database!A:E,MATCH($A$1,Database!$A$1:$E$1,),)</f>
        <v>57.122999999999998</v>
      </c>
      <c r="C344" s="9">
        <f t="shared" si="5"/>
        <v>4.2368411799866331E-3</v>
      </c>
      <c r="D344" s="7">
        <f>(Table534567910[[#This Row],[Value]]-B332)/B332</f>
        <v>3.0654590069284029E-2</v>
      </c>
      <c r="E344" s="16">
        <v>0.02</v>
      </c>
      <c r="F344" s="15">
        <v>6.5</v>
      </c>
    </row>
    <row r="345" spans="1:6" x14ac:dyDescent="0.35">
      <c r="A345" s="60">
        <v>31898</v>
      </c>
      <c r="B345" s="58">
        <f>VLOOKUP(Table534567910[[#This Row],[Date]],Database!A:E,MATCH($A$1,Database!$A$1:$E$1,),)</f>
        <v>57.283000000000001</v>
      </c>
      <c r="C345" s="9">
        <f t="shared" si="5"/>
        <v>2.8009733382351014E-3</v>
      </c>
      <c r="D345" s="7">
        <f>(Table534567910[[#This Row],[Value]]-B333)/B333</f>
        <v>3.1791491047948421E-2</v>
      </c>
      <c r="E345" s="16">
        <v>0.02</v>
      </c>
      <c r="F345" s="15">
        <v>6.75</v>
      </c>
    </row>
    <row r="346" spans="1:6" x14ac:dyDescent="0.35">
      <c r="A346" s="60">
        <v>31929</v>
      </c>
      <c r="B346" s="58">
        <f>VLOOKUP(Table534567910[[#This Row],[Date]],Database!A:E,MATCH($A$1,Database!$A$1:$E$1,),)</f>
        <v>57.441000000000003</v>
      </c>
      <c r="C346" s="9">
        <f t="shared" si="5"/>
        <v>2.7582354276137989E-3</v>
      </c>
      <c r="D346" s="7">
        <f>(Table534567910[[#This Row],[Value]]-B334)/B334</f>
        <v>3.1534524557780372E-2</v>
      </c>
      <c r="E346" s="16">
        <v>0.02</v>
      </c>
      <c r="F346" s="15">
        <v>6.75</v>
      </c>
    </row>
    <row r="347" spans="1:6" x14ac:dyDescent="0.35">
      <c r="A347" s="60">
        <v>31959</v>
      </c>
      <c r="B347" s="58">
        <f>VLOOKUP(Table534567910[[#This Row],[Date]],Database!A:E,MATCH($A$1,Database!$A$1:$E$1,),)</f>
        <v>57.588999999999999</v>
      </c>
      <c r="C347" s="9">
        <f t="shared" si="5"/>
        <v>2.576556814818616E-3</v>
      </c>
      <c r="D347" s="7">
        <f>(Table534567910[[#This Row],[Value]]-B335)/B335</f>
        <v>3.2319936901731565E-2</v>
      </c>
      <c r="E347" s="16">
        <v>0.02</v>
      </c>
      <c r="F347" s="15">
        <v>6.75</v>
      </c>
    </row>
    <row r="348" spans="1:6" x14ac:dyDescent="0.35">
      <c r="A348" s="60">
        <v>31990</v>
      </c>
      <c r="B348" s="58">
        <f>VLOOKUP(Table534567910[[#This Row],[Date]],Database!A:E,MATCH($A$1,Database!$A$1:$E$1,),)</f>
        <v>57.783000000000001</v>
      </c>
      <c r="C348" s="9">
        <f t="shared" si="5"/>
        <v>3.3686988834673742E-3</v>
      </c>
      <c r="D348" s="7">
        <f>(Table534567910[[#This Row],[Value]]-B336)/B336</f>
        <v>3.3666660703744078E-2</v>
      </c>
      <c r="E348" s="16">
        <v>0.02</v>
      </c>
      <c r="F348" s="15">
        <v>6.75</v>
      </c>
    </row>
    <row r="349" spans="1:6" x14ac:dyDescent="0.35">
      <c r="A349" s="60">
        <v>32021</v>
      </c>
      <c r="B349" s="58">
        <f>VLOOKUP(Table534567910[[#This Row],[Date]],Database!A:E,MATCH($A$1,Database!$A$1:$E$1,),)</f>
        <v>58.012</v>
      </c>
      <c r="C349" s="9">
        <f t="shared" si="5"/>
        <v>3.963103334890871E-3</v>
      </c>
      <c r="D349" s="7">
        <f>(Table534567910[[#This Row],[Value]]-B337)/B337</f>
        <v>3.4358562895604877E-2</v>
      </c>
      <c r="E349" s="16">
        <v>0.02</v>
      </c>
      <c r="F349" s="15">
        <v>7.25</v>
      </c>
    </row>
    <row r="350" spans="1:6" x14ac:dyDescent="0.35">
      <c r="A350" s="60">
        <v>32051</v>
      </c>
      <c r="B350" s="58">
        <f>VLOOKUP(Table534567910[[#This Row],[Date]],Database!A:E,MATCH($A$1,Database!$A$1:$E$1,),)</f>
        <v>58.26</v>
      </c>
      <c r="C350" s="9">
        <f t="shared" si="5"/>
        <v>4.2749775908432312E-3</v>
      </c>
      <c r="D350" s="7">
        <f>(Table534567910[[#This Row],[Value]]-B338)/B338</f>
        <v>3.5291608913530177E-2</v>
      </c>
      <c r="E350" s="16">
        <v>0.02</v>
      </c>
      <c r="F350" s="15">
        <v>6.88</v>
      </c>
    </row>
    <row r="351" spans="1:6" x14ac:dyDescent="0.35">
      <c r="A351" s="60">
        <v>32082</v>
      </c>
      <c r="B351" s="58">
        <f>VLOOKUP(Table534567910[[#This Row],[Date]],Database!A:E,MATCH($A$1,Database!$A$1:$E$1,),)</f>
        <v>58.381999999999998</v>
      </c>
      <c r="C351" s="9">
        <f t="shared" si="5"/>
        <v>2.094061105389631E-3</v>
      </c>
      <c r="D351" s="7">
        <f>(Table534567910[[#This Row],[Value]]-B339)/B339</f>
        <v>3.5251977160690846E-2</v>
      </c>
      <c r="E351" s="16">
        <v>0.02</v>
      </c>
      <c r="F351" s="15">
        <v>6.88</v>
      </c>
    </row>
    <row r="352" spans="1:6" x14ac:dyDescent="0.35">
      <c r="A352" s="60">
        <v>32112</v>
      </c>
      <c r="B352" s="58">
        <f>VLOOKUP(Table534567910[[#This Row],[Date]],Database!A:E,MATCH($A$1,Database!$A$1:$E$1,),)</f>
        <v>58.505000000000003</v>
      </c>
      <c r="C352" s="9">
        <f t="shared" si="5"/>
        <v>2.1068137439622602E-3</v>
      </c>
      <c r="D352" s="7">
        <f>(Table534567910[[#This Row],[Value]]-B340)/B340</f>
        <v>3.6110225622498521E-2</v>
      </c>
      <c r="E352" s="16">
        <v>0.02</v>
      </c>
      <c r="F352" s="15">
        <v>6.88</v>
      </c>
    </row>
    <row r="353" spans="1:6" x14ac:dyDescent="0.35">
      <c r="A353" s="60">
        <v>32143</v>
      </c>
      <c r="B353" s="58">
        <f>VLOOKUP(Table534567910[[#This Row],[Date]],Database!A:E,MATCH($A$1,Database!$A$1:$E$1,),)</f>
        <v>58.780999999999999</v>
      </c>
      <c r="C353" s="9">
        <f t="shared" si="5"/>
        <v>4.717545508930796E-3</v>
      </c>
      <c r="D353" s="7">
        <f>(Table534567910[[#This Row],[Value]]-B341)/B341</f>
        <v>3.851522057914171E-2</v>
      </c>
      <c r="E353" s="16">
        <v>0.02</v>
      </c>
      <c r="F353" s="15">
        <v>6.63</v>
      </c>
    </row>
    <row r="354" spans="1:6" x14ac:dyDescent="0.35">
      <c r="A354" s="60">
        <v>32174</v>
      </c>
      <c r="B354" s="58">
        <f>VLOOKUP(Table534567910[[#This Row],[Date]],Database!A:E,MATCH($A$1,Database!$A$1:$E$1,),)</f>
        <v>58.902000000000001</v>
      </c>
      <c r="C354" s="9">
        <f t="shared" si="5"/>
        <v>2.0584882870315615E-3</v>
      </c>
      <c r="D354" s="7">
        <f>(Table534567910[[#This Row],[Value]]-B342)/B342</f>
        <v>3.8579539443523686E-2</v>
      </c>
      <c r="E354" s="16">
        <v>0.02</v>
      </c>
      <c r="F354" s="15">
        <v>6.5</v>
      </c>
    </row>
    <row r="355" spans="1:6" x14ac:dyDescent="0.35">
      <c r="A355" s="60">
        <v>32203</v>
      </c>
      <c r="B355" s="58">
        <f>VLOOKUP(Table534567910[[#This Row],[Date]],Database!A:E,MATCH($A$1,Database!$A$1:$E$1,),)</f>
        <v>59.154000000000003</v>
      </c>
      <c r="C355" s="9">
        <f t="shared" si="5"/>
        <v>4.2782927574615878E-3</v>
      </c>
      <c r="D355" s="7">
        <f>(Table534567910[[#This Row],[Value]]-B343)/B343</f>
        <v>3.9942336767343017E-2</v>
      </c>
      <c r="E355" s="16">
        <v>0.02</v>
      </c>
      <c r="F355" s="15">
        <v>6.75</v>
      </c>
    </row>
    <row r="356" spans="1:6" x14ac:dyDescent="0.35">
      <c r="A356" s="60">
        <v>32234</v>
      </c>
      <c r="B356" s="58">
        <f>VLOOKUP(Table534567910[[#This Row],[Date]],Database!A:E,MATCH($A$1,Database!$A$1:$E$1,),)</f>
        <v>59.441000000000003</v>
      </c>
      <c r="C356" s="9">
        <f t="shared" si="5"/>
        <v>4.8517429083409242E-3</v>
      </c>
      <c r="D356" s="7">
        <f>(Table534567910[[#This Row],[Value]]-B344)/B344</f>
        <v>4.057910123768018E-2</v>
      </c>
      <c r="E356" s="16">
        <v>0.02</v>
      </c>
      <c r="F356" s="15">
        <v>6.75</v>
      </c>
    </row>
    <row r="357" spans="1:6" x14ac:dyDescent="0.35">
      <c r="A357" s="60">
        <v>32264</v>
      </c>
      <c r="B357" s="58">
        <f>VLOOKUP(Table534567910[[#This Row],[Date]],Database!A:E,MATCH($A$1,Database!$A$1:$E$1,),)</f>
        <v>59.643999999999998</v>
      </c>
      <c r="C357" s="9">
        <f t="shared" si="5"/>
        <v>3.4151511582913453E-3</v>
      </c>
      <c r="D357" s="7">
        <f>(Table534567910[[#This Row],[Value]]-B345)/B345</f>
        <v>4.1216416737950123E-2</v>
      </c>
      <c r="E357" s="16">
        <v>0.02</v>
      </c>
      <c r="F357" s="15">
        <v>7.25</v>
      </c>
    </row>
    <row r="358" spans="1:6" x14ac:dyDescent="0.35">
      <c r="A358" s="60">
        <v>32295</v>
      </c>
      <c r="B358" s="58">
        <f>VLOOKUP(Table534567910[[#This Row],[Date]],Database!A:E,MATCH($A$1,Database!$A$1:$E$1,),)</f>
        <v>59.896000000000001</v>
      </c>
      <c r="C358" s="9">
        <f t="shared" si="5"/>
        <v>4.2250687411978143E-3</v>
      </c>
      <c r="D358" s="7">
        <f>(Table534567910[[#This Row],[Value]]-B346)/B346</f>
        <v>4.2739506624188267E-2</v>
      </c>
      <c r="E358" s="16">
        <v>0.02</v>
      </c>
      <c r="F358" s="15">
        <v>7.5</v>
      </c>
    </row>
    <row r="359" spans="1:6" x14ac:dyDescent="0.35">
      <c r="A359" s="60">
        <v>32325</v>
      </c>
      <c r="B359" s="58">
        <f>VLOOKUP(Table534567910[[#This Row],[Date]],Database!A:E,MATCH($A$1,Database!$A$1:$E$1,),)</f>
        <v>60.14</v>
      </c>
      <c r="C359" s="9">
        <f t="shared" si="5"/>
        <v>4.0737277948443935E-3</v>
      </c>
      <c r="D359" s="7">
        <f>(Table534567910[[#This Row],[Value]]-B347)/B347</f>
        <v>4.4296653874871972E-2</v>
      </c>
      <c r="E359" s="16">
        <v>0.02</v>
      </c>
      <c r="F359" s="15">
        <v>7.75</v>
      </c>
    </row>
    <row r="360" spans="1:6" x14ac:dyDescent="0.35">
      <c r="A360" s="60">
        <v>32356</v>
      </c>
      <c r="B360" s="58">
        <f>VLOOKUP(Table534567910[[#This Row],[Date]],Database!A:E,MATCH($A$1,Database!$A$1:$E$1,),)</f>
        <v>60.289000000000001</v>
      </c>
      <c r="C360" s="9">
        <f t="shared" si="5"/>
        <v>2.477552377785183E-3</v>
      </c>
      <c r="D360" s="7">
        <f>(Table534567910[[#This Row],[Value]]-B348)/B348</f>
        <v>4.3369157018500255E-2</v>
      </c>
      <c r="E360" s="16">
        <v>0.02</v>
      </c>
      <c r="F360" s="15">
        <v>8.25</v>
      </c>
    </row>
    <row r="361" spans="1:6" x14ac:dyDescent="0.35">
      <c r="A361" s="60">
        <v>32387</v>
      </c>
      <c r="B361" s="58">
        <f>VLOOKUP(Table534567910[[#This Row],[Date]],Database!A:E,MATCH($A$1,Database!$A$1:$E$1,),)</f>
        <v>60.613</v>
      </c>
      <c r="C361" s="9">
        <f t="shared" si="5"/>
        <v>5.3741146809533754E-3</v>
      </c>
      <c r="D361" s="7">
        <f>(Table534567910[[#This Row],[Value]]-B349)/B349</f>
        <v>4.4835551265255451E-2</v>
      </c>
      <c r="E361" s="16">
        <v>0.02</v>
      </c>
      <c r="F361" s="15">
        <v>8.25</v>
      </c>
    </row>
    <row r="362" spans="1:6" x14ac:dyDescent="0.35">
      <c r="A362" s="60">
        <v>32417</v>
      </c>
      <c r="B362" s="58">
        <f>VLOOKUP(Table534567910[[#This Row],[Date]],Database!A:E,MATCH($A$1,Database!$A$1:$E$1,),)</f>
        <v>60.843000000000004</v>
      </c>
      <c r="C362" s="9">
        <f t="shared" si="5"/>
        <v>3.7945655222477682E-3</v>
      </c>
      <c r="D362" s="7">
        <f>(Table534567910[[#This Row],[Value]]-B350)/B350</f>
        <v>4.4335736354274041E-2</v>
      </c>
      <c r="E362" s="16">
        <v>0.02</v>
      </c>
      <c r="F362" s="15">
        <v>8.25</v>
      </c>
    </row>
    <row r="363" spans="1:6" x14ac:dyDescent="0.35">
      <c r="A363" s="60">
        <v>32448</v>
      </c>
      <c r="B363" s="58">
        <f>VLOOKUP(Table534567910[[#This Row],[Date]],Database!A:E,MATCH($A$1,Database!$A$1:$E$1,),)</f>
        <v>61.01</v>
      </c>
      <c r="C363" s="9">
        <f t="shared" si="5"/>
        <v>2.7447693243264548E-3</v>
      </c>
      <c r="D363" s="7">
        <f>(Table534567910[[#This Row],[Value]]-B351)/B351</f>
        <v>4.5013874139289513E-2</v>
      </c>
      <c r="E363" s="16">
        <v>0.02</v>
      </c>
      <c r="F363" s="15">
        <v>8.3800000000000008</v>
      </c>
    </row>
    <row r="364" spans="1:6" x14ac:dyDescent="0.35">
      <c r="A364" s="60">
        <v>32478</v>
      </c>
      <c r="B364" s="58">
        <f>VLOOKUP(Table534567910[[#This Row],[Date]],Database!A:E,MATCH($A$1,Database!$A$1:$E$1,),)</f>
        <v>61.212000000000003</v>
      </c>
      <c r="C364" s="9">
        <f t="shared" si="5"/>
        <v>3.3109326339945139E-3</v>
      </c>
      <c r="D364" s="7">
        <f>(Table534567910[[#This Row],[Value]]-B352)/B352</f>
        <v>4.6269549611144357E-2</v>
      </c>
      <c r="E364" s="16">
        <v>0.02</v>
      </c>
      <c r="F364" s="15">
        <v>8.75</v>
      </c>
    </row>
    <row r="365" spans="1:6" x14ac:dyDescent="0.35">
      <c r="A365" s="60">
        <v>32509</v>
      </c>
      <c r="B365" s="58">
        <f>VLOOKUP(Table534567910[[#This Row],[Date]],Database!A:E,MATCH($A$1,Database!$A$1:$E$1,),)</f>
        <v>61.521999999999998</v>
      </c>
      <c r="C365" s="9">
        <f t="shared" si="5"/>
        <v>5.0643664640919288E-3</v>
      </c>
      <c r="D365" s="7">
        <f>(Table534567910[[#This Row],[Value]]-B353)/B353</f>
        <v>4.6630714006226495E-2</v>
      </c>
      <c r="E365" s="16">
        <v>0.02</v>
      </c>
      <c r="F365" s="15">
        <v>8.75</v>
      </c>
    </row>
    <row r="366" spans="1:6" x14ac:dyDescent="0.35">
      <c r="A366" s="60">
        <v>32540</v>
      </c>
      <c r="B366" s="58">
        <f>VLOOKUP(Table534567910[[#This Row],[Date]],Database!A:E,MATCH($A$1,Database!$A$1:$E$1,),)</f>
        <v>61.677999999999997</v>
      </c>
      <c r="C366" s="9">
        <f t="shared" si="5"/>
        <v>2.5356782939436107E-3</v>
      </c>
      <c r="D366" s="7">
        <f>(Table534567910[[#This Row],[Value]]-B354)/B354</f>
        <v>4.7129129740925542E-2</v>
      </c>
      <c r="E366" s="16">
        <v>0.02</v>
      </c>
      <c r="F366" s="15">
        <v>9.75</v>
      </c>
    </row>
    <row r="367" spans="1:6" x14ac:dyDescent="0.35">
      <c r="A367" s="60">
        <v>32568</v>
      </c>
      <c r="B367" s="58">
        <f>VLOOKUP(Table534567910[[#This Row],[Date]],Database!A:E,MATCH($A$1,Database!$A$1:$E$1,),)</f>
        <v>61.863</v>
      </c>
      <c r="C367" s="9">
        <f t="shared" si="5"/>
        <v>2.9994487499595038E-3</v>
      </c>
      <c r="D367" s="7">
        <f>(Table534567910[[#This Row],[Value]]-B355)/B355</f>
        <v>4.5795719647022955E-2</v>
      </c>
      <c r="E367" s="16">
        <v>0.02</v>
      </c>
      <c r="F367" s="15">
        <v>9.75</v>
      </c>
    </row>
    <row r="368" spans="1:6" x14ac:dyDescent="0.35">
      <c r="A368" s="60">
        <v>32599</v>
      </c>
      <c r="B368" s="58">
        <f>VLOOKUP(Table534567910[[#This Row],[Date]],Database!A:E,MATCH($A$1,Database!$A$1:$E$1,),)</f>
        <v>62.07</v>
      </c>
      <c r="C368" s="9">
        <f t="shared" si="5"/>
        <v>3.3461034867368336E-3</v>
      </c>
      <c r="D368" s="7">
        <f>(Table534567910[[#This Row],[Value]]-B356)/B356</f>
        <v>4.4228731010581883E-2</v>
      </c>
      <c r="E368" s="16">
        <v>0.02</v>
      </c>
      <c r="F368" s="15">
        <v>9.75</v>
      </c>
    </row>
    <row r="369" spans="1:6" x14ac:dyDescent="0.35">
      <c r="A369" s="60">
        <v>32629</v>
      </c>
      <c r="B369" s="58">
        <f>VLOOKUP(Table534567910[[#This Row],[Date]],Database!A:E,MATCH($A$1,Database!$A$1:$E$1,),)</f>
        <v>62.256</v>
      </c>
      <c r="C369" s="9">
        <f t="shared" si="5"/>
        <v>2.996616723054615E-3</v>
      </c>
      <c r="D369" s="7">
        <f>(Table534567910[[#This Row],[Value]]-B357)/B357</f>
        <v>4.3793172825430923E-2</v>
      </c>
      <c r="E369" s="16">
        <v>0.02</v>
      </c>
      <c r="F369" s="15">
        <v>9.75</v>
      </c>
    </row>
    <row r="370" spans="1:6" x14ac:dyDescent="0.35">
      <c r="A370" s="60">
        <v>32660</v>
      </c>
      <c r="B370" s="58">
        <f>VLOOKUP(Table534567910[[#This Row],[Date]],Database!A:E,MATCH($A$1,Database!$A$1:$E$1,),)</f>
        <v>62.42</v>
      </c>
      <c r="C370" s="9">
        <f t="shared" si="5"/>
        <v>2.6342842456952178E-3</v>
      </c>
      <c r="D370" s="7">
        <f>(Table534567910[[#This Row],[Value]]-B358)/B358</f>
        <v>4.2139708828636317E-2</v>
      </c>
      <c r="E370" s="16">
        <v>0.02</v>
      </c>
      <c r="F370" s="15">
        <v>9.6300000000000008</v>
      </c>
    </row>
    <row r="371" spans="1:6" x14ac:dyDescent="0.35">
      <c r="A371" s="60">
        <v>32690</v>
      </c>
      <c r="B371" s="58">
        <f>VLOOKUP(Table534567910[[#This Row],[Date]],Database!A:E,MATCH($A$1,Database!$A$1:$E$1,),)</f>
        <v>62.581000000000003</v>
      </c>
      <c r="C371" s="9">
        <f t="shared" si="5"/>
        <v>2.5793015059276093E-3</v>
      </c>
      <c r="D371" s="7">
        <f>(Table534567910[[#This Row],[Value]]-B359)/B359</f>
        <v>4.0588626538077863E-2</v>
      </c>
      <c r="E371" s="16">
        <v>0.02</v>
      </c>
      <c r="F371" s="15">
        <v>9</v>
      </c>
    </row>
    <row r="372" spans="1:6" x14ac:dyDescent="0.35">
      <c r="A372" s="60">
        <v>32721</v>
      </c>
      <c r="B372" s="58">
        <f>VLOOKUP(Table534567910[[#This Row],[Date]],Database!A:E,MATCH($A$1,Database!$A$1:$E$1,),)</f>
        <v>62.668999999999997</v>
      </c>
      <c r="C372" s="9">
        <f t="shared" si="5"/>
        <v>1.4061775938382873E-3</v>
      </c>
      <c r="D372" s="7">
        <f>(Table534567910[[#This Row],[Value]]-B360)/B360</f>
        <v>3.9476521421818164E-2</v>
      </c>
      <c r="E372" s="16">
        <v>0.02</v>
      </c>
      <c r="F372" s="15">
        <v>9</v>
      </c>
    </row>
    <row r="373" spans="1:6" x14ac:dyDescent="0.35">
      <c r="A373" s="60">
        <v>32752</v>
      </c>
      <c r="B373" s="58">
        <f>VLOOKUP(Table534567910[[#This Row],[Date]],Database!A:E,MATCH($A$1,Database!$A$1:$E$1,),)</f>
        <v>62.886000000000003</v>
      </c>
      <c r="C373" s="9">
        <f t="shared" si="5"/>
        <v>3.4626370294724004E-3</v>
      </c>
      <c r="D373" s="7">
        <f>(Table534567910[[#This Row],[Value]]-B361)/B361</f>
        <v>3.7500206226387132E-2</v>
      </c>
      <c r="E373" s="16">
        <v>0.02</v>
      </c>
      <c r="F373" s="15">
        <v>9</v>
      </c>
    </row>
    <row r="374" spans="1:6" x14ac:dyDescent="0.35">
      <c r="A374" s="60">
        <v>32782</v>
      </c>
      <c r="B374" s="58">
        <f>VLOOKUP(Table534567910[[#This Row],[Date]],Database!A:E,MATCH($A$1,Database!$A$1:$E$1,),)</f>
        <v>63.113999999999997</v>
      </c>
      <c r="C374" s="9">
        <f t="shared" si="5"/>
        <v>3.6256082434881279E-3</v>
      </c>
      <c r="D374" s="7">
        <f>(Table534567910[[#This Row],[Value]]-B362)/B362</f>
        <v>3.7325575661949502E-2</v>
      </c>
      <c r="E374" s="16">
        <v>0.02</v>
      </c>
      <c r="F374" s="15">
        <v>8.5</v>
      </c>
    </row>
    <row r="375" spans="1:6" x14ac:dyDescent="0.35">
      <c r="A375" s="60">
        <v>32813</v>
      </c>
      <c r="B375" s="58">
        <f>VLOOKUP(Table534567910[[#This Row],[Date]],Database!A:E,MATCH($A$1,Database!$A$1:$E$1,),)</f>
        <v>63.281999999999996</v>
      </c>
      <c r="C375" s="9">
        <f t="shared" si="5"/>
        <v>2.6618499857400777E-3</v>
      </c>
      <c r="D375" s="7">
        <f>(Table534567910[[#This Row],[Value]]-B363)/B363</f>
        <v>3.7239796754630364E-2</v>
      </c>
      <c r="E375" s="16">
        <v>0.02</v>
      </c>
      <c r="F375" s="15">
        <v>8.5</v>
      </c>
    </row>
    <row r="376" spans="1:6" x14ac:dyDescent="0.35">
      <c r="A376" s="60">
        <v>32843</v>
      </c>
      <c r="B376" s="58">
        <f>VLOOKUP(Table534567910[[#This Row],[Date]],Database!A:E,MATCH($A$1,Database!$A$1:$E$1,),)</f>
        <v>63.462000000000003</v>
      </c>
      <c r="C376" s="9">
        <f t="shared" si="5"/>
        <v>2.8444107329099401E-3</v>
      </c>
      <c r="D376" s="7">
        <f>(Table534567910[[#This Row],[Value]]-B364)/B364</f>
        <v>3.6757498529700054E-2</v>
      </c>
      <c r="E376" s="16">
        <v>0.02</v>
      </c>
      <c r="F376" s="15">
        <v>8.25</v>
      </c>
    </row>
    <row r="377" spans="1:6" x14ac:dyDescent="0.35">
      <c r="A377" s="60">
        <v>32874</v>
      </c>
      <c r="B377" s="58">
        <f>VLOOKUP(Table534567910[[#This Row],[Date]],Database!A:E,MATCH($A$1,Database!$A$1:$E$1,),)</f>
        <v>63.706000000000003</v>
      </c>
      <c r="C377" s="9">
        <f t="shared" si="5"/>
        <v>3.8448205225174083E-3</v>
      </c>
      <c r="D377" s="7">
        <f>(Table534567910[[#This Row],[Value]]-B365)/B365</f>
        <v>3.5499496115210895E-2</v>
      </c>
      <c r="E377" s="16">
        <v>0.02</v>
      </c>
      <c r="F377" s="15">
        <v>8.25</v>
      </c>
    </row>
    <row r="378" spans="1:6" x14ac:dyDescent="0.35">
      <c r="A378" s="60">
        <v>32905</v>
      </c>
      <c r="B378" s="58">
        <f>VLOOKUP(Table534567910[[#This Row],[Date]],Database!A:E,MATCH($A$1,Database!$A$1:$E$1,),)</f>
        <v>64.016000000000005</v>
      </c>
      <c r="C378" s="9">
        <f t="shared" si="5"/>
        <v>4.8661036637051812E-3</v>
      </c>
      <c r="D378" s="7">
        <f>(Table534567910[[#This Row],[Value]]-B366)/B366</f>
        <v>3.7906546904893285E-2</v>
      </c>
      <c r="E378" s="16">
        <v>0.02</v>
      </c>
      <c r="F378" s="15">
        <v>8.25</v>
      </c>
    </row>
    <row r="379" spans="1:6" x14ac:dyDescent="0.35">
      <c r="A379" s="60">
        <v>32933</v>
      </c>
      <c r="B379" s="58">
        <f>VLOOKUP(Table534567910[[#This Row],[Date]],Database!A:E,MATCH($A$1,Database!$A$1:$E$1,),)</f>
        <v>64.322999999999993</v>
      </c>
      <c r="C379" s="9">
        <f t="shared" si="5"/>
        <v>4.7956760809795664E-3</v>
      </c>
      <c r="D379" s="7">
        <f>(Table534567910[[#This Row],[Value]]-B367)/B367</f>
        <v>3.9765287813394015E-2</v>
      </c>
      <c r="E379" s="16">
        <v>0.02</v>
      </c>
      <c r="F379" s="15">
        <v>8.25</v>
      </c>
    </row>
    <row r="380" spans="1:6" x14ac:dyDescent="0.35">
      <c r="A380" s="60">
        <v>32964</v>
      </c>
      <c r="B380" s="58">
        <f>VLOOKUP(Table534567910[[#This Row],[Date]],Database!A:E,MATCH($A$1,Database!$A$1:$E$1,),)</f>
        <v>64.515000000000001</v>
      </c>
      <c r="C380" s="9">
        <f t="shared" si="5"/>
        <v>2.9849354041323836E-3</v>
      </c>
      <c r="D380" s="7">
        <f>(Table534567910[[#This Row],[Value]]-B368)/B368</f>
        <v>3.9391010149830839E-2</v>
      </c>
      <c r="E380" s="16">
        <v>0.02</v>
      </c>
      <c r="F380" s="15">
        <v>8.25</v>
      </c>
    </row>
    <row r="381" spans="1:6" x14ac:dyDescent="0.35">
      <c r="A381" s="60">
        <v>32994</v>
      </c>
      <c r="B381" s="58">
        <f>VLOOKUP(Table534567910[[#This Row],[Date]],Database!A:E,MATCH($A$1,Database!$A$1:$E$1,),)</f>
        <v>64.712000000000003</v>
      </c>
      <c r="C381" s="9">
        <f t="shared" si="5"/>
        <v>3.0535534371851931E-3</v>
      </c>
      <c r="D381" s="7">
        <f>(Table534567910[[#This Row],[Value]]-B369)/B369</f>
        <v>3.9450012850167103E-2</v>
      </c>
      <c r="E381" s="16">
        <v>0.02</v>
      </c>
      <c r="F381" s="15">
        <v>8.25</v>
      </c>
    </row>
    <row r="382" spans="1:6" x14ac:dyDescent="0.35">
      <c r="A382" s="60">
        <v>33025</v>
      </c>
      <c r="B382" s="58">
        <f>VLOOKUP(Table534567910[[#This Row],[Date]],Database!A:E,MATCH($A$1,Database!$A$1:$E$1,),)</f>
        <v>64.962999999999994</v>
      </c>
      <c r="C382" s="9">
        <f t="shared" si="5"/>
        <v>3.8787241933488465E-3</v>
      </c>
      <c r="D382" s="7">
        <f>(Table534567910[[#This Row],[Value]]-B370)/B370</f>
        <v>4.0740147388657354E-2</v>
      </c>
      <c r="E382" s="16">
        <v>0.02</v>
      </c>
      <c r="F382" s="15">
        <v>8.25</v>
      </c>
    </row>
    <row r="383" spans="1:6" x14ac:dyDescent="0.35">
      <c r="A383" s="60">
        <v>33055</v>
      </c>
      <c r="B383" s="58">
        <f>VLOOKUP(Table534567910[[#This Row],[Date]],Database!A:E,MATCH($A$1,Database!$A$1:$E$1,),)</f>
        <v>65.128</v>
      </c>
      <c r="C383" s="9">
        <f t="shared" si="5"/>
        <v>2.5399073318659276E-3</v>
      </c>
      <c r="D383" s="7">
        <f>(Table534567910[[#This Row],[Value]]-B371)/B371</f>
        <v>4.0699253767117763E-2</v>
      </c>
      <c r="E383" s="16">
        <v>0.02</v>
      </c>
      <c r="F383" s="15">
        <v>8</v>
      </c>
    </row>
    <row r="384" spans="1:6" x14ac:dyDescent="0.35">
      <c r="A384" s="60">
        <v>33086</v>
      </c>
      <c r="B384" s="58">
        <f>VLOOKUP(Table534567910[[#This Row],[Date]],Database!A:E,MATCH($A$1,Database!$A$1:$E$1,),)</f>
        <v>65.397999999999996</v>
      </c>
      <c r="C384" s="9">
        <f t="shared" si="5"/>
        <v>4.1456823486057609E-3</v>
      </c>
      <c r="D384" s="7">
        <f>(Table534567910[[#This Row],[Value]]-B372)/B372</f>
        <v>4.3546250937465086E-2</v>
      </c>
      <c r="E384" s="16">
        <v>0.02</v>
      </c>
      <c r="F384" s="15">
        <v>8</v>
      </c>
    </row>
    <row r="385" spans="1:6" x14ac:dyDescent="0.35">
      <c r="A385" s="60">
        <v>33117</v>
      </c>
      <c r="B385" s="58">
        <f>VLOOKUP(Table534567910[[#This Row],[Date]],Database!A:E,MATCH($A$1,Database!$A$1:$E$1,),)</f>
        <v>65.626999999999995</v>
      </c>
      <c r="C385" s="9">
        <f t="shared" si="5"/>
        <v>3.5016361356616289E-3</v>
      </c>
      <c r="D385" s="7">
        <f>(Table534567910[[#This Row],[Value]]-B373)/B373</f>
        <v>4.3586807874566556E-2</v>
      </c>
      <c r="E385" s="16">
        <v>0.02</v>
      </c>
      <c r="F385" s="15">
        <v>8</v>
      </c>
    </row>
    <row r="386" spans="1:6" x14ac:dyDescent="0.35">
      <c r="A386" s="60">
        <v>33147</v>
      </c>
      <c r="B386" s="58">
        <f>VLOOKUP(Table534567910[[#This Row],[Date]],Database!A:E,MATCH($A$1,Database!$A$1:$E$1,),)</f>
        <v>65.849999999999994</v>
      </c>
      <c r="C386" s="9">
        <f t="shared" si="5"/>
        <v>3.3979916802535388E-3</v>
      </c>
      <c r="D386" s="7">
        <f>(Table534567910[[#This Row],[Value]]-B374)/B374</f>
        <v>4.3350128339195694E-2</v>
      </c>
      <c r="E386" s="16">
        <v>0.02</v>
      </c>
      <c r="F386" s="15">
        <v>7.75</v>
      </c>
    </row>
    <row r="387" spans="1:6" x14ac:dyDescent="0.35">
      <c r="A387" s="60">
        <v>33178</v>
      </c>
      <c r="B387" s="58">
        <f>VLOOKUP(Table534567910[[#This Row],[Date]],Database!A:E,MATCH($A$1,Database!$A$1:$E$1,),)</f>
        <v>65.929000000000002</v>
      </c>
      <c r="C387" s="9">
        <f t="shared" si="5"/>
        <v>1.1996962794230484E-3</v>
      </c>
      <c r="D387" s="7">
        <f>(Table534567910[[#This Row],[Value]]-B375)/B375</f>
        <v>4.1828640055624124E-2</v>
      </c>
      <c r="E387" s="16">
        <v>0.02</v>
      </c>
      <c r="F387" s="15">
        <v>7.5</v>
      </c>
    </row>
    <row r="388" spans="1:6" x14ac:dyDescent="0.35">
      <c r="A388" s="60">
        <v>33208</v>
      </c>
      <c r="B388" s="58">
        <f>VLOOKUP(Table534567910[[#This Row],[Date]],Database!A:E,MATCH($A$1,Database!$A$1:$E$1,),)</f>
        <v>66.021000000000001</v>
      </c>
      <c r="C388" s="9">
        <f t="shared" si="5"/>
        <v>1.3954405496822149E-3</v>
      </c>
      <c r="D388" s="7">
        <f>(Table534567910[[#This Row],[Value]]-B376)/B376</f>
        <v>4.0323343102959208E-2</v>
      </c>
      <c r="E388" s="16">
        <v>0.02</v>
      </c>
      <c r="F388" s="15">
        <v>7</v>
      </c>
    </row>
    <row r="389" spans="1:6" x14ac:dyDescent="0.35">
      <c r="A389" s="60">
        <v>33239</v>
      </c>
      <c r="B389" s="58">
        <f>VLOOKUP(Table534567910[[#This Row],[Date]],Database!A:E,MATCH($A$1,Database!$A$1:$E$1,),)</f>
        <v>66.349999999999994</v>
      </c>
      <c r="C389" s="9">
        <f t="shared" si="5"/>
        <v>4.9832629011980056E-3</v>
      </c>
      <c r="D389" s="7">
        <f>(Table534567910[[#This Row],[Value]]-B377)/B377</f>
        <v>4.1503155118826976E-2</v>
      </c>
      <c r="E389" s="16">
        <v>0.02</v>
      </c>
      <c r="F389" s="15">
        <v>6.75</v>
      </c>
    </row>
    <row r="390" spans="1:6" x14ac:dyDescent="0.35">
      <c r="A390" s="60">
        <v>33270</v>
      </c>
      <c r="B390" s="58">
        <f>VLOOKUP(Table534567910[[#This Row],[Date]],Database!A:E,MATCH($A$1,Database!$A$1:$E$1,),)</f>
        <v>66.533000000000001</v>
      </c>
      <c r="C390" s="9">
        <f t="shared" ref="C390:C453" si="6">(B390-B389)/B389</f>
        <v>2.7581009796534581E-3</v>
      </c>
      <c r="D390" s="7">
        <f>(Table534567910[[#This Row],[Value]]-B378)/B378</f>
        <v>3.9318295426143395E-2</v>
      </c>
      <c r="E390" s="16">
        <v>0.02</v>
      </c>
      <c r="F390" s="15">
        <v>6.25</v>
      </c>
    </row>
    <row r="391" spans="1:6" x14ac:dyDescent="0.35">
      <c r="A391" s="60">
        <v>33298</v>
      </c>
      <c r="B391" s="58">
        <f>VLOOKUP(Table534567910[[#This Row],[Date]],Database!A:E,MATCH($A$1,Database!$A$1:$E$1,),)</f>
        <v>66.671999999999997</v>
      </c>
      <c r="C391" s="9">
        <f t="shared" si="6"/>
        <v>2.0891888235912374E-3</v>
      </c>
      <c r="D391" s="7">
        <f>(Table534567910[[#This Row],[Value]]-B379)/B379</f>
        <v>3.6518819084930799E-2</v>
      </c>
      <c r="E391" s="16">
        <v>0.02</v>
      </c>
      <c r="F391" s="15">
        <v>6</v>
      </c>
    </row>
    <row r="392" spans="1:6" x14ac:dyDescent="0.35">
      <c r="A392" s="60">
        <v>33329</v>
      </c>
      <c r="B392" s="58">
        <f>VLOOKUP(Table534567910[[#This Row],[Date]],Database!A:E,MATCH($A$1,Database!$A$1:$E$1,),)</f>
        <v>66.805000000000007</v>
      </c>
      <c r="C392" s="9">
        <f t="shared" si="6"/>
        <v>1.9948404127671255E-3</v>
      </c>
      <c r="D392" s="7">
        <f>(Table534567910[[#This Row],[Value]]-B380)/B380</f>
        <v>3.5495621173370628E-2</v>
      </c>
      <c r="E392" s="16">
        <v>0.02</v>
      </c>
      <c r="F392" s="15">
        <v>5.75</v>
      </c>
    </row>
    <row r="393" spans="1:6" x14ac:dyDescent="0.35">
      <c r="A393" s="60">
        <v>33359</v>
      </c>
      <c r="B393" s="58">
        <f>VLOOKUP(Table534567910[[#This Row],[Date]],Database!A:E,MATCH($A$1,Database!$A$1:$E$1,),)</f>
        <v>67.072000000000003</v>
      </c>
      <c r="C393" s="9">
        <f t="shared" si="6"/>
        <v>3.9967068333207978E-3</v>
      </c>
      <c r="D393" s="7">
        <f>(Table534567910[[#This Row],[Value]]-B381)/B381</f>
        <v>3.6469279268141912E-2</v>
      </c>
      <c r="E393" s="16">
        <v>0.02</v>
      </c>
      <c r="F393" s="15">
        <v>5.75</v>
      </c>
    </row>
    <row r="394" spans="1:6" x14ac:dyDescent="0.35">
      <c r="A394" s="60">
        <v>33390</v>
      </c>
      <c r="B394" s="58">
        <f>VLOOKUP(Table534567910[[#This Row],[Date]],Database!A:E,MATCH($A$1,Database!$A$1:$E$1,),)</f>
        <v>67.215999999999994</v>
      </c>
      <c r="C394" s="9">
        <f t="shared" si="6"/>
        <v>2.1469465648853658E-3</v>
      </c>
      <c r="D394" s="7">
        <f>(Table534567910[[#This Row],[Value]]-B382)/B382</f>
        <v>3.4681280113295264E-2</v>
      </c>
      <c r="E394" s="16">
        <v>0.02</v>
      </c>
      <c r="F394" s="15">
        <v>5.75</v>
      </c>
    </row>
    <row r="395" spans="1:6" x14ac:dyDescent="0.35">
      <c r="A395" s="60">
        <v>33420</v>
      </c>
      <c r="B395" s="58">
        <f>VLOOKUP(Table534567910[[#This Row],[Date]],Database!A:E,MATCH($A$1,Database!$A$1:$E$1,),)</f>
        <v>67.421000000000006</v>
      </c>
      <c r="C395" s="9">
        <f t="shared" si="6"/>
        <v>3.0498690787909505E-3</v>
      </c>
      <c r="D395" s="7">
        <f>(Table534567910[[#This Row],[Value]]-B383)/B383</f>
        <v>3.5207591205011768E-2</v>
      </c>
      <c r="E395" s="16">
        <v>0.02</v>
      </c>
      <c r="F395" s="15">
        <v>5.75</v>
      </c>
    </row>
    <row r="396" spans="1:6" x14ac:dyDescent="0.35">
      <c r="A396" s="60">
        <v>33451</v>
      </c>
      <c r="B396" s="58">
        <f>VLOOKUP(Table534567910[[#This Row],[Date]],Database!A:E,MATCH($A$1,Database!$A$1:$E$1,),)</f>
        <v>67.605999999999995</v>
      </c>
      <c r="C396" s="9">
        <f t="shared" si="6"/>
        <v>2.7439521810710024E-3</v>
      </c>
      <c r="D396" s="7">
        <f>(Table534567910[[#This Row],[Value]]-B384)/B384</f>
        <v>3.3762500382274664E-2</v>
      </c>
      <c r="E396" s="16">
        <v>0.02</v>
      </c>
      <c r="F396" s="15">
        <v>5.5</v>
      </c>
    </row>
    <row r="397" spans="1:6" x14ac:dyDescent="0.35">
      <c r="A397" s="60">
        <v>33482</v>
      </c>
      <c r="B397" s="58">
        <f>VLOOKUP(Table534567910[[#This Row],[Date]],Database!A:E,MATCH($A$1,Database!$A$1:$E$1,),)</f>
        <v>67.876999999999995</v>
      </c>
      <c r="C397" s="9">
        <f t="shared" si="6"/>
        <v>4.0085199538502621E-3</v>
      </c>
      <c r="D397" s="7">
        <f>(Table534567910[[#This Row],[Value]]-B385)/B385</f>
        <v>3.4284669419598644E-2</v>
      </c>
      <c r="E397" s="16">
        <v>0.02</v>
      </c>
      <c r="F397" s="15">
        <v>5.25</v>
      </c>
    </row>
    <row r="398" spans="1:6" x14ac:dyDescent="0.35">
      <c r="A398" s="60">
        <v>33512</v>
      </c>
      <c r="B398" s="58">
        <f>VLOOKUP(Table534567910[[#This Row],[Date]],Database!A:E,MATCH($A$1,Database!$A$1:$E$1,),)</f>
        <v>68.025999999999996</v>
      </c>
      <c r="C398" s="9">
        <f t="shared" si="6"/>
        <v>2.195147104321065E-3</v>
      </c>
      <c r="D398" s="7">
        <f>(Table534567910[[#This Row],[Value]]-B386)/B386</f>
        <v>3.3044798785117721E-2</v>
      </c>
      <c r="E398" s="16">
        <v>0.02</v>
      </c>
      <c r="F398" s="15">
        <v>5</v>
      </c>
    </row>
    <row r="399" spans="1:6" x14ac:dyDescent="0.35">
      <c r="A399" s="60">
        <v>33543</v>
      </c>
      <c r="B399" s="58">
        <f>VLOOKUP(Table534567910[[#This Row],[Date]],Database!A:E,MATCH($A$1,Database!$A$1:$E$1,),)</f>
        <v>68.153000000000006</v>
      </c>
      <c r="C399" s="9">
        <f t="shared" si="6"/>
        <v>1.8669332314116597E-3</v>
      </c>
      <c r="D399" s="7">
        <f>(Table534567910[[#This Row],[Value]]-B387)/B387</f>
        <v>3.3733258505361886E-2</v>
      </c>
      <c r="E399" s="16">
        <v>0.02</v>
      </c>
      <c r="F399" s="15">
        <v>4.75</v>
      </c>
    </row>
    <row r="400" spans="1:6" x14ac:dyDescent="0.35">
      <c r="A400" s="60">
        <v>33573</v>
      </c>
      <c r="B400" s="58">
        <f>VLOOKUP(Table534567910[[#This Row],[Date]],Database!A:E,MATCH($A$1,Database!$A$1:$E$1,),)</f>
        <v>68.320999999999998</v>
      </c>
      <c r="C400" s="9">
        <f t="shared" si="6"/>
        <v>2.4650418910391642E-3</v>
      </c>
      <c r="D400" s="7">
        <f>(Table534567910[[#This Row],[Value]]-B388)/B388</f>
        <v>3.4837400221141714E-2</v>
      </c>
      <c r="E400" s="16">
        <v>0.02</v>
      </c>
      <c r="F400" s="15">
        <v>4</v>
      </c>
    </row>
    <row r="401" spans="1:6" x14ac:dyDescent="0.35">
      <c r="A401" s="60">
        <v>33604</v>
      </c>
      <c r="B401" s="58">
        <f>VLOOKUP(Table534567910[[#This Row],[Date]],Database!A:E,MATCH($A$1,Database!$A$1:$E$1,),)</f>
        <v>68.507000000000005</v>
      </c>
      <c r="C401" s="9">
        <f t="shared" si="6"/>
        <v>2.7224425871987682E-3</v>
      </c>
      <c r="D401" s="7">
        <f>(Table534567910[[#This Row],[Value]]-B389)/B389</f>
        <v>3.250941974378313E-2</v>
      </c>
      <c r="E401" s="16">
        <v>0.02</v>
      </c>
      <c r="F401" s="15">
        <v>4</v>
      </c>
    </row>
    <row r="402" spans="1:6" x14ac:dyDescent="0.35">
      <c r="A402" s="60">
        <v>33635</v>
      </c>
      <c r="B402" s="58">
        <f>VLOOKUP(Table534567910[[#This Row],[Date]],Database!A:E,MATCH($A$1,Database!$A$1:$E$1,),)</f>
        <v>68.692999999999998</v>
      </c>
      <c r="C402" s="9">
        <f t="shared" si="6"/>
        <v>2.7150510166843215E-3</v>
      </c>
      <c r="D402" s="7">
        <f>(Table534567910[[#This Row],[Value]]-B390)/B390</f>
        <v>3.2465092510483469E-2</v>
      </c>
      <c r="E402" s="16">
        <v>0.02</v>
      </c>
      <c r="F402" s="15">
        <v>4</v>
      </c>
    </row>
    <row r="403" spans="1:6" x14ac:dyDescent="0.35">
      <c r="A403" s="60">
        <v>33664</v>
      </c>
      <c r="B403" s="58">
        <f>VLOOKUP(Table534567910[[#This Row],[Date]],Database!A:E,MATCH($A$1,Database!$A$1:$E$1,),)</f>
        <v>68.864999999999995</v>
      </c>
      <c r="C403" s="9">
        <f t="shared" si="6"/>
        <v>2.5038941376850196E-3</v>
      </c>
      <c r="D403" s="7">
        <f>(Table534567910[[#This Row],[Value]]-B391)/B391</f>
        <v>3.2892368610511126E-2</v>
      </c>
      <c r="E403" s="16">
        <v>0.02</v>
      </c>
      <c r="F403" s="15">
        <v>4</v>
      </c>
    </row>
    <row r="404" spans="1:6" x14ac:dyDescent="0.35">
      <c r="A404" s="60">
        <v>33695</v>
      </c>
      <c r="B404" s="58">
        <f>VLOOKUP(Table534567910[[#This Row],[Date]],Database!A:E,MATCH($A$1,Database!$A$1:$E$1,),)</f>
        <v>69.090999999999994</v>
      </c>
      <c r="C404" s="9">
        <f t="shared" si="6"/>
        <v>3.2817831990125477E-3</v>
      </c>
      <c r="D404" s="7">
        <f>(Table534567910[[#This Row],[Value]]-B392)/B392</f>
        <v>3.4218995584162665E-2</v>
      </c>
      <c r="E404" s="16">
        <v>0.02</v>
      </c>
      <c r="F404" s="15">
        <v>3.75</v>
      </c>
    </row>
    <row r="405" spans="1:6" x14ac:dyDescent="0.35">
      <c r="A405" s="60">
        <v>33725</v>
      </c>
      <c r="B405" s="58">
        <f>VLOOKUP(Table534567910[[#This Row],[Date]],Database!A:E,MATCH($A$1,Database!$A$1:$E$1,),)</f>
        <v>69.188000000000002</v>
      </c>
      <c r="C405" s="9">
        <f t="shared" si="6"/>
        <v>1.4039455211244361E-3</v>
      </c>
      <c r="D405" s="7">
        <f>(Table534567910[[#This Row],[Value]]-B393)/B393</f>
        <v>3.1548187022900756E-2</v>
      </c>
      <c r="E405" s="16">
        <v>0.02</v>
      </c>
      <c r="F405" s="15">
        <v>3.75</v>
      </c>
    </row>
    <row r="406" spans="1:6" x14ac:dyDescent="0.35">
      <c r="A406" s="60">
        <v>33756</v>
      </c>
      <c r="B406" s="58">
        <f>VLOOKUP(Table534567910[[#This Row],[Date]],Database!A:E,MATCH($A$1,Database!$A$1:$E$1,),)</f>
        <v>69.242000000000004</v>
      </c>
      <c r="C406" s="9">
        <f t="shared" si="6"/>
        <v>7.8048216453723257E-4</v>
      </c>
      <c r="D406" s="7">
        <f>(Table534567910[[#This Row],[Value]]-B394)/B394</f>
        <v>3.0141632944537172E-2</v>
      </c>
      <c r="E406" s="16">
        <v>0.02</v>
      </c>
      <c r="F406" s="15">
        <v>3.75</v>
      </c>
    </row>
    <row r="407" spans="1:6" x14ac:dyDescent="0.35">
      <c r="A407" s="60">
        <v>33786</v>
      </c>
      <c r="B407" s="58">
        <f>VLOOKUP(Table534567910[[#This Row],[Date]],Database!A:E,MATCH($A$1,Database!$A$1:$E$1,),)</f>
        <v>69.503</v>
      </c>
      <c r="C407" s="9">
        <f t="shared" si="6"/>
        <v>3.7693885214175739E-3</v>
      </c>
      <c r="D407" s="7">
        <f>(Table534567910[[#This Row],[Value]]-B395)/B395</f>
        <v>3.0880586167514476E-2</v>
      </c>
      <c r="E407" s="16">
        <v>0.02</v>
      </c>
      <c r="F407" s="15">
        <v>3.25</v>
      </c>
    </row>
    <row r="408" spans="1:6" x14ac:dyDescent="0.35">
      <c r="A408" s="60">
        <v>33817</v>
      </c>
      <c r="B408" s="58">
        <f>VLOOKUP(Table534567910[[#This Row],[Date]],Database!A:E,MATCH($A$1,Database!$A$1:$E$1,),)</f>
        <v>69.566999999999993</v>
      </c>
      <c r="C408" s="9">
        <f t="shared" si="6"/>
        <v>9.2082356157278033E-4</v>
      </c>
      <c r="D408" s="7">
        <f>(Table534567910[[#This Row],[Value]]-B396)/B396</f>
        <v>2.9006301215868394E-2</v>
      </c>
      <c r="E408" s="16">
        <v>0.02</v>
      </c>
      <c r="F408" s="15">
        <v>3.25</v>
      </c>
    </row>
    <row r="409" spans="1:6" x14ac:dyDescent="0.35">
      <c r="A409" s="60">
        <v>33848</v>
      </c>
      <c r="B409" s="58">
        <f>VLOOKUP(Table534567910[[#This Row],[Date]],Database!A:E,MATCH($A$1,Database!$A$1:$E$1,),)</f>
        <v>69.680000000000007</v>
      </c>
      <c r="C409" s="9">
        <f t="shared" si="6"/>
        <v>1.6243333764574262E-3</v>
      </c>
      <c r="D409" s="7">
        <f>(Table534567910[[#This Row],[Value]]-B397)/B397</f>
        <v>2.6562753215375039E-2</v>
      </c>
      <c r="E409" s="16">
        <v>0.02</v>
      </c>
      <c r="F409" s="15">
        <v>3</v>
      </c>
    </row>
    <row r="410" spans="1:6" x14ac:dyDescent="0.35">
      <c r="A410" s="60">
        <v>33878</v>
      </c>
      <c r="B410" s="58">
        <f>VLOOKUP(Table534567910[[#This Row],[Date]],Database!A:E,MATCH($A$1,Database!$A$1:$E$1,),)</f>
        <v>69.947999999999993</v>
      </c>
      <c r="C410" s="9">
        <f t="shared" si="6"/>
        <v>3.8461538461536516E-3</v>
      </c>
      <c r="D410" s="7">
        <f>(Table534567910[[#This Row],[Value]]-B398)/B398</f>
        <v>2.8253902919471923E-2</v>
      </c>
      <c r="E410" s="16">
        <v>0.02</v>
      </c>
      <c r="F410" s="15">
        <v>3</v>
      </c>
    </row>
    <row r="411" spans="1:6" x14ac:dyDescent="0.35">
      <c r="A411" s="60">
        <v>33909</v>
      </c>
      <c r="B411" s="58">
        <f>VLOOKUP(Table534567910[[#This Row],[Date]],Database!A:E,MATCH($A$1,Database!$A$1:$E$1,),)</f>
        <v>70.100999999999999</v>
      </c>
      <c r="C411" s="9">
        <f t="shared" si="6"/>
        <v>2.1873391662378598E-3</v>
      </c>
      <c r="D411" s="7">
        <f>(Table534567910[[#This Row],[Value]]-B399)/B399</f>
        <v>2.8582747641336306E-2</v>
      </c>
      <c r="E411" s="16">
        <v>0.02</v>
      </c>
      <c r="F411" s="15">
        <v>3</v>
      </c>
    </row>
    <row r="412" spans="1:6" x14ac:dyDescent="0.35">
      <c r="A412" s="60">
        <v>33939</v>
      </c>
      <c r="B412" s="58">
        <f>VLOOKUP(Table534567910[[#This Row],[Date]],Database!A:E,MATCH($A$1,Database!$A$1:$E$1,),)</f>
        <v>70.230999999999995</v>
      </c>
      <c r="C412" s="9">
        <f t="shared" si="6"/>
        <v>1.8544671260038437E-3</v>
      </c>
      <c r="D412" s="7">
        <f>(Table534567910[[#This Row],[Value]]-B400)/B400</f>
        <v>2.7956265277147535E-2</v>
      </c>
      <c r="E412" s="16">
        <v>0.02</v>
      </c>
      <c r="F412" s="15">
        <v>3</v>
      </c>
    </row>
    <row r="413" spans="1:6" x14ac:dyDescent="0.35">
      <c r="A413" s="60">
        <v>33970</v>
      </c>
      <c r="B413" s="58">
        <f>VLOOKUP(Table534567910[[#This Row],[Date]],Database!A:E,MATCH($A$1,Database!$A$1:$E$1,),)</f>
        <v>70.435000000000002</v>
      </c>
      <c r="C413" s="9">
        <f t="shared" si="6"/>
        <v>2.9047002036138993E-3</v>
      </c>
      <c r="D413" s="7">
        <f>(Table534567910[[#This Row],[Value]]-B401)/B401</f>
        <v>2.8143109463266487E-2</v>
      </c>
      <c r="E413" s="16">
        <v>0.02</v>
      </c>
      <c r="F413" s="15">
        <v>3</v>
      </c>
    </row>
    <row r="414" spans="1:6" x14ac:dyDescent="0.35">
      <c r="A414" s="60">
        <v>34001</v>
      </c>
      <c r="B414" s="58">
        <f>VLOOKUP(Table534567910[[#This Row],[Date]],Database!A:E,MATCH($A$1,Database!$A$1:$E$1,),)</f>
        <v>70.569999999999993</v>
      </c>
      <c r="C414" s="9">
        <f t="shared" si="6"/>
        <v>1.9166607510469355E-3</v>
      </c>
      <c r="D414" s="7">
        <f>(Table534567910[[#This Row],[Value]]-B402)/B402</f>
        <v>2.7324472653690993E-2</v>
      </c>
      <c r="E414" s="16">
        <v>0.02</v>
      </c>
      <c r="F414" s="15">
        <v>3</v>
      </c>
    </row>
    <row r="415" spans="1:6" x14ac:dyDescent="0.35">
      <c r="A415" s="60">
        <v>34029</v>
      </c>
      <c r="B415" s="58">
        <f>VLOOKUP(Table534567910[[#This Row],[Date]],Database!A:E,MATCH($A$1,Database!$A$1:$E$1,),)</f>
        <v>70.722999999999999</v>
      </c>
      <c r="C415" s="9">
        <f t="shared" si="6"/>
        <v>2.1680600821879811E-3</v>
      </c>
      <c r="D415" s="7">
        <f>(Table534567910[[#This Row],[Value]]-B403)/B403</f>
        <v>2.6980323821970582E-2</v>
      </c>
      <c r="E415" s="16">
        <v>0.02</v>
      </c>
      <c r="F415" s="15">
        <v>3</v>
      </c>
    </row>
    <row r="416" spans="1:6" x14ac:dyDescent="0.35">
      <c r="A416" s="60">
        <v>34060</v>
      </c>
      <c r="B416" s="58">
        <f>VLOOKUP(Table534567910[[#This Row],[Date]],Database!A:E,MATCH($A$1,Database!$A$1:$E$1,),)</f>
        <v>70.929000000000002</v>
      </c>
      <c r="C416" s="9">
        <f t="shared" si="6"/>
        <v>2.9127723654257184E-3</v>
      </c>
      <c r="D416" s="7">
        <f>(Table534567910[[#This Row],[Value]]-B404)/B404</f>
        <v>2.6602596575530942E-2</v>
      </c>
      <c r="E416" s="16">
        <v>0.02</v>
      </c>
      <c r="F416" s="15">
        <v>3</v>
      </c>
    </row>
    <row r="417" spans="1:6" x14ac:dyDescent="0.35">
      <c r="A417" s="60">
        <v>34090</v>
      </c>
      <c r="B417" s="58">
        <f>VLOOKUP(Table534567910[[#This Row],[Date]],Database!A:E,MATCH($A$1,Database!$A$1:$E$1,),)</f>
        <v>71.168999999999997</v>
      </c>
      <c r="C417" s="9">
        <f t="shared" si="6"/>
        <v>3.3836653554962693E-3</v>
      </c>
      <c r="D417" s="7">
        <f>(Table534567910[[#This Row],[Value]]-B405)/B405</f>
        <v>2.8632132739781387E-2</v>
      </c>
      <c r="E417" s="16">
        <v>0.02</v>
      </c>
      <c r="F417" s="15">
        <v>3</v>
      </c>
    </row>
    <row r="418" spans="1:6" x14ac:dyDescent="0.35">
      <c r="A418" s="60">
        <v>34121</v>
      </c>
      <c r="B418" s="58">
        <f>VLOOKUP(Table534567910[[#This Row],[Date]],Database!A:E,MATCH($A$1,Database!$A$1:$E$1,),)</f>
        <v>71.236999999999995</v>
      </c>
      <c r="C418" s="9">
        <f t="shared" si="6"/>
        <v>9.554721859236162E-4</v>
      </c>
      <c r="D418" s="7">
        <f>(Table534567910[[#This Row],[Value]]-B406)/B406</f>
        <v>2.8811992721180645E-2</v>
      </c>
      <c r="E418" s="16">
        <v>0.02</v>
      </c>
      <c r="F418" s="15">
        <v>3</v>
      </c>
    </row>
    <row r="419" spans="1:6" x14ac:dyDescent="0.35">
      <c r="A419" s="60">
        <v>34151</v>
      </c>
      <c r="B419" s="58">
        <f>VLOOKUP(Table534567910[[#This Row],[Date]],Database!A:E,MATCH($A$1,Database!$A$1:$E$1,),)</f>
        <v>71.385000000000005</v>
      </c>
      <c r="C419" s="9">
        <f t="shared" si="6"/>
        <v>2.0775720482335072E-3</v>
      </c>
      <c r="D419" s="7">
        <f>(Table534567910[[#This Row],[Value]]-B407)/B407</f>
        <v>2.7077967857502626E-2</v>
      </c>
      <c r="E419" s="16">
        <v>0.02</v>
      </c>
      <c r="F419" s="15">
        <v>3</v>
      </c>
    </row>
    <row r="420" spans="1:6" x14ac:dyDescent="0.35">
      <c r="A420" s="60">
        <v>34182</v>
      </c>
      <c r="B420" s="58">
        <f>VLOOKUP(Table534567910[[#This Row],[Date]],Database!A:E,MATCH($A$1,Database!$A$1:$E$1,),)</f>
        <v>71.518000000000001</v>
      </c>
      <c r="C420" s="9">
        <f t="shared" si="6"/>
        <v>1.8631365132730344E-3</v>
      </c>
      <c r="D420" s="7">
        <f>(Table534567910[[#This Row],[Value]]-B408)/B408</f>
        <v>2.8044906349274912E-2</v>
      </c>
      <c r="E420" s="16">
        <v>0.02</v>
      </c>
      <c r="F420" s="15">
        <v>3</v>
      </c>
    </row>
    <row r="421" spans="1:6" x14ac:dyDescent="0.35">
      <c r="A421" s="60">
        <v>34213</v>
      </c>
      <c r="B421" s="58">
        <f>VLOOKUP(Table534567910[[#This Row],[Date]],Database!A:E,MATCH($A$1,Database!$A$1:$E$1,),)</f>
        <v>71.625</v>
      </c>
      <c r="C421" s="9">
        <f t="shared" si="6"/>
        <v>1.496126849184811E-3</v>
      </c>
      <c r="D421" s="7">
        <f>(Table534567910[[#This Row],[Value]]-B409)/B409</f>
        <v>2.7913318025258222E-2</v>
      </c>
      <c r="E421" s="16">
        <v>0.02</v>
      </c>
      <c r="F421" s="15">
        <v>3</v>
      </c>
    </row>
    <row r="422" spans="1:6" x14ac:dyDescent="0.35">
      <c r="A422" s="60">
        <v>34243</v>
      </c>
      <c r="B422" s="58">
        <f>VLOOKUP(Table534567910[[#This Row],[Date]],Database!A:E,MATCH($A$1,Database!$A$1:$E$1,),)</f>
        <v>71.744</v>
      </c>
      <c r="C422" s="9">
        <f t="shared" si="6"/>
        <v>1.6614310645724226E-3</v>
      </c>
      <c r="D422" s="7">
        <f>(Table534567910[[#This Row],[Value]]-B410)/B410</f>
        <v>2.5676216618059224E-2</v>
      </c>
      <c r="E422" s="16">
        <v>0.02</v>
      </c>
      <c r="F422" s="15">
        <v>3</v>
      </c>
    </row>
    <row r="423" spans="1:6" x14ac:dyDescent="0.35">
      <c r="A423" s="60">
        <v>34274</v>
      </c>
      <c r="B423" s="58">
        <f>VLOOKUP(Table534567910[[#This Row],[Date]],Database!A:E,MATCH($A$1,Database!$A$1:$E$1,),)</f>
        <v>71.927999999999997</v>
      </c>
      <c r="C423" s="9">
        <f t="shared" si="6"/>
        <v>2.5646743978590195E-3</v>
      </c>
      <c r="D423" s="7">
        <f>(Table534567910[[#This Row],[Value]]-B411)/B411</f>
        <v>2.6062395686224135E-2</v>
      </c>
      <c r="E423" s="16">
        <v>0.02</v>
      </c>
      <c r="F423" s="15">
        <v>3</v>
      </c>
    </row>
    <row r="424" spans="1:6" x14ac:dyDescent="0.35">
      <c r="A424" s="60">
        <v>34304</v>
      </c>
      <c r="B424" s="58">
        <f>VLOOKUP(Table534567910[[#This Row],[Date]],Database!A:E,MATCH($A$1,Database!$A$1:$E$1,),)</f>
        <v>71.959999999999994</v>
      </c>
      <c r="C424" s="9">
        <f t="shared" si="6"/>
        <v>4.4488933377817368E-4</v>
      </c>
      <c r="D424" s="7">
        <f>(Table534567910[[#This Row],[Value]]-B412)/B412</f>
        <v>2.461875809827568E-2</v>
      </c>
      <c r="E424" s="16">
        <v>0.02</v>
      </c>
      <c r="F424" s="15">
        <v>3</v>
      </c>
    </row>
    <row r="425" spans="1:6" x14ac:dyDescent="0.35">
      <c r="A425" s="60">
        <v>34335</v>
      </c>
      <c r="B425" s="58">
        <f>VLOOKUP(Table534567910[[#This Row],[Date]],Database!A:E,MATCH($A$1,Database!$A$1:$E$1,),)</f>
        <v>72.018000000000001</v>
      </c>
      <c r="C425" s="9">
        <f t="shared" si="6"/>
        <v>8.0600333518631101E-4</v>
      </c>
      <c r="D425" s="7">
        <f>(Table534567910[[#This Row],[Value]]-B413)/B413</f>
        <v>2.2474621991907411E-2</v>
      </c>
      <c r="E425" s="16">
        <v>0.02</v>
      </c>
      <c r="F425" s="15">
        <v>3</v>
      </c>
    </row>
    <row r="426" spans="1:6" x14ac:dyDescent="0.35">
      <c r="A426" s="60">
        <v>34366</v>
      </c>
      <c r="B426" s="58">
        <f>VLOOKUP(Table534567910[[#This Row],[Date]],Database!A:E,MATCH($A$1,Database!$A$1:$E$1,),)</f>
        <v>72.173000000000002</v>
      </c>
      <c r="C426" s="9">
        <f t="shared" si="6"/>
        <v>2.1522397178483314E-3</v>
      </c>
      <c r="D426" s="7">
        <f>(Table534567910[[#This Row],[Value]]-B414)/B414</f>
        <v>2.2715034717302095E-2</v>
      </c>
      <c r="E426" s="16">
        <v>0.02</v>
      </c>
      <c r="F426" s="15">
        <v>3.25</v>
      </c>
    </row>
    <row r="427" spans="1:6" x14ac:dyDescent="0.35">
      <c r="A427" s="60">
        <v>34394</v>
      </c>
      <c r="B427" s="58">
        <f>VLOOKUP(Table534567910[[#This Row],[Date]],Database!A:E,MATCH($A$1,Database!$A$1:$E$1,),)</f>
        <v>72.42</v>
      </c>
      <c r="C427" s="9">
        <f t="shared" si="6"/>
        <v>3.4223324511936581E-3</v>
      </c>
      <c r="D427" s="7">
        <f>(Table534567910[[#This Row],[Value]]-B415)/B415</f>
        <v>2.3995022835569799E-2</v>
      </c>
      <c r="E427" s="16">
        <v>0.02</v>
      </c>
      <c r="F427" s="15">
        <v>3.5</v>
      </c>
    </row>
    <row r="428" spans="1:6" x14ac:dyDescent="0.35">
      <c r="A428" s="60">
        <v>34425</v>
      </c>
      <c r="B428" s="58">
        <f>VLOOKUP(Table534567910[[#This Row],[Date]],Database!A:E,MATCH($A$1,Database!$A$1:$E$1,),)</f>
        <v>72.528000000000006</v>
      </c>
      <c r="C428" s="9">
        <f t="shared" si="6"/>
        <v>1.4913007456504293E-3</v>
      </c>
      <c r="D428" s="7">
        <f>(Table534567910[[#This Row],[Value]]-B416)/B416</f>
        <v>2.2543670430994426E-2</v>
      </c>
      <c r="E428" s="16">
        <v>0.02</v>
      </c>
      <c r="F428" s="15">
        <v>3.75</v>
      </c>
    </row>
    <row r="429" spans="1:6" x14ac:dyDescent="0.35">
      <c r="A429" s="60">
        <v>34455</v>
      </c>
      <c r="B429" s="58">
        <f>VLOOKUP(Table534567910[[#This Row],[Date]],Database!A:E,MATCH($A$1,Database!$A$1:$E$1,),)</f>
        <v>72.69</v>
      </c>
      <c r="C429" s="9">
        <f t="shared" si="6"/>
        <v>2.2336201191262947E-3</v>
      </c>
      <c r="D429" s="7">
        <f>(Table534567910[[#This Row],[Value]]-B417)/B417</f>
        <v>2.1371664629262752E-2</v>
      </c>
      <c r="E429" s="16">
        <v>0.02</v>
      </c>
      <c r="F429" s="15">
        <v>4.25</v>
      </c>
    </row>
    <row r="430" spans="1:6" x14ac:dyDescent="0.35">
      <c r="A430" s="60">
        <v>34486</v>
      </c>
      <c r="B430" s="58">
        <f>VLOOKUP(Table534567910[[#This Row],[Date]],Database!A:E,MATCH($A$1,Database!$A$1:$E$1,),)</f>
        <v>72.850999999999999</v>
      </c>
      <c r="C430" s="9">
        <f t="shared" si="6"/>
        <v>2.214885128628441E-3</v>
      </c>
      <c r="D430" s="7">
        <f>(Table534567910[[#This Row],[Value]]-B418)/B418</f>
        <v>2.2656765444923347E-2</v>
      </c>
      <c r="E430" s="16">
        <v>0.02</v>
      </c>
      <c r="F430" s="15">
        <v>4.25</v>
      </c>
    </row>
    <row r="431" spans="1:6" x14ac:dyDescent="0.35">
      <c r="A431" s="60">
        <v>34516</v>
      </c>
      <c r="B431" s="58">
        <f>VLOOKUP(Table534567910[[#This Row],[Date]],Database!A:E,MATCH($A$1,Database!$A$1:$E$1,),)</f>
        <v>73.004000000000005</v>
      </c>
      <c r="C431" s="9">
        <f t="shared" si="6"/>
        <v>2.1001770737533567E-3</v>
      </c>
      <c r="D431" s="7">
        <f>(Table534567910[[#This Row],[Value]]-B419)/B419</f>
        <v>2.2679834699166488E-2</v>
      </c>
      <c r="E431" s="16">
        <v>0.02</v>
      </c>
      <c r="F431" s="15">
        <v>4.25</v>
      </c>
    </row>
    <row r="432" spans="1:6" x14ac:dyDescent="0.35">
      <c r="A432" s="60">
        <v>34547</v>
      </c>
      <c r="B432" s="58">
        <f>VLOOKUP(Table534567910[[#This Row],[Date]],Database!A:E,MATCH($A$1,Database!$A$1:$E$1,),)</f>
        <v>73.085999999999999</v>
      </c>
      <c r="C432" s="9">
        <f t="shared" si="6"/>
        <v>1.1232261245958254E-3</v>
      </c>
      <c r="D432" s="7">
        <f>(Table534567910[[#This Row],[Value]]-B420)/B420</f>
        <v>2.1924550462820519E-2</v>
      </c>
      <c r="E432" s="16">
        <v>0.02</v>
      </c>
      <c r="F432" s="15">
        <v>4.75</v>
      </c>
    </row>
    <row r="433" spans="1:6" x14ac:dyDescent="0.35">
      <c r="A433" s="60">
        <v>34578</v>
      </c>
      <c r="B433" s="58">
        <f>VLOOKUP(Table534567910[[#This Row],[Date]],Database!A:E,MATCH($A$1,Database!$A$1:$E$1,),)</f>
        <v>73.197000000000003</v>
      </c>
      <c r="C433" s="9">
        <f t="shared" si="6"/>
        <v>1.5187587226008293E-3</v>
      </c>
      <c r="D433" s="7">
        <f>(Table534567910[[#This Row],[Value]]-B421)/B421</f>
        <v>2.1947643979057629E-2</v>
      </c>
      <c r="E433" s="16">
        <v>0.02</v>
      </c>
      <c r="F433" s="15">
        <v>4.75</v>
      </c>
    </row>
    <row r="434" spans="1:6" x14ac:dyDescent="0.35">
      <c r="A434" s="60">
        <v>34608</v>
      </c>
      <c r="B434" s="58">
        <f>VLOOKUP(Table534567910[[#This Row],[Date]],Database!A:E,MATCH($A$1,Database!$A$1:$E$1,),)</f>
        <v>73.369</v>
      </c>
      <c r="C434" s="9">
        <f t="shared" si="6"/>
        <v>2.3498230801808411E-3</v>
      </c>
      <c r="D434" s="7">
        <f>(Table534567910[[#This Row],[Value]]-B422)/B422</f>
        <v>2.2649977698483498E-2</v>
      </c>
      <c r="E434" s="16">
        <v>0.02</v>
      </c>
      <c r="F434" s="15">
        <v>4.75</v>
      </c>
    </row>
    <row r="435" spans="1:6" x14ac:dyDescent="0.35">
      <c r="A435" s="60">
        <v>34639</v>
      </c>
      <c r="B435" s="58">
        <f>VLOOKUP(Table534567910[[#This Row],[Date]],Database!A:E,MATCH($A$1,Database!$A$1:$E$1,),)</f>
        <v>73.503</v>
      </c>
      <c r="C435" s="9">
        <f t="shared" si="6"/>
        <v>1.8263844402949521E-3</v>
      </c>
      <c r="D435" s="7">
        <f>(Table534567910[[#This Row],[Value]]-B423)/B423</f>
        <v>2.1896896896896938E-2</v>
      </c>
      <c r="E435" s="16">
        <v>0.02</v>
      </c>
      <c r="F435" s="15">
        <v>5.5</v>
      </c>
    </row>
    <row r="436" spans="1:6" x14ac:dyDescent="0.35">
      <c r="A436" s="60">
        <v>34669</v>
      </c>
      <c r="B436" s="58">
        <f>VLOOKUP(Table534567910[[#This Row],[Date]],Database!A:E,MATCH($A$1,Database!$A$1:$E$1,),)</f>
        <v>73.528000000000006</v>
      </c>
      <c r="C436" s="9">
        <f t="shared" si="6"/>
        <v>3.4012217188421812E-4</v>
      </c>
      <c r="D436" s="7">
        <f>(Table534567910[[#This Row],[Value]]-B424)/B424</f>
        <v>2.1789883268482659E-2</v>
      </c>
      <c r="E436" s="16">
        <v>0.02</v>
      </c>
      <c r="F436" s="15">
        <v>5.5</v>
      </c>
    </row>
    <row r="437" spans="1:6" x14ac:dyDescent="0.35">
      <c r="A437" s="60">
        <v>34700</v>
      </c>
      <c r="B437" s="58">
        <f>VLOOKUP(Table534567910[[#This Row],[Date]],Database!A:E,MATCH($A$1,Database!$A$1:$E$1,),)</f>
        <v>73.710999999999999</v>
      </c>
      <c r="C437" s="9">
        <f t="shared" si="6"/>
        <v>2.4888477858773898E-3</v>
      </c>
      <c r="D437" s="7">
        <f>(Table534567910[[#This Row],[Value]]-B425)/B425</f>
        <v>2.350801188591738E-2</v>
      </c>
      <c r="E437" s="16">
        <v>0.02</v>
      </c>
      <c r="F437" s="15">
        <v>5.5</v>
      </c>
    </row>
    <row r="438" spans="1:6" x14ac:dyDescent="0.35">
      <c r="A438" s="60">
        <v>34731</v>
      </c>
      <c r="B438" s="58">
        <f>VLOOKUP(Table534567910[[#This Row],[Date]],Database!A:E,MATCH($A$1,Database!$A$1:$E$1,),)</f>
        <v>73.831000000000003</v>
      </c>
      <c r="C438" s="9">
        <f t="shared" si="6"/>
        <v>1.6279795417238206E-3</v>
      </c>
      <c r="D438" s="7">
        <f>(Table534567910[[#This Row],[Value]]-B426)/B426</f>
        <v>2.2972579773599563E-2</v>
      </c>
      <c r="E438" s="16">
        <v>0.02</v>
      </c>
      <c r="F438" s="15">
        <v>6</v>
      </c>
    </row>
    <row r="439" spans="1:6" x14ac:dyDescent="0.35">
      <c r="A439" s="60">
        <v>34759</v>
      </c>
      <c r="B439" s="58">
        <f>VLOOKUP(Table534567910[[#This Row],[Date]],Database!A:E,MATCH($A$1,Database!$A$1:$E$1,),)</f>
        <v>74.013000000000005</v>
      </c>
      <c r="C439" s="9">
        <f t="shared" si="6"/>
        <v>2.4650891901775969E-3</v>
      </c>
      <c r="D439" s="7">
        <f>(Table534567910[[#This Row],[Value]]-B427)/B427</f>
        <v>2.1996685998343049E-2</v>
      </c>
      <c r="E439" s="16">
        <v>0.02</v>
      </c>
      <c r="F439" s="15">
        <v>6</v>
      </c>
    </row>
    <row r="440" spans="1:6" x14ac:dyDescent="0.35">
      <c r="A440" s="60">
        <v>34790</v>
      </c>
      <c r="B440" s="58">
        <f>VLOOKUP(Table534567910[[#This Row],[Date]],Database!A:E,MATCH($A$1,Database!$A$1:$E$1,),)</f>
        <v>74.183999999999997</v>
      </c>
      <c r="C440" s="9">
        <f t="shared" si="6"/>
        <v>2.3104049288637436E-3</v>
      </c>
      <c r="D440" s="7">
        <f>(Table534567910[[#This Row],[Value]]-B428)/B428</f>
        <v>2.2832561217736483E-2</v>
      </c>
      <c r="E440" s="16">
        <v>0.02</v>
      </c>
      <c r="F440" s="15">
        <v>6</v>
      </c>
    </row>
    <row r="441" spans="1:6" x14ac:dyDescent="0.35">
      <c r="A441" s="60">
        <v>34820</v>
      </c>
      <c r="B441" s="58">
        <f>VLOOKUP(Table534567910[[#This Row],[Date]],Database!A:E,MATCH($A$1,Database!$A$1:$E$1,),)</f>
        <v>74.311000000000007</v>
      </c>
      <c r="C441" s="9">
        <f t="shared" si="6"/>
        <v>1.7119594521731042E-3</v>
      </c>
      <c r="D441" s="7">
        <f>(Table534567910[[#This Row],[Value]]-B429)/B429</f>
        <v>2.2300178841656478E-2</v>
      </c>
      <c r="E441" s="16">
        <v>0.02</v>
      </c>
      <c r="F441" s="15">
        <v>6</v>
      </c>
    </row>
    <row r="442" spans="1:6" x14ac:dyDescent="0.35">
      <c r="A442" s="60">
        <v>34851</v>
      </c>
      <c r="B442" s="58">
        <f>VLOOKUP(Table534567910[[#This Row],[Date]],Database!A:E,MATCH($A$1,Database!$A$1:$E$1,),)</f>
        <v>74.375</v>
      </c>
      <c r="C442" s="9">
        <f t="shared" si="6"/>
        <v>8.612453068858304E-4</v>
      </c>
      <c r="D442" s="7">
        <f>(Table534567910[[#This Row],[Value]]-B430)/B430</f>
        <v>2.0919410852287559E-2</v>
      </c>
      <c r="E442" s="16">
        <v>0.02</v>
      </c>
      <c r="F442" s="15">
        <v>6</v>
      </c>
    </row>
    <row r="443" spans="1:6" x14ac:dyDescent="0.35">
      <c r="A443" s="60">
        <v>34881</v>
      </c>
      <c r="B443" s="58">
        <f>VLOOKUP(Table534567910[[#This Row],[Date]],Database!A:E,MATCH($A$1,Database!$A$1:$E$1,),)</f>
        <v>74.492999999999995</v>
      </c>
      <c r="C443" s="9">
        <f t="shared" si="6"/>
        <v>1.5865546218486722E-3</v>
      </c>
      <c r="D443" s="7">
        <f>(Table534567910[[#This Row],[Value]]-B431)/B431</f>
        <v>2.0396142677113448E-2</v>
      </c>
      <c r="E443" s="16">
        <v>0.02</v>
      </c>
      <c r="F443" s="15">
        <v>5.75</v>
      </c>
    </row>
    <row r="444" spans="1:6" x14ac:dyDescent="0.35">
      <c r="A444" s="60">
        <v>34912</v>
      </c>
      <c r="B444" s="58">
        <f>VLOOKUP(Table534567910[[#This Row],[Date]],Database!A:E,MATCH($A$1,Database!$A$1:$E$1,),)</f>
        <v>74.671000000000006</v>
      </c>
      <c r="C444" s="9">
        <f t="shared" si="6"/>
        <v>2.3894862604541566E-3</v>
      </c>
      <c r="D444" s="7">
        <f>(Table534567910[[#This Row],[Value]]-B432)/B432</f>
        <v>2.1686779957857977E-2</v>
      </c>
      <c r="E444" s="16">
        <v>0.02</v>
      </c>
      <c r="F444" s="15">
        <v>5.75</v>
      </c>
    </row>
    <row r="445" spans="1:6" x14ac:dyDescent="0.35">
      <c r="A445" s="60">
        <v>34943</v>
      </c>
      <c r="B445" s="58">
        <f>VLOOKUP(Table534567910[[#This Row],[Date]],Database!A:E,MATCH($A$1,Database!$A$1:$E$1,),)</f>
        <v>74.77</v>
      </c>
      <c r="C445" s="9">
        <f t="shared" si="6"/>
        <v>1.3258159124692253E-3</v>
      </c>
      <c r="D445" s="7">
        <f>(Table534567910[[#This Row],[Value]]-B433)/B433</f>
        <v>2.1489951773979714E-2</v>
      </c>
      <c r="E445" s="16">
        <v>0.02</v>
      </c>
      <c r="F445" s="15">
        <v>5.75</v>
      </c>
    </row>
    <row r="446" spans="1:6" x14ac:dyDescent="0.35">
      <c r="A446" s="60">
        <v>34973</v>
      </c>
      <c r="B446" s="58">
        <f>VLOOKUP(Table534567910[[#This Row],[Date]],Database!A:E,MATCH($A$1,Database!$A$1:$E$1,),)</f>
        <v>74.951999999999998</v>
      </c>
      <c r="C446" s="9">
        <f t="shared" si="6"/>
        <v>2.4341313360973942E-3</v>
      </c>
      <c r="D446" s="7">
        <f>(Table534567910[[#This Row],[Value]]-B434)/B434</f>
        <v>2.1575869917812678E-2</v>
      </c>
      <c r="E446" s="16">
        <v>0.02</v>
      </c>
      <c r="F446" s="15">
        <v>5.75</v>
      </c>
    </row>
    <row r="447" spans="1:6" x14ac:dyDescent="0.35">
      <c r="A447" s="60">
        <v>35004</v>
      </c>
      <c r="B447" s="58">
        <f>VLOOKUP(Table534567910[[#This Row],[Date]],Database!A:E,MATCH($A$1,Database!$A$1:$E$1,),)</f>
        <v>75</v>
      </c>
      <c r="C447" s="9">
        <f t="shared" si="6"/>
        <v>6.4040986231190384E-4</v>
      </c>
      <c r="D447" s="7">
        <f>(Table534567910[[#This Row],[Value]]-B435)/B435</f>
        <v>2.0366515652422347E-2</v>
      </c>
      <c r="E447" s="16">
        <v>0.02</v>
      </c>
      <c r="F447" s="15">
        <v>5.75</v>
      </c>
    </row>
    <row r="448" spans="1:6" x14ac:dyDescent="0.35">
      <c r="A448" s="60">
        <v>35034</v>
      </c>
      <c r="B448" s="58">
        <f>VLOOKUP(Table534567910[[#This Row],[Date]],Database!A:E,MATCH($A$1,Database!$A$1:$E$1,),)</f>
        <v>75.105000000000004</v>
      </c>
      <c r="C448" s="9">
        <f t="shared" si="6"/>
        <v>1.4000000000000531E-3</v>
      </c>
      <c r="D448" s="7">
        <f>(Table534567910[[#This Row],[Value]]-B436)/B436</f>
        <v>2.1447611794146421E-2</v>
      </c>
      <c r="E448" s="16">
        <v>0.02</v>
      </c>
      <c r="F448" s="15">
        <v>5.5</v>
      </c>
    </row>
    <row r="449" spans="1:6" x14ac:dyDescent="0.35">
      <c r="A449" s="60">
        <v>35065</v>
      </c>
      <c r="B449" s="58">
        <f>VLOOKUP(Table534567910[[#This Row],[Date]],Database!A:E,MATCH($A$1,Database!$A$1:$E$1,),)</f>
        <v>75.19</v>
      </c>
      <c r="C449" s="9">
        <f t="shared" si="6"/>
        <v>1.1317488848943977E-3</v>
      </c>
      <c r="D449" s="7">
        <f>(Table534567910[[#This Row],[Value]]-B437)/B437</f>
        <v>2.006484785174532E-2</v>
      </c>
      <c r="E449" s="16">
        <v>0.02</v>
      </c>
      <c r="F449" s="15">
        <v>5.25</v>
      </c>
    </row>
    <row r="450" spans="1:6" x14ac:dyDescent="0.35">
      <c r="A450" s="60">
        <v>35096</v>
      </c>
      <c r="B450" s="58">
        <f>VLOOKUP(Table534567910[[#This Row],[Date]],Database!A:E,MATCH($A$1,Database!$A$1:$E$1,),)</f>
        <v>75.287999999999997</v>
      </c>
      <c r="C450" s="9">
        <f t="shared" si="6"/>
        <v>1.3033648091501395E-3</v>
      </c>
      <c r="D450" s="7">
        <f>(Table534567910[[#This Row],[Value]]-B438)/B438</f>
        <v>1.9734257967520333E-2</v>
      </c>
      <c r="E450" s="16">
        <v>0.02</v>
      </c>
      <c r="F450" s="15">
        <v>5.25</v>
      </c>
    </row>
    <row r="451" spans="1:6" x14ac:dyDescent="0.35">
      <c r="A451" s="60">
        <v>35125</v>
      </c>
      <c r="B451" s="58">
        <f>VLOOKUP(Table534567910[[#This Row],[Date]],Database!A:E,MATCH($A$1,Database!$A$1:$E$1,),)</f>
        <v>75.462000000000003</v>
      </c>
      <c r="C451" s="9">
        <f t="shared" si="6"/>
        <v>2.3111252789290008E-3</v>
      </c>
      <c r="D451" s="7">
        <f>(Table534567910[[#This Row],[Value]]-B439)/B439</f>
        <v>1.9577641765635739E-2</v>
      </c>
      <c r="E451" s="16">
        <v>0.02</v>
      </c>
      <c r="F451" s="15">
        <v>5.25</v>
      </c>
    </row>
    <row r="452" spans="1:6" x14ac:dyDescent="0.35">
      <c r="A452" s="60">
        <v>35156</v>
      </c>
      <c r="B452" s="58">
        <f>VLOOKUP(Table534567910[[#This Row],[Date]],Database!A:E,MATCH($A$1,Database!$A$1:$E$1,),)</f>
        <v>75.564999999999998</v>
      </c>
      <c r="C452" s="9">
        <f t="shared" si="6"/>
        <v>1.3649253929129154E-3</v>
      </c>
      <c r="D452" s="7">
        <f>(Table534567910[[#This Row],[Value]]-B440)/B440</f>
        <v>1.8615874042920311E-2</v>
      </c>
      <c r="E452" s="16">
        <v>0.02</v>
      </c>
      <c r="F452" s="15">
        <v>5.25</v>
      </c>
    </row>
    <row r="453" spans="1:6" x14ac:dyDescent="0.35">
      <c r="A453" s="60">
        <v>35186</v>
      </c>
      <c r="B453" s="58">
        <f>VLOOKUP(Table534567910[[#This Row],[Date]],Database!A:E,MATCH($A$1,Database!$A$1:$E$1,),)</f>
        <v>75.695999999999998</v>
      </c>
      <c r="C453" s="9">
        <f t="shared" si="6"/>
        <v>1.7336068285581979E-3</v>
      </c>
      <c r="D453" s="7">
        <f>(Table534567910[[#This Row],[Value]]-B441)/B441</f>
        <v>1.8637886719328103E-2</v>
      </c>
      <c r="E453" s="16">
        <v>0.02</v>
      </c>
      <c r="F453" s="15">
        <v>5.25</v>
      </c>
    </row>
    <row r="454" spans="1:6" x14ac:dyDescent="0.35">
      <c r="A454" s="60">
        <v>35217</v>
      </c>
      <c r="B454" s="58">
        <f>VLOOKUP(Table534567910[[#This Row],[Date]],Database!A:E,MATCH($A$1,Database!$A$1:$E$1,),)</f>
        <v>75.754000000000005</v>
      </c>
      <c r="C454" s="9">
        <f t="shared" ref="C454:C517" si="7">(B454-B453)/B453</f>
        <v>7.6622278588045522E-4</v>
      </c>
      <c r="D454" s="7">
        <f>(Table534567910[[#This Row],[Value]]-B442)/B442</f>
        <v>1.85411764705883E-2</v>
      </c>
      <c r="E454" s="16">
        <v>0.02</v>
      </c>
      <c r="F454" s="15">
        <v>5.25</v>
      </c>
    </row>
    <row r="455" spans="1:6" x14ac:dyDescent="0.35">
      <c r="A455" s="60">
        <v>35247</v>
      </c>
      <c r="B455" s="58">
        <f>VLOOKUP(Table534567910[[#This Row],[Date]],Database!A:E,MATCH($A$1,Database!$A$1:$E$1,),)</f>
        <v>75.897000000000006</v>
      </c>
      <c r="C455" s="9">
        <f t="shared" si="7"/>
        <v>1.8876890989254782E-3</v>
      </c>
      <c r="D455" s="7">
        <f>(Table534567910[[#This Row],[Value]]-B443)/B443</f>
        <v>1.8847408481333958E-2</v>
      </c>
      <c r="E455" s="16">
        <v>0.02</v>
      </c>
      <c r="F455" s="15">
        <v>5.25</v>
      </c>
    </row>
    <row r="456" spans="1:6" x14ac:dyDescent="0.35">
      <c r="A456" s="60">
        <v>35278</v>
      </c>
      <c r="B456" s="58">
        <f>VLOOKUP(Table534567910[[#This Row],[Date]],Database!A:E,MATCH($A$1,Database!$A$1:$E$1,),)</f>
        <v>75.962000000000003</v>
      </c>
      <c r="C456" s="9">
        <f t="shared" si="7"/>
        <v>8.5642383756930735E-4</v>
      </c>
      <c r="D456" s="7">
        <f>(Table534567910[[#This Row],[Value]]-B444)/B444</f>
        <v>1.7289175181797442E-2</v>
      </c>
      <c r="E456" s="16">
        <v>0.02</v>
      </c>
      <c r="F456" s="15">
        <v>5.25</v>
      </c>
    </row>
    <row r="457" spans="1:6" x14ac:dyDescent="0.35">
      <c r="A457" s="60">
        <v>35309</v>
      </c>
      <c r="B457" s="58">
        <f>VLOOKUP(Table534567910[[#This Row],[Date]],Database!A:E,MATCH($A$1,Database!$A$1:$E$1,),)</f>
        <v>76.191999999999993</v>
      </c>
      <c r="C457" s="9">
        <f t="shared" si="7"/>
        <v>3.0278297043257124E-3</v>
      </c>
      <c r="D457" s="7">
        <f>(Table534567910[[#This Row],[Value]]-B445)/B445</f>
        <v>1.9018322856760694E-2</v>
      </c>
      <c r="E457" s="16">
        <v>0.02</v>
      </c>
      <c r="F457" s="15">
        <v>5.25</v>
      </c>
    </row>
    <row r="458" spans="1:6" x14ac:dyDescent="0.35">
      <c r="A458" s="60">
        <v>35339</v>
      </c>
      <c r="B458" s="58">
        <f>VLOOKUP(Table534567910[[#This Row],[Date]],Database!A:E,MATCH($A$1,Database!$A$1:$E$1,),)</f>
        <v>76.373000000000005</v>
      </c>
      <c r="C458" s="9">
        <f t="shared" si="7"/>
        <v>2.3755774884503832E-3</v>
      </c>
      <c r="D458" s="7">
        <f>(Table534567910[[#This Row],[Value]]-B446)/B446</f>
        <v>1.8958800298858023E-2</v>
      </c>
      <c r="E458" s="16">
        <v>0.02</v>
      </c>
      <c r="F458" s="15">
        <v>5.25</v>
      </c>
    </row>
    <row r="459" spans="1:6" x14ac:dyDescent="0.35">
      <c r="A459" s="60">
        <v>35370</v>
      </c>
      <c r="B459" s="58">
        <f>VLOOKUP(Table534567910[[#This Row],[Date]],Database!A:E,MATCH($A$1,Database!$A$1:$E$1,),)</f>
        <v>76.472999999999999</v>
      </c>
      <c r="C459" s="9">
        <f t="shared" si="7"/>
        <v>1.3093632566482175E-3</v>
      </c>
      <c r="D459" s="7">
        <f>(Table534567910[[#This Row],[Value]]-B447)/B447</f>
        <v>1.9639999999999987E-2</v>
      </c>
      <c r="E459" s="16">
        <v>0.02</v>
      </c>
      <c r="F459" s="15">
        <v>5.25</v>
      </c>
    </row>
    <row r="460" spans="1:6" x14ac:dyDescent="0.35">
      <c r="A460" s="60">
        <v>35400</v>
      </c>
      <c r="B460" s="58">
        <f>VLOOKUP(Table534567910[[#This Row],[Date]],Database!A:E,MATCH($A$1,Database!$A$1:$E$1,),)</f>
        <v>76.503</v>
      </c>
      <c r="C460" s="9">
        <f t="shared" si="7"/>
        <v>3.9229531991684825E-4</v>
      </c>
      <c r="D460" s="7">
        <f>(Table534567910[[#This Row],[Value]]-B448)/B448</f>
        <v>1.8613940483323294E-2</v>
      </c>
      <c r="E460" s="16">
        <v>0.02</v>
      </c>
      <c r="F460" s="15">
        <v>5.25</v>
      </c>
    </row>
    <row r="461" spans="1:6" x14ac:dyDescent="0.35">
      <c r="A461" s="60">
        <v>35431</v>
      </c>
      <c r="B461" s="58">
        <f>VLOOKUP(Table534567910[[#This Row],[Date]],Database!A:E,MATCH($A$1,Database!$A$1:$E$1,),)</f>
        <v>76.584000000000003</v>
      </c>
      <c r="C461" s="9">
        <f t="shared" si="7"/>
        <v>1.0587820085487245E-3</v>
      </c>
      <c r="D461" s="7">
        <f>(Table534567910[[#This Row],[Value]]-B449)/B449</f>
        <v>1.8539699428115515E-2</v>
      </c>
      <c r="E461" s="16">
        <v>0.02</v>
      </c>
      <c r="F461" s="15">
        <v>5.25</v>
      </c>
    </row>
    <row r="462" spans="1:6" x14ac:dyDescent="0.35">
      <c r="A462" s="60">
        <v>35462</v>
      </c>
      <c r="B462" s="58">
        <f>VLOOKUP(Table534567910[[#This Row],[Date]],Database!A:E,MATCH($A$1,Database!$A$1:$E$1,),)</f>
        <v>76.741</v>
      </c>
      <c r="C462" s="9">
        <f t="shared" si="7"/>
        <v>2.0500365611615542E-3</v>
      </c>
      <c r="D462" s="7">
        <f>(Table534567910[[#This Row],[Value]]-B450)/B450</f>
        <v>1.9299224311975387E-2</v>
      </c>
      <c r="E462" s="16">
        <v>0.02</v>
      </c>
      <c r="F462" s="15">
        <v>5.25</v>
      </c>
    </row>
    <row r="463" spans="1:6" x14ac:dyDescent="0.35">
      <c r="A463" s="60">
        <v>35490</v>
      </c>
      <c r="B463" s="58">
        <f>VLOOKUP(Table534567910[[#This Row],[Date]],Database!A:E,MATCH($A$1,Database!$A$1:$E$1,),)</f>
        <v>76.924999999999997</v>
      </c>
      <c r="C463" s="9">
        <f t="shared" si="7"/>
        <v>2.3976752974289818E-3</v>
      </c>
      <c r="D463" s="7">
        <f>(Table534567910[[#This Row],[Value]]-B451)/B451</f>
        <v>1.9387241260501894E-2</v>
      </c>
      <c r="E463" s="16">
        <v>0.02</v>
      </c>
      <c r="F463" s="15">
        <v>5.5</v>
      </c>
    </row>
    <row r="464" spans="1:6" x14ac:dyDescent="0.35">
      <c r="A464" s="60">
        <v>35521</v>
      </c>
      <c r="B464" s="58">
        <f>VLOOKUP(Table534567910[[#This Row],[Date]],Database!A:E,MATCH($A$1,Database!$A$1:$E$1,),)</f>
        <v>77.075000000000003</v>
      </c>
      <c r="C464" s="9">
        <f t="shared" si="7"/>
        <v>1.9499512512187935E-3</v>
      </c>
      <c r="D464" s="7">
        <f>(Table534567910[[#This Row],[Value]]-B452)/B452</f>
        <v>1.9982796268113612E-2</v>
      </c>
      <c r="E464" s="16">
        <v>0.02</v>
      </c>
      <c r="F464" s="15">
        <v>5.5</v>
      </c>
    </row>
    <row r="465" spans="1:6" x14ac:dyDescent="0.35">
      <c r="A465" s="60">
        <v>35551</v>
      </c>
      <c r="B465" s="58">
        <f>VLOOKUP(Table534567910[[#This Row],[Date]],Database!A:E,MATCH($A$1,Database!$A$1:$E$1,),)</f>
        <v>77.131</v>
      </c>
      <c r="C465" s="9">
        <f t="shared" si="7"/>
        <v>7.2656503405770206E-4</v>
      </c>
      <c r="D465" s="7">
        <f>(Table534567910[[#This Row],[Value]]-B453)/B453</f>
        <v>1.8957408581695232E-2</v>
      </c>
      <c r="E465" s="16">
        <v>0.02</v>
      </c>
      <c r="F465" s="15">
        <v>5.5</v>
      </c>
    </row>
    <row r="466" spans="1:6" x14ac:dyDescent="0.35">
      <c r="A466" s="60">
        <v>35582</v>
      </c>
      <c r="B466" s="58">
        <f>VLOOKUP(Table534567910[[#This Row],[Date]],Database!A:E,MATCH($A$1,Database!$A$1:$E$1,),)</f>
        <v>77.245000000000005</v>
      </c>
      <c r="C466" s="9">
        <f t="shared" si="7"/>
        <v>1.4780049526131429E-3</v>
      </c>
      <c r="D466" s="7">
        <f>(Table534567910[[#This Row],[Value]]-B454)/B454</f>
        <v>1.9682128996488628E-2</v>
      </c>
      <c r="E466" s="16">
        <v>0.02</v>
      </c>
      <c r="F466" s="15">
        <v>5.5</v>
      </c>
    </row>
    <row r="467" spans="1:6" x14ac:dyDescent="0.35">
      <c r="A467" s="60">
        <v>35612</v>
      </c>
      <c r="B467" s="58">
        <f>VLOOKUP(Table534567910[[#This Row],[Date]],Database!A:E,MATCH($A$1,Database!$A$1:$E$1,),)</f>
        <v>77.296999999999997</v>
      </c>
      <c r="C467" s="9">
        <f t="shared" si="7"/>
        <v>6.7318273027370699E-4</v>
      </c>
      <c r="D467" s="7">
        <f>(Table534567910[[#This Row],[Value]]-B455)/B455</f>
        <v>1.8446051886108691E-2</v>
      </c>
      <c r="E467" s="16">
        <v>0.02</v>
      </c>
      <c r="F467" s="15">
        <v>5.5</v>
      </c>
    </row>
    <row r="468" spans="1:6" x14ac:dyDescent="0.35">
      <c r="A468" s="60">
        <v>35643</v>
      </c>
      <c r="B468" s="58">
        <f>VLOOKUP(Table534567910[[#This Row],[Date]],Database!A:E,MATCH($A$1,Database!$A$1:$E$1,),)</f>
        <v>77.266999999999996</v>
      </c>
      <c r="C468" s="9">
        <f t="shared" si="7"/>
        <v>-3.8811338085567538E-4</v>
      </c>
      <c r="D468" s="7">
        <f>(Table534567910[[#This Row],[Value]]-B456)/B456</f>
        <v>1.7179642452805254E-2</v>
      </c>
      <c r="E468" s="16">
        <v>0.02</v>
      </c>
      <c r="F468" s="15">
        <v>5.5</v>
      </c>
    </row>
    <row r="469" spans="1:6" x14ac:dyDescent="0.35">
      <c r="A469" s="60">
        <v>35674</v>
      </c>
      <c r="B469" s="58">
        <f>VLOOKUP(Table534567910[[#This Row],[Date]],Database!A:E,MATCH($A$1,Database!$A$1:$E$1,),)</f>
        <v>77.427000000000007</v>
      </c>
      <c r="C469" s="9">
        <f t="shared" si="7"/>
        <v>2.0707417137977506E-3</v>
      </c>
      <c r="D469" s="7">
        <f>(Table534567910[[#This Row],[Value]]-B457)/B457</f>
        <v>1.62090508189838E-2</v>
      </c>
      <c r="E469" s="16">
        <v>0.02</v>
      </c>
      <c r="F469" s="15">
        <v>5.5</v>
      </c>
    </row>
    <row r="470" spans="1:6" x14ac:dyDescent="0.35">
      <c r="A470" s="60">
        <v>35704</v>
      </c>
      <c r="B470" s="58">
        <f>VLOOKUP(Table534567910[[#This Row],[Date]],Database!A:E,MATCH($A$1,Database!$A$1:$E$1,),)</f>
        <v>77.545000000000002</v>
      </c>
      <c r="C470" s="9">
        <f t="shared" si="7"/>
        <v>1.5240161700698076E-3</v>
      </c>
      <c r="D470" s="7">
        <f>(Table534567910[[#This Row],[Value]]-B458)/B458</f>
        <v>1.5345737367917943E-2</v>
      </c>
      <c r="E470" s="16">
        <v>0.02</v>
      </c>
      <c r="F470" s="15">
        <v>5.5</v>
      </c>
    </row>
    <row r="471" spans="1:6" x14ac:dyDescent="0.35">
      <c r="A471" s="60">
        <v>35735</v>
      </c>
      <c r="B471" s="58">
        <f>VLOOKUP(Table534567910[[#This Row],[Date]],Database!A:E,MATCH($A$1,Database!$A$1:$E$1,),)</f>
        <v>77.567999999999998</v>
      </c>
      <c r="C471" s="9">
        <f t="shared" si="7"/>
        <v>2.966019730478578E-4</v>
      </c>
      <c r="D471" s="7">
        <f>(Table534567910[[#This Row],[Value]]-B459)/B459</f>
        <v>1.4318779176964403E-2</v>
      </c>
      <c r="E471" s="16">
        <v>0.02</v>
      </c>
      <c r="F471" s="15">
        <v>5.5</v>
      </c>
    </row>
    <row r="472" spans="1:6" x14ac:dyDescent="0.35">
      <c r="A472" s="60">
        <v>35765</v>
      </c>
      <c r="B472" s="58">
        <f>VLOOKUP(Table534567910[[#This Row],[Date]],Database!A:E,MATCH($A$1,Database!$A$1:$E$1,),)</f>
        <v>77.613</v>
      </c>
      <c r="C472" s="9">
        <f t="shared" si="7"/>
        <v>5.8013613861388337E-4</v>
      </c>
      <c r="D472" s="7">
        <f>(Table534567910[[#This Row],[Value]]-B460)/B460</f>
        <v>1.4509234931963445E-2</v>
      </c>
      <c r="E472" s="16">
        <v>0.02</v>
      </c>
      <c r="F472" s="15">
        <v>5.5</v>
      </c>
    </row>
    <row r="473" spans="1:6" x14ac:dyDescent="0.35">
      <c r="A473" s="60">
        <v>35796</v>
      </c>
      <c r="B473" s="58">
        <f>VLOOKUP(Table534567910[[#This Row],[Date]],Database!A:E,MATCH($A$1,Database!$A$1:$E$1,),)</f>
        <v>77.731999999999999</v>
      </c>
      <c r="C473" s="9">
        <f t="shared" si="7"/>
        <v>1.5332482960328782E-3</v>
      </c>
      <c r="D473" s="7">
        <f>(Table534567910[[#This Row],[Value]]-B461)/B461</f>
        <v>1.4990076256137E-2</v>
      </c>
      <c r="E473" s="16">
        <v>0.02</v>
      </c>
      <c r="F473" s="15">
        <v>5.5</v>
      </c>
    </row>
    <row r="474" spans="1:6" x14ac:dyDescent="0.35">
      <c r="A474" s="60">
        <v>35827</v>
      </c>
      <c r="B474" s="58">
        <f>VLOOKUP(Table534567910[[#This Row],[Date]],Database!A:E,MATCH($A$1,Database!$A$1:$E$1,),)</f>
        <v>77.798000000000002</v>
      </c>
      <c r="C474" s="9">
        <f t="shared" si="7"/>
        <v>8.4907116760153483E-4</v>
      </c>
      <c r="D474" s="7">
        <f>(Table534567910[[#This Row],[Value]]-B462)/B462</f>
        <v>1.3773602116209096E-2</v>
      </c>
      <c r="E474" s="16">
        <v>0.02</v>
      </c>
      <c r="F474" s="15">
        <v>5.5</v>
      </c>
    </row>
    <row r="475" spans="1:6" x14ac:dyDescent="0.35">
      <c r="A475" s="60">
        <v>35855</v>
      </c>
      <c r="B475" s="58">
        <f>VLOOKUP(Table534567910[[#This Row],[Date]],Database!A:E,MATCH($A$1,Database!$A$1:$E$1,),)</f>
        <v>77.881</v>
      </c>
      <c r="C475" s="9">
        <f t="shared" si="7"/>
        <v>1.0668654721200854E-3</v>
      </c>
      <c r="D475" s="7">
        <f>(Table534567910[[#This Row],[Value]]-B463)/B463</f>
        <v>1.2427689307767347E-2</v>
      </c>
      <c r="E475" s="16">
        <v>0.02</v>
      </c>
      <c r="F475" s="15">
        <v>5.5</v>
      </c>
    </row>
    <row r="476" spans="1:6" x14ac:dyDescent="0.35">
      <c r="A476" s="60">
        <v>35886</v>
      </c>
      <c r="B476" s="58">
        <f>VLOOKUP(Table534567910[[#This Row],[Date]],Database!A:E,MATCH($A$1,Database!$A$1:$E$1,),)</f>
        <v>78.024000000000001</v>
      </c>
      <c r="C476" s="9">
        <f t="shared" si="7"/>
        <v>1.8361346156315491E-3</v>
      </c>
      <c r="D476" s="7">
        <f>(Table534567910[[#This Row],[Value]]-B464)/B464</f>
        <v>1.2312682452156965E-2</v>
      </c>
      <c r="E476" s="16">
        <v>0.02</v>
      </c>
      <c r="F476" s="15">
        <v>5.5</v>
      </c>
    </row>
    <row r="477" spans="1:6" x14ac:dyDescent="0.35">
      <c r="A477" s="60">
        <v>35916</v>
      </c>
      <c r="B477" s="58">
        <f>VLOOKUP(Table534567910[[#This Row],[Date]],Database!A:E,MATCH($A$1,Database!$A$1:$E$1,),)</f>
        <v>78.099999999999994</v>
      </c>
      <c r="C477" s="9">
        <f t="shared" si="7"/>
        <v>9.7405926381617712E-4</v>
      </c>
      <c r="D477" s="7">
        <f>(Table534567910[[#This Row],[Value]]-B465)/B465</f>
        <v>1.2563042097211161E-2</v>
      </c>
      <c r="E477" s="16">
        <v>0.02</v>
      </c>
      <c r="F477" s="15">
        <v>5.5</v>
      </c>
    </row>
    <row r="478" spans="1:6" x14ac:dyDescent="0.35">
      <c r="A478" s="60">
        <v>35947</v>
      </c>
      <c r="B478" s="58">
        <f>VLOOKUP(Table534567910[[#This Row],[Date]],Database!A:E,MATCH($A$1,Database!$A$1:$E$1,),)</f>
        <v>78.001999999999995</v>
      </c>
      <c r="C478" s="9">
        <f t="shared" si="7"/>
        <v>-1.2548015364916643E-3</v>
      </c>
      <c r="D478" s="7">
        <f>(Table534567910[[#This Row],[Value]]-B466)/B466</f>
        <v>9.7999870541781442E-3</v>
      </c>
      <c r="E478" s="16">
        <v>0.02</v>
      </c>
      <c r="F478" s="15">
        <v>5.5</v>
      </c>
    </row>
    <row r="479" spans="1:6" x14ac:dyDescent="0.35">
      <c r="A479" s="60">
        <v>35977</v>
      </c>
      <c r="B479" s="58">
        <f>VLOOKUP(Table534567910[[#This Row],[Date]],Database!A:E,MATCH($A$1,Database!$A$1:$E$1,),)</f>
        <v>78.221999999999994</v>
      </c>
      <c r="C479" s="9">
        <f t="shared" si="7"/>
        <v>2.8204405015255876E-3</v>
      </c>
      <c r="D479" s="7">
        <f>(Table534567910[[#This Row],[Value]]-B467)/B467</f>
        <v>1.1966829243049501E-2</v>
      </c>
      <c r="E479" s="16">
        <v>0.02</v>
      </c>
      <c r="F479" s="15">
        <v>5.5</v>
      </c>
    </row>
    <row r="480" spans="1:6" x14ac:dyDescent="0.35">
      <c r="A480" s="60">
        <v>36008</v>
      </c>
      <c r="B480" s="58">
        <f>VLOOKUP(Table534567910[[#This Row],[Date]],Database!A:E,MATCH($A$1,Database!$A$1:$E$1,),)</f>
        <v>78.375</v>
      </c>
      <c r="C480" s="9">
        <f t="shared" si="7"/>
        <v>1.9559714658281021E-3</v>
      </c>
      <c r="D480" s="7">
        <f>(Table534567910[[#This Row],[Value]]-B468)/B468</f>
        <v>1.433988636804851E-2</v>
      </c>
      <c r="E480" s="16">
        <v>0.02</v>
      </c>
      <c r="F480" s="15">
        <v>5.5</v>
      </c>
    </row>
    <row r="481" spans="1:6" x14ac:dyDescent="0.35">
      <c r="A481" s="60">
        <v>36039</v>
      </c>
      <c r="B481" s="58">
        <f>VLOOKUP(Table534567910[[#This Row],[Date]],Database!A:E,MATCH($A$1,Database!$A$1:$E$1,),)</f>
        <v>78.361000000000004</v>
      </c>
      <c r="C481" s="9">
        <f t="shared" si="7"/>
        <v>-1.7862838915465128E-4</v>
      </c>
      <c r="D481" s="7">
        <f>(Table534567910[[#This Row],[Value]]-B469)/B469</f>
        <v>1.2062975447841158E-2</v>
      </c>
      <c r="E481" s="16">
        <v>0.02</v>
      </c>
      <c r="F481" s="15">
        <v>5.25</v>
      </c>
    </row>
    <row r="482" spans="1:6" x14ac:dyDescent="0.35">
      <c r="A482" s="60">
        <v>36069</v>
      </c>
      <c r="B482" s="58">
        <f>VLOOKUP(Table534567910[[#This Row],[Date]],Database!A:E,MATCH($A$1,Database!$A$1:$E$1,),)</f>
        <v>78.513999999999996</v>
      </c>
      <c r="C482" s="9">
        <f t="shared" si="7"/>
        <v>1.9525018823137988E-3</v>
      </c>
      <c r="D482" s="7">
        <f>(Table534567910[[#This Row],[Value]]-B470)/B470</f>
        <v>1.249597008188786E-2</v>
      </c>
      <c r="E482" s="16">
        <v>0.02</v>
      </c>
      <c r="F482" s="15">
        <v>5</v>
      </c>
    </row>
    <row r="483" spans="1:6" x14ac:dyDescent="0.35">
      <c r="A483" s="60">
        <v>36100</v>
      </c>
      <c r="B483" s="58">
        <f>VLOOKUP(Table534567910[[#This Row],[Date]],Database!A:E,MATCH($A$1,Database!$A$1:$E$1,),)</f>
        <v>78.528000000000006</v>
      </c>
      <c r="C483" s="9">
        <f t="shared" si="7"/>
        <v>1.7831214815204938E-4</v>
      </c>
      <c r="D483" s="7">
        <f>(Table534567910[[#This Row],[Value]]-B471)/B471</f>
        <v>1.2376237623762479E-2</v>
      </c>
      <c r="E483" s="16">
        <v>0.02</v>
      </c>
      <c r="F483" s="15">
        <v>4.75</v>
      </c>
    </row>
    <row r="484" spans="1:6" x14ac:dyDescent="0.35">
      <c r="A484" s="60">
        <v>36130</v>
      </c>
      <c r="B484" s="58">
        <f>VLOOKUP(Table534567910[[#This Row],[Date]],Database!A:E,MATCH($A$1,Database!$A$1:$E$1,),)</f>
        <v>78.662999999999997</v>
      </c>
      <c r="C484" s="9">
        <f t="shared" si="7"/>
        <v>1.7191320293397374E-3</v>
      </c>
      <c r="D484" s="7">
        <f>(Table534567910[[#This Row],[Value]]-B472)/B472</f>
        <v>1.3528661435584208E-2</v>
      </c>
      <c r="E484" s="16">
        <v>0.02</v>
      </c>
      <c r="F484" s="15">
        <v>4.75</v>
      </c>
    </row>
    <row r="485" spans="1:6" x14ac:dyDescent="0.35">
      <c r="A485" s="60">
        <v>36161</v>
      </c>
      <c r="B485" s="58">
        <f>VLOOKUP(Table534567910[[#This Row],[Date]],Database!A:E,MATCH($A$1,Database!$A$1:$E$1,),)</f>
        <v>78.775999999999996</v>
      </c>
      <c r="C485" s="9">
        <f t="shared" si="7"/>
        <v>1.4365076338303847E-3</v>
      </c>
      <c r="D485" s="7">
        <f>(Table534567910[[#This Row],[Value]]-B473)/B473</f>
        <v>1.3430762105696456E-2</v>
      </c>
      <c r="E485" s="16">
        <v>0.02</v>
      </c>
      <c r="F485" s="15">
        <v>4.75</v>
      </c>
    </row>
    <row r="486" spans="1:6" x14ac:dyDescent="0.35">
      <c r="A486" s="60">
        <v>36192</v>
      </c>
      <c r="B486" s="58">
        <f>VLOOKUP(Table534567910[[#This Row],[Date]],Database!A:E,MATCH($A$1,Database!$A$1:$E$1,),)</f>
        <v>78.748999999999995</v>
      </c>
      <c r="C486" s="9">
        <f t="shared" si="7"/>
        <v>-3.4274398293897919E-4</v>
      </c>
      <c r="D486" s="7">
        <f>(Table534567910[[#This Row],[Value]]-B474)/B474</f>
        <v>1.2223964626339923E-2</v>
      </c>
      <c r="E486" s="16">
        <v>0.02</v>
      </c>
      <c r="F486" s="15">
        <v>4.75</v>
      </c>
    </row>
    <row r="487" spans="1:6" x14ac:dyDescent="0.35">
      <c r="A487" s="60">
        <v>36220</v>
      </c>
      <c r="B487" s="58">
        <f>VLOOKUP(Table534567910[[#This Row],[Date]],Database!A:E,MATCH($A$1,Database!$A$1:$E$1,),)</f>
        <v>78.772999999999996</v>
      </c>
      <c r="C487" s="9">
        <f t="shared" si="7"/>
        <v>3.0476577480350112E-4</v>
      </c>
      <c r="D487" s="7">
        <f>(Table534567910[[#This Row],[Value]]-B475)/B475</f>
        <v>1.1453371168834452E-2</v>
      </c>
      <c r="E487" s="16">
        <v>0.02</v>
      </c>
      <c r="F487" s="15">
        <v>4.75</v>
      </c>
    </row>
    <row r="488" spans="1:6" x14ac:dyDescent="0.35">
      <c r="A488" s="60">
        <v>36251</v>
      </c>
      <c r="B488" s="58">
        <f>VLOOKUP(Table534567910[[#This Row],[Date]],Database!A:E,MATCH($A$1,Database!$A$1:$E$1,),)</f>
        <v>78.974999999999994</v>
      </c>
      <c r="C488" s="9">
        <f t="shared" si="7"/>
        <v>2.56433041778272E-3</v>
      </c>
      <c r="D488" s="7">
        <f>(Table534567910[[#This Row],[Value]]-B476)/B476</f>
        <v>1.2188557366963927E-2</v>
      </c>
      <c r="E488" s="16">
        <v>0.02</v>
      </c>
      <c r="F488" s="15">
        <v>4.75</v>
      </c>
    </row>
    <row r="489" spans="1:6" x14ac:dyDescent="0.35">
      <c r="A489" s="60">
        <v>36281</v>
      </c>
      <c r="B489" s="58">
        <f>VLOOKUP(Table534567910[[#This Row],[Date]],Database!A:E,MATCH($A$1,Database!$A$1:$E$1,),)</f>
        <v>79.051000000000002</v>
      </c>
      <c r="C489" s="9">
        <f t="shared" si="7"/>
        <v>9.6232985121883668E-4</v>
      </c>
      <c r="D489" s="7">
        <f>(Table534567910[[#This Row],[Value]]-B477)/B477</f>
        <v>1.2176696542893824E-2</v>
      </c>
      <c r="E489" s="16">
        <v>0.02</v>
      </c>
      <c r="F489" s="15">
        <v>4.75</v>
      </c>
    </row>
    <row r="490" spans="1:6" x14ac:dyDescent="0.35">
      <c r="A490" s="60">
        <v>36312</v>
      </c>
      <c r="B490" s="58">
        <f>VLOOKUP(Table534567910[[#This Row],[Date]],Database!A:E,MATCH($A$1,Database!$A$1:$E$1,),)</f>
        <v>79.091999999999999</v>
      </c>
      <c r="C490" s="9">
        <f t="shared" si="7"/>
        <v>5.1865251546465976E-4</v>
      </c>
      <c r="D490" s="7">
        <f>(Table534567910[[#This Row],[Value]]-B478)/B478</f>
        <v>1.3974000666649618E-2</v>
      </c>
      <c r="E490" s="16">
        <v>0.02</v>
      </c>
      <c r="F490" s="15">
        <v>5</v>
      </c>
    </row>
    <row r="491" spans="1:6" x14ac:dyDescent="0.35">
      <c r="A491" s="60">
        <v>36342</v>
      </c>
      <c r="B491" s="58">
        <f>VLOOKUP(Table534567910[[#This Row],[Date]],Database!A:E,MATCH($A$1,Database!$A$1:$E$1,),)</f>
        <v>79.234999999999999</v>
      </c>
      <c r="C491" s="9">
        <f t="shared" si="7"/>
        <v>1.8080210387902782E-3</v>
      </c>
      <c r="D491" s="7">
        <f>(Table534567910[[#This Row],[Value]]-B479)/B479</f>
        <v>1.2950320881593482E-2</v>
      </c>
      <c r="E491" s="16">
        <v>0.02</v>
      </c>
      <c r="F491" s="15">
        <v>5</v>
      </c>
    </row>
    <row r="492" spans="1:6" x14ac:dyDescent="0.35">
      <c r="A492" s="60">
        <v>36373</v>
      </c>
      <c r="B492" s="58">
        <f>VLOOKUP(Table534567910[[#This Row],[Date]],Database!A:E,MATCH($A$1,Database!$A$1:$E$1,),)</f>
        <v>79.272999999999996</v>
      </c>
      <c r="C492" s="9">
        <f t="shared" si="7"/>
        <v>4.7958604152201304E-4</v>
      </c>
      <c r="D492" s="7">
        <f>(Table534567910[[#This Row],[Value]]-B480)/B480</f>
        <v>1.1457735247208882E-2</v>
      </c>
      <c r="E492" s="16">
        <v>0.02</v>
      </c>
      <c r="F492" s="15">
        <v>5.25</v>
      </c>
    </row>
    <row r="493" spans="1:6" x14ac:dyDescent="0.35">
      <c r="A493" s="60">
        <v>36404</v>
      </c>
      <c r="B493" s="58">
        <f>VLOOKUP(Table534567910[[#This Row],[Date]],Database!A:E,MATCH($A$1,Database!$A$1:$E$1,),)</f>
        <v>79.483000000000004</v>
      </c>
      <c r="C493" s="9">
        <f t="shared" si="7"/>
        <v>2.6490734550226177E-3</v>
      </c>
      <c r="D493" s="7">
        <f>(Table534567910[[#This Row],[Value]]-B481)/B481</f>
        <v>1.4318347136968643E-2</v>
      </c>
      <c r="E493" s="16">
        <v>0.02</v>
      </c>
      <c r="F493" s="15">
        <v>5.25</v>
      </c>
    </row>
    <row r="494" spans="1:6" x14ac:dyDescent="0.35">
      <c r="A494" s="60">
        <v>36434</v>
      </c>
      <c r="B494" s="58">
        <f>VLOOKUP(Table534567910[[#This Row],[Date]],Database!A:E,MATCH($A$1,Database!$A$1:$E$1,),)</f>
        <v>79.619</v>
      </c>
      <c r="C494" s="9">
        <f t="shared" si="7"/>
        <v>1.7110577104537533E-3</v>
      </c>
      <c r="D494" s="7">
        <f>(Table534567910[[#This Row],[Value]]-B482)/B482</f>
        <v>1.4073923121991034E-2</v>
      </c>
      <c r="E494" s="16">
        <v>0.02</v>
      </c>
      <c r="F494" s="15">
        <v>5.25</v>
      </c>
    </row>
    <row r="495" spans="1:6" x14ac:dyDescent="0.35">
      <c r="A495" s="60">
        <v>36465</v>
      </c>
      <c r="B495" s="58">
        <f>VLOOKUP(Table534567910[[#This Row],[Date]],Database!A:E,MATCH($A$1,Database!$A$1:$E$1,),)</f>
        <v>79.694999999999993</v>
      </c>
      <c r="C495" s="9">
        <f t="shared" si="7"/>
        <v>9.5454602544610466E-4</v>
      </c>
      <c r="D495" s="7">
        <f>(Table534567910[[#This Row],[Value]]-B483)/B483</f>
        <v>1.4860941320293237E-2</v>
      </c>
      <c r="E495" s="16">
        <v>0.02</v>
      </c>
      <c r="F495" s="15">
        <v>5.5</v>
      </c>
    </row>
    <row r="496" spans="1:6" x14ac:dyDescent="0.35">
      <c r="A496" s="60">
        <v>36495</v>
      </c>
      <c r="B496" s="58">
        <f>VLOOKUP(Table534567910[[#This Row],[Date]],Database!A:E,MATCH($A$1,Database!$A$1:$E$1,),)</f>
        <v>79.796000000000006</v>
      </c>
      <c r="C496" s="9">
        <f t="shared" si="7"/>
        <v>1.2673317021144779E-3</v>
      </c>
      <c r="D496" s="7">
        <f>(Table534567910[[#This Row],[Value]]-B484)/B484</f>
        <v>1.4403213709113686E-2</v>
      </c>
      <c r="E496" s="16">
        <v>0.02</v>
      </c>
      <c r="F496" s="15">
        <v>5.5</v>
      </c>
    </row>
    <row r="497" spans="1:11" x14ac:dyDescent="0.35">
      <c r="A497" s="60">
        <v>36526</v>
      </c>
      <c r="B497" s="58">
        <f>VLOOKUP(Table534567910[[#This Row],[Date]],Database!A:E,MATCH($A$1,Database!$A$1:$E$1,),)</f>
        <v>79.986999999999995</v>
      </c>
      <c r="C497" s="9">
        <f t="shared" si="7"/>
        <v>2.3936036894078435E-3</v>
      </c>
      <c r="D497" s="7">
        <f>(Table534567910[[#This Row],[Value]]-B485)/B485</f>
        <v>1.5372702345892131E-2</v>
      </c>
      <c r="E497" s="16">
        <v>0.02</v>
      </c>
      <c r="F497" s="15">
        <v>5.5</v>
      </c>
      <c r="K497" s="33"/>
    </row>
    <row r="498" spans="1:11" x14ac:dyDescent="0.35">
      <c r="A498" s="60">
        <v>36557</v>
      </c>
      <c r="B498" s="58">
        <f>VLOOKUP(Table534567910[[#This Row],[Date]],Database!A:E,MATCH($A$1,Database!$A$1:$E$1,),)</f>
        <v>80.105999999999995</v>
      </c>
      <c r="C498" s="9">
        <f t="shared" si="7"/>
        <v>1.487741758035678E-3</v>
      </c>
      <c r="D498" s="7">
        <f>(Table534567910[[#This Row],[Value]]-B486)/B486</f>
        <v>1.7231964850347298E-2</v>
      </c>
      <c r="E498" s="16">
        <v>0.02</v>
      </c>
      <c r="F498" s="15">
        <v>5.75</v>
      </c>
    </row>
    <row r="499" spans="1:11" x14ac:dyDescent="0.35">
      <c r="A499" s="60">
        <v>36586</v>
      </c>
      <c r="B499" s="58">
        <f>VLOOKUP(Table534567910[[#This Row],[Date]],Database!A:E,MATCH($A$1,Database!$A$1:$E$1,),)</f>
        <v>80.27</v>
      </c>
      <c r="C499" s="9">
        <f t="shared" si="7"/>
        <v>2.0472873442688622E-3</v>
      </c>
      <c r="D499" s="7">
        <f>(Table534567910[[#This Row],[Value]]-B487)/B487</f>
        <v>1.9003973442677059E-2</v>
      </c>
      <c r="E499" s="16">
        <v>0.02</v>
      </c>
      <c r="F499" s="15">
        <v>6</v>
      </c>
    </row>
    <row r="500" spans="1:11" x14ac:dyDescent="0.35">
      <c r="A500" s="60">
        <v>36617</v>
      </c>
      <c r="B500" s="58">
        <f>VLOOKUP(Table534567910[[#This Row],[Date]],Database!A:E,MATCH($A$1,Database!$A$1:$E$1,),)</f>
        <v>80.322999999999993</v>
      </c>
      <c r="C500" s="9">
        <f t="shared" si="7"/>
        <v>6.6027158340597081E-4</v>
      </c>
      <c r="D500" s="7">
        <f>(Table534567910[[#This Row],[Value]]-B488)/B488</f>
        <v>1.7068692624248167E-2</v>
      </c>
      <c r="E500" s="16">
        <v>0.02</v>
      </c>
      <c r="F500" s="15">
        <v>6</v>
      </c>
    </row>
    <row r="501" spans="1:11" x14ac:dyDescent="0.35">
      <c r="A501" s="60">
        <v>36647</v>
      </c>
      <c r="B501" s="58">
        <f>VLOOKUP(Table534567910[[#This Row],[Date]],Database!A:E,MATCH($A$1,Database!$A$1:$E$1,),)</f>
        <v>80.409000000000006</v>
      </c>
      <c r="C501" s="9">
        <f t="shared" si="7"/>
        <v>1.0706771410431974E-3</v>
      </c>
      <c r="D501" s="7">
        <f>(Table534567910[[#This Row],[Value]]-B489)/B489</f>
        <v>1.7178783317099138E-2</v>
      </c>
      <c r="E501" s="16">
        <v>0.02</v>
      </c>
      <c r="F501" s="15">
        <v>6.5</v>
      </c>
    </row>
    <row r="502" spans="1:11" x14ac:dyDescent="0.35">
      <c r="A502" s="60">
        <v>36678</v>
      </c>
      <c r="B502" s="58">
        <f>VLOOKUP(Table534567910[[#This Row],[Date]],Database!A:E,MATCH($A$1,Database!$A$1:$E$1,),)</f>
        <v>80.47</v>
      </c>
      <c r="C502" s="9">
        <f t="shared" si="7"/>
        <v>7.5862154733913909E-4</v>
      </c>
      <c r="D502" s="7">
        <f>(Table534567910[[#This Row],[Value]]-B490)/B490</f>
        <v>1.7422748191978962E-2</v>
      </c>
      <c r="E502" s="16">
        <v>0.02</v>
      </c>
      <c r="F502" s="15">
        <v>6.5</v>
      </c>
    </row>
    <row r="503" spans="1:11" x14ac:dyDescent="0.35">
      <c r="A503" s="60">
        <v>36708</v>
      </c>
      <c r="B503" s="58">
        <f>VLOOKUP(Table534567910[[#This Row],[Date]],Database!A:E,MATCH($A$1,Database!$A$1:$E$1,),)</f>
        <v>80.653999999999996</v>
      </c>
      <c r="C503" s="9">
        <f t="shared" si="7"/>
        <v>2.2865664222691375E-3</v>
      </c>
      <c r="D503" s="7">
        <f>(Table534567910[[#This Row],[Value]]-B491)/B491</f>
        <v>1.790875244525774E-2</v>
      </c>
      <c r="E503" s="16">
        <v>0.02</v>
      </c>
      <c r="F503" s="15">
        <v>6.5</v>
      </c>
    </row>
    <row r="504" spans="1:11" x14ac:dyDescent="0.35">
      <c r="A504" s="60">
        <v>36739</v>
      </c>
      <c r="B504" s="58">
        <f>VLOOKUP(Table534567910[[#This Row],[Date]],Database!A:E,MATCH($A$1,Database!$A$1:$E$1,),)</f>
        <v>80.757000000000005</v>
      </c>
      <c r="C504" s="9">
        <f t="shared" si="7"/>
        <v>1.2770600342203566E-3</v>
      </c>
      <c r="D504" s="7">
        <f>(Table534567910[[#This Row],[Value]]-B492)/B492</f>
        <v>1.8720119082159235E-2</v>
      </c>
      <c r="E504" s="16">
        <v>0.02</v>
      </c>
      <c r="F504" s="15">
        <v>6.5</v>
      </c>
    </row>
    <row r="505" spans="1:11" x14ac:dyDescent="0.35">
      <c r="A505" s="60">
        <v>36770</v>
      </c>
      <c r="B505" s="58">
        <f>VLOOKUP(Table534567910[[#This Row],[Date]],Database!A:E,MATCH($A$1,Database!$A$1:$E$1,),)</f>
        <v>80.953000000000003</v>
      </c>
      <c r="C505" s="9">
        <f t="shared" si="7"/>
        <v>2.4270341889866876E-3</v>
      </c>
      <c r="D505" s="7">
        <f>(Table534567910[[#This Row],[Value]]-B493)/B493</f>
        <v>1.8494520840934524E-2</v>
      </c>
      <c r="E505" s="16">
        <v>0.02</v>
      </c>
      <c r="F505" s="15">
        <v>6.5</v>
      </c>
    </row>
    <row r="506" spans="1:11" x14ac:dyDescent="0.35">
      <c r="A506" s="60">
        <v>36800</v>
      </c>
      <c r="B506" s="58">
        <f>VLOOKUP(Table534567910[[#This Row],[Date]],Database!A:E,MATCH($A$1,Database!$A$1:$E$1,),)</f>
        <v>81.066999999999993</v>
      </c>
      <c r="C506" s="9">
        <f t="shared" si="7"/>
        <v>1.4082245253417428E-3</v>
      </c>
      <c r="D506" s="7">
        <f>(Table534567910[[#This Row],[Value]]-B494)/B494</f>
        <v>1.8186613747974645E-2</v>
      </c>
      <c r="E506" s="16">
        <v>0.02</v>
      </c>
      <c r="F506" s="15">
        <v>6.5</v>
      </c>
    </row>
    <row r="507" spans="1:11" x14ac:dyDescent="0.35">
      <c r="A507" s="60">
        <v>36831</v>
      </c>
      <c r="B507" s="58">
        <f>VLOOKUP(Table534567910[[#This Row],[Date]],Database!A:E,MATCH($A$1,Database!$A$1:$E$1,),)</f>
        <v>81.209999999999994</v>
      </c>
      <c r="C507" s="9">
        <f t="shared" si="7"/>
        <v>1.7639730099794084E-3</v>
      </c>
      <c r="D507" s="7">
        <f>(Table534567910[[#This Row],[Value]]-B495)/B495</f>
        <v>1.9009975531714671E-2</v>
      </c>
      <c r="E507" s="16">
        <v>0.02</v>
      </c>
      <c r="F507" s="15">
        <v>6.5</v>
      </c>
    </row>
    <row r="508" spans="1:11" x14ac:dyDescent="0.35">
      <c r="A508" s="60">
        <v>36861</v>
      </c>
      <c r="B508" s="58">
        <f>VLOOKUP(Table534567910[[#This Row],[Date]],Database!A:E,MATCH($A$1,Database!$A$1:$E$1,),)</f>
        <v>81.289000000000001</v>
      </c>
      <c r="C508" s="9">
        <f t="shared" si="7"/>
        <v>9.727866026352387E-4</v>
      </c>
      <c r="D508" s="7">
        <f>(Table534567910[[#This Row],[Value]]-B496)/B496</f>
        <v>1.8710211038147212E-2</v>
      </c>
      <c r="E508" s="16">
        <v>0.02</v>
      </c>
      <c r="F508" s="15">
        <v>6.5</v>
      </c>
    </row>
    <row r="509" spans="1:11" x14ac:dyDescent="0.35">
      <c r="A509" s="60">
        <v>36892</v>
      </c>
      <c r="B509" s="58">
        <f>VLOOKUP(Table534567910[[#This Row],[Date]],Database!A:E,MATCH($A$1,Database!$A$1:$E$1,),)</f>
        <v>81.591999999999999</v>
      </c>
      <c r="C509" s="9">
        <f t="shared" si="7"/>
        <v>3.7274415972640487E-3</v>
      </c>
      <c r="D509" s="7">
        <f>(Table534567910[[#This Row],[Value]]-B497)/B497</f>
        <v>2.0065760686111545E-2</v>
      </c>
      <c r="E509" s="16">
        <v>0.02</v>
      </c>
      <c r="F509" s="15">
        <v>5.5</v>
      </c>
    </row>
    <row r="510" spans="1:11" x14ac:dyDescent="0.35">
      <c r="A510" s="60">
        <v>36923</v>
      </c>
      <c r="B510" s="58">
        <f>VLOOKUP(Table534567910[[#This Row],[Date]],Database!A:E,MATCH($A$1,Database!$A$1:$E$1,),)</f>
        <v>81.736000000000004</v>
      </c>
      <c r="C510" s="9">
        <f t="shared" si="7"/>
        <v>1.764878909697096E-3</v>
      </c>
      <c r="D510" s="7">
        <f>(Table534567910[[#This Row],[Value]]-B498)/B498</f>
        <v>2.0348038848525825E-2</v>
      </c>
      <c r="E510" s="16">
        <v>0.02</v>
      </c>
      <c r="F510" s="15">
        <v>5.5</v>
      </c>
    </row>
    <row r="511" spans="1:11" x14ac:dyDescent="0.35">
      <c r="A511" s="60">
        <v>36951</v>
      </c>
      <c r="B511" s="58">
        <f>VLOOKUP(Table534567910[[#This Row],[Date]],Database!A:E,MATCH($A$1,Database!$A$1:$E$1,),)</f>
        <v>81.820999999999998</v>
      </c>
      <c r="C511" s="9">
        <f t="shared" si="7"/>
        <v>1.0399334442594908E-3</v>
      </c>
      <c r="D511" s="7">
        <f>(Table534567910[[#This Row],[Value]]-B499)/B499</f>
        <v>1.932228728042858E-2</v>
      </c>
      <c r="E511" s="16">
        <v>0.02</v>
      </c>
      <c r="F511" s="15">
        <v>5</v>
      </c>
    </row>
    <row r="512" spans="1:11" x14ac:dyDescent="0.35">
      <c r="A512" s="60">
        <v>36982</v>
      </c>
      <c r="B512" s="58">
        <f>VLOOKUP(Table534567910[[#This Row],[Date]],Database!A:E,MATCH($A$1,Database!$A$1:$E$1,),)</f>
        <v>81.950999999999993</v>
      </c>
      <c r="C512" s="9">
        <f t="shared" si="7"/>
        <v>1.5888341623787959E-3</v>
      </c>
      <c r="D512" s="7">
        <f>(Table534567910[[#This Row],[Value]]-B500)/B500</f>
        <v>2.0268167274628691E-2</v>
      </c>
      <c r="E512" s="16">
        <v>0.02</v>
      </c>
      <c r="F512" s="15">
        <v>4.5</v>
      </c>
    </row>
    <row r="513" spans="1:6" x14ac:dyDescent="0.35">
      <c r="A513" s="60">
        <v>37012</v>
      </c>
      <c r="B513" s="58">
        <f>VLOOKUP(Table534567910[[#This Row],[Date]],Database!A:E,MATCH($A$1,Database!$A$1:$E$1,),)</f>
        <v>81.97</v>
      </c>
      <c r="C513" s="9">
        <f t="shared" si="7"/>
        <v>2.3184585911099876E-4</v>
      </c>
      <c r="D513" s="7">
        <f>(Table534567910[[#This Row],[Value]]-B501)/B501</f>
        <v>1.9413249760598848E-2</v>
      </c>
      <c r="E513" s="16">
        <v>0.02</v>
      </c>
      <c r="F513" s="15">
        <v>4</v>
      </c>
    </row>
    <row r="514" spans="1:6" x14ac:dyDescent="0.35">
      <c r="A514" s="60">
        <v>37043</v>
      </c>
      <c r="B514" s="58">
        <f>VLOOKUP(Table534567910[[#This Row],[Date]],Database!A:E,MATCH($A$1,Database!$A$1:$E$1,),)</f>
        <v>82.153999999999996</v>
      </c>
      <c r="C514" s="9">
        <f t="shared" si="7"/>
        <v>2.2447236793948699E-3</v>
      </c>
      <c r="D514" s="7">
        <f>(Table534567910[[#This Row],[Value]]-B502)/B502</f>
        <v>2.0927053560333014E-2</v>
      </c>
      <c r="E514" s="16">
        <v>0.02</v>
      </c>
      <c r="F514" s="15">
        <v>3.75</v>
      </c>
    </row>
    <row r="515" spans="1:6" x14ac:dyDescent="0.35">
      <c r="A515" s="60">
        <v>37073</v>
      </c>
      <c r="B515" s="58">
        <f>VLOOKUP(Table534567910[[#This Row],[Date]],Database!A:E,MATCH($A$1,Database!$A$1:$E$1,),)</f>
        <v>82.366</v>
      </c>
      <c r="C515" s="9">
        <f t="shared" si="7"/>
        <v>2.5805195121357855E-3</v>
      </c>
      <c r="D515" s="7">
        <f>(Table534567910[[#This Row],[Value]]-B503)/B503</f>
        <v>2.1226473578495837E-2</v>
      </c>
      <c r="E515" s="16">
        <v>0.02</v>
      </c>
      <c r="F515" s="15">
        <v>3.75</v>
      </c>
    </row>
    <row r="516" spans="1:6" x14ac:dyDescent="0.35">
      <c r="A516" s="60">
        <v>37104</v>
      </c>
      <c r="B516" s="58">
        <f>VLOOKUP(Table534567910[[#This Row],[Date]],Database!A:E,MATCH($A$1,Database!$A$1:$E$1,),)</f>
        <v>82.406000000000006</v>
      </c>
      <c r="C516" s="9">
        <f t="shared" si="7"/>
        <v>4.8563727751749816E-4</v>
      </c>
      <c r="D516" s="7">
        <f>(Table534567910[[#This Row],[Value]]-B504)/B504</f>
        <v>2.0419282538974959E-2</v>
      </c>
      <c r="E516" s="16">
        <v>0.02</v>
      </c>
      <c r="F516" s="15">
        <v>3.5</v>
      </c>
    </row>
    <row r="517" spans="1:6" x14ac:dyDescent="0.35">
      <c r="A517" s="60">
        <v>37135</v>
      </c>
      <c r="B517" s="58">
        <f>VLOOKUP(Table534567910[[#This Row],[Date]],Database!A:E,MATCH($A$1,Database!$A$1:$E$1,),)</f>
        <v>81.938999999999993</v>
      </c>
      <c r="C517" s="9">
        <f t="shared" si="7"/>
        <v>-5.6670630779313757E-3</v>
      </c>
      <c r="D517" s="7">
        <f>(Table534567910[[#This Row],[Value]]-B505)/B505</f>
        <v>1.2179906859535655E-2</v>
      </c>
      <c r="E517" s="16">
        <v>0.02</v>
      </c>
      <c r="F517" s="15">
        <v>3</v>
      </c>
    </row>
    <row r="518" spans="1:6" x14ac:dyDescent="0.35">
      <c r="A518" s="60">
        <v>37165</v>
      </c>
      <c r="B518" s="58">
        <f>VLOOKUP(Table534567910[[#This Row],[Date]],Database!A:E,MATCH($A$1,Database!$A$1:$E$1,),)</f>
        <v>82.516000000000005</v>
      </c>
      <c r="C518" s="9">
        <f t="shared" ref="C518:C581" si="8">(B518-B517)/B517</f>
        <v>7.0418237957506494E-3</v>
      </c>
      <c r="D518" s="7">
        <f>(Table534567910[[#This Row],[Value]]-B506)/B506</f>
        <v>1.7874104136085121E-2</v>
      </c>
      <c r="E518" s="16">
        <v>0.02</v>
      </c>
      <c r="F518" s="15">
        <v>2.5</v>
      </c>
    </row>
    <row r="519" spans="1:6" x14ac:dyDescent="0.35">
      <c r="A519" s="60">
        <v>37196</v>
      </c>
      <c r="B519" s="58">
        <f>VLOOKUP(Table534567910[[#This Row],[Date]],Database!A:E,MATCH($A$1,Database!$A$1:$E$1,),)</f>
        <v>82.683000000000007</v>
      </c>
      <c r="C519" s="9">
        <f t="shared" si="8"/>
        <v>2.0238499200155315E-3</v>
      </c>
      <c r="D519" s="7">
        <f>(Table534567910[[#This Row],[Value]]-B507)/B507</f>
        <v>1.813816032508328E-2</v>
      </c>
      <c r="E519" s="16">
        <v>0.02</v>
      </c>
      <c r="F519" s="15">
        <v>2</v>
      </c>
    </row>
    <row r="520" spans="1:6" x14ac:dyDescent="0.35">
      <c r="A520" s="60">
        <v>37226</v>
      </c>
      <c r="B520" s="58">
        <f>VLOOKUP(Table534567910[[#This Row],[Date]],Database!A:E,MATCH($A$1,Database!$A$1:$E$1,),)</f>
        <v>82.701999999999998</v>
      </c>
      <c r="C520" s="9">
        <f t="shared" si="8"/>
        <v>2.2979330696746908E-4</v>
      </c>
      <c r="D520" s="7">
        <f>(Table534567910[[#This Row],[Value]]-B508)/B508</f>
        <v>1.7382425666449295E-2</v>
      </c>
      <c r="E520" s="16">
        <v>0.02</v>
      </c>
      <c r="F520" s="15">
        <v>1.75</v>
      </c>
    </row>
    <row r="521" spans="1:6" x14ac:dyDescent="0.35">
      <c r="A521" s="60">
        <v>37257</v>
      </c>
      <c r="B521" s="58">
        <f>VLOOKUP(Table534567910[[#This Row],[Date]],Database!A:E,MATCH($A$1,Database!$A$1:$E$1,),)</f>
        <v>82.75</v>
      </c>
      <c r="C521" s="9">
        <f t="shared" si="8"/>
        <v>5.8039708834129551E-4</v>
      </c>
      <c r="D521" s="7">
        <f>(Table534567910[[#This Row],[Value]]-B509)/B509</f>
        <v>1.4192567898813624E-2</v>
      </c>
      <c r="E521" s="16">
        <v>0.02</v>
      </c>
      <c r="F521" s="15">
        <v>1.75</v>
      </c>
    </row>
    <row r="522" spans="1:6" x14ac:dyDescent="0.35">
      <c r="A522" s="60">
        <v>37288</v>
      </c>
      <c r="B522" s="58">
        <f>VLOOKUP(Table534567910[[#This Row],[Date]],Database!A:E,MATCH($A$1,Database!$A$1:$E$1,),)</f>
        <v>82.906999999999996</v>
      </c>
      <c r="C522" s="9">
        <f t="shared" si="8"/>
        <v>1.8972809667673291E-3</v>
      </c>
      <c r="D522" s="7">
        <f>(Table534567910[[#This Row],[Value]]-B510)/B510</f>
        <v>1.4326612508564063E-2</v>
      </c>
      <c r="E522" s="16">
        <v>0.02</v>
      </c>
      <c r="F522" s="15">
        <v>1.75</v>
      </c>
    </row>
    <row r="523" spans="1:6" x14ac:dyDescent="0.35">
      <c r="A523" s="60">
        <v>37316</v>
      </c>
      <c r="B523" s="58">
        <f>VLOOKUP(Table534567910[[#This Row],[Date]],Database!A:E,MATCH($A$1,Database!$A$1:$E$1,),)</f>
        <v>83.006</v>
      </c>
      <c r="C523" s="9">
        <f t="shared" si="8"/>
        <v>1.1941090619610377E-3</v>
      </c>
      <c r="D523" s="7">
        <f>(Table534567910[[#This Row],[Value]]-B511)/B511</f>
        <v>1.4482834480145711E-2</v>
      </c>
      <c r="E523" s="16">
        <v>0.02</v>
      </c>
      <c r="F523" s="15">
        <v>1.75</v>
      </c>
    </row>
    <row r="524" spans="1:6" x14ac:dyDescent="0.35">
      <c r="A524" s="60">
        <v>37347</v>
      </c>
      <c r="B524" s="58">
        <f>VLOOKUP(Table534567910[[#This Row],[Date]],Database!A:E,MATCH($A$1,Database!$A$1:$E$1,),)</f>
        <v>83.238</v>
      </c>
      <c r="C524" s="9">
        <f t="shared" si="8"/>
        <v>2.7949786762402635E-3</v>
      </c>
      <c r="D524" s="7">
        <f>(Table534567910[[#This Row],[Value]]-B512)/B512</f>
        <v>1.5704506351356375E-2</v>
      </c>
      <c r="E524" s="16">
        <v>0.02</v>
      </c>
      <c r="F524" s="15">
        <v>1.75</v>
      </c>
    </row>
    <row r="525" spans="1:6" x14ac:dyDescent="0.35">
      <c r="A525" s="60">
        <v>37377</v>
      </c>
      <c r="B525" s="58">
        <f>VLOOKUP(Table534567910[[#This Row],[Date]],Database!A:E,MATCH($A$1,Database!$A$1:$E$1,),)</f>
        <v>83.331000000000003</v>
      </c>
      <c r="C525" s="9">
        <f t="shared" si="8"/>
        <v>1.1172781662222005E-3</v>
      </c>
      <c r="D525" s="7">
        <f>(Table534567910[[#This Row],[Value]]-B513)/B513</f>
        <v>1.6603635476393853E-2</v>
      </c>
      <c r="E525" s="16">
        <v>0.02</v>
      </c>
      <c r="F525" s="15">
        <v>1.75</v>
      </c>
    </row>
    <row r="526" spans="1:6" x14ac:dyDescent="0.35">
      <c r="A526" s="60">
        <v>37408</v>
      </c>
      <c r="B526" s="58">
        <f>VLOOKUP(Table534567910[[#This Row],[Date]],Database!A:E,MATCH($A$1,Database!$A$1:$E$1,),)</f>
        <v>83.462999999999994</v>
      </c>
      <c r="C526" s="9">
        <f t="shared" si="8"/>
        <v>1.5840443532417802E-3</v>
      </c>
      <c r="D526" s="7">
        <f>(Table534567910[[#This Row],[Value]]-B514)/B514</f>
        <v>1.5933490761253225E-2</v>
      </c>
      <c r="E526" s="16">
        <v>0.02</v>
      </c>
      <c r="F526" s="15">
        <v>1.75</v>
      </c>
    </row>
    <row r="527" spans="1:6" x14ac:dyDescent="0.35">
      <c r="A527" s="60">
        <v>37438</v>
      </c>
      <c r="B527" s="58">
        <f>VLOOKUP(Table534567910[[#This Row],[Date]],Database!A:E,MATCH($A$1,Database!$A$1:$E$1,),)</f>
        <v>83.632000000000005</v>
      </c>
      <c r="C527" s="9">
        <f t="shared" si="8"/>
        <v>2.0248493344357517E-3</v>
      </c>
      <c r="D527" s="7">
        <f>(Table534567910[[#This Row],[Value]]-B515)/B515</f>
        <v>1.5370419833426479E-2</v>
      </c>
      <c r="E527" s="16">
        <v>0.02</v>
      </c>
      <c r="F527" s="15">
        <v>1.75</v>
      </c>
    </row>
    <row r="528" spans="1:6" x14ac:dyDescent="0.35">
      <c r="A528" s="60">
        <v>37469</v>
      </c>
      <c r="B528" s="58">
        <f>VLOOKUP(Table534567910[[#This Row],[Date]],Database!A:E,MATCH($A$1,Database!$A$1:$E$1,),)</f>
        <v>83.796999999999997</v>
      </c>
      <c r="C528" s="9">
        <f t="shared" si="8"/>
        <v>1.9729290223836813E-3</v>
      </c>
      <c r="D528" s="7">
        <f>(Table534567910[[#This Row],[Value]]-B516)/B516</f>
        <v>1.6879838846685813E-2</v>
      </c>
      <c r="E528" s="16">
        <v>0.02</v>
      </c>
      <c r="F528" s="15">
        <v>1.75</v>
      </c>
    </row>
    <row r="529" spans="1:6" x14ac:dyDescent="0.35">
      <c r="A529" s="60">
        <v>37500</v>
      </c>
      <c r="B529" s="58">
        <f>VLOOKUP(Table534567910[[#This Row],[Date]],Database!A:E,MATCH($A$1,Database!$A$1:$E$1,),)</f>
        <v>83.933999999999997</v>
      </c>
      <c r="C529" s="9">
        <f t="shared" si="8"/>
        <v>1.6349033974963358E-3</v>
      </c>
      <c r="D529" s="7">
        <f>(Table534567910[[#This Row],[Value]]-B517)/B517</f>
        <v>2.4347380368322836E-2</v>
      </c>
      <c r="E529" s="16">
        <v>0.02</v>
      </c>
      <c r="F529" s="15">
        <v>1.75</v>
      </c>
    </row>
    <row r="530" spans="1:6" x14ac:dyDescent="0.35">
      <c r="A530" s="60">
        <v>37530</v>
      </c>
      <c r="B530" s="58">
        <f>VLOOKUP(Table534567910[[#This Row],[Date]],Database!A:E,MATCH($A$1,Database!$A$1:$E$1,),)</f>
        <v>84.004999999999995</v>
      </c>
      <c r="C530" s="9">
        <f t="shared" si="8"/>
        <v>8.4590273309979218E-4</v>
      </c>
      <c r="D530" s="7">
        <f>(Table534567910[[#This Row],[Value]]-B518)/B518</f>
        <v>1.8044985214988488E-2</v>
      </c>
      <c r="E530" s="16">
        <v>0.02</v>
      </c>
      <c r="F530" s="15">
        <v>1.75</v>
      </c>
    </row>
    <row r="531" spans="1:6" x14ac:dyDescent="0.35">
      <c r="A531" s="60">
        <v>37561</v>
      </c>
      <c r="B531" s="58">
        <f>VLOOKUP(Table534567910[[#This Row],[Date]],Database!A:E,MATCH($A$1,Database!$A$1:$E$1,),)</f>
        <v>84.087000000000003</v>
      </c>
      <c r="C531" s="9">
        <f t="shared" si="8"/>
        <v>9.761323730731248E-4</v>
      </c>
      <c r="D531" s="7">
        <f>(Table534567910[[#This Row],[Value]]-B519)/B519</f>
        <v>1.698051594644602E-2</v>
      </c>
      <c r="E531" s="16">
        <v>0.02</v>
      </c>
      <c r="F531" s="15">
        <v>1.25</v>
      </c>
    </row>
    <row r="532" spans="1:6" x14ac:dyDescent="0.35">
      <c r="A532" s="60">
        <v>37591</v>
      </c>
      <c r="B532" s="58">
        <f>VLOOKUP(Table534567910[[#This Row],[Date]],Database!A:E,MATCH($A$1,Database!$A$1:$E$1,),)</f>
        <v>84.165000000000006</v>
      </c>
      <c r="C532" s="9">
        <f t="shared" si="8"/>
        <v>9.2761068892935827E-4</v>
      </c>
      <c r="D532" s="7">
        <f>(Table534567910[[#This Row],[Value]]-B520)/B520</f>
        <v>1.7690019588401829E-2</v>
      </c>
      <c r="E532" s="16">
        <v>0.02</v>
      </c>
      <c r="F532" s="15">
        <v>1.25</v>
      </c>
    </row>
    <row r="533" spans="1:6" x14ac:dyDescent="0.35">
      <c r="A533" s="60">
        <v>37622</v>
      </c>
      <c r="B533" s="58">
        <f>VLOOKUP(Table534567910[[#This Row],[Date]],Database!A:E,MATCH($A$1,Database!$A$1:$E$1,),)</f>
        <v>84.222999999999999</v>
      </c>
      <c r="C533" s="9">
        <f t="shared" si="8"/>
        <v>6.8912255688222796E-4</v>
      </c>
      <c r="D533" s="7">
        <f>(Table534567910[[#This Row],[Value]]-B521)/B521</f>
        <v>1.7800604229607237E-2</v>
      </c>
      <c r="E533" s="16">
        <v>0.02</v>
      </c>
      <c r="F533" s="15">
        <v>1.25</v>
      </c>
    </row>
    <row r="534" spans="1:6" x14ac:dyDescent="0.35">
      <c r="A534" s="60">
        <v>37653</v>
      </c>
      <c r="B534" s="58">
        <f>VLOOKUP(Table534567910[[#This Row],[Date]],Database!A:E,MATCH($A$1,Database!$A$1:$E$1,),)</f>
        <v>84.338999999999999</v>
      </c>
      <c r="C534" s="9">
        <f t="shared" si="8"/>
        <v>1.3772959880317688E-3</v>
      </c>
      <c r="D534" s="7">
        <f>(Table534567910[[#This Row],[Value]]-B522)/B522</f>
        <v>1.7272365421496402E-2</v>
      </c>
      <c r="E534" s="16">
        <v>0.02</v>
      </c>
      <c r="F534" s="15">
        <v>1.25</v>
      </c>
    </row>
    <row r="535" spans="1:6" x14ac:dyDescent="0.35">
      <c r="A535" s="60">
        <v>37681</v>
      </c>
      <c r="B535" s="58">
        <f>VLOOKUP(Table534567910[[#This Row],[Date]],Database!A:E,MATCH($A$1,Database!$A$1:$E$1,),)</f>
        <v>84.474000000000004</v>
      </c>
      <c r="C535" s="9">
        <f t="shared" si="8"/>
        <v>1.6006829580621671E-3</v>
      </c>
      <c r="D535" s="7">
        <f>(Table534567910[[#This Row],[Value]]-B523)/B523</f>
        <v>1.7685468520347969E-2</v>
      </c>
      <c r="E535" s="16">
        <v>0.02</v>
      </c>
      <c r="F535" s="15">
        <v>1.25</v>
      </c>
    </row>
    <row r="536" spans="1:6" x14ac:dyDescent="0.35">
      <c r="A536" s="60">
        <v>37712</v>
      </c>
      <c r="B536" s="58">
        <f>VLOOKUP(Table534567910[[#This Row],[Date]],Database!A:E,MATCH($A$1,Database!$A$1:$E$1,),)</f>
        <v>84.567999999999998</v>
      </c>
      <c r="C536" s="9">
        <f t="shared" si="8"/>
        <v>1.1127684257877463E-3</v>
      </c>
      <c r="D536" s="7">
        <f>(Table534567910[[#This Row],[Value]]-B524)/B524</f>
        <v>1.5978279151349122E-2</v>
      </c>
      <c r="E536" s="16">
        <v>0.02</v>
      </c>
      <c r="F536" s="15">
        <v>1.25</v>
      </c>
    </row>
    <row r="537" spans="1:6" x14ac:dyDescent="0.35">
      <c r="A537" s="60">
        <v>37742</v>
      </c>
      <c r="B537" s="58">
        <f>VLOOKUP(Table534567910[[#This Row],[Date]],Database!A:E,MATCH($A$1,Database!$A$1:$E$1,),)</f>
        <v>84.69</v>
      </c>
      <c r="C537" s="9">
        <f t="shared" si="8"/>
        <v>1.4426260524075286E-3</v>
      </c>
      <c r="D537" s="7">
        <f>(Table534567910[[#This Row],[Value]]-B525)/B525</f>
        <v>1.6308456636785765E-2</v>
      </c>
      <c r="E537" s="16">
        <v>0.02</v>
      </c>
      <c r="F537" s="15">
        <v>1.25</v>
      </c>
    </row>
    <row r="538" spans="1:6" x14ac:dyDescent="0.35">
      <c r="A538" s="60">
        <v>37773</v>
      </c>
      <c r="B538" s="58">
        <f>VLOOKUP(Table534567910[[#This Row],[Date]],Database!A:E,MATCH($A$1,Database!$A$1:$E$1,),)</f>
        <v>84.738</v>
      </c>
      <c r="C538" s="9">
        <f t="shared" si="8"/>
        <v>5.6677293659229916E-4</v>
      </c>
      <c r="D538" s="7">
        <f>(Table534567910[[#This Row],[Value]]-B526)/B526</f>
        <v>1.5276230185830917E-2</v>
      </c>
      <c r="E538" s="16">
        <v>0.02</v>
      </c>
      <c r="F538" s="15">
        <v>1</v>
      </c>
    </row>
    <row r="539" spans="1:6" x14ac:dyDescent="0.35">
      <c r="A539" s="60">
        <v>37803</v>
      </c>
      <c r="B539" s="58">
        <f>VLOOKUP(Table534567910[[#This Row],[Date]],Database!A:E,MATCH($A$1,Database!$A$1:$E$1,),)</f>
        <v>84.948999999999998</v>
      </c>
      <c r="C539" s="9">
        <f t="shared" si="8"/>
        <v>2.4900280865727126E-3</v>
      </c>
      <c r="D539" s="7">
        <f>(Table534567910[[#This Row],[Value]]-B527)/B527</f>
        <v>1.5747560742299514E-2</v>
      </c>
      <c r="E539" s="16">
        <v>0.02</v>
      </c>
      <c r="F539" s="15">
        <v>1</v>
      </c>
    </row>
    <row r="540" spans="1:6" x14ac:dyDescent="0.35">
      <c r="A540" s="60">
        <v>37834</v>
      </c>
      <c r="B540" s="58">
        <f>VLOOKUP(Table534567910[[#This Row],[Date]],Database!A:E,MATCH($A$1,Database!$A$1:$E$1,),)</f>
        <v>85.045000000000002</v>
      </c>
      <c r="C540" s="9">
        <f t="shared" si="8"/>
        <v>1.1300898185970835E-3</v>
      </c>
      <c r="D540" s="7">
        <f>(Table534567910[[#This Row],[Value]]-B528)/B528</f>
        <v>1.4893134599090715E-2</v>
      </c>
      <c r="E540" s="16">
        <v>0.02</v>
      </c>
      <c r="F540" s="15">
        <v>1</v>
      </c>
    </row>
    <row r="541" spans="1:6" x14ac:dyDescent="0.35">
      <c r="A541" s="60">
        <v>37865</v>
      </c>
      <c r="B541" s="58">
        <f>VLOOKUP(Table534567910[[#This Row],[Date]],Database!A:E,MATCH($A$1,Database!$A$1:$E$1,),)</f>
        <v>85.164000000000001</v>
      </c>
      <c r="C541" s="9">
        <f t="shared" si="8"/>
        <v>1.3992592157093277E-3</v>
      </c>
      <c r="D541" s="7">
        <f>(Table534567910[[#This Row],[Value]]-B529)/B529</f>
        <v>1.4654371291729263E-2</v>
      </c>
      <c r="E541" s="16">
        <v>0.02</v>
      </c>
      <c r="F541" s="15">
        <v>1</v>
      </c>
    </row>
    <row r="542" spans="1:6" x14ac:dyDescent="0.35">
      <c r="A542" s="60">
        <v>37895</v>
      </c>
      <c r="B542" s="58">
        <f>VLOOKUP(Table534567910[[#This Row],[Date]],Database!A:E,MATCH($A$1,Database!$A$1:$E$1,),)</f>
        <v>85.32</v>
      </c>
      <c r="C542" s="9">
        <f t="shared" si="8"/>
        <v>1.831759898548585E-3</v>
      </c>
      <c r="D542" s="7">
        <f>(Table534567910[[#This Row],[Value]]-B530)/B530</f>
        <v>1.5653830129158951E-2</v>
      </c>
      <c r="E542" s="16">
        <v>0.02</v>
      </c>
      <c r="F542" s="15">
        <v>1</v>
      </c>
    </row>
    <row r="543" spans="1:6" x14ac:dyDescent="0.35">
      <c r="A543" s="60">
        <v>37926</v>
      </c>
      <c r="B543" s="58">
        <f>VLOOKUP(Table534567910[[#This Row],[Date]],Database!A:E,MATCH($A$1,Database!$A$1:$E$1,),)</f>
        <v>85.436999999999998</v>
      </c>
      <c r="C543" s="9">
        <f t="shared" si="8"/>
        <v>1.3713080168776893E-3</v>
      </c>
      <c r="D543" s="7">
        <f>(Table534567910[[#This Row],[Value]]-B531)/B531</f>
        <v>1.6054800385315142E-2</v>
      </c>
      <c r="E543" s="16">
        <v>0.02</v>
      </c>
      <c r="F543" s="15">
        <v>1</v>
      </c>
    </row>
    <row r="544" spans="1:6" x14ac:dyDescent="0.35">
      <c r="A544" s="60">
        <v>37956</v>
      </c>
      <c r="B544" s="58">
        <f>VLOOKUP(Table534567910[[#This Row],[Date]],Database!A:E,MATCH($A$1,Database!$A$1:$E$1,),)</f>
        <v>85.543999999999997</v>
      </c>
      <c r="C544" s="9">
        <f t="shared" si="8"/>
        <v>1.252384798155358E-3</v>
      </c>
      <c r="D544" s="7">
        <f>(Table534567910[[#This Row],[Value]]-B532)/B532</f>
        <v>1.6384482861046643E-2</v>
      </c>
      <c r="E544" s="16">
        <v>0.02</v>
      </c>
      <c r="F544" s="15">
        <v>1</v>
      </c>
    </row>
    <row r="545" spans="1:6" x14ac:dyDescent="0.35">
      <c r="A545" s="60">
        <v>37987</v>
      </c>
      <c r="B545" s="58">
        <f>VLOOKUP(Table534567910[[#This Row],[Date]],Database!A:E,MATCH($A$1,Database!$A$1:$E$1,),)</f>
        <v>85.763000000000005</v>
      </c>
      <c r="C545" s="9">
        <f t="shared" si="8"/>
        <v>2.5600860375947854E-3</v>
      </c>
      <c r="D545" s="7">
        <f>(Table534567910[[#This Row],[Value]]-B533)/B533</f>
        <v>1.828479156524947E-2</v>
      </c>
      <c r="E545" s="16">
        <v>0.02</v>
      </c>
      <c r="F545" s="15">
        <v>1</v>
      </c>
    </row>
    <row r="546" spans="1:6" x14ac:dyDescent="0.35">
      <c r="A546" s="60">
        <v>38018</v>
      </c>
      <c r="B546" s="58">
        <f>VLOOKUP(Table534567910[[#This Row],[Date]],Database!A:E,MATCH($A$1,Database!$A$1:$E$1,),)</f>
        <v>85.902000000000001</v>
      </c>
      <c r="C546" s="9">
        <f t="shared" si="8"/>
        <v>1.6207455429497078E-3</v>
      </c>
      <c r="D546" s="7">
        <f>(Table534567910[[#This Row],[Value]]-B534)/B534</f>
        <v>1.8532351581119082E-2</v>
      </c>
      <c r="E546" s="16">
        <v>0.02</v>
      </c>
      <c r="F546" s="15">
        <v>1</v>
      </c>
    </row>
    <row r="547" spans="1:6" x14ac:dyDescent="0.35">
      <c r="A547" s="60">
        <v>38047</v>
      </c>
      <c r="B547" s="58">
        <f>VLOOKUP(Table534567910[[#This Row],[Date]],Database!A:E,MATCH($A$1,Database!$A$1:$E$1,),)</f>
        <v>86.046000000000006</v>
      </c>
      <c r="C547" s="9">
        <f t="shared" si="8"/>
        <v>1.6763288398408123E-3</v>
      </c>
      <c r="D547" s="7">
        <f>(Table534567910[[#This Row],[Value]]-B535)/B535</f>
        <v>1.8609276227004791E-2</v>
      </c>
      <c r="E547" s="16">
        <v>0.02</v>
      </c>
      <c r="F547" s="15">
        <v>1</v>
      </c>
    </row>
    <row r="548" spans="1:6" x14ac:dyDescent="0.35">
      <c r="A548" s="60">
        <v>38078</v>
      </c>
      <c r="B548" s="58">
        <f>VLOOKUP(Table534567910[[#This Row],[Date]],Database!A:E,MATCH($A$1,Database!$A$1:$E$1,),)</f>
        <v>86.27</v>
      </c>
      <c r="C548" s="9">
        <f t="shared" si="8"/>
        <v>2.6032587220787664E-3</v>
      </c>
      <c r="D548" s="7">
        <f>(Table534567910[[#This Row],[Value]]-B536)/B536</f>
        <v>2.012581591145585E-2</v>
      </c>
      <c r="E548" s="16">
        <v>0.02</v>
      </c>
      <c r="F548" s="15">
        <v>1</v>
      </c>
    </row>
    <row r="549" spans="1:6" x14ac:dyDescent="0.35">
      <c r="A549" s="60">
        <v>38108</v>
      </c>
      <c r="B549" s="58">
        <f>VLOOKUP(Table534567910[[#This Row],[Date]],Database!A:E,MATCH($A$1,Database!$A$1:$E$1,),)</f>
        <v>86.388000000000005</v>
      </c>
      <c r="C549" s="9">
        <f t="shared" si="8"/>
        <v>1.3677987712995157E-3</v>
      </c>
      <c r="D549" s="7">
        <f>(Table534567910[[#This Row],[Value]]-B537)/B537</f>
        <v>2.0049592631951912E-2</v>
      </c>
      <c r="E549" s="16">
        <v>0.02</v>
      </c>
      <c r="F549" s="15">
        <v>1</v>
      </c>
    </row>
    <row r="550" spans="1:6" x14ac:dyDescent="0.35">
      <c r="A550" s="60">
        <v>38139</v>
      </c>
      <c r="B550" s="58">
        <f>VLOOKUP(Table534567910[[#This Row],[Date]],Database!A:E,MATCH($A$1,Database!$A$1:$E$1,),)</f>
        <v>86.525000000000006</v>
      </c>
      <c r="C550" s="9">
        <f t="shared" si="8"/>
        <v>1.5858684076492156E-3</v>
      </c>
      <c r="D550" s="7">
        <f>(Table534567910[[#This Row],[Value]]-B538)/B538</f>
        <v>2.1088531709504664E-2</v>
      </c>
      <c r="E550" s="16">
        <v>0.02</v>
      </c>
      <c r="F550" s="15">
        <v>1.25</v>
      </c>
    </row>
    <row r="551" spans="1:6" x14ac:dyDescent="0.35">
      <c r="A551" s="60">
        <v>38169</v>
      </c>
      <c r="B551" s="58">
        <f>VLOOKUP(Table534567910[[#This Row],[Date]],Database!A:E,MATCH($A$1,Database!$A$1:$E$1,),)</f>
        <v>86.628</v>
      </c>
      <c r="C551" s="9">
        <f t="shared" si="8"/>
        <v>1.1904073967060897E-3</v>
      </c>
      <c r="D551" s="7">
        <f>(Table534567910[[#This Row],[Value]]-B539)/B539</f>
        <v>1.9764800056504515E-2</v>
      </c>
      <c r="E551" s="16">
        <v>0.02</v>
      </c>
      <c r="F551" s="15">
        <v>1.25</v>
      </c>
    </row>
    <row r="552" spans="1:6" x14ac:dyDescent="0.35">
      <c r="A552" s="60">
        <v>38200</v>
      </c>
      <c r="B552" s="58">
        <f>VLOOKUP(Table534567910[[#This Row],[Date]],Database!A:E,MATCH($A$1,Database!$A$1:$E$1,),)</f>
        <v>86.661000000000001</v>
      </c>
      <c r="C552" s="9">
        <f t="shared" si="8"/>
        <v>3.8093918825323511E-4</v>
      </c>
      <c r="D552" s="7">
        <f>(Table534567910[[#This Row],[Value]]-B540)/B540</f>
        <v>1.9001704979716615E-2</v>
      </c>
      <c r="E552" s="16">
        <v>0.02</v>
      </c>
      <c r="F552" s="15">
        <v>1.5</v>
      </c>
    </row>
    <row r="553" spans="1:6" x14ac:dyDescent="0.35">
      <c r="A553" s="60">
        <v>38231</v>
      </c>
      <c r="B553" s="58">
        <f>VLOOKUP(Table534567910[[#This Row],[Date]],Database!A:E,MATCH($A$1,Database!$A$1:$E$1,),)</f>
        <v>86.822999999999993</v>
      </c>
      <c r="C553" s="9">
        <f t="shared" si="8"/>
        <v>1.8693529961573479E-3</v>
      </c>
      <c r="D553" s="7">
        <f>(Table534567910[[#This Row],[Value]]-B541)/B541</f>
        <v>1.9480061998027241E-2</v>
      </c>
      <c r="E553" s="16">
        <v>0.02</v>
      </c>
      <c r="F553" s="15">
        <v>1.75</v>
      </c>
    </row>
    <row r="554" spans="1:6" x14ac:dyDescent="0.35">
      <c r="A554" s="60">
        <v>38261</v>
      </c>
      <c r="B554" s="58">
        <f>VLOOKUP(Table534567910[[#This Row],[Date]],Database!A:E,MATCH($A$1,Database!$A$1:$E$1,),)</f>
        <v>87.012</v>
      </c>
      <c r="C554" s="9">
        <f t="shared" si="8"/>
        <v>2.1768425417228979E-3</v>
      </c>
      <c r="D554" s="7">
        <f>(Table534567910[[#This Row],[Value]]-B542)/B542</f>
        <v>1.9831223628692069E-2</v>
      </c>
      <c r="E554" s="16">
        <v>0.02</v>
      </c>
      <c r="F554" s="15">
        <v>1.75</v>
      </c>
    </row>
    <row r="555" spans="1:6" x14ac:dyDescent="0.35">
      <c r="A555" s="60">
        <v>38292</v>
      </c>
      <c r="B555" s="58">
        <f>VLOOKUP(Table534567910[[#This Row],[Date]],Database!A:E,MATCH($A$1,Database!$A$1:$E$1,),)</f>
        <v>87.198999999999998</v>
      </c>
      <c r="C555" s="9">
        <f t="shared" si="8"/>
        <v>2.1491288557899785E-3</v>
      </c>
      <c r="D555" s="7">
        <f>(Table534567910[[#This Row],[Value]]-B543)/B543</f>
        <v>2.0623383311679958E-2</v>
      </c>
      <c r="E555" s="16">
        <v>0.02</v>
      </c>
      <c r="F555" s="15">
        <v>2</v>
      </c>
    </row>
    <row r="556" spans="1:6" x14ac:dyDescent="0.35">
      <c r="A556" s="60">
        <v>38322</v>
      </c>
      <c r="B556" s="58">
        <f>VLOOKUP(Table534567910[[#This Row],[Date]],Database!A:E,MATCH($A$1,Database!$A$1:$E$1,),)</f>
        <v>87.311000000000007</v>
      </c>
      <c r="C556" s="9">
        <f t="shared" si="8"/>
        <v>1.2844183992936728E-3</v>
      </c>
      <c r="D556" s="7">
        <f>(Table534567910[[#This Row],[Value]]-B544)/B544</f>
        <v>2.0656036659496987E-2</v>
      </c>
      <c r="E556" s="16">
        <v>0.02</v>
      </c>
      <c r="F556" s="15">
        <v>2.25</v>
      </c>
    </row>
    <row r="557" spans="1:6" x14ac:dyDescent="0.35">
      <c r="A557" s="60">
        <v>38353</v>
      </c>
      <c r="B557" s="58">
        <f>VLOOKUP(Table534567910[[#This Row],[Date]],Database!A:E,MATCH($A$1,Database!$A$1:$E$1,),)</f>
        <v>87.625</v>
      </c>
      <c r="C557" s="9">
        <f t="shared" si="8"/>
        <v>3.5963395219387353E-3</v>
      </c>
      <c r="D557" s="7">
        <f>(Table534567910[[#This Row],[Value]]-B545)/B545</f>
        <v>2.171099425160028E-2</v>
      </c>
      <c r="E557" s="16">
        <v>0.02</v>
      </c>
      <c r="F557" s="15">
        <v>2.25</v>
      </c>
    </row>
    <row r="558" spans="1:6" x14ac:dyDescent="0.35">
      <c r="A558" s="60">
        <v>38384</v>
      </c>
      <c r="B558" s="58">
        <f>VLOOKUP(Table534567910[[#This Row],[Date]],Database!A:E,MATCH($A$1,Database!$A$1:$E$1,),)</f>
        <v>87.77</v>
      </c>
      <c r="C558" s="9">
        <f t="shared" si="8"/>
        <v>1.6547788873038061E-3</v>
      </c>
      <c r="D558" s="7">
        <f>(Table534567910[[#This Row],[Value]]-B546)/B546</f>
        <v>2.17457102279341E-2</v>
      </c>
      <c r="E558" s="16">
        <v>0.02</v>
      </c>
      <c r="F558" s="15">
        <v>2.5</v>
      </c>
    </row>
    <row r="559" spans="1:6" x14ac:dyDescent="0.35">
      <c r="A559" s="60">
        <v>38412</v>
      </c>
      <c r="B559" s="58">
        <f>VLOOKUP(Table534567910[[#This Row],[Date]],Database!A:E,MATCH($A$1,Database!$A$1:$E$1,),)</f>
        <v>87.986999999999995</v>
      </c>
      <c r="C559" s="9">
        <f t="shared" si="8"/>
        <v>2.4723709695795688E-3</v>
      </c>
      <c r="D559" s="7">
        <f>(Table534567910[[#This Row],[Value]]-B547)/B547</f>
        <v>2.2557701694442371E-2</v>
      </c>
      <c r="E559" s="16">
        <v>0.02</v>
      </c>
      <c r="F559" s="15">
        <v>2.75</v>
      </c>
    </row>
    <row r="560" spans="1:6" x14ac:dyDescent="0.35">
      <c r="A560" s="60">
        <v>38443</v>
      </c>
      <c r="B560" s="58">
        <f>VLOOKUP(Table534567910[[#This Row],[Date]],Database!A:E,MATCH($A$1,Database!$A$1:$E$1,),)</f>
        <v>88.088999999999999</v>
      </c>
      <c r="C560" s="9">
        <f t="shared" si="8"/>
        <v>1.1592621637287767E-3</v>
      </c>
      <c r="D560" s="7">
        <f>(Table534567910[[#This Row],[Value]]-B548)/B548</f>
        <v>2.1084965805030748E-2</v>
      </c>
      <c r="E560" s="16">
        <v>0.02</v>
      </c>
      <c r="F560" s="15">
        <v>2.75</v>
      </c>
    </row>
    <row r="561" spans="1:6" x14ac:dyDescent="0.35">
      <c r="A561" s="60">
        <v>38473</v>
      </c>
      <c r="B561" s="58">
        <f>VLOOKUP(Table534567910[[#This Row],[Date]],Database!A:E,MATCH($A$1,Database!$A$1:$E$1,),)</f>
        <v>88.269000000000005</v>
      </c>
      <c r="C561" s="9">
        <f t="shared" si="8"/>
        <v>2.043387937199955E-3</v>
      </c>
      <c r="D561" s="7">
        <f>(Table534567910[[#This Row],[Value]]-B549)/B549</f>
        <v>2.1773857480205584E-2</v>
      </c>
      <c r="E561" s="16">
        <v>0.02</v>
      </c>
      <c r="F561" s="15">
        <v>3</v>
      </c>
    </row>
    <row r="562" spans="1:6" x14ac:dyDescent="0.35">
      <c r="A562" s="60">
        <v>38504</v>
      </c>
      <c r="B562" s="58">
        <f>VLOOKUP(Table534567910[[#This Row],[Date]],Database!A:E,MATCH($A$1,Database!$A$1:$E$1,),)</f>
        <v>88.33</v>
      </c>
      <c r="C562" s="9">
        <f t="shared" si="8"/>
        <v>6.910693448435219E-4</v>
      </c>
      <c r="D562" s="7">
        <f>(Table534567910[[#This Row],[Value]]-B550)/B550</f>
        <v>2.0861022825772811E-2</v>
      </c>
      <c r="E562" s="16">
        <v>0.02</v>
      </c>
      <c r="F562" s="15">
        <v>3.25</v>
      </c>
    </row>
    <row r="563" spans="1:6" x14ac:dyDescent="0.35">
      <c r="A563" s="60">
        <v>38534</v>
      </c>
      <c r="B563" s="58">
        <f>VLOOKUP(Table534567910[[#This Row],[Date]],Database!A:E,MATCH($A$1,Database!$A$1:$E$1,),)</f>
        <v>88.46</v>
      </c>
      <c r="C563" s="9">
        <f t="shared" si="8"/>
        <v>1.4717536510811214E-3</v>
      </c>
      <c r="D563" s="7">
        <f>(Table534567910[[#This Row],[Value]]-B551)/B551</f>
        <v>2.1147896753936298E-2</v>
      </c>
      <c r="E563" s="16">
        <v>0.02</v>
      </c>
      <c r="F563" s="15">
        <v>3.25</v>
      </c>
    </row>
    <row r="564" spans="1:6" x14ac:dyDescent="0.35">
      <c r="A564" s="60">
        <v>38565</v>
      </c>
      <c r="B564" s="58">
        <f>VLOOKUP(Table534567910[[#This Row],[Date]],Database!A:E,MATCH($A$1,Database!$A$1:$E$1,),)</f>
        <v>88.531999999999996</v>
      </c>
      <c r="C564" s="9">
        <f t="shared" si="8"/>
        <v>8.1392719873392189E-4</v>
      </c>
      <c r="D564" s="7">
        <f>(Table534567910[[#This Row],[Value]]-B552)/B552</f>
        <v>2.1589873184015822E-2</v>
      </c>
      <c r="E564" s="16">
        <v>0.02</v>
      </c>
      <c r="F564" s="15">
        <v>3.5</v>
      </c>
    </row>
    <row r="565" spans="1:6" x14ac:dyDescent="0.35">
      <c r="A565" s="60">
        <v>38596</v>
      </c>
      <c r="B565" s="58">
        <f>VLOOKUP(Table534567910[[#This Row],[Date]],Database!A:E,MATCH($A$1,Database!$A$1:$E$1,),)</f>
        <v>88.727999999999994</v>
      </c>
      <c r="C565" s="9">
        <f t="shared" si="8"/>
        <v>2.2138887633849679E-3</v>
      </c>
      <c r="D565" s="7">
        <f>(Table534567910[[#This Row],[Value]]-B553)/B553</f>
        <v>2.1941190698317282E-2</v>
      </c>
      <c r="E565" s="16">
        <v>0.02</v>
      </c>
      <c r="F565" s="15">
        <v>3.75</v>
      </c>
    </row>
    <row r="566" spans="1:6" x14ac:dyDescent="0.35">
      <c r="A566" s="60">
        <v>38626</v>
      </c>
      <c r="B566" s="58">
        <f>VLOOKUP(Table534567910[[#This Row],[Date]],Database!A:E,MATCH($A$1,Database!$A$1:$E$1,),)</f>
        <v>88.981999999999999</v>
      </c>
      <c r="C566" s="9">
        <f t="shared" si="8"/>
        <v>2.8626814534307649E-3</v>
      </c>
      <c r="D566" s="7">
        <f>(Table534567910[[#This Row],[Value]]-B554)/B554</f>
        <v>2.2640555325702187E-2</v>
      </c>
      <c r="E566" s="16">
        <v>0.02</v>
      </c>
      <c r="F566" s="15">
        <v>3.75</v>
      </c>
    </row>
    <row r="567" spans="1:6" x14ac:dyDescent="0.35">
      <c r="A567" s="60">
        <v>38657</v>
      </c>
      <c r="B567" s="58">
        <f>VLOOKUP(Table534567910[[#This Row],[Date]],Database!A:E,MATCH($A$1,Database!$A$1:$E$1,),)</f>
        <v>89.21</v>
      </c>
      <c r="C567" s="9">
        <f t="shared" si="8"/>
        <v>2.5623159740171546E-3</v>
      </c>
      <c r="D567" s="7">
        <f>(Table534567910[[#This Row],[Value]]-B555)/B555</f>
        <v>2.3062191080172888E-2</v>
      </c>
      <c r="E567" s="16">
        <v>0.02</v>
      </c>
      <c r="F567" s="15">
        <v>4</v>
      </c>
    </row>
    <row r="568" spans="1:6" x14ac:dyDescent="0.35">
      <c r="A568" s="60">
        <v>38687</v>
      </c>
      <c r="B568" s="58">
        <f>VLOOKUP(Table534567910[[#This Row],[Date]],Database!A:E,MATCH($A$1,Database!$A$1:$E$1,),)</f>
        <v>89.302000000000007</v>
      </c>
      <c r="C568" s="9">
        <f t="shared" si="8"/>
        <v>1.0312745207937783E-3</v>
      </c>
      <c r="D568" s="7">
        <f>(Table534567910[[#This Row],[Value]]-B556)/B556</f>
        <v>2.2803541363631153E-2</v>
      </c>
      <c r="E568" s="16">
        <v>0.02</v>
      </c>
      <c r="F568" s="15">
        <v>4.25</v>
      </c>
    </row>
    <row r="569" spans="1:6" x14ac:dyDescent="0.35">
      <c r="A569" s="60">
        <v>38718</v>
      </c>
      <c r="B569" s="58">
        <f>VLOOKUP(Table534567910[[#This Row],[Date]],Database!A:E,MATCH($A$1,Database!$A$1:$E$1,),)</f>
        <v>89.503</v>
      </c>
      <c r="C569" s="9">
        <f t="shared" si="8"/>
        <v>2.250789456003151E-3</v>
      </c>
      <c r="D569" s="7">
        <f>(Table534567910[[#This Row],[Value]]-B557)/B557</f>
        <v>2.1432239657631955E-2</v>
      </c>
      <c r="E569" s="16">
        <v>0.02</v>
      </c>
      <c r="F569" s="15">
        <v>4.5</v>
      </c>
    </row>
    <row r="570" spans="1:6" x14ac:dyDescent="0.35">
      <c r="A570" s="60">
        <v>38749</v>
      </c>
      <c r="B570" s="58">
        <f>VLOOKUP(Table534567910[[#This Row],[Date]],Database!A:E,MATCH($A$1,Database!$A$1:$E$1,),)</f>
        <v>89.647000000000006</v>
      </c>
      <c r="C570" s="9">
        <f t="shared" si="8"/>
        <v>1.6088846183927405E-3</v>
      </c>
      <c r="D570" s="7">
        <f>(Table534567910[[#This Row],[Value]]-B558)/B558</f>
        <v>2.1385439216133183E-2</v>
      </c>
      <c r="E570" s="16">
        <v>0.02</v>
      </c>
      <c r="F570" s="15">
        <v>4.5</v>
      </c>
    </row>
    <row r="571" spans="1:6" x14ac:dyDescent="0.35">
      <c r="A571" s="60">
        <v>38777</v>
      </c>
      <c r="B571" s="58">
        <f>VLOOKUP(Table534567910[[#This Row],[Date]],Database!A:E,MATCH($A$1,Database!$A$1:$E$1,),)</f>
        <v>89.894000000000005</v>
      </c>
      <c r="C571" s="9">
        <f t="shared" si="8"/>
        <v>2.7552511517395994E-3</v>
      </c>
      <c r="D571" s="7">
        <f>(Table534567910[[#This Row],[Value]]-B559)/B559</f>
        <v>2.1673656335595155E-2</v>
      </c>
      <c r="E571" s="16">
        <v>0.02</v>
      </c>
      <c r="F571" s="15">
        <v>4.75</v>
      </c>
    </row>
    <row r="572" spans="1:6" x14ac:dyDescent="0.35">
      <c r="A572" s="60">
        <v>38808</v>
      </c>
      <c r="B572" s="58">
        <f>VLOOKUP(Table534567910[[#This Row],[Date]],Database!A:E,MATCH($A$1,Database!$A$1:$E$1,),)</f>
        <v>90.168999999999997</v>
      </c>
      <c r="C572" s="9">
        <f t="shared" si="8"/>
        <v>3.0591585645314643E-3</v>
      </c>
      <c r="D572" s="7">
        <f>(Table534567910[[#This Row],[Value]]-B560)/B560</f>
        <v>2.3612482829865229E-2</v>
      </c>
      <c r="E572" s="16">
        <v>0.02</v>
      </c>
      <c r="F572" s="15">
        <v>4.75</v>
      </c>
    </row>
    <row r="573" spans="1:6" x14ac:dyDescent="0.35">
      <c r="A573" s="60">
        <v>38838</v>
      </c>
      <c r="B573" s="58">
        <f>VLOOKUP(Table534567910[[#This Row],[Date]],Database!A:E,MATCH($A$1,Database!$A$1:$E$1,),)</f>
        <v>90.394999999999996</v>
      </c>
      <c r="C573" s="9">
        <f t="shared" si="8"/>
        <v>2.5064046401756601E-3</v>
      </c>
      <c r="D573" s="7">
        <f>(Table534567910[[#This Row],[Value]]-B561)/B561</f>
        <v>2.4085466018647434E-2</v>
      </c>
      <c r="E573" s="16">
        <v>0.02</v>
      </c>
      <c r="F573" s="15">
        <v>5</v>
      </c>
    </row>
    <row r="574" spans="1:6" x14ac:dyDescent="0.35">
      <c r="A574" s="60">
        <v>38869</v>
      </c>
      <c r="B574" s="58">
        <f>VLOOKUP(Table534567910[[#This Row],[Date]],Database!A:E,MATCH($A$1,Database!$A$1:$E$1,),)</f>
        <v>90.623000000000005</v>
      </c>
      <c r="C574" s="9">
        <f t="shared" si="8"/>
        <v>2.5222633995244056E-3</v>
      </c>
      <c r="D574" s="7">
        <f>(Table534567910[[#This Row],[Value]]-B562)/B562</f>
        <v>2.5959470168685682E-2</v>
      </c>
      <c r="E574" s="16">
        <v>0.02</v>
      </c>
      <c r="F574" s="15">
        <v>5.25</v>
      </c>
    </row>
    <row r="575" spans="1:6" x14ac:dyDescent="0.35">
      <c r="A575" s="60">
        <v>38899</v>
      </c>
      <c r="B575" s="58">
        <f>VLOOKUP(Table534567910[[#This Row],[Date]],Database!A:E,MATCH($A$1,Database!$A$1:$E$1,),)</f>
        <v>90.712000000000003</v>
      </c>
      <c r="C575" s="9">
        <f t="shared" si="8"/>
        <v>9.820906392416786E-4</v>
      </c>
      <c r="D575" s="7">
        <f>(Table534567910[[#This Row],[Value]]-B563)/B563</f>
        <v>2.5457834049287923E-2</v>
      </c>
      <c r="E575" s="16">
        <v>0.02</v>
      </c>
      <c r="F575" s="15">
        <v>5.25</v>
      </c>
    </row>
    <row r="576" spans="1:6" x14ac:dyDescent="0.35">
      <c r="A576" s="60">
        <v>38930</v>
      </c>
      <c r="B576" s="58">
        <f>VLOOKUP(Table534567910[[#This Row],[Date]],Database!A:E,MATCH($A$1,Database!$A$1:$E$1,),)</f>
        <v>90.896000000000001</v>
      </c>
      <c r="C576" s="9">
        <f t="shared" si="8"/>
        <v>2.0283975659228931E-3</v>
      </c>
      <c r="D576" s="7">
        <f>(Table534567910[[#This Row],[Value]]-B564)/B564</f>
        <v>2.6702209370623103E-2</v>
      </c>
      <c r="E576" s="16">
        <v>0.02</v>
      </c>
      <c r="F576" s="15">
        <v>5.25</v>
      </c>
    </row>
    <row r="577" spans="1:6" x14ac:dyDescent="0.35">
      <c r="A577" s="60">
        <v>38961</v>
      </c>
      <c r="B577" s="58">
        <f>VLOOKUP(Table534567910[[#This Row],[Date]],Database!A:E,MATCH($A$1,Database!$A$1:$E$1,),)</f>
        <v>91.04</v>
      </c>
      <c r="C577" s="9">
        <f t="shared" si="8"/>
        <v>1.5842281288506144E-3</v>
      </c>
      <c r="D577" s="7">
        <f>(Table534567910[[#This Row],[Value]]-B565)/B565</f>
        <v>2.6057163465873365E-2</v>
      </c>
      <c r="E577" s="16">
        <v>0.02</v>
      </c>
      <c r="F577" s="15">
        <v>5.25</v>
      </c>
    </row>
    <row r="578" spans="1:6" x14ac:dyDescent="0.35">
      <c r="A578" s="60">
        <v>38991</v>
      </c>
      <c r="B578" s="58">
        <f>VLOOKUP(Table534567910[[#This Row],[Date]],Database!A:E,MATCH($A$1,Database!$A$1:$E$1,),)</f>
        <v>91.203999999999994</v>
      </c>
      <c r="C578" s="9">
        <f t="shared" si="8"/>
        <v>1.8014059753952906E-3</v>
      </c>
      <c r="D578" s="7">
        <f>(Table534567910[[#This Row],[Value]]-B566)/B566</f>
        <v>2.4971342518711585E-2</v>
      </c>
      <c r="E578" s="16">
        <v>0.02</v>
      </c>
      <c r="F578" s="15">
        <v>5.25</v>
      </c>
    </row>
    <row r="579" spans="1:6" x14ac:dyDescent="0.35">
      <c r="A579" s="60">
        <v>39022</v>
      </c>
      <c r="B579" s="58">
        <f>VLOOKUP(Table534567910[[#This Row],[Date]],Database!A:E,MATCH($A$1,Database!$A$1:$E$1,),)</f>
        <v>91.248000000000005</v>
      </c>
      <c r="C579" s="9">
        <f t="shared" si="8"/>
        <v>4.824349809220116E-4</v>
      </c>
      <c r="D579" s="7">
        <f>(Table534567910[[#This Row],[Value]]-B567)/B567</f>
        <v>2.2844972536711253E-2</v>
      </c>
      <c r="E579" s="16">
        <v>0.02</v>
      </c>
      <c r="F579" s="15">
        <v>5.25</v>
      </c>
    </row>
    <row r="580" spans="1:6" x14ac:dyDescent="0.35">
      <c r="A580" s="60">
        <v>39052</v>
      </c>
      <c r="B580" s="58">
        <f>VLOOKUP(Table534567910[[#This Row],[Date]],Database!A:E,MATCH($A$1,Database!$A$1:$E$1,),)</f>
        <v>91.37</v>
      </c>
      <c r="C580" s="9">
        <f t="shared" si="8"/>
        <v>1.337015605821496E-3</v>
      </c>
      <c r="D580" s="7">
        <f>(Table534567910[[#This Row],[Value]]-B568)/B568</f>
        <v>2.3157376094600318E-2</v>
      </c>
      <c r="E580" s="16">
        <v>0.02</v>
      </c>
      <c r="F580" s="15">
        <v>5.25</v>
      </c>
    </row>
    <row r="581" spans="1:6" x14ac:dyDescent="0.35">
      <c r="A581" s="60">
        <v>39083</v>
      </c>
      <c r="B581" s="58">
        <f>VLOOKUP(Table534567910[[#This Row],[Date]],Database!A:E,MATCH($A$1,Database!$A$1:$E$1,),)</f>
        <v>91.741</v>
      </c>
      <c r="C581" s="9">
        <f t="shared" si="8"/>
        <v>4.0604137025281282E-3</v>
      </c>
      <c r="D581" s="7">
        <f>(Table534567910[[#This Row],[Value]]-B569)/B569</f>
        <v>2.5004748444186223E-2</v>
      </c>
      <c r="E581" s="16">
        <v>0.02</v>
      </c>
      <c r="F581" s="15">
        <v>5.25</v>
      </c>
    </row>
    <row r="582" spans="1:6" x14ac:dyDescent="0.35">
      <c r="A582" s="60">
        <v>39114</v>
      </c>
      <c r="B582" s="58">
        <f>VLOOKUP(Table534567910[[#This Row],[Date]],Database!A:E,MATCH($A$1,Database!$A$1:$E$1,),)</f>
        <v>91.938999999999993</v>
      </c>
      <c r="C582" s="9">
        <f t="shared" ref="C582:C645" si="9">(B582-B581)/B581</f>
        <v>2.1582498555715907E-3</v>
      </c>
      <c r="D582" s="7">
        <f>(Table534567910[[#This Row],[Value]]-B570)/B570</f>
        <v>2.5566945910069354E-2</v>
      </c>
      <c r="E582" s="16">
        <v>0.02</v>
      </c>
      <c r="F582" s="15">
        <v>5.25</v>
      </c>
    </row>
    <row r="583" spans="1:6" x14ac:dyDescent="0.35">
      <c r="A583" s="60">
        <v>39142</v>
      </c>
      <c r="B583" s="58">
        <f>VLOOKUP(Table534567910[[#This Row],[Date]],Database!A:E,MATCH($A$1,Database!$A$1:$E$1,),)</f>
        <v>92.031999999999996</v>
      </c>
      <c r="C583" s="9">
        <f t="shared" si="9"/>
        <v>1.0115402603900797E-3</v>
      </c>
      <c r="D583" s="7">
        <f>(Table534567910[[#This Row],[Value]]-B571)/B571</f>
        <v>2.3783567312612532E-2</v>
      </c>
      <c r="E583" s="16">
        <v>0.02</v>
      </c>
      <c r="F583" s="15">
        <v>5.25</v>
      </c>
    </row>
    <row r="584" spans="1:6" x14ac:dyDescent="0.35">
      <c r="A584" s="60">
        <v>39173</v>
      </c>
      <c r="B584" s="58">
        <f>VLOOKUP(Table534567910[[#This Row],[Date]],Database!A:E,MATCH($A$1,Database!$A$1:$E$1,),)</f>
        <v>92.162999999999997</v>
      </c>
      <c r="C584" s="9">
        <f t="shared" si="9"/>
        <v>1.423417941585538E-3</v>
      </c>
      <c r="D584" s="7">
        <f>(Table534567910[[#This Row],[Value]]-B572)/B572</f>
        <v>2.2114030320841974E-2</v>
      </c>
      <c r="E584" s="16">
        <v>0.02</v>
      </c>
      <c r="F584" s="15">
        <v>5.25</v>
      </c>
    </row>
    <row r="585" spans="1:6" x14ac:dyDescent="0.35">
      <c r="A585" s="60">
        <v>39203</v>
      </c>
      <c r="B585" s="58">
        <f>VLOOKUP(Table534567910[[#This Row],[Date]],Database!A:E,MATCH($A$1,Database!$A$1:$E$1,),)</f>
        <v>92.272000000000006</v>
      </c>
      <c r="C585" s="9">
        <f t="shared" si="9"/>
        <v>1.1826871955123951E-3</v>
      </c>
      <c r="D585" s="7">
        <f>(Table534567910[[#This Row],[Value]]-B573)/B573</f>
        <v>2.0764422810996289E-2</v>
      </c>
      <c r="E585" s="16">
        <v>0.02</v>
      </c>
      <c r="F585" s="15">
        <v>5.25</v>
      </c>
    </row>
    <row r="586" spans="1:6" x14ac:dyDescent="0.35">
      <c r="A586" s="60">
        <v>39234</v>
      </c>
      <c r="B586" s="58">
        <f>VLOOKUP(Table534567910[[#This Row],[Date]],Database!A:E,MATCH($A$1,Database!$A$1:$E$1,),)</f>
        <v>92.424000000000007</v>
      </c>
      <c r="C586" s="9">
        <f t="shared" si="9"/>
        <v>1.6473036240679838E-3</v>
      </c>
      <c r="D586" s="7">
        <f>(Table534567910[[#This Row],[Value]]-B574)/B574</f>
        <v>1.9873542036789798E-2</v>
      </c>
      <c r="E586" s="16">
        <v>0.02</v>
      </c>
      <c r="F586" s="15">
        <v>5.25</v>
      </c>
    </row>
    <row r="587" spans="1:6" x14ac:dyDescent="0.35">
      <c r="A587" s="60">
        <v>39264</v>
      </c>
      <c r="B587" s="58">
        <f>VLOOKUP(Table534567910[[#This Row],[Date]],Database!A:E,MATCH($A$1,Database!$A$1:$E$1,),)</f>
        <v>92.563000000000002</v>
      </c>
      <c r="C587" s="9">
        <f t="shared" si="9"/>
        <v>1.5039383709858456E-3</v>
      </c>
      <c r="D587" s="7">
        <f>(Table534567910[[#This Row],[Value]]-B575)/B575</f>
        <v>2.0405238557191983E-2</v>
      </c>
      <c r="E587" s="16">
        <v>0.02</v>
      </c>
      <c r="F587" s="15">
        <v>5.25</v>
      </c>
    </row>
    <row r="588" spans="1:6" x14ac:dyDescent="0.35">
      <c r="A588" s="60">
        <v>39295</v>
      </c>
      <c r="B588" s="58">
        <f>VLOOKUP(Table534567910[[#This Row],[Date]],Database!A:E,MATCH($A$1,Database!$A$1:$E$1,),)</f>
        <v>92.700999999999993</v>
      </c>
      <c r="C588" s="9">
        <f t="shared" si="9"/>
        <v>1.4908764841242291E-3</v>
      </c>
      <c r="D588" s="7">
        <f>(Table534567910[[#This Row],[Value]]-B576)/B576</f>
        <v>1.9857859531772493E-2</v>
      </c>
      <c r="E588" s="16">
        <v>0.02</v>
      </c>
      <c r="F588" s="15">
        <v>5.25</v>
      </c>
    </row>
    <row r="589" spans="1:6" x14ac:dyDescent="0.35">
      <c r="A589" s="60">
        <v>39326</v>
      </c>
      <c r="B589" s="58">
        <f>VLOOKUP(Table534567910[[#This Row],[Date]],Database!A:E,MATCH($A$1,Database!$A$1:$E$1,),)</f>
        <v>92.953999999999994</v>
      </c>
      <c r="C589" s="9">
        <f t="shared" si="9"/>
        <v>2.7292046471990607E-3</v>
      </c>
      <c r="D589" s="7">
        <f>(Table534567910[[#This Row],[Value]]-B577)/B577</f>
        <v>2.1023725834797748E-2</v>
      </c>
      <c r="E589" s="16">
        <v>0.02</v>
      </c>
      <c r="F589" s="15">
        <v>4.75</v>
      </c>
    </row>
    <row r="590" spans="1:6" x14ac:dyDescent="0.35">
      <c r="A590" s="60">
        <v>39356</v>
      </c>
      <c r="B590" s="58">
        <f>VLOOKUP(Table534567910[[#This Row],[Date]],Database!A:E,MATCH($A$1,Database!$A$1:$E$1,),)</f>
        <v>93.195999999999998</v>
      </c>
      <c r="C590" s="9">
        <f t="shared" si="9"/>
        <v>2.6034382597844574E-3</v>
      </c>
      <c r="D590" s="7">
        <f>(Table534567910[[#This Row],[Value]]-B578)/B578</f>
        <v>2.1841147318100135E-2</v>
      </c>
      <c r="E590" s="16">
        <v>0.02</v>
      </c>
      <c r="F590" s="15">
        <v>4.5</v>
      </c>
    </row>
    <row r="591" spans="1:6" x14ac:dyDescent="0.35">
      <c r="A591" s="60">
        <v>39387</v>
      </c>
      <c r="B591" s="58">
        <f>VLOOKUP(Table534567910[[#This Row],[Date]],Database!A:E,MATCH($A$1,Database!$A$1:$E$1,),)</f>
        <v>93.379000000000005</v>
      </c>
      <c r="C591" s="9">
        <f t="shared" si="9"/>
        <v>1.9636035881369042E-3</v>
      </c>
      <c r="D591" s="7">
        <f>(Table534567910[[#This Row],[Value]]-B579)/B579</f>
        <v>2.3353936524636156E-2</v>
      </c>
      <c r="E591" s="16">
        <v>0.02</v>
      </c>
      <c r="F591" s="15">
        <v>4.5</v>
      </c>
    </row>
    <row r="592" spans="1:6" x14ac:dyDescent="0.35">
      <c r="A592" s="60">
        <v>39417</v>
      </c>
      <c r="B592" s="58">
        <f>VLOOKUP(Table534567910[[#This Row],[Date]],Database!A:E,MATCH($A$1,Database!$A$1:$E$1,),)</f>
        <v>93.566999999999993</v>
      </c>
      <c r="C592" s="9">
        <f t="shared" si="9"/>
        <v>2.0133006350462968E-3</v>
      </c>
      <c r="D592" s="7">
        <f>(Table534567910[[#This Row],[Value]]-B580)/B580</f>
        <v>2.4045091386669458E-2</v>
      </c>
      <c r="E592" s="16">
        <v>0.02</v>
      </c>
      <c r="F592" s="15">
        <v>4.25</v>
      </c>
    </row>
    <row r="593" spans="1:6" x14ac:dyDescent="0.35">
      <c r="A593" s="60">
        <v>39448</v>
      </c>
      <c r="B593" s="58">
        <f>VLOOKUP(Table534567910[[#This Row],[Date]],Database!A:E,MATCH($A$1,Database!$A$1:$E$1,),)</f>
        <v>93.753</v>
      </c>
      <c r="C593" s="9">
        <f t="shared" si="9"/>
        <v>1.9878803424284957E-3</v>
      </c>
      <c r="D593" s="7">
        <f>(Table534567910[[#This Row],[Value]]-B581)/B581</f>
        <v>2.193130661318277E-2</v>
      </c>
      <c r="E593" s="16">
        <v>0.02</v>
      </c>
      <c r="F593" s="15">
        <v>3</v>
      </c>
    </row>
    <row r="594" spans="1:6" x14ac:dyDescent="0.35">
      <c r="A594" s="60">
        <v>39479</v>
      </c>
      <c r="B594" s="58">
        <f>VLOOKUP(Table534567910[[#This Row],[Date]],Database!A:E,MATCH($A$1,Database!$A$1:$E$1,),)</f>
        <v>93.843999999999994</v>
      </c>
      <c r="C594" s="9">
        <f t="shared" si="9"/>
        <v>9.7063560632719989E-4</v>
      </c>
      <c r="D594" s="7">
        <f>(Table534567910[[#This Row],[Value]]-B582)/B582</f>
        <v>2.0720260172505698E-2</v>
      </c>
      <c r="E594" s="16">
        <v>0.02</v>
      </c>
      <c r="F594" s="15">
        <v>3</v>
      </c>
    </row>
    <row r="595" spans="1:6" x14ac:dyDescent="0.35">
      <c r="A595" s="60">
        <v>39508</v>
      </c>
      <c r="B595" s="58">
        <f>VLOOKUP(Table534567910[[#This Row],[Date]],Database!A:E,MATCH($A$1,Database!$A$1:$E$1,),)</f>
        <v>94.028000000000006</v>
      </c>
      <c r="C595" s="9">
        <f t="shared" si="9"/>
        <v>1.9607007373940977E-3</v>
      </c>
      <c r="D595" s="7">
        <f>(Table534567910[[#This Row],[Value]]-B583)/B583</f>
        <v>2.1688108484005666E-2</v>
      </c>
      <c r="E595" s="16">
        <v>0.02</v>
      </c>
      <c r="F595" s="15">
        <v>2.25</v>
      </c>
    </row>
    <row r="596" spans="1:6" x14ac:dyDescent="0.35">
      <c r="A596" s="60">
        <v>39539</v>
      </c>
      <c r="B596" s="58">
        <f>VLOOKUP(Table534567910[[#This Row],[Date]],Database!A:E,MATCH($A$1,Database!$A$1:$E$1,),)</f>
        <v>94.082999999999998</v>
      </c>
      <c r="C596" s="9">
        <f t="shared" si="9"/>
        <v>5.8493214787076839E-4</v>
      </c>
      <c r="D596" s="7">
        <f>(Table534567910[[#This Row],[Value]]-B584)/B584</f>
        <v>2.0832655187005649E-2</v>
      </c>
      <c r="E596" s="16">
        <v>0.02</v>
      </c>
      <c r="F596" s="15">
        <v>2</v>
      </c>
    </row>
    <row r="597" spans="1:6" x14ac:dyDescent="0.35">
      <c r="A597" s="60">
        <v>39569</v>
      </c>
      <c r="B597" s="58">
        <f>VLOOKUP(Table534567910[[#This Row],[Date]],Database!A:E,MATCH($A$1,Database!$A$1:$E$1,),)</f>
        <v>94.254999999999995</v>
      </c>
      <c r="C597" s="9">
        <f t="shared" si="9"/>
        <v>1.8281729961841888E-3</v>
      </c>
      <c r="D597" s="7">
        <f>(Table534567910[[#This Row],[Value]]-B585)/B585</f>
        <v>2.1490809779781406E-2</v>
      </c>
      <c r="E597" s="16">
        <v>0.02</v>
      </c>
      <c r="F597" s="15">
        <v>2</v>
      </c>
    </row>
    <row r="598" spans="1:6" x14ac:dyDescent="0.35">
      <c r="A598" s="60">
        <v>39600</v>
      </c>
      <c r="B598" s="58">
        <f>VLOOKUP(Table534567910[[#This Row],[Date]],Database!A:E,MATCH($A$1,Database!$A$1:$E$1,),)</f>
        <v>94.471000000000004</v>
      </c>
      <c r="C598" s="9">
        <f t="shared" si="9"/>
        <v>2.2916556150868197E-3</v>
      </c>
      <c r="D598" s="7">
        <f>(Table534567910[[#This Row],[Value]]-B586)/B586</f>
        <v>2.2147926945382118E-2</v>
      </c>
      <c r="E598" s="16">
        <v>0.02</v>
      </c>
      <c r="F598" s="15">
        <v>2</v>
      </c>
    </row>
    <row r="599" spans="1:6" x14ac:dyDescent="0.35">
      <c r="A599" s="60">
        <v>39630</v>
      </c>
      <c r="B599" s="58">
        <f>VLOOKUP(Table534567910[[#This Row],[Date]],Database!A:E,MATCH($A$1,Database!$A$1:$E$1,),)</f>
        <v>94.641000000000005</v>
      </c>
      <c r="C599" s="9">
        <f t="shared" si="9"/>
        <v>1.7994940246213304E-3</v>
      </c>
      <c r="D599" s="7">
        <f>(Table534567910[[#This Row],[Value]]-B587)/B587</f>
        <v>2.2449574884132999E-2</v>
      </c>
      <c r="E599" s="16">
        <v>0.02</v>
      </c>
      <c r="F599" s="15">
        <v>2</v>
      </c>
    </row>
    <row r="600" spans="1:6" x14ac:dyDescent="0.35">
      <c r="A600" s="60">
        <v>39661</v>
      </c>
      <c r="B600" s="58">
        <f>VLOOKUP(Table534567910[[#This Row],[Date]],Database!A:E,MATCH($A$1,Database!$A$1:$E$1,),)</f>
        <v>94.757000000000005</v>
      </c>
      <c r="C600" s="9">
        <f t="shared" si="9"/>
        <v>1.2256844285246315E-3</v>
      </c>
      <c r="D600" s="7">
        <f>(Table534567910[[#This Row],[Value]]-B588)/B588</f>
        <v>2.2178833022297621E-2</v>
      </c>
      <c r="E600" s="16">
        <v>0.02</v>
      </c>
      <c r="F600" s="15">
        <v>2</v>
      </c>
    </row>
    <row r="601" spans="1:6" x14ac:dyDescent="0.35">
      <c r="A601" s="60">
        <v>39692</v>
      </c>
      <c r="B601" s="58">
        <f>VLOOKUP(Table534567910[[#This Row],[Date]],Database!A:E,MATCH($A$1,Database!$A$1:$E$1,),)</f>
        <v>94.853999999999999</v>
      </c>
      <c r="C601" s="9">
        <f t="shared" si="9"/>
        <v>1.0236710744324345E-3</v>
      </c>
      <c r="D601" s="7">
        <f>(Table534567910[[#This Row],[Value]]-B589)/B589</f>
        <v>2.0440217742109062E-2</v>
      </c>
      <c r="E601" s="16">
        <v>0.02</v>
      </c>
      <c r="F601" s="15">
        <v>2</v>
      </c>
    </row>
    <row r="602" spans="1:6" x14ac:dyDescent="0.35">
      <c r="A602" s="60">
        <v>39722</v>
      </c>
      <c r="B602" s="58">
        <f>VLOOKUP(Table534567910[[#This Row],[Date]],Database!A:E,MATCH($A$1,Database!$A$1:$E$1,),)</f>
        <v>94.718999999999994</v>
      </c>
      <c r="C602" s="9">
        <f t="shared" si="9"/>
        <v>-1.4232399266241287E-3</v>
      </c>
      <c r="D602" s="7">
        <f>(Table534567910[[#This Row],[Value]]-B590)/B590</f>
        <v>1.6341903085969313E-2</v>
      </c>
      <c r="E602" s="16">
        <v>0.02</v>
      </c>
      <c r="F602" s="15">
        <v>1</v>
      </c>
    </row>
    <row r="603" spans="1:6" x14ac:dyDescent="0.35">
      <c r="A603" s="60">
        <v>39753</v>
      </c>
      <c r="B603" s="58">
        <f>VLOOKUP(Table534567910[[#This Row],[Date]],Database!A:E,MATCH($A$1,Database!$A$1:$E$1,),)</f>
        <v>94.677000000000007</v>
      </c>
      <c r="C603" s="9">
        <f t="shared" si="9"/>
        <v>-4.4341684350539365E-4</v>
      </c>
      <c r="D603" s="7">
        <f>(Table534567910[[#This Row],[Value]]-B591)/B591</f>
        <v>1.390034161856522E-2</v>
      </c>
      <c r="E603" s="16">
        <v>0.02</v>
      </c>
      <c r="F603" s="15">
        <v>1</v>
      </c>
    </row>
    <row r="604" spans="1:6" x14ac:dyDescent="0.35">
      <c r="A604" s="60">
        <v>39783</v>
      </c>
      <c r="B604" s="58">
        <f>VLOOKUP(Table534567910[[#This Row],[Date]],Database!A:E,MATCH($A$1,Database!$A$1:$E$1,),)</f>
        <v>94.631</v>
      </c>
      <c r="C604" s="9">
        <f t="shared" si="9"/>
        <v>-4.8586245867535387E-4</v>
      </c>
      <c r="D604" s="7">
        <f>(Table534567910[[#This Row],[Value]]-B592)/B592</f>
        <v>1.137153056098846E-2</v>
      </c>
      <c r="E604" s="16">
        <v>0.02</v>
      </c>
      <c r="F604" s="15">
        <v>0.25</v>
      </c>
    </row>
    <row r="605" spans="1:6" x14ac:dyDescent="0.35">
      <c r="A605" s="60">
        <v>39814</v>
      </c>
      <c r="B605" s="58">
        <f>VLOOKUP(Table534567910[[#This Row],[Date]],Database!A:E,MATCH($A$1,Database!$A$1:$E$1,),)</f>
        <v>94.602000000000004</v>
      </c>
      <c r="C605" s="9">
        <f t="shared" si="9"/>
        <v>-3.0645348775767311E-4</v>
      </c>
      <c r="D605" s="7">
        <f>(Table534567910[[#This Row],[Value]]-B593)/B593</f>
        <v>9.0557102172730865E-3</v>
      </c>
      <c r="E605" s="16">
        <v>0.02</v>
      </c>
      <c r="F605" s="15">
        <f>VLOOKUP(Table534567910[[#This Row],[Date]],Database!A:E,4)</f>
        <v>0.25</v>
      </c>
    </row>
    <row r="606" spans="1:6" x14ac:dyDescent="0.35">
      <c r="A606" s="60">
        <v>39845</v>
      </c>
      <c r="B606" s="58">
        <f>VLOOKUP(Table534567910[[#This Row],[Date]],Database!A:E,MATCH($A$1,Database!$A$1:$E$1,),)</f>
        <v>94.677000000000007</v>
      </c>
      <c r="C606" s="9">
        <f t="shared" si="9"/>
        <v>7.9279507832818378E-4</v>
      </c>
      <c r="D606" s="7">
        <f>(Table534567910[[#This Row],[Value]]-B594)/B594</f>
        <v>8.8764332296152413E-3</v>
      </c>
      <c r="E606" s="16">
        <v>0.02</v>
      </c>
      <c r="F606" s="15">
        <f>VLOOKUP(Table534567910[[#This Row],[Date]],Database!A:E,4)</f>
        <v>0.25</v>
      </c>
    </row>
    <row r="607" spans="1:6" x14ac:dyDescent="0.35">
      <c r="A607" s="60">
        <v>39873</v>
      </c>
      <c r="B607" s="58">
        <f>VLOOKUP(Table534567910[[#This Row],[Date]],Database!A:E,MATCH($A$1,Database!$A$1:$E$1,),)</f>
        <v>94.745000000000005</v>
      </c>
      <c r="C607" s="9">
        <f t="shared" si="9"/>
        <v>7.1823146065039907E-4</v>
      </c>
      <c r="D607" s="7">
        <f>(Table534567910[[#This Row],[Value]]-B595)/B595</f>
        <v>7.625388182243573E-3</v>
      </c>
      <c r="E607" s="16">
        <v>0.02</v>
      </c>
      <c r="F607" s="15">
        <f>VLOOKUP(Table534567910[[#This Row],[Date]],Database!A:E,4)</f>
        <v>0.25</v>
      </c>
    </row>
    <row r="608" spans="1:6" x14ac:dyDescent="0.35">
      <c r="A608" s="60">
        <v>39904</v>
      </c>
      <c r="B608" s="58">
        <f>VLOOKUP(Table534567910[[#This Row],[Date]],Database!A:E,MATCH($A$1,Database!$A$1:$E$1,),)</f>
        <v>94.956999999999994</v>
      </c>
      <c r="C608" s="9">
        <f t="shared" si="9"/>
        <v>2.2375850968387682E-3</v>
      </c>
      <c r="D608" s="7">
        <f>(Table534567910[[#This Row],[Value]]-B596)/B596</f>
        <v>9.2896697596802323E-3</v>
      </c>
      <c r="E608" s="16">
        <v>0.02</v>
      </c>
      <c r="F608" s="15">
        <f>VLOOKUP(Table534567910[[#This Row],[Date]],Database!A:E,4)</f>
        <v>0.25</v>
      </c>
    </row>
    <row r="609" spans="1:6" x14ac:dyDescent="0.35">
      <c r="A609" s="60">
        <v>39934</v>
      </c>
      <c r="B609" s="58">
        <f>VLOOKUP(Table534567910[[#This Row],[Date]],Database!A:E,MATCH($A$1,Database!$A$1:$E$1,),)</f>
        <v>95.03</v>
      </c>
      <c r="C609" s="9">
        <f t="shared" si="9"/>
        <v>7.6876902176782657E-4</v>
      </c>
      <c r="D609" s="7">
        <f>(Table534567910[[#This Row],[Value]]-B597)/B597</f>
        <v>8.2223754707973652E-3</v>
      </c>
      <c r="E609" s="16">
        <v>0.02</v>
      </c>
      <c r="F609" s="15">
        <f>VLOOKUP(Table534567910[[#This Row],[Date]],Database!A:E,4)</f>
        <v>0.25</v>
      </c>
    </row>
    <row r="610" spans="1:6" x14ac:dyDescent="0.35">
      <c r="A610" s="60">
        <v>39965</v>
      </c>
      <c r="B610" s="58">
        <f>VLOOKUP(Table534567910[[#This Row],[Date]],Database!A:E,MATCH($A$1,Database!$A$1:$E$1,),)</f>
        <v>95.150999999999996</v>
      </c>
      <c r="C610" s="9">
        <f t="shared" si="9"/>
        <v>1.2732821214352847E-3</v>
      </c>
      <c r="D610" s="7">
        <f>(Table534567910[[#This Row],[Value]]-B598)/B598</f>
        <v>7.1979760984851706E-3</v>
      </c>
      <c r="E610" s="16">
        <v>0.02</v>
      </c>
      <c r="F610" s="15">
        <f>VLOOKUP(Table534567910[[#This Row],[Date]],Database!A:E,4)</f>
        <v>0.25</v>
      </c>
    </row>
    <row r="611" spans="1:6" x14ac:dyDescent="0.35">
      <c r="A611" s="60">
        <v>39995</v>
      </c>
      <c r="B611" s="58">
        <f>VLOOKUP(Table534567910[[#This Row],[Date]],Database!A:E,MATCH($A$1,Database!$A$1:$E$1,),)</f>
        <v>95.233000000000004</v>
      </c>
      <c r="C611" s="9">
        <f t="shared" si="9"/>
        <v>8.6178810522230824E-4</v>
      </c>
      <c r="D611" s="7">
        <f>(Table534567910[[#This Row],[Value]]-B599)/B599</f>
        <v>6.255217083505021E-3</v>
      </c>
      <c r="E611" s="16">
        <v>0.02</v>
      </c>
      <c r="F611" s="15">
        <f>VLOOKUP(Table534567910[[#This Row],[Date]],Database!A:E,4)</f>
        <v>0.25</v>
      </c>
    </row>
    <row r="612" spans="1:6" x14ac:dyDescent="0.35">
      <c r="A612" s="60">
        <v>40026</v>
      </c>
      <c r="B612" s="58">
        <f>VLOOKUP(Table534567910[[#This Row],[Date]],Database!A:E,MATCH($A$1,Database!$A$1:$E$1,),)</f>
        <v>95.373999999999995</v>
      </c>
      <c r="C612" s="9">
        <f t="shared" si="9"/>
        <v>1.4805792109876946E-3</v>
      </c>
      <c r="D612" s="7">
        <f>(Table534567910[[#This Row],[Value]]-B600)/B600</f>
        <v>6.5113922981942249E-3</v>
      </c>
      <c r="E612" s="16">
        <v>0.02</v>
      </c>
      <c r="F612" s="15">
        <f>VLOOKUP(Table534567910[[#This Row],[Date]],Database!A:E,4)</f>
        <v>0.25</v>
      </c>
    </row>
    <row r="613" spans="1:6" x14ac:dyDescent="0.35">
      <c r="A613" s="60">
        <v>40057</v>
      </c>
      <c r="B613" s="58">
        <f>VLOOKUP(Table534567910[[#This Row],[Date]],Database!A:E,MATCH($A$1,Database!$A$1:$E$1,),)</f>
        <v>95.540999999999997</v>
      </c>
      <c r="C613" s="9">
        <f t="shared" si="9"/>
        <v>1.7510013211147861E-3</v>
      </c>
      <c r="D613" s="7">
        <f>(Table534567910[[#This Row],[Value]]-B601)/B601</f>
        <v>7.2427098488202675E-3</v>
      </c>
      <c r="E613" s="16">
        <v>0.02</v>
      </c>
      <c r="F613" s="15">
        <f>VLOOKUP(Table534567910[[#This Row],[Date]],Database!A:E,4)</f>
        <v>0.25</v>
      </c>
    </row>
    <row r="614" spans="1:6" x14ac:dyDescent="0.35">
      <c r="A614" s="60">
        <v>40087</v>
      </c>
      <c r="B614" s="58">
        <f>VLOOKUP(Table534567910[[#This Row],[Date]],Database!A:E,MATCH($A$1,Database!$A$1:$E$1,),)</f>
        <v>95.893000000000001</v>
      </c>
      <c r="C614" s="9">
        <f t="shared" si="9"/>
        <v>3.6842821406516978E-3</v>
      </c>
      <c r="D614" s="7">
        <f>(Table534567910[[#This Row],[Value]]-B602)/B602</f>
        <v>1.2394556530368845E-2</v>
      </c>
      <c r="E614" s="16">
        <v>0.02</v>
      </c>
      <c r="F614" s="15">
        <f>VLOOKUP(Table534567910[[#This Row],[Date]],Database!A:E,4)</f>
        <v>0.25</v>
      </c>
    </row>
    <row r="615" spans="1:6" x14ac:dyDescent="0.35">
      <c r="A615" s="60">
        <v>40118</v>
      </c>
      <c r="B615" s="58">
        <f>VLOOKUP(Table534567910[[#This Row],[Date]],Database!A:E,MATCH($A$1,Database!$A$1:$E$1,),)</f>
        <v>95.977999999999994</v>
      </c>
      <c r="C615" s="9">
        <f t="shared" si="9"/>
        <v>8.8640463850326668E-4</v>
      </c>
      <c r="D615" s="7">
        <f>(Table534567910[[#This Row],[Value]]-B603)/B603</f>
        <v>1.3741457798620443E-2</v>
      </c>
      <c r="E615" s="16">
        <v>0.02</v>
      </c>
      <c r="F615" s="15">
        <f>VLOOKUP(Table534567910[[#This Row],[Date]],Database!A:E,4)</f>
        <v>0.25</v>
      </c>
    </row>
    <row r="616" spans="1:6" x14ac:dyDescent="0.35">
      <c r="A616" s="60">
        <v>40148</v>
      </c>
      <c r="B616" s="58">
        <f>VLOOKUP(Table534567910[[#This Row],[Date]],Database!A:E,MATCH($A$1,Database!$A$1:$E$1,),)</f>
        <v>96.06</v>
      </c>
      <c r="C616" s="9">
        <f t="shared" si="9"/>
        <v>8.54362458063388E-4</v>
      </c>
      <c r="D616" s="7">
        <f>(Table534567910[[#This Row],[Value]]-B604)/B604</f>
        <v>1.5100759793302427E-2</v>
      </c>
      <c r="E616" s="16">
        <v>0.02</v>
      </c>
      <c r="F616" s="15">
        <f>VLOOKUP(Table534567910[[#This Row],[Date]],Database!A:E,4)</f>
        <v>0.25</v>
      </c>
    </row>
    <row r="617" spans="1:6" x14ac:dyDescent="0.35">
      <c r="A617" s="60">
        <v>40179</v>
      </c>
      <c r="B617" s="58">
        <f>VLOOKUP(Table534567910[[#This Row],[Date]],Database!A:E,MATCH($A$1,Database!$A$1:$E$1,),)</f>
        <v>96.200999999999993</v>
      </c>
      <c r="C617" s="9">
        <f t="shared" si="9"/>
        <v>1.4678326046220188E-3</v>
      </c>
      <c r="D617" s="7">
        <f>(Table534567910[[#This Row],[Value]]-B605)/B605</f>
        <v>1.6902391069956127E-2</v>
      </c>
      <c r="E617" s="16">
        <v>0.02</v>
      </c>
      <c r="F617" s="15">
        <f>VLOOKUP(Table534567910[[#This Row],[Date]],Database!A:E,4)</f>
        <v>0.25</v>
      </c>
    </row>
    <row r="618" spans="1:6" x14ac:dyDescent="0.35">
      <c r="A618" s="60">
        <v>40210</v>
      </c>
      <c r="B618" s="58">
        <f>VLOOKUP(Table534567910[[#This Row],[Date]],Database!A:E,MATCH($A$1,Database!$A$1:$E$1,),)</f>
        <v>96.284999999999997</v>
      </c>
      <c r="C618" s="9">
        <f t="shared" si="9"/>
        <v>8.7317179655100458E-4</v>
      </c>
      <c r="D618" s="7">
        <f>(Table534567910[[#This Row],[Value]]-B606)/B606</f>
        <v>1.6984061598909871E-2</v>
      </c>
      <c r="E618" s="16">
        <v>0.02</v>
      </c>
      <c r="F618" s="15">
        <f>VLOOKUP(Table534567910[[#This Row],[Date]],Database!A:E,4)</f>
        <v>0.25</v>
      </c>
    </row>
    <row r="619" spans="1:6" x14ac:dyDescent="0.35">
      <c r="A619" s="60">
        <v>40238</v>
      </c>
      <c r="B619" s="58">
        <f>VLOOKUP(Table534567910[[#This Row],[Date]],Database!A:E,MATCH($A$1,Database!$A$1:$E$1,),)</f>
        <v>96.429000000000002</v>
      </c>
      <c r="C619" s="9">
        <f t="shared" si="9"/>
        <v>1.4955600560835587E-3</v>
      </c>
      <c r="D619" s="7">
        <f>(Table534567910[[#This Row],[Value]]-B607)/B607</f>
        <v>1.7774025014512612E-2</v>
      </c>
      <c r="E619" s="16">
        <v>0.02</v>
      </c>
      <c r="F619" s="15">
        <f>VLOOKUP(Table534567910[[#This Row],[Date]],Database!A:E,4)</f>
        <v>0.25</v>
      </c>
    </row>
    <row r="620" spans="1:6" x14ac:dyDescent="0.35">
      <c r="A620" s="60">
        <v>40269</v>
      </c>
      <c r="B620" s="58">
        <f>VLOOKUP(Table534567910[[#This Row],[Date]],Database!A:E,MATCH($A$1,Database!$A$1:$E$1,),)</f>
        <v>96.477999999999994</v>
      </c>
      <c r="C620" s="9">
        <f t="shared" si="9"/>
        <v>5.0814588972189262E-4</v>
      </c>
      <c r="D620" s="7">
        <f>(Table534567910[[#This Row],[Value]]-B608)/B608</f>
        <v>1.6017776467243078E-2</v>
      </c>
      <c r="E620" s="16">
        <v>0.02</v>
      </c>
      <c r="F620" s="15">
        <f>VLOOKUP(Table534567910[[#This Row],[Date]],Database!A:E,4)</f>
        <v>0.25</v>
      </c>
    </row>
    <row r="621" spans="1:6" x14ac:dyDescent="0.35">
      <c r="A621" s="60">
        <v>40299</v>
      </c>
      <c r="B621" s="58">
        <f>VLOOKUP(Table534567910[[#This Row],[Date]],Database!A:E,MATCH($A$1,Database!$A$1:$E$1,),)</f>
        <v>96.584999999999994</v>
      </c>
      <c r="C621" s="9">
        <f t="shared" si="9"/>
        <v>1.109061133108059E-3</v>
      </c>
      <c r="D621" s="7">
        <f>(Table534567910[[#This Row],[Value]]-B609)/B609</f>
        <v>1.6363253709354864E-2</v>
      </c>
      <c r="E621" s="16">
        <v>0.02</v>
      </c>
      <c r="F621" s="15">
        <f>VLOOKUP(Table534567910[[#This Row],[Date]],Database!A:E,4)</f>
        <v>0.25</v>
      </c>
    </row>
    <row r="622" spans="1:6" x14ac:dyDescent="0.35">
      <c r="A622" s="60">
        <v>40330</v>
      </c>
      <c r="B622" s="58">
        <f>VLOOKUP(Table534567910[[#This Row],[Date]],Database!A:E,MATCH($A$1,Database!$A$1:$E$1,),)</f>
        <v>96.632000000000005</v>
      </c>
      <c r="C622" s="9">
        <f t="shared" si="9"/>
        <v>4.8661800486629662E-4</v>
      </c>
      <c r="D622" s="7">
        <f>(Table534567910[[#This Row],[Value]]-B610)/B610</f>
        <v>1.5564733949196633E-2</v>
      </c>
      <c r="E622" s="16">
        <v>0.02</v>
      </c>
      <c r="F622" s="15">
        <f>VLOOKUP(Table534567910[[#This Row],[Date]],Database!A:E,4)</f>
        <v>0.25</v>
      </c>
    </row>
    <row r="623" spans="1:6" x14ac:dyDescent="0.35">
      <c r="A623" s="60">
        <v>40360</v>
      </c>
      <c r="B623" s="58">
        <f>VLOOKUP(Table534567910[[#This Row],[Date]],Database!A:E,MATCH($A$1,Database!$A$1:$E$1,),)</f>
        <v>96.632999999999996</v>
      </c>
      <c r="C623" s="9">
        <f t="shared" si="9"/>
        <v>1.0348538786225722E-5</v>
      </c>
      <c r="D623" s="7">
        <f>(Table534567910[[#This Row],[Value]]-B611)/B611</f>
        <v>1.4700786492077235E-2</v>
      </c>
      <c r="E623" s="16">
        <v>0.02</v>
      </c>
      <c r="F623" s="15">
        <f>VLOOKUP(Table534567910[[#This Row],[Date]],Database!A:E,4)</f>
        <v>0.25</v>
      </c>
    </row>
    <row r="624" spans="1:6" x14ac:dyDescent="0.35">
      <c r="A624" s="60">
        <v>40391</v>
      </c>
      <c r="B624" s="58">
        <f>VLOOKUP(Table534567910[[#This Row],[Date]],Database!A:E,MATCH($A$1,Database!$A$1:$E$1,),)</f>
        <v>96.725999999999999</v>
      </c>
      <c r="C624" s="9">
        <f t="shared" si="9"/>
        <v>9.6240414765145989E-4</v>
      </c>
      <c r="D624" s="7">
        <f>(Table534567910[[#This Row],[Value]]-B612)/B612</f>
        <v>1.4175771174533981E-2</v>
      </c>
      <c r="E624" s="16">
        <v>0.02</v>
      </c>
      <c r="F624" s="15">
        <f>VLOOKUP(Table534567910[[#This Row],[Date]],Database!A:E,4)</f>
        <v>0.25</v>
      </c>
    </row>
    <row r="625" spans="1:6" x14ac:dyDescent="0.35">
      <c r="A625" s="60">
        <v>40422</v>
      </c>
      <c r="B625" s="58">
        <f>VLOOKUP(Table534567910[[#This Row],[Date]],Database!A:E,MATCH($A$1,Database!$A$1:$E$1,),)</f>
        <v>96.781000000000006</v>
      </c>
      <c r="C625" s="9">
        <f t="shared" si="9"/>
        <v>5.686165043525714E-4</v>
      </c>
      <c r="D625" s="7">
        <f>(Table534567910[[#This Row],[Value]]-B613)/B613</f>
        <v>1.2978721177295706E-2</v>
      </c>
      <c r="E625" s="16">
        <v>0.02</v>
      </c>
      <c r="F625" s="15">
        <f>VLOOKUP(Table534567910[[#This Row],[Date]],Database!A:E,4)</f>
        <v>0.25</v>
      </c>
    </row>
    <row r="626" spans="1:6" x14ac:dyDescent="0.35">
      <c r="A626" s="60">
        <v>40452</v>
      </c>
      <c r="B626" s="58">
        <f>VLOOKUP(Table534567910[[#This Row],[Date]],Database!A:E,MATCH($A$1,Database!$A$1:$E$1,),)</f>
        <v>96.927999999999997</v>
      </c>
      <c r="C626" s="9">
        <f t="shared" si="9"/>
        <v>1.5188931711802042E-3</v>
      </c>
      <c r="D626" s="7">
        <f>(Table534567910[[#This Row],[Value]]-B614)/B614</f>
        <v>1.0793280010011123E-2</v>
      </c>
      <c r="E626" s="16">
        <v>0.02</v>
      </c>
      <c r="F626" s="15">
        <f>VLOOKUP(Table534567910[[#This Row],[Date]],Database!A:E,4)</f>
        <v>0.25</v>
      </c>
    </row>
    <row r="627" spans="1:6" x14ac:dyDescent="0.35">
      <c r="A627" s="60">
        <v>40483</v>
      </c>
      <c r="B627" s="58">
        <f>VLOOKUP(Table534567910[[#This Row],[Date]],Database!A:E,MATCH($A$1,Database!$A$1:$E$1,),)</f>
        <v>97.054000000000002</v>
      </c>
      <c r="C627" s="9">
        <f t="shared" si="9"/>
        <v>1.2999339716078407E-3</v>
      </c>
      <c r="D627" s="7">
        <f>(Table534567910[[#This Row],[Value]]-B615)/B615</f>
        <v>1.1210902498489318E-2</v>
      </c>
      <c r="E627" s="16">
        <v>0.02</v>
      </c>
      <c r="F627" s="15">
        <f>VLOOKUP(Table534567910[[#This Row],[Date]],Database!A:E,4)</f>
        <v>0.25</v>
      </c>
    </row>
    <row r="628" spans="1:6" x14ac:dyDescent="0.35">
      <c r="A628" s="60">
        <v>40513</v>
      </c>
      <c r="B628" s="58">
        <f>VLOOKUP(Table534567910[[#This Row],[Date]],Database!A:E,MATCH($A$1,Database!$A$1:$E$1,),)</f>
        <v>97.073999999999998</v>
      </c>
      <c r="C628" s="9">
        <f t="shared" si="9"/>
        <v>2.0607084715721166E-4</v>
      </c>
      <c r="D628" s="7">
        <f>(Table534567910[[#This Row],[Value]]-B616)/B616</f>
        <v>1.0555902560899394E-2</v>
      </c>
      <c r="E628" s="16">
        <v>0.02</v>
      </c>
      <c r="F628" s="15">
        <f>VLOOKUP(Table534567910[[#This Row],[Date]],Database!A:E,4)</f>
        <v>0.25</v>
      </c>
    </row>
    <row r="629" spans="1:6" x14ac:dyDescent="0.35">
      <c r="A629" s="60">
        <v>40544</v>
      </c>
      <c r="B629" s="58">
        <f>VLOOKUP(Table534567910[[#This Row],[Date]],Database!A:E,MATCH($A$1,Database!$A$1:$E$1,),)</f>
        <v>97.283000000000001</v>
      </c>
      <c r="C629" s="9">
        <f t="shared" si="9"/>
        <v>2.1529966829429426E-3</v>
      </c>
      <c r="D629" s="7">
        <f>(Table534567910[[#This Row],[Value]]-B617)/B617</f>
        <v>1.1247284331763785E-2</v>
      </c>
      <c r="E629" s="16">
        <v>0.02</v>
      </c>
      <c r="F629" s="15">
        <f>VLOOKUP(Table534567910[[#This Row],[Date]],Database!A:E,4)</f>
        <v>0.25</v>
      </c>
    </row>
    <row r="630" spans="1:6" x14ac:dyDescent="0.35">
      <c r="A630" s="60">
        <v>40575</v>
      </c>
      <c r="B630" s="58">
        <f>VLOOKUP(Table534567910[[#This Row],[Date]],Database!A:E,MATCH($A$1,Database!$A$1:$E$1,),)</f>
        <v>97.453000000000003</v>
      </c>
      <c r="C630" s="9">
        <f t="shared" si="9"/>
        <v>1.7474790045537423E-3</v>
      </c>
      <c r="D630" s="7">
        <f>(Table534567910[[#This Row],[Value]]-B618)/B618</f>
        <v>1.2130653788232916E-2</v>
      </c>
      <c r="E630" s="16">
        <v>0.02</v>
      </c>
      <c r="F630" s="15">
        <f>VLOOKUP(Table534567910[[#This Row],[Date]],Database!A:E,4)</f>
        <v>0.25</v>
      </c>
    </row>
    <row r="631" spans="1:6" x14ac:dyDescent="0.35">
      <c r="A631" s="60">
        <v>40603</v>
      </c>
      <c r="B631" s="58">
        <f>VLOOKUP(Table534567910[[#This Row],[Date]],Database!A:E,MATCH($A$1,Database!$A$1:$E$1,),)</f>
        <v>97.6</v>
      </c>
      <c r="C631" s="9">
        <f t="shared" si="9"/>
        <v>1.5084194432186937E-3</v>
      </c>
      <c r="D631" s="7">
        <f>(Table534567910[[#This Row],[Value]]-B619)/B619</f>
        <v>1.2143649731927037E-2</v>
      </c>
      <c r="E631" s="16">
        <v>0.02</v>
      </c>
      <c r="F631" s="15">
        <f>VLOOKUP(Table534567910[[#This Row],[Date]],Database!A:E,4)</f>
        <v>0.25</v>
      </c>
    </row>
    <row r="632" spans="1:6" x14ac:dyDescent="0.35">
      <c r="A632" s="60">
        <v>40634</v>
      </c>
      <c r="B632" s="58">
        <f>VLOOKUP(Table534567910[[#This Row],[Date]],Database!A:E,MATCH($A$1,Database!$A$1:$E$1,),)</f>
        <v>97.823999999999998</v>
      </c>
      <c r="C632" s="9">
        <f t="shared" si="9"/>
        <v>2.2950819672131533E-3</v>
      </c>
      <c r="D632" s="7">
        <f>(Table534567910[[#This Row],[Value]]-B620)/B620</f>
        <v>1.3951367151060384E-2</v>
      </c>
      <c r="E632" s="16">
        <v>0.02</v>
      </c>
      <c r="F632" s="15">
        <f>VLOOKUP(Table534567910[[#This Row],[Date]],Database!A:E,4)</f>
        <v>0.25</v>
      </c>
    </row>
    <row r="633" spans="1:6" x14ac:dyDescent="0.35">
      <c r="A633" s="60">
        <v>40664</v>
      </c>
      <c r="B633" s="58">
        <f>VLOOKUP(Table534567910[[#This Row],[Date]],Database!A:E,MATCH($A$1,Database!$A$1:$E$1,),)</f>
        <v>98.057000000000002</v>
      </c>
      <c r="C633" s="9">
        <f t="shared" si="9"/>
        <v>2.3818285901210756E-3</v>
      </c>
      <c r="D633" s="7">
        <f>(Table534567910[[#This Row],[Value]]-B621)/B621</f>
        <v>1.5240461769425982E-2</v>
      </c>
      <c r="E633" s="16">
        <v>0.02</v>
      </c>
      <c r="F633" s="15">
        <f>VLOOKUP(Table534567910[[#This Row],[Date]],Database!A:E,4)</f>
        <v>0.25</v>
      </c>
    </row>
    <row r="634" spans="1:6" x14ac:dyDescent="0.35">
      <c r="A634" s="60">
        <v>40695</v>
      </c>
      <c r="B634" s="58">
        <f>VLOOKUP(Table534567910[[#This Row],[Date]],Database!A:E,MATCH($A$1,Database!$A$1:$E$1,),)</f>
        <v>98.164000000000001</v>
      </c>
      <c r="C634" s="9">
        <f t="shared" si="9"/>
        <v>1.0912020559470442E-3</v>
      </c>
      <c r="D634" s="7">
        <f>(Table534567910[[#This Row],[Value]]-B622)/B622</f>
        <v>1.5853961420647367E-2</v>
      </c>
      <c r="E634" s="16">
        <v>0.02</v>
      </c>
      <c r="F634" s="15">
        <f>VLOOKUP(Table534567910[[#This Row],[Date]],Database!A:E,4)</f>
        <v>0.25</v>
      </c>
    </row>
    <row r="635" spans="1:6" x14ac:dyDescent="0.35">
      <c r="A635" s="60">
        <v>40725</v>
      </c>
      <c r="B635" s="58">
        <f>VLOOKUP(Table534567910[[#This Row],[Date]],Database!A:E,MATCH($A$1,Database!$A$1:$E$1,),)</f>
        <v>98.308999999999997</v>
      </c>
      <c r="C635" s="9">
        <f t="shared" si="9"/>
        <v>1.4771199217635388E-3</v>
      </c>
      <c r="D635" s="7">
        <f>(Table534567910[[#This Row],[Value]]-B623)/B623</f>
        <v>1.7343971521115997E-2</v>
      </c>
      <c r="E635" s="16">
        <v>0.02</v>
      </c>
      <c r="F635" s="15">
        <f>VLOOKUP(Table534567910[[#This Row],[Date]],Database!A:E,4)</f>
        <v>0.25</v>
      </c>
    </row>
    <row r="636" spans="1:6" x14ac:dyDescent="0.35">
      <c r="A636" s="60">
        <v>40756</v>
      </c>
      <c r="B636" s="58">
        <f>VLOOKUP(Table534567910[[#This Row],[Date]],Database!A:E,MATCH($A$1,Database!$A$1:$E$1,),)</f>
        <v>98.504999999999995</v>
      </c>
      <c r="C636" s="9">
        <f t="shared" si="9"/>
        <v>1.9937136986440504E-3</v>
      </c>
      <c r="D636" s="7">
        <f>(Table534567910[[#This Row],[Value]]-B624)/B624</f>
        <v>1.8392159295329037E-2</v>
      </c>
      <c r="E636" s="16">
        <v>0.02</v>
      </c>
      <c r="F636" s="15">
        <f>VLOOKUP(Table534567910[[#This Row],[Date]],Database!A:E,4)</f>
        <v>0.25</v>
      </c>
    </row>
    <row r="637" spans="1:6" x14ac:dyDescent="0.35">
      <c r="A637" s="60">
        <v>40787</v>
      </c>
      <c r="B637" s="58">
        <f>VLOOKUP(Table534567910[[#This Row],[Date]],Database!A:E,MATCH($A$1,Database!$A$1:$E$1,),)</f>
        <v>98.572000000000003</v>
      </c>
      <c r="C637" s="9">
        <f t="shared" si="9"/>
        <v>6.8016851936457314E-4</v>
      </c>
      <c r="D637" s="7">
        <f>(Table534567910[[#This Row],[Value]]-B625)/B625</f>
        <v>1.8505698432543544E-2</v>
      </c>
      <c r="E637" s="16">
        <v>0.02</v>
      </c>
      <c r="F637" s="15">
        <f>VLOOKUP(Table534567910[[#This Row],[Date]],Database!A:E,4)</f>
        <v>0.25</v>
      </c>
    </row>
    <row r="638" spans="1:6" x14ac:dyDescent="0.35">
      <c r="A638" s="60">
        <v>40817</v>
      </c>
      <c r="B638" s="58">
        <f>VLOOKUP(Table534567910[[#This Row],[Date]],Database!A:E,MATCH($A$1,Database!$A$1:$E$1,),)</f>
        <v>98.619</v>
      </c>
      <c r="C638" s="9">
        <f t="shared" si="9"/>
        <v>4.7680883009370857E-4</v>
      </c>
      <c r="D638" s="7">
        <f>(Table534567910[[#This Row],[Value]]-B626)/B626</f>
        <v>1.7445939253879196E-2</v>
      </c>
      <c r="E638" s="16">
        <v>0.02</v>
      </c>
      <c r="F638" s="15">
        <f>VLOOKUP(Table534567910[[#This Row],[Date]],Database!A:E,4)</f>
        <v>0.25</v>
      </c>
    </row>
    <row r="639" spans="1:6" x14ac:dyDescent="0.35">
      <c r="A639" s="60">
        <v>40848</v>
      </c>
      <c r="B639" s="58">
        <f>VLOOKUP(Table534567910[[#This Row],[Date]],Database!A:E,MATCH($A$1,Database!$A$1:$E$1,),)</f>
        <v>98.828000000000003</v>
      </c>
      <c r="C639" s="9">
        <f t="shared" si="9"/>
        <v>2.1192670783520742E-3</v>
      </c>
      <c r="D639" s="7">
        <f>(Table534567910[[#This Row],[Value]]-B627)/B627</f>
        <v>1.8278484142848321E-2</v>
      </c>
      <c r="E639" s="16">
        <v>0.02</v>
      </c>
      <c r="F639" s="15">
        <f>VLOOKUP(Table534567910[[#This Row],[Date]],Database!A:E,4)</f>
        <v>0.25</v>
      </c>
    </row>
    <row r="640" spans="1:6" x14ac:dyDescent="0.35">
      <c r="A640" s="60">
        <v>40878</v>
      </c>
      <c r="B640" s="58">
        <f>VLOOKUP(Table534567910[[#This Row],[Date]],Database!A:E,MATCH($A$1,Database!$A$1:$E$1,),)</f>
        <v>98.992000000000004</v>
      </c>
      <c r="C640" s="9">
        <f t="shared" si="9"/>
        <v>1.6594487392237167E-3</v>
      </c>
      <c r="D640" s="7">
        <f>(Table534567910[[#This Row],[Value]]-B628)/B628</f>
        <v>1.9758122669303897E-2</v>
      </c>
      <c r="E640" s="16">
        <v>0.02</v>
      </c>
      <c r="F640" s="15">
        <f>VLOOKUP(Table534567910[[#This Row],[Date]],Database!A:E,4)</f>
        <v>0.25</v>
      </c>
    </row>
    <row r="641" spans="1:6" x14ac:dyDescent="0.35">
      <c r="A641" s="60">
        <v>40909</v>
      </c>
      <c r="B641" s="58">
        <f>VLOOKUP(Table534567910[[#This Row],[Date]],Database!A:E,MATCH($A$1,Database!$A$1:$E$1,),)</f>
        <v>99.287999999999997</v>
      </c>
      <c r="C641" s="9">
        <f t="shared" si="9"/>
        <v>2.990140617423552E-3</v>
      </c>
      <c r="D641" s="7">
        <f>(Table534567910[[#This Row],[Value]]-B629)/B629</f>
        <v>2.0609972965471825E-2</v>
      </c>
      <c r="E641" s="16">
        <v>0.02</v>
      </c>
      <c r="F641" s="15">
        <f>VLOOKUP(Table534567910[[#This Row],[Date]],Database!A:E,4)</f>
        <v>0.25</v>
      </c>
    </row>
    <row r="642" spans="1:6" x14ac:dyDescent="0.35">
      <c r="A642" s="60">
        <v>40940</v>
      </c>
      <c r="B642" s="58">
        <f>VLOOKUP(Table534567910[[#This Row],[Date]],Database!A:E,MATCH($A$1,Database!$A$1:$E$1,),)</f>
        <v>99.426000000000002</v>
      </c>
      <c r="C642" s="9">
        <f t="shared" si="9"/>
        <v>1.3898960599468741E-3</v>
      </c>
      <c r="D642" s="7">
        <f>(Table534567910[[#This Row],[Value]]-B630)/B630</f>
        <v>2.0245656880752763E-2</v>
      </c>
      <c r="E642" s="16">
        <v>0.02</v>
      </c>
      <c r="F642" s="15">
        <f>VLOOKUP(Table534567910[[#This Row],[Date]],Database!A:E,4)</f>
        <v>0.25</v>
      </c>
    </row>
    <row r="643" spans="1:6" x14ac:dyDescent="0.35">
      <c r="A643" s="60">
        <v>40969</v>
      </c>
      <c r="B643" s="58">
        <f>VLOOKUP(Table534567910[[#This Row],[Date]],Database!A:E,MATCH($A$1,Database!$A$1:$E$1,),)</f>
        <v>99.594999999999999</v>
      </c>
      <c r="C643" s="9">
        <f t="shared" si="9"/>
        <v>1.6997566029006187E-3</v>
      </c>
      <c r="D643" s="7">
        <f>(Table534567910[[#This Row],[Value]]-B631)/B631</f>
        <v>2.0440573770491851E-2</v>
      </c>
      <c r="E643" s="16">
        <v>0.02</v>
      </c>
      <c r="F643" s="15">
        <f>VLOOKUP(Table534567910[[#This Row],[Date]],Database!A:E,4)</f>
        <v>0.25</v>
      </c>
    </row>
    <row r="644" spans="1:6" x14ac:dyDescent="0.35">
      <c r="A644" s="60">
        <v>41000</v>
      </c>
      <c r="B644" s="58">
        <f>VLOOKUP(Table534567910[[#This Row],[Date]],Database!A:E,MATCH($A$1,Database!$A$1:$E$1,),)</f>
        <v>99.745999999999995</v>
      </c>
      <c r="C644" s="9">
        <f t="shared" si="9"/>
        <v>1.5161403684923564E-3</v>
      </c>
      <c r="D644" s="7">
        <f>(Table534567910[[#This Row],[Value]]-B632)/B632</f>
        <v>1.9647530258423262E-2</v>
      </c>
      <c r="E644" s="16">
        <v>0.02</v>
      </c>
      <c r="F644" s="15">
        <f>VLOOKUP(Table534567910[[#This Row],[Date]],Database!A:E,4)</f>
        <v>0.25</v>
      </c>
    </row>
    <row r="645" spans="1:6" x14ac:dyDescent="0.35">
      <c r="A645" s="60">
        <v>41030</v>
      </c>
      <c r="B645" s="58">
        <f>VLOOKUP(Table534567910[[#This Row],[Date]],Database!A:E,MATCH($A$1,Database!$A$1:$E$1,),)</f>
        <v>99.846999999999994</v>
      </c>
      <c r="C645" s="9">
        <f t="shared" si="9"/>
        <v>1.012571932709072E-3</v>
      </c>
      <c r="D645" s="7">
        <f>(Table534567910[[#This Row],[Value]]-B633)/B633</f>
        <v>1.8254688599487971E-2</v>
      </c>
      <c r="E645" s="16">
        <v>0.02</v>
      </c>
      <c r="F645" s="15">
        <f>VLOOKUP(Table534567910[[#This Row],[Date]],Database!A:E,4)</f>
        <v>0.25</v>
      </c>
    </row>
    <row r="646" spans="1:6" x14ac:dyDescent="0.35">
      <c r="A646" s="60">
        <v>41061</v>
      </c>
      <c r="B646" s="58">
        <f>VLOOKUP(Table534567910[[#This Row],[Date]],Database!A:E,MATCH($A$1,Database!$A$1:$E$1,),)</f>
        <v>99.95</v>
      </c>
      <c r="C646" s="9">
        <f t="shared" ref="C646:C709" si="10">(B646-B645)/B645</f>
        <v>1.0315783148217637E-3</v>
      </c>
      <c r="D646" s="7">
        <f>(Table534567910[[#This Row],[Value]]-B634)/B634</f>
        <v>1.8194042622550033E-2</v>
      </c>
      <c r="E646" s="16">
        <v>0.02</v>
      </c>
      <c r="F646" s="15">
        <f>VLOOKUP(Table534567910[[#This Row],[Date]],Database!A:E,4)</f>
        <v>0.25</v>
      </c>
    </row>
    <row r="647" spans="1:6" x14ac:dyDescent="0.35">
      <c r="A647" s="60">
        <v>41091</v>
      </c>
      <c r="B647" s="58">
        <f>VLOOKUP(Table534567910[[#This Row],[Date]],Database!A:E,MATCH($A$1,Database!$A$1:$E$1,),)</f>
        <v>100.053</v>
      </c>
      <c r="C647" s="9">
        <f t="shared" si="10"/>
        <v>1.0305152576287587E-3</v>
      </c>
      <c r="D647" s="7">
        <f>(Table534567910[[#This Row],[Value]]-B635)/B635</f>
        <v>1.7739983114465611E-2</v>
      </c>
      <c r="E647" s="16">
        <v>0.02</v>
      </c>
      <c r="F647" s="15">
        <f>VLOOKUP(Table534567910[[#This Row],[Date]],Database!A:E,4)</f>
        <v>0.25</v>
      </c>
    </row>
    <row r="648" spans="1:6" x14ac:dyDescent="0.35">
      <c r="A648" s="60">
        <v>41122</v>
      </c>
      <c r="B648" s="58">
        <f>VLOOKUP(Table534567910[[#This Row],[Date]],Database!A:E,MATCH($A$1,Database!$A$1:$E$1,),)</f>
        <v>100.116</v>
      </c>
      <c r="C648" s="9">
        <f t="shared" si="10"/>
        <v>6.29666276873281E-4</v>
      </c>
      <c r="D648" s="7">
        <f>(Table534567910[[#This Row],[Value]]-B636)/B636</f>
        <v>1.6354499771585242E-2</v>
      </c>
      <c r="E648" s="16">
        <v>0.02</v>
      </c>
      <c r="F648" s="15">
        <f>VLOOKUP(Table534567910[[#This Row],[Date]],Database!A:E,4)</f>
        <v>0.25</v>
      </c>
    </row>
    <row r="649" spans="1:6" x14ac:dyDescent="0.35">
      <c r="A649" s="60">
        <v>41153</v>
      </c>
      <c r="B649" s="58">
        <f>VLOOKUP(Table534567910[[#This Row],[Date]],Database!A:E,MATCH($A$1,Database!$A$1:$E$1,),)</f>
        <v>100.24</v>
      </c>
      <c r="C649" s="9">
        <f t="shared" si="10"/>
        <v>1.2385632666106839E-3</v>
      </c>
      <c r="D649" s="7">
        <f>(Table534567910[[#This Row],[Value]]-B637)/B637</f>
        <v>1.692164103396494E-2</v>
      </c>
      <c r="E649" s="16">
        <v>0.02</v>
      </c>
      <c r="F649" s="15">
        <f>VLOOKUP(Table534567910[[#This Row],[Date]],Database!A:E,4)</f>
        <v>0.25</v>
      </c>
    </row>
    <row r="650" spans="1:6" x14ac:dyDescent="0.35">
      <c r="A650" s="60">
        <v>41183</v>
      </c>
      <c r="B650" s="58">
        <f>VLOOKUP(Table534567910[[#This Row],[Date]],Database!A:E,MATCH($A$1,Database!$A$1:$E$1,),)</f>
        <v>100.482</v>
      </c>
      <c r="C650" s="9">
        <f t="shared" si="10"/>
        <v>2.4142059058260617E-3</v>
      </c>
      <c r="D650" s="7">
        <f>(Table534567910[[#This Row],[Value]]-B638)/B638</f>
        <v>1.8890883095549534E-2</v>
      </c>
      <c r="E650" s="16">
        <v>0.02</v>
      </c>
      <c r="F650" s="15">
        <f>VLOOKUP(Table534567910[[#This Row],[Date]],Database!A:E,4)</f>
        <v>0.25</v>
      </c>
    </row>
    <row r="651" spans="1:6" x14ac:dyDescent="0.35">
      <c r="A651" s="60">
        <v>41214</v>
      </c>
      <c r="B651" s="58">
        <f>VLOOKUP(Table534567910[[#This Row],[Date]],Database!A:E,MATCH($A$1,Database!$A$1:$E$1,),)</f>
        <v>100.59099999999999</v>
      </c>
      <c r="C651" s="9">
        <f t="shared" si="10"/>
        <v>1.0847714018430629E-3</v>
      </c>
      <c r="D651" s="7">
        <f>(Table534567910[[#This Row],[Value]]-B639)/B639</f>
        <v>1.7839073946654703E-2</v>
      </c>
      <c r="E651" s="16">
        <v>0.02</v>
      </c>
      <c r="F651" s="15">
        <f>VLOOKUP(Table534567910[[#This Row],[Date]],Database!A:E,4)</f>
        <v>0.25</v>
      </c>
    </row>
    <row r="652" spans="1:6" x14ac:dyDescent="0.35">
      <c r="A652" s="60">
        <v>41244</v>
      </c>
      <c r="B652" s="58">
        <f>VLOOKUP(Table534567910[[#This Row],[Date]],Database!A:E,MATCH($A$1,Database!$A$1:$E$1,),)</f>
        <v>100.664</v>
      </c>
      <c r="C652" s="9">
        <f t="shared" si="10"/>
        <v>7.2571104770812009E-4</v>
      </c>
      <c r="D652" s="7">
        <f>(Table534567910[[#This Row],[Value]]-B640)/B640</f>
        <v>1.6890253757879396E-2</v>
      </c>
      <c r="E652" s="16">
        <v>0.02</v>
      </c>
      <c r="F652" s="15">
        <f>VLOOKUP(Table534567910[[#This Row],[Date]],Database!A:E,4)</f>
        <v>0.25</v>
      </c>
    </row>
    <row r="653" spans="1:6" x14ac:dyDescent="0.35">
      <c r="A653" s="60">
        <v>41275</v>
      </c>
      <c r="B653" s="58">
        <f>VLOOKUP(Table534567910[[#This Row],[Date]],Database!A:E,MATCH($A$1,Database!$A$1:$E$1,),)</f>
        <v>100.871</v>
      </c>
      <c r="C653" s="9">
        <f t="shared" si="10"/>
        <v>2.0563458634665186E-3</v>
      </c>
      <c r="D653" s="7">
        <f>(Table534567910[[#This Row],[Value]]-B641)/B641</f>
        <v>1.5943517847071133E-2</v>
      </c>
      <c r="E653" s="16">
        <v>0.02</v>
      </c>
      <c r="F653" s="15">
        <f>VLOOKUP(Table534567910[[#This Row],[Date]],Database!A:E,4)</f>
        <v>0.25</v>
      </c>
    </row>
    <row r="654" spans="1:6" x14ac:dyDescent="0.35">
      <c r="A654" s="60">
        <v>41306</v>
      </c>
      <c r="B654" s="58">
        <f>VLOOKUP(Table534567910[[#This Row],[Date]],Database!A:E,MATCH($A$1,Database!$A$1:$E$1,),)</f>
        <v>100.992</v>
      </c>
      <c r="C654" s="9">
        <f t="shared" si="10"/>
        <v>1.1995519029256111E-3</v>
      </c>
      <c r="D654" s="7">
        <f>(Table534567910[[#This Row],[Value]]-B642)/B642</f>
        <v>1.5750407338120838E-2</v>
      </c>
      <c r="E654" s="16">
        <v>0.02</v>
      </c>
      <c r="F654" s="15">
        <f>VLOOKUP(Table534567910[[#This Row],[Date]],Database!A:E,4)</f>
        <v>0.25</v>
      </c>
    </row>
    <row r="655" spans="1:6" x14ac:dyDescent="0.35">
      <c r="A655" s="60">
        <v>41334</v>
      </c>
      <c r="B655" s="58">
        <f>VLOOKUP(Table534567910[[#This Row],[Date]],Database!A:E,MATCH($A$1,Database!$A$1:$E$1,),)</f>
        <v>101.08499999999999</v>
      </c>
      <c r="C655" s="9">
        <f t="shared" si="10"/>
        <v>9.2086501901130098E-4</v>
      </c>
      <c r="D655" s="7">
        <f>(Table534567910[[#This Row],[Value]]-B643)/B643</f>
        <v>1.4960590391083838E-2</v>
      </c>
      <c r="E655" s="16">
        <v>0.02</v>
      </c>
      <c r="F655" s="15">
        <f>VLOOKUP(Table534567910[[#This Row],[Date]],Database!A:E,4)</f>
        <v>0.25</v>
      </c>
    </row>
    <row r="656" spans="1:6" x14ac:dyDescent="0.35">
      <c r="A656" s="60">
        <v>41365</v>
      </c>
      <c r="B656" s="58">
        <f>VLOOKUP(Table534567910[[#This Row],[Date]],Database!A:E,MATCH($A$1,Database!$A$1:$E$1,),)</f>
        <v>101.163</v>
      </c>
      <c r="C656" s="9">
        <f t="shared" si="10"/>
        <v>7.716278379581833E-4</v>
      </c>
      <c r="D656" s="7">
        <f>(Table534567910[[#This Row],[Value]]-B644)/B644</f>
        <v>1.4206083451968015E-2</v>
      </c>
      <c r="E656" s="16">
        <v>0.02</v>
      </c>
      <c r="F656" s="15">
        <f>VLOOKUP(Table534567910[[#This Row],[Date]],Database!A:E,4)</f>
        <v>0.25</v>
      </c>
    </row>
    <row r="657" spans="1:6" x14ac:dyDescent="0.35">
      <c r="A657" s="60">
        <v>41395</v>
      </c>
      <c r="B657" s="58">
        <f>VLOOKUP(Table534567910[[#This Row],[Date]],Database!A:E,MATCH($A$1,Database!$A$1:$E$1,),)</f>
        <v>101.27200000000001</v>
      </c>
      <c r="C657" s="9">
        <f t="shared" si="10"/>
        <v>1.0774690351216243E-3</v>
      </c>
      <c r="D657" s="7">
        <f>(Table534567910[[#This Row],[Value]]-B645)/B645</f>
        <v>1.4271835908940794E-2</v>
      </c>
      <c r="E657" s="16">
        <v>0.02</v>
      </c>
      <c r="F657" s="15">
        <f>VLOOKUP(Table534567910[[#This Row],[Date]],Database!A:E,4)</f>
        <v>0.25</v>
      </c>
    </row>
    <row r="658" spans="1:6" x14ac:dyDescent="0.35">
      <c r="A658" s="60">
        <v>41426</v>
      </c>
      <c r="B658" s="58">
        <f>VLOOKUP(Table534567910[[#This Row],[Date]],Database!A:E,MATCH($A$1,Database!$A$1:$E$1,),)</f>
        <v>101.438</v>
      </c>
      <c r="C658" s="9">
        <f t="shared" si="10"/>
        <v>1.6391500118492456E-3</v>
      </c>
      <c r="D658" s="7">
        <f>(Table534567910[[#This Row],[Value]]-B646)/B646</f>
        <v>1.4887443721860925E-2</v>
      </c>
      <c r="E658" s="16">
        <v>0.02</v>
      </c>
      <c r="F658" s="15">
        <f>VLOOKUP(Table534567910[[#This Row],[Date]],Database!A:E,4)</f>
        <v>0.25</v>
      </c>
    </row>
    <row r="659" spans="1:6" x14ac:dyDescent="0.35">
      <c r="A659" s="60">
        <v>41456</v>
      </c>
      <c r="B659" s="58">
        <f>VLOOKUP(Table534567910[[#This Row],[Date]],Database!A:E,MATCH($A$1,Database!$A$1:$E$1,),)</f>
        <v>101.56699999999999</v>
      </c>
      <c r="C659" s="9">
        <f t="shared" si="10"/>
        <v>1.2717127703620998E-3</v>
      </c>
      <c r="D659" s="7">
        <f>(Table534567910[[#This Row],[Value]]-B647)/B647</f>
        <v>1.5131980050573155E-2</v>
      </c>
      <c r="E659" s="16">
        <v>0.02</v>
      </c>
      <c r="F659" s="15">
        <f>VLOOKUP(Table534567910[[#This Row],[Date]],Database!A:E,4)</f>
        <v>0.25</v>
      </c>
    </row>
    <row r="660" spans="1:6" x14ac:dyDescent="0.35">
      <c r="A660" s="60">
        <v>41487</v>
      </c>
      <c r="B660" s="58">
        <f>VLOOKUP(Table534567910[[#This Row],[Date]],Database!A:E,MATCH($A$1,Database!$A$1:$E$1,),)</f>
        <v>101.685</v>
      </c>
      <c r="C660" s="9">
        <f t="shared" si="10"/>
        <v>1.1617946774051535E-3</v>
      </c>
      <c r="D660" s="7">
        <f>(Table534567910[[#This Row],[Value]]-B648)/B648</f>
        <v>1.5671820688001943E-2</v>
      </c>
      <c r="E660" s="16">
        <v>0.02</v>
      </c>
      <c r="F660" s="15">
        <f>VLOOKUP(Table534567910[[#This Row],[Date]],Database!A:E,4)</f>
        <v>0.25</v>
      </c>
    </row>
    <row r="661" spans="1:6" x14ac:dyDescent="0.35">
      <c r="A661" s="60">
        <v>41518</v>
      </c>
      <c r="B661" s="58">
        <f>VLOOKUP(Table534567910[[#This Row],[Date]],Database!A:E,MATCH($A$1,Database!$A$1:$E$1,),)</f>
        <v>101.79900000000001</v>
      </c>
      <c r="C661" s="9">
        <f t="shared" si="10"/>
        <v>1.1211093081575879E-3</v>
      </c>
      <c r="D661" s="7">
        <f>(Table534567910[[#This Row],[Value]]-B649)/B649</f>
        <v>1.5552673583399958E-2</v>
      </c>
      <c r="E661" s="16">
        <v>0.02</v>
      </c>
      <c r="F661" s="15">
        <f>VLOOKUP(Table534567910[[#This Row],[Date]],Database!A:E,4)</f>
        <v>0.25</v>
      </c>
    </row>
    <row r="662" spans="1:6" x14ac:dyDescent="0.35">
      <c r="A662" s="60">
        <v>41548</v>
      </c>
      <c r="B662" s="58">
        <f>VLOOKUP(Table534567910[[#This Row],[Date]],Database!A:E,MATCH($A$1,Database!$A$1:$E$1,),)</f>
        <v>102.015</v>
      </c>
      <c r="C662" s="9">
        <f t="shared" si="10"/>
        <v>2.1218283087259598E-3</v>
      </c>
      <c r="D662" s="7">
        <f>(Table534567910[[#This Row],[Value]]-B650)/B650</f>
        <v>1.5256463844270629E-2</v>
      </c>
      <c r="E662" s="16">
        <v>0.02</v>
      </c>
      <c r="F662" s="15">
        <f>VLOOKUP(Table534567910[[#This Row],[Date]],Database!A:E,4)</f>
        <v>0.25</v>
      </c>
    </row>
    <row r="663" spans="1:6" x14ac:dyDescent="0.35">
      <c r="A663" s="60">
        <v>41579</v>
      </c>
      <c r="B663" s="58">
        <f>VLOOKUP(Table534567910[[#This Row],[Date]],Database!A:E,MATCH($A$1,Database!$A$1:$E$1,),)</f>
        <v>102.194</v>
      </c>
      <c r="C663" s="9">
        <f t="shared" si="10"/>
        <v>1.7546439249130231E-3</v>
      </c>
      <c r="D663" s="7">
        <f>(Table534567910[[#This Row],[Value]]-B651)/B651</f>
        <v>1.5935819307890453E-2</v>
      </c>
      <c r="E663" s="16">
        <v>0.02</v>
      </c>
      <c r="F663" s="15">
        <f>VLOOKUP(Table534567910[[#This Row],[Date]],Database!A:E,4)</f>
        <v>0.25</v>
      </c>
    </row>
    <row r="664" spans="1:6" x14ac:dyDescent="0.35">
      <c r="A664" s="60">
        <v>41609</v>
      </c>
      <c r="B664" s="58">
        <f>VLOOKUP(Table534567910[[#This Row],[Date]],Database!A:E,MATCH($A$1,Database!$A$1:$E$1,),)</f>
        <v>102.333</v>
      </c>
      <c r="C664" s="9">
        <f t="shared" si="10"/>
        <v>1.3601581306142807E-3</v>
      </c>
      <c r="D664" s="7">
        <f>(Table534567910[[#This Row],[Value]]-B652)/B652</f>
        <v>1.6579909401573521E-2</v>
      </c>
      <c r="E664" s="16">
        <v>0.02</v>
      </c>
      <c r="F664" s="15">
        <f>VLOOKUP(Table534567910[[#This Row],[Date]],Database!A:E,4)</f>
        <v>0.25</v>
      </c>
    </row>
    <row r="665" spans="1:6" x14ac:dyDescent="0.35">
      <c r="A665" s="60">
        <v>41640</v>
      </c>
      <c r="B665" s="58">
        <f>VLOOKUP(Table534567910[[#This Row],[Date]],Database!A:E,MATCH($A$1,Database!$A$1:$E$1,),)</f>
        <v>102.426</v>
      </c>
      <c r="C665" s="9">
        <f t="shared" si="10"/>
        <v>9.087977485269026E-4</v>
      </c>
      <c r="D665" s="7">
        <f>(Table534567910[[#This Row],[Value]]-B653)/B653</f>
        <v>1.5415729000406529E-2</v>
      </c>
      <c r="E665" s="16">
        <v>0.02</v>
      </c>
      <c r="F665" s="15">
        <f>VLOOKUP(Table534567910[[#This Row],[Date]],Database!A:E,4)</f>
        <v>0.25</v>
      </c>
    </row>
    <row r="666" spans="1:6" x14ac:dyDescent="0.35">
      <c r="A666" s="60">
        <v>41671</v>
      </c>
      <c r="B666" s="58">
        <f>VLOOKUP(Table534567910[[#This Row],[Date]],Database!A:E,MATCH($A$1,Database!$A$1:$E$1,),)</f>
        <v>102.489</v>
      </c>
      <c r="C666" s="9">
        <f t="shared" si="10"/>
        <v>6.1507820280009358E-4</v>
      </c>
      <c r="D666" s="7">
        <f>(Table534567910[[#This Row],[Value]]-B654)/B654</f>
        <v>1.4822956273764256E-2</v>
      </c>
      <c r="E666" s="16">
        <v>0.02</v>
      </c>
      <c r="F666" s="15">
        <f>VLOOKUP(Table534567910[[#This Row],[Date]],Database!A:E,4)</f>
        <v>0.25</v>
      </c>
    </row>
    <row r="667" spans="1:6" x14ac:dyDescent="0.35">
      <c r="A667" s="60">
        <v>41699</v>
      </c>
      <c r="B667" s="58">
        <f>VLOOKUP(Table534567910[[#This Row],[Date]],Database!A:E,MATCH($A$1,Database!$A$1:$E$1,),)</f>
        <v>102.684</v>
      </c>
      <c r="C667" s="9">
        <f t="shared" si="10"/>
        <v>1.9026432104908154E-3</v>
      </c>
      <c r="D667" s="7">
        <f>(Table534567910[[#This Row],[Value]]-B655)/B655</f>
        <v>1.5818370678142197E-2</v>
      </c>
      <c r="E667" s="16">
        <v>0.02</v>
      </c>
      <c r="F667" s="15">
        <f>VLOOKUP(Table534567910[[#This Row],[Date]],Database!A:E,4)</f>
        <v>0.25</v>
      </c>
    </row>
    <row r="668" spans="1:6" x14ac:dyDescent="0.35">
      <c r="A668" s="60">
        <v>41730</v>
      </c>
      <c r="B668" s="58">
        <f>VLOOKUP(Table534567910[[#This Row],[Date]],Database!A:E,MATCH($A$1,Database!$A$1:$E$1,),)</f>
        <v>102.879</v>
      </c>
      <c r="C668" s="9">
        <f t="shared" si="10"/>
        <v>1.8990300338904541E-3</v>
      </c>
      <c r="D668" s="7">
        <f>(Table534567910[[#This Row],[Value]]-B656)/B656</f>
        <v>1.6962723525399685E-2</v>
      </c>
      <c r="E668" s="16">
        <v>0.02</v>
      </c>
      <c r="F668" s="15">
        <f>VLOOKUP(Table534567910[[#This Row],[Date]],Database!A:E,4)</f>
        <v>0.25</v>
      </c>
    </row>
    <row r="669" spans="1:6" x14ac:dyDescent="0.35">
      <c r="A669" s="60">
        <v>41760</v>
      </c>
      <c r="B669" s="58">
        <f>VLOOKUP(Table534567910[[#This Row],[Date]],Database!A:E,MATCH($A$1,Database!$A$1:$E$1,),)</f>
        <v>103.06100000000001</v>
      </c>
      <c r="C669" s="9">
        <f t="shared" si="10"/>
        <v>1.7690685173845212E-3</v>
      </c>
      <c r="D669" s="7">
        <f>(Table534567910[[#This Row],[Value]]-B657)/B657</f>
        <v>1.7665297416857587E-2</v>
      </c>
      <c r="E669" s="16">
        <v>0.02</v>
      </c>
      <c r="F669" s="15">
        <f>VLOOKUP(Table534567910[[#This Row],[Date]],Database!A:E,4)</f>
        <v>0.25</v>
      </c>
    </row>
    <row r="670" spans="1:6" x14ac:dyDescent="0.35">
      <c r="A670" s="60">
        <v>41791</v>
      </c>
      <c r="B670" s="58">
        <f>VLOOKUP(Table534567910[[#This Row],[Date]],Database!A:E,MATCH($A$1,Database!$A$1:$E$1,),)</f>
        <v>103.18</v>
      </c>
      <c r="C670" s="9">
        <f t="shared" si="10"/>
        <v>1.1546559804387669E-3</v>
      </c>
      <c r="D670" s="7">
        <f>(Table534567910[[#This Row],[Value]]-B658)/B658</f>
        <v>1.7173051519154599E-2</v>
      </c>
      <c r="E670" s="16">
        <v>0.02</v>
      </c>
      <c r="F670" s="15">
        <f>VLOOKUP(Table534567910[[#This Row],[Date]],Database!A:E,4)</f>
        <v>0.25</v>
      </c>
    </row>
    <row r="671" spans="1:6" x14ac:dyDescent="0.35">
      <c r="A671" s="60">
        <v>41821</v>
      </c>
      <c r="B671" s="58">
        <f>VLOOKUP(Table534567910[[#This Row],[Date]],Database!A:E,MATCH($A$1,Database!$A$1:$E$1,),)</f>
        <v>103.369</v>
      </c>
      <c r="C671" s="9">
        <f t="shared" si="10"/>
        <v>1.8317503392129572E-3</v>
      </c>
      <c r="D671" s="7">
        <f>(Table534567910[[#This Row],[Value]]-B659)/B659</f>
        <v>1.7741983124440093E-2</v>
      </c>
      <c r="E671" s="16">
        <v>0.02</v>
      </c>
      <c r="F671" s="15">
        <f>VLOOKUP(Table534567910[[#This Row],[Date]],Database!A:E,4)</f>
        <v>0.25</v>
      </c>
    </row>
    <row r="672" spans="1:6" x14ac:dyDescent="0.35">
      <c r="A672" s="60">
        <v>41852</v>
      </c>
      <c r="B672" s="58">
        <f>VLOOKUP(Table534567910[[#This Row],[Date]],Database!A:E,MATCH($A$1,Database!$A$1:$E$1,),)</f>
        <v>103.408</v>
      </c>
      <c r="C672" s="9">
        <f t="shared" si="10"/>
        <v>3.772891292360522E-4</v>
      </c>
      <c r="D672" s="7">
        <f>(Table534567910[[#This Row],[Value]]-B660)/B660</f>
        <v>1.6944485420661837E-2</v>
      </c>
      <c r="E672" s="16">
        <v>0.02</v>
      </c>
      <c r="F672" s="15">
        <f>VLOOKUP(Table534567910[[#This Row],[Date]],Database!A:E,4)</f>
        <v>0.25</v>
      </c>
    </row>
    <row r="673" spans="1:6" x14ac:dyDescent="0.35">
      <c r="A673" s="60">
        <v>41883</v>
      </c>
      <c r="B673" s="58">
        <f>VLOOKUP(Table534567910[[#This Row],[Date]],Database!A:E,MATCH($A$1,Database!$A$1:$E$1,),)</f>
        <v>103.536</v>
      </c>
      <c r="C673" s="9">
        <f t="shared" si="10"/>
        <v>1.2378152560730321E-3</v>
      </c>
      <c r="D673" s="7">
        <f>(Table534567910[[#This Row],[Value]]-B661)/B661</f>
        <v>1.7063035982671684E-2</v>
      </c>
      <c r="E673" s="16">
        <v>0.02</v>
      </c>
      <c r="F673" s="15">
        <f>VLOOKUP(Table534567910[[#This Row],[Date]],Database!A:E,4)</f>
        <v>0.25</v>
      </c>
    </row>
    <row r="674" spans="1:6" x14ac:dyDescent="0.35">
      <c r="A674" s="60">
        <v>41913</v>
      </c>
      <c r="B674" s="58">
        <f>VLOOKUP(Table534567910[[#This Row],[Date]],Database!A:E,MATCH($A$1,Database!$A$1:$E$1,),)</f>
        <v>103.629</v>
      </c>
      <c r="C674" s="9">
        <f t="shared" si="10"/>
        <v>8.9823829392678416E-4</v>
      </c>
      <c r="D674" s="7">
        <f>(Table534567910[[#This Row],[Value]]-B662)/B662</f>
        <v>1.5821202764299411E-2</v>
      </c>
      <c r="E674" s="16">
        <v>0.02</v>
      </c>
      <c r="F674" s="15">
        <f>VLOOKUP(Table534567910[[#This Row],[Date]],Database!A:E,4)</f>
        <v>0.25</v>
      </c>
    </row>
    <row r="675" spans="1:6" x14ac:dyDescent="0.35">
      <c r="A675" s="60">
        <v>41944</v>
      </c>
      <c r="B675" s="58">
        <f>VLOOKUP(Table534567910[[#This Row],[Date]],Database!A:E,MATCH($A$1,Database!$A$1:$E$1,),)</f>
        <v>103.74</v>
      </c>
      <c r="C675" s="9">
        <f t="shared" si="10"/>
        <v>1.0711287380944523E-3</v>
      </c>
      <c r="D675" s="7">
        <f>(Table534567910[[#This Row],[Value]]-B663)/B663</f>
        <v>1.5128089711724683E-2</v>
      </c>
      <c r="E675" s="16">
        <v>0.02</v>
      </c>
      <c r="F675" s="15">
        <f>VLOOKUP(Table534567910[[#This Row],[Date]],Database!A:E,4)</f>
        <v>0.25</v>
      </c>
    </row>
    <row r="676" spans="1:6" x14ac:dyDescent="0.35">
      <c r="A676" s="60">
        <v>41974</v>
      </c>
      <c r="B676" s="58">
        <f>VLOOKUP(Table534567910[[#This Row],[Date]],Database!A:E,MATCH($A$1,Database!$A$1:$E$1,),)</f>
        <v>103.837</v>
      </c>
      <c r="C676" s="9">
        <f t="shared" si="10"/>
        <v>9.3502988239838459E-4</v>
      </c>
      <c r="D676" s="7">
        <f>(Table534567910[[#This Row],[Value]]-B664)/B664</f>
        <v>1.4697116277251765E-2</v>
      </c>
      <c r="E676" s="16">
        <v>0.02</v>
      </c>
      <c r="F676" s="15">
        <f>VLOOKUP(Table534567910[[#This Row],[Date]],Database!A:E,4)</f>
        <v>0.25</v>
      </c>
    </row>
    <row r="677" spans="1:6" x14ac:dyDescent="0.35">
      <c r="A677" s="60">
        <v>42005</v>
      </c>
      <c r="B677" s="58">
        <f>VLOOKUP(Table534567910[[#This Row],[Date]],Database!A:E,MATCH($A$1,Database!$A$1:$E$1,),)</f>
        <v>103.816</v>
      </c>
      <c r="C677" s="9">
        <f t="shared" si="10"/>
        <v>-2.0224004930805779E-4</v>
      </c>
      <c r="D677" s="7">
        <f>(Table534567910[[#This Row],[Value]]-B665)/B665</f>
        <v>1.3570773045906318E-2</v>
      </c>
      <c r="E677" s="16">
        <v>0.02</v>
      </c>
      <c r="F677" s="15">
        <f>VLOOKUP(Table534567910[[#This Row],[Date]],Database!A:E,4)</f>
        <v>0.25</v>
      </c>
    </row>
    <row r="678" spans="1:6" x14ac:dyDescent="0.35">
      <c r="A678" s="60">
        <v>42036</v>
      </c>
      <c r="B678" s="58">
        <f>VLOOKUP(Table534567910[[#This Row],[Date]],Database!A:E,MATCH($A$1,Database!$A$1:$E$1,),)</f>
        <v>103.92</v>
      </c>
      <c r="C678" s="9">
        <f t="shared" si="10"/>
        <v>1.0017723664945597E-3</v>
      </c>
      <c r="D678" s="7">
        <f>(Table534567910[[#This Row],[Value]]-B666)/B666</f>
        <v>1.3962474021602292E-2</v>
      </c>
      <c r="E678" s="16">
        <v>0.02</v>
      </c>
      <c r="F678" s="15">
        <f>VLOOKUP(Table534567910[[#This Row],[Date]],Database!A:E,4)</f>
        <v>0.25</v>
      </c>
    </row>
    <row r="679" spans="1:6" x14ac:dyDescent="0.35">
      <c r="A679" s="60">
        <v>42064</v>
      </c>
      <c r="B679" s="58">
        <f>VLOOKUP(Table534567910[[#This Row],[Date]],Database!A:E,MATCH($A$1,Database!$A$1:$E$1,),)</f>
        <v>104.08</v>
      </c>
      <c r="C679" s="9">
        <f t="shared" si="10"/>
        <v>1.5396458814472343E-3</v>
      </c>
      <c r="D679" s="7">
        <f>(Table534567910[[#This Row],[Value]]-B667)/B667</f>
        <v>1.3595107319543462E-2</v>
      </c>
      <c r="E679" s="16">
        <v>0.02</v>
      </c>
      <c r="F679" s="15">
        <f>VLOOKUP(Table534567910[[#This Row],[Date]],Database!A:E,4)</f>
        <v>0.25</v>
      </c>
    </row>
    <row r="680" spans="1:6" x14ac:dyDescent="0.35">
      <c r="A680" s="60">
        <v>42095</v>
      </c>
      <c r="B680" s="58">
        <f>VLOOKUP(Table534567910[[#This Row],[Date]],Database!A:E,MATCH($A$1,Database!$A$1:$E$1,),)</f>
        <v>104.256</v>
      </c>
      <c r="C680" s="9">
        <f t="shared" si="10"/>
        <v>1.6910069177555912E-3</v>
      </c>
      <c r="D680" s="7">
        <f>(Table534567910[[#This Row],[Value]]-B668)/B668</f>
        <v>1.3384655760650815E-2</v>
      </c>
      <c r="E680" s="16">
        <v>0.02</v>
      </c>
      <c r="F680" s="15">
        <f>VLOOKUP(Table534567910[[#This Row],[Date]],Database!A:E,4)</f>
        <v>0.25</v>
      </c>
    </row>
    <row r="681" spans="1:6" x14ac:dyDescent="0.35">
      <c r="A681" s="60">
        <v>42125</v>
      </c>
      <c r="B681" s="58">
        <f>VLOOKUP(Table534567910[[#This Row],[Date]],Database!A:E,MATCH($A$1,Database!$A$1:$E$1,),)</f>
        <v>104.38500000000001</v>
      </c>
      <c r="C681" s="9">
        <f t="shared" si="10"/>
        <v>1.2373388581952587E-3</v>
      </c>
      <c r="D681" s="7">
        <f>(Table534567910[[#This Row],[Value]]-B669)/B669</f>
        <v>1.2846760656310321E-2</v>
      </c>
      <c r="E681" s="16">
        <v>0.02</v>
      </c>
      <c r="F681" s="15">
        <f>VLOOKUP(Table534567910[[#This Row],[Date]],Database!A:E,4)</f>
        <v>0.25</v>
      </c>
    </row>
    <row r="682" spans="1:6" x14ac:dyDescent="0.35">
      <c r="A682" s="60">
        <v>42156</v>
      </c>
      <c r="B682" s="58">
        <f>VLOOKUP(Table534567910[[#This Row],[Date]],Database!A:E,MATCH($A$1,Database!$A$1:$E$1,),)</f>
        <v>104.511</v>
      </c>
      <c r="C682" s="9">
        <f t="shared" si="10"/>
        <v>1.2070699813190647E-3</v>
      </c>
      <c r="D682" s="7">
        <f>(Table534567910[[#This Row],[Value]]-B670)/B670</f>
        <v>1.2899786780383686E-2</v>
      </c>
      <c r="E682" s="16">
        <v>0.02</v>
      </c>
      <c r="F682" s="15">
        <f>VLOOKUP(Table534567910[[#This Row],[Date]],Database!A:E,4)</f>
        <v>0.25</v>
      </c>
    </row>
    <row r="683" spans="1:6" x14ac:dyDescent="0.35">
      <c r="A683" s="60">
        <v>42186</v>
      </c>
      <c r="B683" s="58">
        <f>VLOOKUP(Table534567910[[#This Row],[Date]],Database!A:E,MATCH($A$1,Database!$A$1:$E$1,),)</f>
        <v>104.60299999999999</v>
      </c>
      <c r="C683" s="9">
        <f t="shared" si="10"/>
        <v>8.8029011300244718E-4</v>
      </c>
      <c r="D683" s="7">
        <f>(Table534567910[[#This Row],[Value]]-B671)/B671</f>
        <v>1.193781501223766E-2</v>
      </c>
      <c r="E683" s="16">
        <v>0.02</v>
      </c>
      <c r="F683" s="15">
        <f>VLOOKUP(Table534567910[[#This Row],[Date]],Database!A:E,4)</f>
        <v>0.25</v>
      </c>
    </row>
    <row r="684" spans="1:6" x14ac:dyDescent="0.35">
      <c r="A684" s="60">
        <v>42217</v>
      </c>
      <c r="B684" s="58">
        <f>VLOOKUP(Table534567910[[#This Row],[Date]],Database!A:E,MATCH($A$1,Database!$A$1:$E$1,),)</f>
        <v>104.679</v>
      </c>
      <c r="C684" s="9">
        <f t="shared" si="10"/>
        <v>7.265565997151862E-4</v>
      </c>
      <c r="D684" s="7">
        <f>(Table534567910[[#This Row],[Value]]-B672)/B672</f>
        <v>1.2291118675537683E-2</v>
      </c>
      <c r="E684" s="16">
        <v>0.02</v>
      </c>
      <c r="F684" s="15">
        <f>VLOOKUP(Table534567910[[#This Row],[Date]],Database!A:E,4)</f>
        <v>0.25</v>
      </c>
    </row>
    <row r="685" spans="1:6" x14ac:dyDescent="0.35">
      <c r="A685" s="60">
        <v>42248</v>
      </c>
      <c r="B685" s="58">
        <f>VLOOKUP(Table534567910[[#This Row],[Date]],Database!A:E,MATCH($A$1,Database!$A$1:$E$1,),)</f>
        <v>104.81399999999999</v>
      </c>
      <c r="C685" s="9">
        <f t="shared" si="10"/>
        <v>1.2896569512508803E-3</v>
      </c>
      <c r="D685" s="7">
        <f>(Table534567910[[#This Row],[Value]]-B673)/B673</f>
        <v>1.2343532684283646E-2</v>
      </c>
      <c r="E685" s="16">
        <v>0.02</v>
      </c>
      <c r="F685" s="15">
        <f>VLOOKUP(Table534567910[[#This Row],[Date]],Database!A:E,4)</f>
        <v>0.25</v>
      </c>
    </row>
    <row r="686" spans="1:6" x14ac:dyDescent="0.35">
      <c r="A686" s="60">
        <v>42278</v>
      </c>
      <c r="B686" s="58">
        <f>VLOOKUP(Table534567910[[#This Row],[Date]],Database!A:E,MATCH($A$1,Database!$A$1:$E$1,),)</f>
        <v>104.82899999999999</v>
      </c>
      <c r="C686" s="9">
        <f t="shared" si="10"/>
        <v>1.4311065315702643E-4</v>
      </c>
      <c r="D686" s="7">
        <f>(Table534567910[[#This Row],[Value]]-B674)/B674</f>
        <v>1.1579770141562579E-2</v>
      </c>
      <c r="E686" s="16">
        <v>0.02</v>
      </c>
      <c r="F686" s="15">
        <f>VLOOKUP(Table534567910[[#This Row],[Date]],Database!A:E,4)</f>
        <v>0.25</v>
      </c>
    </row>
    <row r="687" spans="1:6" x14ac:dyDescent="0.35">
      <c r="A687" s="60">
        <v>42309</v>
      </c>
      <c r="B687" s="58">
        <f>VLOOKUP(Table534567910[[#This Row],[Date]],Database!A:E,MATCH($A$1,Database!$A$1:$E$1,),)</f>
        <v>104.94</v>
      </c>
      <c r="C687" s="9">
        <f t="shared" si="10"/>
        <v>1.0588672981713476E-3</v>
      </c>
      <c r="D687" s="7">
        <f>(Table534567910[[#This Row],[Value]]-B675)/B675</f>
        <v>1.1567379988432647E-2</v>
      </c>
      <c r="E687" s="16">
        <v>0.02</v>
      </c>
      <c r="F687" s="15">
        <f>VLOOKUP(Table534567910[[#This Row],[Date]],Database!A:E,4)</f>
        <v>0.25</v>
      </c>
    </row>
    <row r="688" spans="1:6" x14ac:dyDescent="0.35">
      <c r="A688" s="60">
        <v>42339</v>
      </c>
      <c r="B688" s="58">
        <f>VLOOKUP(Table534567910[[#This Row],[Date]],Database!A:E,MATCH($A$1,Database!$A$1:$E$1,),)</f>
        <v>105.009</v>
      </c>
      <c r="C688" s="9">
        <f t="shared" si="10"/>
        <v>6.5751858204690888E-4</v>
      </c>
      <c r="D688" s="7">
        <f>(Table534567910[[#This Row],[Value]]-B676)/B676</f>
        <v>1.1286920847096864E-2</v>
      </c>
      <c r="E688" s="16">
        <v>0.02</v>
      </c>
      <c r="F688" s="15">
        <f>VLOOKUP(Table534567910[[#This Row],[Date]],Database!A:E,4)</f>
        <v>0.25</v>
      </c>
    </row>
    <row r="689" spans="1:6" x14ac:dyDescent="0.35">
      <c r="A689" s="60">
        <v>42370</v>
      </c>
      <c r="B689" s="58">
        <f>VLOOKUP(Table534567910[[#This Row],[Date]],Database!A:E,MATCH($A$1,Database!$A$1:$E$1,),)</f>
        <v>105.20399999999999</v>
      </c>
      <c r="C689" s="9">
        <f t="shared" si="10"/>
        <v>1.8569836871124683E-3</v>
      </c>
      <c r="D689" s="7">
        <f>(Table534567910[[#This Row],[Value]]-B677)/B677</f>
        <v>1.3369808122062022E-2</v>
      </c>
      <c r="E689" s="16">
        <v>0.02</v>
      </c>
      <c r="F689" s="15">
        <f>VLOOKUP(Table534567910[[#This Row],[Date]],Database!A:E,4)</f>
        <v>0.5</v>
      </c>
    </row>
    <row r="690" spans="1:6" x14ac:dyDescent="0.35">
      <c r="A690" s="60">
        <v>42401</v>
      </c>
      <c r="B690" s="58">
        <f>VLOOKUP(Table534567910[[#This Row],[Date]],Database!A:E,MATCH($A$1,Database!$A$1:$E$1,),)</f>
        <v>105.369</v>
      </c>
      <c r="C690" s="9">
        <f t="shared" si="10"/>
        <v>1.568381430363924E-3</v>
      </c>
      <c r="D690" s="7">
        <f>(Table534567910[[#This Row],[Value]]-B678)/B678</f>
        <v>1.3943418013856793E-2</v>
      </c>
      <c r="E690" s="16">
        <v>0.02</v>
      </c>
      <c r="F690" s="15">
        <f>VLOOKUP(Table534567910[[#This Row],[Date]],Database!A:E,4)</f>
        <v>0.5</v>
      </c>
    </row>
    <row r="691" spans="1:6" x14ac:dyDescent="0.35">
      <c r="A691" s="60">
        <v>42430</v>
      </c>
      <c r="B691" s="58">
        <f>VLOOKUP(Table534567910[[#This Row],[Date]],Database!A:E,MATCH($A$1,Database!$A$1:$E$1,),)</f>
        <v>105.521</v>
      </c>
      <c r="C691" s="9">
        <f t="shared" si="10"/>
        <v>1.442549516461208E-3</v>
      </c>
      <c r="D691" s="7">
        <f>(Table534567910[[#This Row],[Value]]-B679)/B679</f>
        <v>1.3845119139123774E-2</v>
      </c>
      <c r="E691" s="16">
        <v>0.02</v>
      </c>
      <c r="F691" s="15">
        <f>VLOOKUP(Table534567910[[#This Row],[Date]],Database!A:E,4)</f>
        <v>0.5</v>
      </c>
    </row>
    <row r="692" spans="1:6" x14ac:dyDescent="0.35">
      <c r="A692" s="60">
        <v>42461</v>
      </c>
      <c r="B692" s="58">
        <f>VLOOKUP(Table534567910[[#This Row],[Date]],Database!A:E,MATCH($A$1,Database!$A$1:$E$1,),)</f>
        <v>105.786</v>
      </c>
      <c r="C692" s="9">
        <f t="shared" si="10"/>
        <v>2.5113484519669123E-3</v>
      </c>
      <c r="D692" s="7">
        <f>(Table534567910[[#This Row],[Value]]-B680)/B680</f>
        <v>1.4675414364640895E-2</v>
      </c>
      <c r="E692" s="16">
        <v>0.02</v>
      </c>
      <c r="F692" s="15">
        <f>VLOOKUP(Table534567910[[#This Row],[Date]],Database!A:E,4)</f>
        <v>0.5</v>
      </c>
    </row>
    <row r="693" spans="1:6" x14ac:dyDescent="0.35">
      <c r="A693" s="60">
        <v>42491</v>
      </c>
      <c r="B693" s="58">
        <f>VLOOKUP(Table534567910[[#This Row],[Date]],Database!A:E,MATCH($A$1,Database!$A$1:$E$1,),)</f>
        <v>105.94799999999999</v>
      </c>
      <c r="C693" s="9">
        <f t="shared" si="10"/>
        <v>1.5313935681469375E-3</v>
      </c>
      <c r="D693" s="7">
        <f>(Table534567910[[#This Row],[Value]]-B681)/B681</f>
        <v>1.4973415720649405E-2</v>
      </c>
      <c r="E693" s="16">
        <v>0.02</v>
      </c>
      <c r="F693" s="15">
        <f>VLOOKUP(Table534567910[[#This Row],[Date]],Database!A:E,4)</f>
        <v>0.5</v>
      </c>
    </row>
    <row r="694" spans="1:6" x14ac:dyDescent="0.35">
      <c r="A694" s="60">
        <v>42522</v>
      </c>
      <c r="B694" s="58">
        <f>VLOOKUP(Table534567910[[#This Row],[Date]],Database!A:E,MATCH($A$1,Database!$A$1:$E$1,),)</f>
        <v>106.077</v>
      </c>
      <c r="C694" s="9">
        <f t="shared" si="10"/>
        <v>1.2175784347038632E-3</v>
      </c>
      <c r="D694" s="7">
        <f>(Table534567910[[#This Row],[Value]]-B682)/B682</f>
        <v>1.4984068662628839E-2</v>
      </c>
      <c r="E694" s="16">
        <v>0.02</v>
      </c>
      <c r="F694" s="15">
        <f>VLOOKUP(Table534567910[[#This Row],[Date]],Database!A:E,4)</f>
        <v>0.5</v>
      </c>
    </row>
    <row r="695" spans="1:6" x14ac:dyDescent="0.35">
      <c r="A695" s="60">
        <v>42552</v>
      </c>
      <c r="B695" s="58">
        <f>VLOOKUP(Table534567910[[#This Row],[Date]],Database!A:E,MATCH($A$1,Database!$A$1:$E$1,),)</f>
        <v>106.25700000000001</v>
      </c>
      <c r="C695" s="9">
        <f t="shared" si="10"/>
        <v>1.6968805678894278E-3</v>
      </c>
      <c r="D695" s="7">
        <f>(Table534567910[[#This Row],[Value]]-B683)/B683</f>
        <v>1.5812165999063228E-2</v>
      </c>
      <c r="E695" s="16">
        <v>0.02</v>
      </c>
      <c r="F695" s="15">
        <f>VLOOKUP(Table534567910[[#This Row],[Date]],Database!A:E,4)</f>
        <v>0.5</v>
      </c>
    </row>
    <row r="696" spans="1:6" x14ac:dyDescent="0.35">
      <c r="A696" s="60">
        <v>42583</v>
      </c>
      <c r="B696" s="58">
        <f>VLOOKUP(Table534567910[[#This Row],[Date]],Database!A:E,MATCH($A$1,Database!$A$1:$E$1,),)</f>
        <v>106.456</v>
      </c>
      <c r="C696" s="9">
        <f t="shared" si="10"/>
        <v>1.8728177908278801E-3</v>
      </c>
      <c r="D696" s="7">
        <f>(Table534567910[[#This Row],[Value]]-B684)/B684</f>
        <v>1.6975706684244224E-2</v>
      </c>
      <c r="E696" s="16">
        <v>0.02</v>
      </c>
      <c r="F696" s="15">
        <f>VLOOKUP(Table534567910[[#This Row],[Date]],Database!A:E,4)</f>
        <v>0.5</v>
      </c>
    </row>
    <row r="697" spans="1:6" x14ac:dyDescent="0.35">
      <c r="A697" s="60">
        <v>42614</v>
      </c>
      <c r="B697" s="58">
        <f>VLOOKUP(Table534567910[[#This Row],[Date]],Database!A:E,MATCH($A$1,Database!$A$1:$E$1,),)</f>
        <v>106.57899999999999</v>
      </c>
      <c r="C697" s="9">
        <f t="shared" si="10"/>
        <v>1.1554069286840614E-3</v>
      </c>
      <c r="D697" s="7">
        <f>(Table534567910[[#This Row],[Value]]-B685)/B685</f>
        <v>1.6839353521476145E-2</v>
      </c>
      <c r="E697" s="16">
        <v>0.02</v>
      </c>
      <c r="F697" s="15">
        <f>VLOOKUP(Table534567910[[#This Row],[Date]],Database!A:E,4)</f>
        <v>0.5</v>
      </c>
    </row>
    <row r="698" spans="1:6" x14ac:dyDescent="0.35">
      <c r="A698" s="60">
        <v>42644</v>
      </c>
      <c r="B698" s="58">
        <f>VLOOKUP(Table534567910[[#This Row],[Date]],Database!A:E,MATCH($A$1,Database!$A$1:$E$1,),)</f>
        <v>106.73699999999999</v>
      </c>
      <c r="C698" s="9">
        <f t="shared" si="10"/>
        <v>1.4824684037193186E-3</v>
      </c>
      <c r="D698" s="7">
        <f>(Table534567910[[#This Row],[Value]]-B686)/B686</f>
        <v>1.8201070314512218E-2</v>
      </c>
      <c r="E698" s="16">
        <v>0.02</v>
      </c>
      <c r="F698" s="15">
        <f>VLOOKUP(Table534567910[[#This Row],[Date]],Database!A:E,4)</f>
        <v>0.5</v>
      </c>
    </row>
    <row r="699" spans="1:6" x14ac:dyDescent="0.35">
      <c r="A699" s="60">
        <v>42675</v>
      </c>
      <c r="B699" s="58">
        <f>VLOOKUP(Table534567910[[#This Row],[Date]],Database!A:E,MATCH($A$1,Database!$A$1:$E$1,),)</f>
        <v>106.789</v>
      </c>
      <c r="C699" s="9">
        <f t="shared" si="10"/>
        <v>4.8717876650090138E-4</v>
      </c>
      <c r="D699" s="7">
        <f>(Table534567910[[#This Row],[Value]]-B687)/B687</f>
        <v>1.7619592147894072E-2</v>
      </c>
      <c r="E699" s="16">
        <v>0.02</v>
      </c>
      <c r="F699" s="15">
        <f>VLOOKUP(Table534567910[[#This Row],[Date]],Database!A:E,4)</f>
        <v>0.5</v>
      </c>
    </row>
    <row r="700" spans="1:6" x14ac:dyDescent="0.35">
      <c r="A700" s="60">
        <v>42705</v>
      </c>
      <c r="B700" s="58">
        <f>VLOOKUP(Table534567910[[#This Row],[Date]],Database!A:E,MATCH($A$1,Database!$A$1:$E$1,),)</f>
        <v>106.929</v>
      </c>
      <c r="C700" s="9">
        <f t="shared" si="10"/>
        <v>1.3109964509453273E-3</v>
      </c>
      <c r="D700" s="7">
        <f>(Table534567910[[#This Row],[Value]]-B688)/B688</f>
        <v>1.8284147073108034E-2</v>
      </c>
      <c r="E700" s="16">
        <v>0.02</v>
      </c>
      <c r="F700" s="15">
        <f>VLOOKUP(Table534567910[[#This Row],[Date]],Database!A:E,4)</f>
        <v>0.5</v>
      </c>
    </row>
    <row r="701" spans="1:6" x14ac:dyDescent="0.35">
      <c r="A701" s="60">
        <v>42736</v>
      </c>
      <c r="B701" s="58">
        <f>VLOOKUP(Table534567910[[#This Row],[Date]],Database!A:E,MATCH($A$1,Database!$A$1:$E$1,),)</f>
        <v>107.205</v>
      </c>
      <c r="C701" s="9">
        <f t="shared" si="10"/>
        <v>2.5811519793507492E-3</v>
      </c>
      <c r="D701" s="7">
        <f>(Table534567910[[#This Row],[Value]]-B689)/B689</f>
        <v>1.9020189346412732E-2</v>
      </c>
      <c r="E701" s="16">
        <v>0.02</v>
      </c>
      <c r="F701" s="15">
        <f>VLOOKUP(Table534567910[[#This Row],[Date]],Database!A:E,4)</f>
        <v>0.75</v>
      </c>
    </row>
    <row r="702" spans="1:6" x14ac:dyDescent="0.35">
      <c r="A702" s="60">
        <v>42767</v>
      </c>
      <c r="B702" s="58">
        <f>VLOOKUP(Table534567910[[#This Row],[Date]],Database!A:E,MATCH($A$1,Database!$A$1:$E$1,),)</f>
        <v>107.414</v>
      </c>
      <c r="C702" s="9">
        <f t="shared" si="10"/>
        <v>1.9495359358239184E-3</v>
      </c>
      <c r="D702" s="7">
        <f>(Table534567910[[#This Row],[Value]]-B690)/B690</f>
        <v>1.9407985270810217E-2</v>
      </c>
      <c r="E702" s="16">
        <v>0.02</v>
      </c>
      <c r="F702" s="15">
        <f>VLOOKUP(Table534567910[[#This Row],[Date]],Database!A:E,4)</f>
        <v>0.75</v>
      </c>
    </row>
    <row r="703" spans="1:6" x14ac:dyDescent="0.35">
      <c r="A703" s="60">
        <v>42795</v>
      </c>
      <c r="B703" s="58">
        <f>VLOOKUP(Table534567910[[#This Row],[Date]],Database!A:E,MATCH($A$1,Database!$A$1:$E$1,),)</f>
        <v>107.364</v>
      </c>
      <c r="C703" s="9">
        <f t="shared" si="10"/>
        <v>-4.6548867000574561E-4</v>
      </c>
      <c r="D703" s="7">
        <f>(Table534567910[[#This Row],[Value]]-B691)/B691</f>
        <v>1.7465717724434032E-2</v>
      </c>
      <c r="E703" s="16">
        <v>0.02</v>
      </c>
      <c r="F703" s="15">
        <f>VLOOKUP(Table534567910[[#This Row],[Date]],Database!A:E,4)</f>
        <v>0.75</v>
      </c>
    </row>
    <row r="704" spans="1:6" x14ac:dyDescent="0.35">
      <c r="A704" s="60">
        <v>42826</v>
      </c>
      <c r="B704" s="58">
        <f>VLOOKUP(Table534567910[[#This Row],[Date]],Database!A:E,MATCH($A$1,Database!$A$1:$E$1,),)</f>
        <v>107.62</v>
      </c>
      <c r="C704" s="9">
        <f t="shared" si="10"/>
        <v>2.3844119071569632E-3</v>
      </c>
      <c r="D704" s="7">
        <f>(Table534567910[[#This Row],[Value]]-B692)/B692</f>
        <v>1.7336887678898939E-2</v>
      </c>
      <c r="E704" s="16">
        <v>0.02</v>
      </c>
      <c r="F704" s="15">
        <f>VLOOKUP(Table534567910[[#This Row],[Date]],Database!A:E,4)</f>
        <v>1</v>
      </c>
    </row>
    <row r="705" spans="1:6" x14ac:dyDescent="0.35">
      <c r="A705" s="60">
        <v>42856</v>
      </c>
      <c r="B705" s="58">
        <f>VLOOKUP(Table534567910[[#This Row],[Date]],Database!A:E,MATCH($A$1,Database!$A$1:$E$1,),)</f>
        <v>107.71899999999999</v>
      </c>
      <c r="C705" s="9">
        <f t="shared" si="10"/>
        <v>9.1990336368694982E-4</v>
      </c>
      <c r="D705" s="7">
        <f>(Table534567910[[#This Row],[Value]]-B693)/B693</f>
        <v>1.6715747347755511E-2</v>
      </c>
      <c r="E705" s="16">
        <v>0.02</v>
      </c>
      <c r="F705" s="15">
        <f>VLOOKUP(Table534567910[[#This Row],[Date]],Database!A:E,4)</f>
        <v>1</v>
      </c>
    </row>
    <row r="706" spans="1:6" x14ac:dyDescent="0.35">
      <c r="A706" s="60">
        <v>42887</v>
      </c>
      <c r="B706" s="58">
        <f>VLOOKUP(Table534567910[[#This Row],[Date]],Database!A:E,MATCH($A$1,Database!$A$1:$E$1,),)</f>
        <v>107.876</v>
      </c>
      <c r="C706" s="9">
        <f t="shared" si="10"/>
        <v>1.4574958920897027E-3</v>
      </c>
      <c r="D706" s="7">
        <f>(Table534567910[[#This Row],[Value]]-B694)/B694</f>
        <v>1.6959378564627644E-2</v>
      </c>
      <c r="E706" s="16">
        <v>0.02</v>
      </c>
      <c r="F706" s="15">
        <f>VLOOKUP(Table534567910[[#This Row],[Date]],Database!A:E,4)</f>
        <v>1</v>
      </c>
    </row>
    <row r="707" spans="1:6" x14ac:dyDescent="0.35">
      <c r="A707" s="60">
        <v>42917</v>
      </c>
      <c r="B707" s="58">
        <f>VLOOKUP(Table534567910[[#This Row],[Date]],Database!A:E,MATCH($A$1,Database!$A$1:$E$1,),)</f>
        <v>107.941</v>
      </c>
      <c r="C707" s="9">
        <f t="shared" si="10"/>
        <v>6.0254366124066268E-4</v>
      </c>
      <c r="D707" s="7">
        <f>(Table534567910[[#This Row],[Value]]-B695)/B695</f>
        <v>1.5848367636955657E-2</v>
      </c>
      <c r="E707" s="16">
        <v>0.02</v>
      </c>
      <c r="F707" s="15">
        <f>VLOOKUP(Table534567910[[#This Row],[Date]],Database!A:E,4)</f>
        <v>1.25</v>
      </c>
    </row>
    <row r="708" spans="1:6" x14ac:dyDescent="0.35">
      <c r="A708" s="60">
        <v>42948</v>
      </c>
      <c r="B708" s="58">
        <f>VLOOKUP(Table534567910[[#This Row],[Date]],Database!A:E,MATCH($A$1,Database!$A$1:$E$1,),)</f>
        <v>108.074</v>
      </c>
      <c r="C708" s="9">
        <f t="shared" si="10"/>
        <v>1.2321546029775115E-3</v>
      </c>
      <c r="D708" s="7">
        <f>(Table534567910[[#This Row],[Value]]-B696)/B696</f>
        <v>1.5198767565942689E-2</v>
      </c>
      <c r="E708" s="16">
        <v>0.02</v>
      </c>
      <c r="F708" s="15">
        <f>VLOOKUP(Table534567910[[#This Row],[Date]],Database!A:E,4)</f>
        <v>1.25</v>
      </c>
    </row>
    <row r="709" spans="1:6" x14ac:dyDescent="0.35">
      <c r="A709" s="60">
        <v>42979</v>
      </c>
      <c r="B709" s="58">
        <f>VLOOKUP(Table534567910[[#This Row],[Date]],Database!A:E,MATCH($A$1,Database!$A$1:$E$1,),)</f>
        <v>108.215</v>
      </c>
      <c r="C709" s="9">
        <f t="shared" si="10"/>
        <v>1.3046616207413933E-3</v>
      </c>
      <c r="D709" s="7">
        <f>(Table534567910[[#This Row],[Value]]-B697)/B697</f>
        <v>1.5350115876486081E-2</v>
      </c>
      <c r="E709" s="16">
        <v>0.02</v>
      </c>
      <c r="F709" s="15">
        <f>VLOOKUP(Table534567910[[#This Row],[Date]],Database!A:E,4)</f>
        <v>1.25</v>
      </c>
    </row>
    <row r="710" spans="1:6" x14ac:dyDescent="0.35">
      <c r="A710" s="60">
        <v>43009</v>
      </c>
      <c r="B710" s="58">
        <f>VLOOKUP(Table534567910[[#This Row],[Date]],Database!A:E,MATCH($A$1,Database!$A$1:$E$1,),)</f>
        <v>108.499</v>
      </c>
      <c r="C710" s="9">
        <f t="shared" ref="C710:C770" si="11">(B710-B709)/B709</f>
        <v>2.6244051194380799E-3</v>
      </c>
      <c r="D710" s="7">
        <f>(Table534567910[[#This Row],[Value]]-B698)/B698</f>
        <v>1.6507865126432264E-2</v>
      </c>
      <c r="E710" s="16">
        <v>0.02</v>
      </c>
      <c r="F710" s="15">
        <f>VLOOKUP(Table534567910[[#This Row],[Date]],Database!A:E,4)</f>
        <v>1.25</v>
      </c>
    </row>
    <row r="711" spans="1:6" x14ac:dyDescent="0.35">
      <c r="A711" s="60">
        <v>43040</v>
      </c>
      <c r="B711" s="58">
        <f>VLOOKUP(Table534567910[[#This Row],[Date]],Database!A:E,MATCH($A$1,Database!$A$1:$E$1,),)</f>
        <v>108.58199999999999</v>
      </c>
      <c r="C711" s="9">
        <f t="shared" si="11"/>
        <v>7.6498400906919333E-4</v>
      </c>
      <c r="D711" s="7">
        <f>(Table534567910[[#This Row],[Value]]-B699)/B699</f>
        <v>1.6790118832463945E-2</v>
      </c>
      <c r="E711" s="16">
        <v>0.02</v>
      </c>
      <c r="F711" s="15">
        <f>VLOOKUP(Table534567910[[#This Row],[Date]],Database!A:E,4)</f>
        <v>1.25</v>
      </c>
    </row>
    <row r="712" spans="1:6" x14ac:dyDescent="0.35">
      <c r="A712" s="60">
        <v>43070</v>
      </c>
      <c r="B712" s="58">
        <f>VLOOKUP(Table534567910[[#This Row],[Date]],Database!A:E,MATCH($A$1,Database!$A$1:$E$1,),)</f>
        <v>108.742</v>
      </c>
      <c r="C712" s="9">
        <f t="shared" si="11"/>
        <v>1.4735407341917703E-3</v>
      </c>
      <c r="D712" s="7">
        <f>(Table534567910[[#This Row],[Value]]-B700)/B700</f>
        <v>1.6955175864358615E-2</v>
      </c>
      <c r="E712" s="16">
        <v>0.02</v>
      </c>
      <c r="F712" s="15">
        <f>VLOOKUP(Table534567910[[#This Row],[Date]],Database!A:E,4)</f>
        <v>1.25</v>
      </c>
    </row>
    <row r="713" spans="1:6" x14ac:dyDescent="0.35">
      <c r="A713" s="60">
        <v>43101</v>
      </c>
      <c r="B713" s="58">
        <f>VLOOKUP(Table534567910[[#This Row],[Date]],Database!A:E,MATCH($A$1,Database!$A$1:$E$1,),)</f>
        <v>109.08</v>
      </c>
      <c r="C713" s="9">
        <f t="shared" si="11"/>
        <v>3.108274631696988E-3</v>
      </c>
      <c r="D713" s="7">
        <f>(Table534567910[[#This Row],[Value]]-B701)/B701</f>
        <v>1.7489855883587521E-2</v>
      </c>
      <c r="E713" s="16">
        <v>0.02</v>
      </c>
      <c r="F713" s="15">
        <f>VLOOKUP(Table534567910[[#This Row],[Date]],Database!A:E,4)</f>
        <v>1.5</v>
      </c>
    </row>
    <row r="714" spans="1:6" x14ac:dyDescent="0.35">
      <c r="A714" s="60">
        <v>43132</v>
      </c>
      <c r="B714" s="58">
        <f>VLOOKUP(Table534567910[[#This Row],[Date]],Database!A:E,MATCH($A$1,Database!$A$1:$E$1,),)</f>
        <v>109.31100000000001</v>
      </c>
      <c r="C714" s="9">
        <f t="shared" si="11"/>
        <v>2.117711771177198E-3</v>
      </c>
      <c r="D714" s="7">
        <f>(Table534567910[[#This Row],[Value]]-B702)/B702</f>
        <v>1.7660640140019043E-2</v>
      </c>
      <c r="E714" s="16">
        <v>0.02</v>
      </c>
      <c r="F714" s="15">
        <f>VLOOKUP(Table534567910[[#This Row],[Date]],Database!A:E,4)</f>
        <v>1.5</v>
      </c>
    </row>
    <row r="715" spans="1:6" x14ac:dyDescent="0.35">
      <c r="A715" s="60">
        <v>43160</v>
      </c>
      <c r="B715" s="58">
        <f>VLOOKUP(Table534567910[[#This Row],[Date]],Database!A:E,MATCH($A$1,Database!$A$1:$E$1,),)</f>
        <v>109.562</v>
      </c>
      <c r="C715" s="9">
        <f t="shared" si="11"/>
        <v>2.2962007483235038E-3</v>
      </c>
      <c r="D715" s="7">
        <f>(Table534567910[[#This Row],[Value]]-B703)/B703</f>
        <v>2.0472411609105411E-2</v>
      </c>
      <c r="E715" s="16">
        <v>0.02</v>
      </c>
      <c r="F715" s="15">
        <f>VLOOKUP(Table534567910[[#This Row],[Date]],Database!A:E,4)</f>
        <v>1.5</v>
      </c>
    </row>
    <row r="716" spans="1:6" x14ac:dyDescent="0.35">
      <c r="A716" s="60">
        <v>43191</v>
      </c>
      <c r="B716" s="58">
        <f>VLOOKUP(Table534567910[[#This Row],[Date]],Database!A:E,MATCH($A$1,Database!$A$1:$E$1,),)</f>
        <v>109.75</v>
      </c>
      <c r="C716" s="9">
        <f t="shared" si="11"/>
        <v>1.7159234040999836E-3</v>
      </c>
      <c r="D716" s="7">
        <f>(Table534567910[[#This Row],[Value]]-B704)/B704</f>
        <v>1.9791860249024303E-2</v>
      </c>
      <c r="E716" s="16">
        <v>0.02</v>
      </c>
      <c r="F716" s="15">
        <f>VLOOKUP(Table534567910[[#This Row],[Date]],Database!A:E,4)</f>
        <v>1.75</v>
      </c>
    </row>
    <row r="717" spans="1:6" x14ac:dyDescent="0.35">
      <c r="A717" s="60">
        <v>43221</v>
      </c>
      <c r="B717" s="58">
        <f>VLOOKUP(Table534567910[[#This Row],[Date]],Database!A:E,MATCH($A$1,Database!$A$1:$E$1,),)</f>
        <v>109.956</v>
      </c>
      <c r="C717" s="9">
        <f t="shared" si="11"/>
        <v>1.876993166287044E-3</v>
      </c>
      <c r="D717" s="7">
        <f>(Table534567910[[#This Row],[Value]]-B705)/B705</f>
        <v>2.0766995608945581E-2</v>
      </c>
      <c r="E717" s="16">
        <v>0.02</v>
      </c>
      <c r="F717" s="15">
        <f>VLOOKUP(Table534567910[[#This Row],[Date]],Database!A:E,4)</f>
        <v>1.75</v>
      </c>
    </row>
    <row r="718" spans="1:6" x14ac:dyDescent="0.35">
      <c r="A718" s="60">
        <v>43252</v>
      </c>
      <c r="B718" s="58">
        <f>VLOOKUP(Table534567910[[#This Row],[Date]],Database!A:E,MATCH($A$1,Database!$A$1:$E$1,),)</f>
        <v>110.07299999999999</v>
      </c>
      <c r="C718" s="9">
        <f t="shared" si="11"/>
        <v>1.0640619884316473E-3</v>
      </c>
      <c r="D718" s="7">
        <f>(Table534567910[[#This Row],[Value]]-B706)/B706</f>
        <v>2.0365975749935004E-2</v>
      </c>
      <c r="E718" s="16">
        <v>0.02</v>
      </c>
      <c r="F718" s="15">
        <f>VLOOKUP(Table534567910[[#This Row],[Date]],Database!A:E,4)</f>
        <v>1.75</v>
      </c>
    </row>
    <row r="719" spans="1:6" x14ac:dyDescent="0.35">
      <c r="A719" s="60">
        <v>43282</v>
      </c>
      <c r="B719" s="58">
        <f>VLOOKUP(Table534567910[[#This Row],[Date]],Database!A:E,MATCH($A$1,Database!$A$1:$E$1,),)</f>
        <v>110.21899999999999</v>
      </c>
      <c r="C719" s="9">
        <f t="shared" si="11"/>
        <v>1.3263924849872431E-3</v>
      </c>
      <c r="D719" s="7">
        <f>(Table534567910[[#This Row],[Value]]-B707)/B707</f>
        <v>2.1104121696111686E-2</v>
      </c>
      <c r="E719" s="16">
        <v>0.02</v>
      </c>
      <c r="F719" s="15">
        <f>VLOOKUP(Table534567910[[#This Row],[Date]],Database!A:E,4)</f>
        <v>2</v>
      </c>
    </row>
    <row r="720" spans="1:6" x14ac:dyDescent="0.35">
      <c r="A720" s="60">
        <v>43313</v>
      </c>
      <c r="B720" s="58">
        <f>VLOOKUP(Table534567910[[#This Row],[Date]],Database!A:E,MATCH($A$1,Database!$A$1:$E$1,),)</f>
        <v>110.246</v>
      </c>
      <c r="C720" s="9">
        <f t="shared" si="11"/>
        <v>2.449668387483195E-4</v>
      </c>
      <c r="D720" s="7">
        <f>(Table534567910[[#This Row],[Value]]-B708)/B708</f>
        <v>2.0097340710994293E-2</v>
      </c>
      <c r="E720" s="16">
        <v>0.02</v>
      </c>
      <c r="F720" s="15">
        <f>VLOOKUP(Table534567910[[#This Row],[Date]],Database!A:E,4)</f>
        <v>2</v>
      </c>
    </row>
    <row r="721" spans="1:6" x14ac:dyDescent="0.35">
      <c r="A721" s="60">
        <v>43344</v>
      </c>
      <c r="B721" s="58">
        <f>VLOOKUP(Table534567910[[#This Row],[Date]],Database!A:E,MATCH($A$1,Database!$A$1:$E$1,),)</f>
        <v>110.476</v>
      </c>
      <c r="C721" s="9">
        <f t="shared" si="11"/>
        <v>2.0862434918274041E-3</v>
      </c>
      <c r="D721" s="7">
        <f>(Table534567910[[#This Row],[Value]]-B709)/B709</f>
        <v>2.0893591461442457E-2</v>
      </c>
      <c r="E721" s="16">
        <v>0.02</v>
      </c>
      <c r="F721" s="15">
        <f>VLOOKUP(Table534567910[[#This Row],[Date]],Database!A:E,4)</f>
        <v>2</v>
      </c>
    </row>
    <row r="722" spans="1:6" x14ac:dyDescent="0.35">
      <c r="A722" s="60">
        <v>43374</v>
      </c>
      <c r="B722" s="58">
        <f>VLOOKUP(Table534567910[[#This Row],[Date]],Database!A:E,MATCH($A$1,Database!$A$1:$E$1,),)</f>
        <v>110.626</v>
      </c>
      <c r="C722" s="9">
        <f t="shared" si="11"/>
        <v>1.3577609616568819E-3</v>
      </c>
      <c r="D722" s="7">
        <f>(Table534567910[[#This Row],[Value]]-B710)/B710</f>
        <v>1.9603867316749551E-2</v>
      </c>
      <c r="E722" s="16">
        <v>0.02</v>
      </c>
      <c r="F722" s="15">
        <f>VLOOKUP(Table534567910[[#This Row],[Date]],Database!A:E,4)</f>
        <v>2.25</v>
      </c>
    </row>
    <row r="723" spans="1:6" x14ac:dyDescent="0.35">
      <c r="A723" s="60">
        <v>43405</v>
      </c>
      <c r="B723" s="58">
        <f>VLOOKUP(Table534567910[[#This Row],[Date]],Database!A:E,MATCH($A$1,Database!$A$1:$E$1,),)</f>
        <v>110.831</v>
      </c>
      <c r="C723" s="9">
        <f t="shared" si="11"/>
        <v>1.8530905935313425E-3</v>
      </c>
      <c r="D723" s="7">
        <f>(Table534567910[[#This Row],[Value]]-B711)/B711</f>
        <v>2.071245694498176E-2</v>
      </c>
      <c r="E723" s="16">
        <v>0.02</v>
      </c>
      <c r="F723" s="15">
        <f>VLOOKUP(Table534567910[[#This Row],[Date]],Database!A:E,4)</f>
        <v>2.25</v>
      </c>
    </row>
    <row r="724" spans="1:6" x14ac:dyDescent="0.35">
      <c r="A724" s="60">
        <v>43435</v>
      </c>
      <c r="B724" s="58">
        <f>VLOOKUP(Table534567910[[#This Row],[Date]],Database!A:E,MATCH($A$1,Database!$A$1:$E$1,),)</f>
        <v>111.009</v>
      </c>
      <c r="C724" s="9">
        <f t="shared" si="11"/>
        <v>1.6060488491486792E-3</v>
      </c>
      <c r="D724" s="7">
        <f>(Table534567910[[#This Row],[Value]]-B712)/B712</f>
        <v>2.0847510621470965E-2</v>
      </c>
      <c r="E724" s="16">
        <v>0.02</v>
      </c>
      <c r="F724" s="15">
        <f>VLOOKUP(Table534567910[[#This Row],[Date]],Database!A:E,4)</f>
        <v>2.25</v>
      </c>
    </row>
    <row r="725" spans="1:6" x14ac:dyDescent="0.35">
      <c r="A725" s="60">
        <v>43466</v>
      </c>
      <c r="B725" s="58">
        <f>VLOOKUP(Table534567910[[#This Row],[Date]],Database!A:E,MATCH($A$1,Database!$A$1:$E$1,),)</f>
        <v>111.134</v>
      </c>
      <c r="C725" s="9">
        <f t="shared" si="11"/>
        <v>1.1260348260050987E-3</v>
      </c>
      <c r="D725" s="7">
        <f>(Table534567910[[#This Row],[Value]]-B713)/B713</f>
        <v>1.883021635496885E-2</v>
      </c>
      <c r="E725" s="16">
        <v>0.02</v>
      </c>
      <c r="F725" s="15">
        <f>VLOOKUP(Table534567910[[#This Row],[Date]],Database!A:E,4)</f>
        <v>2.5</v>
      </c>
    </row>
    <row r="726" spans="1:6" x14ac:dyDescent="0.35">
      <c r="A726" s="60">
        <v>43497</v>
      </c>
      <c r="B726" s="58">
        <f>VLOOKUP(Table534567910[[#This Row],[Date]],Database!A:E,MATCH($A$1,Database!$A$1:$E$1,),)</f>
        <v>111.20699999999999</v>
      </c>
      <c r="C726" s="9">
        <f t="shared" si="11"/>
        <v>6.5686468587464945E-4</v>
      </c>
      <c r="D726" s="7">
        <f>(Table534567910[[#This Row],[Value]]-B714)/B714</f>
        <v>1.7345006449488033E-2</v>
      </c>
      <c r="E726" s="16">
        <v>0.02</v>
      </c>
      <c r="F726" s="15">
        <f>VLOOKUP(Table534567910[[#This Row],[Date]],Database!A:E,4)</f>
        <v>2.5</v>
      </c>
    </row>
    <row r="727" spans="1:6" x14ac:dyDescent="0.35">
      <c r="A727" s="60">
        <v>43525</v>
      </c>
      <c r="B727" s="58">
        <f>VLOOKUP(Table534567910[[#This Row],[Date]],Database!A:E,MATCH($A$1,Database!$A$1:$E$1,),)</f>
        <v>111.35</v>
      </c>
      <c r="C727" s="9">
        <f t="shared" si="11"/>
        <v>1.2858902766912216E-3</v>
      </c>
      <c r="D727" s="7">
        <f>(Table534567910[[#This Row],[Value]]-B715)/B715</f>
        <v>1.6319526843248541E-2</v>
      </c>
      <c r="E727" s="16">
        <v>0.02</v>
      </c>
      <c r="F727" s="15">
        <f>VLOOKUP(Table534567910[[#This Row],[Date]],Database!A:E,4)</f>
        <v>2.5</v>
      </c>
    </row>
    <row r="728" spans="1:6" x14ac:dyDescent="0.35">
      <c r="A728" s="60">
        <v>43556</v>
      </c>
      <c r="B728" s="58">
        <f>VLOOKUP(Table534567910[[#This Row],[Date]],Database!A:E,MATCH($A$1,Database!$A$1:$E$1,),)</f>
        <v>111.65</v>
      </c>
      <c r="C728" s="9">
        <f t="shared" si="11"/>
        <v>2.6942074539740581E-3</v>
      </c>
      <c r="D728" s="7">
        <f>(Table534567910[[#This Row],[Value]]-B716)/B716</f>
        <v>1.7312072892938547E-2</v>
      </c>
      <c r="E728" s="16">
        <v>0.02</v>
      </c>
      <c r="F728" s="15">
        <f>VLOOKUP(Table534567910[[#This Row],[Date]],Database!A:E,4)</f>
        <v>2.5</v>
      </c>
    </row>
    <row r="729" spans="1:6" x14ac:dyDescent="0.35">
      <c r="A729" s="60">
        <v>43586</v>
      </c>
      <c r="B729" s="58">
        <f>VLOOKUP(Table534567910[[#This Row],[Date]],Database!A:E,MATCH($A$1,Database!$A$1:$E$1,),)</f>
        <v>111.773</v>
      </c>
      <c r="C729" s="9">
        <f t="shared" si="11"/>
        <v>1.1016569637258436E-3</v>
      </c>
      <c r="D729" s="7">
        <f>(Table534567910[[#This Row],[Value]]-B717)/B717</f>
        <v>1.6524791734875706E-2</v>
      </c>
      <c r="E729" s="16">
        <v>0.02</v>
      </c>
      <c r="F729" s="15">
        <f>VLOOKUP(Table534567910[[#This Row],[Date]],Database!A:E,4)</f>
        <v>2.5</v>
      </c>
    </row>
    <row r="730" spans="1:6" x14ac:dyDescent="0.35">
      <c r="A730" s="60">
        <v>43617</v>
      </c>
      <c r="B730" s="58">
        <f>VLOOKUP(Table534567910[[#This Row],[Date]],Database!A:E,MATCH($A$1,Database!$A$1:$E$1,),)</f>
        <v>112</v>
      </c>
      <c r="C730" s="9">
        <f t="shared" si="11"/>
        <v>2.0309019172788049E-3</v>
      </c>
      <c r="D730" s="7">
        <f>(Table534567910[[#This Row],[Value]]-B718)/B718</f>
        <v>1.7506563825824741E-2</v>
      </c>
      <c r="E730" s="16">
        <v>0.02</v>
      </c>
      <c r="F730" s="15">
        <f>VLOOKUP(Table534567910[[#This Row],[Date]],Database!A:E,4)</f>
        <v>2.5</v>
      </c>
    </row>
    <row r="731" spans="1:6" x14ac:dyDescent="0.35">
      <c r="A731" s="60">
        <v>43647</v>
      </c>
      <c r="B731" s="58">
        <f>VLOOKUP(Table534567910[[#This Row],[Date]],Database!A:E,MATCH($A$1,Database!$A$1:$E$1,),)</f>
        <v>112.157</v>
      </c>
      <c r="C731" s="9">
        <f t="shared" si="11"/>
        <v>1.4017857142856829E-3</v>
      </c>
      <c r="D731" s="7">
        <f>(Table534567910[[#This Row],[Value]]-B719)/B719</f>
        <v>1.7583175314600952E-2</v>
      </c>
      <c r="E731" s="16">
        <v>0.02</v>
      </c>
      <c r="F731" s="15">
        <f>VLOOKUP(Table534567910[[#This Row],[Date]],Database!A:E,4)</f>
        <v>2.5</v>
      </c>
    </row>
    <row r="732" spans="1:6" s="64" customFormat="1" x14ac:dyDescent="0.35">
      <c r="A732" s="60">
        <v>43678</v>
      </c>
      <c r="B732" s="58">
        <f>VLOOKUP(Table534567910[[#This Row],[Date]],Database!A:E,MATCH($A$1,Database!$A$1:$E$1,),)</f>
        <v>112.27</v>
      </c>
      <c r="C732" s="9">
        <f t="shared" si="11"/>
        <v>1.0075162495430472E-3</v>
      </c>
      <c r="D732" s="7">
        <f>(Table534567910[[#This Row],[Value]]-B720)/B720</f>
        <v>1.8358942728080845E-2</v>
      </c>
      <c r="E732" s="16">
        <v>0.02</v>
      </c>
      <c r="F732" s="15">
        <f>VLOOKUP(Table534567910[[#This Row],[Date]],Database!A:E,4)</f>
        <v>2.25</v>
      </c>
    </row>
    <row r="733" spans="1:6" s="64" customFormat="1" x14ac:dyDescent="0.35">
      <c r="A733" s="60">
        <v>43709</v>
      </c>
      <c r="B733" s="58">
        <f>VLOOKUP(Table534567910[[#This Row],[Date]],Database!A:E,MATCH($A$1,Database!$A$1:$E$1,),)</f>
        <v>112.339</v>
      </c>
      <c r="C733" s="9">
        <f t="shared" si="11"/>
        <v>6.1458982809301345E-4</v>
      </c>
      <c r="D733" s="7">
        <f>(Table534567910[[#This Row],[Value]]-B721)/B721</f>
        <v>1.6863391143777832E-2</v>
      </c>
      <c r="E733" s="16">
        <v>0.02</v>
      </c>
      <c r="F733" s="15">
        <f>VLOOKUP(Table534567910[[#This Row],[Date]],Database!A:E,4)</f>
        <v>2.25</v>
      </c>
    </row>
    <row r="734" spans="1:6" s="64" customFormat="1" x14ac:dyDescent="0.35">
      <c r="A734" s="60">
        <v>43739</v>
      </c>
      <c r="B734" s="58">
        <f>VLOOKUP(Table534567910[[#This Row],[Date]],Database!A:E,MATCH($A$1,Database!$A$1:$E$1,),)</f>
        <v>112.496</v>
      </c>
      <c r="C734" s="9">
        <f t="shared" si="11"/>
        <v>1.397555612921572E-3</v>
      </c>
      <c r="D734" s="7">
        <f>(Table534567910[[#This Row],[Value]]-B722)/B722</f>
        <v>1.6903801999529861E-2</v>
      </c>
      <c r="E734" s="16">
        <v>0.02</v>
      </c>
      <c r="F734" s="15">
        <f>VLOOKUP(Table534567910[[#This Row],[Date]],Database!A:E,4)</f>
        <v>2</v>
      </c>
    </row>
    <row r="735" spans="1:6" s="64" customFormat="1" x14ac:dyDescent="0.35">
      <c r="A735" s="60">
        <v>43770</v>
      </c>
      <c r="B735" s="58">
        <f>VLOOKUP(Table534567910[[#This Row],[Date]],Database!A:E,MATCH($A$1,Database!$A$1:$E$1,),)</f>
        <v>112.524</v>
      </c>
      <c r="C735" s="9">
        <f t="shared" si="11"/>
        <v>2.4889773858631238E-4</v>
      </c>
      <c r="D735" s="7">
        <f>(Table534567910[[#This Row],[Value]]-B723)/B723</f>
        <v>1.5275509559599731E-2</v>
      </c>
      <c r="E735" s="16">
        <v>0.02</v>
      </c>
      <c r="F735" s="15">
        <f>VLOOKUP(Table534567910[[#This Row],[Date]],Database!A:E,4)</f>
        <v>1.75</v>
      </c>
    </row>
    <row r="736" spans="1:6" s="64" customFormat="1" x14ac:dyDescent="0.35">
      <c r="A736" s="60">
        <v>43800</v>
      </c>
      <c r="B736" s="58">
        <f>VLOOKUP(Table534567910[[#This Row],[Date]],Database!A:E,MATCH($A$1,Database!$A$1:$E$1,),)</f>
        <v>112.77200000000001</v>
      </c>
      <c r="C736" s="9">
        <f t="shared" si="11"/>
        <v>2.2039742632683221E-3</v>
      </c>
      <c r="D736" s="7">
        <f>(Table534567910[[#This Row],[Value]]-B724)/B724</f>
        <v>1.5881595185975959E-2</v>
      </c>
      <c r="E736" s="16">
        <v>0.02</v>
      </c>
      <c r="F736" s="15">
        <f>VLOOKUP(Table534567910[[#This Row],[Date]],Database!A:E,4)</f>
        <v>1.75</v>
      </c>
    </row>
    <row r="737" spans="1:6" s="64" customFormat="1" x14ac:dyDescent="0.35">
      <c r="A737" s="60">
        <v>43831</v>
      </c>
      <c r="B737" s="58">
        <f>VLOOKUP(Table534567910[[#This Row],[Date]],Database!A:E,MATCH($A$1,Database!$A$1:$E$1,),)</f>
        <v>113.008</v>
      </c>
      <c r="C737" s="9">
        <f t="shared" si="11"/>
        <v>2.0927180505798423E-3</v>
      </c>
      <c r="D737" s="7">
        <f>(Table534567910[[#This Row],[Value]]-B725)/B725</f>
        <v>1.6862526319578124E-2</v>
      </c>
      <c r="E737" s="16">
        <v>0.02</v>
      </c>
      <c r="F737" s="15">
        <f>VLOOKUP(Table534567910[[#This Row],[Date]],Database!A:E,4)</f>
        <v>1.75</v>
      </c>
    </row>
    <row r="738" spans="1:6" s="64" customFormat="1" x14ac:dyDescent="0.35">
      <c r="A738" s="60">
        <v>43862</v>
      </c>
      <c r="B738" s="58">
        <f>VLOOKUP(Table534567910[[#This Row],[Date]],Database!A:E,MATCH($A$1,Database!$A$1:$E$1,),)</f>
        <v>113.206</v>
      </c>
      <c r="C738" s="9">
        <f t="shared" si="11"/>
        <v>1.7520883477276611E-3</v>
      </c>
      <c r="D738" s="7">
        <f>(Table534567910[[#This Row],[Value]]-B726)/B726</f>
        <v>1.7975487154585679E-2</v>
      </c>
      <c r="E738" s="16">
        <v>0.02</v>
      </c>
      <c r="F738" s="15">
        <f>VLOOKUP(Table534567910[[#This Row],[Date]],Database!A:E,4)</f>
        <v>1.75</v>
      </c>
    </row>
    <row r="739" spans="1:6" s="64" customFormat="1" x14ac:dyDescent="0.35">
      <c r="A739" s="60">
        <v>43891</v>
      </c>
      <c r="B739" s="58">
        <f>VLOOKUP(Table534567910[[#This Row],[Date]],Database!A:E,MATCH($A$1,Database!$A$1:$E$1,),)</f>
        <v>113.143</v>
      </c>
      <c r="C739" s="9">
        <f t="shared" si="11"/>
        <v>-5.5650760560396436E-4</v>
      </c>
      <c r="D739" s="7">
        <f>(Table534567910[[#This Row],[Value]]-B727)/B727</f>
        <v>1.610237988325107E-2</v>
      </c>
      <c r="E739" s="16">
        <v>0.02</v>
      </c>
      <c r="F739" s="15">
        <f>VLOOKUP(Table534567910[[#This Row],[Date]],Database!A:E,4)</f>
        <v>1.75</v>
      </c>
    </row>
    <row r="740" spans="1:6" s="64" customFormat="1" x14ac:dyDescent="0.35">
      <c r="A740" s="60">
        <v>43922</v>
      </c>
      <c r="B740" s="58">
        <f>VLOOKUP(Table534567910[[#This Row],[Date]],Database!A:E,MATCH($A$1,Database!$A$1:$E$1,),)</f>
        <v>112.66800000000001</v>
      </c>
      <c r="C740" s="9">
        <f t="shared" si="11"/>
        <v>-4.1982270224405777E-3</v>
      </c>
      <c r="D740" s="7">
        <f>(Table534567910[[#This Row],[Value]]-B728)/B728</f>
        <v>9.1177787729511926E-3</v>
      </c>
      <c r="E740" s="16">
        <v>0.02</v>
      </c>
      <c r="F740" s="15">
        <f>VLOOKUP(Table534567910[[#This Row],[Date]],Database!A:E,4)</f>
        <v>0.25</v>
      </c>
    </row>
    <row r="741" spans="1:6" s="64" customFormat="1" x14ac:dyDescent="0.35">
      <c r="A741" s="60">
        <v>43952</v>
      </c>
      <c r="B741" s="58">
        <f>VLOOKUP(Table534567910[[#This Row],[Date]],Database!A:E,MATCH($A$1,Database!$A$1:$E$1,),)</f>
        <v>112.819</v>
      </c>
      <c r="C741" s="9">
        <f t="shared" si="11"/>
        <v>1.3402208257890106E-3</v>
      </c>
      <c r="D741" s="7">
        <f>(Table534567910[[#This Row],[Value]]-B729)/B729</f>
        <v>9.3582528875489294E-3</v>
      </c>
      <c r="E741" s="16">
        <v>0.02</v>
      </c>
      <c r="F741" s="15">
        <f>VLOOKUP(Table534567910[[#This Row],[Date]],Database!A:E,4)</f>
        <v>0.25</v>
      </c>
    </row>
    <row r="742" spans="1:6" s="64" customFormat="1" x14ac:dyDescent="0.35">
      <c r="A742" s="60">
        <v>43983</v>
      </c>
      <c r="B742" s="58">
        <f>VLOOKUP(Table534567910[[#This Row],[Date]],Database!A:E,MATCH($A$1,Database!$A$1:$E$1,),)</f>
        <v>113.051</v>
      </c>
      <c r="C742" s="9">
        <f t="shared" si="11"/>
        <v>2.056391210700319E-3</v>
      </c>
      <c r="D742" s="7">
        <f>(Table534567910[[#This Row],[Value]]-B730)/B730</f>
        <v>9.3839285714285882E-3</v>
      </c>
      <c r="E742" s="16">
        <v>0.02</v>
      </c>
      <c r="F742" s="15">
        <f>VLOOKUP(Table534567910[[#This Row],[Date]],Database!A:E,4)</f>
        <v>0.25</v>
      </c>
    </row>
    <row r="743" spans="1:6" s="64" customFormat="1" x14ac:dyDescent="0.35">
      <c r="A743" s="60">
        <v>44013</v>
      </c>
      <c r="B743" s="58">
        <f>VLOOKUP(Table534567910[[#This Row],[Date]],Database!A:E,MATCH($A$1,Database!$A$1:$E$1,),)</f>
        <v>113.425</v>
      </c>
      <c r="C743" s="9">
        <f t="shared" si="11"/>
        <v>3.3082414131674663E-3</v>
      </c>
      <c r="D743" s="7">
        <f>(Table534567910[[#This Row],[Value]]-B731)/B731</f>
        <v>1.1305580570093714E-2</v>
      </c>
      <c r="E743" s="16">
        <v>0.02</v>
      </c>
      <c r="F743" s="15">
        <f>VLOOKUP(Table534567910[[#This Row],[Date]],Database!A:E,4)</f>
        <v>0.25</v>
      </c>
    </row>
    <row r="744" spans="1:6" s="64" customFormat="1" x14ac:dyDescent="0.35">
      <c r="A744" s="60">
        <v>44044</v>
      </c>
      <c r="B744" s="58">
        <f>VLOOKUP(Table534567910[[#This Row],[Date]],Database!A:E,MATCH($A$1,Database!$A$1:$E$1,),)</f>
        <v>113.782</v>
      </c>
      <c r="C744" s="9">
        <f t="shared" si="11"/>
        <v>3.1474542649327689E-3</v>
      </c>
      <c r="D744" s="7">
        <f>(Table534567910[[#This Row],[Value]]-B732)/B732</f>
        <v>1.346753362429857E-2</v>
      </c>
      <c r="E744" s="16">
        <v>0.02</v>
      </c>
      <c r="F744" s="15">
        <f>VLOOKUP(Table534567910[[#This Row],[Date]],Database!A:E,4)</f>
        <v>0.25</v>
      </c>
    </row>
    <row r="745" spans="1:6" s="64" customFormat="1" x14ac:dyDescent="0.35">
      <c r="A745" s="60">
        <v>44075</v>
      </c>
      <c r="B745" s="58">
        <f>VLOOKUP(Table534567910[[#This Row],[Date]],Database!A:E,MATCH($A$1,Database!$A$1:$E$1,),)</f>
        <v>113.979</v>
      </c>
      <c r="C745" s="9">
        <f t="shared" si="11"/>
        <v>1.7313810620309253E-3</v>
      </c>
      <c r="D745" s="7">
        <f>(Table534567910[[#This Row],[Value]]-B733)/B733</f>
        <v>1.4598670096760703E-2</v>
      </c>
      <c r="E745" s="16">
        <v>0.02</v>
      </c>
      <c r="F745" s="15">
        <f>VLOOKUP(Table534567910[[#This Row],[Date]],Database!A:E,4)</f>
        <v>0.25</v>
      </c>
    </row>
    <row r="746" spans="1:6" s="64" customFormat="1" x14ac:dyDescent="0.35">
      <c r="A746" s="60">
        <v>44105</v>
      </c>
      <c r="B746" s="58">
        <f>VLOOKUP(Table534567910[[#This Row],[Date]],Database!A:E,MATCH($A$1,Database!$A$1:$E$1,),)</f>
        <v>114.017</v>
      </c>
      <c r="C746" s="9">
        <f t="shared" si="11"/>
        <v>3.3339474815533303E-4</v>
      </c>
      <c r="D746" s="7">
        <f>(Table534567910[[#This Row],[Value]]-B734)/B734</f>
        <v>1.3520480728203678E-2</v>
      </c>
      <c r="E746" s="16">
        <v>0.02</v>
      </c>
      <c r="F746" s="15">
        <f>VLOOKUP(Table534567910[[#This Row],[Date]],Database!A:E,4)</f>
        <v>0.25</v>
      </c>
    </row>
    <row r="747" spans="1:6" s="64" customFormat="1" x14ac:dyDescent="0.35">
      <c r="A747" s="60">
        <v>44136</v>
      </c>
      <c r="B747" s="58">
        <f>VLOOKUP(Table534567910[[#This Row],[Date]],Database!A:E,MATCH($A$1,Database!$A$1:$E$1,),)</f>
        <v>114.048</v>
      </c>
      <c r="C747" s="9">
        <f t="shared" si="11"/>
        <v>2.7188927966887317E-4</v>
      </c>
      <c r="D747" s="7">
        <f>(Table534567910[[#This Row],[Value]]-B735)/B735</f>
        <v>1.3543777327503474E-2</v>
      </c>
      <c r="E747" s="16">
        <v>0.02</v>
      </c>
      <c r="F747" s="15">
        <f>VLOOKUP(Table534567910[[#This Row],[Date]],Database!A:E,4)</f>
        <v>0.25</v>
      </c>
    </row>
    <row r="748" spans="1:6" s="64" customFormat="1" x14ac:dyDescent="0.35">
      <c r="A748" s="60">
        <v>44166</v>
      </c>
      <c r="B748" s="58">
        <f>VLOOKUP(Table534567910[[#This Row],[Date]],Database!A:E,MATCH($A$1,Database!$A$1:$E$1,),)</f>
        <v>114.422</v>
      </c>
      <c r="C748" s="9">
        <f t="shared" si="11"/>
        <v>3.2793209876542792E-3</v>
      </c>
      <c r="D748" s="7">
        <f>(Table534567910[[#This Row],[Value]]-B736)/B736</f>
        <v>1.4631291455325714E-2</v>
      </c>
      <c r="E748" s="16">
        <v>0.02</v>
      </c>
      <c r="F748" s="15">
        <f>VLOOKUP(Table534567910[[#This Row],[Date]],Database!A:E,4)</f>
        <v>0.25</v>
      </c>
    </row>
    <row r="749" spans="1:6" s="64" customFormat="1" x14ac:dyDescent="0.35">
      <c r="A749" s="60">
        <v>44197</v>
      </c>
      <c r="B749" s="58">
        <f>VLOOKUP(Table534567910[[#This Row],[Date]],Database!A:E,MATCH($A$1,Database!$A$1:$E$1,),)</f>
        <v>114.782</v>
      </c>
      <c r="C749" s="9">
        <f t="shared" si="11"/>
        <v>3.1462480991417685E-3</v>
      </c>
      <c r="D749" s="7">
        <f>(Table534567910[[#This Row],[Value]]-B737)/B737</f>
        <v>1.5698003681155325E-2</v>
      </c>
      <c r="E749" s="16">
        <v>0.02</v>
      </c>
      <c r="F749" s="15">
        <f>VLOOKUP(Table534567910[[#This Row],[Date]],Database!A:E,4)</f>
        <v>0.25</v>
      </c>
    </row>
    <row r="750" spans="1:6" s="64" customFormat="1" x14ac:dyDescent="0.35">
      <c r="A750" s="60">
        <v>44228</v>
      </c>
      <c r="B750" s="58">
        <f>VLOOKUP(Table534567910[[#This Row],[Date]],Database!A:E,MATCH($A$1,Database!$A$1:$E$1,),)</f>
        <v>114.97499999999999</v>
      </c>
      <c r="C750" s="9">
        <f t="shared" si="11"/>
        <v>1.6814483107107198E-3</v>
      </c>
      <c r="D750" s="7">
        <f>(Table534567910[[#This Row],[Value]]-B738)/B738</f>
        <v>1.5626380227196361E-2</v>
      </c>
      <c r="E750" s="16">
        <v>0.02</v>
      </c>
      <c r="F750" s="15">
        <f>VLOOKUP(Table534567910[[#This Row],[Date]],Database!A:E,4)</f>
        <v>0.25</v>
      </c>
    </row>
    <row r="751" spans="1:6" s="64" customFormat="1" x14ac:dyDescent="0.35">
      <c r="A751" s="60">
        <v>44256</v>
      </c>
      <c r="B751" s="58">
        <f>VLOOKUP(Table534567910[[#This Row],[Date]],Database!A:E,MATCH($A$1,Database!$A$1:$E$1,),)</f>
        <v>115.45699999999999</v>
      </c>
      <c r="C751" s="9">
        <f t="shared" si="11"/>
        <v>4.1922156990650081E-3</v>
      </c>
      <c r="D751" s="7">
        <f>(Table534567910[[#This Row],[Value]]-B739)/B739</f>
        <v>2.0451994378794913E-2</v>
      </c>
      <c r="E751" s="16">
        <v>0.02</v>
      </c>
      <c r="F751" s="15">
        <f>VLOOKUP(Table534567910[[#This Row],[Date]],Database!A:E,4)</f>
        <v>0.25</v>
      </c>
    </row>
    <row r="752" spans="1:6" s="64" customFormat="1" x14ac:dyDescent="0.35">
      <c r="A752" s="60">
        <v>44287</v>
      </c>
      <c r="B752" s="58">
        <f>VLOOKUP(Table534567910[[#This Row],[Date]],Database!A:E,MATCH($A$1,Database!$A$1:$E$1,),)</f>
        <v>116.18600000000001</v>
      </c>
      <c r="C752" s="9">
        <f t="shared" si="11"/>
        <v>6.3140389928719219E-3</v>
      </c>
      <c r="D752" s="7">
        <f>(Table534567910[[#This Row],[Value]]-B740)/B740</f>
        <v>3.1224482550502364E-2</v>
      </c>
      <c r="E752" s="16">
        <v>0.02</v>
      </c>
      <c r="F752" s="15">
        <f>VLOOKUP(Table534567910[[#This Row],[Date]],Database!A:E,4)</f>
        <v>0.25</v>
      </c>
    </row>
    <row r="753" spans="1:6" s="64" customFormat="1" x14ac:dyDescent="0.35">
      <c r="A753" s="60">
        <v>44317</v>
      </c>
      <c r="B753" s="58">
        <f>VLOOKUP(Table534567910[[#This Row],[Date]],Database!A:E,MATCH($A$1,Database!$A$1:$E$1,),)</f>
        <v>116.78700000000001</v>
      </c>
      <c r="C753" s="9">
        <f t="shared" si="11"/>
        <v>5.1727402613051402E-3</v>
      </c>
      <c r="D753" s="7">
        <f>(Table534567910[[#This Row],[Value]]-B741)/B741</f>
        <v>3.5171380707150424E-2</v>
      </c>
      <c r="E753" s="16">
        <v>0.02</v>
      </c>
      <c r="F753" s="15">
        <f>VLOOKUP(Table534567910[[#This Row],[Date]],Database!A:E,4)</f>
        <v>0.25</v>
      </c>
    </row>
    <row r="754" spans="1:6" s="64" customFormat="1" x14ac:dyDescent="0.35">
      <c r="A754" s="60">
        <v>44348</v>
      </c>
      <c r="B754" s="58">
        <f>VLOOKUP(Table534567910[[#This Row],[Date]],Database!A:E,MATCH($A$1,Database!$A$1:$E$1,),)</f>
        <v>117.349</v>
      </c>
      <c r="C754" s="9">
        <f t="shared" si="11"/>
        <v>4.8121794377798694E-3</v>
      </c>
      <c r="D754" s="7">
        <f>(Table534567910[[#This Row],[Value]]-B742)/B742</f>
        <v>3.8018239555598819E-2</v>
      </c>
      <c r="E754" s="16">
        <v>0.02</v>
      </c>
      <c r="F754" s="15">
        <f>VLOOKUP(Table534567910[[#This Row],[Date]],Database!A:E,4)</f>
        <v>0.25</v>
      </c>
    </row>
    <row r="755" spans="1:6" s="64" customFormat="1" x14ac:dyDescent="0.35">
      <c r="A755" s="60">
        <v>44378</v>
      </c>
      <c r="B755" s="58">
        <f>VLOOKUP(Table534567910[[#This Row],[Date]],Database!A:E,MATCH($A$1,Database!$A$1:$E$1,),)</f>
        <v>117.81100000000001</v>
      </c>
      <c r="C755" s="9">
        <f t="shared" si="11"/>
        <v>3.9369743244510244E-3</v>
      </c>
      <c r="D755" s="7">
        <f>(Table534567910[[#This Row],[Value]]-B743)/B743</f>
        <v>3.8668723826317038E-2</v>
      </c>
      <c r="E755" s="16">
        <v>0.02</v>
      </c>
      <c r="F755" s="15">
        <f>VLOOKUP(Table534567910[[#This Row],[Date]],Database!A:E,4)</f>
        <v>0.25</v>
      </c>
    </row>
    <row r="756" spans="1:6" s="64" customFormat="1" x14ac:dyDescent="0.35">
      <c r="A756" s="60">
        <v>44409</v>
      </c>
      <c r="B756" s="58">
        <f>VLOOKUP(Table534567910[[#This Row],[Date]],Database!A:E,MATCH($A$1,Database!$A$1:$E$1,),)</f>
        <v>118.199</v>
      </c>
      <c r="C756" s="9">
        <f t="shared" si="11"/>
        <v>3.2934106322838361E-3</v>
      </c>
      <c r="D756" s="7">
        <f>(Table534567910[[#This Row],[Value]]-B744)/B744</f>
        <v>3.8819848482185247E-2</v>
      </c>
      <c r="E756" s="16">
        <v>0.02</v>
      </c>
      <c r="F756" s="15">
        <f>VLOOKUP(Table534567910[[#This Row],[Date]],Database!A:E,4)</f>
        <v>0.25</v>
      </c>
    </row>
    <row r="757" spans="1:6" s="64" customFormat="1" x14ac:dyDescent="0.35">
      <c r="A757" s="60">
        <v>44440</v>
      </c>
      <c r="B757" s="58">
        <f>VLOOKUP(Table534567910[[#This Row],[Date]],Database!A:E,MATCH($A$1,Database!$A$1:$E$1,),)</f>
        <v>118.446</v>
      </c>
      <c r="C757" s="9">
        <f t="shared" si="11"/>
        <v>2.0896961903230983E-3</v>
      </c>
      <c r="D757" s="7">
        <f>(Table534567910[[#This Row],[Value]]-B745)/B745</f>
        <v>3.9191430000263199E-2</v>
      </c>
      <c r="E757" s="16">
        <v>0.02</v>
      </c>
      <c r="F757" s="15">
        <f>VLOOKUP(Table534567910[[#This Row],[Date]],Database!A:E,4)</f>
        <v>0.25</v>
      </c>
    </row>
    <row r="758" spans="1:6" s="64" customFormat="1" x14ac:dyDescent="0.35">
      <c r="A758" s="60">
        <v>44470</v>
      </c>
      <c r="B758" s="58">
        <f>VLOOKUP(Table534567910[[#This Row],[Date]],Database!A:E,MATCH($A$1,Database!$A$1:$E$1,),)</f>
        <v>118.929</v>
      </c>
      <c r="C758" s="9">
        <f t="shared" si="11"/>
        <v>4.0778076085305039E-3</v>
      </c>
      <c r="D758" s="7">
        <f>(Table534567910[[#This Row],[Value]]-B746)/B746</f>
        <v>4.3081294894621036E-2</v>
      </c>
      <c r="E758" s="16">
        <v>0.02</v>
      </c>
      <c r="F758" s="15">
        <f>VLOOKUP(Table534567910[[#This Row],[Date]],Database!A:E,4)</f>
        <v>0.25</v>
      </c>
    </row>
    <row r="759" spans="1:6" s="64" customFormat="1" x14ac:dyDescent="0.35">
      <c r="A759" s="60">
        <v>44501</v>
      </c>
      <c r="B759" s="58">
        <f>VLOOKUP(Table534567910[[#This Row],[Date]],Database!A:E,MATCH($A$1,Database!$A$1:$E$1,),)</f>
        <v>119.54300000000001</v>
      </c>
      <c r="C759" s="9">
        <f t="shared" si="11"/>
        <v>5.1627441582793457E-3</v>
      </c>
      <c r="D759" s="7">
        <f>(Table534567910[[#This Row],[Value]]-B747)/B747</f>
        <v>4.8181467452300827E-2</v>
      </c>
      <c r="E759" s="16">
        <v>0.02</v>
      </c>
      <c r="F759" s="15">
        <f>VLOOKUP(Table534567910[[#This Row],[Date]],Database!A:E,4)</f>
        <v>0.25</v>
      </c>
    </row>
    <row r="760" spans="1:6" s="64" customFormat="1" x14ac:dyDescent="0.35">
      <c r="A760" s="60">
        <v>44531</v>
      </c>
      <c r="B760" s="58">
        <f>VLOOKUP(Table534567910[[#This Row],[Date]],Database!A:E,MATCH($A$1,Database!$A$1:$E$1,),)</f>
        <v>120.193</v>
      </c>
      <c r="C760" s="9">
        <f t="shared" si="11"/>
        <v>5.4373739993139828E-3</v>
      </c>
      <c r="D760" s="7">
        <f>(Table534567910[[#This Row],[Value]]-B748)/B748</f>
        <v>5.0436104944853268E-2</v>
      </c>
      <c r="E760" s="16">
        <v>0.02</v>
      </c>
      <c r="F760" s="15">
        <f>VLOOKUP(Table534567910[[#This Row],[Date]],Database!A:E,4)</f>
        <v>0.25</v>
      </c>
    </row>
    <row r="761" spans="1:6" s="64" customFormat="1" x14ac:dyDescent="0.35">
      <c r="A761" s="60">
        <v>44562</v>
      </c>
      <c r="B761" s="58">
        <f>VLOOKUP(Table534567910[[#This Row],[Date]],Database!A:E,MATCH($A$1,Database!$A$1:$E$1,),)</f>
        <v>120.761</v>
      </c>
      <c r="C761" s="9">
        <f t="shared" si="11"/>
        <v>4.7257327797791708E-3</v>
      </c>
      <c r="D761" s="7">
        <f>(Table534567910[[#This Row],[Value]]-B749)/B749</f>
        <v>5.2090048962380855E-2</v>
      </c>
      <c r="E761" s="16">
        <v>0.02</v>
      </c>
      <c r="F761" s="15">
        <f>VLOOKUP(Table534567910[[#This Row],[Date]],Database!A:E,4)</f>
        <v>0.25</v>
      </c>
    </row>
    <row r="762" spans="1:6" s="64" customFormat="1" x14ac:dyDescent="0.35">
      <c r="A762" s="60">
        <v>44593</v>
      </c>
      <c r="B762" s="58">
        <f>VLOOKUP(Table534567910[[#This Row],[Date]],Database!A:E,MATCH($A$1,Database!$A$1:$E$1,),)</f>
        <v>121.205</v>
      </c>
      <c r="C762" s="9">
        <f t="shared" si="11"/>
        <v>3.6766836975513834E-3</v>
      </c>
      <c r="D762" s="7">
        <f>(Table534567910[[#This Row],[Value]]-B750)/B750</f>
        <v>5.4185692541856963E-2</v>
      </c>
      <c r="E762" s="16">
        <v>0.02</v>
      </c>
      <c r="F762" s="15">
        <f>VLOOKUP(Table534567910[[#This Row],[Date]],Database!A:E,4)</f>
        <v>0.25</v>
      </c>
    </row>
    <row r="763" spans="1:6" s="64" customFormat="1" x14ac:dyDescent="0.35">
      <c r="A763" s="60">
        <v>44621</v>
      </c>
      <c r="B763" s="58">
        <f>VLOOKUP(Table534567910[[#This Row],[Date]],Database!A:E,MATCH($A$1,Database!$A$1:$E$1,),)</f>
        <v>121.651</v>
      </c>
      <c r="C763" s="9">
        <f t="shared" si="11"/>
        <v>3.6797161833257534E-3</v>
      </c>
      <c r="D763" s="7">
        <f>(Table534567910[[#This Row],[Value]]-B751)/B751</f>
        <v>5.3647678356444413E-2</v>
      </c>
      <c r="E763" s="16">
        <v>0.02</v>
      </c>
      <c r="F763" s="15">
        <f>VLOOKUP(Table534567910[[#This Row],[Date]],Database!A:E,4)</f>
        <v>0.25</v>
      </c>
    </row>
    <row r="764" spans="1:6" s="64" customFormat="1" x14ac:dyDescent="0.35">
      <c r="A764" s="60">
        <v>44652</v>
      </c>
      <c r="B764" s="58">
        <f>VLOOKUP(Table534567910[[#This Row],[Date]],Database!A:E,MATCH($A$1,Database!$A$1:$E$1,),)</f>
        <v>122.03</v>
      </c>
      <c r="C764" s="9">
        <f t="shared" si="11"/>
        <v>3.1154696632169476E-3</v>
      </c>
      <c r="D764" s="7">
        <f>(Table534567910[[#This Row],[Value]]-B752)/B752</f>
        <v>5.0298659046700923E-2</v>
      </c>
      <c r="E764" s="16">
        <v>0.02</v>
      </c>
      <c r="F764" s="15">
        <f>VLOOKUP(Table534567910[[#This Row],[Date]],Database!A:E,4)</f>
        <v>0.5</v>
      </c>
    </row>
    <row r="765" spans="1:6" s="64" customFormat="1" x14ac:dyDescent="0.35">
      <c r="A765" s="60">
        <v>44682</v>
      </c>
      <c r="B765" s="58">
        <f>VLOOKUP(Table534567910[[#This Row],[Date]],Database!A:E,MATCH($A$1,Database!$A$1:$E$1,),)</f>
        <v>122.488</v>
      </c>
      <c r="C765" s="9">
        <f t="shared" si="11"/>
        <v>3.7531754486601525E-3</v>
      </c>
      <c r="D765" s="7">
        <f>(Table534567910[[#This Row],[Value]]-B753)/B753</f>
        <v>4.8815364723813377E-2</v>
      </c>
      <c r="E765" s="16">
        <v>0.02</v>
      </c>
      <c r="F765" s="15">
        <f>VLOOKUP(Table534567910[[#This Row],[Date]],Database!A:E,4)</f>
        <v>0.5</v>
      </c>
    </row>
    <row r="766" spans="1:6" s="64" customFormat="1" x14ac:dyDescent="0.35">
      <c r="A766" s="60">
        <v>44713</v>
      </c>
      <c r="B766" s="58">
        <f>VLOOKUP(Table534567910[[#This Row],[Date]],Database!A:E,MATCH($A$1,Database!$A$1:$E$1,),)</f>
        <v>123.258</v>
      </c>
      <c r="C766" s="9">
        <f t="shared" si="11"/>
        <v>6.2863300894781208E-3</v>
      </c>
      <c r="D766" s="7">
        <f>(Table534567910[[#This Row],[Value]]-B754)/B754</f>
        <v>5.0354072041517116E-2</v>
      </c>
      <c r="E766" s="16">
        <v>0.02</v>
      </c>
      <c r="F766" s="15">
        <f>VLOOKUP(Table534567910[[#This Row],[Date]],Database!A:E,4)</f>
        <v>1</v>
      </c>
    </row>
    <row r="767" spans="1:6" s="64" customFormat="1" x14ac:dyDescent="0.35">
      <c r="A767" s="60">
        <v>44743</v>
      </c>
      <c r="B767" s="58">
        <f>VLOOKUP(Table534567910[[#This Row],[Date]],Database!A:E,MATCH($A$1,Database!$A$1:$E$1,),)</f>
        <v>123.33799999999999</v>
      </c>
      <c r="C767" s="9">
        <f t="shared" si="11"/>
        <v>6.4904509240778119E-4</v>
      </c>
      <c r="D767" s="7">
        <f>(Table534567910[[#This Row],[Value]]-B755)/B755</f>
        <v>4.6914125166580257E-2</v>
      </c>
      <c r="E767" s="16">
        <v>0.02</v>
      </c>
      <c r="F767" s="15">
        <f>VLOOKUP(Table534567910[[#This Row],[Date]],Database!A:E,4)</f>
        <v>1.75</v>
      </c>
    </row>
    <row r="768" spans="1:6" s="64" customFormat="1" x14ac:dyDescent="0.35">
      <c r="A768" s="60">
        <v>44774</v>
      </c>
      <c r="B768" s="58">
        <f>VLOOKUP(Table534567910[[#This Row],[Date]],Database!A:E,MATCH($A$1,Database!$A$1:$E$1,),)</f>
        <v>124.01</v>
      </c>
      <c r="C768" s="9">
        <f t="shared" si="11"/>
        <v>5.4484424913652831E-3</v>
      </c>
      <c r="D768" s="7">
        <f>(Table534567910[[#This Row],[Value]]-B756)/B756</f>
        <v>4.9162852477601396E-2</v>
      </c>
      <c r="E768" s="16">
        <v>0.02</v>
      </c>
      <c r="F768" s="15">
        <f>VLOOKUP(Table534567910[[#This Row],[Date]],Database!A:E,4)</f>
        <v>2.5</v>
      </c>
    </row>
    <row r="769" spans="1:6" s="64" customFormat="1" x14ac:dyDescent="0.35">
      <c r="A769" s="60">
        <v>44805</v>
      </c>
      <c r="B769" s="58">
        <f>VLOOKUP(Table534567910[[#This Row],[Date]],Database!A:E,MATCH($A$1,Database!$A$1:$E$1,),)</f>
        <v>124.584</v>
      </c>
      <c r="C769" s="9">
        <f t="shared" si="11"/>
        <v>4.6286589791145714E-3</v>
      </c>
      <c r="D769" s="7">
        <f>(Table534567910[[#This Row],[Value]]-B757)/B757</f>
        <v>5.1821083025176073E-2</v>
      </c>
      <c r="E769" s="16">
        <v>0.02</v>
      </c>
      <c r="F769" s="15">
        <f>VLOOKUP(Table534567910[[#This Row],[Date]],Database!A:E,4)</f>
        <v>2.5</v>
      </c>
    </row>
    <row r="770" spans="1:6" s="64" customFormat="1" x14ac:dyDescent="0.35">
      <c r="A770" s="60">
        <v>44835</v>
      </c>
      <c r="B770" s="58">
        <f>VLOOKUP(Table534567910[[#This Row],[Date]],Database!A:E,MATCH($A$1,Database!$A$1:$E$1,),)</f>
        <v>124.857</v>
      </c>
      <c r="C770" s="9">
        <f t="shared" si="11"/>
        <v>2.1912926218454706E-3</v>
      </c>
      <c r="D770" s="7">
        <f>(Table534567910[[#This Row],[Value]]-B758)/B758</f>
        <v>4.9844865423908362E-2</v>
      </c>
      <c r="E770" s="16">
        <v>0.02</v>
      </c>
      <c r="F770" s="15">
        <f>VLOOKUP(Table534567910[[#This Row],[Date]],Database!A:E,4)</f>
        <v>3.25</v>
      </c>
    </row>
    <row r="771" spans="1:6" s="64" customFormat="1" x14ac:dyDescent="0.35">
      <c r="A771" s="6"/>
      <c r="B771" s="53"/>
      <c r="C771" s="4"/>
      <c r="D771" s="5"/>
      <c r="E771" s="12"/>
      <c r="F771" s="12"/>
    </row>
    <row r="772" spans="1:6" s="64" customFormat="1" x14ac:dyDescent="0.35">
      <c r="A772" s="6"/>
      <c r="B772" s="53"/>
      <c r="C772" s="4"/>
      <c r="D772" s="5"/>
      <c r="E772" s="12"/>
      <c r="F772" s="12"/>
    </row>
    <row r="773" spans="1:6" s="64" customFormat="1" x14ac:dyDescent="0.35">
      <c r="A773" s="6"/>
      <c r="B773" s="53"/>
      <c r="C773" s="4"/>
      <c r="D773" s="5"/>
      <c r="E773" s="12"/>
      <c r="F773" s="12"/>
    </row>
    <row r="774" spans="1:6" s="64" customFormat="1" x14ac:dyDescent="0.35">
      <c r="A774" s="6"/>
      <c r="B774" s="53"/>
      <c r="C774" s="4"/>
      <c r="D774" s="5"/>
      <c r="E774" s="12"/>
      <c r="F774" s="12"/>
    </row>
    <row r="775" spans="1:6" s="64" customFormat="1" x14ac:dyDescent="0.35">
      <c r="A775" s="6"/>
      <c r="B775" s="53"/>
      <c r="C775" s="4"/>
      <c r="D775" s="5"/>
      <c r="E775" s="12"/>
      <c r="F775" s="12"/>
    </row>
    <row r="776" spans="1:6" s="64" customFormat="1" x14ac:dyDescent="0.35">
      <c r="A776" s="6"/>
      <c r="B776" s="53"/>
      <c r="C776" s="4"/>
      <c r="D776" s="5"/>
      <c r="E776" s="12"/>
      <c r="F776" s="12"/>
    </row>
    <row r="777" spans="1:6" s="64" customFormat="1" x14ac:dyDescent="0.35">
      <c r="A777" s="6"/>
      <c r="B777" s="53"/>
      <c r="C777" s="4"/>
      <c r="D777" s="5"/>
      <c r="E777" s="12"/>
      <c r="F777" s="12"/>
    </row>
    <row r="778" spans="1:6" s="64" customFormat="1" x14ac:dyDescent="0.35">
      <c r="A778" s="6"/>
      <c r="B778" s="53"/>
      <c r="C778" s="4"/>
      <c r="D778" s="5"/>
      <c r="E778" s="12"/>
      <c r="F778" s="12"/>
    </row>
    <row r="779" spans="1:6" s="64" customFormat="1" x14ac:dyDescent="0.35">
      <c r="A779" s="6"/>
      <c r="B779" s="53"/>
      <c r="C779" s="4"/>
      <c r="D779" s="5"/>
      <c r="E779" s="12"/>
      <c r="F779" s="12"/>
    </row>
    <row r="780" spans="1:6" s="64" customFormat="1" x14ac:dyDescent="0.35">
      <c r="A780" s="6"/>
      <c r="B780" s="53"/>
      <c r="C780" s="4"/>
      <c r="D780" s="5"/>
      <c r="E780" s="12"/>
      <c r="F780" s="12"/>
    </row>
    <row r="781" spans="1:6" s="64" customFormat="1" x14ac:dyDescent="0.35">
      <c r="A781" s="6"/>
      <c r="B781" s="53"/>
      <c r="C781" s="4"/>
      <c r="D781" s="5"/>
      <c r="E781" s="12"/>
      <c r="F781" s="12"/>
    </row>
    <row r="782" spans="1:6" s="64" customFormat="1" x14ac:dyDescent="0.35">
      <c r="A782" s="6"/>
      <c r="B782" s="53"/>
      <c r="C782" s="4"/>
      <c r="D782" s="5"/>
      <c r="E782" s="12"/>
      <c r="F782" s="12"/>
    </row>
    <row r="783" spans="1:6" s="64" customFormat="1" x14ac:dyDescent="0.35">
      <c r="A783" s="6"/>
      <c r="B783" s="53"/>
      <c r="C783" s="4"/>
      <c r="D783" s="5"/>
      <c r="E783" s="12"/>
      <c r="F783" s="12"/>
    </row>
    <row r="784" spans="1:6" s="64" customFormat="1" x14ac:dyDescent="0.35">
      <c r="A784" s="6"/>
      <c r="B784" s="53"/>
      <c r="C784" s="4"/>
      <c r="D784" s="5"/>
      <c r="E784" s="12"/>
      <c r="F784" s="12"/>
    </row>
    <row r="785" spans="1:6" s="64" customFormat="1" x14ac:dyDescent="0.35">
      <c r="A785" s="6"/>
      <c r="B785" s="53"/>
      <c r="C785" s="4"/>
      <c r="D785" s="5"/>
      <c r="E785" s="12"/>
      <c r="F785" s="12"/>
    </row>
    <row r="786" spans="1:6" s="64" customFormat="1" x14ac:dyDescent="0.35">
      <c r="A786" s="6"/>
      <c r="B786" s="53"/>
      <c r="C786" s="4"/>
      <c r="D786" s="5"/>
      <c r="E786" s="12"/>
      <c r="F786" s="12"/>
    </row>
    <row r="787" spans="1:6" s="64" customFormat="1" x14ac:dyDescent="0.35">
      <c r="A787" s="6"/>
      <c r="B787" s="53"/>
      <c r="C787" s="4"/>
      <c r="D787" s="5"/>
      <c r="E787" s="12"/>
      <c r="F787" s="12"/>
    </row>
    <row r="788" spans="1:6" s="64" customFormat="1" x14ac:dyDescent="0.35">
      <c r="A788" s="6"/>
      <c r="B788" s="53"/>
      <c r="C788" s="4"/>
      <c r="D788" s="5"/>
      <c r="E788" s="12"/>
      <c r="F788" s="12"/>
    </row>
    <row r="789" spans="1:6" s="64" customFormat="1" x14ac:dyDescent="0.35">
      <c r="A789" s="6"/>
      <c r="B789" s="53"/>
      <c r="C789" s="4"/>
      <c r="D789" s="5"/>
      <c r="E789" s="12"/>
      <c r="F789" s="12"/>
    </row>
    <row r="790" spans="1:6" s="64" customFormat="1" x14ac:dyDescent="0.35">
      <c r="A790" s="6"/>
      <c r="B790" s="53"/>
      <c r="C790" s="4"/>
      <c r="D790" s="5"/>
      <c r="E790" s="12"/>
      <c r="F790" s="12"/>
    </row>
    <row r="791" spans="1:6" s="64" customFormat="1" x14ac:dyDescent="0.35">
      <c r="A791" s="6"/>
      <c r="B791" s="53"/>
      <c r="C791" s="4"/>
      <c r="D791" s="5"/>
      <c r="E791" s="12"/>
      <c r="F791" s="12"/>
    </row>
    <row r="792" spans="1:6" s="64" customFormat="1" x14ac:dyDescent="0.35">
      <c r="A792" s="6"/>
      <c r="B792" s="53"/>
      <c r="C792" s="4"/>
      <c r="D792" s="5"/>
      <c r="E792" s="12"/>
      <c r="F792" s="12"/>
    </row>
    <row r="793" spans="1:6" s="64" customFormat="1" x14ac:dyDescent="0.35">
      <c r="A793" s="6"/>
      <c r="B793" s="53"/>
      <c r="C793" s="4"/>
      <c r="D793" s="5"/>
      <c r="E793" s="12"/>
      <c r="F793" s="12"/>
    </row>
    <row r="794" spans="1:6" s="64" customFormat="1" x14ac:dyDescent="0.35">
      <c r="A794" s="6"/>
      <c r="B794" s="53"/>
      <c r="C794" s="4"/>
      <c r="D794" s="5"/>
      <c r="E794" s="12"/>
      <c r="F794" s="12"/>
    </row>
    <row r="795" spans="1:6" s="64" customFormat="1" x14ac:dyDescent="0.35">
      <c r="A795" s="6"/>
      <c r="B795" s="53"/>
      <c r="C795" s="4"/>
      <c r="D795" s="5"/>
      <c r="E795" s="12"/>
      <c r="F795" s="12"/>
    </row>
    <row r="796" spans="1:6" s="64" customFormat="1" x14ac:dyDescent="0.35">
      <c r="A796" s="6"/>
      <c r="B796" s="53"/>
      <c r="C796" s="4"/>
      <c r="D796" s="5"/>
      <c r="E796" s="12"/>
      <c r="F796" s="12"/>
    </row>
    <row r="797" spans="1:6" s="64" customFormat="1" x14ac:dyDescent="0.35">
      <c r="A797" s="6"/>
      <c r="B797" s="53"/>
      <c r="C797" s="4"/>
      <c r="D797" s="5"/>
      <c r="E797" s="12"/>
      <c r="F797" s="12"/>
    </row>
    <row r="798" spans="1:6" s="64" customFormat="1" x14ac:dyDescent="0.35">
      <c r="A798" s="6"/>
      <c r="B798" s="53"/>
      <c r="C798" s="4"/>
      <c r="D798" s="5"/>
      <c r="E798" s="12"/>
      <c r="F798" s="12"/>
    </row>
    <row r="799" spans="1:6" s="64" customFormat="1" x14ac:dyDescent="0.35">
      <c r="A799" s="6"/>
      <c r="B799" s="53"/>
      <c r="C799" s="4"/>
      <c r="D799" s="5"/>
      <c r="E799" s="12"/>
      <c r="F799" s="12"/>
    </row>
    <row r="800" spans="1:6" s="64" customFormat="1" x14ac:dyDescent="0.35">
      <c r="A800" s="6"/>
      <c r="B800" s="53"/>
      <c r="C800" s="4"/>
      <c r="D800" s="5"/>
      <c r="E800" s="12"/>
      <c r="F800" s="12"/>
    </row>
    <row r="801" spans="1:6" s="64" customFormat="1" x14ac:dyDescent="0.35">
      <c r="A801" s="6"/>
      <c r="B801" s="53"/>
      <c r="C801" s="4"/>
      <c r="D801" s="5"/>
      <c r="E801" s="12"/>
      <c r="F801" s="12"/>
    </row>
    <row r="802" spans="1:6" s="64" customFormat="1" x14ac:dyDescent="0.35">
      <c r="A802" s="6"/>
      <c r="B802" s="53"/>
      <c r="C802" s="4"/>
      <c r="D802" s="5"/>
      <c r="E802" s="12"/>
      <c r="F802" s="12"/>
    </row>
    <row r="803" spans="1:6" s="64" customFormat="1" x14ac:dyDescent="0.35">
      <c r="A803" s="6"/>
      <c r="B803" s="53"/>
      <c r="C803" s="4"/>
      <c r="D803" s="5"/>
      <c r="E803" s="12"/>
      <c r="F803" s="12"/>
    </row>
    <row r="804" spans="1:6" s="64" customFormat="1" x14ac:dyDescent="0.35">
      <c r="A804" s="6"/>
      <c r="B804" s="53"/>
      <c r="C804" s="4"/>
      <c r="D804" s="5"/>
      <c r="E804" s="12"/>
      <c r="F804" s="12"/>
    </row>
    <row r="805" spans="1:6" s="64" customFormat="1" x14ac:dyDescent="0.35">
      <c r="A805" s="6"/>
      <c r="B805" s="53"/>
      <c r="C805" s="4"/>
      <c r="D805" s="5"/>
      <c r="E805" s="12"/>
      <c r="F805" s="12"/>
    </row>
    <row r="806" spans="1:6" s="64" customFormat="1" x14ac:dyDescent="0.35">
      <c r="A806" s="6"/>
      <c r="B806" s="53"/>
      <c r="C806" s="4"/>
      <c r="D806" s="5"/>
      <c r="E806" s="12"/>
      <c r="F806" s="12"/>
    </row>
    <row r="807" spans="1:6" s="64" customFormat="1" x14ac:dyDescent="0.35">
      <c r="A807" s="6"/>
      <c r="B807" s="53"/>
      <c r="C807" s="4"/>
      <c r="D807" s="5"/>
      <c r="E807" s="12"/>
      <c r="F807" s="12"/>
    </row>
    <row r="808" spans="1:6" s="64" customFormat="1" x14ac:dyDescent="0.35">
      <c r="A808" s="6"/>
      <c r="B808" s="53"/>
      <c r="C808" s="4"/>
      <c r="D808" s="5"/>
      <c r="E808" s="12"/>
      <c r="F808" s="12"/>
    </row>
    <row r="809" spans="1:6" s="64" customFormat="1" x14ac:dyDescent="0.35">
      <c r="A809" s="6"/>
      <c r="B809" s="53"/>
      <c r="C809" s="4"/>
      <c r="D809" s="5"/>
      <c r="E809" s="12"/>
      <c r="F809" s="12"/>
    </row>
    <row r="810" spans="1:6" s="64" customFormat="1" x14ac:dyDescent="0.35">
      <c r="A810" s="6"/>
      <c r="B810" s="53"/>
      <c r="C810" s="4"/>
      <c r="D810" s="5"/>
      <c r="E810" s="12"/>
      <c r="F810" s="12"/>
    </row>
    <row r="811" spans="1:6" s="64" customFormat="1" x14ac:dyDescent="0.35">
      <c r="A811" s="6"/>
      <c r="B811" s="53"/>
      <c r="C811" s="4"/>
      <c r="D811" s="5"/>
      <c r="E811" s="12"/>
      <c r="F811" s="12"/>
    </row>
    <row r="812" spans="1:6" s="64" customFormat="1" x14ac:dyDescent="0.35">
      <c r="A812" s="6"/>
      <c r="B812" s="53"/>
      <c r="C812" s="4"/>
      <c r="D812" s="5"/>
      <c r="E812" s="12"/>
      <c r="F812" s="12"/>
    </row>
    <row r="813" spans="1:6" s="64" customFormat="1" x14ac:dyDescent="0.35">
      <c r="A813" s="6"/>
      <c r="B813" s="53"/>
      <c r="C813" s="4"/>
      <c r="D813" s="5"/>
      <c r="E813" s="12"/>
      <c r="F813" s="12"/>
    </row>
    <row r="814" spans="1:6" s="64" customFormat="1" x14ac:dyDescent="0.35">
      <c r="A814" s="6"/>
      <c r="B814" s="53"/>
      <c r="C814" s="4"/>
      <c r="D814" s="5"/>
      <c r="E814" s="12"/>
      <c r="F814" s="12"/>
    </row>
    <row r="815" spans="1:6" s="64" customFormat="1" x14ac:dyDescent="0.35">
      <c r="A815" s="6"/>
      <c r="B815" s="53"/>
      <c r="C815" s="4"/>
      <c r="D815" s="5"/>
      <c r="E815" s="12"/>
      <c r="F815" s="12"/>
    </row>
    <row r="816" spans="1:6" s="64" customFormat="1" x14ac:dyDescent="0.35">
      <c r="A816" s="6"/>
      <c r="B816" s="53"/>
      <c r="C816" s="4"/>
      <c r="D816" s="5"/>
      <c r="E816" s="12"/>
      <c r="F816" s="12"/>
    </row>
    <row r="817" spans="1:6" s="64" customFormat="1" x14ac:dyDescent="0.35">
      <c r="A817" s="6"/>
      <c r="B817" s="53"/>
      <c r="C817" s="4"/>
      <c r="D817" s="5"/>
      <c r="E817" s="12"/>
      <c r="F817" s="12"/>
    </row>
    <row r="818" spans="1:6" s="64" customFormat="1" x14ac:dyDescent="0.35">
      <c r="A818" s="6"/>
      <c r="B818" s="53"/>
      <c r="C818" s="4"/>
      <c r="D818" s="5"/>
      <c r="E818" s="12"/>
      <c r="F818" s="12"/>
    </row>
    <row r="819" spans="1:6" s="64" customFormat="1" x14ac:dyDescent="0.35">
      <c r="A819" s="6"/>
      <c r="B819" s="53"/>
      <c r="C819" s="4"/>
      <c r="D819" s="5"/>
      <c r="E819" s="12"/>
      <c r="F819" s="12"/>
    </row>
    <row r="820" spans="1:6" s="64" customFormat="1" x14ac:dyDescent="0.35">
      <c r="A820" s="6"/>
      <c r="B820" s="53"/>
      <c r="C820" s="4"/>
      <c r="D820" s="5"/>
      <c r="E820" s="12"/>
      <c r="F820" s="12"/>
    </row>
    <row r="821" spans="1:6" s="64" customFormat="1" x14ac:dyDescent="0.35">
      <c r="A821" s="6"/>
      <c r="B821" s="53"/>
      <c r="C821" s="4"/>
      <c r="D821" s="5"/>
      <c r="E821" s="12"/>
      <c r="F821" s="12"/>
    </row>
    <row r="822" spans="1:6" s="64" customFormat="1" x14ac:dyDescent="0.35">
      <c r="A822" s="6"/>
      <c r="B822" s="53"/>
      <c r="C822" s="4"/>
      <c r="D822" s="5"/>
      <c r="E822" s="12"/>
      <c r="F822" s="12"/>
    </row>
    <row r="823" spans="1:6" s="64" customFormat="1" x14ac:dyDescent="0.35">
      <c r="A823" s="6"/>
      <c r="B823" s="53"/>
      <c r="C823" s="4"/>
      <c r="D823" s="5"/>
      <c r="E823" s="12"/>
      <c r="F823" s="12"/>
    </row>
    <row r="824" spans="1:6" s="64" customFormat="1" x14ac:dyDescent="0.35">
      <c r="A824" s="6"/>
      <c r="B824" s="53"/>
      <c r="C824" s="4"/>
      <c r="D824" s="5"/>
      <c r="E824" s="12"/>
      <c r="F824" s="12"/>
    </row>
    <row r="825" spans="1:6" s="64" customFormat="1" x14ac:dyDescent="0.35">
      <c r="A825" s="6"/>
      <c r="B825" s="53"/>
      <c r="C825" s="4"/>
      <c r="D825" s="5"/>
      <c r="E825" s="12"/>
      <c r="F825" s="12"/>
    </row>
    <row r="826" spans="1:6" s="64" customFormat="1" x14ac:dyDescent="0.35">
      <c r="A826" s="6"/>
      <c r="B826" s="53"/>
      <c r="C826" s="4"/>
      <c r="D826" s="5"/>
      <c r="E826" s="12"/>
      <c r="F826" s="12"/>
    </row>
    <row r="827" spans="1:6" s="64" customFormat="1" x14ac:dyDescent="0.35">
      <c r="A827" s="6"/>
      <c r="B827" s="53"/>
      <c r="C827" s="4"/>
      <c r="D827" s="5"/>
      <c r="E827" s="12"/>
      <c r="F827" s="12"/>
    </row>
    <row r="828" spans="1:6" s="64" customFormat="1" x14ac:dyDescent="0.35">
      <c r="A828" s="6"/>
      <c r="B828" s="53"/>
      <c r="C828" s="4"/>
      <c r="D828" s="5"/>
      <c r="E828" s="12"/>
      <c r="F828" s="12"/>
    </row>
    <row r="829" spans="1:6" s="64" customFormat="1" x14ac:dyDescent="0.35">
      <c r="A829" s="6"/>
      <c r="B829" s="53"/>
      <c r="C829" s="4"/>
      <c r="D829" s="5"/>
      <c r="E829" s="12"/>
      <c r="F829" s="12"/>
    </row>
    <row r="830" spans="1:6" s="64" customFormat="1" x14ac:dyDescent="0.35">
      <c r="A830" s="6"/>
      <c r="B830" s="53"/>
      <c r="C830" s="4"/>
      <c r="D830" s="5"/>
      <c r="E830" s="12"/>
      <c r="F830" s="12"/>
    </row>
    <row r="831" spans="1:6" s="64" customFormat="1" x14ac:dyDescent="0.35">
      <c r="A831" s="6"/>
      <c r="B831" s="53"/>
      <c r="C831" s="4"/>
      <c r="D831" s="5"/>
      <c r="E831" s="12"/>
      <c r="F831" s="12"/>
    </row>
    <row r="832" spans="1:6" s="64" customFormat="1" x14ac:dyDescent="0.35">
      <c r="A832" s="6"/>
      <c r="B832" s="53"/>
      <c r="C832" s="4"/>
      <c r="D832" s="5"/>
      <c r="E832" s="12"/>
      <c r="F832" s="12"/>
    </row>
    <row r="833" spans="1:6" s="64" customFormat="1" x14ac:dyDescent="0.35">
      <c r="A833" s="6"/>
      <c r="B833" s="53"/>
      <c r="C833" s="4"/>
      <c r="D833" s="5"/>
      <c r="E833" s="12"/>
      <c r="F833" s="12"/>
    </row>
    <row r="834" spans="1:6" s="64" customFormat="1" x14ac:dyDescent="0.35">
      <c r="A834" s="6"/>
      <c r="B834" s="53"/>
      <c r="C834" s="4"/>
      <c r="D834" s="5"/>
      <c r="E834" s="12"/>
      <c r="F834" s="12"/>
    </row>
    <row r="835" spans="1:6" s="64" customFormat="1" x14ac:dyDescent="0.35">
      <c r="A835" s="6"/>
      <c r="B835" s="53"/>
      <c r="C835" s="4"/>
      <c r="D835" s="5"/>
      <c r="E835" s="12"/>
      <c r="F835" s="12"/>
    </row>
    <row r="836" spans="1:6" s="64" customFormat="1" x14ac:dyDescent="0.35">
      <c r="A836" s="6"/>
      <c r="B836" s="53"/>
      <c r="C836" s="4"/>
      <c r="D836" s="5"/>
      <c r="E836" s="12"/>
      <c r="F836" s="12"/>
    </row>
    <row r="837" spans="1:6" s="64" customFormat="1" x14ac:dyDescent="0.35">
      <c r="A837" s="6"/>
      <c r="B837" s="53"/>
      <c r="C837" s="4"/>
      <c r="D837" s="5"/>
      <c r="E837" s="12"/>
      <c r="F837" s="12"/>
    </row>
    <row r="838" spans="1:6" s="64" customFormat="1" x14ac:dyDescent="0.35">
      <c r="A838" s="6"/>
      <c r="B838" s="53"/>
      <c r="C838" s="4"/>
      <c r="D838" s="5"/>
      <c r="E838" s="12"/>
      <c r="F838" s="12"/>
    </row>
    <row r="839" spans="1:6" s="64" customFormat="1" x14ac:dyDescent="0.35">
      <c r="A839" s="6"/>
      <c r="B839" s="53"/>
      <c r="C839" s="4"/>
      <c r="D839" s="5"/>
      <c r="E839" s="12"/>
      <c r="F839" s="12"/>
    </row>
    <row r="840" spans="1:6" s="64" customFormat="1" x14ac:dyDescent="0.35">
      <c r="A840" s="6"/>
      <c r="B840" s="53"/>
      <c r="C840" s="4"/>
      <c r="D840" s="5"/>
      <c r="E840" s="12"/>
      <c r="F840" s="12"/>
    </row>
    <row r="841" spans="1:6" s="64" customFormat="1" x14ac:dyDescent="0.35">
      <c r="A841" s="6"/>
      <c r="B841" s="53"/>
      <c r="C841" s="4"/>
      <c r="D841" s="5"/>
      <c r="E841" s="12"/>
      <c r="F841" s="12"/>
    </row>
    <row r="842" spans="1:6" s="64" customFormat="1" x14ac:dyDescent="0.35">
      <c r="A842" s="6"/>
      <c r="B842" s="53"/>
      <c r="C842" s="4"/>
      <c r="D842" s="5"/>
      <c r="E842" s="12"/>
      <c r="F842" s="12"/>
    </row>
    <row r="843" spans="1:6" s="64" customFormat="1" x14ac:dyDescent="0.35">
      <c r="A843" s="6"/>
      <c r="B843" s="53"/>
      <c r="C843" s="4"/>
      <c r="D843" s="5"/>
      <c r="E843" s="12"/>
      <c r="F843" s="12"/>
    </row>
    <row r="844" spans="1:6" s="64" customFormat="1" x14ac:dyDescent="0.35">
      <c r="A844" s="6"/>
      <c r="B844" s="53"/>
      <c r="C844" s="4"/>
      <c r="D844" s="5"/>
      <c r="E844" s="12"/>
      <c r="F844" s="12"/>
    </row>
    <row r="845" spans="1:6" s="64" customFormat="1" x14ac:dyDescent="0.35">
      <c r="A845" s="6"/>
      <c r="B845" s="53"/>
      <c r="C845" s="4"/>
      <c r="D845" s="5"/>
      <c r="E845" s="12"/>
      <c r="F845" s="12"/>
    </row>
    <row r="846" spans="1:6" s="64" customFormat="1" x14ac:dyDescent="0.35">
      <c r="A846" s="6"/>
      <c r="B846" s="53"/>
      <c r="C846" s="4"/>
      <c r="D846" s="5"/>
      <c r="E846" s="12"/>
      <c r="F846" s="12"/>
    </row>
    <row r="847" spans="1:6" s="64" customFormat="1" x14ac:dyDescent="0.35">
      <c r="A847" s="6"/>
      <c r="B847" s="53"/>
      <c r="C847" s="4"/>
      <c r="D847" s="5"/>
      <c r="E847" s="12"/>
      <c r="F847" s="12"/>
    </row>
    <row r="848" spans="1:6" s="64" customFormat="1" x14ac:dyDescent="0.35">
      <c r="A848" s="6"/>
      <c r="B848" s="53"/>
      <c r="C848" s="4"/>
      <c r="D848" s="5"/>
      <c r="E848" s="12"/>
      <c r="F848" s="12"/>
    </row>
    <row r="849" spans="1:6" s="64" customFormat="1" x14ac:dyDescent="0.35">
      <c r="A849" s="6"/>
      <c r="B849" s="53"/>
      <c r="C849" s="4"/>
      <c r="D849" s="5"/>
      <c r="E849" s="12"/>
      <c r="F849" s="12"/>
    </row>
    <row r="850" spans="1:6" s="64" customFormat="1" x14ac:dyDescent="0.35">
      <c r="A850" s="6"/>
      <c r="B850" s="53"/>
      <c r="C850" s="4"/>
      <c r="D850" s="5"/>
      <c r="E850" s="12"/>
      <c r="F850" s="12"/>
    </row>
    <row r="851" spans="1:6" s="64" customFormat="1" x14ac:dyDescent="0.35">
      <c r="A851" s="6"/>
      <c r="B851" s="53"/>
      <c r="C851" s="4"/>
      <c r="D851" s="5"/>
      <c r="E851" s="12"/>
      <c r="F851" s="12"/>
    </row>
    <row r="852" spans="1:6" s="64" customFormat="1" x14ac:dyDescent="0.35">
      <c r="A852" s="6"/>
      <c r="B852" s="53"/>
      <c r="C852" s="4"/>
      <c r="D852" s="5"/>
      <c r="E852" s="12"/>
      <c r="F852" s="12"/>
    </row>
    <row r="853" spans="1:6" s="64" customFormat="1" x14ac:dyDescent="0.35">
      <c r="A853" s="6"/>
      <c r="B853" s="53"/>
      <c r="C853" s="4"/>
      <c r="D853" s="5"/>
      <c r="E853" s="12"/>
      <c r="F853" s="12"/>
    </row>
    <row r="854" spans="1:6" s="64" customFormat="1" x14ac:dyDescent="0.35">
      <c r="A854" s="6"/>
      <c r="B854" s="53"/>
      <c r="C854" s="4"/>
      <c r="D854" s="5"/>
      <c r="E854" s="12"/>
      <c r="F854" s="12"/>
    </row>
    <row r="855" spans="1:6" s="64" customFormat="1" x14ac:dyDescent="0.35">
      <c r="A855" s="6"/>
      <c r="B855" s="53"/>
      <c r="C855" s="4"/>
      <c r="D855" s="5"/>
      <c r="E855" s="12"/>
      <c r="F855" s="12"/>
    </row>
    <row r="856" spans="1:6" s="64" customFormat="1" x14ac:dyDescent="0.35">
      <c r="A856" s="6"/>
      <c r="B856" s="53"/>
      <c r="C856" s="4"/>
      <c r="D856" s="5"/>
      <c r="E856" s="12"/>
      <c r="F856" s="12"/>
    </row>
    <row r="857" spans="1:6" s="64" customFormat="1" x14ac:dyDescent="0.35">
      <c r="A857" s="6"/>
      <c r="B857" s="53"/>
      <c r="C857" s="4"/>
      <c r="D857" s="5"/>
      <c r="E857" s="12"/>
      <c r="F857" s="12"/>
    </row>
    <row r="858" spans="1:6" s="64" customFormat="1" x14ac:dyDescent="0.35">
      <c r="A858" s="6"/>
      <c r="B858" s="53"/>
      <c r="C858" s="4"/>
      <c r="D858" s="5"/>
      <c r="E858" s="12"/>
      <c r="F858" s="12"/>
    </row>
    <row r="859" spans="1:6" s="64" customFormat="1" x14ac:dyDescent="0.35">
      <c r="A859" s="6"/>
      <c r="B859" s="53"/>
      <c r="C859" s="4"/>
      <c r="D859" s="5"/>
      <c r="E859" s="12"/>
      <c r="F859" s="12"/>
    </row>
    <row r="860" spans="1:6" s="64" customFormat="1" x14ac:dyDescent="0.35">
      <c r="A860" s="6"/>
      <c r="B860" s="53"/>
      <c r="C860" s="4"/>
      <c r="D860" s="5"/>
      <c r="E860" s="12"/>
      <c r="F860" s="12"/>
    </row>
    <row r="861" spans="1:6" s="64" customFormat="1" x14ac:dyDescent="0.35">
      <c r="A861" s="6"/>
      <c r="B861" s="53"/>
      <c r="C861" s="4"/>
      <c r="D861" s="5"/>
      <c r="E861" s="12"/>
      <c r="F861" s="12"/>
    </row>
    <row r="862" spans="1:6" s="64" customFormat="1" x14ac:dyDescent="0.35">
      <c r="A862" s="6"/>
      <c r="B862" s="53"/>
      <c r="C862" s="4"/>
      <c r="D862" s="5"/>
      <c r="E862" s="12"/>
      <c r="F862" s="12"/>
    </row>
    <row r="863" spans="1:6" s="64" customFormat="1" x14ac:dyDescent="0.35">
      <c r="A863" s="6"/>
      <c r="B863" s="53"/>
      <c r="C863" s="4"/>
      <c r="D863" s="5"/>
      <c r="E863" s="12"/>
      <c r="F863" s="12"/>
    </row>
    <row r="864" spans="1:6" s="64" customFormat="1" x14ac:dyDescent="0.35">
      <c r="A864" s="6"/>
      <c r="B864" s="53"/>
      <c r="C864" s="4"/>
      <c r="D864" s="5"/>
      <c r="E864" s="12"/>
      <c r="F864" s="12"/>
    </row>
    <row r="865" spans="1:6" s="64" customFormat="1" x14ac:dyDescent="0.35">
      <c r="A865" s="6"/>
      <c r="B865" s="53"/>
      <c r="C865" s="4"/>
      <c r="D865" s="5"/>
      <c r="E865" s="12"/>
      <c r="F865" s="12"/>
    </row>
    <row r="866" spans="1:6" s="64" customFormat="1" x14ac:dyDescent="0.35">
      <c r="A866" s="6"/>
      <c r="B866" s="53"/>
      <c r="C866" s="4"/>
      <c r="D866" s="5"/>
      <c r="E866" s="12"/>
      <c r="F866" s="12"/>
    </row>
    <row r="867" spans="1:6" s="64" customFormat="1" x14ac:dyDescent="0.35">
      <c r="A867" s="6"/>
      <c r="B867" s="53"/>
      <c r="C867" s="4"/>
      <c r="D867" s="5"/>
      <c r="E867" s="12"/>
      <c r="F867" s="12"/>
    </row>
    <row r="868" spans="1:6" s="64" customFormat="1" x14ac:dyDescent="0.35">
      <c r="A868" s="6"/>
      <c r="B868" s="53"/>
      <c r="C868" s="4"/>
      <c r="D868" s="5"/>
      <c r="E868" s="12"/>
      <c r="F868" s="12"/>
    </row>
    <row r="869" spans="1:6" s="64" customFormat="1" x14ac:dyDescent="0.35">
      <c r="A869" s="6"/>
      <c r="B869" s="53"/>
      <c r="C869" s="4"/>
      <c r="D869" s="5"/>
      <c r="E869" s="12"/>
      <c r="F869" s="12"/>
    </row>
    <row r="870" spans="1:6" s="64" customFormat="1" x14ac:dyDescent="0.35">
      <c r="A870" s="6"/>
      <c r="B870" s="53"/>
      <c r="C870" s="4"/>
      <c r="D870" s="5"/>
      <c r="E870" s="12"/>
      <c r="F870" s="12"/>
    </row>
    <row r="871" spans="1:6" s="64" customFormat="1" x14ac:dyDescent="0.35">
      <c r="A871" s="6"/>
      <c r="B871" s="53"/>
      <c r="C871" s="4"/>
      <c r="D871" s="5"/>
      <c r="E871" s="12"/>
      <c r="F871" s="12"/>
    </row>
    <row r="872" spans="1:6" s="64" customFormat="1" x14ac:dyDescent="0.35">
      <c r="A872" s="6"/>
      <c r="B872" s="53"/>
      <c r="C872" s="4"/>
      <c r="D872" s="5"/>
      <c r="E872" s="12"/>
      <c r="F872" s="12"/>
    </row>
    <row r="873" spans="1:6" s="64" customFormat="1" x14ac:dyDescent="0.35">
      <c r="A873" s="6"/>
      <c r="B873" s="53"/>
      <c r="C873" s="4"/>
      <c r="D873" s="5"/>
      <c r="E873" s="12"/>
      <c r="F873" s="12"/>
    </row>
    <row r="874" spans="1:6" s="64" customFormat="1" x14ac:dyDescent="0.35">
      <c r="A874" s="6"/>
      <c r="B874" s="53"/>
      <c r="C874" s="4"/>
      <c r="D874" s="5"/>
      <c r="E874" s="12"/>
      <c r="F874" s="12"/>
    </row>
    <row r="875" spans="1:6" s="64" customFormat="1" x14ac:dyDescent="0.35">
      <c r="A875" s="6"/>
      <c r="B875" s="53"/>
      <c r="C875" s="4"/>
      <c r="D875" s="5"/>
      <c r="E875" s="12"/>
      <c r="F875" s="12"/>
    </row>
    <row r="876" spans="1:6" s="64" customFormat="1" x14ac:dyDescent="0.35">
      <c r="A876" s="6"/>
      <c r="B876" s="53"/>
      <c r="C876" s="4"/>
      <c r="D876" s="5"/>
      <c r="E876" s="12"/>
      <c r="F876" s="12"/>
    </row>
    <row r="877" spans="1:6" s="64" customFormat="1" x14ac:dyDescent="0.35">
      <c r="A877" s="6"/>
      <c r="B877" s="53"/>
      <c r="C877" s="4"/>
      <c r="D877" s="5"/>
      <c r="E877" s="12"/>
      <c r="F877" s="12"/>
    </row>
    <row r="878" spans="1:6" s="64" customFormat="1" x14ac:dyDescent="0.35">
      <c r="A878" s="6"/>
      <c r="B878" s="53"/>
      <c r="C878" s="4"/>
      <c r="D878" s="5"/>
      <c r="E878" s="12"/>
      <c r="F878" s="12"/>
    </row>
    <row r="879" spans="1:6" s="64" customFormat="1" x14ac:dyDescent="0.35">
      <c r="A879" s="6"/>
      <c r="B879" s="53"/>
      <c r="C879" s="4"/>
      <c r="D879" s="5"/>
      <c r="E879" s="12"/>
      <c r="F879" s="12"/>
    </row>
    <row r="880" spans="1:6" s="64" customFormat="1" x14ac:dyDescent="0.35">
      <c r="A880" s="6"/>
      <c r="B880" s="53"/>
      <c r="C880" s="4"/>
      <c r="D880" s="5"/>
      <c r="E880" s="12"/>
      <c r="F880" s="12"/>
    </row>
    <row r="881" spans="1:6" s="64" customFormat="1" x14ac:dyDescent="0.35">
      <c r="A881" s="6"/>
      <c r="B881" s="53"/>
      <c r="C881" s="4"/>
      <c r="D881" s="5"/>
      <c r="E881" s="12"/>
      <c r="F881" s="12"/>
    </row>
    <row r="882" spans="1:6" s="64" customFormat="1" x14ac:dyDescent="0.35">
      <c r="A882" s="6"/>
      <c r="B882" s="53"/>
      <c r="C882" s="4"/>
      <c r="D882" s="5"/>
      <c r="E882" s="12"/>
      <c r="F882" s="12"/>
    </row>
    <row r="883" spans="1:6" s="64" customFormat="1" x14ac:dyDescent="0.35">
      <c r="A883" s="6"/>
      <c r="B883" s="53"/>
      <c r="C883" s="4"/>
      <c r="D883" s="5"/>
      <c r="E883" s="12"/>
      <c r="F883" s="12"/>
    </row>
    <row r="884" spans="1:6" s="64" customFormat="1" x14ac:dyDescent="0.35">
      <c r="A884" s="6"/>
      <c r="B884" s="53"/>
      <c r="C884" s="4"/>
      <c r="D884" s="5"/>
      <c r="E884" s="12"/>
      <c r="F884" s="12"/>
    </row>
    <row r="885" spans="1:6" s="64" customFormat="1" x14ac:dyDescent="0.35">
      <c r="A885" s="6"/>
      <c r="B885" s="53"/>
      <c r="C885" s="4"/>
      <c r="D885" s="5"/>
      <c r="E885" s="12"/>
      <c r="F885" s="12"/>
    </row>
    <row r="886" spans="1:6" s="64" customFormat="1" x14ac:dyDescent="0.35">
      <c r="A886" s="6"/>
      <c r="B886" s="53"/>
      <c r="C886" s="4"/>
      <c r="D886" s="5"/>
      <c r="E886" s="12"/>
      <c r="F886" s="12"/>
    </row>
    <row r="887" spans="1:6" s="64" customFormat="1" x14ac:dyDescent="0.35">
      <c r="A887" s="6"/>
      <c r="B887" s="53"/>
      <c r="C887" s="4"/>
      <c r="D887" s="5"/>
      <c r="E887" s="12"/>
      <c r="F887" s="12"/>
    </row>
    <row r="888" spans="1:6" s="64" customFormat="1" x14ac:dyDescent="0.35">
      <c r="A888" s="6"/>
      <c r="B888" s="53"/>
      <c r="C888" s="4"/>
      <c r="D888" s="5"/>
      <c r="E888" s="12"/>
      <c r="F888" s="12"/>
    </row>
    <row r="889" spans="1:6" s="64" customFormat="1" x14ac:dyDescent="0.35">
      <c r="A889" s="6"/>
      <c r="B889" s="53"/>
      <c r="C889" s="4"/>
      <c r="D889" s="5"/>
      <c r="E889" s="12"/>
      <c r="F889" s="12"/>
    </row>
    <row r="890" spans="1:6" s="64" customFormat="1" x14ac:dyDescent="0.35">
      <c r="A890" s="6"/>
      <c r="B890" s="53"/>
      <c r="C890" s="4"/>
      <c r="D890" s="5"/>
      <c r="E890" s="12"/>
      <c r="F890" s="12"/>
    </row>
    <row r="891" spans="1:6" s="64" customFormat="1" x14ac:dyDescent="0.35">
      <c r="A891" s="6"/>
      <c r="B891" s="53"/>
      <c r="C891" s="4"/>
      <c r="D891" s="5"/>
      <c r="E891" s="12"/>
      <c r="F891" s="12"/>
    </row>
    <row r="892" spans="1:6" s="64" customFormat="1" x14ac:dyDescent="0.35">
      <c r="A892" s="6"/>
      <c r="B892" s="53"/>
      <c r="C892" s="4"/>
      <c r="D892" s="5"/>
      <c r="E892" s="12"/>
      <c r="F892" s="12"/>
    </row>
    <row r="893" spans="1:6" s="64" customFormat="1" x14ac:dyDescent="0.35">
      <c r="A893" s="6"/>
      <c r="B893" s="53"/>
      <c r="C893" s="4"/>
      <c r="D893" s="5"/>
      <c r="E893" s="12"/>
      <c r="F893" s="12"/>
    </row>
    <row r="894" spans="1:6" s="64" customFormat="1" x14ac:dyDescent="0.35">
      <c r="A894" s="6"/>
      <c r="B894" s="53"/>
      <c r="C894" s="4"/>
      <c r="D894" s="5"/>
      <c r="E894" s="12"/>
      <c r="F894" s="12"/>
    </row>
    <row r="895" spans="1:6" s="64" customFormat="1" x14ac:dyDescent="0.35">
      <c r="A895" s="6"/>
      <c r="B895" s="53"/>
      <c r="C895" s="4"/>
      <c r="D895" s="5"/>
      <c r="E895" s="12"/>
      <c r="F895" s="12"/>
    </row>
    <row r="896" spans="1:6" s="64" customFormat="1" x14ac:dyDescent="0.35">
      <c r="A896" s="6"/>
      <c r="B896" s="53"/>
      <c r="C896" s="4"/>
      <c r="D896" s="5"/>
      <c r="E896" s="12"/>
      <c r="F896" s="12"/>
    </row>
    <row r="897" spans="1:6" s="64" customFormat="1" x14ac:dyDescent="0.35">
      <c r="A897" s="6"/>
      <c r="B897" s="53"/>
      <c r="C897" s="4"/>
      <c r="D897" s="5"/>
      <c r="E897" s="12"/>
      <c r="F897" s="12"/>
    </row>
    <row r="898" spans="1:6" s="64" customFormat="1" x14ac:dyDescent="0.35">
      <c r="A898" s="6"/>
      <c r="B898" s="53"/>
      <c r="C898" s="4"/>
      <c r="D898" s="5"/>
      <c r="E898" s="12"/>
      <c r="F898" s="12"/>
    </row>
    <row r="899" spans="1:6" s="64" customFormat="1" x14ac:dyDescent="0.35">
      <c r="A899" s="6"/>
      <c r="B899" s="53"/>
      <c r="C899" s="4"/>
      <c r="D899" s="5"/>
      <c r="E899" s="12"/>
      <c r="F899" s="12"/>
    </row>
    <row r="900" spans="1:6" s="64" customFormat="1" x14ac:dyDescent="0.35">
      <c r="A900" s="6"/>
      <c r="B900" s="53"/>
      <c r="C900" s="4"/>
      <c r="D900" s="5"/>
      <c r="E900" s="12"/>
      <c r="F900" s="12"/>
    </row>
    <row r="901" spans="1:6" s="64" customFormat="1" x14ac:dyDescent="0.35">
      <c r="A901" s="6"/>
      <c r="B901" s="53"/>
      <c r="C901" s="4"/>
      <c r="D901" s="5"/>
      <c r="E901" s="12"/>
      <c r="F901" s="12"/>
    </row>
    <row r="902" spans="1:6" s="64" customFormat="1" x14ac:dyDescent="0.35">
      <c r="A902" s="6"/>
      <c r="B902" s="53"/>
      <c r="C902" s="4"/>
      <c r="D902" s="5"/>
      <c r="E902" s="12"/>
      <c r="F902" s="12"/>
    </row>
    <row r="903" spans="1:6" s="64" customFormat="1" x14ac:dyDescent="0.35">
      <c r="A903" s="6"/>
      <c r="B903" s="53"/>
      <c r="C903" s="4"/>
      <c r="D903" s="5"/>
      <c r="E903" s="12"/>
      <c r="F903" s="12"/>
    </row>
    <row r="904" spans="1:6" s="64" customFormat="1" x14ac:dyDescent="0.35">
      <c r="A904" s="6"/>
      <c r="B904" s="53"/>
      <c r="C904" s="4"/>
      <c r="D904" s="5"/>
      <c r="E904" s="12"/>
      <c r="F904" s="12"/>
    </row>
    <row r="905" spans="1:6" s="64" customFormat="1" x14ac:dyDescent="0.35">
      <c r="A905" s="6"/>
      <c r="B905" s="53"/>
      <c r="C905" s="4"/>
      <c r="D905" s="5"/>
      <c r="E905" s="12"/>
      <c r="F905" s="12"/>
    </row>
    <row r="906" spans="1:6" s="64" customFormat="1" x14ac:dyDescent="0.35">
      <c r="A906" s="6"/>
      <c r="B906" s="53"/>
      <c r="C906" s="4"/>
      <c r="D906" s="5"/>
      <c r="E906" s="12"/>
      <c r="F906" s="12"/>
    </row>
    <row r="907" spans="1:6" s="64" customFormat="1" x14ac:dyDescent="0.35">
      <c r="A907" s="6"/>
      <c r="B907" s="53"/>
      <c r="C907" s="4"/>
      <c r="D907" s="5"/>
      <c r="E907" s="12"/>
      <c r="F907" s="12"/>
    </row>
    <row r="908" spans="1:6" s="64" customFormat="1" x14ac:dyDescent="0.35">
      <c r="A908" s="6"/>
      <c r="B908" s="53"/>
      <c r="C908" s="4"/>
      <c r="D908" s="5"/>
      <c r="E908" s="12"/>
      <c r="F908" s="12"/>
    </row>
    <row r="909" spans="1:6" s="64" customFormat="1" x14ac:dyDescent="0.35">
      <c r="A909" s="6"/>
      <c r="B909" s="53"/>
      <c r="C909" s="4"/>
      <c r="D909" s="5"/>
      <c r="E909" s="12"/>
      <c r="F909" s="12"/>
    </row>
    <row r="910" spans="1:6" s="64" customFormat="1" x14ac:dyDescent="0.35">
      <c r="A910" s="6"/>
      <c r="B910" s="53"/>
      <c r="C910" s="4"/>
      <c r="D910" s="5"/>
      <c r="E910" s="12"/>
      <c r="F910" s="12"/>
    </row>
    <row r="911" spans="1:6" s="64" customFormat="1" x14ac:dyDescent="0.35">
      <c r="A911" s="6"/>
      <c r="B911" s="53"/>
      <c r="C911" s="4"/>
      <c r="D911" s="5"/>
      <c r="E911" s="12"/>
      <c r="F911" s="12"/>
    </row>
    <row r="912" spans="1:6" s="64" customFormat="1" x14ac:dyDescent="0.35">
      <c r="A912" s="6"/>
      <c r="B912" s="53"/>
      <c r="C912" s="4"/>
      <c r="D912" s="5"/>
      <c r="E912" s="12"/>
      <c r="F912" s="12"/>
    </row>
    <row r="913" spans="1:6" s="64" customFormat="1" x14ac:dyDescent="0.35">
      <c r="A913" s="6"/>
      <c r="B913" s="53"/>
      <c r="C913" s="4"/>
      <c r="D913" s="5"/>
      <c r="E913" s="12"/>
      <c r="F913" s="12"/>
    </row>
    <row r="914" spans="1:6" s="64" customFormat="1" x14ac:dyDescent="0.35">
      <c r="A914" s="6"/>
      <c r="B914" s="53"/>
      <c r="C914" s="4"/>
      <c r="D914" s="5"/>
      <c r="E914" s="12"/>
      <c r="F914" s="12"/>
    </row>
    <row r="915" spans="1:6" s="64" customFormat="1" x14ac:dyDescent="0.35">
      <c r="A915" s="6"/>
      <c r="B915" s="53"/>
      <c r="C915" s="4"/>
      <c r="D915" s="5"/>
      <c r="E915" s="12"/>
      <c r="F915" s="12"/>
    </row>
    <row r="916" spans="1:6" s="64" customFormat="1" x14ac:dyDescent="0.35">
      <c r="A916" s="6"/>
      <c r="B916" s="53"/>
      <c r="C916" s="4"/>
      <c r="D916" s="5"/>
      <c r="E916" s="12"/>
      <c r="F916" s="12"/>
    </row>
    <row r="917" spans="1:6" s="64" customFormat="1" x14ac:dyDescent="0.35">
      <c r="A917" s="6"/>
      <c r="B917" s="53"/>
      <c r="C917" s="4"/>
      <c r="D917" s="5"/>
      <c r="E917" s="12"/>
      <c r="F917" s="12"/>
    </row>
    <row r="918" spans="1:6" s="64" customFormat="1" x14ac:dyDescent="0.35">
      <c r="A918" s="6"/>
      <c r="B918" s="53"/>
      <c r="C918" s="4"/>
      <c r="D918" s="5"/>
      <c r="E918" s="12"/>
      <c r="F918" s="12"/>
    </row>
    <row r="919" spans="1:6" s="64" customFormat="1" x14ac:dyDescent="0.35">
      <c r="A919" s="6"/>
      <c r="B919" s="53"/>
      <c r="C919" s="4"/>
      <c r="D919" s="5"/>
      <c r="E919" s="12"/>
      <c r="F919" s="12"/>
    </row>
    <row r="920" spans="1:6" s="64" customFormat="1" x14ac:dyDescent="0.35">
      <c r="A920" s="6"/>
      <c r="B920" s="53"/>
      <c r="C920" s="4"/>
      <c r="D920" s="5"/>
      <c r="E920" s="12"/>
      <c r="F920" s="12"/>
    </row>
    <row r="921" spans="1:6" s="64" customFormat="1" x14ac:dyDescent="0.35">
      <c r="A921" s="6"/>
      <c r="B921" s="53"/>
      <c r="C921" s="4"/>
      <c r="D921" s="5"/>
      <c r="E921" s="12"/>
      <c r="F921" s="12"/>
    </row>
    <row r="922" spans="1:6" s="64" customFormat="1" x14ac:dyDescent="0.35">
      <c r="A922" s="6"/>
      <c r="B922" s="53"/>
      <c r="C922" s="4"/>
      <c r="D922" s="5"/>
      <c r="E922" s="12"/>
      <c r="F922" s="12"/>
    </row>
    <row r="923" spans="1:6" s="64" customFormat="1" x14ac:dyDescent="0.35">
      <c r="A923" s="6"/>
      <c r="B923" s="53"/>
      <c r="C923" s="4"/>
      <c r="D923" s="5"/>
      <c r="E923" s="12"/>
      <c r="F923" s="12"/>
    </row>
    <row r="924" spans="1:6" s="64" customFormat="1" x14ac:dyDescent="0.35">
      <c r="A924" s="6"/>
      <c r="B924" s="53"/>
      <c r="C924" s="4"/>
      <c r="D924" s="5"/>
      <c r="E924" s="12"/>
      <c r="F924" s="12"/>
    </row>
    <row r="925" spans="1:6" s="64" customFormat="1" x14ac:dyDescent="0.35">
      <c r="A925" s="6"/>
      <c r="B925" s="53"/>
      <c r="C925" s="4"/>
      <c r="D925" s="5"/>
      <c r="E925" s="12"/>
      <c r="F925" s="12"/>
    </row>
    <row r="926" spans="1:6" s="64" customFormat="1" x14ac:dyDescent="0.35">
      <c r="A926" s="6"/>
      <c r="B926" s="53"/>
      <c r="C926" s="4"/>
      <c r="D926" s="5"/>
      <c r="E926" s="12"/>
      <c r="F926" s="12"/>
    </row>
    <row r="927" spans="1:6" s="64" customFormat="1" x14ac:dyDescent="0.35">
      <c r="A927" s="6"/>
      <c r="B927" s="53"/>
      <c r="C927" s="4"/>
      <c r="D927" s="5"/>
      <c r="E927" s="12"/>
      <c r="F927" s="12"/>
    </row>
    <row r="928" spans="1:6" s="64" customFormat="1" x14ac:dyDescent="0.35">
      <c r="A928" s="6"/>
      <c r="B928" s="53"/>
      <c r="C928" s="4"/>
      <c r="D928" s="5"/>
      <c r="E928" s="12"/>
      <c r="F928" s="12"/>
    </row>
    <row r="929" spans="1:6" s="64" customFormat="1" x14ac:dyDescent="0.35">
      <c r="A929" s="6"/>
      <c r="B929" s="53"/>
      <c r="C929" s="4"/>
      <c r="D929" s="5"/>
      <c r="E929" s="12"/>
      <c r="F929" s="12"/>
    </row>
    <row r="930" spans="1:6" s="64" customFormat="1" x14ac:dyDescent="0.35">
      <c r="A930" s="6"/>
      <c r="B930" s="53"/>
      <c r="C930" s="4"/>
      <c r="D930" s="5"/>
      <c r="E930" s="12"/>
      <c r="F930" s="12"/>
    </row>
    <row r="931" spans="1:6" s="64" customFormat="1" x14ac:dyDescent="0.35">
      <c r="A931" s="6"/>
      <c r="B931" s="53"/>
      <c r="C931" s="4"/>
      <c r="D931" s="5"/>
      <c r="E931" s="12"/>
      <c r="F931" s="12"/>
    </row>
    <row r="932" spans="1:6" s="64" customFormat="1" x14ac:dyDescent="0.35">
      <c r="A932" s="6"/>
      <c r="B932" s="53"/>
      <c r="C932" s="4"/>
      <c r="D932" s="5"/>
      <c r="E932" s="12"/>
      <c r="F932" s="12"/>
    </row>
    <row r="933" spans="1:6" s="64" customFormat="1" x14ac:dyDescent="0.35">
      <c r="A933" s="6"/>
      <c r="B933" s="53"/>
      <c r="C933" s="4"/>
      <c r="D933" s="5"/>
      <c r="E933" s="12"/>
      <c r="F933" s="12"/>
    </row>
    <row r="934" spans="1:6" s="64" customFormat="1" x14ac:dyDescent="0.35">
      <c r="A934" s="6"/>
      <c r="B934" s="53"/>
      <c r="C934" s="4"/>
      <c r="D934" s="5"/>
      <c r="E934" s="12"/>
      <c r="F934" s="12"/>
    </row>
    <row r="935" spans="1:6" s="64" customFormat="1" x14ac:dyDescent="0.35">
      <c r="A935" s="6"/>
      <c r="B935" s="53"/>
      <c r="C935" s="4"/>
      <c r="D935" s="5"/>
      <c r="E935" s="12"/>
      <c r="F935" s="12"/>
    </row>
    <row r="936" spans="1:6" s="64" customFormat="1" x14ac:dyDescent="0.35">
      <c r="A936" s="6"/>
      <c r="B936" s="53"/>
      <c r="C936" s="4"/>
      <c r="D936" s="5"/>
      <c r="E936" s="12"/>
      <c r="F936" s="12"/>
    </row>
    <row r="937" spans="1:6" s="64" customFormat="1" x14ac:dyDescent="0.35">
      <c r="A937" s="6"/>
      <c r="B937" s="53"/>
      <c r="C937" s="4"/>
      <c r="D937" s="5"/>
      <c r="E937" s="12"/>
      <c r="F937" s="12"/>
    </row>
    <row r="938" spans="1:6" s="64" customFormat="1" x14ac:dyDescent="0.35">
      <c r="A938" s="6"/>
      <c r="B938" s="53"/>
      <c r="C938" s="4"/>
      <c r="D938" s="5"/>
      <c r="E938" s="12"/>
      <c r="F938" s="12"/>
    </row>
    <row r="939" spans="1:6" s="64" customFormat="1" x14ac:dyDescent="0.35">
      <c r="A939" s="6"/>
      <c r="B939" s="53"/>
      <c r="C939" s="4"/>
      <c r="D939" s="5"/>
      <c r="E939" s="12"/>
      <c r="F939" s="12"/>
    </row>
    <row r="940" spans="1:6" s="64" customFormat="1" x14ac:dyDescent="0.35">
      <c r="A940" s="6"/>
      <c r="B940" s="53"/>
      <c r="C940" s="4"/>
      <c r="D940" s="5"/>
      <c r="E940" s="12"/>
      <c r="F940" s="12"/>
    </row>
    <row r="941" spans="1:6" s="64" customFormat="1" x14ac:dyDescent="0.35">
      <c r="A941" s="6"/>
      <c r="B941" s="53"/>
      <c r="C941" s="4"/>
      <c r="D941" s="5"/>
      <c r="E941" s="12"/>
      <c r="F941" s="12"/>
    </row>
    <row r="942" spans="1:6" s="64" customFormat="1" x14ac:dyDescent="0.35">
      <c r="A942" s="6"/>
      <c r="B942" s="53"/>
      <c r="C942" s="4"/>
      <c r="D942" s="5"/>
      <c r="E942" s="12"/>
      <c r="F942" s="12"/>
    </row>
    <row r="943" spans="1:6" s="64" customFormat="1" x14ac:dyDescent="0.35">
      <c r="A943" s="6"/>
      <c r="B943" s="53"/>
      <c r="C943" s="4"/>
      <c r="D943" s="5"/>
      <c r="E943" s="12"/>
      <c r="F943" s="12"/>
    </row>
    <row r="944" spans="1:6" s="64" customFormat="1" x14ac:dyDescent="0.35">
      <c r="A944" s="6"/>
      <c r="B944" s="53"/>
      <c r="C944" s="4"/>
      <c r="D944" s="5"/>
      <c r="E944" s="12"/>
      <c r="F944" s="12"/>
    </row>
    <row r="945" spans="1:6" s="64" customFormat="1" x14ac:dyDescent="0.35">
      <c r="A945" s="6"/>
      <c r="B945" s="53"/>
      <c r="C945" s="4"/>
      <c r="D945" s="5"/>
      <c r="E945" s="12"/>
      <c r="F945" s="12"/>
    </row>
    <row r="946" spans="1:6" s="64" customFormat="1" x14ac:dyDescent="0.35">
      <c r="A946" s="6"/>
      <c r="B946" s="53"/>
      <c r="C946" s="4"/>
      <c r="D946" s="5"/>
      <c r="E946" s="12"/>
      <c r="F946" s="12"/>
    </row>
    <row r="947" spans="1:6" s="64" customFormat="1" x14ac:dyDescent="0.35">
      <c r="A947" s="6"/>
      <c r="B947" s="53"/>
      <c r="C947" s="4"/>
      <c r="D947" s="5"/>
      <c r="E947" s="12"/>
      <c r="F947" s="12"/>
    </row>
    <row r="948" spans="1:6" s="64" customFormat="1" x14ac:dyDescent="0.35">
      <c r="A948" s="6"/>
      <c r="B948" s="53"/>
      <c r="C948" s="4"/>
      <c r="D948" s="5"/>
      <c r="E948" s="12"/>
      <c r="F948" s="12"/>
    </row>
    <row r="949" spans="1:6" s="64" customFormat="1" x14ac:dyDescent="0.35">
      <c r="A949" s="6"/>
      <c r="B949" s="53"/>
      <c r="C949" s="4"/>
      <c r="D949" s="5"/>
      <c r="E949" s="12"/>
      <c r="F949" s="12"/>
    </row>
    <row r="950" spans="1:6" s="64" customFormat="1" x14ac:dyDescent="0.35">
      <c r="A950" s="6"/>
      <c r="B950" s="53"/>
      <c r="C950" s="4"/>
      <c r="D950" s="5"/>
      <c r="E950" s="12"/>
      <c r="F950" s="12"/>
    </row>
    <row r="951" spans="1:6" s="64" customFormat="1" x14ac:dyDescent="0.35">
      <c r="A951" s="6"/>
      <c r="B951" s="53"/>
      <c r="C951" s="4"/>
      <c r="D951" s="5"/>
      <c r="E951" s="12"/>
      <c r="F951" s="12"/>
    </row>
    <row r="952" spans="1:6" s="64" customFormat="1" x14ac:dyDescent="0.35">
      <c r="A952" s="6"/>
      <c r="B952" s="53"/>
      <c r="C952" s="4"/>
      <c r="D952" s="5"/>
      <c r="E952" s="12"/>
      <c r="F952" s="12"/>
    </row>
    <row r="953" spans="1:6" s="64" customFormat="1" x14ac:dyDescent="0.35">
      <c r="A953" s="6"/>
      <c r="B953" s="53"/>
      <c r="C953" s="4"/>
      <c r="D953" s="5"/>
      <c r="E953" s="12"/>
      <c r="F953" s="12"/>
    </row>
    <row r="954" spans="1:6" s="64" customFormat="1" x14ac:dyDescent="0.35">
      <c r="A954" s="6"/>
      <c r="B954" s="53"/>
      <c r="C954" s="4"/>
      <c r="D954" s="5"/>
      <c r="E954" s="12"/>
      <c r="F954" s="12"/>
    </row>
    <row r="955" spans="1:6" s="64" customFormat="1" x14ac:dyDescent="0.35">
      <c r="A955" s="6"/>
      <c r="B955" s="53"/>
      <c r="C955" s="4"/>
      <c r="D955" s="5"/>
      <c r="E955" s="12"/>
      <c r="F955" s="12"/>
    </row>
    <row r="956" spans="1:6" s="64" customFormat="1" x14ac:dyDescent="0.35">
      <c r="A956" s="6"/>
      <c r="B956" s="53"/>
      <c r="C956" s="4"/>
      <c r="D956" s="5"/>
      <c r="E956" s="12"/>
      <c r="F956" s="12"/>
    </row>
    <row r="957" spans="1:6" s="64" customFormat="1" x14ac:dyDescent="0.35">
      <c r="A957" s="6"/>
      <c r="B957" s="53"/>
      <c r="C957" s="4"/>
      <c r="D957" s="5"/>
      <c r="E957" s="12"/>
      <c r="F957" s="12"/>
    </row>
    <row r="958" spans="1:6" s="64" customFormat="1" x14ac:dyDescent="0.35">
      <c r="A958" s="6"/>
      <c r="B958" s="53"/>
      <c r="C958" s="4"/>
      <c r="D958" s="5"/>
      <c r="E958" s="12"/>
      <c r="F958" s="12"/>
    </row>
    <row r="959" spans="1:6" s="64" customFormat="1" x14ac:dyDescent="0.35">
      <c r="A959" s="6"/>
      <c r="B959" s="53"/>
      <c r="C959" s="4"/>
      <c r="D959" s="5"/>
      <c r="E959" s="12"/>
      <c r="F959" s="12"/>
    </row>
    <row r="960" spans="1:6" s="64" customFormat="1" x14ac:dyDescent="0.35">
      <c r="A960" s="6"/>
      <c r="B960" s="53"/>
      <c r="C960" s="4"/>
      <c r="D960" s="5"/>
      <c r="E960" s="12"/>
      <c r="F960" s="12"/>
    </row>
    <row r="961" spans="1:6" s="64" customFormat="1" x14ac:dyDescent="0.35">
      <c r="A961" s="6"/>
      <c r="B961" s="53"/>
      <c r="C961" s="4"/>
      <c r="D961" s="5"/>
      <c r="E961" s="12"/>
      <c r="F961" s="12"/>
    </row>
    <row r="962" spans="1:6" s="64" customFormat="1" x14ac:dyDescent="0.35">
      <c r="A962" s="6"/>
      <c r="B962" s="53"/>
      <c r="C962" s="4"/>
      <c r="D962" s="5"/>
      <c r="E962" s="12"/>
      <c r="F962" s="12"/>
    </row>
    <row r="963" spans="1:6" s="64" customFormat="1" x14ac:dyDescent="0.35">
      <c r="A963" s="6"/>
      <c r="B963" s="53"/>
      <c r="C963" s="4"/>
      <c r="D963" s="5"/>
      <c r="E963" s="12"/>
      <c r="F963" s="12"/>
    </row>
    <row r="964" spans="1:6" s="64" customFormat="1" x14ac:dyDescent="0.35">
      <c r="A964" s="6"/>
      <c r="B964" s="53"/>
      <c r="C964" s="4"/>
      <c r="D964" s="5"/>
      <c r="E964" s="12"/>
      <c r="F964" s="12"/>
    </row>
    <row r="965" spans="1:6" s="64" customFormat="1" x14ac:dyDescent="0.35">
      <c r="A965" s="6"/>
      <c r="B965" s="53"/>
      <c r="C965" s="4"/>
      <c r="D965" s="5"/>
      <c r="E965" s="12"/>
      <c r="F965" s="12"/>
    </row>
    <row r="966" spans="1:6" s="64" customFormat="1" x14ac:dyDescent="0.35">
      <c r="A966" s="6"/>
      <c r="B966" s="53"/>
      <c r="C966" s="4"/>
      <c r="D966" s="5"/>
      <c r="E966" s="12"/>
      <c r="F966" s="12"/>
    </row>
    <row r="967" spans="1:6" s="64" customFormat="1" x14ac:dyDescent="0.35">
      <c r="A967" s="6"/>
      <c r="B967" s="53"/>
      <c r="C967" s="4"/>
      <c r="D967" s="5"/>
      <c r="E967" s="12"/>
      <c r="F967" s="12"/>
    </row>
    <row r="968" spans="1:6" s="64" customFormat="1" x14ac:dyDescent="0.35">
      <c r="A968" s="6"/>
      <c r="B968" s="53"/>
      <c r="C968" s="4"/>
      <c r="D968" s="5"/>
      <c r="E968" s="12"/>
      <c r="F968" s="12"/>
    </row>
    <row r="969" spans="1:6" s="64" customFormat="1" x14ac:dyDescent="0.35">
      <c r="A969" s="6"/>
      <c r="B969" s="53"/>
      <c r="C969" s="4"/>
      <c r="D969" s="5"/>
      <c r="E969" s="12"/>
      <c r="F969" s="12"/>
    </row>
    <row r="970" spans="1:6" s="64" customFormat="1" x14ac:dyDescent="0.35">
      <c r="A970" s="6"/>
      <c r="B970" s="53"/>
      <c r="C970" s="4"/>
      <c r="D970" s="5"/>
      <c r="E970" s="12"/>
      <c r="F970" s="12"/>
    </row>
    <row r="971" spans="1:6" s="64" customFormat="1" x14ac:dyDescent="0.35">
      <c r="A971" s="6"/>
      <c r="B971" s="53"/>
      <c r="C971" s="4"/>
      <c r="D971" s="5"/>
      <c r="E971" s="12"/>
      <c r="F971" s="12"/>
    </row>
    <row r="972" spans="1:6" s="64" customFormat="1" x14ac:dyDescent="0.35">
      <c r="A972" s="6"/>
      <c r="B972" s="53"/>
      <c r="C972" s="4"/>
      <c r="D972" s="5"/>
      <c r="E972" s="12"/>
      <c r="F972" s="12"/>
    </row>
    <row r="973" spans="1:6" s="64" customFormat="1" x14ac:dyDescent="0.35">
      <c r="A973" s="6"/>
      <c r="B973" s="53"/>
      <c r="C973" s="4"/>
      <c r="D973" s="5"/>
      <c r="E973" s="12"/>
      <c r="F973" s="12"/>
    </row>
    <row r="974" spans="1:6" s="64" customFormat="1" x14ac:dyDescent="0.35">
      <c r="A974" s="6"/>
      <c r="B974" s="53"/>
      <c r="C974" s="4"/>
      <c r="D974" s="5"/>
      <c r="E974" s="12"/>
      <c r="F974" s="12"/>
    </row>
    <row r="975" spans="1:6" s="64" customFormat="1" x14ac:dyDescent="0.35">
      <c r="A975" s="6"/>
      <c r="B975" s="53"/>
      <c r="C975" s="4"/>
      <c r="D975" s="5"/>
      <c r="E975" s="12"/>
      <c r="F975" s="12"/>
    </row>
    <row r="976" spans="1:6" s="64" customFormat="1" x14ac:dyDescent="0.35">
      <c r="A976" s="6"/>
      <c r="B976" s="53"/>
      <c r="C976" s="4"/>
      <c r="D976" s="5"/>
      <c r="E976" s="12"/>
      <c r="F976" s="12"/>
    </row>
    <row r="977" spans="1:6" s="64" customFormat="1" x14ac:dyDescent="0.35">
      <c r="A977" s="6"/>
      <c r="B977" s="53"/>
      <c r="C977" s="4"/>
      <c r="D977" s="5"/>
      <c r="E977" s="12"/>
      <c r="F977" s="12"/>
    </row>
    <row r="978" spans="1:6" s="64" customFormat="1" x14ac:dyDescent="0.35">
      <c r="A978" s="6"/>
      <c r="B978" s="53"/>
      <c r="C978" s="4"/>
      <c r="D978" s="5"/>
      <c r="E978" s="12"/>
      <c r="F978" s="12"/>
    </row>
    <row r="979" spans="1:6" s="64" customFormat="1" x14ac:dyDescent="0.35">
      <c r="A979" s="6"/>
      <c r="B979" s="53"/>
      <c r="C979" s="4"/>
      <c r="D979" s="5"/>
      <c r="E979" s="12"/>
      <c r="F979" s="12"/>
    </row>
    <row r="980" spans="1:6" s="64" customFormat="1" x14ac:dyDescent="0.35">
      <c r="A980" s="6"/>
      <c r="B980" s="53"/>
      <c r="C980" s="4"/>
      <c r="D980" s="5"/>
      <c r="E980" s="12"/>
      <c r="F980" s="12"/>
    </row>
    <row r="981" spans="1:6" s="64" customFormat="1" x14ac:dyDescent="0.35">
      <c r="A981" s="6"/>
      <c r="B981" s="53"/>
      <c r="C981" s="4"/>
      <c r="D981" s="5"/>
      <c r="E981" s="12"/>
      <c r="F981" s="12"/>
    </row>
    <row r="982" spans="1:6" s="64" customFormat="1" x14ac:dyDescent="0.35">
      <c r="A982" s="6"/>
      <c r="B982" s="53"/>
      <c r="C982" s="4"/>
      <c r="D982" s="5"/>
      <c r="E982" s="12"/>
      <c r="F982" s="12"/>
    </row>
    <row r="983" spans="1:6" s="64" customFormat="1" x14ac:dyDescent="0.35">
      <c r="A983" s="6"/>
      <c r="B983" s="53"/>
      <c r="C983" s="4"/>
      <c r="D983" s="5"/>
      <c r="E983" s="12"/>
      <c r="F983" s="12"/>
    </row>
    <row r="984" spans="1:6" s="64" customFormat="1" x14ac:dyDescent="0.35">
      <c r="A984" s="6"/>
      <c r="B984" s="53"/>
      <c r="C984" s="4"/>
      <c r="D984" s="5"/>
      <c r="E984" s="12"/>
      <c r="F984" s="12"/>
    </row>
    <row r="985" spans="1:6" s="64" customFormat="1" x14ac:dyDescent="0.35">
      <c r="A985" s="6"/>
      <c r="B985" s="53"/>
      <c r="C985" s="4"/>
      <c r="D985" s="5"/>
      <c r="E985" s="12"/>
      <c r="F985" s="12"/>
    </row>
    <row r="986" spans="1:6" s="64" customFormat="1" x14ac:dyDescent="0.35">
      <c r="A986" s="6"/>
      <c r="B986" s="53"/>
      <c r="C986" s="4"/>
      <c r="D986" s="5"/>
      <c r="E986" s="12"/>
      <c r="F986" s="12"/>
    </row>
    <row r="987" spans="1:6" s="64" customFormat="1" x14ac:dyDescent="0.35">
      <c r="A987" s="6"/>
      <c r="B987" s="53"/>
      <c r="C987" s="4"/>
      <c r="D987" s="5"/>
      <c r="E987" s="12"/>
      <c r="F987" s="12"/>
    </row>
    <row r="988" spans="1:6" s="64" customFormat="1" x14ac:dyDescent="0.35">
      <c r="A988" s="6"/>
      <c r="B988" s="53"/>
      <c r="C988" s="4"/>
      <c r="D988" s="5"/>
      <c r="E988" s="12"/>
      <c r="F988" s="12"/>
    </row>
    <row r="989" spans="1:6" s="64" customFormat="1" x14ac:dyDescent="0.35">
      <c r="A989" s="6"/>
      <c r="B989" s="53"/>
      <c r="C989" s="4"/>
      <c r="D989" s="5"/>
      <c r="E989" s="12"/>
      <c r="F989" s="12"/>
    </row>
    <row r="990" spans="1:6" s="64" customFormat="1" x14ac:dyDescent="0.35">
      <c r="A990" s="6"/>
      <c r="B990" s="53"/>
      <c r="C990" s="4"/>
      <c r="D990" s="5"/>
      <c r="E990" s="12"/>
      <c r="F990" s="12"/>
    </row>
    <row r="991" spans="1:6" s="64" customFormat="1" x14ac:dyDescent="0.35">
      <c r="A991" s="6"/>
      <c r="B991" s="53"/>
      <c r="C991" s="4"/>
      <c r="D991" s="5"/>
      <c r="E991" s="12"/>
      <c r="F991" s="12"/>
    </row>
    <row r="992" spans="1:6" s="64" customFormat="1" x14ac:dyDescent="0.35">
      <c r="A992" s="6"/>
      <c r="B992" s="53"/>
      <c r="C992" s="4"/>
      <c r="D992" s="5"/>
      <c r="E992" s="12"/>
      <c r="F992" s="12"/>
    </row>
    <row r="993" spans="1:6" s="64" customFormat="1" x14ac:dyDescent="0.35">
      <c r="A993" s="6"/>
      <c r="B993" s="53"/>
      <c r="C993" s="4"/>
      <c r="D993" s="5"/>
      <c r="E993" s="12"/>
      <c r="F993" s="12"/>
    </row>
    <row r="994" spans="1:6" s="64" customFormat="1" x14ac:dyDescent="0.35">
      <c r="A994" s="6"/>
      <c r="B994" s="53"/>
      <c r="C994" s="4"/>
      <c r="D994" s="5"/>
      <c r="E994" s="12"/>
      <c r="F994" s="12"/>
    </row>
    <row r="995" spans="1:6" s="64" customFormat="1" x14ac:dyDescent="0.35">
      <c r="A995" s="6"/>
      <c r="B995" s="53"/>
      <c r="C995" s="4"/>
      <c r="D995" s="5"/>
      <c r="E995" s="12"/>
      <c r="F995" s="12"/>
    </row>
    <row r="996" spans="1:6" s="64" customFormat="1" x14ac:dyDescent="0.35">
      <c r="A996" s="6"/>
      <c r="B996" s="53"/>
      <c r="C996" s="4"/>
      <c r="D996" s="5"/>
      <c r="E996" s="12"/>
      <c r="F996" s="12"/>
    </row>
    <row r="997" spans="1:6" s="64" customFormat="1" x14ac:dyDescent="0.35">
      <c r="A997" s="6"/>
      <c r="B997" s="53"/>
      <c r="C997" s="4"/>
      <c r="D997" s="5"/>
      <c r="E997" s="12"/>
      <c r="F997" s="12"/>
    </row>
    <row r="998" spans="1:6" s="64" customFormat="1" x14ac:dyDescent="0.35">
      <c r="A998" s="6"/>
      <c r="B998" s="53"/>
      <c r="C998" s="4"/>
      <c r="D998" s="5"/>
      <c r="E998" s="12"/>
      <c r="F998" s="12"/>
    </row>
    <row r="999" spans="1:6" s="64" customFormat="1" x14ac:dyDescent="0.35">
      <c r="A999" s="6"/>
      <c r="B999" s="53"/>
      <c r="C999" s="4"/>
      <c r="D999" s="5"/>
      <c r="E999" s="12"/>
      <c r="F999" s="12"/>
    </row>
    <row r="1000" spans="1:6" s="64" customFormat="1" x14ac:dyDescent="0.35">
      <c r="A1000" s="6"/>
      <c r="B1000" s="53"/>
      <c r="C1000" s="4"/>
      <c r="D1000" s="5"/>
      <c r="E1000" s="12"/>
      <c r="F1000" s="12"/>
    </row>
    <row r="1001" spans="1:6" s="64" customFormat="1" x14ac:dyDescent="0.35">
      <c r="A1001" s="6"/>
      <c r="B1001" s="53"/>
      <c r="C1001" s="4"/>
      <c r="D1001" s="5"/>
      <c r="E1001" s="12"/>
      <c r="F1001" s="12"/>
    </row>
    <row r="1002" spans="1:6" s="64" customFormat="1" x14ac:dyDescent="0.35">
      <c r="A1002" s="6"/>
      <c r="B1002" s="53"/>
      <c r="C1002" s="4"/>
      <c r="D1002" s="5"/>
      <c r="E1002" s="12"/>
      <c r="F1002" s="12"/>
    </row>
    <row r="1003" spans="1:6" s="64" customFormat="1" x14ac:dyDescent="0.35">
      <c r="A1003" s="6"/>
      <c r="B1003" s="53"/>
      <c r="C1003" s="4"/>
      <c r="D1003" s="5"/>
      <c r="E1003" s="12"/>
      <c r="F1003" s="12"/>
    </row>
    <row r="1004" spans="1:6" s="64" customFormat="1" x14ac:dyDescent="0.35">
      <c r="A1004" s="6"/>
      <c r="B1004" s="53"/>
      <c r="C1004" s="4"/>
      <c r="D1004" s="5"/>
      <c r="E1004" s="12"/>
      <c r="F1004" s="12"/>
    </row>
    <row r="1005" spans="1:6" s="64" customFormat="1" x14ac:dyDescent="0.35">
      <c r="A1005" s="6"/>
      <c r="B1005" s="53"/>
      <c r="C1005" s="4"/>
      <c r="D1005" s="5"/>
      <c r="E1005" s="12"/>
      <c r="F1005" s="12"/>
    </row>
    <row r="1006" spans="1:6" s="64" customFormat="1" x14ac:dyDescent="0.35">
      <c r="A1006" s="6"/>
      <c r="B1006" s="53"/>
      <c r="C1006" s="4"/>
      <c r="D1006" s="5"/>
      <c r="E1006" s="12"/>
      <c r="F1006" s="12"/>
    </row>
    <row r="1007" spans="1:6" s="64" customFormat="1" x14ac:dyDescent="0.35">
      <c r="A1007" s="6"/>
      <c r="B1007" s="53"/>
      <c r="C1007" s="4"/>
      <c r="D1007" s="5"/>
      <c r="E1007" s="12"/>
      <c r="F1007" s="12"/>
    </row>
    <row r="1008" spans="1:6" s="64" customFormat="1" x14ac:dyDescent="0.35">
      <c r="A1008" s="6"/>
      <c r="B1008" s="53"/>
      <c r="C1008" s="4"/>
      <c r="D1008" s="5"/>
      <c r="E1008" s="12"/>
      <c r="F1008" s="12"/>
    </row>
    <row r="1009" spans="1:6" s="64" customFormat="1" x14ac:dyDescent="0.35">
      <c r="A1009" s="6"/>
      <c r="B1009" s="53"/>
      <c r="C1009" s="4"/>
      <c r="D1009" s="5"/>
      <c r="E1009" s="12"/>
      <c r="F1009" s="12"/>
    </row>
    <row r="1010" spans="1:6" s="64" customFormat="1" x14ac:dyDescent="0.35">
      <c r="A1010" s="6"/>
      <c r="B1010" s="53"/>
      <c r="C1010" s="4"/>
      <c r="D1010" s="5"/>
      <c r="E1010" s="12"/>
      <c r="F1010" s="12"/>
    </row>
    <row r="1011" spans="1:6" s="64" customFormat="1" x14ac:dyDescent="0.35">
      <c r="A1011" s="6"/>
      <c r="B1011" s="53"/>
      <c r="C1011" s="4"/>
      <c r="D1011" s="5"/>
      <c r="E1011" s="12"/>
      <c r="F1011" s="12"/>
    </row>
    <row r="1012" spans="1:6" s="64" customFormat="1" x14ac:dyDescent="0.35">
      <c r="A1012" s="6"/>
      <c r="B1012" s="53"/>
      <c r="C1012" s="4"/>
      <c r="D1012" s="5"/>
      <c r="E1012" s="12"/>
      <c r="F1012" s="12"/>
    </row>
    <row r="1013" spans="1:6" s="64" customFormat="1" x14ac:dyDescent="0.35">
      <c r="A1013" s="6"/>
      <c r="B1013" s="53"/>
      <c r="C1013" s="4"/>
      <c r="D1013" s="5"/>
      <c r="E1013" s="12"/>
      <c r="F1013" s="12"/>
    </row>
    <row r="1014" spans="1:6" s="64" customFormat="1" x14ac:dyDescent="0.35">
      <c r="A1014" s="6"/>
      <c r="B1014" s="53"/>
      <c r="C1014" s="4"/>
      <c r="D1014" s="5"/>
      <c r="E1014" s="12"/>
      <c r="F1014" s="12"/>
    </row>
    <row r="1015" spans="1:6" s="64" customFormat="1" x14ac:dyDescent="0.35">
      <c r="A1015" s="6"/>
      <c r="B1015" s="53"/>
      <c r="C1015" s="4"/>
      <c r="D1015" s="5"/>
      <c r="E1015" s="12"/>
      <c r="F1015" s="12"/>
    </row>
    <row r="1016" spans="1:6" s="64" customFormat="1" x14ac:dyDescent="0.35">
      <c r="A1016" s="6"/>
      <c r="B1016" s="53"/>
      <c r="C1016" s="4"/>
      <c r="D1016" s="5"/>
      <c r="E1016" s="12"/>
      <c r="F1016" s="12"/>
    </row>
    <row r="1017" spans="1:6" s="64" customFormat="1" x14ac:dyDescent="0.35">
      <c r="A1017" s="6"/>
      <c r="B1017" s="53"/>
      <c r="C1017" s="4"/>
      <c r="D1017" s="5"/>
      <c r="E1017" s="12"/>
      <c r="F1017" s="12"/>
    </row>
    <row r="1018" spans="1:6" s="64" customFormat="1" x14ac:dyDescent="0.35">
      <c r="A1018" s="6"/>
      <c r="B1018" s="53"/>
      <c r="C1018" s="4"/>
      <c r="D1018" s="5"/>
      <c r="E1018" s="12"/>
      <c r="F1018" s="12"/>
    </row>
    <row r="1019" spans="1:6" s="64" customFormat="1" x14ac:dyDescent="0.35">
      <c r="A1019" s="6"/>
      <c r="B1019" s="53"/>
      <c r="C1019" s="4"/>
      <c r="D1019" s="5"/>
      <c r="E1019" s="12"/>
      <c r="F1019" s="12"/>
    </row>
    <row r="1020" spans="1:6" s="64" customFormat="1" x14ac:dyDescent="0.35">
      <c r="A1020" s="6"/>
      <c r="B1020" s="53"/>
      <c r="C1020" s="4"/>
      <c r="D1020" s="5"/>
      <c r="E1020" s="12"/>
      <c r="F1020" s="12"/>
    </row>
    <row r="1021" spans="1:6" s="64" customFormat="1" x14ac:dyDescent="0.35">
      <c r="A1021" s="6"/>
      <c r="B1021" s="53"/>
      <c r="C1021" s="4"/>
      <c r="D1021" s="5"/>
      <c r="E1021" s="12"/>
      <c r="F1021" s="12"/>
    </row>
    <row r="1022" spans="1:6" s="64" customFormat="1" x14ac:dyDescent="0.35">
      <c r="A1022" s="6"/>
      <c r="B1022" s="53"/>
      <c r="C1022" s="4"/>
      <c r="D1022" s="5"/>
      <c r="E1022" s="12"/>
      <c r="F1022" s="12"/>
    </row>
    <row r="1023" spans="1:6" s="64" customFormat="1" x14ac:dyDescent="0.35">
      <c r="A1023" s="6"/>
      <c r="B1023" s="53"/>
      <c r="C1023" s="4"/>
      <c r="D1023" s="5"/>
      <c r="E1023" s="12"/>
      <c r="F1023" s="12"/>
    </row>
    <row r="1024" spans="1:6" s="64" customFormat="1" x14ac:dyDescent="0.35">
      <c r="A1024" s="6"/>
      <c r="B1024" s="53"/>
      <c r="C1024" s="4"/>
      <c r="D1024" s="5"/>
      <c r="E1024" s="12"/>
      <c r="F1024" s="12"/>
    </row>
    <row r="1025" spans="1:6" s="64" customFormat="1" x14ac:dyDescent="0.35">
      <c r="A1025" s="6"/>
      <c r="B1025" s="53"/>
      <c r="C1025" s="4"/>
      <c r="D1025" s="5"/>
      <c r="E1025" s="12"/>
      <c r="F1025" s="12"/>
    </row>
    <row r="1026" spans="1:6" s="64" customFormat="1" x14ac:dyDescent="0.35">
      <c r="A1026" s="6"/>
      <c r="B1026" s="53"/>
      <c r="C1026" s="4"/>
      <c r="D1026" s="5"/>
      <c r="E1026" s="12"/>
      <c r="F1026" s="12"/>
    </row>
    <row r="1027" spans="1:6" s="64" customFormat="1" x14ac:dyDescent="0.35">
      <c r="A1027" s="6"/>
      <c r="B1027" s="53"/>
      <c r="C1027" s="4"/>
      <c r="D1027" s="5"/>
      <c r="E1027" s="12"/>
      <c r="F1027" s="12"/>
    </row>
    <row r="1028" spans="1:6" s="64" customFormat="1" x14ac:dyDescent="0.35">
      <c r="A1028" s="6"/>
      <c r="B1028" s="53"/>
      <c r="C1028" s="4"/>
      <c r="D1028" s="5"/>
      <c r="E1028" s="12"/>
      <c r="F1028" s="12"/>
    </row>
    <row r="1029" spans="1:6" s="64" customFormat="1" x14ac:dyDescent="0.35">
      <c r="A1029" s="6"/>
      <c r="B1029" s="53"/>
      <c r="C1029" s="4"/>
      <c r="D1029" s="5"/>
      <c r="E1029" s="12"/>
      <c r="F1029" s="12"/>
    </row>
    <row r="1030" spans="1:6" s="64" customFormat="1" x14ac:dyDescent="0.35">
      <c r="A1030" s="6"/>
      <c r="B1030" s="53"/>
      <c r="C1030" s="4"/>
      <c r="D1030" s="5"/>
      <c r="E1030" s="12"/>
      <c r="F1030" s="12"/>
    </row>
    <row r="1031" spans="1:6" s="64" customFormat="1" x14ac:dyDescent="0.35">
      <c r="A1031" s="6"/>
      <c r="B1031" s="53"/>
      <c r="C1031" s="4"/>
      <c r="D1031" s="5"/>
      <c r="E1031" s="12"/>
      <c r="F1031" s="12"/>
    </row>
    <row r="1032" spans="1:6" s="64" customFormat="1" x14ac:dyDescent="0.35">
      <c r="A1032" s="6"/>
      <c r="B1032" s="53"/>
      <c r="C1032" s="4"/>
      <c r="D1032" s="5"/>
      <c r="E1032" s="12"/>
      <c r="F1032" s="12"/>
    </row>
    <row r="1033" spans="1:6" s="64" customFormat="1" x14ac:dyDescent="0.35">
      <c r="A1033" s="6"/>
      <c r="B1033" s="53"/>
      <c r="C1033" s="4"/>
      <c r="D1033" s="5"/>
      <c r="E1033" s="12"/>
      <c r="F1033" s="12"/>
    </row>
    <row r="1034" spans="1:6" s="64" customFormat="1" x14ac:dyDescent="0.35">
      <c r="A1034" s="6"/>
      <c r="B1034" s="53"/>
      <c r="C1034" s="4"/>
      <c r="D1034" s="5"/>
      <c r="E1034" s="12"/>
      <c r="F1034" s="12"/>
    </row>
    <row r="1035" spans="1:6" s="64" customFormat="1" x14ac:dyDescent="0.35">
      <c r="A1035" s="6"/>
      <c r="B1035" s="53"/>
      <c r="C1035" s="4"/>
      <c r="D1035" s="5"/>
      <c r="E1035" s="12"/>
      <c r="F1035" s="12"/>
    </row>
    <row r="1036" spans="1:6" s="64" customFormat="1" x14ac:dyDescent="0.35">
      <c r="A1036" s="6"/>
      <c r="B1036" s="53"/>
      <c r="C1036" s="4"/>
      <c r="D1036" s="5"/>
      <c r="E1036" s="12"/>
      <c r="F1036" s="12"/>
    </row>
    <row r="1037" spans="1:6" s="64" customFormat="1" x14ac:dyDescent="0.35">
      <c r="A1037" s="6"/>
      <c r="B1037" s="53"/>
      <c r="C1037" s="4"/>
      <c r="D1037" s="5"/>
      <c r="E1037" s="12"/>
      <c r="F1037" s="12"/>
    </row>
    <row r="1038" spans="1:6" s="64" customFormat="1" x14ac:dyDescent="0.35">
      <c r="A1038" s="6"/>
      <c r="B1038" s="53"/>
      <c r="C1038" s="4"/>
      <c r="D1038" s="5"/>
      <c r="E1038" s="12"/>
      <c r="F1038" s="12"/>
    </row>
    <row r="1039" spans="1:6" s="64" customFormat="1" x14ac:dyDescent="0.35">
      <c r="A1039" s="6"/>
      <c r="B1039" s="53"/>
      <c r="C1039" s="4"/>
      <c r="D1039" s="5"/>
      <c r="E1039" s="12"/>
      <c r="F1039" s="12"/>
    </row>
    <row r="1040" spans="1:6" s="64" customFormat="1" x14ac:dyDescent="0.35">
      <c r="A1040" s="6"/>
      <c r="B1040" s="53"/>
      <c r="C1040" s="4"/>
      <c r="D1040" s="5"/>
      <c r="E1040" s="12"/>
      <c r="F1040" s="12"/>
    </row>
    <row r="1041" spans="1:6" s="64" customFormat="1" x14ac:dyDescent="0.35">
      <c r="A1041" s="6"/>
      <c r="B1041" s="53"/>
      <c r="C1041" s="4"/>
      <c r="D1041" s="5"/>
      <c r="E1041" s="12"/>
      <c r="F1041" s="12"/>
    </row>
    <row r="1042" spans="1:6" s="64" customFormat="1" x14ac:dyDescent="0.35">
      <c r="A1042" s="6"/>
      <c r="B1042" s="53"/>
      <c r="C1042" s="4"/>
      <c r="D1042" s="5"/>
      <c r="E1042" s="12"/>
      <c r="F1042" s="12"/>
    </row>
    <row r="1043" spans="1:6" s="64" customFormat="1" x14ac:dyDescent="0.35">
      <c r="A1043" s="6"/>
      <c r="B1043" s="53"/>
      <c r="C1043" s="4"/>
      <c r="D1043" s="5"/>
      <c r="E1043" s="12"/>
      <c r="F1043" s="12"/>
    </row>
    <row r="1044" spans="1:6" s="64" customFormat="1" x14ac:dyDescent="0.35">
      <c r="A1044" s="6"/>
      <c r="B1044" s="53"/>
      <c r="C1044" s="4"/>
      <c r="D1044" s="5"/>
      <c r="E1044" s="12"/>
      <c r="F1044" s="12"/>
    </row>
    <row r="1045" spans="1:6" s="64" customFormat="1" x14ac:dyDescent="0.35">
      <c r="A1045" s="6"/>
      <c r="B1045" s="53"/>
      <c r="C1045" s="4"/>
      <c r="D1045" s="5"/>
      <c r="E1045" s="12"/>
      <c r="F1045" s="12"/>
    </row>
    <row r="1046" spans="1:6" s="64" customFormat="1" x14ac:dyDescent="0.35">
      <c r="A1046" s="6"/>
      <c r="B1046" s="53"/>
      <c r="C1046" s="4"/>
      <c r="D1046" s="5"/>
      <c r="E1046" s="12"/>
      <c r="F1046" s="12"/>
    </row>
    <row r="1047" spans="1:6" s="64" customFormat="1" x14ac:dyDescent="0.35">
      <c r="A1047" s="6"/>
      <c r="B1047" s="53"/>
      <c r="C1047" s="4"/>
      <c r="D1047" s="5"/>
      <c r="E1047" s="12"/>
      <c r="F1047" s="12"/>
    </row>
    <row r="1048" spans="1:6" s="64" customFormat="1" x14ac:dyDescent="0.35">
      <c r="A1048" s="6"/>
      <c r="B1048" s="53"/>
      <c r="C1048" s="4"/>
      <c r="D1048" s="5"/>
      <c r="E1048" s="12"/>
      <c r="F1048" s="12"/>
    </row>
    <row r="1049" spans="1:6" s="64" customFormat="1" x14ac:dyDescent="0.35">
      <c r="A1049" s="6"/>
      <c r="B1049" s="53"/>
      <c r="C1049" s="4"/>
      <c r="D1049" s="5"/>
      <c r="E1049" s="12"/>
      <c r="F1049" s="12"/>
    </row>
    <row r="1050" spans="1:6" s="64" customFormat="1" x14ac:dyDescent="0.35">
      <c r="A1050" s="6"/>
      <c r="B1050" s="53"/>
      <c r="C1050" s="4"/>
      <c r="D1050" s="5"/>
      <c r="E1050" s="12"/>
      <c r="F1050" s="12"/>
    </row>
    <row r="1051" spans="1:6" s="64" customFormat="1" x14ac:dyDescent="0.35">
      <c r="A1051" s="6"/>
      <c r="B1051" s="53"/>
      <c r="C1051" s="4"/>
      <c r="D1051" s="5"/>
      <c r="E1051" s="12"/>
      <c r="F1051" s="12"/>
    </row>
    <row r="1052" spans="1:6" s="64" customFormat="1" x14ac:dyDescent="0.35">
      <c r="A1052" s="6"/>
      <c r="B1052" s="53"/>
      <c r="C1052" s="4"/>
      <c r="D1052" s="5"/>
      <c r="E1052" s="12"/>
      <c r="F1052" s="12"/>
    </row>
    <row r="1053" spans="1:6" s="64" customFormat="1" x14ac:dyDescent="0.35">
      <c r="A1053" s="6"/>
      <c r="B1053" s="53"/>
      <c r="C1053" s="4"/>
      <c r="D1053" s="5"/>
      <c r="E1053" s="12"/>
      <c r="F1053" s="12"/>
    </row>
    <row r="1054" spans="1:6" s="64" customFormat="1" x14ac:dyDescent="0.35">
      <c r="A1054" s="6"/>
      <c r="B1054" s="53"/>
      <c r="C1054" s="4"/>
      <c r="D1054" s="5"/>
      <c r="E1054" s="12"/>
      <c r="F1054" s="12"/>
    </row>
    <row r="1055" spans="1:6" x14ac:dyDescent="0.35">
      <c r="A1055" s="6"/>
      <c r="B1055" s="53"/>
      <c r="C1055" s="4"/>
      <c r="D1055" s="5"/>
      <c r="E1055" s="12"/>
      <c r="F1055" s="12"/>
    </row>
    <row r="1056" spans="1:6" x14ac:dyDescent="0.35">
      <c r="A1056" s="6"/>
      <c r="B1056" s="53"/>
      <c r="C1056" s="4"/>
      <c r="D1056" s="5"/>
      <c r="E1056" s="12"/>
      <c r="F1056" s="12"/>
    </row>
    <row r="1057" spans="1:6" x14ac:dyDescent="0.35">
      <c r="A1057" s="6"/>
      <c r="B1057" s="53"/>
      <c r="C1057" s="4"/>
      <c r="D1057" s="5"/>
      <c r="E1057" s="12"/>
      <c r="F1057" s="12"/>
    </row>
    <row r="1058" spans="1:6" x14ac:dyDescent="0.35">
      <c r="A1058" s="6"/>
      <c r="B1058" s="53"/>
      <c r="C1058" s="4"/>
      <c r="D1058" s="5"/>
      <c r="E1058" s="12"/>
      <c r="F1058" s="12"/>
    </row>
    <row r="1059" spans="1:6" x14ac:dyDescent="0.35">
      <c r="A1059" s="6"/>
      <c r="B1059" s="53"/>
      <c r="C1059" s="4"/>
      <c r="D1059" s="5"/>
      <c r="E1059" s="12"/>
      <c r="F1059" s="12"/>
    </row>
    <row r="1060" spans="1:6" x14ac:dyDescent="0.35">
      <c r="A1060" s="6"/>
      <c r="B1060" s="53"/>
      <c r="C1060" s="4"/>
      <c r="D1060" s="5"/>
      <c r="E1060" s="12"/>
      <c r="F1060" s="12"/>
    </row>
    <row r="1061" spans="1:6" x14ac:dyDescent="0.35">
      <c r="A1061" s="6"/>
      <c r="B1061" s="53"/>
      <c r="C1061" s="4"/>
      <c r="D1061" s="5"/>
      <c r="E1061" s="12"/>
      <c r="F1061" s="12"/>
    </row>
    <row r="1062" spans="1:6" x14ac:dyDescent="0.35">
      <c r="A1062" s="6"/>
      <c r="B1062" s="53"/>
      <c r="C1062" s="4"/>
      <c r="D1062" s="5"/>
      <c r="E1062" s="12"/>
      <c r="F1062" s="12"/>
    </row>
    <row r="1063" spans="1:6" x14ac:dyDescent="0.35">
      <c r="A1063" s="6"/>
      <c r="B1063" s="53"/>
      <c r="C1063" s="4"/>
      <c r="D1063" s="5"/>
      <c r="E1063" s="12"/>
      <c r="F1063" s="12"/>
    </row>
    <row r="1064" spans="1:6" x14ac:dyDescent="0.35">
      <c r="A1064" s="6"/>
      <c r="B1064" s="53"/>
      <c r="C1064" s="4"/>
      <c r="D1064" s="5"/>
      <c r="E1064" s="12"/>
      <c r="F1064" s="12"/>
    </row>
    <row r="1065" spans="1:6" x14ac:dyDescent="0.35">
      <c r="A1065" s="6"/>
      <c r="B1065" s="53"/>
      <c r="C1065" s="4"/>
      <c r="D1065" s="5"/>
      <c r="E1065" s="12"/>
      <c r="F1065" s="12"/>
    </row>
    <row r="1066" spans="1:6" x14ac:dyDescent="0.35">
      <c r="A1066" s="6"/>
      <c r="B1066" s="53"/>
      <c r="C1066" s="4"/>
      <c r="D1066" s="5"/>
      <c r="E1066" s="12"/>
      <c r="F1066" s="12"/>
    </row>
    <row r="1067" spans="1:6" x14ac:dyDescent="0.35">
      <c r="A1067" s="6"/>
      <c r="B1067" s="53"/>
      <c r="C1067" s="4"/>
      <c r="D1067" s="5"/>
      <c r="E1067" s="12"/>
      <c r="F1067" s="12"/>
    </row>
    <row r="1068" spans="1:6" x14ac:dyDescent="0.35">
      <c r="A1068" s="6"/>
      <c r="B1068" s="53"/>
      <c r="C1068" s="4"/>
      <c r="D1068" s="5"/>
      <c r="E1068" s="12"/>
      <c r="F1068" s="12"/>
    </row>
    <row r="1069" spans="1:6" x14ac:dyDescent="0.35">
      <c r="A1069" s="6"/>
      <c r="B1069" s="53"/>
      <c r="C1069" s="4"/>
      <c r="D1069" s="5"/>
      <c r="E1069" s="12"/>
      <c r="F1069" s="12"/>
    </row>
    <row r="1070" spans="1:6" x14ac:dyDescent="0.35">
      <c r="A1070" s="6"/>
      <c r="B1070" s="53"/>
      <c r="C1070" s="4"/>
      <c r="D1070" s="5"/>
      <c r="E1070" s="12"/>
      <c r="F1070" s="12"/>
    </row>
    <row r="1071" spans="1:6" x14ac:dyDescent="0.35">
      <c r="A1071" s="6"/>
      <c r="B1071" s="53"/>
      <c r="C1071" s="4"/>
      <c r="D1071" s="5"/>
      <c r="E1071" s="12"/>
      <c r="F1071" s="12"/>
    </row>
    <row r="1072" spans="1:6" x14ac:dyDescent="0.35">
      <c r="A1072" s="6"/>
      <c r="B1072" s="53"/>
      <c r="C1072" s="4"/>
      <c r="D1072" s="5"/>
      <c r="E1072" s="12"/>
      <c r="F1072" s="12"/>
    </row>
    <row r="1073" spans="1:6" x14ac:dyDescent="0.35">
      <c r="A1073" s="6"/>
      <c r="B1073" s="53"/>
      <c r="C1073" s="4"/>
      <c r="D1073" s="5"/>
      <c r="E1073" s="12"/>
      <c r="F1073" s="12"/>
    </row>
    <row r="1074" spans="1:6" x14ac:dyDescent="0.35">
      <c r="A1074" s="6"/>
      <c r="B1074" s="53"/>
      <c r="C1074" s="4"/>
      <c r="D1074" s="5"/>
      <c r="E1074" s="12"/>
      <c r="F1074" s="12"/>
    </row>
    <row r="1075" spans="1:6" x14ac:dyDescent="0.35">
      <c r="A1075" s="6"/>
      <c r="B1075" s="53"/>
      <c r="C1075" s="4"/>
      <c r="D1075" s="5"/>
      <c r="E1075" s="12"/>
      <c r="F1075" s="12"/>
    </row>
    <row r="1076" spans="1:6" x14ac:dyDescent="0.35">
      <c r="A1076" s="6"/>
      <c r="B1076" s="53"/>
      <c r="C1076" s="4"/>
      <c r="D1076" s="5"/>
      <c r="E1076" s="12"/>
      <c r="F1076" s="12"/>
    </row>
    <row r="1077" spans="1:6" x14ac:dyDescent="0.35">
      <c r="A1077" s="6"/>
      <c r="B1077" s="53"/>
      <c r="C1077" s="4"/>
      <c r="D1077" s="5"/>
      <c r="E1077" s="12"/>
      <c r="F1077" s="12"/>
    </row>
    <row r="1078" spans="1:6" x14ac:dyDescent="0.35">
      <c r="A1078" s="6"/>
      <c r="B1078" s="53"/>
      <c r="C1078" s="4"/>
      <c r="D1078" s="5"/>
      <c r="E1078" s="12"/>
      <c r="F1078" s="12"/>
    </row>
    <row r="1079" spans="1:6" x14ac:dyDescent="0.35">
      <c r="A1079" s="6"/>
      <c r="B1079" s="53"/>
      <c r="C1079" s="4"/>
      <c r="D1079" s="5"/>
      <c r="E1079" s="12"/>
      <c r="F1079" s="12"/>
    </row>
    <row r="1080" spans="1:6" x14ac:dyDescent="0.35">
      <c r="A1080" s="6"/>
      <c r="B1080" s="53"/>
      <c r="C1080" s="4"/>
      <c r="D1080" s="5"/>
      <c r="E1080" s="12"/>
      <c r="F1080" s="12"/>
    </row>
    <row r="1081" spans="1:6" x14ac:dyDescent="0.35">
      <c r="A1081" s="6"/>
      <c r="B1081" s="53"/>
      <c r="C1081" s="4"/>
      <c r="D1081" s="5"/>
      <c r="E1081" s="12"/>
      <c r="F1081" s="12"/>
    </row>
    <row r="1082" spans="1:6" x14ac:dyDescent="0.35">
      <c r="A1082" s="6"/>
      <c r="B1082" s="53"/>
      <c r="C1082" s="4"/>
      <c r="D1082" s="5"/>
      <c r="E1082" s="12"/>
      <c r="F1082" s="12"/>
    </row>
    <row r="1083" spans="1:6" x14ac:dyDescent="0.35">
      <c r="A1083" s="6"/>
      <c r="B1083" s="53"/>
      <c r="C1083" s="4"/>
      <c r="D1083" s="5"/>
      <c r="E1083" s="12"/>
      <c r="F1083" s="12"/>
    </row>
    <row r="1084" spans="1:6" x14ac:dyDescent="0.35">
      <c r="A1084" s="6"/>
      <c r="B1084" s="53"/>
      <c r="C1084" s="4"/>
      <c r="D1084" s="5"/>
      <c r="E1084" s="12"/>
      <c r="F1084" s="12"/>
    </row>
    <row r="1085" spans="1:6" x14ac:dyDescent="0.35">
      <c r="A1085" s="6"/>
      <c r="B1085" s="53"/>
      <c r="C1085" s="4"/>
      <c r="D1085" s="5"/>
      <c r="E1085" s="12"/>
      <c r="F1085" s="12"/>
    </row>
    <row r="1086" spans="1:6" x14ac:dyDescent="0.35">
      <c r="A1086" s="6"/>
      <c r="B1086" s="53"/>
      <c r="C1086" s="4"/>
      <c r="D1086" s="5"/>
      <c r="E1086" s="12"/>
      <c r="F1086" s="12"/>
    </row>
    <row r="1087" spans="1:6" x14ac:dyDescent="0.35">
      <c r="A1087" s="6"/>
      <c r="B1087" s="53"/>
      <c r="C1087" s="4"/>
      <c r="D1087" s="5"/>
      <c r="E1087" s="12"/>
      <c r="F1087" s="12"/>
    </row>
    <row r="1088" spans="1:6" x14ac:dyDescent="0.35">
      <c r="A1088" s="6"/>
      <c r="B1088" s="53"/>
      <c r="C1088" s="4"/>
      <c r="D1088" s="5"/>
      <c r="E1088" s="12"/>
      <c r="F1088" s="12"/>
    </row>
    <row r="1089" spans="1:6" x14ac:dyDescent="0.35">
      <c r="A1089" s="6"/>
      <c r="B1089" s="53"/>
      <c r="C1089" s="4"/>
      <c r="D1089" s="5"/>
      <c r="E1089" s="12"/>
      <c r="F1089" s="12"/>
    </row>
    <row r="1090" spans="1:6" x14ac:dyDescent="0.35">
      <c r="A1090" s="6"/>
      <c r="B1090" s="53"/>
      <c r="C1090" s="4"/>
      <c r="D1090" s="5"/>
      <c r="E1090" s="12"/>
      <c r="F1090" s="12"/>
    </row>
    <row r="1091" spans="1:6" x14ac:dyDescent="0.35">
      <c r="A1091" s="6"/>
      <c r="B1091" s="53"/>
      <c r="C1091" s="4"/>
      <c r="D1091" s="5"/>
      <c r="E1091" s="12"/>
      <c r="F1091" s="12"/>
    </row>
    <row r="1092" spans="1:6" x14ac:dyDescent="0.35">
      <c r="A1092" s="6"/>
      <c r="B1092" s="53"/>
      <c r="C1092" s="4"/>
      <c r="D1092" s="5"/>
      <c r="E1092" s="12"/>
      <c r="F1092" s="12"/>
    </row>
    <row r="1093" spans="1:6" x14ac:dyDescent="0.35">
      <c r="A1093" s="6"/>
      <c r="B1093" s="53"/>
      <c r="C1093" s="4"/>
      <c r="D1093" s="5"/>
      <c r="E1093" s="12"/>
      <c r="F1093" s="12"/>
    </row>
    <row r="1094" spans="1:6" x14ac:dyDescent="0.35">
      <c r="A1094" s="6"/>
      <c r="B1094" s="53"/>
      <c r="C1094" s="4"/>
      <c r="D1094" s="5"/>
      <c r="E1094" s="12"/>
      <c r="F1094" s="12"/>
    </row>
    <row r="1095" spans="1:6" x14ac:dyDescent="0.35">
      <c r="A1095" s="6"/>
      <c r="B1095" s="53"/>
      <c r="C1095" s="4"/>
      <c r="D1095" s="5"/>
      <c r="E1095" s="12"/>
      <c r="F1095" s="12"/>
    </row>
  </sheetData>
  <conditionalFormatting sqref="D692:D770">
    <cfRule type="colorScale" priority="12">
      <colorScale>
        <cfvo type="min"/>
        <cfvo type="percentile" val="50"/>
        <cfvo type="max"/>
        <color rgb="FF63BE7B"/>
        <color rgb="FFFFEB84"/>
        <color rgb="FFF8696B"/>
      </colorScale>
    </cfRule>
  </conditionalFormatting>
  <pageMargins left="0.7" right="0.7" top="0.75" bottom="0.75" header="0.3" footer="0.3"/>
  <pageSetup paperSize="9"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S971"/>
  <sheetViews>
    <sheetView tabSelected="1" topLeftCell="C1" zoomScale="90" zoomScaleNormal="90" workbookViewId="0">
      <pane ySplit="4" topLeftCell="A741" activePane="bottomLeft" state="frozen"/>
      <selection activeCell="H29" sqref="H29"/>
      <selection pane="bottomLeft" activeCell="S751" sqref="S751"/>
    </sheetView>
  </sheetViews>
  <sheetFormatPr defaultColWidth="8.81640625" defaultRowHeight="14.5" x14ac:dyDescent="0.35"/>
  <cols>
    <col min="1" max="1" width="15.6328125" style="13" customWidth="1"/>
    <col min="2" max="5" width="10.36328125" style="13" bestFit="1" customWidth="1"/>
    <col min="6" max="6" width="16.81640625" style="13" customWidth="1"/>
    <col min="7" max="7" width="10.36328125" style="13" bestFit="1" customWidth="1"/>
    <col min="8" max="71" width="9.1796875" style="64" customWidth="1"/>
  </cols>
  <sheetData>
    <row r="1" spans="1:7" s="64" customFormat="1" x14ac:dyDescent="0.35">
      <c r="A1" s="12"/>
      <c r="B1" s="12"/>
      <c r="C1" s="12"/>
      <c r="D1" s="12"/>
      <c r="E1" s="12"/>
      <c r="F1" s="12"/>
      <c r="G1" s="12"/>
    </row>
    <row r="2" spans="1:7" s="64" customFormat="1" x14ac:dyDescent="0.35">
      <c r="A2" s="12"/>
      <c r="B2" s="12"/>
      <c r="C2" s="12"/>
      <c r="D2" s="12"/>
      <c r="E2" s="12"/>
      <c r="F2" s="12"/>
      <c r="G2" s="12"/>
    </row>
    <row r="3" spans="1:7" s="64" customFormat="1" ht="16" customHeight="1" thickBot="1" x14ac:dyDescent="0.4">
      <c r="A3" s="12"/>
      <c r="B3" s="12"/>
      <c r="C3" s="12"/>
      <c r="D3" s="12"/>
      <c r="E3" s="12"/>
      <c r="F3" s="12"/>
      <c r="G3" s="12"/>
    </row>
    <row r="4" spans="1:7" ht="31" customHeight="1" thickBot="1" x14ac:dyDescent="0.4">
      <c r="A4" s="30" t="s">
        <v>28</v>
      </c>
      <c r="B4" s="31" t="s">
        <v>34</v>
      </c>
      <c r="C4" s="31" t="s">
        <v>35</v>
      </c>
      <c r="D4" s="31" t="s">
        <v>36</v>
      </c>
      <c r="E4" s="31" t="s">
        <v>37</v>
      </c>
      <c r="F4" s="31" t="s">
        <v>38</v>
      </c>
      <c r="G4" s="32" t="s">
        <v>39</v>
      </c>
    </row>
    <row r="5" spans="1:7" x14ac:dyDescent="0.35">
      <c r="A5" s="61">
        <v>21551</v>
      </c>
      <c r="B5" s="28">
        <f>VLOOKUP(Table3[[#This Row],[Date]],'PCE Core'!$A:$E,2,)</f>
        <v>16.687999999999999</v>
      </c>
      <c r="C5" s="28">
        <f>VLOOKUP(Table3[[#This Row],[Date]],Database!$A:$E,5)</f>
        <v>29.9</v>
      </c>
      <c r="D5" s="28">
        <f>(((Table3[[#This Row],[Core PCE]]-$B$496)/$B$496)*100)+100</f>
        <v>20.913328988921748</v>
      </c>
      <c r="E5" s="28">
        <f>(((Table3[[#This Row],[Core CPI]]-$C$496)/$C$496)*100)+100</f>
        <v>16.73195299384443</v>
      </c>
      <c r="F5" s="62"/>
      <c r="G5" s="29"/>
    </row>
    <row r="6" spans="1:7" x14ac:dyDescent="0.35">
      <c r="A6" s="60">
        <v>21582</v>
      </c>
      <c r="B6" s="28">
        <f>VLOOKUP(Table3[[#This Row],[Date]],'PCE Core'!$A:$E,2,)</f>
        <v>16.701000000000001</v>
      </c>
      <c r="C6" s="26">
        <f>VLOOKUP(Table3[[#This Row],[Date]],Database!$A:$E,5)</f>
        <v>29.9</v>
      </c>
      <c r="D6" s="26">
        <f>(((Table3[[#This Row],[Core PCE]]-$B$496)/$B$496)*100)+100</f>
        <v>20.929620532357504</v>
      </c>
      <c r="E6" s="26">
        <f>(((Table3[[#This Row],[Core CPI]]-$C$496)/$C$496)*100)+100</f>
        <v>16.73195299384443</v>
      </c>
      <c r="F6" s="60"/>
      <c r="G6" s="27"/>
    </row>
    <row r="7" spans="1:7" x14ac:dyDescent="0.35">
      <c r="A7" s="63">
        <v>21610</v>
      </c>
      <c r="B7" s="28">
        <f>VLOOKUP(Table3[[#This Row],[Date]],'PCE Core'!$A:$E,2,)</f>
        <v>16.719000000000001</v>
      </c>
      <c r="C7" s="28">
        <f>VLOOKUP(Table3[[#This Row],[Date]],Database!$A:$E,5)</f>
        <v>30</v>
      </c>
      <c r="D7" s="26">
        <f>(((Table3[[#This Row],[Core PCE]]-$B$496)/$B$496)*100)+100</f>
        <v>20.952178054037802</v>
      </c>
      <c r="E7" s="26">
        <f>(((Table3[[#This Row],[Core CPI]]-$C$496)/$C$496)*100)+100</f>
        <v>16.787912702853944</v>
      </c>
      <c r="F7" s="60"/>
      <c r="G7" s="27"/>
    </row>
    <row r="8" spans="1:7" x14ac:dyDescent="0.35">
      <c r="A8" s="60">
        <v>21641</v>
      </c>
      <c r="B8" s="28">
        <f>VLOOKUP(Table3[[#This Row],[Date]],'PCE Core'!$A:$E,2,)</f>
        <v>16.762</v>
      </c>
      <c r="C8" s="28">
        <f>VLOOKUP(Table3[[#This Row],[Date]],Database!$A:$E,5)</f>
        <v>30</v>
      </c>
      <c r="D8" s="26">
        <f>(((Table3[[#This Row],[Core PCE]]-$B$496)/$B$496)*100)+100</f>
        <v>21.006065466940697</v>
      </c>
      <c r="E8" s="26">
        <f>(((Table3[[#This Row],[Core CPI]]-$C$496)/$C$496)*100)+100</f>
        <v>16.787912702853944</v>
      </c>
      <c r="F8" s="60"/>
      <c r="G8" s="27"/>
    </row>
    <row r="9" spans="1:7" x14ac:dyDescent="0.35">
      <c r="A9" s="63">
        <v>21671</v>
      </c>
      <c r="B9" s="28">
        <f>VLOOKUP(Table3[[#This Row],[Date]],'PCE Core'!$A:$E,2,)</f>
        <v>16.783000000000001</v>
      </c>
      <c r="C9" s="26">
        <f>VLOOKUP(Table3[[#This Row],[Date]],Database!$A:$E,5)</f>
        <v>30.1</v>
      </c>
      <c r="D9" s="26">
        <f>(((Table3[[#This Row],[Core PCE]]-$B$496)/$B$496)*100)+100</f>
        <v>21.032382575567695</v>
      </c>
      <c r="E9" s="26">
        <f>(((Table3[[#This Row],[Core CPI]]-$C$496)/$C$496)*100)+100</f>
        <v>16.843872411863458</v>
      </c>
      <c r="F9" s="60"/>
      <c r="G9" s="27"/>
    </row>
    <row r="10" spans="1:7" x14ac:dyDescent="0.35">
      <c r="A10" s="60">
        <v>21702</v>
      </c>
      <c r="B10" s="28">
        <f>VLOOKUP(Table3[[#This Row],[Date]],'PCE Core'!$A:$E,2,)</f>
        <v>16.832000000000001</v>
      </c>
      <c r="C10" s="28">
        <f>VLOOKUP(Table3[[#This Row],[Date]],Database!$A:$E,5)</f>
        <v>30.2</v>
      </c>
      <c r="D10" s="26">
        <f>(((Table3[[#This Row],[Core PCE]]-$B$496)/$B$496)*100)+100</f>
        <v>21.093789162364033</v>
      </c>
      <c r="E10" s="26">
        <f>(((Table3[[#This Row],[Core CPI]]-$C$496)/$C$496)*100)+100</f>
        <v>16.899832120872972</v>
      </c>
      <c r="F10" s="60"/>
      <c r="G10" s="27"/>
    </row>
    <row r="11" spans="1:7" x14ac:dyDescent="0.35">
      <c r="A11" s="63">
        <v>21732</v>
      </c>
      <c r="B11" s="28">
        <f>VLOOKUP(Table3[[#This Row],[Date]],'PCE Core'!$A:$E,2,)</f>
        <v>16.870999999999999</v>
      </c>
      <c r="C11" s="28">
        <f>VLOOKUP(Table3[[#This Row],[Date]],Database!$A:$E,5)</f>
        <v>30.2</v>
      </c>
      <c r="D11" s="26">
        <f>(((Table3[[#This Row],[Core PCE]]-$B$496)/$B$496)*100)+100</f>
        <v>21.1426637926713</v>
      </c>
      <c r="E11" s="26">
        <f>(((Table3[[#This Row],[Core CPI]]-$C$496)/$C$496)*100)+100</f>
        <v>16.899832120872972</v>
      </c>
      <c r="F11" s="60"/>
      <c r="G11" s="27"/>
    </row>
    <row r="12" spans="1:7" x14ac:dyDescent="0.35">
      <c r="A12" s="60">
        <v>21763</v>
      </c>
      <c r="B12" s="28">
        <f>VLOOKUP(Table3[[#This Row],[Date]],'PCE Core'!$A:$E,2,)</f>
        <v>16.899000000000001</v>
      </c>
      <c r="C12" s="26">
        <f>VLOOKUP(Table3[[#This Row],[Date]],Database!$A:$E,5)</f>
        <v>30.2</v>
      </c>
      <c r="D12" s="26">
        <f>(((Table3[[#This Row],[Core PCE]]-$B$496)/$B$496)*100)+100</f>
        <v>21.17775327084064</v>
      </c>
      <c r="E12" s="26">
        <f>(((Table3[[#This Row],[Core CPI]]-$C$496)/$C$496)*100)+100</f>
        <v>16.899832120872972</v>
      </c>
      <c r="F12" s="60"/>
      <c r="G12" s="27"/>
    </row>
    <row r="13" spans="1:7" x14ac:dyDescent="0.35">
      <c r="A13" s="63">
        <v>21794</v>
      </c>
      <c r="B13" s="28">
        <f>VLOOKUP(Table3[[#This Row],[Date]],'PCE Core'!$A:$E,2,)</f>
        <v>16.943000000000001</v>
      </c>
      <c r="C13" s="28">
        <f>VLOOKUP(Table3[[#This Row],[Date]],Database!$A:$E,5)</f>
        <v>30.3</v>
      </c>
      <c r="D13" s="26">
        <f>(((Table3[[#This Row],[Core PCE]]-$B$496)/$B$496)*100)+100</f>
        <v>21.232893879392449</v>
      </c>
      <c r="E13" s="26">
        <f>(((Table3[[#This Row],[Core CPI]]-$C$496)/$C$496)*100)+100</f>
        <v>16.9557918298825</v>
      </c>
      <c r="F13" s="60"/>
      <c r="G13" s="27"/>
    </row>
    <row r="14" spans="1:7" x14ac:dyDescent="0.35">
      <c r="A14" s="60">
        <v>21824</v>
      </c>
      <c r="B14" s="28">
        <f>VLOOKUP(Table3[[#This Row],[Date]],'PCE Core'!$A:$E,2,)</f>
        <v>16.972000000000001</v>
      </c>
      <c r="C14" s="28">
        <f>VLOOKUP(Table3[[#This Row],[Date]],Database!$A:$E,5)</f>
        <v>30.4</v>
      </c>
      <c r="D14" s="26">
        <f>(((Table3[[#This Row],[Core PCE]]-$B$496)/$B$496)*100)+100</f>
        <v>21.269236553210689</v>
      </c>
      <c r="E14" s="26">
        <f>(((Table3[[#This Row],[Core CPI]]-$C$496)/$C$496)*100)+100</f>
        <v>17.011751538892</v>
      </c>
      <c r="F14" s="60"/>
      <c r="G14" s="27"/>
    </row>
    <row r="15" spans="1:7" x14ac:dyDescent="0.35">
      <c r="A15" s="63">
        <v>21855</v>
      </c>
      <c r="B15" s="28">
        <f>VLOOKUP(Table3[[#This Row],[Date]],'PCE Core'!$A:$E,2,)</f>
        <v>17.003</v>
      </c>
      <c r="C15" s="26">
        <f>VLOOKUP(Table3[[#This Row],[Date]],Database!$A:$E,5)</f>
        <v>30.4</v>
      </c>
      <c r="D15" s="26">
        <f>(((Table3[[#This Row],[Core PCE]]-$B$496)/$B$496)*100)+100</f>
        <v>21.308085618326729</v>
      </c>
      <c r="E15" s="26">
        <f>(((Table3[[#This Row],[Core CPI]]-$C$496)/$C$496)*100)+100</f>
        <v>17.011751538892</v>
      </c>
      <c r="F15" s="60"/>
      <c r="G15" s="27"/>
    </row>
    <row r="16" spans="1:7" x14ac:dyDescent="0.35">
      <c r="A16" s="60">
        <v>21885</v>
      </c>
      <c r="B16" s="28">
        <f>VLOOKUP(Table3[[#This Row],[Date]],'PCE Core'!$A:$E,2,)</f>
        <v>17.029</v>
      </c>
      <c r="C16" s="28">
        <f>VLOOKUP(Table3[[#This Row],[Date]],Database!$A:$E,5)</f>
        <v>30.5</v>
      </c>
      <c r="D16" s="26">
        <f>(((Table3[[#This Row],[Core PCE]]-$B$496)/$B$496)*100)+100</f>
        <v>21.340668705198254</v>
      </c>
      <c r="E16" s="26">
        <f>(((Table3[[#This Row],[Core CPI]]-$C$496)/$C$496)*100)+100</f>
        <v>17.067711247901514</v>
      </c>
      <c r="F16" s="60"/>
      <c r="G16" s="27"/>
    </row>
    <row r="17" spans="1:7" x14ac:dyDescent="0.35">
      <c r="A17" s="63">
        <v>21916</v>
      </c>
      <c r="B17" s="28">
        <f>VLOOKUP(Table3[[#This Row],[Date]],'PCE Core'!$A:$E,2,)</f>
        <v>17.033000000000001</v>
      </c>
      <c r="C17" s="28">
        <f>VLOOKUP(Table3[[#This Row],[Date]],Database!$A:$E,5)</f>
        <v>30.5</v>
      </c>
      <c r="D17" s="26">
        <f>(((Table3[[#This Row],[Core PCE]]-$B$496)/$B$496)*100)+100</f>
        <v>21.345681487793883</v>
      </c>
      <c r="E17" s="26">
        <f>(((Table3[[#This Row],[Core CPI]]-$C$496)/$C$496)*100)+100</f>
        <v>17.067711247901514</v>
      </c>
      <c r="F17" s="60"/>
      <c r="G17" s="27">
        <f>VLOOKUP(Table3[[#This Row],[Date]],'PCE Core'!A:D,4,)</f>
        <v>2.0673537871524594E-2</v>
      </c>
    </row>
    <row r="18" spans="1:7" x14ac:dyDescent="0.35">
      <c r="A18" s="60">
        <v>21947</v>
      </c>
      <c r="B18" s="28">
        <f>VLOOKUP(Table3[[#This Row],[Date]],'PCE Core'!$A:$E,2,)</f>
        <v>17.065000000000001</v>
      </c>
      <c r="C18" s="26">
        <f>VLOOKUP(Table3[[#This Row],[Date]],Database!$A:$E,5)</f>
        <v>30.6</v>
      </c>
      <c r="D18" s="26">
        <f>(((Table3[[#This Row],[Core PCE]]-$B$496)/$B$496)*100)+100</f>
        <v>21.385783748558822</v>
      </c>
      <c r="E18" s="26">
        <f>(((Table3[[#This Row],[Core CPI]]-$C$496)/$C$496)*100)+100</f>
        <v>17.123670956911013</v>
      </c>
      <c r="F18" s="60"/>
      <c r="G18" s="27">
        <f>VLOOKUP(Table3[[#This Row],[Date]],'PCE Core'!A:D,4,)</f>
        <v>2.1795102089695272E-2</v>
      </c>
    </row>
    <row r="19" spans="1:7" x14ac:dyDescent="0.35">
      <c r="A19" s="63">
        <v>21976</v>
      </c>
      <c r="B19" s="28">
        <f>VLOOKUP(Table3[[#This Row],[Date]],'PCE Core'!$A:$E,2,)</f>
        <v>17.067</v>
      </c>
      <c r="C19" s="28">
        <f>VLOOKUP(Table3[[#This Row],[Date]],Database!$A:$E,5)</f>
        <v>30.6</v>
      </c>
      <c r="D19" s="26">
        <f>(((Table3[[#This Row],[Core PCE]]-$B$496)/$B$496)*100)+100</f>
        <v>21.388290139856636</v>
      </c>
      <c r="E19" s="26">
        <f>(((Table3[[#This Row],[Core CPI]]-$C$496)/$C$496)*100)+100</f>
        <v>17.123670956911013</v>
      </c>
      <c r="F19" s="60"/>
      <c r="G19" s="27">
        <f>VLOOKUP(Table3[[#This Row],[Date]],'PCE Core'!A:D,4,)</f>
        <v>2.0814642024044438E-2</v>
      </c>
    </row>
    <row r="20" spans="1:7" x14ac:dyDescent="0.35">
      <c r="A20" s="60">
        <v>22007</v>
      </c>
      <c r="B20" s="28">
        <f>VLOOKUP(Table3[[#This Row],[Date]],'PCE Core'!$A:$E,2,)</f>
        <v>17.097999999999999</v>
      </c>
      <c r="C20" s="28">
        <f>VLOOKUP(Table3[[#This Row],[Date]],Database!$A:$E,5)</f>
        <v>30.6</v>
      </c>
      <c r="D20" s="26">
        <f>(((Table3[[#This Row],[Core PCE]]-$B$496)/$B$496)*100)+100</f>
        <v>21.427139204972676</v>
      </c>
      <c r="E20" s="26">
        <f>(((Table3[[#This Row],[Core CPI]]-$C$496)/$C$496)*100)+100</f>
        <v>17.123670956911013</v>
      </c>
      <c r="F20" s="60"/>
      <c r="G20" s="27">
        <f>VLOOKUP(Table3[[#This Row],[Date]],'PCE Core'!A:D,4,)</f>
        <v>2.0045340651473481E-2</v>
      </c>
    </row>
    <row r="21" spans="1:7" x14ac:dyDescent="0.35">
      <c r="A21" s="63">
        <v>22037</v>
      </c>
      <c r="B21" s="28">
        <f>VLOOKUP(Table3[[#This Row],[Date]],'PCE Core'!$A:$E,2,)</f>
        <v>17.125</v>
      </c>
      <c r="C21" s="26">
        <f>VLOOKUP(Table3[[#This Row],[Date]],Database!$A:$E,5)</f>
        <v>30.6</v>
      </c>
      <c r="D21" s="26">
        <f>(((Table3[[#This Row],[Core PCE]]-$B$496)/$B$496)*100)+100</f>
        <v>21.460975487493101</v>
      </c>
      <c r="E21" s="26">
        <f>(((Table3[[#This Row],[Core CPI]]-$C$496)/$C$496)*100)+100</f>
        <v>17.123670956911013</v>
      </c>
      <c r="F21" s="60"/>
      <c r="G21" s="27">
        <f>VLOOKUP(Table3[[#This Row],[Date]],'PCE Core'!A:D,4,)</f>
        <v>2.0377763212774756E-2</v>
      </c>
    </row>
    <row r="22" spans="1:7" x14ac:dyDescent="0.35">
      <c r="A22" s="60">
        <v>22068</v>
      </c>
      <c r="B22" s="28">
        <f>VLOOKUP(Table3[[#This Row],[Date]],'PCE Core'!$A:$E,2,)</f>
        <v>17.135999999999999</v>
      </c>
      <c r="C22" s="28">
        <f>VLOOKUP(Table3[[#This Row],[Date]],Database!$A:$E,5)</f>
        <v>30.7</v>
      </c>
      <c r="D22" s="26">
        <f>(((Table3[[#This Row],[Core PCE]]-$B$496)/$B$496)*100)+100</f>
        <v>21.474760639631057</v>
      </c>
      <c r="E22" s="26">
        <f>(((Table3[[#This Row],[Core CPI]]-$C$496)/$C$496)*100)+100</f>
        <v>17.179630665920527</v>
      </c>
      <c r="F22" s="60"/>
      <c r="G22" s="27">
        <f>VLOOKUP(Table3[[#This Row],[Date]],'PCE Core'!A:D,4,)</f>
        <v>1.8060836501901049E-2</v>
      </c>
    </row>
    <row r="23" spans="1:7" x14ac:dyDescent="0.35">
      <c r="A23" s="63">
        <v>22098</v>
      </c>
      <c r="B23" s="28">
        <f>VLOOKUP(Table3[[#This Row],[Date]],'PCE Core'!$A:$E,2,)</f>
        <v>17.166</v>
      </c>
      <c r="C23" s="28">
        <f>VLOOKUP(Table3[[#This Row],[Date]],Database!$A:$E,5)</f>
        <v>30.6</v>
      </c>
      <c r="D23" s="26">
        <f>(((Table3[[#This Row],[Core PCE]]-$B$496)/$B$496)*100)+100</f>
        <v>21.512356509098197</v>
      </c>
      <c r="E23" s="26">
        <f>(((Table3[[#This Row],[Core CPI]]-$C$496)/$C$496)*100)+100</f>
        <v>17.123670956911013</v>
      </c>
      <c r="F23" s="60"/>
      <c r="G23" s="27">
        <f>VLOOKUP(Table3[[#This Row],[Date]],'PCE Core'!A:D,4,)</f>
        <v>1.7485626222512107E-2</v>
      </c>
    </row>
    <row r="24" spans="1:7" x14ac:dyDescent="0.35">
      <c r="A24" s="60">
        <v>22129</v>
      </c>
      <c r="B24" s="28">
        <f>VLOOKUP(Table3[[#This Row],[Date]],'PCE Core'!$A:$E,2,)</f>
        <v>17.190999999999999</v>
      </c>
      <c r="C24" s="26">
        <f>VLOOKUP(Table3[[#This Row],[Date]],Database!$A:$E,5)</f>
        <v>30.6</v>
      </c>
      <c r="D24" s="26">
        <f>(((Table3[[#This Row],[Core PCE]]-$B$496)/$B$496)*100)+100</f>
        <v>21.543686400320823</v>
      </c>
      <c r="E24" s="26">
        <f>(((Table3[[#This Row],[Core CPI]]-$C$496)/$C$496)*100)+100</f>
        <v>17.123670956911013</v>
      </c>
      <c r="F24" s="60"/>
      <c r="G24" s="27">
        <f>VLOOKUP(Table3[[#This Row],[Date]],'PCE Core'!A:D,4,)</f>
        <v>1.7279128942540863E-2</v>
      </c>
    </row>
    <row r="25" spans="1:7" x14ac:dyDescent="0.35">
      <c r="A25" s="63">
        <v>22160</v>
      </c>
      <c r="B25" s="28">
        <f>VLOOKUP(Table3[[#This Row],[Date]],'PCE Core'!$A:$E,2,)</f>
        <v>17.204000000000001</v>
      </c>
      <c r="C25" s="28">
        <f>VLOOKUP(Table3[[#This Row],[Date]],Database!$A:$E,5)</f>
        <v>30.6</v>
      </c>
      <c r="D25" s="26">
        <f>(((Table3[[#This Row],[Core PCE]]-$B$496)/$B$496)*100)+100</f>
        <v>21.559977943756579</v>
      </c>
      <c r="E25" s="26">
        <f>(((Table3[[#This Row],[Core CPI]]-$C$496)/$C$496)*100)+100</f>
        <v>17.123670956911013</v>
      </c>
      <c r="F25" s="60"/>
      <c r="G25" s="27">
        <f>VLOOKUP(Table3[[#This Row],[Date]],'PCE Core'!A:D,4,)</f>
        <v>1.5404591866847618E-2</v>
      </c>
    </row>
    <row r="26" spans="1:7" x14ac:dyDescent="0.35">
      <c r="A26" s="60">
        <v>22190</v>
      </c>
      <c r="B26" s="28">
        <f>VLOOKUP(Table3[[#This Row],[Date]],'PCE Core'!$A:$E,2,)</f>
        <v>17.213999999999999</v>
      </c>
      <c r="C26" s="28">
        <f>VLOOKUP(Table3[[#This Row],[Date]],Database!$A:$E,5)</f>
        <v>30.8</v>
      </c>
      <c r="D26" s="26">
        <f>(((Table3[[#This Row],[Core PCE]]-$B$496)/$B$496)*100)+100</f>
        <v>21.57250990024562</v>
      </c>
      <c r="E26" s="26">
        <f>(((Table3[[#This Row],[Core CPI]]-$C$496)/$C$496)*100)+100</f>
        <v>17.235590374930055</v>
      </c>
      <c r="F26" s="60"/>
      <c r="G26" s="27">
        <f>VLOOKUP(Table3[[#This Row],[Date]],'PCE Core'!A:D,4,)</f>
        <v>1.4258779165684498E-2</v>
      </c>
    </row>
    <row r="27" spans="1:7" x14ac:dyDescent="0.35">
      <c r="A27" s="63">
        <v>22221</v>
      </c>
      <c r="B27" s="28">
        <f>VLOOKUP(Table3[[#This Row],[Date]],'PCE Core'!$A:$E,2,)</f>
        <v>17.260000000000002</v>
      </c>
      <c r="C27" s="26">
        <f>VLOOKUP(Table3[[#This Row],[Date]],Database!$A:$E,5)</f>
        <v>30.8</v>
      </c>
      <c r="D27" s="26">
        <f>(((Table3[[#This Row],[Core PCE]]-$B$496)/$B$496)*100)+100</f>
        <v>21.630156900095244</v>
      </c>
      <c r="E27" s="26">
        <f>(((Table3[[#This Row],[Core CPI]]-$C$496)/$C$496)*100)+100</f>
        <v>17.235590374930055</v>
      </c>
      <c r="F27" s="60"/>
      <c r="G27" s="27">
        <f>VLOOKUP(Table3[[#This Row],[Date]],'PCE Core'!A:D,4,)</f>
        <v>1.5114979709463121E-2</v>
      </c>
    </row>
    <row r="28" spans="1:7" x14ac:dyDescent="0.35">
      <c r="A28" s="60">
        <v>22251</v>
      </c>
      <c r="B28" s="28">
        <f>VLOOKUP(Table3[[#This Row],[Date]],'PCE Core'!$A:$E,2,)</f>
        <v>17.254999999999999</v>
      </c>
      <c r="C28" s="28">
        <f>VLOOKUP(Table3[[#This Row],[Date]],Database!$A:$E,5)</f>
        <v>30.7</v>
      </c>
      <c r="D28" s="26">
        <f>(((Table3[[#This Row],[Core PCE]]-$B$496)/$B$496)*100)+100</f>
        <v>21.623890921850702</v>
      </c>
      <c r="E28" s="26">
        <f>(((Table3[[#This Row],[Core CPI]]-$C$496)/$C$496)*100)+100</f>
        <v>17.179630665920527</v>
      </c>
      <c r="F28" s="60"/>
      <c r="G28" s="27">
        <f>VLOOKUP(Table3[[#This Row],[Date]],'PCE Core'!A:D,4,)</f>
        <v>1.3271478066827123E-2</v>
      </c>
    </row>
    <row r="29" spans="1:7" x14ac:dyDescent="0.35">
      <c r="A29" s="63">
        <v>22282</v>
      </c>
      <c r="B29" s="28">
        <f>VLOOKUP(Table3[[#This Row],[Date]],'PCE Core'!$A:$E,2,)</f>
        <v>17.259</v>
      </c>
      <c r="C29" s="28">
        <f>VLOOKUP(Table3[[#This Row],[Date]],Database!$A:$E,5)</f>
        <v>30.8</v>
      </c>
      <c r="D29" s="26">
        <f>(((Table3[[#This Row],[Core PCE]]-$B$496)/$B$496)*100)+100</f>
        <v>21.62890370444633</v>
      </c>
      <c r="E29" s="26">
        <f>(((Table3[[#This Row],[Core CPI]]-$C$496)/$C$496)*100)+100</f>
        <v>17.235590374930055</v>
      </c>
      <c r="F29" s="60"/>
      <c r="G29" s="27">
        <f>VLOOKUP(Table3[[#This Row],[Date]],'PCE Core'!A:D,4,)</f>
        <v>1.3268361416074624E-2</v>
      </c>
    </row>
    <row r="30" spans="1:7" x14ac:dyDescent="0.35">
      <c r="A30" s="60">
        <v>22313</v>
      </c>
      <c r="B30" s="28">
        <f>VLOOKUP(Table3[[#This Row],[Date]],'PCE Core'!$A:$E,2,)</f>
        <v>17.276</v>
      </c>
      <c r="C30" s="26">
        <f>VLOOKUP(Table3[[#This Row],[Date]],Database!$A:$E,5)</f>
        <v>30.8</v>
      </c>
      <c r="D30" s="26">
        <f>(((Table3[[#This Row],[Core PCE]]-$B$496)/$B$496)*100)+100</f>
        <v>21.650208030477714</v>
      </c>
      <c r="E30" s="26">
        <f>(((Table3[[#This Row],[Core CPI]]-$C$496)/$C$496)*100)+100</f>
        <v>17.235590374930055</v>
      </c>
      <c r="F30" s="60"/>
      <c r="G30" s="27">
        <f>VLOOKUP(Table3[[#This Row],[Date]],'PCE Core'!A:D,4,)</f>
        <v>1.2364488719601436E-2</v>
      </c>
    </row>
    <row r="31" spans="1:7" x14ac:dyDescent="0.35">
      <c r="A31" s="63">
        <v>22341</v>
      </c>
      <c r="B31" s="28">
        <f>VLOOKUP(Table3[[#This Row],[Date]],'PCE Core'!$A:$E,2,)</f>
        <v>17.282</v>
      </c>
      <c r="C31" s="28">
        <f>VLOOKUP(Table3[[#This Row],[Date]],Database!$A:$E,5)</f>
        <v>30.9</v>
      </c>
      <c r="D31" s="26">
        <f>(((Table3[[#This Row],[Core PCE]]-$B$496)/$B$496)*100)+100</f>
        <v>21.657727204371142</v>
      </c>
      <c r="E31" s="26">
        <f>(((Table3[[#This Row],[Core CPI]]-$C$496)/$C$496)*100)+100</f>
        <v>17.291550083939569</v>
      </c>
      <c r="F31" s="60"/>
      <c r="G31" s="27">
        <f>VLOOKUP(Table3[[#This Row],[Date]],'PCE Core'!A:D,4,)</f>
        <v>1.259741020683189E-2</v>
      </c>
    </row>
    <row r="32" spans="1:7" x14ac:dyDescent="0.35">
      <c r="A32" s="60">
        <v>22372</v>
      </c>
      <c r="B32" s="28">
        <f>VLOOKUP(Table3[[#This Row],[Date]],'PCE Core'!$A:$E,2,)</f>
        <v>17.306000000000001</v>
      </c>
      <c r="C32" s="28">
        <f>VLOOKUP(Table3[[#This Row],[Date]],Database!$A:$E,5)</f>
        <v>30.9</v>
      </c>
      <c r="D32" s="26">
        <f>(((Table3[[#This Row],[Core PCE]]-$B$496)/$B$496)*100)+100</f>
        <v>21.687803899944853</v>
      </c>
      <c r="E32" s="26">
        <f>(((Table3[[#This Row],[Core CPI]]-$C$496)/$C$496)*100)+100</f>
        <v>17.291550083939569</v>
      </c>
      <c r="F32" s="60"/>
      <c r="G32" s="27">
        <f>VLOOKUP(Table3[[#This Row],[Date]],'PCE Core'!A:D,4,)</f>
        <v>1.2165165516434786E-2</v>
      </c>
    </row>
    <row r="33" spans="1:7" x14ac:dyDescent="0.35">
      <c r="A33" s="63">
        <v>22402</v>
      </c>
      <c r="B33" s="28">
        <f>VLOOKUP(Table3[[#This Row],[Date]],'PCE Core'!$A:$E,2,)</f>
        <v>17.327999999999999</v>
      </c>
      <c r="C33" s="26">
        <f>VLOOKUP(Table3[[#This Row],[Date]],Database!$A:$E,5)</f>
        <v>30.9</v>
      </c>
      <c r="D33" s="26">
        <f>(((Table3[[#This Row],[Core PCE]]-$B$496)/$B$496)*100)+100</f>
        <v>21.715374204220765</v>
      </c>
      <c r="E33" s="26">
        <f>(((Table3[[#This Row],[Core CPI]]-$C$496)/$C$496)*100)+100</f>
        <v>17.291550083939569</v>
      </c>
      <c r="F33" s="60"/>
      <c r="G33" s="27">
        <f>VLOOKUP(Table3[[#This Row],[Date]],'PCE Core'!A:D,4,)</f>
        <v>1.1854014598540111E-2</v>
      </c>
    </row>
    <row r="34" spans="1:7" x14ac:dyDescent="0.35">
      <c r="A34" s="60">
        <v>22433</v>
      </c>
      <c r="B34" s="28">
        <f>VLOOKUP(Table3[[#This Row],[Date]],'PCE Core'!$A:$E,2,)</f>
        <v>17.353999999999999</v>
      </c>
      <c r="C34" s="28">
        <f>VLOOKUP(Table3[[#This Row],[Date]],Database!$A:$E,5)</f>
        <v>31</v>
      </c>
      <c r="D34" s="26">
        <f>(((Table3[[#This Row],[Core PCE]]-$B$496)/$B$496)*100)+100</f>
        <v>21.747957291092277</v>
      </c>
      <c r="E34" s="26">
        <f>(((Table3[[#This Row],[Core CPI]]-$C$496)/$C$496)*100)+100</f>
        <v>17.347509792949083</v>
      </c>
      <c r="F34" s="60"/>
      <c r="G34" s="27">
        <f>VLOOKUP(Table3[[#This Row],[Date]],'PCE Core'!A:D,4,)</f>
        <v>1.2721755368814191E-2</v>
      </c>
    </row>
    <row r="35" spans="1:7" x14ac:dyDescent="0.35">
      <c r="A35" s="63">
        <v>22463</v>
      </c>
      <c r="B35" s="28">
        <f>VLOOKUP(Table3[[#This Row],[Date]],'PCE Core'!$A:$E,2,)</f>
        <v>17.381</v>
      </c>
      <c r="C35" s="28">
        <f>VLOOKUP(Table3[[#This Row],[Date]],Database!$A:$E,5)</f>
        <v>31</v>
      </c>
      <c r="D35" s="26">
        <f>(((Table3[[#This Row],[Core PCE]]-$B$496)/$B$496)*100)+100</f>
        <v>21.781793573612703</v>
      </c>
      <c r="E35" s="26">
        <f>(((Table3[[#This Row],[Core CPI]]-$C$496)/$C$496)*100)+100</f>
        <v>17.347509792949083</v>
      </c>
      <c r="F35" s="60"/>
      <c r="G35" s="27">
        <f>VLOOKUP(Table3[[#This Row],[Date]],'PCE Core'!A:D,4,)</f>
        <v>1.2524758243038557E-2</v>
      </c>
    </row>
    <row r="36" spans="1:7" x14ac:dyDescent="0.35">
      <c r="A36" s="60">
        <v>22494</v>
      </c>
      <c r="B36" s="28">
        <f>VLOOKUP(Table3[[#This Row],[Date]],'PCE Core'!$A:$E,2,)</f>
        <v>17.399000000000001</v>
      </c>
      <c r="C36" s="26">
        <f>VLOOKUP(Table3[[#This Row],[Date]],Database!$A:$E,5)</f>
        <v>31.1</v>
      </c>
      <c r="D36" s="26">
        <f>(((Table3[[#This Row],[Core PCE]]-$B$496)/$B$496)*100)+100</f>
        <v>21.804351095293001</v>
      </c>
      <c r="E36" s="26">
        <f>(((Table3[[#This Row],[Core CPI]]-$C$496)/$C$496)*100)+100</f>
        <v>17.403469501958597</v>
      </c>
      <c r="F36" s="60"/>
      <c r="G36" s="27">
        <f>VLOOKUP(Table3[[#This Row],[Date]],'PCE Core'!A:D,4,)</f>
        <v>1.2099354313303588E-2</v>
      </c>
    </row>
    <row r="37" spans="1:7" x14ac:dyDescent="0.35">
      <c r="A37" s="63">
        <v>22525</v>
      </c>
      <c r="B37" s="28">
        <f>VLOOKUP(Table3[[#This Row],[Date]],'PCE Core'!$A:$E,2,)</f>
        <v>17.434000000000001</v>
      </c>
      <c r="C37" s="28">
        <f>VLOOKUP(Table3[[#This Row],[Date]],Database!$A:$E,5)</f>
        <v>31.1</v>
      </c>
      <c r="D37" s="26">
        <f>(((Table3[[#This Row],[Core PCE]]-$B$496)/$B$496)*100)+100</f>
        <v>21.848212943004654</v>
      </c>
      <c r="E37" s="26">
        <f>(((Table3[[#This Row],[Core CPI]]-$C$496)/$C$496)*100)+100</f>
        <v>17.403469501958597</v>
      </c>
      <c r="F37" s="60"/>
      <c r="G37" s="27">
        <f>VLOOKUP(Table3[[#This Row],[Date]],'PCE Core'!A:D,4,)</f>
        <v>1.3368983957219275E-2</v>
      </c>
    </row>
    <row r="38" spans="1:7" x14ac:dyDescent="0.35">
      <c r="A38" s="60">
        <v>22555</v>
      </c>
      <c r="B38" s="28">
        <f>VLOOKUP(Table3[[#This Row],[Date]],'PCE Core'!$A:$E,2,)</f>
        <v>17.440000000000001</v>
      </c>
      <c r="C38" s="28">
        <f>VLOOKUP(Table3[[#This Row],[Date]],Database!$A:$E,5)</f>
        <v>31.1</v>
      </c>
      <c r="D38" s="26">
        <f>(((Table3[[#This Row],[Core PCE]]-$B$496)/$B$496)*100)+100</f>
        <v>21.855732116898082</v>
      </c>
      <c r="E38" s="26">
        <f>(((Table3[[#This Row],[Core CPI]]-$C$496)/$C$496)*100)+100</f>
        <v>17.403469501958597</v>
      </c>
      <c r="F38" s="60"/>
      <c r="G38" s="27">
        <f>VLOOKUP(Table3[[#This Row],[Date]],'PCE Core'!A:D,4,)</f>
        <v>1.3128848611595368E-2</v>
      </c>
    </row>
    <row r="39" spans="1:7" x14ac:dyDescent="0.35">
      <c r="A39" s="63">
        <v>22586</v>
      </c>
      <c r="B39" s="28">
        <f>VLOOKUP(Table3[[#This Row],[Date]],'PCE Core'!$A:$E,2,)</f>
        <v>17.443000000000001</v>
      </c>
      <c r="C39" s="26">
        <f>VLOOKUP(Table3[[#This Row],[Date]],Database!$A:$E,5)</f>
        <v>31.2</v>
      </c>
      <c r="D39" s="26">
        <f>(((Table3[[#This Row],[Core PCE]]-$B$496)/$B$496)*100)+100</f>
        <v>21.859491703844796</v>
      </c>
      <c r="E39" s="26">
        <f>(((Table3[[#This Row],[Core CPI]]-$C$496)/$C$496)*100)+100</f>
        <v>17.459429210968096</v>
      </c>
      <c r="F39" s="60"/>
      <c r="G39" s="27">
        <f>VLOOKUP(Table3[[#This Row],[Date]],'PCE Core'!A:D,4,)</f>
        <v>1.060254924681343E-2</v>
      </c>
    </row>
    <row r="40" spans="1:7" x14ac:dyDescent="0.35">
      <c r="A40" s="60">
        <v>22616</v>
      </c>
      <c r="B40" s="28">
        <f>VLOOKUP(Table3[[#This Row],[Date]],'PCE Core'!$A:$E,2,)</f>
        <v>17.457999999999998</v>
      </c>
      <c r="C40" s="28">
        <f>VLOOKUP(Table3[[#This Row],[Date]],Database!$A:$E,5)</f>
        <v>31.2</v>
      </c>
      <c r="D40" s="26">
        <f>(((Table3[[#This Row],[Core PCE]]-$B$496)/$B$496)*100)+100</f>
        <v>21.87828963857838</v>
      </c>
      <c r="E40" s="26">
        <f>(((Table3[[#This Row],[Core CPI]]-$C$496)/$C$496)*100)+100</f>
        <v>17.459429210968096</v>
      </c>
      <c r="F40" s="60"/>
      <c r="G40" s="27">
        <f>VLOOKUP(Table3[[#This Row],[Date]],'PCE Core'!A:D,4,)</f>
        <v>1.1764705882352908E-2</v>
      </c>
    </row>
    <row r="41" spans="1:7" x14ac:dyDescent="0.35">
      <c r="A41" s="63">
        <v>22647</v>
      </c>
      <c r="B41" s="28">
        <f>VLOOKUP(Table3[[#This Row],[Date]],'PCE Core'!$A:$E,2,)</f>
        <v>17.478000000000002</v>
      </c>
      <c r="C41" s="28">
        <f>VLOOKUP(Table3[[#This Row],[Date]],Database!$A:$E,5)</f>
        <v>31.2</v>
      </c>
      <c r="D41" s="26">
        <f>(((Table3[[#This Row],[Core PCE]]-$B$496)/$B$496)*100)+100</f>
        <v>21.903353551556464</v>
      </c>
      <c r="E41" s="26">
        <f>(((Table3[[#This Row],[Core CPI]]-$C$496)/$C$496)*100)+100</f>
        <v>17.459429210968096</v>
      </c>
      <c r="F41" s="60"/>
      <c r="G41" s="27">
        <f>VLOOKUP(Table3[[#This Row],[Date]],'PCE Core'!A:D,4,)</f>
        <v>1.2689031809490769E-2</v>
      </c>
    </row>
    <row r="42" spans="1:7" x14ac:dyDescent="0.35">
      <c r="A42" s="60">
        <v>22678</v>
      </c>
      <c r="B42" s="28">
        <f>VLOOKUP(Table3[[#This Row],[Date]],'PCE Core'!$A:$E,2,)</f>
        <v>17.507000000000001</v>
      </c>
      <c r="C42" s="26">
        <f>VLOOKUP(Table3[[#This Row],[Date]],Database!$A:$E,5)</f>
        <v>31.2</v>
      </c>
      <c r="D42" s="26">
        <f>(((Table3[[#This Row],[Core PCE]]-$B$496)/$B$496)*100)+100</f>
        <v>21.939696225374703</v>
      </c>
      <c r="E42" s="26">
        <f>(((Table3[[#This Row],[Core CPI]]-$C$496)/$C$496)*100)+100</f>
        <v>17.459429210968096</v>
      </c>
      <c r="F42" s="60"/>
      <c r="G42" s="27">
        <f>VLOOKUP(Table3[[#This Row],[Date]],'PCE Core'!A:D,4,)</f>
        <v>1.337115072933559E-2</v>
      </c>
    </row>
    <row r="43" spans="1:7" x14ac:dyDescent="0.35">
      <c r="A43" s="63">
        <v>22706</v>
      </c>
      <c r="B43" s="28">
        <f>VLOOKUP(Table3[[#This Row],[Date]],'PCE Core'!$A:$E,2,)</f>
        <v>17.547999999999998</v>
      </c>
      <c r="C43" s="28">
        <f>VLOOKUP(Table3[[#This Row],[Date]],Database!$A:$E,5)</f>
        <v>31.3</v>
      </c>
      <c r="D43" s="26">
        <f>(((Table3[[#This Row],[Core PCE]]-$B$496)/$B$496)*100)+100</f>
        <v>21.991077246979799</v>
      </c>
      <c r="E43" s="26">
        <f>(((Table3[[#This Row],[Core CPI]]-$C$496)/$C$496)*100)+100</f>
        <v>17.515388919977624</v>
      </c>
      <c r="F43" s="60"/>
      <c r="G43" s="27">
        <f>VLOOKUP(Table3[[#This Row],[Date]],'PCE Core'!A:D,4,)</f>
        <v>1.5391737067468941E-2</v>
      </c>
    </row>
    <row r="44" spans="1:7" x14ac:dyDescent="0.35">
      <c r="A44" s="60">
        <v>22737</v>
      </c>
      <c r="B44" s="28">
        <f>VLOOKUP(Table3[[#This Row],[Date]],'PCE Core'!$A:$E,2,)</f>
        <v>17.550999999999998</v>
      </c>
      <c r="C44" s="28">
        <f>VLOOKUP(Table3[[#This Row],[Date]],Database!$A:$E,5)</f>
        <v>31.3</v>
      </c>
      <c r="D44" s="26">
        <f>(((Table3[[#This Row],[Core PCE]]-$B$496)/$B$496)*100)+100</f>
        <v>21.994836833926513</v>
      </c>
      <c r="E44" s="26">
        <f>(((Table3[[#This Row],[Core CPI]]-$C$496)/$C$496)*100)+100</f>
        <v>17.515388919977624</v>
      </c>
      <c r="F44" s="60"/>
      <c r="G44" s="27">
        <f>VLOOKUP(Table3[[#This Row],[Date]],'PCE Core'!A:D,4,)</f>
        <v>1.4156939789668175E-2</v>
      </c>
    </row>
    <row r="45" spans="1:7" x14ac:dyDescent="0.35">
      <c r="A45" s="63">
        <v>22767</v>
      </c>
      <c r="B45" s="28">
        <f>VLOOKUP(Table3[[#This Row],[Date]],'PCE Core'!$A:$E,2,)</f>
        <v>17.576000000000001</v>
      </c>
      <c r="C45" s="26">
        <f>VLOOKUP(Table3[[#This Row],[Date]],Database!$A:$E,5)</f>
        <v>31.4</v>
      </c>
      <c r="D45" s="26">
        <f>(((Table3[[#This Row],[Core PCE]]-$B$496)/$B$496)*100)+100</f>
        <v>22.026166725149139</v>
      </c>
      <c r="E45" s="26">
        <f>(((Table3[[#This Row],[Core CPI]]-$C$496)/$C$496)*100)+100</f>
        <v>17.571348628987138</v>
      </c>
      <c r="F45" s="60"/>
      <c r="G45" s="27">
        <f>VLOOKUP(Table3[[#This Row],[Date]],'PCE Core'!A:D,4,)</f>
        <v>1.4312096029547618E-2</v>
      </c>
    </row>
    <row r="46" spans="1:7" x14ac:dyDescent="0.35">
      <c r="A46" s="60">
        <v>22798</v>
      </c>
      <c r="B46" s="28">
        <f>VLOOKUP(Table3[[#This Row],[Date]],'PCE Core'!$A:$E,2,)</f>
        <v>17.608000000000001</v>
      </c>
      <c r="C46" s="28">
        <f>VLOOKUP(Table3[[#This Row],[Date]],Database!$A:$E,5)</f>
        <v>31.4</v>
      </c>
      <c r="D46" s="26">
        <f>(((Table3[[#This Row],[Core PCE]]-$B$496)/$B$496)*100)+100</f>
        <v>22.066268985914078</v>
      </c>
      <c r="E46" s="26">
        <f>(((Table3[[#This Row],[Core CPI]]-$C$496)/$C$496)*100)+100</f>
        <v>17.571348628987138</v>
      </c>
      <c r="F46" s="60"/>
      <c r="G46" s="27">
        <f>VLOOKUP(Table3[[#This Row],[Date]],'PCE Core'!A:D,4,)</f>
        <v>1.4636395067419693E-2</v>
      </c>
    </row>
    <row r="47" spans="1:7" x14ac:dyDescent="0.35">
      <c r="A47" s="63">
        <v>22828</v>
      </c>
      <c r="B47" s="28">
        <f>VLOOKUP(Table3[[#This Row],[Date]],'PCE Core'!$A:$E,2,)</f>
        <v>17.623000000000001</v>
      </c>
      <c r="C47" s="28">
        <f>VLOOKUP(Table3[[#This Row],[Date]],Database!$A:$E,5)</f>
        <v>31.4</v>
      </c>
      <c r="D47" s="26">
        <f>(((Table3[[#This Row],[Core PCE]]-$B$496)/$B$496)*100)+100</f>
        <v>22.085066920647662</v>
      </c>
      <c r="E47" s="26">
        <f>(((Table3[[#This Row],[Core CPI]]-$C$496)/$C$496)*100)+100</f>
        <v>17.571348628987138</v>
      </c>
      <c r="F47" s="60"/>
      <c r="G47" s="27">
        <f>VLOOKUP(Table3[[#This Row],[Date]],'PCE Core'!A:D,4,)</f>
        <v>1.3923249525343817E-2</v>
      </c>
    </row>
    <row r="48" spans="1:7" x14ac:dyDescent="0.35">
      <c r="A48" s="60">
        <v>22859</v>
      </c>
      <c r="B48" s="28">
        <f>VLOOKUP(Table3[[#This Row],[Date]],'PCE Core'!$A:$E,2,)</f>
        <v>17.626000000000001</v>
      </c>
      <c r="C48" s="26">
        <f>VLOOKUP(Table3[[#This Row],[Date]],Database!$A:$E,5)</f>
        <v>31.5</v>
      </c>
      <c r="D48" s="26">
        <f>(((Table3[[#This Row],[Core PCE]]-$B$496)/$B$496)*100)+100</f>
        <v>22.088826507594376</v>
      </c>
      <c r="E48" s="26">
        <f>(((Table3[[#This Row],[Core CPI]]-$C$496)/$C$496)*100)+100</f>
        <v>17.627308337996638</v>
      </c>
      <c r="F48" s="60"/>
      <c r="G48" s="27">
        <f>VLOOKUP(Table3[[#This Row],[Date]],'PCE Core'!A:D,4,)</f>
        <v>1.3046726823380671E-2</v>
      </c>
    </row>
    <row r="49" spans="1:7" x14ac:dyDescent="0.35">
      <c r="A49" s="63">
        <v>22890</v>
      </c>
      <c r="B49" s="28">
        <f>VLOOKUP(Table3[[#This Row],[Date]],'PCE Core'!$A:$E,2,)</f>
        <v>17.66</v>
      </c>
      <c r="C49" s="28">
        <f>VLOOKUP(Table3[[#This Row],[Date]],Database!$A:$E,5)</f>
        <v>31.5</v>
      </c>
      <c r="D49" s="26">
        <f>(((Table3[[#This Row],[Core PCE]]-$B$496)/$B$496)*100)+100</f>
        <v>22.131435159657116</v>
      </c>
      <c r="E49" s="26">
        <f>(((Table3[[#This Row],[Core CPI]]-$C$496)/$C$496)*100)+100</f>
        <v>17.627308337996638</v>
      </c>
      <c r="F49" s="60"/>
      <c r="G49" s="27">
        <f>VLOOKUP(Table3[[#This Row],[Date]],'PCE Core'!A:D,4,)</f>
        <v>1.2963175404382188E-2</v>
      </c>
    </row>
    <row r="50" spans="1:7" x14ac:dyDescent="0.35">
      <c r="A50" s="60">
        <v>22920</v>
      </c>
      <c r="B50" s="28">
        <f>VLOOKUP(Table3[[#This Row],[Date]],'PCE Core'!$A:$E,2,)</f>
        <v>17.658999999999999</v>
      </c>
      <c r="C50" s="28">
        <f>VLOOKUP(Table3[[#This Row],[Date]],Database!$A:$E,5)</f>
        <v>31.5</v>
      </c>
      <c r="D50" s="26">
        <f>(((Table3[[#This Row],[Core PCE]]-$B$496)/$B$496)*100)+100</f>
        <v>22.130181964008216</v>
      </c>
      <c r="E50" s="26">
        <f>(((Table3[[#This Row],[Core CPI]]-$C$496)/$C$496)*100)+100</f>
        <v>17.627308337996638</v>
      </c>
      <c r="F50" s="60"/>
      <c r="G50" s="27">
        <f>VLOOKUP(Table3[[#This Row],[Date]],'PCE Core'!A:D,4,)</f>
        <v>1.2557339449541148E-2</v>
      </c>
    </row>
    <row r="51" spans="1:7" x14ac:dyDescent="0.35">
      <c r="A51" s="63">
        <v>22951</v>
      </c>
      <c r="B51" s="28">
        <f>VLOOKUP(Table3[[#This Row],[Date]],'PCE Core'!$A:$E,2,)</f>
        <v>17.672000000000001</v>
      </c>
      <c r="C51" s="26">
        <f>VLOOKUP(Table3[[#This Row],[Date]],Database!$A:$E,5)</f>
        <v>31.5</v>
      </c>
      <c r="D51" s="26">
        <f>(((Table3[[#This Row],[Core PCE]]-$B$496)/$B$496)*100)+100</f>
        <v>22.146473507443972</v>
      </c>
      <c r="E51" s="26">
        <f>(((Table3[[#This Row],[Core CPI]]-$C$496)/$C$496)*100)+100</f>
        <v>17.627308337996638</v>
      </c>
      <c r="F51" s="60"/>
      <c r="G51" s="27">
        <f>VLOOKUP(Table3[[#This Row],[Date]],'PCE Core'!A:D,4,)</f>
        <v>1.3128475606260345E-2</v>
      </c>
    </row>
    <row r="52" spans="1:7" x14ac:dyDescent="0.35">
      <c r="A52" s="60">
        <v>22981</v>
      </c>
      <c r="B52" s="28">
        <f>VLOOKUP(Table3[[#This Row],[Date]],'PCE Core'!$A:$E,2,)</f>
        <v>17.677</v>
      </c>
      <c r="C52" s="28">
        <f>VLOOKUP(Table3[[#This Row],[Date]],Database!$A:$E,5)</f>
        <v>31.6</v>
      </c>
      <c r="D52" s="26">
        <f>(((Table3[[#This Row],[Core PCE]]-$B$496)/$B$496)*100)+100</f>
        <v>22.1527394856885</v>
      </c>
      <c r="E52" s="26">
        <f>(((Table3[[#This Row],[Core CPI]]-$C$496)/$C$496)*100)+100</f>
        <v>17.683268047006152</v>
      </c>
      <c r="F52" s="60"/>
      <c r="G52" s="27">
        <f>VLOOKUP(Table3[[#This Row],[Date]],'PCE Core'!A:D,4,)</f>
        <v>1.2544392255699463E-2</v>
      </c>
    </row>
    <row r="53" spans="1:7" x14ac:dyDescent="0.35">
      <c r="A53" s="63">
        <v>23012</v>
      </c>
      <c r="B53" s="28">
        <f>VLOOKUP(Table3[[#This Row],[Date]],'PCE Core'!$A:$E,2,)</f>
        <v>17.710999999999999</v>
      </c>
      <c r="C53" s="28">
        <f>VLOOKUP(Table3[[#This Row],[Date]],Database!$A:$E,5)</f>
        <v>31.5</v>
      </c>
      <c r="D53" s="26">
        <f>(((Table3[[#This Row],[Core PCE]]-$B$496)/$B$496)*100)+100</f>
        <v>22.195348137751253</v>
      </c>
      <c r="E53" s="26">
        <f>(((Table3[[#This Row],[Core CPI]]-$C$496)/$C$496)*100)+100</f>
        <v>17.627308337996638</v>
      </c>
      <c r="F53" s="60"/>
      <c r="G53" s="27">
        <f>VLOOKUP(Table3[[#This Row],[Date]],'PCE Core'!A:D,4,)</f>
        <v>1.3331044741961149E-2</v>
      </c>
    </row>
    <row r="54" spans="1:7" x14ac:dyDescent="0.35">
      <c r="A54" s="60">
        <v>23043</v>
      </c>
      <c r="B54" s="28">
        <f>VLOOKUP(Table3[[#This Row],[Date]],'PCE Core'!$A:$E,2,)</f>
        <v>17.731000000000002</v>
      </c>
      <c r="C54" s="26">
        <f>VLOOKUP(Table3[[#This Row],[Date]],Database!$A:$E,5)</f>
        <v>31.6</v>
      </c>
      <c r="D54" s="26">
        <f>(((Table3[[#This Row],[Core PCE]]-$B$496)/$B$496)*100)+100</f>
        <v>22.220412050729365</v>
      </c>
      <c r="E54" s="26">
        <f>(((Table3[[#This Row],[Core CPI]]-$C$496)/$C$496)*100)+100</f>
        <v>17.683268047006152</v>
      </c>
      <c r="F54" s="60"/>
      <c r="G54" s="27">
        <f>VLOOKUP(Table3[[#This Row],[Date]],'PCE Core'!A:D,4,)</f>
        <v>1.2794882047181138E-2</v>
      </c>
    </row>
    <row r="55" spans="1:7" x14ac:dyDescent="0.35">
      <c r="A55" s="63">
        <v>23071</v>
      </c>
      <c r="B55" s="28">
        <f>VLOOKUP(Table3[[#This Row],[Date]],'PCE Core'!$A:$E,2,)</f>
        <v>17.742000000000001</v>
      </c>
      <c r="C55" s="28">
        <f>VLOOKUP(Table3[[#This Row],[Date]],Database!$A:$E,5)</f>
        <v>31.7</v>
      </c>
      <c r="D55" s="26">
        <f>(((Table3[[#This Row],[Core PCE]]-$B$496)/$B$496)*100)+100</f>
        <v>22.234197202867307</v>
      </c>
      <c r="E55" s="26">
        <f>(((Table3[[#This Row],[Core CPI]]-$C$496)/$C$496)*100)+100</f>
        <v>17.739227756015666</v>
      </c>
      <c r="F55" s="60"/>
      <c r="G55" s="27">
        <f>VLOOKUP(Table3[[#This Row],[Date]],'PCE Core'!A:D,4,)</f>
        <v>1.1055390927741203E-2</v>
      </c>
    </row>
    <row r="56" spans="1:7" x14ac:dyDescent="0.35">
      <c r="A56" s="60">
        <v>23102</v>
      </c>
      <c r="B56" s="28">
        <f>VLOOKUP(Table3[[#This Row],[Date]],'PCE Core'!$A:$E,2,)</f>
        <v>17.763000000000002</v>
      </c>
      <c r="C56" s="28">
        <f>VLOOKUP(Table3[[#This Row],[Date]],Database!$A:$E,5)</f>
        <v>31.7</v>
      </c>
      <c r="D56" s="26">
        <f>(((Table3[[#This Row],[Core PCE]]-$B$496)/$B$496)*100)+100</f>
        <v>22.260514311494319</v>
      </c>
      <c r="E56" s="26">
        <f>(((Table3[[#This Row],[Core CPI]]-$C$496)/$C$496)*100)+100</f>
        <v>17.739227756015666</v>
      </c>
      <c r="F56" s="60"/>
      <c r="G56" s="27">
        <f>VLOOKUP(Table3[[#This Row],[Date]],'PCE Core'!A:D,4,)</f>
        <v>1.2079083812888344E-2</v>
      </c>
    </row>
    <row r="57" spans="1:7" x14ac:dyDescent="0.35">
      <c r="A57" s="63">
        <v>23132</v>
      </c>
      <c r="B57" s="28">
        <f>VLOOKUP(Table3[[#This Row],[Date]],'PCE Core'!$A:$E,2,)</f>
        <v>17.795000000000002</v>
      </c>
      <c r="C57" s="26">
        <f>VLOOKUP(Table3[[#This Row],[Date]],Database!$A:$E,5)</f>
        <v>31.7</v>
      </c>
      <c r="D57" s="26">
        <f>(((Table3[[#This Row],[Core PCE]]-$B$496)/$B$496)*100)+100</f>
        <v>22.300616572259258</v>
      </c>
      <c r="E57" s="26">
        <f>(((Table3[[#This Row],[Core CPI]]-$C$496)/$C$496)*100)+100</f>
        <v>17.739227756015666</v>
      </c>
      <c r="F57" s="60"/>
      <c r="G57" s="27">
        <f>VLOOKUP(Table3[[#This Row],[Date]],'PCE Core'!A:D,4,)</f>
        <v>1.2460172963131611E-2</v>
      </c>
    </row>
    <row r="58" spans="1:7" x14ac:dyDescent="0.35">
      <c r="A58" s="60">
        <v>23163</v>
      </c>
      <c r="B58" s="28">
        <f>VLOOKUP(Table3[[#This Row],[Date]],'PCE Core'!$A:$E,2,)</f>
        <v>17.826000000000001</v>
      </c>
      <c r="C58" s="28">
        <f>VLOOKUP(Table3[[#This Row],[Date]],Database!$A:$E,5)</f>
        <v>31.8</v>
      </c>
      <c r="D58" s="26">
        <f>(((Table3[[#This Row],[Core PCE]]-$B$496)/$B$496)*100)+100</f>
        <v>22.339465637375312</v>
      </c>
      <c r="E58" s="26">
        <f>(((Table3[[#This Row],[Core CPI]]-$C$496)/$C$496)*100)+100</f>
        <v>17.79518746502518</v>
      </c>
      <c r="F58" s="60"/>
      <c r="G58" s="27">
        <f>VLOOKUP(Table3[[#This Row],[Date]],'PCE Core'!A:D,4,)</f>
        <v>1.238073602907769E-2</v>
      </c>
    </row>
    <row r="59" spans="1:7" x14ac:dyDescent="0.35">
      <c r="A59" s="63">
        <v>23193</v>
      </c>
      <c r="B59" s="28">
        <f>VLOOKUP(Table3[[#This Row],[Date]],'PCE Core'!$A:$E,2,)</f>
        <v>17.841999999999999</v>
      </c>
      <c r="C59" s="28">
        <f>VLOOKUP(Table3[[#This Row],[Date]],Database!$A:$E,5)</f>
        <v>31.8</v>
      </c>
      <c r="D59" s="26">
        <f>(((Table3[[#This Row],[Core PCE]]-$B$496)/$B$496)*100)+100</f>
        <v>22.359516767757782</v>
      </c>
      <c r="E59" s="26">
        <f>(((Table3[[#This Row],[Core CPI]]-$C$496)/$C$496)*100)+100</f>
        <v>17.79518746502518</v>
      </c>
      <c r="F59" s="60"/>
      <c r="G59" s="27">
        <f>VLOOKUP(Table3[[#This Row],[Date]],'PCE Core'!A:D,4,)</f>
        <v>1.2426942064347593E-2</v>
      </c>
    </row>
    <row r="60" spans="1:7" x14ac:dyDescent="0.35">
      <c r="A60" s="60">
        <v>23224</v>
      </c>
      <c r="B60" s="28">
        <f>VLOOKUP(Table3[[#This Row],[Date]],'PCE Core'!$A:$E,2,)</f>
        <v>17.858000000000001</v>
      </c>
      <c r="C60" s="26">
        <f>VLOOKUP(Table3[[#This Row],[Date]],Database!$A:$E,5)</f>
        <v>31.9</v>
      </c>
      <c r="D60" s="26">
        <f>(((Table3[[#This Row],[Core PCE]]-$B$496)/$B$496)*100)+100</f>
        <v>22.379567898140266</v>
      </c>
      <c r="E60" s="26">
        <f>(((Table3[[#This Row],[Core CPI]]-$C$496)/$C$496)*100)+100</f>
        <v>17.851147174034693</v>
      </c>
      <c r="F60" s="60"/>
      <c r="G60" s="27">
        <f>VLOOKUP(Table3[[#This Row],[Date]],'PCE Core'!A:D,4,)</f>
        <v>1.316237376602742E-2</v>
      </c>
    </row>
    <row r="61" spans="1:7" x14ac:dyDescent="0.35">
      <c r="A61" s="63">
        <v>23255</v>
      </c>
      <c r="B61" s="28">
        <f>VLOOKUP(Table3[[#This Row],[Date]],'PCE Core'!$A:$E,2,)</f>
        <v>17.89</v>
      </c>
      <c r="C61" s="28">
        <f>VLOOKUP(Table3[[#This Row],[Date]],Database!$A:$E,5)</f>
        <v>31.9</v>
      </c>
      <c r="D61" s="26">
        <f>(((Table3[[#This Row],[Core PCE]]-$B$496)/$B$496)*100)+100</f>
        <v>22.419670158905205</v>
      </c>
      <c r="E61" s="26">
        <f>(((Table3[[#This Row],[Core CPI]]-$C$496)/$C$496)*100)+100</f>
        <v>17.851147174034693</v>
      </c>
      <c r="F61" s="60"/>
      <c r="G61" s="27">
        <f>VLOOKUP(Table3[[#This Row],[Date]],'PCE Core'!A:D,4,)</f>
        <v>1.3023782559456423E-2</v>
      </c>
    </row>
    <row r="62" spans="1:7" x14ac:dyDescent="0.35">
      <c r="A62" s="60">
        <v>23285</v>
      </c>
      <c r="B62" s="28">
        <f>VLOOKUP(Table3[[#This Row],[Date]],'PCE Core'!$A:$E,2,)</f>
        <v>17.93</v>
      </c>
      <c r="C62" s="28">
        <f>VLOOKUP(Table3[[#This Row],[Date]],Database!$A:$E,5)</f>
        <v>32</v>
      </c>
      <c r="D62" s="26">
        <f>(((Table3[[#This Row],[Core PCE]]-$B$496)/$B$496)*100)+100</f>
        <v>22.469797984861401</v>
      </c>
      <c r="E62" s="26">
        <f>(((Table3[[#This Row],[Core CPI]]-$C$496)/$C$496)*100)+100</f>
        <v>17.907106883044207</v>
      </c>
      <c r="F62" s="60"/>
      <c r="G62" s="27">
        <f>VLOOKUP(Table3[[#This Row],[Date]],'PCE Core'!A:D,4,)</f>
        <v>1.5346282348943927E-2</v>
      </c>
    </row>
    <row r="63" spans="1:7" x14ac:dyDescent="0.35">
      <c r="A63" s="63">
        <v>23316</v>
      </c>
      <c r="B63" s="28">
        <f>VLOOKUP(Table3[[#This Row],[Date]],'PCE Core'!$A:$E,2,)</f>
        <v>17.946999999999999</v>
      </c>
      <c r="C63" s="26">
        <f>VLOOKUP(Table3[[#This Row],[Date]],Database!$A:$E,5)</f>
        <v>32</v>
      </c>
      <c r="D63" s="26">
        <f>(((Table3[[#This Row],[Core PCE]]-$B$496)/$B$496)*100)+100</f>
        <v>22.491102310892771</v>
      </c>
      <c r="E63" s="26">
        <f>(((Table3[[#This Row],[Core CPI]]-$C$496)/$C$496)*100)+100</f>
        <v>17.907106883044207</v>
      </c>
      <c r="F63" s="60"/>
      <c r="G63" s="27">
        <f>VLOOKUP(Table3[[#This Row],[Date]],'PCE Core'!A:D,4,)</f>
        <v>1.5561339972838307E-2</v>
      </c>
    </row>
    <row r="64" spans="1:7" x14ac:dyDescent="0.35">
      <c r="A64" s="60">
        <v>23346</v>
      </c>
      <c r="B64" s="28">
        <f>VLOOKUP(Table3[[#This Row],[Date]],'PCE Core'!$A:$E,2,)</f>
        <v>17.972000000000001</v>
      </c>
      <c r="C64" s="28">
        <f>VLOOKUP(Table3[[#This Row],[Date]],Database!$A:$E,5)</f>
        <v>32.1</v>
      </c>
      <c r="D64" s="26">
        <f>(((Table3[[#This Row],[Core PCE]]-$B$496)/$B$496)*100)+100</f>
        <v>22.522432202115397</v>
      </c>
      <c r="E64" s="26">
        <f>(((Table3[[#This Row],[Core CPI]]-$C$496)/$C$496)*100)+100</f>
        <v>17.963066592053721</v>
      </c>
      <c r="F64" s="60"/>
      <c r="G64" s="27">
        <f>VLOOKUP(Table3[[#This Row],[Date]],'PCE Core'!A:D,4,)</f>
        <v>1.6688352095943979E-2</v>
      </c>
    </row>
    <row r="65" spans="1:7" x14ac:dyDescent="0.35">
      <c r="A65" s="63">
        <v>23377</v>
      </c>
      <c r="B65" s="28">
        <f>VLOOKUP(Table3[[#This Row],[Date]],'PCE Core'!$A:$E,2,)</f>
        <v>17.997</v>
      </c>
      <c r="C65" s="28">
        <f>VLOOKUP(Table3[[#This Row],[Date]],Database!$A:$E,5)</f>
        <v>32.200000000000003</v>
      </c>
      <c r="D65" s="26">
        <f>(((Table3[[#This Row],[Core PCE]]-$B$496)/$B$496)*100)+100</f>
        <v>22.553762093338008</v>
      </c>
      <c r="E65" s="26">
        <f>(((Table3[[#This Row],[Core CPI]]-$C$496)/$C$496)*100)+100</f>
        <v>18.019026301063235</v>
      </c>
      <c r="F65" s="60"/>
      <c r="G65" s="27">
        <f>VLOOKUP(Table3[[#This Row],[Date]],'PCE Core'!A:D,4,)</f>
        <v>1.6148156512901666E-2</v>
      </c>
    </row>
    <row r="66" spans="1:7" x14ac:dyDescent="0.35">
      <c r="A66" s="60">
        <v>23408</v>
      </c>
      <c r="B66" s="28">
        <f>VLOOKUP(Table3[[#This Row],[Date]],'PCE Core'!$A:$E,2,)</f>
        <v>18.030999999999999</v>
      </c>
      <c r="C66" s="26">
        <f>VLOOKUP(Table3[[#This Row],[Date]],Database!$A:$E,5)</f>
        <v>32.200000000000003</v>
      </c>
      <c r="D66" s="26">
        <f>(((Table3[[#This Row],[Core PCE]]-$B$496)/$B$496)*100)+100</f>
        <v>22.596370745400776</v>
      </c>
      <c r="E66" s="26">
        <f>(((Table3[[#This Row],[Core CPI]]-$C$496)/$C$496)*100)+100</f>
        <v>18.019026301063235</v>
      </c>
      <c r="F66" s="60"/>
      <c r="G66" s="27">
        <f>VLOOKUP(Table3[[#This Row],[Date]],'PCE Core'!A:D,4,)</f>
        <v>1.6919519485646444E-2</v>
      </c>
    </row>
    <row r="67" spans="1:7" x14ac:dyDescent="0.35">
      <c r="A67" s="63">
        <v>23437</v>
      </c>
      <c r="B67" s="28">
        <f>VLOOKUP(Table3[[#This Row],[Date]],'PCE Core'!$A:$E,2,)</f>
        <v>18.047999999999998</v>
      </c>
      <c r="C67" s="28">
        <f>VLOOKUP(Table3[[#This Row],[Date]],Database!$A:$E,5)</f>
        <v>32.200000000000003</v>
      </c>
      <c r="D67" s="26">
        <f>(((Table3[[#This Row],[Core PCE]]-$B$496)/$B$496)*100)+100</f>
        <v>22.61767507143216</v>
      </c>
      <c r="E67" s="26">
        <f>(((Table3[[#This Row],[Core CPI]]-$C$496)/$C$496)*100)+100</f>
        <v>18.019026301063235</v>
      </c>
      <c r="F67" s="60"/>
      <c r="G67" s="27">
        <f>VLOOKUP(Table3[[#This Row],[Date]],'PCE Core'!A:D,4,)</f>
        <v>1.7247210010145269E-2</v>
      </c>
    </row>
    <row r="68" spans="1:7" x14ac:dyDescent="0.35">
      <c r="A68" s="60">
        <v>23468</v>
      </c>
      <c r="B68" s="28">
        <f>VLOOKUP(Table3[[#This Row],[Date]],'PCE Core'!$A:$E,2,)</f>
        <v>18.065000000000001</v>
      </c>
      <c r="C68" s="28">
        <f>VLOOKUP(Table3[[#This Row],[Date]],Database!$A:$E,5)</f>
        <v>32.200000000000003</v>
      </c>
      <c r="D68" s="26">
        <f>(((Table3[[#This Row],[Core PCE]]-$B$496)/$B$496)*100)+100</f>
        <v>22.63897939746353</v>
      </c>
      <c r="E68" s="26">
        <f>(((Table3[[#This Row],[Core CPI]]-$C$496)/$C$496)*100)+100</f>
        <v>18.019026301063235</v>
      </c>
      <c r="F68" s="60"/>
      <c r="G68" s="27">
        <f>VLOOKUP(Table3[[#This Row],[Date]],'PCE Core'!A:D,4,)</f>
        <v>1.7001632607104633E-2</v>
      </c>
    </row>
    <row r="69" spans="1:7" x14ac:dyDescent="0.35">
      <c r="A69" s="63">
        <v>23498</v>
      </c>
      <c r="B69" s="28">
        <f>VLOOKUP(Table3[[#This Row],[Date]],'PCE Core'!$A:$E,2,)</f>
        <v>18.079999999999998</v>
      </c>
      <c r="C69" s="26">
        <f>VLOOKUP(Table3[[#This Row],[Date]],Database!$A:$E,5)</f>
        <v>32.200000000000003</v>
      </c>
      <c r="D69" s="26">
        <f>(((Table3[[#This Row],[Core PCE]]-$B$496)/$B$496)*100)+100</f>
        <v>22.657777332197099</v>
      </c>
      <c r="E69" s="26">
        <f>(((Table3[[#This Row],[Core CPI]]-$C$496)/$C$496)*100)+100</f>
        <v>18.019026301063235</v>
      </c>
      <c r="F69" s="60"/>
      <c r="G69" s="27">
        <f>VLOOKUP(Table3[[#This Row],[Date]],'PCE Core'!A:D,4,)</f>
        <v>1.6015734756954007E-2</v>
      </c>
    </row>
    <row r="70" spans="1:7" x14ac:dyDescent="0.35">
      <c r="A70" s="60">
        <v>23529</v>
      </c>
      <c r="B70" s="28">
        <f>VLOOKUP(Table3[[#This Row],[Date]],'PCE Core'!$A:$E,2,)</f>
        <v>18.093</v>
      </c>
      <c r="C70" s="28">
        <f>VLOOKUP(Table3[[#This Row],[Date]],Database!$A:$E,5)</f>
        <v>32.299999999999997</v>
      </c>
      <c r="D70" s="26">
        <f>(((Table3[[#This Row],[Core PCE]]-$B$496)/$B$496)*100)+100</f>
        <v>22.674068875632869</v>
      </c>
      <c r="E70" s="26">
        <f>(((Table3[[#This Row],[Core CPI]]-$C$496)/$C$496)*100)+100</f>
        <v>18.074986010072763</v>
      </c>
      <c r="F70" s="60"/>
      <c r="G70" s="27">
        <f>VLOOKUP(Table3[[#This Row],[Date]],'PCE Core'!A:D,4,)</f>
        <v>1.4978121844496772E-2</v>
      </c>
    </row>
    <row r="71" spans="1:7" x14ac:dyDescent="0.35">
      <c r="A71" s="63">
        <v>23559</v>
      </c>
      <c r="B71" s="28">
        <f>VLOOKUP(Table3[[#This Row],[Date]],'PCE Core'!$A:$E,2,)</f>
        <v>18.111000000000001</v>
      </c>
      <c r="C71" s="28">
        <f>VLOOKUP(Table3[[#This Row],[Date]],Database!$A:$E,5)</f>
        <v>32.299999999999997</v>
      </c>
      <c r="D71" s="26">
        <f>(((Table3[[#This Row],[Core PCE]]-$B$496)/$B$496)*100)+100</f>
        <v>22.696626397313153</v>
      </c>
      <c r="E71" s="26">
        <f>(((Table3[[#This Row],[Core CPI]]-$C$496)/$C$496)*100)+100</f>
        <v>18.074986010072763</v>
      </c>
      <c r="F71" s="60"/>
      <c r="G71" s="27">
        <f>VLOOKUP(Table3[[#This Row],[Date]],'PCE Core'!A:D,4,)</f>
        <v>1.5076785113776589E-2</v>
      </c>
    </row>
    <row r="72" spans="1:7" x14ac:dyDescent="0.35">
      <c r="A72" s="60">
        <v>23590</v>
      </c>
      <c r="B72" s="28">
        <f>VLOOKUP(Table3[[#This Row],[Date]],'PCE Core'!$A:$E,2,)</f>
        <v>18.135000000000002</v>
      </c>
      <c r="C72" s="26">
        <f>VLOOKUP(Table3[[#This Row],[Date]],Database!$A:$E,5)</f>
        <v>32.299999999999997</v>
      </c>
      <c r="D72" s="26">
        <f>(((Table3[[#This Row],[Core PCE]]-$B$496)/$B$496)*100)+100</f>
        <v>22.726703092886865</v>
      </c>
      <c r="E72" s="26">
        <f>(((Table3[[#This Row],[Core CPI]]-$C$496)/$C$496)*100)+100</f>
        <v>18.074986010072763</v>
      </c>
      <c r="F72" s="60"/>
      <c r="G72" s="27">
        <f>VLOOKUP(Table3[[#This Row],[Date]],'PCE Core'!A:D,4,)</f>
        <v>1.5511255459737989E-2</v>
      </c>
    </row>
    <row r="73" spans="1:7" x14ac:dyDescent="0.35">
      <c r="A73" s="63">
        <v>23621</v>
      </c>
      <c r="B73" s="28">
        <f>VLOOKUP(Table3[[#This Row],[Date]],'PCE Core'!$A:$E,2,)</f>
        <v>18.143000000000001</v>
      </c>
      <c r="C73" s="28">
        <f>VLOOKUP(Table3[[#This Row],[Date]],Database!$A:$E,5)</f>
        <v>32.299999999999997</v>
      </c>
      <c r="D73" s="26">
        <f>(((Table3[[#This Row],[Core PCE]]-$B$496)/$B$496)*100)+100</f>
        <v>22.736728658078093</v>
      </c>
      <c r="E73" s="26">
        <f>(((Table3[[#This Row],[Core CPI]]-$C$496)/$C$496)*100)+100</f>
        <v>18.074986010072763</v>
      </c>
      <c r="F73" s="60"/>
      <c r="G73" s="27">
        <f>VLOOKUP(Table3[[#This Row],[Date]],'PCE Core'!A:D,4,)</f>
        <v>1.4141978759083292E-2</v>
      </c>
    </row>
    <row r="74" spans="1:7" x14ac:dyDescent="0.35">
      <c r="A74" s="60">
        <v>23651</v>
      </c>
      <c r="B74" s="28">
        <f>VLOOKUP(Table3[[#This Row],[Date]],'PCE Core'!$A:$E,2,)</f>
        <v>18.149000000000001</v>
      </c>
      <c r="C74" s="28">
        <f>VLOOKUP(Table3[[#This Row],[Date]],Database!$A:$E,5)</f>
        <v>32.4</v>
      </c>
      <c r="D74" s="26">
        <f>(((Table3[[#This Row],[Core PCE]]-$B$496)/$B$496)*100)+100</f>
        <v>22.744247831971535</v>
      </c>
      <c r="E74" s="26">
        <f>(((Table3[[#This Row],[Core CPI]]-$C$496)/$C$496)*100)+100</f>
        <v>18.130945719082263</v>
      </c>
      <c r="F74" s="60"/>
      <c r="G74" s="27">
        <f>VLOOKUP(Table3[[#This Row],[Date]],'PCE Core'!A:D,4,)</f>
        <v>1.221416620189633E-2</v>
      </c>
    </row>
    <row r="75" spans="1:7" x14ac:dyDescent="0.35">
      <c r="A75" s="63">
        <v>23682</v>
      </c>
      <c r="B75" s="28">
        <f>VLOOKUP(Table3[[#This Row],[Date]],'PCE Core'!$A:$E,2,)</f>
        <v>18.175999999999998</v>
      </c>
      <c r="C75" s="26">
        <f>VLOOKUP(Table3[[#This Row],[Date]],Database!$A:$E,5)</f>
        <v>32.5</v>
      </c>
      <c r="D75" s="26">
        <f>(((Table3[[#This Row],[Core PCE]]-$B$496)/$B$496)*100)+100</f>
        <v>22.778084114491961</v>
      </c>
      <c r="E75" s="26">
        <f>(((Table3[[#This Row],[Core CPI]]-$C$496)/$C$496)*100)+100</f>
        <v>18.186905428091777</v>
      </c>
      <c r="F75" s="60"/>
      <c r="G75" s="27">
        <f>VLOOKUP(Table3[[#This Row],[Date]],'PCE Core'!A:D,4,)</f>
        <v>1.2759792723017731E-2</v>
      </c>
    </row>
    <row r="76" spans="1:7" x14ac:dyDescent="0.35">
      <c r="A76" s="60">
        <v>23712</v>
      </c>
      <c r="B76" s="28">
        <f>VLOOKUP(Table3[[#This Row],[Date]],'PCE Core'!$A:$E,2,)</f>
        <v>18.201000000000001</v>
      </c>
      <c r="C76" s="28">
        <f>VLOOKUP(Table3[[#This Row],[Date]],Database!$A:$E,5)</f>
        <v>32.5</v>
      </c>
      <c r="D76" s="26">
        <f>(((Table3[[#This Row],[Core PCE]]-$B$496)/$B$496)*100)+100</f>
        <v>22.809414005714572</v>
      </c>
      <c r="E76" s="26">
        <f>(((Table3[[#This Row],[Core CPI]]-$C$496)/$C$496)*100)+100</f>
        <v>18.186905428091777</v>
      </c>
      <c r="F76" s="60"/>
      <c r="G76" s="27">
        <f>VLOOKUP(Table3[[#This Row],[Date]],'PCE Core'!A:D,4,)</f>
        <v>1.2742043178277275E-2</v>
      </c>
    </row>
    <row r="77" spans="1:7" x14ac:dyDescent="0.35">
      <c r="A77" s="63">
        <v>23743</v>
      </c>
      <c r="B77" s="28">
        <f>VLOOKUP(Table3[[#This Row],[Date]],'PCE Core'!$A:$E,2,)</f>
        <v>18.225999999999999</v>
      </c>
      <c r="C77" s="28">
        <f>VLOOKUP(Table3[[#This Row],[Date]],Database!$A:$E,5)</f>
        <v>32.6</v>
      </c>
      <c r="D77" s="26">
        <f>(((Table3[[#This Row],[Core PCE]]-$B$496)/$B$496)*100)+100</f>
        <v>22.840743896937184</v>
      </c>
      <c r="E77" s="26">
        <f>(((Table3[[#This Row],[Core CPI]]-$C$496)/$C$496)*100)+100</f>
        <v>18.242865137101276</v>
      </c>
      <c r="F77" s="60"/>
      <c r="G77" s="27">
        <f>VLOOKUP(Table3[[#This Row],[Date]],'PCE Core'!A:D,4,)</f>
        <v>1.2724342946046518E-2</v>
      </c>
    </row>
    <row r="78" spans="1:7" x14ac:dyDescent="0.35">
      <c r="A78" s="60">
        <v>23774</v>
      </c>
      <c r="B78" s="28">
        <f>VLOOKUP(Table3[[#This Row],[Date]],'PCE Core'!$A:$E,2,)</f>
        <v>18.248000000000001</v>
      </c>
      <c r="C78" s="26">
        <f>VLOOKUP(Table3[[#This Row],[Date]],Database!$A:$E,5)</f>
        <v>32.6</v>
      </c>
      <c r="D78" s="26">
        <f>(((Table3[[#This Row],[Core PCE]]-$B$496)/$B$496)*100)+100</f>
        <v>22.868314201213096</v>
      </c>
      <c r="E78" s="26">
        <f>(((Table3[[#This Row],[Core CPI]]-$C$496)/$C$496)*100)+100</f>
        <v>18.242865137101276</v>
      </c>
      <c r="F78" s="60"/>
      <c r="G78" s="27">
        <f>VLOOKUP(Table3[[#This Row],[Date]],'PCE Core'!A:D,4,)</f>
        <v>1.203482890577352E-2</v>
      </c>
    </row>
    <row r="79" spans="1:7" x14ac:dyDescent="0.35">
      <c r="A79" s="63">
        <v>23802</v>
      </c>
      <c r="B79" s="28">
        <f>VLOOKUP(Table3[[#This Row],[Date]],'PCE Core'!$A:$E,2,)</f>
        <v>18.257999999999999</v>
      </c>
      <c r="C79" s="28">
        <f>VLOOKUP(Table3[[#This Row],[Date]],Database!$A:$E,5)</f>
        <v>32.6</v>
      </c>
      <c r="D79" s="26">
        <f>(((Table3[[#This Row],[Core PCE]]-$B$496)/$B$496)*100)+100</f>
        <v>22.880846157702123</v>
      </c>
      <c r="E79" s="26">
        <f>(((Table3[[#This Row],[Core CPI]]-$C$496)/$C$496)*100)+100</f>
        <v>18.242865137101276</v>
      </c>
      <c r="F79" s="60"/>
      <c r="G79" s="27">
        <f>VLOOKUP(Table3[[#This Row],[Date]],'PCE Core'!A:D,4,)</f>
        <v>1.1635638297872388E-2</v>
      </c>
    </row>
    <row r="80" spans="1:7" x14ac:dyDescent="0.35">
      <c r="A80" s="60">
        <v>23833</v>
      </c>
      <c r="B80" s="28">
        <f>VLOOKUP(Table3[[#This Row],[Date]],'PCE Core'!$A:$E,2,)</f>
        <v>18.28</v>
      </c>
      <c r="C80" s="28">
        <f>VLOOKUP(Table3[[#This Row],[Date]],Database!$A:$E,5)</f>
        <v>32.700000000000003</v>
      </c>
      <c r="D80" s="26">
        <f>(((Table3[[#This Row],[Core PCE]]-$B$496)/$B$496)*100)+100</f>
        <v>22.908416461978049</v>
      </c>
      <c r="E80" s="26">
        <f>(((Table3[[#This Row],[Core CPI]]-$C$496)/$C$496)*100)+100</f>
        <v>18.29882484611079</v>
      </c>
      <c r="F80" s="60"/>
      <c r="G80" s="27">
        <f>VLOOKUP(Table3[[#This Row],[Date]],'PCE Core'!A:D,4,)</f>
        <v>1.1901466924993071E-2</v>
      </c>
    </row>
    <row r="81" spans="1:7" x14ac:dyDescent="0.35">
      <c r="A81" s="63">
        <v>23863</v>
      </c>
      <c r="B81" s="28">
        <f>VLOOKUP(Table3[[#This Row],[Date]],'PCE Core'!$A:$E,2,)</f>
        <v>18.314</v>
      </c>
      <c r="C81" s="26">
        <f>VLOOKUP(Table3[[#This Row],[Date]],Database!$A:$E,5)</f>
        <v>32.700000000000003</v>
      </c>
      <c r="D81" s="26">
        <f>(((Table3[[#This Row],[Core PCE]]-$B$496)/$B$496)*100)+100</f>
        <v>22.951025114040803</v>
      </c>
      <c r="E81" s="26">
        <f>(((Table3[[#This Row],[Core CPI]]-$C$496)/$C$496)*100)+100</f>
        <v>18.29882484611079</v>
      </c>
      <c r="F81" s="60"/>
      <c r="G81" s="27">
        <f>VLOOKUP(Table3[[#This Row],[Date]],'PCE Core'!A:D,4,)</f>
        <v>1.2942477876106293E-2</v>
      </c>
    </row>
    <row r="82" spans="1:7" x14ac:dyDescent="0.35">
      <c r="A82" s="60">
        <v>23894</v>
      </c>
      <c r="B82" s="28">
        <f>VLOOKUP(Table3[[#This Row],[Date]],'PCE Core'!$A:$E,2,)</f>
        <v>18.309000000000001</v>
      </c>
      <c r="C82" s="28">
        <f>VLOOKUP(Table3[[#This Row],[Date]],Database!$A:$E,5)</f>
        <v>32.700000000000003</v>
      </c>
      <c r="D82" s="26">
        <f>(((Table3[[#This Row],[Core PCE]]-$B$496)/$B$496)*100)+100</f>
        <v>22.944759135796275</v>
      </c>
      <c r="E82" s="26">
        <f>(((Table3[[#This Row],[Core CPI]]-$C$496)/$C$496)*100)+100</f>
        <v>18.29882484611079</v>
      </c>
      <c r="F82" s="60"/>
      <c r="G82" s="27">
        <f>VLOOKUP(Table3[[#This Row],[Date]],'PCE Core'!A:D,4,)</f>
        <v>1.1938318686785004E-2</v>
      </c>
    </row>
    <row r="83" spans="1:7" x14ac:dyDescent="0.35">
      <c r="A83" s="63">
        <v>23924</v>
      </c>
      <c r="B83" s="28">
        <f>VLOOKUP(Table3[[#This Row],[Date]],'PCE Core'!$A:$E,2,)</f>
        <v>18.327000000000002</v>
      </c>
      <c r="C83" s="28">
        <f>VLOOKUP(Table3[[#This Row],[Date]],Database!$A:$E,5)</f>
        <v>32.700000000000003</v>
      </c>
      <c r="D83" s="26">
        <f>(((Table3[[#This Row],[Core PCE]]-$B$496)/$B$496)*100)+100</f>
        <v>22.967316657476573</v>
      </c>
      <c r="E83" s="26">
        <f>(((Table3[[#This Row],[Core CPI]]-$C$496)/$C$496)*100)+100</f>
        <v>18.29882484611079</v>
      </c>
      <c r="F83" s="60"/>
      <c r="G83" s="27">
        <f>VLOOKUP(Table3[[#This Row],[Date]],'PCE Core'!A:D,4,)</f>
        <v>1.1926453536524823E-2</v>
      </c>
    </row>
    <row r="84" spans="1:7" x14ac:dyDescent="0.35">
      <c r="A84" s="60">
        <v>23955</v>
      </c>
      <c r="B84" s="28">
        <f>VLOOKUP(Table3[[#This Row],[Date]],'PCE Core'!$A:$E,2,)</f>
        <v>18.361999999999998</v>
      </c>
      <c r="C84" s="26">
        <f>VLOOKUP(Table3[[#This Row],[Date]],Database!$A:$E,5)</f>
        <v>32.700000000000003</v>
      </c>
      <c r="D84" s="26">
        <f>(((Table3[[#This Row],[Core PCE]]-$B$496)/$B$496)*100)+100</f>
        <v>23.011178505188226</v>
      </c>
      <c r="E84" s="26">
        <f>(((Table3[[#This Row],[Core CPI]]-$C$496)/$C$496)*100)+100</f>
        <v>18.29882484611079</v>
      </c>
      <c r="F84" s="60"/>
      <c r="G84" s="27">
        <f>VLOOKUP(Table3[[#This Row],[Date]],'PCE Core'!A:D,4,)</f>
        <v>1.2517231872070402E-2</v>
      </c>
    </row>
    <row r="85" spans="1:7" x14ac:dyDescent="0.35">
      <c r="A85" s="63">
        <v>23986</v>
      </c>
      <c r="B85" s="28">
        <f>VLOOKUP(Table3[[#This Row],[Date]],'PCE Core'!$A:$E,2,)</f>
        <v>18.384</v>
      </c>
      <c r="C85" s="28">
        <f>VLOOKUP(Table3[[#This Row],[Date]],Database!$A:$E,5)</f>
        <v>32.799999999999997</v>
      </c>
      <c r="D85" s="26">
        <f>(((Table3[[#This Row],[Core PCE]]-$B$496)/$B$496)*100)+100</f>
        <v>23.038748809464124</v>
      </c>
      <c r="E85" s="26">
        <f>(((Table3[[#This Row],[Core CPI]]-$C$496)/$C$496)*100)+100</f>
        <v>18.354784555120318</v>
      </c>
      <c r="F85" s="60"/>
      <c r="G85" s="27">
        <f>VLOOKUP(Table3[[#This Row],[Date]],'PCE Core'!A:D,4,)</f>
        <v>1.3283359973543496E-2</v>
      </c>
    </row>
    <row r="86" spans="1:7" x14ac:dyDescent="0.35">
      <c r="A86" s="60">
        <v>24016</v>
      </c>
      <c r="B86" s="28">
        <f>VLOOKUP(Table3[[#This Row],[Date]],'PCE Core'!$A:$E,2,)</f>
        <v>18.376999999999999</v>
      </c>
      <c r="C86" s="28">
        <f>VLOOKUP(Table3[[#This Row],[Date]],Database!$A:$E,5)</f>
        <v>32.799999999999997</v>
      </c>
      <c r="D86" s="26">
        <f>(((Table3[[#This Row],[Core PCE]]-$B$496)/$B$496)*100)+100</f>
        <v>23.029976439921796</v>
      </c>
      <c r="E86" s="26">
        <f>(((Table3[[#This Row],[Core CPI]]-$C$496)/$C$496)*100)+100</f>
        <v>18.354784555120318</v>
      </c>
      <c r="F86" s="60"/>
      <c r="G86" s="27">
        <f>VLOOKUP(Table3[[#This Row],[Date]],'PCE Core'!A:D,4,)</f>
        <v>1.2562675629511156E-2</v>
      </c>
    </row>
    <row r="87" spans="1:7" x14ac:dyDescent="0.35">
      <c r="A87" s="63">
        <v>24047</v>
      </c>
      <c r="B87" s="28">
        <f>VLOOKUP(Table3[[#This Row],[Date]],'PCE Core'!$A:$E,2,)</f>
        <v>18.411000000000001</v>
      </c>
      <c r="C87" s="26">
        <f>VLOOKUP(Table3[[#This Row],[Date]],Database!$A:$E,5)</f>
        <v>32.9</v>
      </c>
      <c r="D87" s="26">
        <f>(((Table3[[#This Row],[Core PCE]]-$B$496)/$B$496)*100)+100</f>
        <v>23.072585091984564</v>
      </c>
      <c r="E87" s="26">
        <f>(((Table3[[#This Row],[Core CPI]]-$C$496)/$C$496)*100)+100</f>
        <v>18.410744264129832</v>
      </c>
      <c r="F87" s="60"/>
      <c r="G87" s="27">
        <f>VLOOKUP(Table3[[#This Row],[Date]],'PCE Core'!A:D,4,)</f>
        <v>1.2929137323943827E-2</v>
      </c>
    </row>
    <row r="88" spans="1:7" x14ac:dyDescent="0.35">
      <c r="A88" s="60">
        <v>24077</v>
      </c>
      <c r="B88" s="28">
        <f>VLOOKUP(Table3[[#This Row],[Date]],'PCE Core'!$A:$E,2,)</f>
        <v>18.466999999999999</v>
      </c>
      <c r="C88" s="28">
        <f>VLOOKUP(Table3[[#This Row],[Date]],Database!$A:$E,5)</f>
        <v>33</v>
      </c>
      <c r="D88" s="26">
        <f>(((Table3[[#This Row],[Core PCE]]-$B$496)/$B$496)*100)+100</f>
        <v>23.142764048323215</v>
      </c>
      <c r="E88" s="26">
        <f>(((Table3[[#This Row],[Core CPI]]-$C$496)/$C$496)*100)+100</f>
        <v>18.466703973139346</v>
      </c>
      <c r="F88" s="60"/>
      <c r="G88" s="27">
        <f>VLOOKUP(Table3[[#This Row],[Date]],'PCE Core'!A:D,4,)</f>
        <v>1.4614581616394607E-2</v>
      </c>
    </row>
    <row r="89" spans="1:7" x14ac:dyDescent="0.35">
      <c r="A89" s="63">
        <v>24108</v>
      </c>
      <c r="B89" s="28">
        <f>VLOOKUP(Table3[[#This Row],[Date]],'PCE Core'!$A:$E,2,)</f>
        <v>18.472999999999999</v>
      </c>
      <c r="C89" s="28">
        <f>VLOOKUP(Table3[[#This Row],[Date]],Database!$A:$E,5)</f>
        <v>33</v>
      </c>
      <c r="D89" s="26">
        <f>(((Table3[[#This Row],[Core PCE]]-$B$496)/$B$496)*100)+100</f>
        <v>23.150283222216643</v>
      </c>
      <c r="E89" s="26">
        <f>(((Table3[[#This Row],[Core CPI]]-$C$496)/$C$496)*100)+100</f>
        <v>18.466703973139346</v>
      </c>
      <c r="F89" s="60"/>
      <c r="G89" s="27">
        <f>VLOOKUP(Table3[[#This Row],[Date]],'PCE Core'!A:D,4,)</f>
        <v>1.3552068473609125E-2</v>
      </c>
    </row>
    <row r="90" spans="1:7" x14ac:dyDescent="0.35">
      <c r="A90" s="60">
        <v>24139</v>
      </c>
      <c r="B90" s="28">
        <f>VLOOKUP(Table3[[#This Row],[Date]],'PCE Core'!$A:$E,2,)</f>
        <v>18.518000000000001</v>
      </c>
      <c r="C90" s="26">
        <f>VLOOKUP(Table3[[#This Row],[Date]],Database!$A:$E,5)</f>
        <v>33.1</v>
      </c>
      <c r="D90" s="26">
        <f>(((Table3[[#This Row],[Core PCE]]-$B$496)/$B$496)*100)+100</f>
        <v>23.206677026417367</v>
      </c>
      <c r="E90" s="26">
        <f>(((Table3[[#This Row],[Core CPI]]-$C$496)/$C$496)*100)+100</f>
        <v>18.52266368214886</v>
      </c>
      <c r="F90" s="60"/>
      <c r="G90" s="27">
        <f>VLOOKUP(Table3[[#This Row],[Date]],'PCE Core'!A:D,4,)</f>
        <v>1.4796142042963588E-2</v>
      </c>
    </row>
    <row r="91" spans="1:7" x14ac:dyDescent="0.35">
      <c r="A91" s="63">
        <v>24167</v>
      </c>
      <c r="B91" s="28">
        <f>VLOOKUP(Table3[[#This Row],[Date]],'PCE Core'!$A:$E,2,)</f>
        <v>18.542000000000002</v>
      </c>
      <c r="C91" s="28">
        <f>VLOOKUP(Table3[[#This Row],[Date]],Database!$A:$E,5)</f>
        <v>33.1</v>
      </c>
      <c r="D91" s="26">
        <f>(((Table3[[#This Row],[Core PCE]]-$B$496)/$B$496)*100)+100</f>
        <v>23.236753721991079</v>
      </c>
      <c r="E91" s="26">
        <f>(((Table3[[#This Row],[Core CPI]]-$C$496)/$C$496)*100)+100</f>
        <v>18.52266368214886</v>
      </c>
      <c r="F91" s="60"/>
      <c r="G91" s="27">
        <f>VLOOKUP(Table3[[#This Row],[Date]],'PCE Core'!A:D,4,)</f>
        <v>1.5554825282068271E-2</v>
      </c>
    </row>
    <row r="92" spans="1:7" x14ac:dyDescent="0.35">
      <c r="A92" s="60">
        <v>24198</v>
      </c>
      <c r="B92" s="28">
        <f>VLOOKUP(Table3[[#This Row],[Date]],'PCE Core'!$A:$E,2,)</f>
        <v>18.608000000000001</v>
      </c>
      <c r="C92" s="28">
        <f>VLOOKUP(Table3[[#This Row],[Date]],Database!$A:$E,5)</f>
        <v>33.299999999999997</v>
      </c>
      <c r="D92" s="26">
        <f>(((Table3[[#This Row],[Core PCE]]-$B$496)/$B$496)*100)+100</f>
        <v>23.319464634818786</v>
      </c>
      <c r="E92" s="26">
        <f>(((Table3[[#This Row],[Core CPI]]-$C$496)/$C$496)*100)+100</f>
        <v>18.634583100167887</v>
      </c>
      <c r="F92" s="60"/>
      <c r="G92" s="27">
        <f>VLOOKUP(Table3[[#This Row],[Date]],'PCE Core'!A:D,4,)</f>
        <v>1.7943107221006532E-2</v>
      </c>
    </row>
    <row r="93" spans="1:7" x14ac:dyDescent="0.35">
      <c r="A93" s="63">
        <v>24228</v>
      </c>
      <c r="B93" s="28">
        <f>VLOOKUP(Table3[[#This Row],[Date]],'PCE Core'!$A:$E,2,)</f>
        <v>18.657</v>
      </c>
      <c r="C93" s="26">
        <f>VLOOKUP(Table3[[#This Row],[Date]],Database!$A:$E,5)</f>
        <v>33.4</v>
      </c>
      <c r="D93" s="26">
        <f>(((Table3[[#This Row],[Core PCE]]-$B$496)/$B$496)*100)+100</f>
        <v>23.380871221615109</v>
      </c>
      <c r="E93" s="26">
        <f>(((Table3[[#This Row],[Core CPI]]-$C$496)/$C$496)*100)+100</f>
        <v>18.690542809177401</v>
      </c>
      <c r="F93" s="60"/>
      <c r="G93" s="27">
        <f>VLOOKUP(Table3[[#This Row],[Date]],'PCE Core'!A:D,4,)</f>
        <v>1.8728841323577588E-2</v>
      </c>
    </row>
    <row r="94" spans="1:7" x14ac:dyDescent="0.35">
      <c r="A94" s="60">
        <v>24259</v>
      </c>
      <c r="B94" s="28">
        <f>VLOOKUP(Table3[[#This Row],[Date]],'PCE Core'!$A:$E,2,)</f>
        <v>18.718</v>
      </c>
      <c r="C94" s="28">
        <f>VLOOKUP(Table3[[#This Row],[Date]],Database!$A:$E,5)</f>
        <v>33.5</v>
      </c>
      <c r="D94" s="26">
        <f>(((Table3[[#This Row],[Core PCE]]-$B$496)/$B$496)*100)+100</f>
        <v>23.457316156198303</v>
      </c>
      <c r="E94" s="26">
        <f>(((Table3[[#This Row],[Core CPI]]-$C$496)/$C$496)*100)+100</f>
        <v>18.746502518186901</v>
      </c>
      <c r="F94" s="60"/>
      <c r="G94" s="27">
        <f>VLOOKUP(Table3[[#This Row],[Date]],'PCE Core'!A:D,4,)</f>
        <v>2.2338740510131568E-2</v>
      </c>
    </row>
    <row r="95" spans="1:7" x14ac:dyDescent="0.35">
      <c r="A95" s="63">
        <v>24289</v>
      </c>
      <c r="B95" s="28">
        <f>VLOOKUP(Table3[[#This Row],[Date]],'PCE Core'!$A:$E,2,)</f>
        <v>18.773</v>
      </c>
      <c r="C95" s="28">
        <f>VLOOKUP(Table3[[#This Row],[Date]],Database!$A:$E,5)</f>
        <v>33.6</v>
      </c>
      <c r="D95" s="26">
        <f>(((Table3[[#This Row],[Core PCE]]-$B$496)/$B$496)*100)+100</f>
        <v>23.526241916888054</v>
      </c>
      <c r="E95" s="26">
        <f>(((Table3[[#This Row],[Core CPI]]-$C$496)/$C$496)*100)+100</f>
        <v>18.802462227196415</v>
      </c>
      <c r="F95" s="60"/>
      <c r="G95" s="27">
        <f>VLOOKUP(Table3[[#This Row],[Date]],'PCE Core'!A:D,4,)</f>
        <v>2.4335679598406608E-2</v>
      </c>
    </row>
    <row r="96" spans="1:7" x14ac:dyDescent="0.35">
      <c r="A96" s="60">
        <v>24320</v>
      </c>
      <c r="B96" s="28">
        <f>VLOOKUP(Table3[[#This Row],[Date]],'PCE Core'!$A:$E,2,)</f>
        <v>18.806999999999999</v>
      </c>
      <c r="C96" s="26">
        <f>VLOOKUP(Table3[[#This Row],[Date]],Database!$A:$E,5)</f>
        <v>33.700000000000003</v>
      </c>
      <c r="D96" s="26">
        <f>(((Table3[[#This Row],[Core PCE]]-$B$496)/$B$496)*100)+100</f>
        <v>23.568850568950822</v>
      </c>
      <c r="E96" s="26">
        <f>(((Table3[[#This Row],[Core CPI]]-$C$496)/$C$496)*100)+100</f>
        <v>18.858421936205929</v>
      </c>
      <c r="F96" s="60"/>
      <c r="G96" s="27">
        <f>VLOOKUP(Table3[[#This Row],[Date]],'PCE Core'!A:D,4,)</f>
        <v>2.4234832806883801E-2</v>
      </c>
    </row>
    <row r="97" spans="1:7" x14ac:dyDescent="0.35">
      <c r="A97" s="63">
        <v>24351</v>
      </c>
      <c r="B97" s="28">
        <f>VLOOKUP(Table3[[#This Row],[Date]],'PCE Core'!$A:$E,2,)</f>
        <v>18.864999999999998</v>
      </c>
      <c r="C97" s="28">
        <f>VLOOKUP(Table3[[#This Row],[Date]],Database!$A:$E,5)</f>
        <v>33.799999999999997</v>
      </c>
      <c r="D97" s="26">
        <f>(((Table3[[#This Row],[Core PCE]]-$B$496)/$B$496)*100)+100</f>
        <v>23.641535916587287</v>
      </c>
      <c r="E97" s="26">
        <f>(((Table3[[#This Row],[Core CPI]]-$C$496)/$C$496)*100)+100</f>
        <v>18.914381645215457</v>
      </c>
      <c r="F97" s="60"/>
      <c r="G97" s="27">
        <f>VLOOKUP(Table3[[#This Row],[Date]],'PCE Core'!A:D,4,)</f>
        <v>2.6164055700609121E-2</v>
      </c>
    </row>
    <row r="98" spans="1:7" x14ac:dyDescent="0.35">
      <c r="A98" s="60">
        <v>24381</v>
      </c>
      <c r="B98" s="28">
        <f>VLOOKUP(Table3[[#This Row],[Date]],'PCE Core'!$A:$E,2,)</f>
        <v>18.927</v>
      </c>
      <c r="C98" s="28">
        <f>VLOOKUP(Table3[[#This Row],[Date]],Database!$A:$E,5)</f>
        <v>34</v>
      </c>
      <c r="D98" s="26">
        <f>(((Table3[[#This Row],[Core PCE]]-$B$496)/$B$496)*100)+100</f>
        <v>23.719234046819381</v>
      </c>
      <c r="E98" s="26">
        <f>(((Table3[[#This Row],[Core CPI]]-$C$496)/$C$496)*100)+100</f>
        <v>19.02630106323447</v>
      </c>
      <c r="F98" s="60"/>
      <c r="G98" s="27">
        <f>VLOOKUP(Table3[[#This Row],[Date]],'PCE Core'!A:D,4,)</f>
        <v>2.9928715241878477E-2</v>
      </c>
    </row>
    <row r="99" spans="1:7" x14ac:dyDescent="0.35">
      <c r="A99" s="63">
        <v>24412</v>
      </c>
      <c r="B99" s="28">
        <f>VLOOKUP(Table3[[#This Row],[Date]],'PCE Core'!$A:$E,2,)</f>
        <v>18.975000000000001</v>
      </c>
      <c r="C99" s="26">
        <f>VLOOKUP(Table3[[#This Row],[Date]],Database!$A:$E,5)</f>
        <v>34</v>
      </c>
      <c r="D99" s="26">
        <f>(((Table3[[#This Row],[Core PCE]]-$B$496)/$B$496)*100)+100</f>
        <v>23.779387437966818</v>
      </c>
      <c r="E99" s="26">
        <f>(((Table3[[#This Row],[Core CPI]]-$C$496)/$C$496)*100)+100</f>
        <v>19.02630106323447</v>
      </c>
      <c r="F99" s="60"/>
      <c r="G99" s="27">
        <f>VLOOKUP(Table3[[#This Row],[Date]],'PCE Core'!A:D,4,)</f>
        <v>3.0633860192276357E-2</v>
      </c>
    </row>
    <row r="100" spans="1:7" x14ac:dyDescent="0.35">
      <c r="A100" s="60">
        <v>24442</v>
      </c>
      <c r="B100" s="28">
        <f>VLOOKUP(Table3[[#This Row],[Date]],'PCE Core'!$A:$E,2,)</f>
        <v>19.032</v>
      </c>
      <c r="C100" s="28">
        <f>VLOOKUP(Table3[[#This Row],[Date]],Database!$A:$E,5)</f>
        <v>34.1</v>
      </c>
      <c r="D100" s="26">
        <f>(((Table3[[#This Row],[Core PCE]]-$B$496)/$B$496)*100)+100</f>
        <v>23.850819589954369</v>
      </c>
      <c r="E100" s="26">
        <f>(((Table3[[#This Row],[Core CPI]]-$C$496)/$C$496)*100)+100</f>
        <v>19.082260772243984</v>
      </c>
      <c r="F100" s="60"/>
      <c r="G100" s="27">
        <f>VLOOKUP(Table3[[#This Row],[Date]],'PCE Core'!A:D,4,)</f>
        <v>3.059511561163163E-2</v>
      </c>
    </row>
    <row r="101" spans="1:7" x14ac:dyDescent="0.35">
      <c r="A101" s="63">
        <v>24473</v>
      </c>
      <c r="B101" s="28">
        <f>VLOOKUP(Table3[[#This Row],[Date]],'PCE Core'!$A:$E,2,)</f>
        <v>19.05</v>
      </c>
      <c r="C101" s="28">
        <f>VLOOKUP(Table3[[#This Row],[Date]],Database!$A:$E,5)</f>
        <v>34.200000000000003</v>
      </c>
      <c r="D101" s="26">
        <f>(((Table3[[#This Row],[Core PCE]]-$B$496)/$B$496)*100)+100</f>
        <v>23.873377111634667</v>
      </c>
      <c r="E101" s="26">
        <f>(((Table3[[#This Row],[Core CPI]]-$C$496)/$C$496)*100)+100</f>
        <v>19.138220481253484</v>
      </c>
      <c r="F101" s="27"/>
      <c r="G101" s="27">
        <f>VLOOKUP(Table3[[#This Row],[Date]],'PCE Core'!A:D,4,)</f>
        <v>3.1234775077139704E-2</v>
      </c>
    </row>
    <row r="102" spans="1:7" x14ac:dyDescent="0.35">
      <c r="A102" s="60">
        <v>24504</v>
      </c>
      <c r="B102" s="28">
        <f>VLOOKUP(Table3[[#This Row],[Date]],'PCE Core'!$A:$E,2,)</f>
        <v>19.084</v>
      </c>
      <c r="C102" s="26">
        <f>VLOOKUP(Table3[[#This Row],[Date]],Database!$A:$E,5)</f>
        <v>34.200000000000003</v>
      </c>
      <c r="D102" s="26">
        <f>(((Table3[[#This Row],[Core PCE]]-$B$496)/$B$496)*100)+100</f>
        <v>23.915985763697435</v>
      </c>
      <c r="E102" s="26">
        <f>(((Table3[[#This Row],[Core CPI]]-$C$496)/$C$496)*100)+100</f>
        <v>19.138220481253484</v>
      </c>
      <c r="F102" s="27"/>
      <c r="G102" s="27">
        <f>VLOOKUP(Table3[[#This Row],[Date]],'PCE Core'!A:D,4,)</f>
        <v>3.0564855815962789E-2</v>
      </c>
    </row>
    <row r="103" spans="1:7" x14ac:dyDescent="0.35">
      <c r="A103" s="63">
        <v>24532</v>
      </c>
      <c r="B103" s="28">
        <f>VLOOKUP(Table3[[#This Row],[Date]],'PCE Core'!$A:$E,2,)</f>
        <v>19.113</v>
      </c>
      <c r="C103" s="28">
        <f>VLOOKUP(Table3[[#This Row],[Date]],Database!$A:$E,5)</f>
        <v>34.299999999999997</v>
      </c>
      <c r="D103" s="26">
        <f>(((Table3[[#This Row],[Core PCE]]-$B$496)/$B$496)*100)+100</f>
        <v>23.952328437515661</v>
      </c>
      <c r="E103" s="26">
        <f>(((Table3[[#This Row],[Core CPI]]-$C$496)/$C$496)*100)+100</f>
        <v>19.194180190263026</v>
      </c>
      <c r="F103" s="27"/>
      <c r="G103" s="27">
        <f>VLOOKUP(Table3[[#This Row],[Date]],'PCE Core'!A:D,4,)</f>
        <v>3.0794952000862793E-2</v>
      </c>
    </row>
    <row r="104" spans="1:7" x14ac:dyDescent="0.35">
      <c r="A104" s="60">
        <v>24563</v>
      </c>
      <c r="B104" s="28">
        <f>VLOOKUP(Table3[[#This Row],[Date]],'PCE Core'!$A:$E,2,)</f>
        <v>19.164999999999999</v>
      </c>
      <c r="C104" s="28">
        <f>VLOOKUP(Table3[[#This Row],[Date]],Database!$A:$E,5)</f>
        <v>34.4</v>
      </c>
      <c r="D104" s="26">
        <f>(((Table3[[#This Row],[Core PCE]]-$B$496)/$B$496)*100)+100</f>
        <v>24.017494611258712</v>
      </c>
      <c r="E104" s="26">
        <f>(((Table3[[#This Row],[Core CPI]]-$C$496)/$C$496)*100)+100</f>
        <v>19.25013989927254</v>
      </c>
      <c r="F104" s="27"/>
      <c r="G104" s="27">
        <f>VLOOKUP(Table3[[#This Row],[Date]],'PCE Core'!A:D,4,)</f>
        <v>2.9933361994840854E-2</v>
      </c>
    </row>
    <row r="105" spans="1:7" x14ac:dyDescent="0.35">
      <c r="A105" s="63">
        <v>24593</v>
      </c>
      <c r="B105" s="28">
        <f>VLOOKUP(Table3[[#This Row],[Date]],'PCE Core'!$A:$E,2,)</f>
        <v>19.207999999999998</v>
      </c>
      <c r="C105" s="26">
        <f>VLOOKUP(Table3[[#This Row],[Date]],Database!$A:$E,5)</f>
        <v>34.5</v>
      </c>
      <c r="D105" s="26">
        <f>(((Table3[[#This Row],[Core PCE]]-$B$496)/$B$496)*100)+100</f>
        <v>24.071382024161608</v>
      </c>
      <c r="E105" s="26">
        <f>(((Table3[[#This Row],[Core CPI]]-$C$496)/$C$496)*100)+100</f>
        <v>19.30609960828204</v>
      </c>
      <c r="F105" s="27"/>
      <c r="G105" s="27">
        <f>VLOOKUP(Table3[[#This Row],[Date]],'PCE Core'!A:D,4,)</f>
        <v>2.9533151096103251E-2</v>
      </c>
    </row>
    <row r="106" spans="1:7" x14ac:dyDescent="0.35">
      <c r="A106" s="60">
        <v>24624</v>
      </c>
      <c r="B106" s="28">
        <f>VLOOKUP(Table3[[#This Row],[Date]],'PCE Core'!$A:$E,2,)</f>
        <v>19.257000000000001</v>
      </c>
      <c r="C106" s="28">
        <f>VLOOKUP(Table3[[#This Row],[Date]],Database!$A:$E,5)</f>
        <v>34.6</v>
      </c>
      <c r="D106" s="26">
        <f>(((Table3[[#This Row],[Core PCE]]-$B$496)/$B$496)*100)+100</f>
        <v>24.132788610957945</v>
      </c>
      <c r="E106" s="26">
        <f>(((Table3[[#This Row],[Core CPI]]-$C$496)/$C$496)*100)+100</f>
        <v>19.362059317291553</v>
      </c>
      <c r="F106" s="27"/>
      <c r="G106" s="27">
        <f>VLOOKUP(Table3[[#This Row],[Date]],'PCE Core'!A:D,4,)</f>
        <v>2.8795811518324686E-2</v>
      </c>
    </row>
    <row r="107" spans="1:7" x14ac:dyDescent="0.35">
      <c r="A107" s="63">
        <v>24654</v>
      </c>
      <c r="B107" s="28">
        <f>VLOOKUP(Table3[[#This Row],[Date]],'PCE Core'!$A:$E,2,)</f>
        <v>19.321999999999999</v>
      </c>
      <c r="C107" s="28">
        <f>VLOOKUP(Table3[[#This Row],[Date]],Database!$A:$E,5)</f>
        <v>34.700000000000003</v>
      </c>
      <c r="D107" s="26">
        <f>(((Table3[[#This Row],[Core PCE]]-$B$496)/$B$496)*100)+100</f>
        <v>24.214246328136753</v>
      </c>
      <c r="E107" s="26">
        <f>(((Table3[[#This Row],[Core CPI]]-$C$496)/$C$496)*100)+100</f>
        <v>19.418019026301053</v>
      </c>
      <c r="F107" s="27"/>
      <c r="G107" s="27">
        <f>VLOOKUP(Table3[[#This Row],[Date]],'PCE Core'!A:D,4,)</f>
        <v>2.9244127203963112E-2</v>
      </c>
    </row>
    <row r="108" spans="1:7" x14ac:dyDescent="0.35">
      <c r="A108" s="60">
        <v>24685</v>
      </c>
      <c r="B108" s="28">
        <f>VLOOKUP(Table3[[#This Row],[Date]],'PCE Core'!$A:$E,2,)</f>
        <v>19.382000000000001</v>
      </c>
      <c r="C108" s="26">
        <f>VLOOKUP(Table3[[#This Row],[Date]],Database!$A:$E,5)</f>
        <v>34.9</v>
      </c>
      <c r="D108" s="26">
        <f>(((Table3[[#This Row],[Core PCE]]-$B$496)/$B$496)*100)+100</f>
        <v>24.289438067071032</v>
      </c>
      <c r="E108" s="26">
        <f>(((Table3[[#This Row],[Core CPI]]-$C$496)/$C$496)*100)+100</f>
        <v>19.529938444320095</v>
      </c>
      <c r="F108" s="27"/>
      <c r="G108" s="27">
        <f>VLOOKUP(Table3[[#This Row],[Date]],'PCE Core'!A:D,4,)</f>
        <v>3.0573722550114472E-2</v>
      </c>
    </row>
    <row r="109" spans="1:7" x14ac:dyDescent="0.35">
      <c r="A109" s="63">
        <v>24716</v>
      </c>
      <c r="B109" s="28">
        <f>VLOOKUP(Table3[[#This Row],[Date]],'PCE Core'!$A:$E,2,)</f>
        <v>19.45</v>
      </c>
      <c r="C109" s="28">
        <f>VLOOKUP(Table3[[#This Row],[Date]],Database!$A:$E,5)</f>
        <v>35</v>
      </c>
      <c r="D109" s="26">
        <f>(((Table3[[#This Row],[Core PCE]]-$B$496)/$B$496)*100)+100</f>
        <v>24.374655371196553</v>
      </c>
      <c r="E109" s="26">
        <f>(((Table3[[#This Row],[Core CPI]]-$C$496)/$C$496)*100)+100</f>
        <v>19.585898153329609</v>
      </c>
      <c r="F109" s="27"/>
      <c r="G109" s="27">
        <f>VLOOKUP(Table3[[#This Row],[Date]],'PCE Core'!A:D,4,)</f>
        <v>3.100980652001065E-2</v>
      </c>
    </row>
    <row r="110" spans="1:7" x14ac:dyDescent="0.35">
      <c r="A110" s="60">
        <v>24746</v>
      </c>
      <c r="B110" s="28">
        <f>VLOOKUP(Table3[[#This Row],[Date]],'PCE Core'!$A:$E,2,)</f>
        <v>19.523</v>
      </c>
      <c r="C110" s="28">
        <f>VLOOKUP(Table3[[#This Row],[Date]],Database!$A:$E,5)</f>
        <v>35.1</v>
      </c>
      <c r="D110" s="26">
        <f>(((Table3[[#This Row],[Core PCE]]-$B$496)/$B$496)*100)+100</f>
        <v>24.466138653566588</v>
      </c>
      <c r="E110" s="26">
        <f>(((Table3[[#This Row],[Core CPI]]-$C$496)/$C$496)*100)+100</f>
        <v>19.641857862339123</v>
      </c>
      <c r="F110" s="27"/>
      <c r="G110" s="27">
        <f>VLOOKUP(Table3[[#This Row],[Date]],'PCE Core'!A:D,4,)</f>
        <v>3.148940666772336E-2</v>
      </c>
    </row>
    <row r="111" spans="1:7" x14ac:dyDescent="0.35">
      <c r="A111" s="63">
        <v>24777</v>
      </c>
      <c r="B111" s="28">
        <f>VLOOKUP(Table3[[#This Row],[Date]],'PCE Core'!$A:$E,2,)</f>
        <v>19.585000000000001</v>
      </c>
      <c r="C111" s="26">
        <f>VLOOKUP(Table3[[#This Row],[Date]],Database!$A:$E,5)</f>
        <v>35.200000000000003</v>
      </c>
      <c r="D111" s="26">
        <f>(((Table3[[#This Row],[Core PCE]]-$B$496)/$B$496)*100)+100</f>
        <v>24.543836783798696</v>
      </c>
      <c r="E111" s="26">
        <f>(((Table3[[#This Row],[Core CPI]]-$C$496)/$C$496)*100)+100</f>
        <v>19.697817571348622</v>
      </c>
      <c r="F111" s="27"/>
      <c r="G111" s="27">
        <f>VLOOKUP(Table3[[#This Row],[Date]],'PCE Core'!A:D,4,)</f>
        <v>3.2147562582345156E-2</v>
      </c>
    </row>
    <row r="112" spans="1:7" x14ac:dyDescent="0.35">
      <c r="A112" s="60">
        <v>24807</v>
      </c>
      <c r="B112" s="28">
        <f>VLOOKUP(Table3[[#This Row],[Date]],'PCE Core'!$A:$E,2,)</f>
        <v>19.632999999999999</v>
      </c>
      <c r="C112" s="28">
        <f>VLOOKUP(Table3[[#This Row],[Date]],Database!$A:$E,5)</f>
        <v>35.4</v>
      </c>
      <c r="D112" s="26">
        <f>(((Table3[[#This Row],[Core PCE]]-$B$496)/$B$496)*100)+100</f>
        <v>24.603990174946105</v>
      </c>
      <c r="E112" s="26">
        <f>(((Table3[[#This Row],[Core CPI]]-$C$496)/$C$496)*100)+100</f>
        <v>19.80973698936765</v>
      </c>
      <c r="F112" s="27"/>
      <c r="G112" s="27">
        <f>VLOOKUP(Table3[[#This Row],[Date]],'PCE Core'!A:D,4,)</f>
        <v>3.1578394283312265E-2</v>
      </c>
    </row>
    <row r="113" spans="1:7" x14ac:dyDescent="0.35">
      <c r="A113" s="63">
        <v>24838</v>
      </c>
      <c r="B113" s="28">
        <f>VLOOKUP(Table3[[#This Row],[Date]],'PCE Core'!$A:$E,2,)</f>
        <v>19.72</v>
      </c>
      <c r="C113" s="28">
        <f>VLOOKUP(Table3[[#This Row],[Date]],Database!$A:$E,5)</f>
        <v>35.5</v>
      </c>
      <c r="D113" s="26">
        <f>(((Table3[[#This Row],[Core PCE]]-$B$496)/$B$496)*100)+100</f>
        <v>24.71301819640081</v>
      </c>
      <c r="E113" s="26">
        <f>(((Table3[[#This Row],[Core CPI]]-$C$496)/$C$496)*100)+100</f>
        <v>19.865696698377164</v>
      </c>
      <c r="F113" s="27">
        <v>3.8011695906432663E-2</v>
      </c>
      <c r="G113" s="27">
        <f>VLOOKUP(Table3[[#This Row],[Date]],'PCE Core'!A:D,4,)</f>
        <v>3.5170603674540585E-2</v>
      </c>
    </row>
    <row r="114" spans="1:7" x14ac:dyDescent="0.35">
      <c r="A114" s="60">
        <v>24869</v>
      </c>
      <c r="B114" s="28">
        <f>VLOOKUP(Table3[[#This Row],[Date]],'PCE Core'!$A:$E,2,)</f>
        <v>19.805</v>
      </c>
      <c r="C114" s="26">
        <f>VLOOKUP(Table3[[#This Row],[Date]],Database!$A:$E,5)</f>
        <v>35.700000000000003</v>
      </c>
      <c r="D114" s="26">
        <f>(((Table3[[#This Row],[Core PCE]]-$B$496)/$B$496)*100)+100</f>
        <v>24.81953982655773</v>
      </c>
      <c r="E114" s="26">
        <f>(((Table3[[#This Row],[Core CPI]]-$C$496)/$C$496)*100)+100</f>
        <v>19.977616116396192</v>
      </c>
      <c r="F114" s="27">
        <v>4.3859649122807022E-2</v>
      </c>
      <c r="G114" s="27">
        <f>VLOOKUP(Table3[[#This Row],[Date]],'PCE Core'!A:D,4,)</f>
        <v>3.7780339551456724E-2</v>
      </c>
    </row>
    <row r="115" spans="1:7" x14ac:dyDescent="0.35">
      <c r="A115" s="63">
        <v>24898</v>
      </c>
      <c r="B115" s="28">
        <f>VLOOKUP(Table3[[#This Row],[Date]],'PCE Core'!$A:$E,2,)</f>
        <v>19.884</v>
      </c>
      <c r="C115" s="28">
        <f>VLOOKUP(Table3[[#This Row],[Date]],Database!$A:$E,5)</f>
        <v>35.799999999999997</v>
      </c>
      <c r="D115" s="26">
        <f>(((Table3[[#This Row],[Core PCE]]-$B$496)/$B$496)*100)+100</f>
        <v>24.918542282821193</v>
      </c>
      <c r="E115" s="26">
        <f>(((Table3[[#This Row],[Core CPI]]-$C$496)/$C$496)*100)+100</f>
        <v>20.03357582540572</v>
      </c>
      <c r="F115" s="27">
        <v>4.3731778425655982E-2</v>
      </c>
      <c r="G115" s="27">
        <f>VLOOKUP(Table3[[#This Row],[Date]],'PCE Core'!A:D,4,)</f>
        <v>4.0339036258044303E-2</v>
      </c>
    </row>
    <row r="116" spans="1:7" x14ac:dyDescent="0.35">
      <c r="A116" s="60">
        <v>24929</v>
      </c>
      <c r="B116" s="28">
        <f>VLOOKUP(Table3[[#This Row],[Date]],'PCE Core'!$A:$E,2,)</f>
        <v>19.957000000000001</v>
      </c>
      <c r="C116" s="28">
        <f>VLOOKUP(Table3[[#This Row],[Date]],Database!$A:$E,5)</f>
        <v>35.9</v>
      </c>
      <c r="D116" s="26">
        <f>(((Table3[[#This Row],[Core PCE]]-$B$496)/$B$496)*100)+100</f>
        <v>25.010025565191242</v>
      </c>
      <c r="E116" s="26">
        <f>(((Table3[[#This Row],[Core CPI]]-$C$496)/$C$496)*100)+100</f>
        <v>20.089535534415219</v>
      </c>
      <c r="F116" s="27">
        <v>4.3604651162790699E-2</v>
      </c>
      <c r="G116" s="27">
        <f>VLOOKUP(Table3[[#This Row],[Date]],'PCE Core'!A:D,4,)</f>
        <v>4.1325332637620747E-2</v>
      </c>
    </row>
    <row r="117" spans="1:7" x14ac:dyDescent="0.35">
      <c r="A117" s="63">
        <v>24959</v>
      </c>
      <c r="B117" s="28">
        <f>VLOOKUP(Table3[[#This Row],[Date]],'PCE Core'!$A:$E,2,)</f>
        <v>20.033000000000001</v>
      </c>
      <c r="C117" s="26">
        <f>VLOOKUP(Table3[[#This Row],[Date]],Database!$A:$E,5)</f>
        <v>36</v>
      </c>
      <c r="D117" s="26">
        <f>(((Table3[[#This Row],[Core PCE]]-$B$496)/$B$496)*100)+100</f>
        <v>25.105268434508005</v>
      </c>
      <c r="E117" s="26">
        <f>(((Table3[[#This Row],[Core CPI]]-$C$496)/$C$496)*100)+100</f>
        <v>20.145495243424733</v>
      </c>
      <c r="F117" s="27">
        <v>4.3478260869565223E-2</v>
      </c>
      <c r="G117" s="27">
        <f>VLOOKUP(Table3[[#This Row],[Date]],'PCE Core'!A:D,4,)</f>
        <v>4.2950853810912272E-2</v>
      </c>
    </row>
    <row r="118" spans="1:7" x14ac:dyDescent="0.35">
      <c r="A118" s="60">
        <v>24990</v>
      </c>
      <c r="B118" s="28">
        <f>VLOOKUP(Table3[[#This Row],[Date]],'PCE Core'!$A:$E,2,)</f>
        <v>20.111000000000001</v>
      </c>
      <c r="C118" s="28">
        <f>VLOOKUP(Table3[[#This Row],[Date]],Database!$A:$E,5)</f>
        <v>36.200000000000003</v>
      </c>
      <c r="D118" s="26">
        <f>(((Table3[[#This Row],[Core PCE]]-$B$496)/$B$496)*100)+100</f>
        <v>25.203017695122568</v>
      </c>
      <c r="E118" s="26">
        <f>(((Table3[[#This Row],[Core CPI]]-$C$496)/$C$496)*100)+100</f>
        <v>20.257414661443747</v>
      </c>
      <c r="F118" s="27">
        <v>4.6242774566474028E-2</v>
      </c>
      <c r="G118" s="27">
        <f>VLOOKUP(Table3[[#This Row],[Date]],'PCE Core'!A:D,4,)</f>
        <v>4.4347509996364914E-2</v>
      </c>
    </row>
    <row r="119" spans="1:7" x14ac:dyDescent="0.35">
      <c r="A119" s="63">
        <v>25020</v>
      </c>
      <c r="B119" s="28">
        <f>VLOOKUP(Table3[[#This Row],[Date]],'PCE Core'!$A:$E,2,)</f>
        <v>20.178000000000001</v>
      </c>
      <c r="C119" s="28">
        <f>VLOOKUP(Table3[[#This Row],[Date]],Database!$A:$E,5)</f>
        <v>36.4</v>
      </c>
      <c r="D119" s="26">
        <f>(((Table3[[#This Row],[Core PCE]]-$B$496)/$B$496)*100)+100</f>
        <v>25.286981803599176</v>
      </c>
      <c r="E119" s="26">
        <f>(((Table3[[#This Row],[Core CPI]]-$C$496)/$C$496)*100)+100</f>
        <v>20.369334079462789</v>
      </c>
      <c r="F119" s="27">
        <v>4.8991354466858657E-2</v>
      </c>
      <c r="G119" s="27">
        <f>VLOOKUP(Table3[[#This Row],[Date]],'PCE Core'!A:D,4,)</f>
        <v>4.4301832108477469E-2</v>
      </c>
    </row>
    <row r="120" spans="1:7" x14ac:dyDescent="0.35">
      <c r="A120" s="60">
        <v>25051</v>
      </c>
      <c r="B120" s="28">
        <f>VLOOKUP(Table3[[#This Row],[Date]],'PCE Core'!$A:$E,2,)</f>
        <v>20.257000000000001</v>
      </c>
      <c r="C120" s="26">
        <f>VLOOKUP(Table3[[#This Row],[Date]],Database!$A:$E,5)</f>
        <v>36.5</v>
      </c>
      <c r="D120" s="26">
        <f>(((Table3[[#This Row],[Core PCE]]-$B$496)/$B$496)*100)+100</f>
        <v>25.385984259862653</v>
      </c>
      <c r="E120" s="26">
        <f>(((Table3[[#This Row],[Core CPI]]-$C$496)/$C$496)*100)+100</f>
        <v>20.425293788472302</v>
      </c>
      <c r="F120" s="27">
        <v>4.5845272206303772E-2</v>
      </c>
      <c r="G120" s="27">
        <f>VLOOKUP(Table3[[#This Row],[Date]],'PCE Core'!A:D,4,)</f>
        <v>4.514497987823754E-2</v>
      </c>
    </row>
    <row r="121" spans="1:7" x14ac:dyDescent="0.35">
      <c r="A121" s="63">
        <v>25082</v>
      </c>
      <c r="B121" s="28">
        <f>VLOOKUP(Table3[[#This Row],[Date]],'PCE Core'!$A:$E,2,)</f>
        <v>20.338999999999999</v>
      </c>
      <c r="C121" s="28">
        <f>VLOOKUP(Table3[[#This Row],[Date]],Database!$A:$E,5)</f>
        <v>36.700000000000003</v>
      </c>
      <c r="D121" s="26">
        <f>(((Table3[[#This Row],[Core PCE]]-$B$496)/$B$496)*100)+100</f>
        <v>25.48874630307283</v>
      </c>
      <c r="E121" s="26">
        <f>(((Table3[[#This Row],[Core CPI]]-$C$496)/$C$496)*100)+100</f>
        <v>20.537213206491316</v>
      </c>
      <c r="F121" s="27">
        <v>4.8571428571428647E-2</v>
      </c>
      <c r="G121" s="27">
        <f>VLOOKUP(Table3[[#This Row],[Date]],'PCE Core'!A:D,4,)</f>
        <v>4.5706940874035956E-2</v>
      </c>
    </row>
    <row r="122" spans="1:7" x14ac:dyDescent="0.35">
      <c r="A122" s="60">
        <v>25112</v>
      </c>
      <c r="B122" s="28">
        <f>VLOOKUP(Table3[[#This Row],[Date]],'PCE Core'!$A:$E,2,)</f>
        <v>20.422000000000001</v>
      </c>
      <c r="C122" s="28">
        <f>VLOOKUP(Table3[[#This Row],[Date]],Database!$A:$E,5)</f>
        <v>36.9</v>
      </c>
      <c r="D122" s="26">
        <f>(((Table3[[#This Row],[Core PCE]]-$B$496)/$B$496)*100)+100</f>
        <v>25.592761541931921</v>
      </c>
      <c r="E122" s="26">
        <f>(((Table3[[#This Row],[Core CPI]]-$C$496)/$C$496)*100)+100</f>
        <v>20.649132624510358</v>
      </c>
      <c r="F122" s="27">
        <v>5.1282051282051197E-2</v>
      </c>
      <c r="G122" s="27">
        <f>VLOOKUP(Table3[[#This Row],[Date]],'PCE Core'!A:D,4,)</f>
        <v>4.604825078113E-2</v>
      </c>
    </row>
    <row r="123" spans="1:7" x14ac:dyDescent="0.35">
      <c r="A123" s="63">
        <v>25143</v>
      </c>
      <c r="B123" s="28">
        <f>VLOOKUP(Table3[[#This Row],[Date]],'PCE Core'!$A:$E,2,)</f>
        <v>20.498000000000001</v>
      </c>
      <c r="C123" s="26">
        <f>VLOOKUP(Table3[[#This Row],[Date]],Database!$A:$E,5)</f>
        <v>37.1</v>
      </c>
      <c r="D123" s="26">
        <f>(((Table3[[#This Row],[Core PCE]]-$B$496)/$B$496)*100)+100</f>
        <v>25.688004411248684</v>
      </c>
      <c r="E123" s="26">
        <f>(((Table3[[#This Row],[Core CPI]]-$C$496)/$C$496)*100)+100</f>
        <v>20.761052042529386</v>
      </c>
      <c r="F123" s="27">
        <v>5.3977272727272679E-2</v>
      </c>
      <c r="G123" s="27">
        <f>VLOOKUP(Table3[[#This Row],[Date]],'PCE Core'!A:D,4,)</f>
        <v>4.6617309165177444E-2</v>
      </c>
    </row>
    <row r="124" spans="1:7" x14ac:dyDescent="0.35">
      <c r="A124" s="60">
        <v>25173</v>
      </c>
      <c r="B124" s="28">
        <f>VLOOKUP(Table3[[#This Row],[Date]],'PCE Core'!$A:$E,2,)</f>
        <v>20.56</v>
      </c>
      <c r="C124" s="28">
        <f>VLOOKUP(Table3[[#This Row],[Date]],Database!$A:$E,5)</f>
        <v>37.200000000000003</v>
      </c>
      <c r="D124" s="26">
        <f>(((Table3[[#This Row],[Core PCE]]-$B$496)/$B$496)*100)+100</f>
        <v>25.765702541480778</v>
      </c>
      <c r="E124" s="26">
        <f>(((Table3[[#This Row],[Core CPI]]-$C$496)/$C$496)*100)+100</f>
        <v>20.817011751538885</v>
      </c>
      <c r="F124" s="27">
        <v>5.0847457627118772E-2</v>
      </c>
      <c r="G124" s="27">
        <f>VLOOKUP(Table3[[#This Row],[Date]],'PCE Core'!A:D,4,)</f>
        <v>4.7216421331431752E-2</v>
      </c>
    </row>
    <row r="125" spans="1:7" x14ac:dyDescent="0.35">
      <c r="A125" s="63">
        <v>25204</v>
      </c>
      <c r="B125" s="28">
        <f>VLOOKUP(Table3[[#This Row],[Date]],'PCE Core'!$A:$E,2,)</f>
        <v>20.638000000000002</v>
      </c>
      <c r="C125" s="28">
        <f>VLOOKUP(Table3[[#This Row],[Date]],Database!$A:$E,5)</f>
        <v>37.299999999999997</v>
      </c>
      <c r="D125" s="26">
        <f>(((Table3[[#This Row],[Core PCE]]-$B$496)/$B$496)*100)+100</f>
        <v>25.863451802095355</v>
      </c>
      <c r="E125" s="26">
        <f>(((Table3[[#This Row],[Core CPI]]-$C$496)/$C$496)*100)+100</f>
        <v>20.872971460548413</v>
      </c>
      <c r="F125" s="27">
        <v>5.0704225352112588E-2</v>
      </c>
      <c r="G125" s="27">
        <f>VLOOKUP(Table3[[#This Row],[Date]],'PCE Core'!A:D,4,)</f>
        <v>4.6551724137931183E-2</v>
      </c>
    </row>
    <row r="126" spans="1:7" x14ac:dyDescent="0.35">
      <c r="A126" s="60">
        <v>25235</v>
      </c>
      <c r="B126" s="28">
        <f>VLOOKUP(Table3[[#This Row],[Date]],'PCE Core'!$A:$E,2,)</f>
        <v>20.709</v>
      </c>
      <c r="C126" s="26">
        <f>VLOOKUP(Table3[[#This Row],[Date]],Database!$A:$E,5)</f>
        <v>37.6</v>
      </c>
      <c r="D126" s="26">
        <f>(((Table3[[#This Row],[Core PCE]]-$B$496)/$B$496)*100)+100</f>
        <v>25.95242869316759</v>
      </c>
      <c r="E126" s="26">
        <f>(((Table3[[#This Row],[Core CPI]]-$C$496)/$C$496)*100)+100</f>
        <v>21.040850587576941</v>
      </c>
      <c r="F126" s="27">
        <v>5.3221288515406119E-2</v>
      </c>
      <c r="G126" s="27">
        <f>VLOOKUP(Table3[[#This Row],[Date]],'PCE Core'!A:D,4,)</f>
        <v>4.5645039131532436E-2</v>
      </c>
    </row>
    <row r="127" spans="1:7" x14ac:dyDescent="0.35">
      <c r="A127" s="63">
        <v>25263</v>
      </c>
      <c r="B127" s="28">
        <f>VLOOKUP(Table3[[#This Row],[Date]],'PCE Core'!$A:$E,2,)</f>
        <v>20.805</v>
      </c>
      <c r="C127" s="28">
        <f>VLOOKUP(Table3[[#This Row],[Date]],Database!$A:$E,5)</f>
        <v>37.799999999999997</v>
      </c>
      <c r="D127" s="26">
        <f>(((Table3[[#This Row],[Core PCE]]-$B$496)/$B$496)*100)+100</f>
        <v>26.072735475462423</v>
      </c>
      <c r="E127" s="26">
        <f>(((Table3[[#This Row],[Core CPI]]-$C$496)/$C$496)*100)+100</f>
        <v>21.152770005595983</v>
      </c>
      <c r="F127" s="27">
        <v>5.5865921787709501E-2</v>
      </c>
      <c r="G127" s="27">
        <f>VLOOKUP(Table3[[#This Row],[Date]],'PCE Core'!A:D,4,)</f>
        <v>4.6318648159324044E-2</v>
      </c>
    </row>
    <row r="128" spans="1:7" x14ac:dyDescent="0.35">
      <c r="A128" s="60">
        <v>25294</v>
      </c>
      <c r="B128" s="28">
        <f>VLOOKUP(Table3[[#This Row],[Date]],'PCE Core'!$A:$E,2,)</f>
        <v>20.885999999999999</v>
      </c>
      <c r="C128" s="28">
        <f>VLOOKUP(Table3[[#This Row],[Date]],Database!$A:$E,5)</f>
        <v>38.1</v>
      </c>
      <c r="D128" s="26">
        <f>(((Table3[[#This Row],[Core PCE]]-$B$496)/$B$496)*100)+100</f>
        <v>26.1742443230237</v>
      </c>
      <c r="E128" s="26">
        <f>(((Table3[[#This Row],[Core CPI]]-$C$496)/$C$496)*100)+100</f>
        <v>21.32064913262451</v>
      </c>
      <c r="F128" s="27">
        <v>6.1281337047353841E-2</v>
      </c>
      <c r="G128" s="27">
        <f>VLOOKUP(Table3[[#This Row],[Date]],'PCE Core'!A:D,4,)</f>
        <v>4.65500826777571E-2</v>
      </c>
    </row>
    <row r="129" spans="1:7" x14ac:dyDescent="0.35">
      <c r="A129" s="63">
        <v>25324</v>
      </c>
      <c r="B129" s="28">
        <f>VLOOKUP(Table3[[#This Row],[Date]],'PCE Core'!$A:$E,2,)</f>
        <v>20.969000000000001</v>
      </c>
      <c r="C129" s="26">
        <f>VLOOKUP(Table3[[#This Row],[Date]],Database!$A:$E,5)</f>
        <v>38.1</v>
      </c>
      <c r="D129" s="26">
        <f>(((Table3[[#This Row],[Core PCE]]-$B$496)/$B$496)*100)+100</f>
        <v>26.278259561882805</v>
      </c>
      <c r="E129" s="26">
        <f>(((Table3[[#This Row],[Core CPI]]-$C$496)/$C$496)*100)+100</f>
        <v>21.32064913262451</v>
      </c>
      <c r="F129" s="27">
        <v>5.8333333333333383E-2</v>
      </c>
      <c r="G129" s="27">
        <f>VLOOKUP(Table3[[#This Row],[Date]],'PCE Core'!A:D,4,)</f>
        <v>4.6722907203114852E-2</v>
      </c>
    </row>
    <row r="130" spans="1:7" x14ac:dyDescent="0.35">
      <c r="A130" s="60">
        <v>25355</v>
      </c>
      <c r="B130" s="28">
        <f>VLOOKUP(Table3[[#This Row],[Date]],'PCE Core'!$A:$E,2,)</f>
        <v>21.041</v>
      </c>
      <c r="C130" s="28">
        <f>VLOOKUP(Table3[[#This Row],[Date]],Database!$A:$E,5)</f>
        <v>38.299999999999997</v>
      </c>
      <c r="D130" s="26">
        <f>(((Table3[[#This Row],[Core PCE]]-$B$496)/$B$496)*100)+100</f>
        <v>26.368489648603926</v>
      </c>
      <c r="E130" s="26">
        <f>(((Table3[[#This Row],[Core CPI]]-$C$496)/$C$496)*100)+100</f>
        <v>21.432568550643552</v>
      </c>
      <c r="F130" s="27">
        <v>5.8011049723756737E-2</v>
      </c>
      <c r="G130" s="27">
        <f>VLOOKUP(Table3[[#This Row],[Date]],'PCE Core'!A:D,4,)</f>
        <v>4.6243349410770213E-2</v>
      </c>
    </row>
    <row r="131" spans="1:7" x14ac:dyDescent="0.35">
      <c r="A131" s="63">
        <v>25385</v>
      </c>
      <c r="B131" s="28">
        <f>VLOOKUP(Table3[[#This Row],[Date]],'PCE Core'!$A:$E,2,)</f>
        <v>21.138999999999999</v>
      </c>
      <c r="C131" s="28">
        <f>VLOOKUP(Table3[[#This Row],[Date]],Database!$A:$E,5)</f>
        <v>38.5</v>
      </c>
      <c r="D131" s="26">
        <f>(((Table3[[#This Row],[Core PCE]]-$B$496)/$B$496)*100)+100</f>
        <v>26.491302822196587</v>
      </c>
      <c r="E131" s="26">
        <f>(((Table3[[#This Row],[Core CPI]]-$C$496)/$C$496)*100)+100</f>
        <v>21.544487968662565</v>
      </c>
      <c r="F131" s="27">
        <v>5.769230769230773E-2</v>
      </c>
      <c r="G131" s="27">
        <f>VLOOKUP(Table3[[#This Row],[Date]],'PCE Core'!A:D,4,)</f>
        <v>4.7626127465556473E-2</v>
      </c>
    </row>
    <row r="132" spans="1:7" x14ac:dyDescent="0.35">
      <c r="A132" s="60">
        <v>25416</v>
      </c>
      <c r="B132" s="28">
        <f>VLOOKUP(Table3[[#This Row],[Date]],'PCE Core'!$A:$E,2,)</f>
        <v>21.199000000000002</v>
      </c>
      <c r="C132" s="26">
        <f>VLOOKUP(Table3[[#This Row],[Date]],Database!$A:$E,5)</f>
        <v>38.700000000000003</v>
      </c>
      <c r="D132" s="26">
        <f>(((Table3[[#This Row],[Core PCE]]-$B$496)/$B$496)*100)+100</f>
        <v>26.566494561130881</v>
      </c>
      <c r="E132" s="26">
        <f>(((Table3[[#This Row],[Core CPI]]-$C$496)/$C$496)*100)+100</f>
        <v>21.656407386681593</v>
      </c>
      <c r="F132" s="27">
        <v>6.0273972602739798E-2</v>
      </c>
      <c r="G132" s="27">
        <f>VLOOKUP(Table3[[#This Row],[Date]],'PCE Core'!A:D,4,)</f>
        <v>4.6502443599743301E-2</v>
      </c>
    </row>
    <row r="133" spans="1:7" x14ac:dyDescent="0.35">
      <c r="A133" s="63">
        <v>25447</v>
      </c>
      <c r="B133" s="28">
        <f>VLOOKUP(Table3[[#This Row],[Date]],'PCE Core'!$A:$E,2,)</f>
        <v>21.283999999999999</v>
      </c>
      <c r="C133" s="28">
        <f>VLOOKUP(Table3[[#This Row],[Date]],Database!$A:$E,5)</f>
        <v>38.9</v>
      </c>
      <c r="D133" s="26">
        <f>(((Table3[[#This Row],[Core PCE]]-$B$496)/$B$496)*100)+100</f>
        <v>26.673016191287786</v>
      </c>
      <c r="E133" s="26">
        <f>(((Table3[[#This Row],[Core CPI]]-$C$496)/$C$496)*100)+100</f>
        <v>21.768326804700621</v>
      </c>
      <c r="F133" s="27">
        <v>5.994550408719334E-2</v>
      </c>
      <c r="G133" s="27">
        <f>VLOOKUP(Table3[[#This Row],[Date]],'PCE Core'!A:D,4,)</f>
        <v>4.6462461281282286E-2</v>
      </c>
    </row>
    <row r="134" spans="1:7" x14ac:dyDescent="0.35">
      <c r="A134" s="60">
        <v>25477</v>
      </c>
      <c r="B134" s="28">
        <f>VLOOKUP(Table3[[#This Row],[Date]],'PCE Core'!$A:$E,2,)</f>
        <v>21.375</v>
      </c>
      <c r="C134" s="28">
        <f>VLOOKUP(Table3[[#This Row],[Date]],Database!$A:$E,5)</f>
        <v>39.1</v>
      </c>
      <c r="D134" s="26">
        <f>(((Table3[[#This Row],[Core PCE]]-$B$496)/$B$496)*100)+100</f>
        <v>26.787056995338105</v>
      </c>
      <c r="E134" s="26">
        <f>(((Table3[[#This Row],[Core CPI]]-$C$496)/$C$496)*100)+100</f>
        <v>21.880246222719634</v>
      </c>
      <c r="F134" s="27">
        <v>5.9620596205962141E-2</v>
      </c>
      <c r="G134" s="27">
        <f>VLOOKUP(Table3[[#This Row],[Date]],'PCE Core'!A:D,4,)</f>
        <v>4.6665360885319723E-2</v>
      </c>
    </row>
    <row r="135" spans="1:7" x14ac:dyDescent="0.35">
      <c r="A135" s="63">
        <v>25508</v>
      </c>
      <c r="B135" s="28">
        <f>VLOOKUP(Table3[[#This Row],[Date]],'PCE Core'!$A:$E,2,)</f>
        <v>21.457000000000001</v>
      </c>
      <c r="C135" s="26">
        <f>VLOOKUP(Table3[[#This Row],[Date]],Database!$A:$E,5)</f>
        <v>39.200000000000003</v>
      </c>
      <c r="D135" s="26">
        <f>(((Table3[[#This Row],[Core PCE]]-$B$496)/$B$496)*100)+100</f>
        <v>26.889819038548296</v>
      </c>
      <c r="E135" s="26">
        <f>(((Table3[[#This Row],[Core CPI]]-$C$496)/$C$496)*100)+100</f>
        <v>21.936205931729148</v>
      </c>
      <c r="F135" s="27">
        <v>5.6603773584905703E-2</v>
      </c>
      <c r="G135" s="27">
        <f>VLOOKUP(Table3[[#This Row],[Date]],'PCE Core'!A:D,4,)</f>
        <v>4.6785052200214637E-2</v>
      </c>
    </row>
    <row r="136" spans="1:7" x14ac:dyDescent="0.35">
      <c r="A136" s="60">
        <v>25538</v>
      </c>
      <c r="B136" s="28">
        <f>VLOOKUP(Table3[[#This Row],[Date]],'PCE Core'!$A:$E,2,)</f>
        <v>21.536999999999999</v>
      </c>
      <c r="C136" s="28">
        <f>VLOOKUP(Table3[[#This Row],[Date]],Database!$A:$E,5)</f>
        <v>39.4</v>
      </c>
      <c r="D136" s="26">
        <f>(((Table3[[#This Row],[Core PCE]]-$B$496)/$B$496)*100)+100</f>
        <v>26.990074690460673</v>
      </c>
      <c r="E136" s="26">
        <f>(((Table3[[#This Row],[Core CPI]]-$C$496)/$C$496)*100)+100</f>
        <v>22.048125349748176</v>
      </c>
      <c r="F136" s="27">
        <v>5.9139784946236437E-2</v>
      </c>
      <c r="G136" s="27">
        <f>VLOOKUP(Table3[[#This Row],[Date]],'PCE Core'!A:D,4,)</f>
        <v>4.7519455252918306E-2</v>
      </c>
    </row>
    <row r="137" spans="1:7" x14ac:dyDescent="0.35">
      <c r="A137" s="63">
        <v>25569</v>
      </c>
      <c r="B137" s="28">
        <f>VLOOKUP(Table3[[#This Row],[Date]],'PCE Core'!$A:$E,2,)</f>
        <v>21.608000000000001</v>
      </c>
      <c r="C137" s="28">
        <f>VLOOKUP(Table3[[#This Row],[Date]],Database!$A:$E,5)</f>
        <v>39.6</v>
      </c>
      <c r="D137" s="26">
        <f>(((Table3[[#This Row],[Core PCE]]-$B$496)/$B$496)*100)+100</f>
        <v>27.079051581532909</v>
      </c>
      <c r="E137" s="26">
        <f>(((Table3[[#This Row],[Core CPI]]-$C$496)/$C$496)*100)+100</f>
        <v>22.160044767767204</v>
      </c>
      <c r="F137" s="27">
        <v>6.1662198391421029E-2</v>
      </c>
      <c r="G137" s="27">
        <f>VLOOKUP(Table3[[#This Row],[Date]],'PCE Core'!A:D,4,)</f>
        <v>4.7000678360306171E-2</v>
      </c>
    </row>
    <row r="138" spans="1:7" x14ac:dyDescent="0.35">
      <c r="A138" s="60">
        <v>25600</v>
      </c>
      <c r="B138" s="28">
        <f>VLOOKUP(Table3[[#This Row],[Date]],'PCE Core'!$A:$E,2,)</f>
        <v>21.690999999999999</v>
      </c>
      <c r="C138" s="26">
        <f>VLOOKUP(Table3[[#This Row],[Date]],Database!$A:$E,5)</f>
        <v>39.799999999999997</v>
      </c>
      <c r="D138" s="26">
        <f>(((Table3[[#This Row],[Core PCE]]-$B$496)/$B$496)*100)+100</f>
        <v>27.183066820392</v>
      </c>
      <c r="E138" s="26">
        <f>(((Table3[[#This Row],[Core CPI]]-$C$496)/$C$496)*100)+100</f>
        <v>22.271964185786246</v>
      </c>
      <c r="F138" s="27">
        <v>5.8510638297872217E-2</v>
      </c>
      <c r="G138" s="27">
        <f>VLOOKUP(Table3[[#This Row],[Date]],'PCE Core'!A:D,4,)</f>
        <v>4.7418996571538911E-2</v>
      </c>
    </row>
    <row r="139" spans="1:7" x14ac:dyDescent="0.35">
      <c r="A139" s="63">
        <v>25628</v>
      </c>
      <c r="B139" s="28">
        <f>VLOOKUP(Table3[[#This Row],[Date]],'PCE Core'!$A:$E,2,)</f>
        <v>21.771999999999998</v>
      </c>
      <c r="C139" s="28">
        <f>VLOOKUP(Table3[[#This Row],[Date]],Database!$A:$E,5)</f>
        <v>40.1</v>
      </c>
      <c r="D139" s="26">
        <f>(((Table3[[#This Row],[Core PCE]]-$B$496)/$B$496)*100)+100</f>
        <v>27.284575667953277</v>
      </c>
      <c r="E139" s="26">
        <f>(((Table3[[#This Row],[Core CPI]]-$C$496)/$C$496)*100)+100</f>
        <v>22.439843312814773</v>
      </c>
      <c r="F139" s="27">
        <v>6.0846560846560961E-2</v>
      </c>
      <c r="G139" s="27">
        <f>VLOOKUP(Table3[[#This Row],[Date]],'PCE Core'!A:D,4,)</f>
        <v>4.647921172794995E-2</v>
      </c>
    </row>
    <row r="140" spans="1:7" x14ac:dyDescent="0.35">
      <c r="A140" s="60">
        <v>25659</v>
      </c>
      <c r="B140" s="28">
        <f>VLOOKUP(Table3[[#This Row],[Date]],'PCE Core'!$A:$E,2,)</f>
        <v>21.856999999999999</v>
      </c>
      <c r="C140" s="28">
        <f>VLOOKUP(Table3[[#This Row],[Date]],Database!$A:$E,5)</f>
        <v>40.4</v>
      </c>
      <c r="D140" s="26">
        <f>(((Table3[[#This Row],[Core PCE]]-$B$496)/$B$496)*100)+100</f>
        <v>27.391097298110182</v>
      </c>
      <c r="E140" s="26">
        <f>(((Table3[[#This Row],[Core CPI]]-$C$496)/$C$496)*100)+100</f>
        <v>22.607722439843315</v>
      </c>
      <c r="F140" s="27">
        <v>6.0367454068241393E-2</v>
      </c>
      <c r="G140" s="27">
        <f>VLOOKUP(Table3[[#This Row],[Date]],'PCE Core'!A:D,4,)</f>
        <v>4.649047208656517E-2</v>
      </c>
    </row>
    <row r="141" spans="1:7" x14ac:dyDescent="0.35">
      <c r="A141" s="63">
        <v>25689</v>
      </c>
      <c r="B141" s="28">
        <f>VLOOKUP(Table3[[#This Row],[Date]],'PCE Core'!$A:$E,2,)</f>
        <v>21.934000000000001</v>
      </c>
      <c r="C141" s="26">
        <f>VLOOKUP(Table3[[#This Row],[Date]],Database!$A:$E,5)</f>
        <v>40.5</v>
      </c>
      <c r="D141" s="26">
        <f>(((Table3[[#This Row],[Core PCE]]-$B$496)/$B$496)*100)+100</f>
        <v>27.487593363075831</v>
      </c>
      <c r="E141" s="26">
        <f>(((Table3[[#This Row],[Core CPI]]-$C$496)/$C$496)*100)+100</f>
        <v>22.663682148852828</v>
      </c>
      <c r="F141" s="27">
        <v>6.2992125984251926E-2</v>
      </c>
      <c r="G141" s="27">
        <f>VLOOKUP(Table3[[#This Row],[Date]],'PCE Core'!A:D,4,)</f>
        <v>4.6020315704134666E-2</v>
      </c>
    </row>
    <row r="142" spans="1:7" x14ac:dyDescent="0.35">
      <c r="A142" s="60">
        <v>25720</v>
      </c>
      <c r="B142" s="28">
        <f>VLOOKUP(Table3[[#This Row],[Date]],'PCE Core'!$A:$E,2,)</f>
        <v>22.013999999999999</v>
      </c>
      <c r="C142" s="28">
        <f>VLOOKUP(Table3[[#This Row],[Date]],Database!$A:$E,5)</f>
        <v>40.799999999999997</v>
      </c>
      <c r="D142" s="26">
        <f>(((Table3[[#This Row],[Core PCE]]-$B$496)/$B$496)*100)+100</f>
        <v>27.587849014988208</v>
      </c>
      <c r="E142" s="26">
        <f>(((Table3[[#This Row],[Core CPI]]-$C$496)/$C$496)*100)+100</f>
        <v>22.83156127588137</v>
      </c>
      <c r="F142" s="27">
        <v>6.5274151436031339E-2</v>
      </c>
      <c r="G142" s="27">
        <f>VLOOKUP(Table3[[#This Row],[Date]],'PCE Core'!A:D,4,)</f>
        <v>4.6243049284729762E-2</v>
      </c>
    </row>
    <row r="143" spans="1:7" x14ac:dyDescent="0.35">
      <c r="A143" s="63">
        <v>25750</v>
      </c>
      <c r="B143" s="28">
        <f>VLOOKUP(Table3[[#This Row],[Date]],'PCE Core'!$A:$E,2,)</f>
        <v>22.097999999999999</v>
      </c>
      <c r="C143" s="28">
        <f>VLOOKUP(Table3[[#This Row],[Date]],Database!$A:$E,5)</f>
        <v>40.9</v>
      </c>
      <c r="D143" s="26">
        <f>(((Table3[[#This Row],[Core PCE]]-$B$496)/$B$496)*100)+100</f>
        <v>27.693117449496214</v>
      </c>
      <c r="E143" s="26">
        <f>(((Table3[[#This Row],[Core CPI]]-$C$496)/$C$496)*100)+100</f>
        <v>22.887520984890884</v>
      </c>
      <c r="F143" s="27">
        <v>6.2337662337662303E-2</v>
      </c>
      <c r="G143" s="27">
        <f>VLOOKUP(Table3[[#This Row],[Date]],'PCE Core'!A:D,4,)</f>
        <v>4.5366384407966302E-2</v>
      </c>
    </row>
    <row r="144" spans="1:7" x14ac:dyDescent="0.35">
      <c r="A144" s="60">
        <v>25781</v>
      </c>
      <c r="B144" s="28">
        <f>VLOOKUP(Table3[[#This Row],[Date]],'PCE Core'!$A:$E,2,)</f>
        <v>22.173999999999999</v>
      </c>
      <c r="C144" s="26">
        <f>VLOOKUP(Table3[[#This Row],[Date]],Database!$A:$E,5)</f>
        <v>41.1</v>
      </c>
      <c r="D144" s="26">
        <f>(((Table3[[#This Row],[Core PCE]]-$B$496)/$B$496)*100)+100</f>
        <v>27.788360318812963</v>
      </c>
      <c r="E144" s="26">
        <f>(((Table3[[#This Row],[Core CPI]]-$C$496)/$C$496)*100)+100</f>
        <v>22.999440402909897</v>
      </c>
      <c r="F144" s="27">
        <v>6.201550387596895E-2</v>
      </c>
      <c r="G144" s="27">
        <f>VLOOKUP(Table3[[#This Row],[Date]],'PCE Core'!A:D,4,)</f>
        <v>4.5992735506391706E-2</v>
      </c>
    </row>
    <row r="145" spans="1:7" x14ac:dyDescent="0.35">
      <c r="A145" s="63">
        <v>25812</v>
      </c>
      <c r="B145" s="28">
        <f>VLOOKUP(Table3[[#This Row],[Date]],'PCE Core'!$A:$E,2,)</f>
        <v>22.266999999999999</v>
      </c>
      <c r="C145" s="28">
        <f>VLOOKUP(Table3[[#This Row],[Date]],Database!$A:$E,5)</f>
        <v>41.3</v>
      </c>
      <c r="D145" s="26">
        <f>(((Table3[[#This Row],[Core PCE]]-$B$496)/$B$496)*100)+100</f>
        <v>27.90490751416111</v>
      </c>
      <c r="E145" s="26">
        <f>(((Table3[[#This Row],[Core CPI]]-$C$496)/$C$496)*100)+100</f>
        <v>23.111359820928939</v>
      </c>
      <c r="F145" s="27">
        <v>6.169665809768634E-2</v>
      </c>
      <c r="G145" s="27">
        <f>VLOOKUP(Table3[[#This Row],[Date]],'PCE Core'!A:D,4,)</f>
        <v>4.6184927645179508E-2</v>
      </c>
    </row>
    <row r="146" spans="1:7" x14ac:dyDescent="0.35">
      <c r="A146" s="60">
        <v>25842</v>
      </c>
      <c r="B146" s="28">
        <f>VLOOKUP(Table3[[#This Row],[Date]],'PCE Core'!$A:$E,2,)</f>
        <v>22.376000000000001</v>
      </c>
      <c r="C146" s="28">
        <f>VLOOKUP(Table3[[#This Row],[Date]],Database!$A:$E,5)</f>
        <v>41.5</v>
      </c>
      <c r="D146" s="26">
        <f>(((Table3[[#This Row],[Core PCE]]-$B$496)/$B$496)*100)+100</f>
        <v>28.041505839891727</v>
      </c>
      <c r="E146" s="26">
        <f>(((Table3[[#This Row],[Core CPI]]-$C$496)/$C$496)*100)+100</f>
        <v>23.223279238947953</v>
      </c>
      <c r="F146" s="27">
        <v>6.1381074168797907E-2</v>
      </c>
      <c r="G146" s="27">
        <f>VLOOKUP(Table3[[#This Row],[Date]],'PCE Core'!A:D,4,)</f>
        <v>4.6830409356725201E-2</v>
      </c>
    </row>
    <row r="147" spans="1:7" x14ac:dyDescent="0.35">
      <c r="A147" s="63">
        <v>25873</v>
      </c>
      <c r="B147" s="28">
        <f>VLOOKUP(Table3[[#This Row],[Date]],'PCE Core'!$A:$E,2,)</f>
        <v>22.492000000000001</v>
      </c>
      <c r="C147" s="26">
        <f>VLOOKUP(Table3[[#This Row],[Date]],Database!$A:$E,5)</f>
        <v>41.8</v>
      </c>
      <c r="D147" s="26">
        <f>(((Table3[[#This Row],[Core PCE]]-$B$496)/$B$496)*100)+100</f>
        <v>28.186876535164672</v>
      </c>
      <c r="E147" s="26">
        <f>(((Table3[[#This Row],[Core CPI]]-$C$496)/$C$496)*100)+100</f>
        <v>23.391158365976509</v>
      </c>
      <c r="F147" s="27">
        <v>6.632653061224475E-2</v>
      </c>
      <c r="G147" s="27">
        <f>VLOOKUP(Table3[[#This Row],[Date]],'PCE Core'!A:D,4,)</f>
        <v>4.8236006897515969E-2</v>
      </c>
    </row>
    <row r="148" spans="1:7" x14ac:dyDescent="0.35">
      <c r="A148" s="60">
        <v>25903</v>
      </c>
      <c r="B148" s="28">
        <f>VLOOKUP(Table3[[#This Row],[Date]],'PCE Core'!$A:$E,2,)</f>
        <v>22.605</v>
      </c>
      <c r="C148" s="28">
        <f>VLOOKUP(Table3[[#This Row],[Date]],Database!$A:$E,5)</f>
        <v>42</v>
      </c>
      <c r="D148" s="26">
        <f>(((Table3[[#This Row],[Core PCE]]-$B$496)/$B$496)*100)+100</f>
        <v>28.328487643490902</v>
      </c>
      <c r="E148" s="26">
        <f>(((Table3[[#This Row],[Core CPI]]-$C$496)/$C$496)*100)+100</f>
        <v>23.503077783995536</v>
      </c>
      <c r="F148" s="27">
        <v>6.5989847715736086E-2</v>
      </c>
      <c r="G148" s="27">
        <f>VLOOKUP(Table3[[#This Row],[Date]],'PCE Core'!A:D,4,)</f>
        <v>4.9589079258949779E-2</v>
      </c>
    </row>
    <row r="149" spans="1:7" x14ac:dyDescent="0.35">
      <c r="A149" s="63">
        <v>25934</v>
      </c>
      <c r="B149" s="28">
        <f>VLOOKUP(Table3[[#This Row],[Date]],'PCE Core'!$A:$E,2,)</f>
        <v>22.693999999999999</v>
      </c>
      <c r="C149" s="28">
        <f>VLOOKUP(Table3[[#This Row],[Date]],Database!$A:$E,5)</f>
        <v>42.1</v>
      </c>
      <c r="D149" s="26">
        <f>(((Table3[[#This Row],[Core PCE]]-$B$496)/$B$496)*100)+100</f>
        <v>28.440022056243421</v>
      </c>
      <c r="E149" s="26">
        <f>(((Table3[[#This Row],[Core CPI]]-$C$496)/$C$496)*100)+100</f>
        <v>23.559037493005036</v>
      </c>
      <c r="F149" s="27">
        <v>6.3131313131313135E-2</v>
      </c>
      <c r="G149" s="27">
        <f>VLOOKUP(Table3[[#This Row],[Date]],'PCE Core'!A:D,4,)</f>
        <v>5.0259163272861833E-2</v>
      </c>
    </row>
    <row r="150" spans="1:7" x14ac:dyDescent="0.35">
      <c r="A150" s="60">
        <v>25965</v>
      </c>
      <c r="B150" s="28">
        <f>VLOOKUP(Table3[[#This Row],[Date]],'PCE Core'!$A:$E,2,)</f>
        <v>22.78</v>
      </c>
      <c r="C150" s="26">
        <f>VLOOKUP(Table3[[#This Row],[Date]],Database!$A:$E,5)</f>
        <v>42.2</v>
      </c>
      <c r="D150" s="26">
        <f>(((Table3[[#This Row],[Core PCE]]-$B$496)/$B$496)*100)+100</f>
        <v>28.547796882049226</v>
      </c>
      <c r="E150" s="26">
        <f>(((Table3[[#This Row],[Core CPI]]-$C$496)/$C$496)*100)+100</f>
        <v>23.614997202014536</v>
      </c>
      <c r="F150" s="27">
        <v>6.0301507537688592E-2</v>
      </c>
      <c r="G150" s="27">
        <f>VLOOKUP(Table3[[#This Row],[Date]],'PCE Core'!A:D,4,)</f>
        <v>5.0205154211424199E-2</v>
      </c>
    </row>
    <row r="151" spans="1:7" x14ac:dyDescent="0.35">
      <c r="A151" s="63">
        <v>25993</v>
      </c>
      <c r="B151" s="28">
        <f>VLOOKUP(Table3[[#This Row],[Date]],'PCE Core'!$A:$E,2,)</f>
        <v>22.853000000000002</v>
      </c>
      <c r="C151" s="28">
        <f>VLOOKUP(Table3[[#This Row],[Date]],Database!$A:$E,5)</f>
        <v>42.2</v>
      </c>
      <c r="D151" s="26">
        <f>(((Table3[[#This Row],[Core PCE]]-$B$496)/$B$496)*100)+100</f>
        <v>28.639280164419262</v>
      </c>
      <c r="E151" s="26">
        <f>(((Table3[[#This Row],[Core CPI]]-$C$496)/$C$496)*100)+100</f>
        <v>23.614997202014536</v>
      </c>
      <c r="F151" s="27">
        <v>5.2369077306733201E-2</v>
      </c>
      <c r="G151" s="27">
        <f>VLOOKUP(Table3[[#This Row],[Date]],'PCE Core'!A:D,4,)</f>
        <v>4.965092779717082E-2</v>
      </c>
    </row>
    <row r="152" spans="1:7" x14ac:dyDescent="0.35">
      <c r="A152" s="60">
        <v>26024</v>
      </c>
      <c r="B152" s="28">
        <f>VLOOKUP(Table3[[#This Row],[Date]],'PCE Core'!$A:$E,2,)</f>
        <v>22.939</v>
      </c>
      <c r="C152" s="28">
        <f>VLOOKUP(Table3[[#This Row],[Date]],Database!$A:$E,5)</f>
        <v>42.4</v>
      </c>
      <c r="D152" s="26">
        <f>(((Table3[[#This Row],[Core PCE]]-$B$496)/$B$496)*100)+100</f>
        <v>28.747054990225081</v>
      </c>
      <c r="E152" s="26">
        <f>(((Table3[[#This Row],[Core CPI]]-$C$496)/$C$496)*100)+100</f>
        <v>23.726916620033577</v>
      </c>
      <c r="F152" s="27">
        <v>4.9504950495049507E-2</v>
      </c>
      <c r="G152" s="27">
        <f>VLOOKUP(Table3[[#This Row],[Date]],'PCE Core'!A:D,4,)</f>
        <v>4.9503591526742038E-2</v>
      </c>
    </row>
    <row r="153" spans="1:7" x14ac:dyDescent="0.35">
      <c r="A153" s="63">
        <v>26054</v>
      </c>
      <c r="B153" s="28">
        <f>VLOOKUP(Table3[[#This Row],[Date]],'PCE Core'!$A:$E,2,)</f>
        <v>23.039000000000001</v>
      </c>
      <c r="C153" s="26">
        <f>VLOOKUP(Table3[[#This Row],[Date]],Database!$A:$E,5)</f>
        <v>42.6</v>
      </c>
      <c r="D153" s="26">
        <f>(((Table3[[#This Row],[Core PCE]]-$B$496)/$B$496)*100)+100</f>
        <v>28.872374555115542</v>
      </c>
      <c r="E153" s="26">
        <f>(((Table3[[#This Row],[Core CPI]]-$C$496)/$C$496)*100)+100</f>
        <v>23.838836038052605</v>
      </c>
      <c r="F153" s="27">
        <v>5.1851851851851892E-2</v>
      </c>
      <c r="G153" s="27">
        <f>VLOOKUP(Table3[[#This Row],[Date]],'PCE Core'!A:D,4,)</f>
        <v>5.0378407951126122E-2</v>
      </c>
    </row>
    <row r="154" spans="1:7" x14ac:dyDescent="0.35">
      <c r="A154" s="60">
        <v>26085</v>
      </c>
      <c r="B154" s="28">
        <f>VLOOKUP(Table3[[#This Row],[Date]],'PCE Core'!$A:$E,2,)</f>
        <v>23.129000000000001</v>
      </c>
      <c r="C154" s="28">
        <f>VLOOKUP(Table3[[#This Row],[Date]],Database!$A:$E,5)</f>
        <v>42.8</v>
      </c>
      <c r="D154" s="26">
        <f>(((Table3[[#This Row],[Core PCE]]-$B$496)/$B$496)*100)+100</f>
        <v>28.985162163516975</v>
      </c>
      <c r="E154" s="26">
        <f>(((Table3[[#This Row],[Core CPI]]-$C$496)/$C$496)*100)+100</f>
        <v>23.950755456071633</v>
      </c>
      <c r="F154" s="27">
        <v>4.9019607843137261E-2</v>
      </c>
      <c r="G154" s="27">
        <f>VLOOKUP(Table3[[#This Row],[Date]],'PCE Core'!A:D,4,)</f>
        <v>5.0649586626692195E-2</v>
      </c>
    </row>
    <row r="155" spans="1:7" x14ac:dyDescent="0.35">
      <c r="A155" s="63">
        <v>26115</v>
      </c>
      <c r="B155" s="28">
        <f>VLOOKUP(Table3[[#This Row],[Date]],'PCE Core'!$A:$E,2,)</f>
        <v>23.218</v>
      </c>
      <c r="C155" s="28">
        <f>VLOOKUP(Table3[[#This Row],[Date]],Database!$A:$E,5)</f>
        <v>42.9</v>
      </c>
      <c r="D155" s="26">
        <f>(((Table3[[#This Row],[Core PCE]]-$B$496)/$B$496)*100)+100</f>
        <v>29.096696576269494</v>
      </c>
      <c r="E155" s="26">
        <f>(((Table3[[#This Row],[Core CPI]]-$C$496)/$C$496)*100)+100</f>
        <v>24.006715165081147</v>
      </c>
      <c r="F155" s="27">
        <v>4.8899755501222497E-2</v>
      </c>
      <c r="G155" s="27">
        <f>VLOOKUP(Table3[[#This Row],[Date]],'PCE Core'!A:D,4,)</f>
        <v>5.068331975744416E-2</v>
      </c>
    </row>
    <row r="156" spans="1:7" x14ac:dyDescent="0.35">
      <c r="A156" s="60">
        <v>26146</v>
      </c>
      <c r="B156" s="28">
        <f>VLOOKUP(Table3[[#This Row],[Date]],'PCE Core'!$A:$E,2,)</f>
        <v>23.251000000000001</v>
      </c>
      <c r="C156" s="26">
        <f>VLOOKUP(Table3[[#This Row],[Date]],Database!$A:$E,5)</f>
        <v>43</v>
      </c>
      <c r="D156" s="26">
        <f>(((Table3[[#This Row],[Core PCE]]-$B$496)/$B$496)*100)+100</f>
        <v>29.138052032683348</v>
      </c>
      <c r="E156" s="26">
        <f>(((Table3[[#This Row],[Core CPI]]-$C$496)/$C$496)*100)+100</f>
        <v>24.062674874090661</v>
      </c>
      <c r="F156" s="27">
        <v>4.6228710462287069E-2</v>
      </c>
      <c r="G156" s="27">
        <f>VLOOKUP(Table3[[#This Row],[Date]],'PCE Core'!A:D,4,)</f>
        <v>4.8570397763146103E-2</v>
      </c>
    </row>
    <row r="157" spans="1:7" x14ac:dyDescent="0.35">
      <c r="A157" s="63">
        <v>26177</v>
      </c>
      <c r="B157" s="28">
        <f>VLOOKUP(Table3[[#This Row],[Date]],'PCE Core'!$A:$E,2,)</f>
        <v>23.289000000000001</v>
      </c>
      <c r="C157" s="28">
        <f>VLOOKUP(Table3[[#This Row],[Date]],Database!$A:$E,5)</f>
        <v>43</v>
      </c>
      <c r="D157" s="26">
        <f>(((Table3[[#This Row],[Core PCE]]-$B$496)/$B$496)*100)+100</f>
        <v>29.185673467341715</v>
      </c>
      <c r="E157" s="26">
        <f>(((Table3[[#This Row],[Core CPI]]-$C$496)/$C$496)*100)+100</f>
        <v>24.062674874090661</v>
      </c>
      <c r="F157" s="27">
        <v>4.1162227602905638E-2</v>
      </c>
      <c r="G157" s="27">
        <f>VLOOKUP(Table3[[#This Row],[Date]],'PCE Core'!A:D,4,)</f>
        <v>4.5897516504244042E-2</v>
      </c>
    </row>
    <row r="158" spans="1:7" x14ac:dyDescent="0.35">
      <c r="A158" s="60">
        <v>26207</v>
      </c>
      <c r="B158" s="28">
        <f>VLOOKUP(Table3[[#This Row],[Date]],'PCE Core'!$A:$E,2,)</f>
        <v>23.326000000000001</v>
      </c>
      <c r="C158" s="28">
        <f>VLOOKUP(Table3[[#This Row],[Date]],Database!$A:$E,5)</f>
        <v>43.1</v>
      </c>
      <c r="D158" s="26">
        <f>(((Table3[[#This Row],[Core PCE]]-$B$496)/$B$496)*100)+100</f>
        <v>29.232041706351197</v>
      </c>
      <c r="E158" s="26">
        <f>(((Table3[[#This Row],[Core CPI]]-$C$496)/$C$496)*100)+100</f>
        <v>24.11863458310016</v>
      </c>
      <c r="F158" s="27">
        <v>3.8554216867469911E-2</v>
      </c>
      <c r="G158" s="27">
        <f>VLOOKUP(Table3[[#This Row],[Date]],'PCE Core'!A:D,4,)</f>
        <v>4.2456203074722886E-2</v>
      </c>
    </row>
    <row r="159" spans="1:7" x14ac:dyDescent="0.35">
      <c r="A159" s="63">
        <v>26238</v>
      </c>
      <c r="B159" s="28">
        <f>VLOOKUP(Table3[[#This Row],[Date]],'PCE Core'!$A:$E,2,)</f>
        <v>23.379000000000001</v>
      </c>
      <c r="C159" s="26">
        <f>VLOOKUP(Table3[[#This Row],[Date]],Database!$A:$E,5)</f>
        <v>43.2</v>
      </c>
      <c r="D159" s="26">
        <f>(((Table3[[#This Row],[Core PCE]]-$B$496)/$B$496)*100)+100</f>
        <v>29.298461075743148</v>
      </c>
      <c r="E159" s="26">
        <f>(((Table3[[#This Row],[Core CPI]]-$C$496)/$C$496)*100)+100</f>
        <v>24.174594292109674</v>
      </c>
      <c r="F159" s="27">
        <v>3.3492822966507317E-2</v>
      </c>
      <c r="G159" s="27">
        <f>VLOOKUP(Table3[[#This Row],[Date]],'PCE Core'!A:D,4,)</f>
        <v>3.9436243997865925E-2</v>
      </c>
    </row>
    <row r="160" spans="1:7" x14ac:dyDescent="0.35">
      <c r="A160" s="60">
        <v>26268</v>
      </c>
      <c r="B160" s="28">
        <f>VLOOKUP(Table3[[#This Row],[Date]],'PCE Core'!$A:$E,2,)</f>
        <v>23.452000000000002</v>
      </c>
      <c r="C160" s="28">
        <f>VLOOKUP(Table3[[#This Row],[Date]],Database!$A:$E,5)</f>
        <v>43.3</v>
      </c>
      <c r="D160" s="26">
        <f>(((Table3[[#This Row],[Core PCE]]-$B$496)/$B$496)*100)+100</f>
        <v>29.389944358113183</v>
      </c>
      <c r="E160" s="26">
        <f>(((Table3[[#This Row],[Core CPI]]-$C$496)/$C$496)*100)+100</f>
        <v>24.230554001119202</v>
      </c>
      <c r="F160" s="27">
        <v>3.0952380952380881E-2</v>
      </c>
      <c r="G160" s="27">
        <f>VLOOKUP(Table3[[#This Row],[Date]],'PCE Core'!A:D,4,)</f>
        <v>3.7469586374695919E-2</v>
      </c>
    </row>
    <row r="161" spans="1:7" x14ac:dyDescent="0.35">
      <c r="A161" s="63">
        <v>26299</v>
      </c>
      <c r="B161" s="28">
        <f>VLOOKUP(Table3[[#This Row],[Date]],'PCE Core'!$A:$E,2,)</f>
        <v>23.552</v>
      </c>
      <c r="C161" s="28">
        <f>VLOOKUP(Table3[[#This Row],[Date]],Database!$A:$E,5)</f>
        <v>43.5</v>
      </c>
      <c r="D161" s="26">
        <f>(((Table3[[#This Row],[Core PCE]]-$B$496)/$B$496)*100)+100</f>
        <v>29.515263923003658</v>
      </c>
      <c r="E161" s="26">
        <f>(((Table3[[#This Row],[Core CPI]]-$C$496)/$C$496)*100)+100</f>
        <v>24.342473419138216</v>
      </c>
      <c r="F161" s="27">
        <v>3.3254156769596158E-2</v>
      </c>
      <c r="G161" s="27">
        <f>VLOOKUP(Table3[[#This Row],[Date]],'PCE Core'!A:D,4,)</f>
        <v>3.7807349960341963E-2</v>
      </c>
    </row>
    <row r="162" spans="1:7" x14ac:dyDescent="0.35">
      <c r="A162" s="60">
        <v>26330</v>
      </c>
      <c r="B162" s="28">
        <f>VLOOKUP(Table3[[#This Row],[Date]],'PCE Core'!$A:$E,2,)</f>
        <v>23.614999999999998</v>
      </c>
      <c r="C162" s="26">
        <f>VLOOKUP(Table3[[#This Row],[Date]],Database!$A:$E,5)</f>
        <v>43.6</v>
      </c>
      <c r="D162" s="26">
        <f>(((Table3[[#This Row],[Core PCE]]-$B$496)/$B$496)*100)+100</f>
        <v>29.594215248884652</v>
      </c>
      <c r="E162" s="26">
        <f>(((Table3[[#This Row],[Core CPI]]-$C$496)/$C$496)*100)+100</f>
        <v>24.39843312814773</v>
      </c>
      <c r="F162" s="27">
        <v>3.3175355450236928E-2</v>
      </c>
      <c r="G162" s="27">
        <f>VLOOKUP(Table3[[#This Row],[Date]],'PCE Core'!A:D,4,)</f>
        <v>3.6654960491659228E-2</v>
      </c>
    </row>
    <row r="163" spans="1:7" x14ac:dyDescent="0.35">
      <c r="A163" s="63">
        <v>26359</v>
      </c>
      <c r="B163" s="28">
        <f>VLOOKUP(Table3[[#This Row],[Date]],'PCE Core'!$A:$E,2,)</f>
        <v>23.661999999999999</v>
      </c>
      <c r="C163" s="28">
        <f>VLOOKUP(Table3[[#This Row],[Date]],Database!$A:$E,5)</f>
        <v>43.6</v>
      </c>
      <c r="D163" s="26">
        <f>(((Table3[[#This Row],[Core PCE]]-$B$496)/$B$496)*100)+100</f>
        <v>29.653115444383175</v>
      </c>
      <c r="E163" s="26">
        <f>(((Table3[[#This Row],[Core CPI]]-$C$496)/$C$496)*100)+100</f>
        <v>24.39843312814773</v>
      </c>
      <c r="F163" s="27">
        <v>3.3175355450236928E-2</v>
      </c>
      <c r="G163" s="27">
        <f>VLOOKUP(Table3[[#This Row],[Date]],'PCE Core'!A:D,4,)</f>
        <v>3.5400166280138166E-2</v>
      </c>
    </row>
    <row r="164" spans="1:7" x14ac:dyDescent="0.35">
      <c r="A164" s="60">
        <v>26390</v>
      </c>
      <c r="B164" s="28">
        <f>VLOOKUP(Table3[[#This Row],[Date]],'PCE Core'!$A:$E,2,)</f>
        <v>23.716999999999999</v>
      </c>
      <c r="C164" s="28">
        <f>VLOOKUP(Table3[[#This Row],[Date]],Database!$A:$E,5)</f>
        <v>43.8</v>
      </c>
      <c r="D164" s="26">
        <f>(((Table3[[#This Row],[Core PCE]]-$B$496)/$B$496)*100)+100</f>
        <v>29.722041205072941</v>
      </c>
      <c r="E164" s="26">
        <f>(((Table3[[#This Row],[Core CPI]]-$C$496)/$C$496)*100)+100</f>
        <v>24.510352546166772</v>
      </c>
      <c r="F164" s="27">
        <v>3.3018867924528267E-2</v>
      </c>
      <c r="G164" s="27">
        <f>VLOOKUP(Table3[[#This Row],[Date]],'PCE Core'!A:D,4,)</f>
        <v>3.3916038188238316E-2</v>
      </c>
    </row>
    <row r="165" spans="1:7" x14ac:dyDescent="0.35">
      <c r="A165" s="63">
        <v>26420</v>
      </c>
      <c r="B165" s="28">
        <f>VLOOKUP(Table3[[#This Row],[Date]],'PCE Core'!$A:$E,2,)</f>
        <v>23.771999999999998</v>
      </c>
      <c r="C165" s="26">
        <f>VLOOKUP(Table3[[#This Row],[Date]],Database!$A:$E,5)</f>
        <v>43.9</v>
      </c>
      <c r="D165" s="26">
        <f>(((Table3[[#This Row],[Core PCE]]-$B$496)/$B$496)*100)+100</f>
        <v>29.790966965762692</v>
      </c>
      <c r="E165" s="26">
        <f>(((Table3[[#This Row],[Core CPI]]-$C$496)/$C$496)*100)+100</f>
        <v>24.566312255176285</v>
      </c>
      <c r="F165" s="27">
        <v>3.051643192488256E-2</v>
      </c>
      <c r="G165" s="27">
        <f>VLOOKUP(Table3[[#This Row],[Date]],'PCE Core'!A:D,4,)</f>
        <v>3.1815616997265372E-2</v>
      </c>
    </row>
    <row r="166" spans="1:7" x14ac:dyDescent="0.35">
      <c r="A166" s="60">
        <v>26451</v>
      </c>
      <c r="B166" s="28">
        <f>VLOOKUP(Table3[[#This Row],[Date]],'PCE Core'!$A:$E,2,)</f>
        <v>23.818999999999999</v>
      </c>
      <c r="C166" s="28">
        <f>VLOOKUP(Table3[[#This Row],[Date]],Database!$A:$E,5)</f>
        <v>44</v>
      </c>
      <c r="D166" s="26">
        <f>(((Table3[[#This Row],[Core PCE]]-$B$496)/$B$496)*100)+100</f>
        <v>29.849867161261216</v>
      </c>
      <c r="E166" s="26">
        <f>(((Table3[[#This Row],[Core CPI]]-$C$496)/$C$496)*100)+100</f>
        <v>24.622271964185785</v>
      </c>
      <c r="F166" s="27">
        <v>2.8037383177570159E-2</v>
      </c>
      <c r="G166" s="27">
        <f>VLOOKUP(Table3[[#This Row],[Date]],'PCE Core'!A:D,4,)</f>
        <v>2.9832677590903096E-2</v>
      </c>
    </row>
    <row r="167" spans="1:7" x14ac:dyDescent="0.35">
      <c r="A167" s="63">
        <v>26481</v>
      </c>
      <c r="B167" s="28">
        <f>VLOOKUP(Table3[[#This Row],[Date]],'PCE Core'!$A:$E,2,)</f>
        <v>23.888000000000002</v>
      </c>
      <c r="C167" s="28">
        <f>VLOOKUP(Table3[[#This Row],[Date]],Database!$A:$E,5)</f>
        <v>44.1</v>
      </c>
      <c r="D167" s="26">
        <f>(((Table3[[#This Row],[Core PCE]]-$B$496)/$B$496)*100)+100</f>
        <v>29.936337661035651</v>
      </c>
      <c r="E167" s="26">
        <f>(((Table3[[#This Row],[Core CPI]]-$C$496)/$C$496)*100)+100</f>
        <v>24.678231673195299</v>
      </c>
      <c r="F167" s="27">
        <v>2.7972027972028041E-2</v>
      </c>
      <c r="G167" s="27">
        <f>VLOOKUP(Table3[[#This Row],[Date]],'PCE Core'!A:D,4,)</f>
        <v>2.8856921354121875E-2</v>
      </c>
    </row>
    <row r="168" spans="1:7" x14ac:dyDescent="0.35">
      <c r="A168" s="60">
        <v>26512</v>
      </c>
      <c r="B168" s="28">
        <f>VLOOKUP(Table3[[#This Row],[Date]],'PCE Core'!$A:$E,2,)</f>
        <v>23.937999999999999</v>
      </c>
      <c r="C168" s="26">
        <f>VLOOKUP(Table3[[#This Row],[Date]],Database!$A:$E,5)</f>
        <v>44.3</v>
      </c>
      <c r="D168" s="26">
        <f>(((Table3[[#This Row],[Core PCE]]-$B$496)/$B$496)*100)+100</f>
        <v>29.998997443480874</v>
      </c>
      <c r="E168" s="26">
        <f>(((Table3[[#This Row],[Core CPI]]-$C$496)/$C$496)*100)+100</f>
        <v>24.790151091214327</v>
      </c>
      <c r="F168" s="27">
        <v>3.0232558139534821E-2</v>
      </c>
      <c r="G168" s="27">
        <f>VLOOKUP(Table3[[#This Row],[Date]],'PCE Core'!A:D,4,)</f>
        <v>2.954711625306428E-2</v>
      </c>
    </row>
    <row r="169" spans="1:7" x14ac:dyDescent="0.35">
      <c r="A169" s="63">
        <v>26543</v>
      </c>
      <c r="B169" s="28">
        <f>VLOOKUP(Table3[[#This Row],[Date]],'PCE Core'!$A:$E,2,)</f>
        <v>24.018000000000001</v>
      </c>
      <c r="C169" s="28">
        <f>VLOOKUP(Table3[[#This Row],[Date]],Database!$A:$E,5)</f>
        <v>44.3</v>
      </c>
      <c r="D169" s="26">
        <f>(((Table3[[#This Row],[Core PCE]]-$B$496)/$B$496)*100)+100</f>
        <v>30.099253095393252</v>
      </c>
      <c r="E169" s="26">
        <f>(((Table3[[#This Row],[Core CPI]]-$C$496)/$C$496)*100)+100</f>
        <v>24.790151091214327</v>
      </c>
      <c r="F169" s="27">
        <v>3.0232558139534821E-2</v>
      </c>
      <c r="G169" s="27">
        <f>VLOOKUP(Table3[[#This Row],[Date]],'PCE Core'!A:D,4,)</f>
        <v>3.130233157284551E-2</v>
      </c>
    </row>
    <row r="170" spans="1:7" x14ac:dyDescent="0.35">
      <c r="A170" s="60">
        <v>26573</v>
      </c>
      <c r="B170" s="28">
        <f>VLOOKUP(Table3[[#This Row],[Date]],'PCE Core'!$A:$E,2,)</f>
        <v>24.032</v>
      </c>
      <c r="C170" s="28">
        <f>VLOOKUP(Table3[[#This Row],[Date]],Database!$A:$E,5)</f>
        <v>44.4</v>
      </c>
      <c r="D170" s="26">
        <f>(((Table3[[#This Row],[Core PCE]]-$B$496)/$B$496)*100)+100</f>
        <v>30.116797834477921</v>
      </c>
      <c r="E170" s="26">
        <f>(((Table3[[#This Row],[Core CPI]]-$C$496)/$C$496)*100)+100</f>
        <v>24.84611080022384</v>
      </c>
      <c r="F170" s="27">
        <v>3.0162412993039379E-2</v>
      </c>
      <c r="G170" s="27">
        <f>VLOOKUP(Table3[[#This Row],[Date]],'PCE Core'!A:D,4,)</f>
        <v>3.0266655234502251E-2</v>
      </c>
    </row>
    <row r="171" spans="1:7" x14ac:dyDescent="0.35">
      <c r="A171" s="63">
        <v>26604</v>
      </c>
      <c r="B171" s="28">
        <f>VLOOKUP(Table3[[#This Row],[Date]],'PCE Core'!$A:$E,2,)</f>
        <v>24.094999999999999</v>
      </c>
      <c r="C171" s="26">
        <f>VLOOKUP(Table3[[#This Row],[Date]],Database!$A:$E,5)</f>
        <v>44.4</v>
      </c>
      <c r="D171" s="26">
        <f>(((Table3[[#This Row],[Core PCE]]-$B$496)/$B$496)*100)+100</f>
        <v>30.195749160358915</v>
      </c>
      <c r="E171" s="26">
        <f>(((Table3[[#This Row],[Core CPI]]-$C$496)/$C$496)*100)+100</f>
        <v>24.84611080022384</v>
      </c>
      <c r="F171" s="27">
        <v>2.7777777777777679E-2</v>
      </c>
      <c r="G171" s="27">
        <f>VLOOKUP(Table3[[#This Row],[Date]],'PCE Core'!A:D,4,)</f>
        <v>3.0625775268403162E-2</v>
      </c>
    </row>
    <row r="172" spans="1:7" x14ac:dyDescent="0.35">
      <c r="A172" s="60">
        <v>26634</v>
      </c>
      <c r="B172" s="28">
        <f>VLOOKUP(Table3[[#This Row],[Date]],'PCE Core'!$A:$E,2,)</f>
        <v>24.167999999999999</v>
      </c>
      <c r="C172" s="28">
        <f>VLOOKUP(Table3[[#This Row],[Date]],Database!$A:$E,5)</f>
        <v>44.6</v>
      </c>
      <c r="D172" s="26">
        <f>(((Table3[[#This Row],[Core PCE]]-$B$496)/$B$496)*100)+100</f>
        <v>30.28723244272895</v>
      </c>
      <c r="E172" s="26">
        <f>(((Table3[[#This Row],[Core CPI]]-$C$496)/$C$496)*100)+100</f>
        <v>24.958030218242868</v>
      </c>
      <c r="F172" s="27">
        <v>3.002309468822181E-2</v>
      </c>
      <c r="G172" s="27">
        <f>VLOOKUP(Table3[[#This Row],[Date]],'PCE Core'!A:D,4,)</f>
        <v>3.0530445164591399E-2</v>
      </c>
    </row>
    <row r="173" spans="1:7" x14ac:dyDescent="0.35">
      <c r="A173" s="63">
        <v>26665</v>
      </c>
      <c r="B173" s="28">
        <f>VLOOKUP(Table3[[#This Row],[Date]],'PCE Core'!$A:$E,2,)</f>
        <v>24.183</v>
      </c>
      <c r="C173" s="28">
        <f>VLOOKUP(Table3[[#This Row],[Date]],Database!$A:$E,5)</f>
        <v>44.6</v>
      </c>
      <c r="D173" s="26">
        <f>(((Table3[[#This Row],[Core PCE]]-$B$496)/$B$496)*100)+100</f>
        <v>30.30603037746252</v>
      </c>
      <c r="E173" s="26">
        <f>(((Table3[[#This Row],[Core CPI]]-$C$496)/$C$496)*100)+100</f>
        <v>24.958030218242868</v>
      </c>
      <c r="F173" s="27">
        <v>2.5287356321839111E-2</v>
      </c>
      <c r="G173" s="27">
        <f>VLOOKUP(Table3[[#This Row],[Date]],'PCE Core'!A:D,4,)</f>
        <v>2.6791779891304358E-2</v>
      </c>
    </row>
    <row r="174" spans="1:7" x14ac:dyDescent="0.35">
      <c r="A174" s="60">
        <v>26696</v>
      </c>
      <c r="B174" s="28">
        <f>VLOOKUP(Table3[[#This Row],[Date]],'PCE Core'!$A:$E,2,)</f>
        <v>24.259</v>
      </c>
      <c r="C174" s="26">
        <f>VLOOKUP(Table3[[#This Row],[Date]],Database!$A:$E,5)</f>
        <v>44.8</v>
      </c>
      <c r="D174" s="26">
        <f>(((Table3[[#This Row],[Core PCE]]-$B$496)/$B$496)*100)+100</f>
        <v>30.401273246779283</v>
      </c>
      <c r="E174" s="26">
        <f>(((Table3[[#This Row],[Core CPI]]-$C$496)/$C$496)*100)+100</f>
        <v>25.069949636261896</v>
      </c>
      <c r="F174" s="27">
        <v>2.7522935779816411E-2</v>
      </c>
      <c r="G174" s="27">
        <f>VLOOKUP(Table3[[#This Row],[Date]],'PCE Core'!A:D,4,)</f>
        <v>2.7270802456066143E-2</v>
      </c>
    </row>
    <row r="175" spans="1:7" x14ac:dyDescent="0.35">
      <c r="A175" s="63">
        <v>26724</v>
      </c>
      <c r="B175" s="28">
        <f>VLOOKUP(Table3[[#This Row],[Date]],'PCE Core'!$A:$E,2,)</f>
        <v>24.356999999999999</v>
      </c>
      <c r="C175" s="28">
        <f>VLOOKUP(Table3[[#This Row],[Date]],Database!$A:$E,5)</f>
        <v>45</v>
      </c>
      <c r="D175" s="26">
        <f>(((Table3[[#This Row],[Core PCE]]-$B$496)/$B$496)*100)+100</f>
        <v>30.524086420371944</v>
      </c>
      <c r="E175" s="26">
        <f>(((Table3[[#This Row],[Core CPI]]-$C$496)/$C$496)*100)+100</f>
        <v>25.181869054280909</v>
      </c>
      <c r="F175" s="27">
        <v>3.2110091743119233E-2</v>
      </c>
      <c r="G175" s="27">
        <f>VLOOKUP(Table3[[#This Row],[Date]],'PCE Core'!A:D,4,)</f>
        <v>2.9371988842870438E-2</v>
      </c>
    </row>
    <row r="176" spans="1:7" x14ac:dyDescent="0.35">
      <c r="A176" s="60">
        <v>26755</v>
      </c>
      <c r="B176" s="28">
        <f>VLOOKUP(Table3[[#This Row],[Date]],'PCE Core'!$A:$E,2,)</f>
        <v>24.498000000000001</v>
      </c>
      <c r="C176" s="28">
        <f>VLOOKUP(Table3[[#This Row],[Date]],Database!$A:$E,5)</f>
        <v>45.1</v>
      </c>
      <c r="D176" s="26">
        <f>(((Table3[[#This Row],[Core PCE]]-$B$496)/$B$496)*100)+100</f>
        <v>30.700787006867515</v>
      </c>
      <c r="E176" s="26">
        <f>(((Table3[[#This Row],[Core CPI]]-$C$496)/$C$496)*100)+100</f>
        <v>25.237828763290423</v>
      </c>
      <c r="F176" s="27">
        <v>2.9680365296803748E-2</v>
      </c>
      <c r="G176" s="27">
        <f>VLOOKUP(Table3[[#This Row],[Date]],'PCE Core'!A:D,4,)</f>
        <v>3.2929965847282638E-2</v>
      </c>
    </row>
    <row r="177" spans="1:7" x14ac:dyDescent="0.35">
      <c r="A177" s="63">
        <v>26785</v>
      </c>
      <c r="B177" s="28">
        <f>VLOOKUP(Table3[[#This Row],[Date]],'PCE Core'!$A:$E,2,)</f>
        <v>24.593</v>
      </c>
      <c r="C177" s="26">
        <f>VLOOKUP(Table3[[#This Row],[Date]],Database!$A:$E,5)</f>
        <v>45.3</v>
      </c>
      <c r="D177" s="26">
        <f>(((Table3[[#This Row],[Core PCE]]-$B$496)/$B$496)*100)+100</f>
        <v>30.819840593513462</v>
      </c>
      <c r="E177" s="26">
        <f>(((Table3[[#This Row],[Core CPI]]-$C$496)/$C$496)*100)+100</f>
        <v>25.349748181309465</v>
      </c>
      <c r="F177" s="27">
        <v>3.1890660592255093E-2</v>
      </c>
      <c r="G177" s="27">
        <f>VLOOKUP(Table3[[#This Row],[Date]],'PCE Core'!A:D,4,)</f>
        <v>3.4536429412754567E-2</v>
      </c>
    </row>
    <row r="178" spans="1:7" x14ac:dyDescent="0.35">
      <c r="A178" s="60">
        <v>26816</v>
      </c>
      <c r="B178" s="28">
        <f>VLOOKUP(Table3[[#This Row],[Date]],'PCE Core'!$A:$E,2,)</f>
        <v>24.699000000000002</v>
      </c>
      <c r="C178" s="28">
        <f>VLOOKUP(Table3[[#This Row],[Date]],Database!$A:$E,5)</f>
        <v>45.4</v>
      </c>
      <c r="D178" s="26">
        <f>(((Table3[[#This Row],[Core PCE]]-$B$496)/$B$496)*100)+100</f>
        <v>30.95267933229735</v>
      </c>
      <c r="E178" s="26">
        <f>(((Table3[[#This Row],[Core CPI]]-$C$496)/$C$496)*100)+100</f>
        <v>25.405707890318979</v>
      </c>
      <c r="F178" s="27">
        <v>3.1818181818181787E-2</v>
      </c>
      <c r="G178" s="27">
        <f>VLOOKUP(Table3[[#This Row],[Date]],'PCE Core'!A:D,4,)</f>
        <v>3.6945295772282741E-2</v>
      </c>
    </row>
    <row r="179" spans="1:7" x14ac:dyDescent="0.35">
      <c r="A179" s="63">
        <v>26846</v>
      </c>
      <c r="B179" s="28">
        <f>VLOOKUP(Table3[[#This Row],[Date]],'PCE Core'!$A:$E,2,)</f>
        <v>24.805</v>
      </c>
      <c r="C179" s="28">
        <f>VLOOKUP(Table3[[#This Row],[Date]],Database!$A:$E,5)</f>
        <v>45.5</v>
      </c>
      <c r="D179" s="26">
        <f>(((Table3[[#This Row],[Core PCE]]-$B$496)/$B$496)*100)+100</f>
        <v>31.085518071081253</v>
      </c>
      <c r="E179" s="26">
        <f>(((Table3[[#This Row],[Core CPI]]-$C$496)/$C$496)*100)+100</f>
        <v>25.461667599328479</v>
      </c>
      <c r="F179" s="27">
        <v>3.174603174603171E-2</v>
      </c>
      <c r="G179" s="27">
        <f>VLOOKUP(Table3[[#This Row],[Date]],'PCE Core'!A:D,4,)</f>
        <v>3.8387474882786252E-2</v>
      </c>
    </row>
    <row r="180" spans="1:7" x14ac:dyDescent="0.35">
      <c r="A180" s="60">
        <v>26877</v>
      </c>
      <c r="B180" s="28">
        <f>VLOOKUP(Table3[[#This Row],[Date]],'PCE Core'!$A:$E,2,)</f>
        <v>24.920999999999999</v>
      </c>
      <c r="C180" s="26">
        <f>VLOOKUP(Table3[[#This Row],[Date]],Database!$A:$E,5)</f>
        <v>45.7</v>
      </c>
      <c r="D180" s="26">
        <f>(((Table3[[#This Row],[Core PCE]]-$B$496)/$B$496)*100)+100</f>
        <v>31.230888766354198</v>
      </c>
      <c r="E180" s="26">
        <f>(((Table3[[#This Row],[Core CPI]]-$C$496)/$C$496)*100)+100</f>
        <v>25.573587017347506</v>
      </c>
      <c r="F180" s="27">
        <v>3.1602708803611872E-2</v>
      </c>
      <c r="G180" s="27">
        <f>VLOOKUP(Table3[[#This Row],[Date]],'PCE Core'!A:D,4,)</f>
        <v>4.1064416409056753E-2</v>
      </c>
    </row>
    <row r="181" spans="1:7" x14ac:dyDescent="0.35">
      <c r="A181" s="63">
        <v>26908</v>
      </c>
      <c r="B181" s="28">
        <f>VLOOKUP(Table3[[#This Row],[Date]],'PCE Core'!$A:$E,2,)</f>
        <v>25.045999999999999</v>
      </c>
      <c r="C181" s="28">
        <f>VLOOKUP(Table3[[#This Row],[Date]],Database!$A:$E,5)</f>
        <v>46</v>
      </c>
      <c r="D181" s="26">
        <f>(((Table3[[#This Row],[Core PCE]]-$B$496)/$B$496)*100)+100</f>
        <v>31.387538222467299</v>
      </c>
      <c r="E181" s="26">
        <f>(((Table3[[#This Row],[Core CPI]]-$C$496)/$C$496)*100)+100</f>
        <v>25.741466144376048</v>
      </c>
      <c r="F181" s="27">
        <v>3.8374717832957178E-2</v>
      </c>
      <c r="G181" s="27">
        <f>VLOOKUP(Table3[[#This Row],[Date]],'PCE Core'!A:D,4,)</f>
        <v>4.2801232409026509E-2</v>
      </c>
    </row>
    <row r="182" spans="1:7" x14ac:dyDescent="0.35">
      <c r="A182" s="60">
        <v>26938</v>
      </c>
      <c r="B182" s="28">
        <f>VLOOKUP(Table3[[#This Row],[Date]],'PCE Core'!$A:$E,2,)</f>
        <v>25.143000000000001</v>
      </c>
      <c r="C182" s="28">
        <f>VLOOKUP(Table3[[#This Row],[Date]],Database!$A:$E,5)</f>
        <v>46.3</v>
      </c>
      <c r="D182" s="26">
        <f>(((Table3[[#This Row],[Core PCE]]-$B$496)/$B$496)*100)+100</f>
        <v>31.509098200411046</v>
      </c>
      <c r="E182" s="26">
        <f>(((Table3[[#This Row],[Core CPI]]-$C$496)/$C$496)*100)+100</f>
        <v>25.90934527140459</v>
      </c>
      <c r="F182" s="27">
        <v>4.2792792792792772E-2</v>
      </c>
      <c r="G182" s="27">
        <f>VLOOKUP(Table3[[#This Row],[Date]],'PCE Core'!A:D,4,)</f>
        <v>4.623002663115848E-2</v>
      </c>
    </row>
    <row r="183" spans="1:7" x14ac:dyDescent="0.35">
      <c r="A183" s="63">
        <v>26969</v>
      </c>
      <c r="B183" s="28">
        <f>VLOOKUP(Table3[[#This Row],[Date]],'PCE Core'!$A:$E,2,)</f>
        <v>25.263999999999999</v>
      </c>
      <c r="C183" s="26">
        <f>VLOOKUP(Table3[[#This Row],[Date]],Database!$A:$E,5)</f>
        <v>46.5</v>
      </c>
      <c r="D183" s="26">
        <f>(((Table3[[#This Row],[Core PCE]]-$B$496)/$B$496)*100)+100</f>
        <v>31.660734873928504</v>
      </c>
      <c r="E183" s="26">
        <f>(((Table3[[#This Row],[Core CPI]]-$C$496)/$C$496)*100)+100</f>
        <v>26.021264689423617</v>
      </c>
      <c r="F183" s="27">
        <v>4.7297297297297328E-2</v>
      </c>
      <c r="G183" s="27">
        <f>VLOOKUP(Table3[[#This Row],[Date]],'PCE Core'!A:D,4,)</f>
        <v>4.8516289686657006E-2</v>
      </c>
    </row>
    <row r="184" spans="1:7" x14ac:dyDescent="0.35">
      <c r="A184" s="60">
        <v>26999</v>
      </c>
      <c r="B184" s="28">
        <f>VLOOKUP(Table3[[#This Row],[Date]],'PCE Core'!$A:$E,2,)</f>
        <v>25.404</v>
      </c>
      <c r="C184" s="28">
        <f>VLOOKUP(Table3[[#This Row],[Date]],Database!$A:$E,5)</f>
        <v>46.7</v>
      </c>
      <c r="D184" s="26">
        <f>(((Table3[[#This Row],[Core PCE]]-$B$496)/$B$496)*100)+100</f>
        <v>31.836182264775175</v>
      </c>
      <c r="E184" s="26">
        <f>(((Table3[[#This Row],[Core CPI]]-$C$496)/$C$496)*100)+100</f>
        <v>26.133184107442645</v>
      </c>
      <c r="F184" s="27">
        <v>4.7085201793721998E-2</v>
      </c>
      <c r="G184" s="27">
        <f>VLOOKUP(Table3[[#This Row],[Date]],'PCE Core'!A:D,4,)</f>
        <v>5.1142005958291985E-2</v>
      </c>
    </row>
    <row r="185" spans="1:7" x14ac:dyDescent="0.35">
      <c r="A185" s="63">
        <v>27030</v>
      </c>
      <c r="B185" s="28">
        <f>VLOOKUP(Table3[[#This Row],[Date]],'PCE Core'!$A:$E,2,)</f>
        <v>25.529</v>
      </c>
      <c r="C185" s="28">
        <f>VLOOKUP(Table3[[#This Row],[Date]],Database!$A:$E,5)</f>
        <v>46.9</v>
      </c>
      <c r="D185" s="26">
        <f>(((Table3[[#This Row],[Core PCE]]-$B$496)/$B$496)*100)+100</f>
        <v>31.992831720888262</v>
      </c>
      <c r="E185" s="26">
        <f>(((Table3[[#This Row],[Core CPI]]-$C$496)/$C$496)*100)+100</f>
        <v>26.245103525461673</v>
      </c>
      <c r="F185" s="27">
        <v>5.1569506726457333E-2</v>
      </c>
      <c r="G185" s="27">
        <f>VLOOKUP(Table3[[#This Row],[Date]],'PCE Core'!A:D,4,)</f>
        <v>5.5658933961874046E-2</v>
      </c>
    </row>
    <row r="186" spans="1:7" x14ac:dyDescent="0.35">
      <c r="A186" s="60">
        <v>27061</v>
      </c>
      <c r="B186" s="28">
        <f>VLOOKUP(Table3[[#This Row],[Date]],'PCE Core'!$A:$E,2,)</f>
        <v>25.692</v>
      </c>
      <c r="C186" s="26">
        <f>VLOOKUP(Table3[[#This Row],[Date]],Database!$A:$E,5)</f>
        <v>47.2</v>
      </c>
      <c r="D186" s="26">
        <f>(((Table3[[#This Row],[Core PCE]]-$B$496)/$B$496)*100)+100</f>
        <v>32.19710261165973</v>
      </c>
      <c r="E186" s="26">
        <f>(((Table3[[#This Row],[Core CPI]]-$C$496)/$C$496)*100)+100</f>
        <v>26.4129826524902</v>
      </c>
      <c r="F186" s="27">
        <v>5.35714285714287E-2</v>
      </c>
      <c r="G186" s="27">
        <f>VLOOKUP(Table3[[#This Row],[Date]],'PCE Core'!A:D,4,)</f>
        <v>5.9070860299270368E-2</v>
      </c>
    </row>
    <row r="187" spans="1:7" x14ac:dyDescent="0.35">
      <c r="A187" s="63">
        <v>27089</v>
      </c>
      <c r="B187" s="28">
        <f>VLOOKUP(Table3[[#This Row],[Date]],'PCE Core'!$A:$E,2,)</f>
        <v>25.891999999999999</v>
      </c>
      <c r="C187" s="28">
        <f>VLOOKUP(Table3[[#This Row],[Date]],Database!$A:$E,5)</f>
        <v>47.6</v>
      </c>
      <c r="D187" s="26">
        <f>(((Table3[[#This Row],[Core PCE]]-$B$496)/$B$496)*100)+100</f>
        <v>32.447741741440666</v>
      </c>
      <c r="E187" s="26">
        <f>(((Table3[[#This Row],[Core CPI]]-$C$496)/$C$496)*100)+100</f>
        <v>26.636821488528255</v>
      </c>
      <c r="F187" s="27">
        <v>5.777777777777781E-2</v>
      </c>
      <c r="G187" s="27">
        <f>VLOOKUP(Table3[[#This Row],[Date]],'PCE Core'!A:D,4,)</f>
        <v>6.3020897483269708E-2</v>
      </c>
    </row>
    <row r="188" spans="1:7" x14ac:dyDescent="0.35">
      <c r="A188" s="60">
        <v>27120</v>
      </c>
      <c r="B188" s="28">
        <f>VLOOKUP(Table3[[#This Row],[Date]],'PCE Core'!$A:$E,2,)</f>
        <v>26.085999999999999</v>
      </c>
      <c r="C188" s="28">
        <f>VLOOKUP(Table3[[#This Row],[Date]],Database!$A:$E,5)</f>
        <v>47.9</v>
      </c>
      <c r="D188" s="26">
        <f>(((Table3[[#This Row],[Core PCE]]-$B$496)/$B$496)*100)+100</f>
        <v>32.690861697328174</v>
      </c>
      <c r="E188" s="26">
        <f>(((Table3[[#This Row],[Core CPI]]-$C$496)/$C$496)*100)+100</f>
        <v>26.804700615556811</v>
      </c>
      <c r="F188" s="27">
        <v>6.208425720620836E-2</v>
      </c>
      <c r="G188" s="27">
        <f>VLOOKUP(Table3[[#This Row],[Date]],'PCE Core'!A:D,4,)</f>
        <v>6.4821618091272654E-2</v>
      </c>
    </row>
    <row r="189" spans="1:7" x14ac:dyDescent="0.35">
      <c r="A189" s="63">
        <v>27150</v>
      </c>
      <c r="B189" s="28">
        <f>VLOOKUP(Table3[[#This Row],[Date]],'PCE Core'!$A:$E,2,)</f>
        <v>26.337</v>
      </c>
      <c r="C189" s="26">
        <f>VLOOKUP(Table3[[#This Row],[Date]],Database!$A:$E,5)</f>
        <v>48.5</v>
      </c>
      <c r="D189" s="26">
        <f>(((Table3[[#This Row],[Core PCE]]-$B$496)/$B$496)*100)+100</f>
        <v>33.005413805203261</v>
      </c>
      <c r="E189" s="26">
        <f>(((Table3[[#This Row],[Core CPI]]-$C$496)/$C$496)*100)+100</f>
        <v>27.14045886961388</v>
      </c>
      <c r="F189" s="27">
        <v>7.064017660044157E-2</v>
      </c>
      <c r="G189" s="27">
        <f>VLOOKUP(Table3[[#This Row],[Date]],'PCE Core'!A:D,4,)</f>
        <v>7.0914487862399858E-2</v>
      </c>
    </row>
    <row r="190" spans="1:7" x14ac:dyDescent="0.35">
      <c r="A190" s="60">
        <v>27181</v>
      </c>
      <c r="B190" s="28">
        <f>VLOOKUP(Table3[[#This Row],[Date]],'PCE Core'!$A:$E,2,)</f>
        <v>26.606999999999999</v>
      </c>
      <c r="C190" s="28">
        <f>VLOOKUP(Table3[[#This Row],[Date]],Database!$A:$E,5)</f>
        <v>49</v>
      </c>
      <c r="D190" s="26">
        <f>(((Table3[[#This Row],[Core PCE]]-$B$496)/$B$496)*100)+100</f>
        <v>33.343776630407547</v>
      </c>
      <c r="E190" s="26">
        <f>(((Table3[[#This Row],[Core CPI]]-$C$496)/$C$496)*100)+100</f>
        <v>27.420257414661435</v>
      </c>
      <c r="F190" s="27">
        <v>7.929515418502206E-2</v>
      </c>
      <c r="G190" s="27">
        <f>VLOOKUP(Table3[[#This Row],[Date]],'PCE Core'!A:D,4,)</f>
        <v>7.7250091096805446E-2</v>
      </c>
    </row>
    <row r="191" spans="1:7" x14ac:dyDescent="0.35">
      <c r="A191" s="63">
        <v>27211</v>
      </c>
      <c r="B191" s="28">
        <f>VLOOKUP(Table3[[#This Row],[Date]],'PCE Core'!$A:$E,2,)</f>
        <v>26.843</v>
      </c>
      <c r="C191" s="28">
        <f>VLOOKUP(Table3[[#This Row],[Date]],Database!$A:$E,5)</f>
        <v>49.5</v>
      </c>
      <c r="D191" s="26">
        <f>(((Table3[[#This Row],[Core PCE]]-$B$496)/$B$496)*100)+100</f>
        <v>33.63953080354905</v>
      </c>
      <c r="E191" s="26">
        <f>(((Table3[[#This Row],[Core CPI]]-$C$496)/$C$496)*100)+100</f>
        <v>27.700055959709019</v>
      </c>
      <c r="F191" s="27">
        <v>8.7912087912087919E-2</v>
      </c>
      <c r="G191" s="27">
        <f>VLOOKUP(Table3[[#This Row],[Date]],'PCE Core'!A:D,4,)</f>
        <v>8.2160854666397914E-2</v>
      </c>
    </row>
    <row r="192" spans="1:7" x14ac:dyDescent="0.35">
      <c r="A192" s="60">
        <v>27242</v>
      </c>
      <c r="B192" s="28">
        <f>VLOOKUP(Table3[[#This Row],[Date]],'PCE Core'!$A:$E,2,)</f>
        <v>27.100999999999999</v>
      </c>
      <c r="C192" s="26">
        <f>VLOOKUP(Table3[[#This Row],[Date]],Database!$A:$E,5)</f>
        <v>50.2</v>
      </c>
      <c r="D192" s="26">
        <f>(((Table3[[#This Row],[Core PCE]]-$B$496)/$B$496)*100)+100</f>
        <v>33.962855280966465</v>
      </c>
      <c r="E192" s="26">
        <f>(((Table3[[#This Row],[Core CPI]]-$C$496)/$C$496)*100)+100</f>
        <v>28.091773922775602</v>
      </c>
      <c r="F192" s="27">
        <v>9.8468271334792121E-2</v>
      </c>
      <c r="G192" s="27">
        <f>VLOOKUP(Table3[[#This Row],[Date]],'PCE Core'!A:D,4,)</f>
        <v>8.7476425504594515E-2</v>
      </c>
    </row>
    <row r="193" spans="1:7" x14ac:dyDescent="0.35">
      <c r="A193" s="63">
        <v>27273</v>
      </c>
      <c r="B193" s="28">
        <f>VLOOKUP(Table3[[#This Row],[Date]],'PCE Core'!$A:$E,2,)</f>
        <v>27.344999999999999</v>
      </c>
      <c r="C193" s="28">
        <f>VLOOKUP(Table3[[#This Row],[Date]],Database!$A:$E,5)</f>
        <v>50.7</v>
      </c>
      <c r="D193" s="26">
        <f>(((Table3[[#This Row],[Core PCE]]-$B$496)/$B$496)*100)+100</f>
        <v>34.268635019299211</v>
      </c>
      <c r="E193" s="26">
        <f>(((Table3[[#This Row],[Core CPI]]-$C$496)/$C$496)*100)+100</f>
        <v>28.371572467823171</v>
      </c>
      <c r="F193" s="27">
        <v>0.1021739130434783</v>
      </c>
      <c r="G193" s="27">
        <f>VLOOKUP(Table3[[#This Row],[Date]],'PCE Core'!A:D,4,)</f>
        <v>9.1791104367962936E-2</v>
      </c>
    </row>
    <row r="194" spans="1:7" x14ac:dyDescent="0.35">
      <c r="A194" s="60">
        <v>27303</v>
      </c>
      <c r="B194" s="28">
        <f>VLOOKUP(Table3[[#This Row],[Date]],'PCE Core'!$A:$E,2,)</f>
        <v>27.559000000000001</v>
      </c>
      <c r="C194" s="28">
        <f>VLOOKUP(Table3[[#This Row],[Date]],Database!$A:$E,5)</f>
        <v>51.2</v>
      </c>
      <c r="D194" s="26">
        <f>(((Table3[[#This Row],[Core PCE]]-$B$496)/$B$496)*100)+100</f>
        <v>34.536818888164817</v>
      </c>
      <c r="E194" s="26">
        <f>(((Table3[[#This Row],[Core CPI]]-$C$496)/$C$496)*100)+100</f>
        <v>28.65137101287074</v>
      </c>
      <c r="F194" s="27">
        <v>0.1058315334773219</v>
      </c>
      <c r="G194" s="27">
        <f>VLOOKUP(Table3[[#This Row],[Date]],'PCE Core'!A:D,4,)</f>
        <v>9.6090363122936812E-2</v>
      </c>
    </row>
    <row r="195" spans="1:7" x14ac:dyDescent="0.35">
      <c r="A195" s="63">
        <v>27334</v>
      </c>
      <c r="B195" s="28">
        <f>VLOOKUP(Table3[[#This Row],[Date]],'PCE Core'!$A:$E,2,)</f>
        <v>27.76</v>
      </c>
      <c r="C195" s="26">
        <f>VLOOKUP(Table3[[#This Row],[Date]],Database!$A:$E,5)</f>
        <v>51.6</v>
      </c>
      <c r="D195" s="26">
        <f>(((Table3[[#This Row],[Core PCE]]-$B$496)/$B$496)*100)+100</f>
        <v>34.788711213594667</v>
      </c>
      <c r="E195" s="26">
        <f>(((Table3[[#This Row],[Core CPI]]-$C$496)/$C$496)*100)+100</f>
        <v>28.875209848908796</v>
      </c>
      <c r="F195" s="27">
        <v>0.1096774193548387</v>
      </c>
      <c r="G195" s="27">
        <f>VLOOKUP(Table3[[#This Row],[Date]],'PCE Core'!A:D,4,)</f>
        <v>9.8796706776440882E-2</v>
      </c>
    </row>
    <row r="196" spans="1:7" x14ac:dyDescent="0.35">
      <c r="A196" s="60">
        <v>27364</v>
      </c>
      <c r="B196" s="28">
        <f>VLOOKUP(Table3[[#This Row],[Date]],'PCE Core'!$A:$E,2,)</f>
        <v>27.956</v>
      </c>
      <c r="C196" s="28">
        <f>VLOOKUP(Table3[[#This Row],[Date]],Database!$A:$E,5)</f>
        <v>52</v>
      </c>
      <c r="D196" s="26">
        <f>(((Table3[[#This Row],[Core PCE]]-$B$496)/$B$496)*100)+100</f>
        <v>35.034337560779989</v>
      </c>
      <c r="E196" s="26">
        <f>(((Table3[[#This Row],[Core CPI]]-$C$496)/$C$496)*100)+100</f>
        <v>29.099048684946837</v>
      </c>
      <c r="F196" s="27">
        <v>0.1134903640256959</v>
      </c>
      <c r="G196" s="27">
        <f>VLOOKUP(Table3[[#This Row],[Date]],'PCE Core'!A:D,4,)</f>
        <v>0.10045662100456619</v>
      </c>
    </row>
    <row r="197" spans="1:7" x14ac:dyDescent="0.35">
      <c r="A197" s="63">
        <v>27395</v>
      </c>
      <c r="B197" s="28">
        <f>VLOOKUP(Table3[[#This Row],[Date]],'PCE Core'!$A:$E,2,)</f>
        <v>28.119</v>
      </c>
      <c r="C197" s="28">
        <f>VLOOKUP(Table3[[#This Row],[Date]],Database!$A:$E,5)</f>
        <v>52.3</v>
      </c>
      <c r="D197" s="26">
        <f>(((Table3[[#This Row],[Core PCE]]-$B$496)/$B$496)*100)+100</f>
        <v>35.238608451551457</v>
      </c>
      <c r="E197" s="26">
        <f>(((Table3[[#This Row],[Core CPI]]-$C$496)/$C$496)*100)+100</f>
        <v>29.266927811975378</v>
      </c>
      <c r="F197" s="27">
        <v>0.11513859275053299</v>
      </c>
      <c r="G197" s="27">
        <f>VLOOKUP(Table3[[#This Row],[Date]],'PCE Core'!A:D,4,)</f>
        <v>0.10145324924595557</v>
      </c>
    </row>
    <row r="198" spans="1:7" x14ac:dyDescent="0.35">
      <c r="A198" s="60">
        <v>27426</v>
      </c>
      <c r="B198" s="28">
        <f>VLOOKUP(Table3[[#This Row],[Date]],'PCE Core'!$A:$E,2,)</f>
        <v>28.318000000000001</v>
      </c>
      <c r="C198" s="26">
        <f>VLOOKUP(Table3[[#This Row],[Date]],Database!$A:$E,5)</f>
        <v>52.8</v>
      </c>
      <c r="D198" s="26">
        <f>(((Table3[[#This Row],[Core PCE]]-$B$496)/$B$496)*100)+100</f>
        <v>35.487994385683493</v>
      </c>
      <c r="E198" s="26">
        <f>(((Table3[[#This Row],[Core CPI]]-$C$496)/$C$496)*100)+100</f>
        <v>29.546726357022948</v>
      </c>
      <c r="F198" s="27">
        <v>0.11864406779661001</v>
      </c>
      <c r="G198" s="27">
        <f>VLOOKUP(Table3[[#This Row],[Date]],'PCE Core'!A:D,4,)</f>
        <v>0.10221080491981945</v>
      </c>
    </row>
    <row r="199" spans="1:7" x14ac:dyDescent="0.35">
      <c r="A199" s="63">
        <v>27454</v>
      </c>
      <c r="B199" s="28">
        <f>VLOOKUP(Table3[[#This Row],[Date]],'PCE Core'!$A:$E,2,)</f>
        <v>28.466000000000001</v>
      </c>
      <c r="C199" s="28">
        <f>VLOOKUP(Table3[[#This Row],[Date]],Database!$A:$E,5)</f>
        <v>53</v>
      </c>
      <c r="D199" s="26">
        <f>(((Table3[[#This Row],[Core PCE]]-$B$496)/$B$496)*100)+100</f>
        <v>35.673467341721391</v>
      </c>
      <c r="E199" s="26">
        <f>(((Table3[[#This Row],[Core CPI]]-$C$496)/$C$496)*100)+100</f>
        <v>29.658645775041975</v>
      </c>
      <c r="F199" s="27">
        <v>0.1134453781512605</v>
      </c>
      <c r="G199" s="27">
        <f>VLOOKUP(Table3[[#This Row],[Date]],'PCE Core'!A:D,4,)</f>
        <v>9.9412946083732495E-2</v>
      </c>
    </row>
    <row r="200" spans="1:7" x14ac:dyDescent="0.35">
      <c r="A200" s="60">
        <v>27485</v>
      </c>
      <c r="B200" s="28">
        <f>VLOOKUP(Table3[[#This Row],[Date]],'PCE Core'!$A:$E,2,)</f>
        <v>28.603999999999999</v>
      </c>
      <c r="C200" s="28">
        <f>VLOOKUP(Table3[[#This Row],[Date]],Database!$A:$E,5)</f>
        <v>53.3</v>
      </c>
      <c r="D200" s="26">
        <f>(((Table3[[#This Row],[Core PCE]]-$B$496)/$B$496)*100)+100</f>
        <v>35.846408341270234</v>
      </c>
      <c r="E200" s="26">
        <f>(((Table3[[#This Row],[Core CPI]]-$C$496)/$C$496)*100)+100</f>
        <v>29.826524902070503</v>
      </c>
      <c r="F200" s="27">
        <v>0.11273486430062631</v>
      </c>
      <c r="G200" s="27">
        <f>VLOOKUP(Table3[[#This Row],[Date]],'PCE Core'!A:D,4,)</f>
        <v>9.6526872651997275E-2</v>
      </c>
    </row>
    <row r="201" spans="1:7" x14ac:dyDescent="0.35">
      <c r="A201" s="63">
        <v>27515</v>
      </c>
      <c r="B201" s="28">
        <f>VLOOKUP(Table3[[#This Row],[Date]],'PCE Core'!$A:$E,2,)</f>
        <v>28.725000000000001</v>
      </c>
      <c r="C201" s="26">
        <f>VLOOKUP(Table3[[#This Row],[Date]],Database!$A:$E,5)</f>
        <v>53.5</v>
      </c>
      <c r="D201" s="26">
        <f>(((Table3[[#This Row],[Core PCE]]-$B$496)/$B$496)*100)+100</f>
        <v>35.998045014787706</v>
      </c>
      <c r="E201" s="26">
        <f>(((Table3[[#This Row],[Core CPI]]-$C$496)/$C$496)*100)+100</f>
        <v>29.938444320089545</v>
      </c>
      <c r="F201" s="27">
        <v>0.10309278350515461</v>
      </c>
      <c r="G201" s="27">
        <f>VLOOKUP(Table3[[#This Row],[Date]],'PCE Core'!A:D,4,)</f>
        <v>9.0670919239093359E-2</v>
      </c>
    </row>
    <row r="202" spans="1:7" x14ac:dyDescent="0.35">
      <c r="A202" s="60">
        <v>27546</v>
      </c>
      <c r="B202" s="28">
        <f>VLOOKUP(Table3[[#This Row],[Date]],'PCE Core'!$A:$E,2,)</f>
        <v>28.866</v>
      </c>
      <c r="C202" s="28">
        <f>VLOOKUP(Table3[[#This Row],[Date]],Database!$A:$E,5)</f>
        <v>53.8</v>
      </c>
      <c r="D202" s="26">
        <f>(((Table3[[#This Row],[Core PCE]]-$B$496)/$B$496)*100)+100</f>
        <v>36.174745601283263</v>
      </c>
      <c r="E202" s="26">
        <f>(((Table3[[#This Row],[Core CPI]]-$C$496)/$C$496)*100)+100</f>
        <v>30.106323447118072</v>
      </c>
      <c r="F202" s="27">
        <v>9.7959183673469327E-2</v>
      </c>
      <c r="G202" s="27">
        <f>VLOOKUP(Table3[[#This Row],[Date]],'PCE Core'!A:D,4,)</f>
        <v>8.4902469275002834E-2</v>
      </c>
    </row>
    <row r="203" spans="1:7" x14ac:dyDescent="0.35">
      <c r="A203" s="63">
        <v>27576</v>
      </c>
      <c r="B203" s="28">
        <f>VLOOKUP(Table3[[#This Row],[Date]],'PCE Core'!$A:$E,2,)</f>
        <v>29.044</v>
      </c>
      <c r="C203" s="28">
        <f>VLOOKUP(Table3[[#This Row],[Date]],Database!$A:$E,5)</f>
        <v>54</v>
      </c>
      <c r="D203" s="26">
        <f>(((Table3[[#This Row],[Core PCE]]-$B$496)/$B$496)*100)+100</f>
        <v>36.397814426788301</v>
      </c>
      <c r="E203" s="26">
        <f>(((Table3[[#This Row],[Core CPI]]-$C$496)/$C$496)*100)+100</f>
        <v>30.2182428651371</v>
      </c>
      <c r="F203" s="27">
        <v>9.0909090909090912E-2</v>
      </c>
      <c r="G203" s="27">
        <f>VLOOKUP(Table3[[#This Row],[Date]],'PCE Core'!A:D,4,)</f>
        <v>8.1995306038818327E-2</v>
      </c>
    </row>
    <row r="204" spans="1:7" x14ac:dyDescent="0.35">
      <c r="A204" s="60">
        <v>27607</v>
      </c>
      <c r="B204" s="28">
        <f>VLOOKUP(Table3[[#This Row],[Date]],'PCE Core'!$A:$E,2,)</f>
        <v>29.143999999999998</v>
      </c>
      <c r="C204" s="26">
        <f>VLOOKUP(Table3[[#This Row],[Date]],Database!$A:$E,5)</f>
        <v>54.2</v>
      </c>
      <c r="D204" s="26">
        <f>(((Table3[[#This Row],[Core PCE]]-$B$496)/$B$496)*100)+100</f>
        <v>36.523133991678783</v>
      </c>
      <c r="E204" s="26">
        <f>(((Table3[[#This Row],[Core CPI]]-$C$496)/$C$496)*100)+100</f>
        <v>30.330162283156128</v>
      </c>
      <c r="F204" s="27">
        <v>7.9681274900398405E-2</v>
      </c>
      <c r="G204" s="27">
        <f>VLOOKUP(Table3[[#This Row],[Date]],'PCE Core'!A:D,4,)</f>
        <v>7.5384672152319074E-2</v>
      </c>
    </row>
    <row r="205" spans="1:7" x14ac:dyDescent="0.35">
      <c r="A205" s="63">
        <v>27638</v>
      </c>
      <c r="B205" s="28">
        <f>VLOOKUP(Table3[[#This Row],[Date]],'PCE Core'!$A:$E,2,)</f>
        <v>29.302</v>
      </c>
      <c r="C205" s="28">
        <f>VLOOKUP(Table3[[#This Row],[Date]],Database!$A:$E,5)</f>
        <v>54.5</v>
      </c>
      <c r="D205" s="26">
        <f>(((Table3[[#This Row],[Core PCE]]-$B$496)/$B$496)*100)+100</f>
        <v>36.721138904205716</v>
      </c>
      <c r="E205" s="26">
        <f>(((Table3[[#This Row],[Core CPI]]-$C$496)/$C$496)*100)+100</f>
        <v>30.498041410184669</v>
      </c>
      <c r="F205" s="27">
        <v>7.4950690335305659E-2</v>
      </c>
      <c r="G205" s="27">
        <f>VLOOKUP(Table3[[#This Row],[Date]],'PCE Core'!A:D,4,)</f>
        <v>7.1567014079356409E-2</v>
      </c>
    </row>
    <row r="206" spans="1:7" x14ac:dyDescent="0.35">
      <c r="A206" s="60">
        <v>27668</v>
      </c>
      <c r="B206" s="28">
        <f>VLOOKUP(Table3[[#This Row],[Date]],'PCE Core'!$A:$E,2,)</f>
        <v>29.448</v>
      </c>
      <c r="C206" s="28">
        <f>VLOOKUP(Table3[[#This Row],[Date]],Database!$A:$E,5)</f>
        <v>54.8</v>
      </c>
      <c r="D206" s="26">
        <f>(((Table3[[#This Row],[Core PCE]]-$B$496)/$B$496)*100)+100</f>
        <v>36.904105468945815</v>
      </c>
      <c r="E206" s="26">
        <f>(((Table3[[#This Row],[Core CPI]]-$C$496)/$C$496)*100)+100</f>
        <v>30.665920537213211</v>
      </c>
      <c r="F206" s="27">
        <v>7.0312499999999889E-2</v>
      </c>
      <c r="G206" s="27">
        <f>VLOOKUP(Table3[[#This Row],[Date]],'PCE Core'!A:D,4,)</f>
        <v>6.8543851373417009E-2</v>
      </c>
    </row>
    <row r="207" spans="1:7" x14ac:dyDescent="0.35">
      <c r="A207" s="63">
        <v>27699</v>
      </c>
      <c r="B207" s="28">
        <f>VLOOKUP(Table3[[#This Row],[Date]],'PCE Core'!$A:$E,2,)</f>
        <v>29.643000000000001</v>
      </c>
      <c r="C207" s="26">
        <f>VLOOKUP(Table3[[#This Row],[Date]],Database!$A:$E,5)</f>
        <v>55.2</v>
      </c>
      <c r="D207" s="26">
        <f>(((Table3[[#This Row],[Core PCE]]-$B$496)/$B$496)*100)+100</f>
        <v>37.14847862048223</v>
      </c>
      <c r="E207" s="26">
        <f>(((Table3[[#This Row],[Core CPI]]-$C$496)/$C$496)*100)+100</f>
        <v>30.889759373251252</v>
      </c>
      <c r="F207" s="27">
        <v>6.9767441860465143E-2</v>
      </c>
      <c r="G207" s="27">
        <f>VLOOKUP(Table3[[#This Row],[Date]],'PCE Core'!A:D,4,)</f>
        <v>6.7831412103746366E-2</v>
      </c>
    </row>
    <row r="208" spans="1:7" x14ac:dyDescent="0.35">
      <c r="A208" s="60">
        <v>27729</v>
      </c>
      <c r="B208" s="28">
        <f>VLOOKUP(Table3[[#This Row],[Date]],'PCE Core'!$A:$E,2,)</f>
        <v>29.823</v>
      </c>
      <c r="C208" s="28">
        <f>VLOOKUP(Table3[[#This Row],[Date]],Database!$A:$E,5)</f>
        <v>55.5</v>
      </c>
      <c r="D208" s="26">
        <f>(((Table3[[#This Row],[Core PCE]]-$B$496)/$B$496)*100)+100</f>
        <v>37.374053837285068</v>
      </c>
      <c r="E208" s="26">
        <f>(((Table3[[#This Row],[Core CPI]]-$C$496)/$C$496)*100)+100</f>
        <v>31.057638500279808</v>
      </c>
      <c r="F208" s="27">
        <v>6.7307692307692304E-2</v>
      </c>
      <c r="G208" s="27">
        <f>VLOOKUP(Table3[[#This Row],[Date]],'PCE Core'!A:D,4,)</f>
        <v>6.6783516955215366E-2</v>
      </c>
    </row>
    <row r="209" spans="1:7" x14ac:dyDescent="0.35">
      <c r="A209" s="63">
        <v>27760</v>
      </c>
      <c r="B209" s="28">
        <f>VLOOKUP(Table3[[#This Row],[Date]],'PCE Core'!$A:$E,2,)</f>
        <v>29.975999999999999</v>
      </c>
      <c r="C209" s="28">
        <f>VLOOKUP(Table3[[#This Row],[Date]],Database!$A:$E,5)</f>
        <v>55.9</v>
      </c>
      <c r="D209" s="26">
        <f>(((Table3[[#This Row],[Core PCE]]-$B$496)/$B$496)*100)+100</f>
        <v>37.565792771567494</v>
      </c>
      <c r="E209" s="26">
        <f>(((Table3[[#This Row],[Core CPI]]-$C$496)/$C$496)*100)+100</f>
        <v>31.281477336317849</v>
      </c>
      <c r="F209" s="27">
        <v>6.8833652007648211E-2</v>
      </c>
      <c r="G209" s="27">
        <f>VLOOKUP(Table3[[#This Row],[Date]],'PCE Core'!A:D,4,)</f>
        <v>6.6040755361143691E-2</v>
      </c>
    </row>
    <row r="210" spans="1:7" x14ac:dyDescent="0.35">
      <c r="A210" s="60">
        <v>27791</v>
      </c>
      <c r="B210" s="28">
        <f>VLOOKUP(Table3[[#This Row],[Date]],'PCE Core'!$A:$E,2,)</f>
        <v>30.094999999999999</v>
      </c>
      <c r="C210" s="26">
        <f>VLOOKUP(Table3[[#This Row],[Date]],Database!$A:$E,5)</f>
        <v>56.2</v>
      </c>
      <c r="D210" s="26">
        <f>(((Table3[[#This Row],[Core PCE]]-$B$496)/$B$496)*100)+100</f>
        <v>37.714923053787153</v>
      </c>
      <c r="E210" s="26">
        <f>(((Table3[[#This Row],[Core CPI]]-$C$496)/$C$496)*100)+100</f>
        <v>31.44935646334639</v>
      </c>
      <c r="F210" s="27">
        <v>6.4393939393939503E-2</v>
      </c>
      <c r="G210" s="27">
        <f>VLOOKUP(Table3[[#This Row],[Date]],'PCE Core'!A:D,4,)</f>
        <v>6.2751606751889163E-2</v>
      </c>
    </row>
    <row r="211" spans="1:7" x14ac:dyDescent="0.35">
      <c r="A211" s="63">
        <v>27820</v>
      </c>
      <c r="B211" s="28">
        <f>VLOOKUP(Table3[[#This Row],[Date]],'PCE Core'!$A:$E,2,)</f>
        <v>30.195</v>
      </c>
      <c r="C211" s="28">
        <f>VLOOKUP(Table3[[#This Row],[Date]],Database!$A:$E,5)</f>
        <v>56.5</v>
      </c>
      <c r="D211" s="26">
        <f>(((Table3[[#This Row],[Core PCE]]-$B$496)/$B$496)*100)+100</f>
        <v>37.840242618677621</v>
      </c>
      <c r="E211" s="26">
        <f>(((Table3[[#This Row],[Core CPI]]-$C$496)/$C$496)*100)+100</f>
        <v>31.617235590374932</v>
      </c>
      <c r="F211" s="27">
        <v>6.6037735849056603E-2</v>
      </c>
      <c r="G211" s="27">
        <f>VLOOKUP(Table3[[#This Row],[Date]],'PCE Core'!A:D,4,)</f>
        <v>6.0739127380032287E-2</v>
      </c>
    </row>
    <row r="212" spans="1:7" x14ac:dyDescent="0.35">
      <c r="A212" s="60">
        <v>27851</v>
      </c>
      <c r="B212" s="28">
        <f>VLOOKUP(Table3[[#This Row],[Date]],'PCE Core'!$A:$E,2,)</f>
        <v>30.312000000000001</v>
      </c>
      <c r="C212" s="28">
        <f>VLOOKUP(Table3[[#This Row],[Date]],Database!$A:$E,5)</f>
        <v>56.7</v>
      </c>
      <c r="D212" s="26">
        <f>(((Table3[[#This Row],[Core PCE]]-$B$496)/$B$496)*100)+100</f>
        <v>37.986866509599473</v>
      </c>
      <c r="E212" s="26">
        <f>(((Table3[[#This Row],[Core CPI]]-$C$496)/$C$496)*100)+100</f>
        <v>31.72915500839396</v>
      </c>
      <c r="F212" s="27">
        <v>6.3789868667917554E-2</v>
      </c>
      <c r="G212" s="27">
        <f>VLOOKUP(Table3[[#This Row],[Date]],'PCE Core'!A:D,4,)</f>
        <v>5.9711928401622219E-2</v>
      </c>
    </row>
    <row r="213" spans="1:7" x14ac:dyDescent="0.35">
      <c r="A213" s="63">
        <v>27881</v>
      </c>
      <c r="B213" s="28">
        <f>VLOOKUP(Table3[[#This Row],[Date]],'PCE Core'!$A:$E,2,)</f>
        <v>30.456</v>
      </c>
      <c r="C213" s="26">
        <f>VLOOKUP(Table3[[#This Row],[Date]],Database!$A:$E,5)</f>
        <v>57</v>
      </c>
      <c r="D213" s="26">
        <f>(((Table3[[#This Row],[Core PCE]]-$B$496)/$B$496)*100)+100</f>
        <v>38.167326683041757</v>
      </c>
      <c r="E213" s="26">
        <f>(((Table3[[#This Row],[Core CPI]]-$C$496)/$C$496)*100)+100</f>
        <v>31.897034135422501</v>
      </c>
      <c r="F213" s="27">
        <v>6.5420560747663545E-2</v>
      </c>
      <c r="G213" s="27">
        <f>VLOOKUP(Table3[[#This Row],[Date]],'PCE Core'!A:D,4,)</f>
        <v>6.0261096605744059E-2</v>
      </c>
    </row>
    <row r="214" spans="1:7" x14ac:dyDescent="0.35">
      <c r="A214" s="60">
        <v>27912</v>
      </c>
      <c r="B214" s="28">
        <f>VLOOKUP(Table3[[#This Row],[Date]],'PCE Core'!$A:$E,2,)</f>
        <v>30.579000000000001</v>
      </c>
      <c r="C214" s="28">
        <f>VLOOKUP(Table3[[#This Row],[Date]],Database!$A:$E,5)</f>
        <v>57.2</v>
      </c>
      <c r="D214" s="26">
        <f>(((Table3[[#This Row],[Core PCE]]-$B$496)/$B$496)*100)+100</f>
        <v>38.32146974785703</v>
      </c>
      <c r="E214" s="26">
        <f>(((Table3[[#This Row],[Core CPI]]-$C$496)/$C$496)*100)+100</f>
        <v>32.008953553441515</v>
      </c>
      <c r="F214" s="27">
        <v>6.3197026022304939E-2</v>
      </c>
      <c r="G214" s="27">
        <f>VLOOKUP(Table3[[#This Row],[Date]],'PCE Core'!A:D,4,)</f>
        <v>5.9343171897734394E-2</v>
      </c>
    </row>
    <row r="215" spans="1:7" x14ac:dyDescent="0.35">
      <c r="A215" s="63">
        <v>27942</v>
      </c>
      <c r="B215" s="28">
        <f>VLOOKUP(Table3[[#This Row],[Date]],'PCE Core'!$A:$E,2,)</f>
        <v>30.748000000000001</v>
      </c>
      <c r="C215" s="28">
        <f>VLOOKUP(Table3[[#This Row],[Date]],Database!$A:$E,5)</f>
        <v>57.6</v>
      </c>
      <c r="D215" s="26">
        <f>(((Table3[[#This Row],[Core PCE]]-$B$496)/$B$496)*100)+100</f>
        <v>38.533259812521933</v>
      </c>
      <c r="E215" s="26">
        <f>(((Table3[[#This Row],[Core CPI]]-$C$496)/$C$496)*100)+100</f>
        <v>32.23279238947957</v>
      </c>
      <c r="F215" s="27">
        <v>6.6666666666666693E-2</v>
      </c>
      <c r="G215" s="27">
        <f>VLOOKUP(Table3[[#This Row],[Date]],'PCE Core'!A:D,4,)</f>
        <v>5.8669604737639464E-2</v>
      </c>
    </row>
    <row r="216" spans="1:7" x14ac:dyDescent="0.35">
      <c r="A216" s="60">
        <v>27973</v>
      </c>
      <c r="B216" s="28">
        <f>VLOOKUP(Table3[[#This Row],[Date]],'PCE Core'!$A:$E,2,)</f>
        <v>30.925000000000001</v>
      </c>
      <c r="C216" s="26">
        <f>VLOOKUP(Table3[[#This Row],[Date]],Database!$A:$E,5)</f>
        <v>57.9</v>
      </c>
      <c r="D216" s="26">
        <f>(((Table3[[#This Row],[Core PCE]]-$B$496)/$B$496)*100)+100</f>
        <v>38.755075442378065</v>
      </c>
      <c r="E216" s="26">
        <f>(((Table3[[#This Row],[Core CPI]]-$C$496)/$C$496)*100)+100</f>
        <v>32.400671516508112</v>
      </c>
      <c r="F216" s="27">
        <v>6.826568265682649E-2</v>
      </c>
      <c r="G216" s="27">
        <f>VLOOKUP(Table3[[#This Row],[Date]],'PCE Core'!A:D,4,)</f>
        <v>6.1110348613779938E-2</v>
      </c>
    </row>
    <row r="217" spans="1:7" x14ac:dyDescent="0.35">
      <c r="A217" s="63">
        <v>28004</v>
      </c>
      <c r="B217" s="28">
        <f>VLOOKUP(Table3[[#This Row],[Date]],'PCE Core'!$A:$E,2,)</f>
        <v>31.106000000000002</v>
      </c>
      <c r="C217" s="28">
        <f>VLOOKUP(Table3[[#This Row],[Date]],Database!$A:$E,5)</f>
        <v>58.2</v>
      </c>
      <c r="D217" s="26">
        <f>(((Table3[[#This Row],[Core PCE]]-$B$496)/$B$496)*100)+100</f>
        <v>38.981903854829817</v>
      </c>
      <c r="E217" s="26">
        <f>(((Table3[[#This Row],[Core CPI]]-$C$496)/$C$496)*100)+100</f>
        <v>32.568550643536653</v>
      </c>
      <c r="F217" s="27">
        <v>6.7889908256880779E-2</v>
      </c>
      <c r="G217" s="27">
        <f>VLOOKUP(Table3[[#This Row],[Date]],'PCE Core'!A:D,4,)</f>
        <v>6.1565763429117536E-2</v>
      </c>
    </row>
    <row r="218" spans="1:7" x14ac:dyDescent="0.35">
      <c r="A218" s="60">
        <v>28034</v>
      </c>
      <c r="B218" s="28">
        <f>VLOOKUP(Table3[[#This Row],[Date]],'PCE Core'!$A:$E,2,)</f>
        <v>31.257999999999999</v>
      </c>
      <c r="C218" s="28">
        <f>VLOOKUP(Table3[[#This Row],[Date]],Database!$A:$E,5)</f>
        <v>58.5</v>
      </c>
      <c r="D218" s="26">
        <f>(((Table3[[#This Row],[Core PCE]]-$B$496)/$B$496)*100)+100</f>
        <v>39.172389593463322</v>
      </c>
      <c r="E218" s="26">
        <f>(((Table3[[#This Row],[Core CPI]]-$C$496)/$C$496)*100)+100</f>
        <v>32.736429770565195</v>
      </c>
      <c r="F218" s="27">
        <v>6.7518248175182538E-2</v>
      </c>
      <c r="G218" s="27">
        <f>VLOOKUP(Table3[[#This Row],[Date]],'PCE Core'!A:D,4,)</f>
        <v>6.1464276011953228E-2</v>
      </c>
    </row>
    <row r="219" spans="1:7" x14ac:dyDescent="0.35">
      <c r="A219" s="63">
        <v>28065</v>
      </c>
      <c r="B219" s="28">
        <f>VLOOKUP(Table3[[#This Row],[Date]],'PCE Core'!$A:$E,2,)</f>
        <v>31.401</v>
      </c>
      <c r="C219" s="26">
        <f>VLOOKUP(Table3[[#This Row],[Date]],Database!$A:$E,5)</f>
        <v>58.7</v>
      </c>
      <c r="D219" s="26">
        <f>(((Table3[[#This Row],[Core PCE]]-$B$496)/$B$496)*100)+100</f>
        <v>39.3515965712567</v>
      </c>
      <c r="E219" s="26">
        <f>(((Table3[[#This Row],[Core CPI]]-$C$496)/$C$496)*100)+100</f>
        <v>32.848349188584223</v>
      </c>
      <c r="F219" s="27">
        <v>6.3405797101449266E-2</v>
      </c>
      <c r="G219" s="27">
        <f>VLOOKUP(Table3[[#This Row],[Date]],'PCE Core'!A:D,4,)</f>
        <v>5.930573828559859E-2</v>
      </c>
    </row>
    <row r="220" spans="1:7" x14ac:dyDescent="0.35">
      <c r="A220" s="60">
        <v>28095</v>
      </c>
      <c r="B220" s="28">
        <f>VLOOKUP(Table3[[#This Row],[Date]],'PCE Core'!$A:$E,2,)</f>
        <v>31.571000000000002</v>
      </c>
      <c r="C220" s="28">
        <f>VLOOKUP(Table3[[#This Row],[Date]],Database!$A:$E,5)</f>
        <v>58.9</v>
      </c>
      <c r="D220" s="26">
        <f>(((Table3[[#This Row],[Core PCE]]-$B$496)/$B$496)*100)+100</f>
        <v>39.564639831570503</v>
      </c>
      <c r="E220" s="26">
        <f>(((Table3[[#This Row],[Core CPI]]-$C$496)/$C$496)*100)+100</f>
        <v>32.96026860660325</v>
      </c>
      <c r="F220" s="27">
        <v>6.1261261261261232E-2</v>
      </c>
      <c r="G220" s="27">
        <f>VLOOKUP(Table3[[#This Row],[Date]],'PCE Core'!A:D,4,)</f>
        <v>5.8612480300439293E-2</v>
      </c>
    </row>
    <row r="221" spans="1:7" x14ac:dyDescent="0.35">
      <c r="A221" s="63">
        <v>28126</v>
      </c>
      <c r="B221" s="28">
        <f>VLOOKUP(Table3[[#This Row],[Date]],'PCE Core'!$A:$E,2,)</f>
        <v>31.763000000000002</v>
      </c>
      <c r="C221" s="28">
        <f>VLOOKUP(Table3[[#This Row],[Date]],Database!$A:$E,5)</f>
        <v>59.3</v>
      </c>
      <c r="D221" s="26">
        <f>(((Table3[[#This Row],[Core PCE]]-$B$496)/$B$496)*100)+100</f>
        <v>39.805253396160211</v>
      </c>
      <c r="E221" s="26">
        <f>(((Table3[[#This Row],[Core CPI]]-$C$496)/$C$496)*100)+100</f>
        <v>33.184107442641292</v>
      </c>
      <c r="F221" s="27">
        <v>6.0822898032200333E-2</v>
      </c>
      <c r="G221" s="27">
        <f>VLOOKUP(Table3[[#This Row],[Date]],'PCE Core'!A:D,4,)</f>
        <v>5.9614358153189308E-2</v>
      </c>
    </row>
    <row r="222" spans="1:7" x14ac:dyDescent="0.35">
      <c r="A222" s="60">
        <v>28157</v>
      </c>
      <c r="B222" s="28">
        <f>VLOOKUP(Table3[[#This Row],[Date]],'PCE Core'!$A:$E,2,)</f>
        <v>31.957999999999998</v>
      </c>
      <c r="C222" s="26">
        <f>VLOOKUP(Table3[[#This Row],[Date]],Database!$A:$E,5)</f>
        <v>59.7</v>
      </c>
      <c r="D222" s="26">
        <f>(((Table3[[#This Row],[Core PCE]]-$B$496)/$B$496)*100)+100</f>
        <v>40.049626547696626</v>
      </c>
      <c r="E222" s="26">
        <f>(((Table3[[#This Row],[Core CPI]]-$C$496)/$C$496)*100)+100</f>
        <v>33.407946278679361</v>
      </c>
      <c r="F222" s="27">
        <v>6.2277580071174371E-2</v>
      </c>
      <c r="G222" s="27">
        <f>VLOOKUP(Table3[[#This Row],[Date]],'PCE Core'!A:D,4,)</f>
        <v>6.1903970759262322E-2</v>
      </c>
    </row>
    <row r="223" spans="1:7" x14ac:dyDescent="0.35">
      <c r="A223" s="63">
        <v>28185</v>
      </c>
      <c r="B223" s="28">
        <f>VLOOKUP(Table3[[#This Row],[Date]],'PCE Core'!$A:$E,2,)</f>
        <v>32.094000000000001</v>
      </c>
      <c r="C223" s="28">
        <f>VLOOKUP(Table3[[#This Row],[Date]],Database!$A:$E,5)</f>
        <v>60</v>
      </c>
      <c r="D223" s="26">
        <f>(((Table3[[#This Row],[Core PCE]]-$B$496)/$B$496)*100)+100</f>
        <v>40.220061155947661</v>
      </c>
      <c r="E223" s="26">
        <f>(((Table3[[#This Row],[Core CPI]]-$C$496)/$C$496)*100)+100</f>
        <v>33.575825405707889</v>
      </c>
      <c r="F223" s="27">
        <v>6.1946902654867263E-2</v>
      </c>
      <c r="G223" s="27">
        <f>VLOOKUP(Table3[[#This Row],[Date]],'PCE Core'!A:D,4,)</f>
        <v>6.2891207153502271E-2</v>
      </c>
    </row>
    <row r="224" spans="1:7" x14ac:dyDescent="0.35">
      <c r="A224" s="60">
        <v>28216</v>
      </c>
      <c r="B224" s="28">
        <f>VLOOKUP(Table3[[#This Row],[Date]],'PCE Core'!$A:$E,2,)</f>
        <v>32.253</v>
      </c>
      <c r="C224" s="28">
        <f>VLOOKUP(Table3[[#This Row],[Date]],Database!$A:$E,5)</f>
        <v>60.3</v>
      </c>
      <c r="D224" s="26">
        <f>(((Table3[[#This Row],[Core PCE]]-$B$496)/$B$496)*100)+100</f>
        <v>40.419319264123509</v>
      </c>
      <c r="E224" s="26">
        <f>(((Table3[[#This Row],[Core CPI]]-$C$496)/$C$496)*100)+100</f>
        <v>33.74370453273643</v>
      </c>
      <c r="F224" s="27">
        <v>6.3492063492063391E-2</v>
      </c>
      <c r="G224" s="27">
        <f>VLOOKUP(Table3[[#This Row],[Date]],'PCE Core'!A:D,4,)</f>
        <v>6.4034045922406926E-2</v>
      </c>
    </row>
    <row r="225" spans="1:7" x14ac:dyDescent="0.35">
      <c r="A225" s="63">
        <v>28246</v>
      </c>
      <c r="B225" s="28">
        <f>VLOOKUP(Table3[[#This Row],[Date]],'PCE Core'!$A:$E,2,)</f>
        <v>32.417000000000002</v>
      </c>
      <c r="C225" s="26">
        <f>VLOOKUP(Table3[[#This Row],[Date]],Database!$A:$E,5)</f>
        <v>60.6</v>
      </c>
      <c r="D225" s="26">
        <f>(((Table3[[#This Row],[Core PCE]]-$B$496)/$B$496)*100)+100</f>
        <v>40.624843350543884</v>
      </c>
      <c r="E225" s="26">
        <f>(((Table3[[#This Row],[Core CPI]]-$C$496)/$C$496)*100)+100</f>
        <v>33.911583659764972</v>
      </c>
      <c r="F225" s="27">
        <v>6.3157894736842135E-2</v>
      </c>
      <c r="G225" s="27">
        <f>VLOOKUP(Table3[[#This Row],[Date]],'PCE Core'!A:D,4,)</f>
        <v>6.4387969529813571E-2</v>
      </c>
    </row>
    <row r="226" spans="1:7" x14ac:dyDescent="0.35">
      <c r="A226" s="60">
        <v>28277</v>
      </c>
      <c r="B226" s="28">
        <f>VLOOKUP(Table3[[#This Row],[Date]],'PCE Core'!$A:$E,2,)</f>
        <v>32.610999999999997</v>
      </c>
      <c r="C226" s="28">
        <f>VLOOKUP(Table3[[#This Row],[Date]],Database!$A:$E,5)</f>
        <v>61</v>
      </c>
      <c r="D226" s="26">
        <f>(((Table3[[#This Row],[Core PCE]]-$B$496)/$B$496)*100)+100</f>
        <v>40.867963306431399</v>
      </c>
      <c r="E226" s="26">
        <f>(((Table3[[#This Row],[Core CPI]]-$C$496)/$C$496)*100)+100</f>
        <v>34.135422495803027</v>
      </c>
      <c r="F226" s="27">
        <v>6.6433566433566377E-2</v>
      </c>
      <c r="G226" s="27">
        <f>VLOOKUP(Table3[[#This Row],[Date]],'PCE Core'!A:D,4,)</f>
        <v>6.6450832270512322E-2</v>
      </c>
    </row>
    <row r="227" spans="1:7" x14ac:dyDescent="0.35">
      <c r="A227" s="63">
        <v>28307</v>
      </c>
      <c r="B227" s="28">
        <f>VLOOKUP(Table3[[#This Row],[Date]],'PCE Core'!$A:$E,2,)</f>
        <v>32.813000000000002</v>
      </c>
      <c r="C227" s="28">
        <f>VLOOKUP(Table3[[#This Row],[Date]],Database!$A:$E,5)</f>
        <v>61.2</v>
      </c>
      <c r="D227" s="26">
        <f>(((Table3[[#This Row],[Core PCE]]-$B$496)/$B$496)*100)+100</f>
        <v>41.121108827510156</v>
      </c>
      <c r="E227" s="26">
        <f>(((Table3[[#This Row],[Core CPI]]-$C$496)/$C$496)*100)+100</f>
        <v>34.247341913822055</v>
      </c>
      <c r="F227" s="27">
        <v>6.2500000000000028E-2</v>
      </c>
      <c r="G227" s="27">
        <f>VLOOKUP(Table3[[#This Row],[Date]],'PCE Core'!A:D,4,)</f>
        <v>6.7158839599323575E-2</v>
      </c>
    </row>
    <row r="228" spans="1:7" x14ac:dyDescent="0.35">
      <c r="A228" s="60">
        <v>28338</v>
      </c>
      <c r="B228" s="28">
        <f>VLOOKUP(Table3[[#This Row],[Date]],'PCE Core'!$A:$E,2,)</f>
        <v>32.972999999999999</v>
      </c>
      <c r="C228" s="26">
        <f>VLOOKUP(Table3[[#This Row],[Date]],Database!$A:$E,5)</f>
        <v>61.5</v>
      </c>
      <c r="D228" s="26">
        <f>(((Table3[[#This Row],[Core PCE]]-$B$496)/$B$496)*100)+100</f>
        <v>41.321620131334903</v>
      </c>
      <c r="E228" s="26">
        <f>(((Table3[[#This Row],[Core CPI]]-$C$496)/$C$496)*100)+100</f>
        <v>34.415221040850582</v>
      </c>
      <c r="F228" s="27">
        <v>6.2176165803108828E-2</v>
      </c>
      <c r="G228" s="27">
        <f>VLOOKUP(Table3[[#This Row],[Date]],'PCE Core'!A:D,4,)</f>
        <v>6.6224737267582809E-2</v>
      </c>
    </row>
    <row r="229" spans="1:7" x14ac:dyDescent="0.35">
      <c r="A229" s="63">
        <v>28369</v>
      </c>
      <c r="B229" s="28">
        <f>VLOOKUP(Table3[[#This Row],[Date]],'PCE Core'!$A:$E,2,)</f>
        <v>33.113</v>
      </c>
      <c r="C229" s="28">
        <f>VLOOKUP(Table3[[#This Row],[Date]],Database!$A:$E,5)</f>
        <v>61.8</v>
      </c>
      <c r="D229" s="26">
        <f>(((Table3[[#This Row],[Core PCE]]-$B$496)/$B$496)*100)+100</f>
        <v>41.497067522181567</v>
      </c>
      <c r="E229" s="26">
        <f>(((Table3[[#This Row],[Core CPI]]-$C$496)/$C$496)*100)+100</f>
        <v>34.583100167879138</v>
      </c>
      <c r="F229" s="27">
        <v>6.1855670103092682E-2</v>
      </c>
      <c r="G229" s="27">
        <f>VLOOKUP(Table3[[#This Row],[Date]],'PCE Core'!A:D,4,)</f>
        <v>6.452131421590683E-2</v>
      </c>
    </row>
    <row r="230" spans="1:7" x14ac:dyDescent="0.35">
      <c r="A230" s="60">
        <v>28399</v>
      </c>
      <c r="B230" s="28">
        <f>VLOOKUP(Table3[[#This Row],[Date]],'PCE Core'!$A:$E,2,)</f>
        <v>33.273000000000003</v>
      </c>
      <c r="C230" s="28">
        <f>VLOOKUP(Table3[[#This Row],[Date]],Database!$A:$E,5)</f>
        <v>62</v>
      </c>
      <c r="D230" s="26">
        <f>(((Table3[[#This Row],[Core PCE]]-$B$496)/$B$496)*100)+100</f>
        <v>41.697578826006321</v>
      </c>
      <c r="E230" s="26">
        <f>(((Table3[[#This Row],[Core CPI]]-$C$496)/$C$496)*100)+100</f>
        <v>34.695019585898152</v>
      </c>
      <c r="F230" s="27">
        <v>5.9829059829059832E-2</v>
      </c>
      <c r="G230" s="27">
        <f>VLOOKUP(Table3[[#This Row],[Date]],'PCE Core'!A:D,4,)</f>
        <v>6.446349734467989E-2</v>
      </c>
    </row>
    <row r="231" spans="1:7" x14ac:dyDescent="0.35">
      <c r="A231" s="63">
        <v>28430</v>
      </c>
      <c r="B231" s="28">
        <f>VLOOKUP(Table3[[#This Row],[Date]],'PCE Core'!$A:$E,2,)</f>
        <v>33.445</v>
      </c>
      <c r="C231" s="26">
        <f>VLOOKUP(Table3[[#This Row],[Date]],Database!$A:$E,5)</f>
        <v>62.3</v>
      </c>
      <c r="D231" s="26">
        <f>(((Table3[[#This Row],[Core PCE]]-$B$496)/$B$496)*100)+100</f>
        <v>41.913128477617924</v>
      </c>
      <c r="E231" s="26">
        <f>(((Table3[[#This Row],[Core CPI]]-$C$496)/$C$496)*100)+100</f>
        <v>34.862898712926693</v>
      </c>
      <c r="F231" s="27">
        <v>6.132879045996583E-2</v>
      </c>
      <c r="G231" s="27">
        <f>VLOOKUP(Table3[[#This Row],[Date]],'PCE Core'!A:D,4,)</f>
        <v>6.5093468360880244E-2</v>
      </c>
    </row>
    <row r="232" spans="1:7" x14ac:dyDescent="0.35">
      <c r="A232" s="60">
        <v>28460</v>
      </c>
      <c r="B232" s="28">
        <f>VLOOKUP(Table3[[#This Row],[Date]],'PCE Core'!$A:$E,2,)</f>
        <v>33.618000000000002</v>
      </c>
      <c r="C232" s="28">
        <f>VLOOKUP(Table3[[#This Row],[Date]],Database!$A:$E,5)</f>
        <v>62.7</v>
      </c>
      <c r="D232" s="26">
        <f>(((Table3[[#This Row],[Core PCE]]-$B$496)/$B$496)*100)+100</f>
        <v>42.129931324878442</v>
      </c>
      <c r="E232" s="26">
        <f>(((Table3[[#This Row],[Core CPI]]-$C$496)/$C$496)*100)+100</f>
        <v>35.086737548964749</v>
      </c>
      <c r="F232" s="27">
        <v>6.4516129032258132E-2</v>
      </c>
      <c r="G232" s="27">
        <f>VLOOKUP(Table3[[#This Row],[Date]],'PCE Core'!A:D,4,)</f>
        <v>6.4837984226030237E-2</v>
      </c>
    </row>
    <row r="233" spans="1:7" x14ac:dyDescent="0.35">
      <c r="A233" s="63">
        <v>28491</v>
      </c>
      <c r="B233" s="28">
        <f>VLOOKUP(Table3[[#This Row],[Date]],'PCE Core'!$A:$E,2,)</f>
        <v>33.819000000000003</v>
      </c>
      <c r="C233" s="28">
        <f>VLOOKUP(Table3[[#This Row],[Date]],Database!$A:$E,5)</f>
        <v>63.1</v>
      </c>
      <c r="D233" s="26">
        <f>(((Table3[[#This Row],[Core PCE]]-$B$496)/$B$496)*100)+100</f>
        <v>42.381823650308284</v>
      </c>
      <c r="E233" s="26">
        <f>(((Table3[[#This Row],[Core CPI]]-$C$496)/$C$496)*100)+100</f>
        <v>35.310576385002804</v>
      </c>
      <c r="F233" s="27">
        <v>6.4080944350758923E-2</v>
      </c>
      <c r="G233" s="27">
        <f>VLOOKUP(Table3[[#This Row],[Date]],'PCE Core'!A:D,4,)</f>
        <v>6.4729402134559105E-2</v>
      </c>
    </row>
    <row r="234" spans="1:7" x14ac:dyDescent="0.35">
      <c r="A234" s="60">
        <v>28522</v>
      </c>
      <c r="B234" s="28">
        <f>VLOOKUP(Table3[[#This Row],[Date]],'PCE Core'!$A:$E,2,)</f>
        <v>33.948999999999998</v>
      </c>
      <c r="C234" s="26">
        <f>VLOOKUP(Table3[[#This Row],[Date]],Database!$A:$E,5)</f>
        <v>63.4</v>
      </c>
      <c r="D234" s="26">
        <f>(((Table3[[#This Row],[Core PCE]]-$B$496)/$B$496)*100)+100</f>
        <v>42.544739084665892</v>
      </c>
      <c r="E234" s="26">
        <f>(((Table3[[#This Row],[Core CPI]]-$C$496)/$C$496)*100)+100</f>
        <v>35.478455512031346</v>
      </c>
      <c r="F234" s="27">
        <v>6.1976549413735267E-2</v>
      </c>
      <c r="G234" s="27">
        <f>VLOOKUP(Table3[[#This Row],[Date]],'PCE Core'!A:D,4,)</f>
        <v>6.2300519431754173E-2</v>
      </c>
    </row>
    <row r="235" spans="1:7" x14ac:dyDescent="0.35">
      <c r="A235" s="63">
        <v>28550</v>
      </c>
      <c r="B235" s="28">
        <f>VLOOKUP(Table3[[#This Row],[Date]],'PCE Core'!$A:$E,2,)</f>
        <v>34.133000000000003</v>
      </c>
      <c r="C235" s="28">
        <f>VLOOKUP(Table3[[#This Row],[Date]],Database!$A:$E,5)</f>
        <v>63.8</v>
      </c>
      <c r="D235" s="26">
        <f>(((Table3[[#This Row],[Core PCE]]-$B$496)/$B$496)*100)+100</f>
        <v>42.775327084064365</v>
      </c>
      <c r="E235" s="26">
        <f>(((Table3[[#This Row],[Core CPI]]-$C$496)/$C$496)*100)+100</f>
        <v>35.702294348069387</v>
      </c>
      <c r="F235" s="27">
        <v>6.3333333333333283E-2</v>
      </c>
      <c r="G235" s="27">
        <f>VLOOKUP(Table3[[#This Row],[Date]],'PCE Core'!A:D,4,)</f>
        <v>6.353212438462022E-2</v>
      </c>
    </row>
    <row r="236" spans="1:7" x14ac:dyDescent="0.35">
      <c r="A236" s="60">
        <v>28581</v>
      </c>
      <c r="B236" s="28">
        <f>VLOOKUP(Table3[[#This Row],[Date]],'PCE Core'!$A:$E,2,)</f>
        <v>34.353999999999999</v>
      </c>
      <c r="C236" s="28">
        <f>VLOOKUP(Table3[[#This Row],[Date]],Database!$A:$E,5)</f>
        <v>64.3</v>
      </c>
      <c r="D236" s="26">
        <f>(((Table3[[#This Row],[Core PCE]]-$B$496)/$B$496)*100)+100</f>
        <v>43.052283322472299</v>
      </c>
      <c r="E236" s="26">
        <f>(((Table3[[#This Row],[Core CPI]]-$C$496)/$C$496)*100)+100</f>
        <v>35.982092893116956</v>
      </c>
      <c r="F236" s="27">
        <v>6.633499170812604E-2</v>
      </c>
      <c r="G236" s="27">
        <f>VLOOKUP(Table3[[#This Row],[Date]],'PCE Core'!A:D,4,)</f>
        <v>6.5141227172666086E-2</v>
      </c>
    </row>
    <row r="237" spans="1:7" x14ac:dyDescent="0.35">
      <c r="A237" s="63">
        <v>28611</v>
      </c>
      <c r="B237" s="28">
        <f>VLOOKUP(Table3[[#This Row],[Date]],'PCE Core'!$A:$E,2,)</f>
        <v>34.555999999999997</v>
      </c>
      <c r="C237" s="26">
        <f>VLOOKUP(Table3[[#This Row],[Date]],Database!$A:$E,5)</f>
        <v>64.7</v>
      </c>
      <c r="D237" s="26">
        <f>(((Table3[[#This Row],[Core PCE]]-$B$496)/$B$496)*100)+100</f>
        <v>43.305428843551056</v>
      </c>
      <c r="E237" s="26">
        <f>(((Table3[[#This Row],[Core CPI]]-$C$496)/$C$496)*100)+100</f>
        <v>36.205931729155019</v>
      </c>
      <c r="F237" s="27">
        <v>6.7656765676567684E-2</v>
      </c>
      <c r="G237" s="27">
        <f>VLOOKUP(Table3[[#This Row],[Date]],'PCE Core'!A:D,4,)</f>
        <v>6.5983897337816441E-2</v>
      </c>
    </row>
    <row r="238" spans="1:7" x14ac:dyDescent="0.35">
      <c r="A238" s="60">
        <v>28642</v>
      </c>
      <c r="B238" s="28">
        <f>VLOOKUP(Table3[[#This Row],[Date]],'PCE Core'!$A:$E,2,)</f>
        <v>34.749000000000002</v>
      </c>
      <c r="C238" s="28">
        <f>VLOOKUP(Table3[[#This Row],[Date]],Database!$A:$E,5)</f>
        <v>65.2</v>
      </c>
      <c r="D238" s="26">
        <f>(((Table3[[#This Row],[Core PCE]]-$B$496)/$B$496)*100)+100</f>
        <v>43.547295603789657</v>
      </c>
      <c r="E238" s="26">
        <f>(((Table3[[#This Row],[Core CPI]]-$C$496)/$C$496)*100)+100</f>
        <v>36.485730274202574</v>
      </c>
      <c r="F238" s="27">
        <v>6.8852459016393489E-2</v>
      </c>
      <c r="G238" s="27">
        <f>VLOOKUP(Table3[[#This Row],[Date]],'PCE Core'!A:D,4,)</f>
        <v>6.5560700377173514E-2</v>
      </c>
    </row>
    <row r="239" spans="1:7" x14ac:dyDescent="0.35">
      <c r="A239" s="63">
        <v>28672</v>
      </c>
      <c r="B239" s="28">
        <f>VLOOKUP(Table3[[#This Row],[Date]],'PCE Core'!$A:$E,2,)</f>
        <v>34.953000000000003</v>
      </c>
      <c r="C239" s="28">
        <f>VLOOKUP(Table3[[#This Row],[Date]],Database!$A:$E,5)</f>
        <v>65.599999999999994</v>
      </c>
      <c r="D239" s="26">
        <f>(((Table3[[#This Row],[Core PCE]]-$B$496)/$B$496)*100)+100</f>
        <v>43.802947516166228</v>
      </c>
      <c r="E239" s="26">
        <f>(((Table3[[#This Row],[Core CPI]]-$C$496)/$C$496)*100)+100</f>
        <v>36.709569110240622</v>
      </c>
      <c r="F239" s="27">
        <v>7.1895424836601163E-2</v>
      </c>
      <c r="G239" s="27">
        <f>VLOOKUP(Table3[[#This Row],[Date]],'PCE Core'!A:D,4,)</f>
        <v>6.521805382013228E-2</v>
      </c>
    </row>
    <row r="240" spans="1:7" x14ac:dyDescent="0.35">
      <c r="A240" s="60">
        <v>28703</v>
      </c>
      <c r="B240" s="28">
        <f>VLOOKUP(Table3[[#This Row],[Date]],'PCE Core'!$A:$E,2,)</f>
        <v>35.140999999999998</v>
      </c>
      <c r="C240" s="26">
        <f>VLOOKUP(Table3[[#This Row],[Date]],Database!$A:$E,5)</f>
        <v>66.099999999999994</v>
      </c>
      <c r="D240" s="26">
        <f>(((Table3[[#This Row],[Core PCE]]-$B$496)/$B$496)*100)+100</f>
        <v>44.038548298160308</v>
      </c>
      <c r="E240" s="26">
        <f>(((Table3[[#This Row],[Core CPI]]-$C$496)/$C$496)*100)+100</f>
        <v>36.989367655288198</v>
      </c>
      <c r="F240" s="27">
        <v>7.4796747967479579E-2</v>
      </c>
      <c r="G240" s="27">
        <f>VLOOKUP(Table3[[#This Row],[Date]],'PCE Core'!A:D,4,)</f>
        <v>6.5750765778060813E-2</v>
      </c>
    </row>
    <row r="241" spans="1:7" x14ac:dyDescent="0.35">
      <c r="A241" s="63">
        <v>28734</v>
      </c>
      <c r="B241" s="28">
        <f>VLOOKUP(Table3[[#This Row],[Date]],'PCE Core'!$A:$E,2,)</f>
        <v>35.343000000000004</v>
      </c>
      <c r="C241" s="28">
        <f>VLOOKUP(Table3[[#This Row],[Date]],Database!$A:$E,5)</f>
        <v>66.7</v>
      </c>
      <c r="D241" s="26">
        <f>(((Table3[[#This Row],[Core PCE]]-$B$496)/$B$496)*100)+100</f>
        <v>44.291693819239065</v>
      </c>
      <c r="E241" s="26">
        <f>(((Table3[[#This Row],[Core CPI]]-$C$496)/$C$496)*100)+100</f>
        <v>37.325125909345282</v>
      </c>
      <c r="F241" s="27">
        <v>7.9288025889967736E-2</v>
      </c>
      <c r="G241" s="27">
        <f>VLOOKUP(Table3[[#This Row],[Date]],'PCE Core'!A:D,4,)</f>
        <v>6.7345151451091836E-2</v>
      </c>
    </row>
    <row r="242" spans="1:7" x14ac:dyDescent="0.35">
      <c r="A242" s="60">
        <v>28764</v>
      </c>
      <c r="B242" s="28">
        <f>VLOOKUP(Table3[[#This Row],[Date]],'PCE Core'!$A:$E,2,)</f>
        <v>35.603000000000002</v>
      </c>
      <c r="C242" s="28">
        <f>VLOOKUP(Table3[[#This Row],[Date]],Database!$A:$E,5)</f>
        <v>67.2</v>
      </c>
      <c r="D242" s="26">
        <f>(((Table3[[#This Row],[Core PCE]]-$B$496)/$B$496)*100)+100</f>
        <v>44.61752468795428</v>
      </c>
      <c r="E242" s="26">
        <f>(((Table3[[#This Row],[Core CPI]]-$C$496)/$C$496)*100)+100</f>
        <v>37.604924454392844</v>
      </c>
      <c r="F242" s="27">
        <v>8.3870967741935532E-2</v>
      </c>
      <c r="G242" s="27">
        <f>VLOOKUP(Table3[[#This Row],[Date]],'PCE Core'!A:D,4,)</f>
        <v>7.0026748414630427E-2</v>
      </c>
    </row>
    <row r="243" spans="1:7" x14ac:dyDescent="0.35">
      <c r="A243" s="63">
        <v>28795</v>
      </c>
      <c r="B243" s="28">
        <f>VLOOKUP(Table3[[#This Row],[Date]],'PCE Core'!$A:$E,2,)</f>
        <v>35.793999999999997</v>
      </c>
      <c r="C243" s="26">
        <f>VLOOKUP(Table3[[#This Row],[Date]],Database!$A:$E,5)</f>
        <v>67.599999999999994</v>
      </c>
      <c r="D243" s="26">
        <f>(((Table3[[#This Row],[Core PCE]]-$B$496)/$B$496)*100)+100</f>
        <v>44.856885056895081</v>
      </c>
      <c r="E243" s="26">
        <f>(((Table3[[#This Row],[Core CPI]]-$C$496)/$C$496)*100)+100</f>
        <v>37.828763290430892</v>
      </c>
      <c r="F243" s="27">
        <v>8.5072231139646834E-2</v>
      </c>
      <c r="G243" s="27">
        <f>VLOOKUP(Table3[[#This Row],[Date]],'PCE Core'!A:D,4,)</f>
        <v>7.0234713709074498E-2</v>
      </c>
    </row>
    <row r="244" spans="1:7" x14ac:dyDescent="0.35">
      <c r="A244" s="60">
        <v>28825</v>
      </c>
      <c r="B244" s="28">
        <f>VLOOKUP(Table3[[#This Row],[Date]],'PCE Core'!$A:$E,2,)</f>
        <v>35.933999999999997</v>
      </c>
      <c r="C244" s="28">
        <f>VLOOKUP(Table3[[#This Row],[Date]],Database!$A:$E,5)</f>
        <v>68</v>
      </c>
      <c r="D244" s="26">
        <f>(((Table3[[#This Row],[Core PCE]]-$B$496)/$B$496)*100)+100</f>
        <v>45.03233244774173</v>
      </c>
      <c r="E244" s="26">
        <f>(((Table3[[#This Row],[Core CPI]]-$C$496)/$C$496)*100)+100</f>
        <v>38.052602126468948</v>
      </c>
      <c r="F244" s="27">
        <v>8.4529505582137107E-2</v>
      </c>
      <c r="G244" s="27">
        <f>VLOOKUP(Table3[[#This Row],[Date]],'PCE Core'!A:D,4,)</f>
        <v>6.8891665179368053E-2</v>
      </c>
    </row>
    <row r="245" spans="1:7" x14ac:dyDescent="0.35">
      <c r="A245" s="63">
        <v>28856</v>
      </c>
      <c r="B245" s="28">
        <f>VLOOKUP(Table3[[#This Row],[Date]],'PCE Core'!$A:$E,2,)</f>
        <v>36.118000000000002</v>
      </c>
      <c r="C245" s="28">
        <f>VLOOKUP(Table3[[#This Row],[Date]],Database!$A:$E,5)</f>
        <v>68.5</v>
      </c>
      <c r="D245" s="26">
        <f>(((Table3[[#This Row],[Core PCE]]-$B$496)/$B$496)*100)+100</f>
        <v>45.26292044714021</v>
      </c>
      <c r="E245" s="26">
        <f>(((Table3[[#This Row],[Core CPI]]-$C$496)/$C$496)*100)+100</f>
        <v>38.33240067151651</v>
      </c>
      <c r="F245" s="27">
        <v>8.5578446909667177E-2</v>
      </c>
      <c r="G245" s="27">
        <f>VLOOKUP(Table3[[#This Row],[Date]],'PCE Core'!A:D,4,)</f>
        <v>6.7979538129453843E-2</v>
      </c>
    </row>
    <row r="246" spans="1:7" x14ac:dyDescent="0.35">
      <c r="A246" s="60">
        <v>28887</v>
      </c>
      <c r="B246" s="28">
        <f>VLOOKUP(Table3[[#This Row],[Date]],'PCE Core'!$A:$E,2,)</f>
        <v>36.234999999999999</v>
      </c>
      <c r="C246" s="26">
        <f>VLOOKUP(Table3[[#This Row],[Date]],Database!$A:$E,5)</f>
        <v>69.2</v>
      </c>
      <c r="D246" s="26">
        <f>(((Table3[[#This Row],[Core PCE]]-$B$496)/$B$496)*100)+100</f>
        <v>45.409544338062055</v>
      </c>
      <c r="E246" s="26">
        <f>(((Table3[[#This Row],[Core CPI]]-$C$496)/$C$496)*100)+100</f>
        <v>38.724118634583107</v>
      </c>
      <c r="F246" s="27">
        <v>9.1482649842271363E-2</v>
      </c>
      <c r="G246" s="27">
        <f>VLOOKUP(Table3[[#This Row],[Date]],'PCE Core'!A:D,4,)</f>
        <v>6.7336298565495348E-2</v>
      </c>
    </row>
    <row r="247" spans="1:7" x14ac:dyDescent="0.35">
      <c r="A247" s="63">
        <v>28915</v>
      </c>
      <c r="B247" s="28">
        <f>VLOOKUP(Table3[[#This Row],[Date]],'PCE Core'!$A:$E,2,)</f>
        <v>36.444000000000003</v>
      </c>
      <c r="C247" s="28">
        <f>VLOOKUP(Table3[[#This Row],[Date]],Database!$A:$E,5)</f>
        <v>69.8</v>
      </c>
      <c r="D247" s="26">
        <f>(((Table3[[#This Row],[Core PCE]]-$B$496)/$B$496)*100)+100</f>
        <v>45.671462228683147</v>
      </c>
      <c r="E247" s="26">
        <f>(((Table3[[#This Row],[Core CPI]]-$C$496)/$C$496)*100)+100</f>
        <v>39.059876888640176</v>
      </c>
      <c r="F247" s="27">
        <v>9.4043887147335428E-2</v>
      </c>
      <c r="G247" s="27">
        <f>VLOOKUP(Table3[[#This Row],[Date]],'PCE Core'!A:D,4,)</f>
        <v>6.770573931386048E-2</v>
      </c>
    </row>
    <row r="248" spans="1:7" x14ac:dyDescent="0.35">
      <c r="A248" s="60">
        <v>28946</v>
      </c>
      <c r="B248" s="28">
        <f>VLOOKUP(Table3[[#This Row],[Date]],'PCE Core'!$A:$E,2,)</f>
        <v>36.78</v>
      </c>
      <c r="C248" s="28">
        <f>VLOOKUP(Table3[[#This Row],[Date]],Database!$A:$E,5)</f>
        <v>70.3</v>
      </c>
      <c r="D248" s="26">
        <f>(((Table3[[#This Row],[Core PCE]]-$B$496)/$B$496)*100)+100</f>
        <v>46.092535966715118</v>
      </c>
      <c r="E248" s="26">
        <f>(((Table3[[#This Row],[Core CPI]]-$C$496)/$C$496)*100)+100</f>
        <v>39.339675433687745</v>
      </c>
      <c r="F248" s="27">
        <v>9.3312597200622086E-2</v>
      </c>
      <c r="G248" s="27">
        <f>VLOOKUP(Table3[[#This Row],[Date]],'PCE Core'!A:D,4,)</f>
        <v>7.061768644117139E-2</v>
      </c>
    </row>
    <row r="249" spans="1:7" x14ac:dyDescent="0.35">
      <c r="A249" s="63">
        <v>28976</v>
      </c>
      <c r="B249" s="28">
        <f>VLOOKUP(Table3[[#This Row],[Date]],'PCE Core'!$A:$E,2,)</f>
        <v>37.1</v>
      </c>
      <c r="C249" s="26">
        <f>VLOOKUP(Table3[[#This Row],[Date]],Database!$A:$E,5)</f>
        <v>70.8</v>
      </c>
      <c r="D249" s="26">
        <f>(((Table3[[#This Row],[Core PCE]]-$B$496)/$B$496)*100)+100</f>
        <v>46.493558574364627</v>
      </c>
      <c r="E249" s="26">
        <f>(((Table3[[#This Row],[Core CPI]]-$C$496)/$C$496)*100)+100</f>
        <v>39.619473978735307</v>
      </c>
      <c r="F249" s="27">
        <v>9.4281298299845342E-2</v>
      </c>
      <c r="G249" s="27">
        <f>VLOOKUP(Table3[[#This Row],[Date]],'PCE Core'!A:D,4,)</f>
        <v>7.3619631901840607E-2</v>
      </c>
    </row>
    <row r="250" spans="1:7" x14ac:dyDescent="0.35">
      <c r="A250" s="60">
        <v>29007</v>
      </c>
      <c r="B250" s="28">
        <f>VLOOKUP(Table3[[#This Row],[Date]],'PCE Core'!$A:$E,2,)</f>
        <v>37.308</v>
      </c>
      <c r="C250" s="28">
        <f>VLOOKUP(Table3[[#This Row],[Date]],Database!$A:$E,5)</f>
        <v>71.3</v>
      </c>
      <c r="D250" s="26">
        <f>(((Table3[[#This Row],[Core PCE]]-$B$496)/$B$496)*100)+100</f>
        <v>46.754223269336805</v>
      </c>
      <c r="E250" s="26">
        <f>(((Table3[[#This Row],[Core CPI]]-$C$496)/$C$496)*100)+100</f>
        <v>39.899272523782884</v>
      </c>
      <c r="F250" s="27">
        <v>9.3558282208588861E-2</v>
      </c>
      <c r="G250" s="27">
        <f>VLOOKUP(Table3[[#This Row],[Date]],'PCE Core'!A:D,4,)</f>
        <v>7.3642406975740232E-2</v>
      </c>
    </row>
    <row r="251" spans="1:7" x14ac:dyDescent="0.35">
      <c r="A251" s="63">
        <v>29037</v>
      </c>
      <c r="B251" s="28">
        <f>VLOOKUP(Table3[[#This Row],[Date]],'PCE Core'!$A:$E,2,)</f>
        <v>37.494999999999997</v>
      </c>
      <c r="C251" s="28">
        <f>VLOOKUP(Table3[[#This Row],[Date]],Database!$A:$E,5)</f>
        <v>71.900000000000006</v>
      </c>
      <c r="D251" s="26">
        <f>(((Table3[[#This Row],[Core PCE]]-$B$496)/$B$496)*100)+100</f>
        <v>46.988570855681978</v>
      </c>
      <c r="E251" s="26">
        <f>(((Table3[[#This Row],[Core CPI]]-$C$496)/$C$496)*100)+100</f>
        <v>40.235030777839967</v>
      </c>
      <c r="F251" s="27">
        <v>9.6036585365853841E-2</v>
      </c>
      <c r="G251" s="27">
        <f>VLOOKUP(Table3[[#This Row],[Date]],'PCE Core'!A:D,4,)</f>
        <v>7.2726232369181312E-2</v>
      </c>
    </row>
    <row r="252" spans="1:7" x14ac:dyDescent="0.35">
      <c r="A252" s="60">
        <v>29068</v>
      </c>
      <c r="B252" s="28">
        <f>VLOOKUP(Table3[[#This Row],[Date]],'PCE Core'!$A:$E,2,)</f>
        <v>37.744</v>
      </c>
      <c r="C252" s="26">
        <f>VLOOKUP(Table3[[#This Row],[Date]],Database!$A:$E,5)</f>
        <v>72.7</v>
      </c>
      <c r="D252" s="26">
        <f>(((Table3[[#This Row],[Core PCE]]-$B$496)/$B$496)*100)+100</f>
        <v>47.300616572259258</v>
      </c>
      <c r="E252" s="26">
        <f>(((Table3[[#This Row],[Core CPI]]-$C$496)/$C$496)*100)+100</f>
        <v>40.682708449916063</v>
      </c>
      <c r="F252" s="27">
        <v>9.9848714069591671E-2</v>
      </c>
      <c r="G252" s="27">
        <f>VLOOKUP(Table3[[#This Row],[Date]],'PCE Core'!A:D,4,)</f>
        <v>7.4073020118949423E-2</v>
      </c>
    </row>
    <row r="253" spans="1:7" x14ac:dyDescent="0.35">
      <c r="A253" s="63">
        <v>29099</v>
      </c>
      <c r="B253" s="28">
        <f>VLOOKUP(Table3[[#This Row],[Date]],'PCE Core'!$A:$E,2,)</f>
        <v>38.002000000000002</v>
      </c>
      <c r="C253" s="28">
        <f>VLOOKUP(Table3[[#This Row],[Date]],Database!$A:$E,5)</f>
        <v>73.3</v>
      </c>
      <c r="D253" s="26">
        <f>(((Table3[[#This Row],[Core PCE]]-$B$496)/$B$496)*100)+100</f>
        <v>47.623941049676674</v>
      </c>
      <c r="E253" s="26">
        <f>(((Table3[[#This Row],[Core CPI]]-$C$496)/$C$496)*100)+100</f>
        <v>41.018466703973147</v>
      </c>
      <c r="F253" s="27">
        <v>9.8950524737631093E-2</v>
      </c>
      <c r="G253" s="27">
        <f>VLOOKUP(Table3[[#This Row],[Date]],'PCE Core'!A:D,4,)</f>
        <v>7.5234134057663438E-2</v>
      </c>
    </row>
    <row r="254" spans="1:7" x14ac:dyDescent="0.35">
      <c r="A254" s="60">
        <v>29129</v>
      </c>
      <c r="B254" s="28">
        <f>VLOOKUP(Table3[[#This Row],[Date]],'PCE Core'!$A:$E,2,)</f>
        <v>38.279000000000003</v>
      </c>
      <c r="C254" s="28">
        <f>VLOOKUP(Table3[[#This Row],[Date]],Database!$A:$E,5)</f>
        <v>74</v>
      </c>
      <c r="D254" s="26">
        <f>(((Table3[[#This Row],[Core PCE]]-$B$496)/$B$496)*100)+100</f>
        <v>47.97107624442328</v>
      </c>
      <c r="E254" s="26">
        <f>(((Table3[[#This Row],[Core CPI]]-$C$496)/$C$496)*100)+100</f>
        <v>41.410184667039729</v>
      </c>
      <c r="F254" s="27">
        <v>0.10119047619047621</v>
      </c>
      <c r="G254" s="27">
        <f>VLOOKUP(Table3[[#This Row],[Date]],'PCE Core'!A:D,4,)</f>
        <v>7.5162205432126553E-2</v>
      </c>
    </row>
    <row r="255" spans="1:7" x14ac:dyDescent="0.35">
      <c r="A255" s="63">
        <v>29160</v>
      </c>
      <c r="B255" s="28">
        <f>VLOOKUP(Table3[[#This Row],[Date]],'PCE Core'!$A:$E,2,)</f>
        <v>38.524000000000001</v>
      </c>
      <c r="C255" s="26">
        <f>VLOOKUP(Table3[[#This Row],[Date]],Database!$A:$E,5)</f>
        <v>74.8</v>
      </c>
      <c r="D255" s="26">
        <f>(((Table3[[#This Row],[Core PCE]]-$B$496)/$B$496)*100)+100</f>
        <v>48.278109178404925</v>
      </c>
      <c r="E255" s="26">
        <f>(((Table3[[#This Row],[Core CPI]]-$C$496)/$C$496)*100)+100</f>
        <v>41.85786233911584</v>
      </c>
      <c r="F255" s="27">
        <v>0.106508875739645</v>
      </c>
      <c r="G255" s="27">
        <f>VLOOKUP(Table3[[#This Row],[Date]],'PCE Core'!A:D,4,)</f>
        <v>7.6269765882550272E-2</v>
      </c>
    </row>
    <row r="256" spans="1:7" x14ac:dyDescent="0.35">
      <c r="A256" s="60">
        <v>29190</v>
      </c>
      <c r="B256" s="28">
        <f>VLOOKUP(Table3[[#This Row],[Date]],'PCE Core'!$A:$E,2,)</f>
        <v>38.801000000000002</v>
      </c>
      <c r="C256" s="28">
        <f>VLOOKUP(Table3[[#This Row],[Date]],Database!$A:$E,5)</f>
        <v>75.7</v>
      </c>
      <c r="D256" s="26">
        <f>(((Table3[[#This Row],[Core PCE]]-$B$496)/$B$496)*100)+100</f>
        <v>48.625244373151531</v>
      </c>
      <c r="E256" s="26">
        <f>(((Table3[[#This Row],[Core CPI]]-$C$496)/$C$496)*100)+100</f>
        <v>42.361499720201458</v>
      </c>
      <c r="F256" s="27">
        <v>0.1132352941176471</v>
      </c>
      <c r="G256" s="27">
        <f>VLOOKUP(Table3[[#This Row],[Date]],'PCE Core'!A:D,4,)</f>
        <v>7.9785161685312092E-2</v>
      </c>
    </row>
    <row r="257" spans="1:7" x14ac:dyDescent="0.35">
      <c r="A257" s="63">
        <v>29221</v>
      </c>
      <c r="B257" s="28">
        <f>VLOOKUP(Table3[[#This Row],[Date]],'PCE Core'!$A:$E,2,)</f>
        <v>39.094999999999999</v>
      </c>
      <c r="C257" s="28">
        <f>VLOOKUP(Table3[[#This Row],[Date]],Database!$A:$E,5)</f>
        <v>76.7</v>
      </c>
      <c r="D257" s="26">
        <f>(((Table3[[#This Row],[Core PCE]]-$B$496)/$B$496)*100)+100</f>
        <v>48.993683893929521</v>
      </c>
      <c r="E257" s="26">
        <f>(((Table3[[#This Row],[Core CPI]]-$C$496)/$C$496)*100)+100</f>
        <v>42.921096810296589</v>
      </c>
      <c r="F257" s="27">
        <v>0.1197080291970803</v>
      </c>
      <c r="G257" s="27">
        <f>VLOOKUP(Table3[[#This Row],[Date]],'PCE Core'!A:D,4,)</f>
        <v>8.2424275984273682E-2</v>
      </c>
    </row>
    <row r="258" spans="1:7" x14ac:dyDescent="0.35">
      <c r="A258" s="60">
        <v>29252</v>
      </c>
      <c r="B258" s="28">
        <f>VLOOKUP(Table3[[#This Row],[Date]],'PCE Core'!$A:$E,2,)</f>
        <v>39.484999999999999</v>
      </c>
      <c r="C258" s="26">
        <f>VLOOKUP(Table3[[#This Row],[Date]],Database!$A:$E,5)</f>
        <v>77.5</v>
      </c>
      <c r="D258" s="26">
        <f>(((Table3[[#This Row],[Core PCE]]-$B$496)/$B$496)*100)+100</f>
        <v>49.482430197002344</v>
      </c>
      <c r="E258" s="26">
        <f>(((Table3[[#This Row],[Core CPI]]-$C$496)/$C$496)*100)+100</f>
        <v>43.368774482372693</v>
      </c>
      <c r="F258" s="27">
        <v>0.1199421965317919</v>
      </c>
      <c r="G258" s="27">
        <f>VLOOKUP(Table3[[#This Row],[Date]],'PCE Core'!A:D,4,)</f>
        <v>8.9692286463364149E-2</v>
      </c>
    </row>
    <row r="259" spans="1:7" x14ac:dyDescent="0.35">
      <c r="A259" s="63">
        <v>29281</v>
      </c>
      <c r="B259" s="28">
        <f>VLOOKUP(Table3[[#This Row],[Date]],'PCE Core'!$A:$E,2,)</f>
        <v>39.850999999999999</v>
      </c>
      <c r="C259" s="28">
        <f>VLOOKUP(Table3[[#This Row],[Date]],Database!$A:$E,5)</f>
        <v>78.599999999999994</v>
      </c>
      <c r="D259" s="26">
        <f>(((Table3[[#This Row],[Core PCE]]-$B$496)/$B$496)*100)+100</f>
        <v>49.941099804501476</v>
      </c>
      <c r="E259" s="26">
        <f>(((Table3[[#This Row],[Core CPI]]-$C$496)/$C$496)*100)+100</f>
        <v>43.984331281477338</v>
      </c>
      <c r="F259" s="27">
        <v>0.12607449856733521</v>
      </c>
      <c r="G259" s="27">
        <f>VLOOKUP(Table3[[#This Row],[Date]],'PCE Core'!A:D,4,)</f>
        <v>9.3485896169465371E-2</v>
      </c>
    </row>
    <row r="260" spans="1:7" x14ac:dyDescent="0.35">
      <c r="A260" s="60">
        <v>29312</v>
      </c>
      <c r="B260" s="28">
        <f>VLOOKUP(Table3[[#This Row],[Date]],'PCE Core'!$A:$E,2,)</f>
        <v>40.055999999999997</v>
      </c>
      <c r="C260" s="28">
        <f>VLOOKUP(Table3[[#This Row],[Date]],Database!$A:$E,5)</f>
        <v>79.5</v>
      </c>
      <c r="D260" s="26">
        <f>(((Table3[[#This Row],[Core PCE]]-$B$496)/$B$496)*100)+100</f>
        <v>50.19800491252694</v>
      </c>
      <c r="E260" s="26">
        <f>(((Table3[[#This Row],[Core CPI]]-$C$496)/$C$496)*100)+100</f>
        <v>44.487968662562963</v>
      </c>
      <c r="F260" s="27">
        <v>0.13086770981507831</v>
      </c>
      <c r="G260" s="27">
        <f>VLOOKUP(Table3[[#This Row],[Date]],'PCE Core'!A:D,4,)</f>
        <v>8.9070146818923224E-2</v>
      </c>
    </row>
    <row r="261" spans="1:7" x14ac:dyDescent="0.35">
      <c r="A261" s="63">
        <v>29342</v>
      </c>
      <c r="B261" s="28">
        <f>VLOOKUP(Table3[[#This Row],[Date]],'PCE Core'!$A:$E,2,)</f>
        <v>40.378</v>
      </c>
      <c r="C261" s="26">
        <f>VLOOKUP(Table3[[#This Row],[Date]],Database!$A:$E,5)</f>
        <v>80.099999999999994</v>
      </c>
      <c r="D261" s="26">
        <f>(((Table3[[#This Row],[Core PCE]]-$B$496)/$B$496)*100)+100</f>
        <v>50.601533911474256</v>
      </c>
      <c r="E261" s="26">
        <f>(((Table3[[#This Row],[Core CPI]]-$C$496)/$C$496)*100)+100</f>
        <v>44.823726916620032</v>
      </c>
      <c r="F261" s="27">
        <v>0.13135593220338981</v>
      </c>
      <c r="G261" s="27">
        <f>VLOOKUP(Table3[[#This Row],[Date]],'PCE Core'!A:D,4,)</f>
        <v>8.8355795148247943E-2</v>
      </c>
    </row>
    <row r="262" spans="1:7" x14ac:dyDescent="0.35">
      <c r="A262" s="60">
        <v>29373</v>
      </c>
      <c r="B262" s="28">
        <f>VLOOKUP(Table3[[#This Row],[Date]],'PCE Core'!$A:$E,2,)</f>
        <v>40.646000000000001</v>
      </c>
      <c r="C262" s="28">
        <f>VLOOKUP(Table3[[#This Row],[Date]],Database!$A:$E,5)</f>
        <v>81</v>
      </c>
      <c r="D262" s="26">
        <f>(((Table3[[#This Row],[Core PCE]]-$B$496)/$B$496)*100)+100</f>
        <v>50.93739034538072</v>
      </c>
      <c r="E262" s="26">
        <f>(((Table3[[#This Row],[Core CPI]]-$C$496)/$C$496)*100)+100</f>
        <v>45.32736429770565</v>
      </c>
      <c r="F262" s="27">
        <v>0.1360448807854138</v>
      </c>
      <c r="G262" s="27">
        <f>VLOOKUP(Table3[[#This Row],[Date]],'PCE Core'!A:D,4,)</f>
        <v>8.9471427039777021E-2</v>
      </c>
    </row>
    <row r="263" spans="1:7" x14ac:dyDescent="0.35">
      <c r="A263" s="63">
        <v>29403</v>
      </c>
      <c r="B263" s="28">
        <f>VLOOKUP(Table3[[#This Row],[Date]],'PCE Core'!$A:$E,2,)</f>
        <v>40.932000000000002</v>
      </c>
      <c r="C263" s="28">
        <f>VLOOKUP(Table3[[#This Row],[Date]],Database!$A:$E,5)</f>
        <v>80.8</v>
      </c>
      <c r="D263" s="26">
        <f>(((Table3[[#This Row],[Core PCE]]-$B$496)/$B$496)*100)+100</f>
        <v>51.295804300967468</v>
      </c>
      <c r="E263" s="26">
        <f>(((Table3[[#This Row],[Core CPI]]-$C$496)/$C$496)*100)+100</f>
        <v>45.215444879686629</v>
      </c>
      <c r="F263" s="27">
        <v>0.1237830319888733</v>
      </c>
      <c r="G263" s="27">
        <f>VLOOKUP(Table3[[#This Row],[Date]],'PCE Core'!A:D,4,)</f>
        <v>9.1665555407387786E-2</v>
      </c>
    </row>
    <row r="264" spans="1:7" x14ac:dyDescent="0.35">
      <c r="A264" s="60">
        <v>29434</v>
      </c>
      <c r="B264" s="28">
        <f>VLOOKUP(Table3[[#This Row],[Date]],'PCE Core'!$A:$E,2,)</f>
        <v>41.228000000000002</v>
      </c>
      <c r="C264" s="26">
        <f>VLOOKUP(Table3[[#This Row],[Date]],Database!$A:$E,5)</f>
        <v>81.3</v>
      </c>
      <c r="D264" s="26">
        <f>(((Table3[[#This Row],[Core PCE]]-$B$496)/$B$496)*100)+100</f>
        <v>51.666750213043258</v>
      </c>
      <c r="E264" s="26">
        <f>(((Table3[[#This Row],[Core CPI]]-$C$496)/$C$496)*100)+100</f>
        <v>45.495243424734191</v>
      </c>
      <c r="F264" s="27">
        <v>0.11829436038514431</v>
      </c>
      <c r="G264" s="27">
        <f>VLOOKUP(Table3[[#This Row],[Date]],'PCE Core'!A:D,4,)</f>
        <v>9.2306061890631674E-2</v>
      </c>
    </row>
    <row r="265" spans="1:7" x14ac:dyDescent="0.35">
      <c r="A265" s="63">
        <v>29465</v>
      </c>
      <c r="B265" s="28">
        <f>VLOOKUP(Table3[[#This Row],[Date]],'PCE Core'!$A:$E,2,)</f>
        <v>41.616</v>
      </c>
      <c r="C265" s="28">
        <f>VLOOKUP(Table3[[#This Row],[Date]],Database!$A:$E,5)</f>
        <v>82.1</v>
      </c>
      <c r="D265" s="26">
        <f>(((Table3[[#This Row],[Core PCE]]-$B$496)/$B$496)*100)+100</f>
        <v>52.152990124818281</v>
      </c>
      <c r="E265" s="26">
        <f>(((Table3[[#This Row],[Core CPI]]-$C$496)/$C$496)*100)+100</f>
        <v>45.942921096810295</v>
      </c>
      <c r="F265" s="27">
        <v>0.1200545702592087</v>
      </c>
      <c r="G265" s="27">
        <f>VLOOKUP(Table3[[#This Row],[Date]],'PCE Core'!A:D,4,)</f>
        <v>9.5100257881164066E-2</v>
      </c>
    </row>
    <row r="266" spans="1:7" x14ac:dyDescent="0.35">
      <c r="A266" s="60">
        <v>29495</v>
      </c>
      <c r="B266" s="28">
        <f>VLOOKUP(Table3[[#This Row],[Date]],'PCE Core'!$A:$E,2,)</f>
        <v>41.959000000000003</v>
      </c>
      <c r="C266" s="28">
        <f>VLOOKUP(Table3[[#This Row],[Date]],Database!$A:$E,5)</f>
        <v>83</v>
      </c>
      <c r="D266" s="26">
        <f>(((Table3[[#This Row],[Core PCE]]-$B$496)/$B$496)*100)+100</f>
        <v>52.582836232392602</v>
      </c>
      <c r="E266" s="26">
        <f>(((Table3[[#This Row],[Core CPI]]-$C$496)/$C$496)*100)+100</f>
        <v>46.44655847789592</v>
      </c>
      <c r="F266" s="27">
        <v>0.1216216216216216</v>
      </c>
      <c r="G266" s="27">
        <f>VLOOKUP(Table3[[#This Row],[Date]],'PCE Core'!A:D,4,)</f>
        <v>9.6136262702787412E-2</v>
      </c>
    </row>
    <row r="267" spans="1:7" x14ac:dyDescent="0.35">
      <c r="A267" s="63">
        <v>29526</v>
      </c>
      <c r="B267" s="28">
        <f>VLOOKUP(Table3[[#This Row],[Date]],'PCE Core'!$A:$E,2,)</f>
        <v>42.289000000000001</v>
      </c>
      <c r="C267" s="26">
        <f>VLOOKUP(Table3[[#This Row],[Date]],Database!$A:$E,5)</f>
        <v>83.9</v>
      </c>
      <c r="D267" s="26">
        <f>(((Table3[[#This Row],[Core PCE]]-$B$496)/$B$496)*100)+100</f>
        <v>52.996390796531152</v>
      </c>
      <c r="E267" s="26">
        <f>(((Table3[[#This Row],[Core CPI]]-$C$496)/$C$496)*100)+100</f>
        <v>46.950195858981537</v>
      </c>
      <c r="F267" s="27">
        <v>0.1216577540106953</v>
      </c>
      <c r="G267" s="27">
        <f>VLOOKUP(Table3[[#This Row],[Date]],'PCE Core'!A:D,4,)</f>
        <v>9.7731284394143927E-2</v>
      </c>
    </row>
    <row r="268" spans="1:7" x14ac:dyDescent="0.35">
      <c r="A268" s="60">
        <v>29556</v>
      </c>
      <c r="B268" s="28">
        <f>VLOOKUP(Table3[[#This Row],[Date]],'PCE Core'!$A:$E,2,)</f>
        <v>42.543999999999997</v>
      </c>
      <c r="C268" s="28">
        <f>VLOOKUP(Table3[[#This Row],[Date]],Database!$A:$E,5)</f>
        <v>84.9</v>
      </c>
      <c r="D268" s="26">
        <f>(((Table3[[#This Row],[Core PCE]]-$B$496)/$B$496)*100)+100</f>
        <v>53.315955687001846</v>
      </c>
      <c r="E268" s="26">
        <f>(((Table3[[#This Row],[Core CPI]]-$C$496)/$C$496)*100)+100</f>
        <v>47.509792949076669</v>
      </c>
      <c r="F268" s="27">
        <v>0.12153236459709379</v>
      </c>
      <c r="G268" s="27">
        <f>VLOOKUP(Table3[[#This Row],[Date]],'PCE Core'!A:D,4,)</f>
        <v>9.6466585912734076E-2</v>
      </c>
    </row>
    <row r="269" spans="1:7" x14ac:dyDescent="0.35">
      <c r="A269" s="63">
        <v>29587</v>
      </c>
      <c r="B269" s="28">
        <f>VLOOKUP(Table3[[#This Row],[Date]],'PCE Core'!$A:$E,2,)</f>
        <v>42.911999999999999</v>
      </c>
      <c r="C269" s="28">
        <f>VLOOKUP(Table3[[#This Row],[Date]],Database!$A:$E,5)</f>
        <v>85.4</v>
      </c>
      <c r="D269" s="26">
        <f>(((Table3[[#This Row],[Core PCE]]-$B$496)/$B$496)*100)+100</f>
        <v>53.777131685798778</v>
      </c>
      <c r="E269" s="26">
        <f>(((Table3[[#This Row],[Core CPI]]-$C$496)/$C$496)*100)+100</f>
        <v>47.789591494124238</v>
      </c>
      <c r="F269" s="27">
        <v>0.11342894393741849</v>
      </c>
      <c r="G269" s="27">
        <f>VLOOKUP(Table3[[#This Row],[Date]],'PCE Core'!A:D,4,)</f>
        <v>9.7633968538176241E-2</v>
      </c>
    </row>
    <row r="270" spans="1:7" x14ac:dyDescent="0.35">
      <c r="A270" s="60">
        <v>29618</v>
      </c>
      <c r="B270" s="28">
        <f>VLOOKUP(Table3[[#This Row],[Date]],'PCE Core'!$A:$E,2,)</f>
        <v>43.225999999999999</v>
      </c>
      <c r="C270" s="26">
        <f>VLOOKUP(Table3[[#This Row],[Date]],Database!$A:$E,5)</f>
        <v>85.9</v>
      </c>
      <c r="D270" s="26">
        <f>(((Table3[[#This Row],[Core PCE]]-$B$496)/$B$496)*100)+100</f>
        <v>54.170635119554859</v>
      </c>
      <c r="E270" s="26">
        <f>(((Table3[[#This Row],[Core CPI]]-$C$496)/$C$496)*100)+100</f>
        <v>48.0693900391718</v>
      </c>
      <c r="F270" s="27">
        <v>0.1083870967741936</v>
      </c>
      <c r="G270" s="27">
        <f>VLOOKUP(Table3[[#This Row],[Date]],'PCE Core'!A:D,4,)</f>
        <v>9.4744839812587051E-2</v>
      </c>
    </row>
    <row r="271" spans="1:7" x14ac:dyDescent="0.35">
      <c r="A271" s="63">
        <v>29646</v>
      </c>
      <c r="B271" s="28">
        <f>VLOOKUP(Table3[[#This Row],[Date]],'PCE Core'!$A:$E,2,)</f>
        <v>43.466000000000001</v>
      </c>
      <c r="C271" s="28">
        <f>VLOOKUP(Table3[[#This Row],[Date]],Database!$A:$E,5)</f>
        <v>86.4</v>
      </c>
      <c r="D271" s="26">
        <f>(((Table3[[#This Row],[Core PCE]]-$B$496)/$B$496)*100)+100</f>
        <v>54.471402075291991</v>
      </c>
      <c r="E271" s="26">
        <f>(((Table3[[#This Row],[Core CPI]]-$C$496)/$C$496)*100)+100</f>
        <v>48.34918858421937</v>
      </c>
      <c r="F271" s="27">
        <v>9.9236641221374197E-2</v>
      </c>
      <c r="G271" s="27">
        <f>VLOOKUP(Table3[[#This Row],[Date]],'PCE Core'!A:D,4,)</f>
        <v>9.0712905573260449E-2</v>
      </c>
    </row>
    <row r="272" spans="1:7" x14ac:dyDescent="0.35">
      <c r="A272" s="60">
        <v>29677</v>
      </c>
      <c r="B272" s="28">
        <f>VLOOKUP(Table3[[#This Row],[Date]],'PCE Core'!$A:$E,2,)</f>
        <v>43.744</v>
      </c>
      <c r="C272" s="28">
        <f>VLOOKUP(Table3[[#This Row],[Date]],Database!$A:$E,5)</f>
        <v>87</v>
      </c>
      <c r="D272" s="26">
        <f>(((Table3[[#This Row],[Core PCE]]-$B$496)/$B$496)*100)+100</f>
        <v>54.819790465687497</v>
      </c>
      <c r="E272" s="26">
        <f>(((Table3[[#This Row],[Core CPI]]-$C$496)/$C$496)*100)+100</f>
        <v>48.684946838276446</v>
      </c>
      <c r="F272" s="27">
        <v>9.4339622641509441E-2</v>
      </c>
      <c r="G272" s="27">
        <f>VLOOKUP(Table3[[#This Row],[Date]],'PCE Core'!A:D,4,)</f>
        <v>9.2071100459356972E-2</v>
      </c>
    </row>
    <row r="273" spans="1:7" x14ac:dyDescent="0.35">
      <c r="A273" s="63">
        <v>29707</v>
      </c>
      <c r="B273" s="28">
        <f>VLOOKUP(Table3[[#This Row],[Date]],'PCE Core'!$A:$E,2,)</f>
        <v>44.045000000000002</v>
      </c>
      <c r="C273" s="26">
        <f>VLOOKUP(Table3[[#This Row],[Date]],Database!$A:$E,5)</f>
        <v>87.8</v>
      </c>
      <c r="D273" s="26">
        <f>(((Table3[[#This Row],[Core PCE]]-$B$496)/$B$496)*100)+100</f>
        <v>55.197002356007815</v>
      </c>
      <c r="E273" s="26">
        <f>(((Table3[[#This Row],[Core CPI]]-$C$496)/$C$496)*100)+100</f>
        <v>49.132624510352549</v>
      </c>
      <c r="F273" s="27">
        <v>9.6129837702871451E-2</v>
      </c>
      <c r="G273" s="27">
        <f>VLOOKUP(Table3[[#This Row],[Date]],'PCE Core'!A:D,4,)</f>
        <v>9.0816781415622411E-2</v>
      </c>
    </row>
    <row r="274" spans="1:7" x14ac:dyDescent="0.35">
      <c r="A274" s="60">
        <v>29738</v>
      </c>
      <c r="B274" s="28">
        <f>VLOOKUP(Table3[[#This Row],[Date]],'PCE Core'!$A:$E,2,)</f>
        <v>44.265000000000001</v>
      </c>
      <c r="C274" s="28">
        <f>VLOOKUP(Table3[[#This Row],[Date]],Database!$A:$E,5)</f>
        <v>88.6</v>
      </c>
      <c r="D274" s="26">
        <f>(((Table3[[#This Row],[Core PCE]]-$B$496)/$B$496)*100)+100</f>
        <v>55.472705398766855</v>
      </c>
      <c r="E274" s="26">
        <f>(((Table3[[#This Row],[Core CPI]]-$C$496)/$C$496)*100)+100</f>
        <v>49.580302182428646</v>
      </c>
      <c r="F274" s="27">
        <v>9.3827160493827097E-2</v>
      </c>
      <c r="G274" s="27">
        <f>VLOOKUP(Table3[[#This Row],[Date]],'PCE Core'!A:D,4,)</f>
        <v>8.9037051616395205E-2</v>
      </c>
    </row>
    <row r="275" spans="1:7" x14ac:dyDescent="0.35">
      <c r="A275" s="63">
        <v>29768</v>
      </c>
      <c r="B275" s="28">
        <f>VLOOKUP(Table3[[#This Row],[Date]],'PCE Core'!$A:$E,2,)</f>
        <v>44.531999999999996</v>
      </c>
      <c r="C275" s="28">
        <f>VLOOKUP(Table3[[#This Row],[Date]],Database!$A:$E,5)</f>
        <v>89.8</v>
      </c>
      <c r="D275" s="26">
        <f>(((Table3[[#This Row],[Core PCE]]-$B$496)/$B$496)*100)+100</f>
        <v>55.807308637024406</v>
      </c>
      <c r="E275" s="26">
        <f>(((Table3[[#This Row],[Core CPI]]-$C$496)/$C$496)*100)+100</f>
        <v>50.251818690542812</v>
      </c>
      <c r="F275" s="27">
        <v>0.1113861386138614</v>
      </c>
      <c r="G275" s="27">
        <f>VLOOKUP(Table3[[#This Row],[Date]],'PCE Core'!A:D,4,)</f>
        <v>8.7950747581354294E-2</v>
      </c>
    </row>
    <row r="276" spans="1:7" x14ac:dyDescent="0.35">
      <c r="A276" s="60">
        <v>29799</v>
      </c>
      <c r="B276" s="28">
        <f>VLOOKUP(Table3[[#This Row],[Date]],'PCE Core'!$A:$E,2,)</f>
        <v>44.83</v>
      </c>
      <c r="C276" s="26">
        <f>VLOOKUP(Table3[[#This Row],[Date]],Database!$A:$E,5)</f>
        <v>90.7</v>
      </c>
      <c r="D276" s="26">
        <f>(((Table3[[#This Row],[Core PCE]]-$B$496)/$B$496)*100)+100</f>
        <v>56.180760940398002</v>
      </c>
      <c r="E276" s="26">
        <f>(((Table3[[#This Row],[Core CPI]]-$C$496)/$C$496)*100)+100</f>
        <v>50.75545607162843</v>
      </c>
      <c r="F276" s="27">
        <v>0.1156211562115622</v>
      </c>
      <c r="G276" s="27">
        <f>VLOOKUP(Table3[[#This Row],[Date]],'PCE Core'!A:D,4,)</f>
        <v>8.7367808285631038E-2</v>
      </c>
    </row>
    <row r="277" spans="1:7" x14ac:dyDescent="0.35">
      <c r="A277" s="63">
        <v>29830</v>
      </c>
      <c r="B277" s="28">
        <f>VLOOKUP(Table3[[#This Row],[Date]],'PCE Core'!$A:$E,2,)</f>
        <v>45.124000000000002</v>
      </c>
      <c r="C277" s="28">
        <f>VLOOKUP(Table3[[#This Row],[Date]],Database!$A:$E,5)</f>
        <v>91.8</v>
      </c>
      <c r="D277" s="26">
        <f>(((Table3[[#This Row],[Core PCE]]-$B$496)/$B$496)*100)+100</f>
        <v>56.549200461176</v>
      </c>
      <c r="E277" s="26">
        <f>(((Table3[[#This Row],[Core CPI]]-$C$496)/$C$496)*100)+100</f>
        <v>51.371012870733075</v>
      </c>
      <c r="F277" s="27">
        <v>0.118148599269184</v>
      </c>
      <c r="G277" s="27">
        <f>VLOOKUP(Table3[[#This Row],[Date]],'PCE Core'!A:D,4,)</f>
        <v>8.4294502114571387E-2</v>
      </c>
    </row>
    <row r="278" spans="1:7" x14ac:dyDescent="0.35">
      <c r="A278" s="60">
        <v>29860</v>
      </c>
      <c r="B278" s="28">
        <f>VLOOKUP(Table3[[#This Row],[Date]],'PCE Core'!$A:$E,2,)</f>
        <v>45.393000000000001</v>
      </c>
      <c r="C278" s="28">
        <f>VLOOKUP(Table3[[#This Row],[Date]],Database!$A:$E,5)</f>
        <v>92.1</v>
      </c>
      <c r="D278" s="26">
        <f>(((Table3[[#This Row],[Core PCE]]-$B$496)/$B$496)*100)+100</f>
        <v>56.886310090731364</v>
      </c>
      <c r="E278" s="26">
        <f>(((Table3[[#This Row],[Core CPI]]-$C$496)/$C$496)*100)+100</f>
        <v>51.53889199776161</v>
      </c>
      <c r="F278" s="27">
        <v>0.1096385542168674</v>
      </c>
      <c r="G278" s="27">
        <f>VLOOKUP(Table3[[#This Row],[Date]],'PCE Core'!A:D,4,)</f>
        <v>8.1841797945613512E-2</v>
      </c>
    </row>
    <row r="279" spans="1:7" x14ac:dyDescent="0.35">
      <c r="A279" s="63">
        <v>29891</v>
      </c>
      <c r="B279" s="28">
        <f>VLOOKUP(Table3[[#This Row],[Date]],'PCE Core'!$A:$E,2,)</f>
        <v>45.658000000000001</v>
      </c>
      <c r="C279" s="26">
        <f>VLOOKUP(Table3[[#This Row],[Date]],Database!$A:$E,5)</f>
        <v>92.5</v>
      </c>
      <c r="D279" s="26">
        <f>(((Table3[[#This Row],[Core PCE]]-$B$496)/$B$496)*100)+100</f>
        <v>57.218406937691107</v>
      </c>
      <c r="E279" s="26">
        <f>(((Table3[[#This Row],[Core CPI]]-$C$496)/$C$496)*100)+100</f>
        <v>51.762730833799672</v>
      </c>
      <c r="F279" s="27">
        <v>0.102502979737783</v>
      </c>
      <c r="G279" s="27">
        <f>VLOOKUP(Table3[[#This Row],[Date]],'PCE Core'!A:D,4,)</f>
        <v>7.9666107025467614E-2</v>
      </c>
    </row>
    <row r="280" spans="1:7" x14ac:dyDescent="0.35">
      <c r="A280" s="60">
        <v>29921</v>
      </c>
      <c r="B280" s="28">
        <f>VLOOKUP(Table3[[#This Row],[Date]],'PCE Core'!$A:$E,2,)</f>
        <v>45.826000000000001</v>
      </c>
      <c r="C280" s="28">
        <f>VLOOKUP(Table3[[#This Row],[Date]],Database!$A:$E,5)</f>
        <v>93</v>
      </c>
      <c r="D280" s="26">
        <f>(((Table3[[#This Row],[Core PCE]]-$B$496)/$B$496)*100)+100</f>
        <v>57.428943806707103</v>
      </c>
      <c r="E280" s="26">
        <f>(((Table3[[#This Row],[Core CPI]]-$C$496)/$C$496)*100)+100</f>
        <v>52.042529378847235</v>
      </c>
      <c r="F280" s="27">
        <v>9.5406360424028197E-2</v>
      </c>
      <c r="G280" s="27">
        <f>VLOOKUP(Table3[[#This Row],[Date]],'PCE Core'!A:D,4,)</f>
        <v>7.7143663031214837E-2</v>
      </c>
    </row>
    <row r="281" spans="1:7" x14ac:dyDescent="0.35">
      <c r="A281" s="63">
        <v>29952</v>
      </c>
      <c r="B281" s="28">
        <f>VLOOKUP(Table3[[#This Row],[Date]],'PCE Core'!$A:$E,2,)</f>
        <v>46.107999999999997</v>
      </c>
      <c r="C281" s="28">
        <f>VLOOKUP(Table3[[#This Row],[Date]],Database!$A:$E,5)</f>
        <v>93.3</v>
      </c>
      <c r="D281" s="26">
        <f>(((Table3[[#This Row],[Core PCE]]-$B$496)/$B$496)*100)+100</f>
        <v>57.782344979698223</v>
      </c>
      <c r="E281" s="26">
        <f>(((Table3[[#This Row],[Core CPI]]-$C$496)/$C$496)*100)+100</f>
        <v>52.210408505875769</v>
      </c>
      <c r="F281" s="27">
        <v>9.2505854800936663E-2</v>
      </c>
      <c r="G281" s="27">
        <f>VLOOKUP(Table3[[#This Row],[Date]],'PCE Core'!A:D,4,)</f>
        <v>7.4478001491424264E-2</v>
      </c>
    </row>
    <row r="282" spans="1:7" x14ac:dyDescent="0.35">
      <c r="A282" s="60">
        <v>29983</v>
      </c>
      <c r="B282" s="28">
        <f>VLOOKUP(Table3[[#This Row],[Date]],'PCE Core'!$A:$E,2,)</f>
        <v>46.286000000000001</v>
      </c>
      <c r="C282" s="26">
        <f>VLOOKUP(Table3[[#This Row],[Date]],Database!$A:$E,5)</f>
        <v>93.8</v>
      </c>
      <c r="D282" s="26">
        <f>(((Table3[[#This Row],[Core PCE]]-$B$496)/$B$496)*100)+100</f>
        <v>58.005413805203268</v>
      </c>
      <c r="E282" s="26">
        <f>(((Table3[[#This Row],[Core CPI]]-$C$496)/$C$496)*100)+100</f>
        <v>52.490207050923338</v>
      </c>
      <c r="F282" s="27">
        <v>9.1967403958090693E-2</v>
      </c>
      <c r="G282" s="27">
        <f>VLOOKUP(Table3[[#This Row],[Date]],'PCE Core'!A:D,4,)</f>
        <v>7.0790727802711381E-2</v>
      </c>
    </row>
    <row r="283" spans="1:7" x14ac:dyDescent="0.35">
      <c r="A283" s="63">
        <v>30011</v>
      </c>
      <c r="B283" s="28">
        <f>VLOOKUP(Table3[[#This Row],[Date]],'PCE Core'!$A:$E,2,)</f>
        <v>46.488</v>
      </c>
      <c r="C283" s="28">
        <f>VLOOKUP(Table3[[#This Row],[Date]],Database!$A:$E,5)</f>
        <v>93.9</v>
      </c>
      <c r="D283" s="26">
        <f>(((Table3[[#This Row],[Core PCE]]-$B$496)/$B$496)*100)+100</f>
        <v>58.258559326282011</v>
      </c>
      <c r="E283" s="26">
        <f>(((Table3[[#This Row],[Core CPI]]-$C$496)/$C$496)*100)+100</f>
        <v>52.546166759932852</v>
      </c>
      <c r="F283" s="27">
        <v>8.6805555555555552E-2</v>
      </c>
      <c r="G283" s="27">
        <f>VLOOKUP(Table3[[#This Row],[Date]],'PCE Core'!A:D,4,)</f>
        <v>6.9525606220954272E-2</v>
      </c>
    </row>
    <row r="284" spans="1:7" x14ac:dyDescent="0.35">
      <c r="A284" s="60">
        <v>30042</v>
      </c>
      <c r="B284" s="28">
        <f>VLOOKUP(Table3[[#This Row],[Date]],'PCE Core'!$A:$E,2,)</f>
        <v>46.671999999999997</v>
      </c>
      <c r="C284" s="28">
        <f>VLOOKUP(Table3[[#This Row],[Date]],Database!$A:$E,5)</f>
        <v>94.7</v>
      </c>
      <c r="D284" s="26">
        <f>(((Table3[[#This Row],[Core PCE]]-$B$496)/$B$496)*100)+100</f>
        <v>58.489147325680477</v>
      </c>
      <c r="E284" s="26">
        <f>(((Table3[[#This Row],[Core CPI]]-$C$496)/$C$496)*100)+100</f>
        <v>52.993844432008956</v>
      </c>
      <c r="F284" s="27">
        <v>8.8505747126436815E-2</v>
      </c>
      <c r="G284" s="27">
        <f>VLOOKUP(Table3[[#This Row],[Date]],'PCE Core'!A:D,4,)</f>
        <v>6.6934893928310105E-2</v>
      </c>
    </row>
    <row r="285" spans="1:7" x14ac:dyDescent="0.35">
      <c r="A285" s="63">
        <v>30072</v>
      </c>
      <c r="B285" s="28">
        <f>VLOOKUP(Table3[[#This Row],[Date]],'PCE Core'!$A:$E,2,)</f>
        <v>46.927</v>
      </c>
      <c r="C285" s="26">
        <f>VLOOKUP(Table3[[#This Row],[Date]],Database!$A:$E,5)</f>
        <v>95.4</v>
      </c>
      <c r="D285" s="26">
        <f>(((Table3[[#This Row],[Core PCE]]-$B$496)/$B$496)*100)+100</f>
        <v>58.808712216151179</v>
      </c>
      <c r="E285" s="26">
        <f>(((Table3[[#This Row],[Core CPI]]-$C$496)/$C$496)*100)+100</f>
        <v>53.385562395075553</v>
      </c>
      <c r="F285" s="27">
        <v>8.6560364464692577E-2</v>
      </c>
      <c r="G285" s="27">
        <f>VLOOKUP(Table3[[#This Row],[Date]],'PCE Core'!A:D,4,)</f>
        <v>6.5433079804745095E-2</v>
      </c>
    </row>
    <row r="286" spans="1:7" x14ac:dyDescent="0.35">
      <c r="A286" s="60">
        <v>30103</v>
      </c>
      <c r="B286" s="28">
        <f>VLOOKUP(Table3[[#This Row],[Date]],'PCE Core'!$A:$E,2,)</f>
        <v>47.161999999999999</v>
      </c>
      <c r="C286" s="28">
        <f>VLOOKUP(Table3[[#This Row],[Date]],Database!$A:$E,5)</f>
        <v>96.1</v>
      </c>
      <c r="D286" s="26">
        <f>(((Table3[[#This Row],[Core PCE]]-$B$496)/$B$496)*100)+100</f>
        <v>59.103213193643782</v>
      </c>
      <c r="E286" s="26">
        <f>(((Table3[[#This Row],[Core CPI]]-$C$496)/$C$496)*100)+100</f>
        <v>53.777280358142136</v>
      </c>
      <c r="F286" s="27">
        <v>8.4650112866817159E-2</v>
      </c>
      <c r="G286" s="27">
        <f>VLOOKUP(Table3[[#This Row],[Date]],'PCE Core'!A:D,4,)</f>
        <v>6.544674121766629E-2</v>
      </c>
    </row>
    <row r="287" spans="1:7" x14ac:dyDescent="0.35">
      <c r="A287" s="63">
        <v>30133</v>
      </c>
      <c r="B287" s="28">
        <f>VLOOKUP(Table3[[#This Row],[Date]],'PCE Core'!$A:$E,2,)</f>
        <v>47.468000000000004</v>
      </c>
      <c r="C287" s="28">
        <f>VLOOKUP(Table3[[#This Row],[Date]],Database!$A:$E,5)</f>
        <v>96.7</v>
      </c>
      <c r="D287" s="26">
        <f>(((Table3[[#This Row],[Core PCE]]-$B$496)/$B$496)*100)+100</f>
        <v>59.486691062208628</v>
      </c>
      <c r="E287" s="26">
        <f>(((Table3[[#This Row],[Core CPI]]-$C$496)/$C$496)*100)+100</f>
        <v>54.113038612199219</v>
      </c>
      <c r="F287" s="27">
        <v>7.6837416481069107E-2</v>
      </c>
      <c r="G287" s="27">
        <f>VLOOKUP(Table3[[#This Row],[Date]],'PCE Core'!A:D,4,)</f>
        <v>6.5930117668193816E-2</v>
      </c>
    </row>
    <row r="288" spans="1:7" x14ac:dyDescent="0.35">
      <c r="A288" s="60">
        <v>30164</v>
      </c>
      <c r="B288" s="28">
        <f>VLOOKUP(Table3[[#This Row],[Date]],'PCE Core'!$A:$E,2,)</f>
        <v>47.686</v>
      </c>
      <c r="C288" s="26">
        <f>VLOOKUP(Table3[[#This Row],[Date]],Database!$A:$E,5)</f>
        <v>97.1</v>
      </c>
      <c r="D288" s="26">
        <f>(((Table3[[#This Row],[Core PCE]]-$B$496)/$B$496)*100)+100</f>
        <v>59.759887713669855</v>
      </c>
      <c r="E288" s="26">
        <f>(((Table3[[#This Row],[Core CPI]]-$C$496)/$C$496)*100)+100</f>
        <v>54.336877448237267</v>
      </c>
      <c r="F288" s="27">
        <v>7.0562293274531326E-2</v>
      </c>
      <c r="G288" s="27">
        <f>VLOOKUP(Table3[[#This Row],[Date]],'PCE Core'!A:D,4,)</f>
        <v>6.3707338835601202E-2</v>
      </c>
    </row>
    <row r="289" spans="1:7" x14ac:dyDescent="0.35">
      <c r="A289" s="63">
        <v>30195</v>
      </c>
      <c r="B289" s="28">
        <f>VLOOKUP(Table3[[#This Row],[Date]],'PCE Core'!$A:$E,2,)</f>
        <v>47.863</v>
      </c>
      <c r="C289" s="28">
        <f>VLOOKUP(Table3[[#This Row],[Date]],Database!$A:$E,5)</f>
        <v>97.2</v>
      </c>
      <c r="D289" s="26">
        <f>(((Table3[[#This Row],[Core PCE]]-$B$496)/$B$496)*100)+100</f>
        <v>59.981703343525986</v>
      </c>
      <c r="E289" s="26">
        <f>(((Table3[[#This Row],[Core CPI]]-$C$496)/$C$496)*100)+100</f>
        <v>54.392837157246788</v>
      </c>
      <c r="F289" s="27">
        <v>5.8823529411764768E-2</v>
      </c>
      <c r="G289" s="27">
        <f>VLOOKUP(Table3[[#This Row],[Date]],'PCE Core'!A:D,4,)</f>
        <v>6.0699406081021118E-2</v>
      </c>
    </row>
    <row r="290" spans="1:7" x14ac:dyDescent="0.35">
      <c r="A290" s="60">
        <v>30225</v>
      </c>
      <c r="B290" s="28">
        <f>VLOOKUP(Table3[[#This Row],[Date]],'PCE Core'!$A:$E,2,)</f>
        <v>48.165999999999997</v>
      </c>
      <c r="C290" s="28">
        <f>VLOOKUP(Table3[[#This Row],[Date]],Database!$A:$E,5)</f>
        <v>97.5</v>
      </c>
      <c r="D290" s="26">
        <f>(((Table3[[#This Row],[Core PCE]]-$B$496)/$B$496)*100)+100</f>
        <v>60.361421625144104</v>
      </c>
      <c r="E290" s="26">
        <f>(((Table3[[#This Row],[Core CPI]]-$C$496)/$C$496)*100)+100</f>
        <v>54.560716284275323</v>
      </c>
      <c r="F290" s="27">
        <v>5.8631921824104302E-2</v>
      </c>
      <c r="G290" s="27">
        <f>VLOOKUP(Table3[[#This Row],[Date]],'PCE Core'!A:D,4,)</f>
        <v>6.1088714118916927E-2</v>
      </c>
    </row>
    <row r="291" spans="1:7" x14ac:dyDescent="0.35">
      <c r="A291" s="63">
        <v>30256</v>
      </c>
      <c r="B291" s="28">
        <f>VLOOKUP(Table3[[#This Row],[Date]],'PCE Core'!$A:$E,2,)</f>
        <v>48.344000000000001</v>
      </c>
      <c r="C291" s="26">
        <f>VLOOKUP(Table3[[#This Row],[Date]],Database!$A:$E,5)</f>
        <v>97.3</v>
      </c>
      <c r="D291" s="26">
        <f>(((Table3[[#This Row],[Core PCE]]-$B$496)/$B$496)*100)+100</f>
        <v>60.584490450649156</v>
      </c>
      <c r="E291" s="26">
        <f>(((Table3[[#This Row],[Core CPI]]-$C$496)/$C$496)*100)+100</f>
        <v>54.448796866256302</v>
      </c>
      <c r="F291" s="27">
        <v>5.1891891891891861E-2</v>
      </c>
      <c r="G291" s="27">
        <f>VLOOKUP(Table3[[#This Row],[Date]],'PCE Core'!A:D,4,)</f>
        <v>5.8828682815716848E-2</v>
      </c>
    </row>
    <row r="292" spans="1:7" x14ac:dyDescent="0.35">
      <c r="A292" s="60">
        <v>30286</v>
      </c>
      <c r="B292" s="28">
        <f>VLOOKUP(Table3[[#This Row],[Date]],'PCE Core'!$A:$E,2,)</f>
        <v>48.497999999999998</v>
      </c>
      <c r="C292" s="28">
        <f>VLOOKUP(Table3[[#This Row],[Date]],Database!$A:$E,5)</f>
        <v>97.2</v>
      </c>
      <c r="D292" s="26">
        <f>(((Table3[[#This Row],[Core PCE]]-$B$496)/$B$496)*100)+100</f>
        <v>60.777482580580475</v>
      </c>
      <c r="E292" s="26">
        <f>(((Table3[[#This Row],[Core CPI]]-$C$496)/$C$496)*100)+100</f>
        <v>54.392837157246788</v>
      </c>
      <c r="F292" s="27">
        <v>4.5161290322580677E-2</v>
      </c>
      <c r="G292" s="27">
        <f>VLOOKUP(Table3[[#This Row],[Date]],'PCE Core'!A:D,4,)</f>
        <v>5.8307511019944941E-2</v>
      </c>
    </row>
    <row r="293" spans="1:7" x14ac:dyDescent="0.35">
      <c r="A293" s="63">
        <v>30317</v>
      </c>
      <c r="B293" s="28">
        <f>VLOOKUP(Table3[[#This Row],[Date]],'PCE Core'!$A:$E,2,)</f>
        <v>48.83</v>
      </c>
      <c r="C293" s="28">
        <f>VLOOKUP(Table3[[#This Row],[Date]],Database!$A:$E,5)</f>
        <v>97.6</v>
      </c>
      <c r="D293" s="26">
        <f>(((Table3[[#This Row],[Core PCE]]-$B$496)/$B$496)*100)+100</f>
        <v>61.19354353601684</v>
      </c>
      <c r="E293" s="26">
        <f>(((Table3[[#This Row],[Core CPI]]-$C$496)/$C$496)*100)+100</f>
        <v>54.616675993284836</v>
      </c>
      <c r="F293" s="27">
        <v>4.6087888531618409E-2</v>
      </c>
      <c r="G293" s="27">
        <f>VLOOKUP(Table3[[#This Row],[Date]],'PCE Core'!A:D,4,)</f>
        <v>5.9035308406350337E-2</v>
      </c>
    </row>
    <row r="294" spans="1:7" x14ac:dyDescent="0.35">
      <c r="A294" s="60">
        <v>30348</v>
      </c>
      <c r="B294" s="28">
        <f>VLOOKUP(Table3[[#This Row],[Date]],'PCE Core'!$A:$E,2,)</f>
        <v>49.011000000000003</v>
      </c>
      <c r="C294" s="26">
        <f>VLOOKUP(Table3[[#This Row],[Date]],Database!$A:$E,5)</f>
        <v>98</v>
      </c>
      <c r="D294" s="26">
        <f>(((Table3[[#This Row],[Core PCE]]-$B$496)/$B$496)*100)+100</f>
        <v>61.420371948468592</v>
      </c>
      <c r="E294" s="26">
        <f>(((Table3[[#This Row],[Core CPI]]-$C$496)/$C$496)*100)+100</f>
        <v>54.840514829322892</v>
      </c>
      <c r="F294" s="27">
        <v>4.4776119402985107E-2</v>
      </c>
      <c r="G294" s="27">
        <f>VLOOKUP(Table3[[#This Row],[Date]],'PCE Core'!A:D,4,)</f>
        <v>5.8873093375966842E-2</v>
      </c>
    </row>
    <row r="295" spans="1:7" x14ac:dyDescent="0.35">
      <c r="A295" s="63">
        <v>30376</v>
      </c>
      <c r="B295" s="28">
        <f>VLOOKUP(Table3[[#This Row],[Date]],'PCE Core'!$A:$E,2,)</f>
        <v>49.073</v>
      </c>
      <c r="C295" s="28">
        <f>VLOOKUP(Table3[[#This Row],[Date]],Database!$A:$E,5)</f>
        <v>98.2</v>
      </c>
      <c r="D295" s="26">
        <f>(((Table3[[#This Row],[Core PCE]]-$B$496)/$B$496)*100)+100</f>
        <v>61.498070078700685</v>
      </c>
      <c r="E295" s="26">
        <f>(((Table3[[#This Row],[Core CPI]]-$C$496)/$C$496)*100)+100</f>
        <v>54.95243424734192</v>
      </c>
      <c r="F295" s="27">
        <v>4.5793397231096877E-2</v>
      </c>
      <c r="G295" s="27">
        <f>VLOOKUP(Table3[[#This Row],[Date]],'PCE Core'!A:D,4,)</f>
        <v>5.5605747719841697E-2</v>
      </c>
    </row>
    <row r="296" spans="1:7" x14ac:dyDescent="0.35">
      <c r="A296" s="60">
        <v>30407</v>
      </c>
      <c r="B296" s="28">
        <f>VLOOKUP(Table3[[#This Row],[Date]],'PCE Core'!$A:$E,2,)</f>
        <v>49.222000000000001</v>
      </c>
      <c r="C296" s="28">
        <f>VLOOKUP(Table3[[#This Row],[Date]],Database!$A:$E,5)</f>
        <v>98.6</v>
      </c>
      <c r="D296" s="26">
        <f>(((Table3[[#This Row],[Core PCE]]-$B$496)/$B$496)*100)+100</f>
        <v>61.684796230387484</v>
      </c>
      <c r="E296" s="26">
        <f>(((Table3[[#This Row],[Core CPI]]-$C$496)/$C$496)*100)+100</f>
        <v>55.176273083379968</v>
      </c>
      <c r="F296" s="27">
        <v>4.1182682154170973E-2</v>
      </c>
      <c r="G296" s="27">
        <f>VLOOKUP(Table3[[#This Row],[Date]],'PCE Core'!A:D,4,)</f>
        <v>5.4636612958519119E-2</v>
      </c>
    </row>
    <row r="297" spans="1:7" x14ac:dyDescent="0.35">
      <c r="A297" s="63">
        <v>30437</v>
      </c>
      <c r="B297" s="28">
        <f>VLOOKUP(Table3[[#This Row],[Date]],'PCE Core'!$A:$E,2,)</f>
        <v>49.292999999999999</v>
      </c>
      <c r="C297" s="26">
        <f>VLOOKUP(Table3[[#This Row],[Date]],Database!$A:$E,5)</f>
        <v>98.9</v>
      </c>
      <c r="D297" s="26">
        <f>(((Table3[[#This Row],[Core PCE]]-$B$496)/$B$496)*100)+100</f>
        <v>61.773773121459719</v>
      </c>
      <c r="E297" s="26">
        <f>(((Table3[[#This Row],[Core CPI]]-$C$496)/$C$496)*100)+100</f>
        <v>55.344152210408517</v>
      </c>
      <c r="F297" s="27">
        <v>3.668763102725367E-2</v>
      </c>
      <c r="G297" s="27">
        <f>VLOOKUP(Table3[[#This Row],[Date]],'PCE Core'!A:D,4,)</f>
        <v>5.0418735482771107E-2</v>
      </c>
    </row>
    <row r="298" spans="1:7" x14ac:dyDescent="0.35">
      <c r="A298" s="60">
        <v>30468</v>
      </c>
      <c r="B298" s="28">
        <f>VLOOKUP(Table3[[#This Row],[Date]],'PCE Core'!$A:$E,2,)</f>
        <v>49.523000000000003</v>
      </c>
      <c r="C298" s="28">
        <f>VLOOKUP(Table3[[#This Row],[Date]],Database!$A:$E,5)</f>
        <v>99.2</v>
      </c>
      <c r="D298" s="26">
        <f>(((Table3[[#This Row],[Core PCE]]-$B$496)/$B$496)*100)+100</f>
        <v>62.062008120707802</v>
      </c>
      <c r="E298" s="26">
        <f>(((Table3[[#This Row],[Core CPI]]-$C$496)/$C$496)*100)+100</f>
        <v>55.512031337437051</v>
      </c>
      <c r="F298" s="27">
        <v>3.2258064516129122E-2</v>
      </c>
      <c r="G298" s="27">
        <f>VLOOKUP(Table3[[#This Row],[Date]],'PCE Core'!A:D,4,)</f>
        <v>5.0061490182774358E-2</v>
      </c>
    </row>
    <row r="299" spans="1:7" x14ac:dyDescent="0.35">
      <c r="A299" s="63">
        <v>30498</v>
      </c>
      <c r="B299" s="28">
        <f>VLOOKUP(Table3[[#This Row],[Date]],'PCE Core'!$A:$E,2,)</f>
        <v>49.856000000000002</v>
      </c>
      <c r="C299" s="28">
        <f>VLOOKUP(Table3[[#This Row],[Date]],Database!$A:$E,5)</f>
        <v>99.8</v>
      </c>
      <c r="D299" s="26">
        <f>(((Table3[[#This Row],[Core PCE]]-$B$496)/$B$496)*100)+100</f>
        <v>62.479322271793066</v>
      </c>
      <c r="E299" s="26">
        <f>(((Table3[[#This Row],[Core CPI]]-$C$496)/$C$496)*100)+100</f>
        <v>55.84778959149412</v>
      </c>
      <c r="F299" s="27">
        <v>3.2057911065149887E-2</v>
      </c>
      <c r="G299" s="27">
        <f>VLOOKUP(Table3[[#This Row],[Date]],'PCE Core'!A:D,4,)</f>
        <v>5.0307575629897995E-2</v>
      </c>
    </row>
    <row r="300" spans="1:7" x14ac:dyDescent="0.35">
      <c r="A300" s="60">
        <v>30529</v>
      </c>
      <c r="B300" s="28">
        <f>VLOOKUP(Table3[[#This Row],[Date]],'PCE Core'!$A:$E,2,)</f>
        <v>50.113</v>
      </c>
      <c r="C300" s="26">
        <f>VLOOKUP(Table3[[#This Row],[Date]],Database!$A:$E,5)</f>
        <v>100.1</v>
      </c>
      <c r="D300" s="26">
        <f>(((Table3[[#This Row],[Core PCE]]-$B$496)/$B$496)*100)+100</f>
        <v>62.801393553561574</v>
      </c>
      <c r="E300" s="26">
        <f>(((Table3[[#This Row],[Core CPI]]-$C$496)/$C$496)*100)+100</f>
        <v>56.015668718522669</v>
      </c>
      <c r="F300" s="27">
        <v>3.089598352214212E-2</v>
      </c>
      <c r="G300" s="27">
        <f>VLOOKUP(Table3[[#This Row],[Date]],'PCE Core'!A:D,4,)</f>
        <v>5.0895441009940014E-2</v>
      </c>
    </row>
    <row r="301" spans="1:7" x14ac:dyDescent="0.35">
      <c r="A301" s="63">
        <v>30560</v>
      </c>
      <c r="B301" s="28">
        <f>VLOOKUP(Table3[[#This Row],[Date]],'PCE Core'!$A:$E,2,)</f>
        <v>50.316000000000003</v>
      </c>
      <c r="C301" s="28">
        <f>VLOOKUP(Table3[[#This Row],[Date]],Database!$A:$E,5)</f>
        <v>100.5</v>
      </c>
      <c r="D301" s="26">
        <f>(((Table3[[#This Row],[Core PCE]]-$B$496)/$B$496)*100)+100</f>
        <v>63.055792270289231</v>
      </c>
      <c r="E301" s="26">
        <f>(((Table3[[#This Row],[Core CPI]]-$C$496)/$C$496)*100)+100</f>
        <v>56.239507554560717</v>
      </c>
      <c r="F301" s="27">
        <v>3.3950617283950588E-2</v>
      </c>
      <c r="G301" s="27">
        <f>VLOOKUP(Table3[[#This Row],[Date]],'PCE Core'!A:D,4,)</f>
        <v>5.125044397551351E-2</v>
      </c>
    </row>
    <row r="302" spans="1:7" x14ac:dyDescent="0.35">
      <c r="A302" s="60">
        <v>30590</v>
      </c>
      <c r="B302" s="28">
        <f>VLOOKUP(Table3[[#This Row],[Date]],'PCE Core'!$A:$E,2,)</f>
        <v>50.405000000000001</v>
      </c>
      <c r="C302" s="28">
        <f>VLOOKUP(Table3[[#This Row],[Date]],Database!$A:$E,5)</f>
        <v>101</v>
      </c>
      <c r="D302" s="26">
        <f>(((Table3[[#This Row],[Core PCE]]-$B$496)/$B$496)*100)+100</f>
        <v>63.16732668304175</v>
      </c>
      <c r="E302" s="26">
        <f>(((Table3[[#This Row],[Core CPI]]-$C$496)/$C$496)*100)+100</f>
        <v>56.519306099608286</v>
      </c>
      <c r="F302" s="27">
        <v>3.5897435897435888E-2</v>
      </c>
      <c r="G302" s="27">
        <f>VLOOKUP(Table3[[#This Row],[Date]],'PCE Core'!A:D,4,)</f>
        <v>4.6485072457750375E-2</v>
      </c>
    </row>
    <row r="303" spans="1:7" x14ac:dyDescent="0.35">
      <c r="A303" s="63">
        <v>30621</v>
      </c>
      <c r="B303" s="28">
        <f>VLOOKUP(Table3[[#This Row],[Date]],'PCE Core'!$A:$E,2,)</f>
        <v>50.523000000000003</v>
      </c>
      <c r="C303" s="26">
        <f>VLOOKUP(Table3[[#This Row],[Date]],Database!$A:$E,5)</f>
        <v>101.5</v>
      </c>
      <c r="D303" s="26">
        <f>(((Table3[[#This Row],[Core PCE]]-$B$496)/$B$496)*100)+100</f>
        <v>63.315203769612509</v>
      </c>
      <c r="E303" s="26">
        <f>(((Table3[[#This Row],[Core CPI]]-$C$496)/$C$496)*100)+100</f>
        <v>56.799104644655849</v>
      </c>
      <c r="F303" s="27">
        <v>4.3165467625899311E-2</v>
      </c>
      <c r="G303" s="27">
        <f>VLOOKUP(Table3[[#This Row],[Date]],'PCE Core'!A:D,4,)</f>
        <v>4.5072811517458254E-2</v>
      </c>
    </row>
    <row r="304" spans="1:7" x14ac:dyDescent="0.35">
      <c r="A304" s="60">
        <v>30651</v>
      </c>
      <c r="B304" s="28">
        <f>VLOOKUP(Table3[[#This Row],[Date]],'PCE Core'!$A:$E,2,)</f>
        <v>50.56</v>
      </c>
      <c r="C304" s="28">
        <f>VLOOKUP(Table3[[#This Row],[Date]],Database!$A:$E,5)</f>
        <v>101.8</v>
      </c>
      <c r="D304" s="26">
        <f>(((Table3[[#This Row],[Core PCE]]-$B$496)/$B$496)*100)+100</f>
        <v>63.361572008621984</v>
      </c>
      <c r="E304" s="26">
        <f>(((Table3[[#This Row],[Core CPI]]-$C$496)/$C$496)*100)+100</f>
        <v>56.96698377168439</v>
      </c>
      <c r="F304" s="27">
        <v>4.7325102880658373E-2</v>
      </c>
      <c r="G304" s="27">
        <f>VLOOKUP(Table3[[#This Row],[Date]],'PCE Core'!A:D,4,)</f>
        <v>4.2517217204833285E-2</v>
      </c>
    </row>
    <row r="305" spans="1:7" x14ac:dyDescent="0.35">
      <c r="A305" s="63">
        <v>30682</v>
      </c>
      <c r="B305" s="28">
        <f>VLOOKUP(Table3[[#This Row],[Date]],'PCE Core'!$A:$E,2,)</f>
        <v>50.728999999999999</v>
      </c>
      <c r="C305" s="28">
        <f>VLOOKUP(Table3[[#This Row],[Date]],Database!$A:$E,5)</f>
        <v>102.5</v>
      </c>
      <c r="D305" s="26">
        <f>(((Table3[[#This Row],[Core PCE]]-$B$496)/$B$496)*100)+100</f>
        <v>63.573362073286873</v>
      </c>
      <c r="E305" s="26">
        <f>(((Table3[[#This Row],[Core CPI]]-$C$496)/$C$496)*100)+100</f>
        <v>57.35870173475098</v>
      </c>
      <c r="F305" s="27">
        <v>5.0204918032786948E-2</v>
      </c>
      <c r="G305" s="27">
        <f>VLOOKUP(Table3[[#This Row],[Date]],'PCE Core'!A:D,4,)</f>
        <v>3.8890026622977698E-2</v>
      </c>
    </row>
    <row r="306" spans="1:7" x14ac:dyDescent="0.35">
      <c r="A306" s="60">
        <v>30713</v>
      </c>
      <c r="B306" s="28">
        <f>VLOOKUP(Table3[[#This Row],[Date]],'PCE Core'!$A:$E,2,)</f>
        <v>51.048999999999999</v>
      </c>
      <c r="C306" s="26">
        <f>VLOOKUP(Table3[[#This Row],[Date]],Database!$A:$E,5)</f>
        <v>102.8</v>
      </c>
      <c r="D306" s="26">
        <f>(((Table3[[#This Row],[Core PCE]]-$B$496)/$B$496)*100)+100</f>
        <v>63.974384680936382</v>
      </c>
      <c r="E306" s="26">
        <f>(((Table3[[#This Row],[Core CPI]]-$C$496)/$C$496)*100)+100</f>
        <v>57.526580861779522</v>
      </c>
      <c r="F306" s="27">
        <v>4.8979591836734657E-2</v>
      </c>
      <c r="G306" s="27">
        <f>VLOOKUP(Table3[[#This Row],[Date]],'PCE Core'!A:D,4,)</f>
        <v>4.1582501887331348E-2</v>
      </c>
    </row>
    <row r="307" spans="1:7" x14ac:dyDescent="0.35">
      <c r="A307" s="63">
        <v>30742</v>
      </c>
      <c r="B307" s="28">
        <f>VLOOKUP(Table3[[#This Row],[Date]],'PCE Core'!$A:$E,2,)</f>
        <v>51.241999999999997</v>
      </c>
      <c r="C307" s="28">
        <f>VLOOKUP(Table3[[#This Row],[Date]],Database!$A:$E,5)</f>
        <v>103.2</v>
      </c>
      <c r="D307" s="26">
        <f>(((Table3[[#This Row],[Core PCE]]-$B$496)/$B$496)*100)+100</f>
        <v>64.21625144117499</v>
      </c>
      <c r="E307" s="26">
        <f>(((Table3[[#This Row],[Core CPI]]-$C$496)/$C$496)*100)+100</f>
        <v>57.750419697817577</v>
      </c>
      <c r="F307" s="27">
        <v>5.091649694501018E-2</v>
      </c>
      <c r="G307" s="27">
        <f>VLOOKUP(Table3[[#This Row],[Date]],'PCE Core'!A:D,4,)</f>
        <v>4.419945795040036E-2</v>
      </c>
    </row>
    <row r="308" spans="1:7" x14ac:dyDescent="0.35">
      <c r="A308" s="60">
        <v>30773</v>
      </c>
      <c r="B308" s="28">
        <f>VLOOKUP(Table3[[#This Row],[Date]],'PCE Core'!$A:$E,2,)</f>
        <v>51.482999999999997</v>
      </c>
      <c r="C308" s="28">
        <f>VLOOKUP(Table3[[#This Row],[Date]],Database!$A:$E,5)</f>
        <v>103.7</v>
      </c>
      <c r="D308" s="26">
        <f>(((Table3[[#This Row],[Core PCE]]-$B$496)/$B$496)*100)+100</f>
        <v>64.518271592561021</v>
      </c>
      <c r="E308" s="26">
        <f>(((Table3[[#This Row],[Core CPI]]-$C$496)/$C$496)*100)+100</f>
        <v>58.030218242865146</v>
      </c>
      <c r="F308" s="27">
        <v>5.1724137931034572E-2</v>
      </c>
      <c r="G308" s="27">
        <f>VLOOKUP(Table3[[#This Row],[Date]],'PCE Core'!A:D,4,)</f>
        <v>4.5934744626386484E-2</v>
      </c>
    </row>
    <row r="309" spans="1:7" x14ac:dyDescent="0.35">
      <c r="A309" s="63">
        <v>30803</v>
      </c>
      <c r="B309" s="28">
        <f>VLOOKUP(Table3[[#This Row],[Date]],'PCE Core'!$A:$E,2,)</f>
        <v>51.601999999999997</v>
      </c>
      <c r="C309" s="26">
        <f>VLOOKUP(Table3[[#This Row],[Date]],Database!$A:$E,5)</f>
        <v>104.1</v>
      </c>
      <c r="D309" s="26">
        <f>(((Table3[[#This Row],[Core PCE]]-$B$496)/$B$496)*100)+100</f>
        <v>64.66740187478068</v>
      </c>
      <c r="E309" s="26">
        <f>(((Table3[[#This Row],[Core CPI]]-$C$496)/$C$496)*100)+100</f>
        <v>58.254057078903188</v>
      </c>
      <c r="F309" s="27">
        <v>5.257836198179968E-2</v>
      </c>
      <c r="G309" s="27">
        <f>VLOOKUP(Table3[[#This Row],[Date]],'PCE Core'!A:D,4,)</f>
        <v>4.684235084089014E-2</v>
      </c>
    </row>
    <row r="310" spans="1:7" x14ac:dyDescent="0.35">
      <c r="A310" s="60">
        <v>30834</v>
      </c>
      <c r="B310" s="28">
        <f>VLOOKUP(Table3[[#This Row],[Date]],'PCE Core'!$A:$E,2,)</f>
        <v>51.723999999999997</v>
      </c>
      <c r="C310" s="28">
        <f>VLOOKUP(Table3[[#This Row],[Date]],Database!$A:$E,5)</f>
        <v>104.5</v>
      </c>
      <c r="D310" s="26">
        <f>(((Table3[[#This Row],[Core PCE]]-$B$496)/$B$496)*100)+100</f>
        <v>64.820291743947053</v>
      </c>
      <c r="E310" s="26">
        <f>(((Table3[[#This Row],[Core CPI]]-$C$496)/$C$496)*100)+100</f>
        <v>58.47789591494125</v>
      </c>
      <c r="F310" s="27">
        <v>5.3427419354838683E-2</v>
      </c>
      <c r="G310" s="27">
        <f>VLOOKUP(Table3[[#This Row],[Date]],'PCE Core'!A:D,4,)</f>
        <v>4.4443995719160655E-2</v>
      </c>
    </row>
    <row r="311" spans="1:7" x14ac:dyDescent="0.35">
      <c r="A311" s="63">
        <v>30864</v>
      </c>
      <c r="B311" s="28">
        <f>VLOOKUP(Table3[[#This Row],[Date]],'PCE Core'!$A:$E,2,)</f>
        <v>51.947000000000003</v>
      </c>
      <c r="C311" s="28">
        <f>VLOOKUP(Table3[[#This Row],[Date]],Database!$A:$E,5)</f>
        <v>105</v>
      </c>
      <c r="D311" s="26">
        <f>(((Table3[[#This Row],[Core PCE]]-$B$496)/$B$496)*100)+100</f>
        <v>65.099754373652814</v>
      </c>
      <c r="E311" s="26">
        <f>(((Table3[[#This Row],[Core CPI]]-$C$496)/$C$496)*100)+100</f>
        <v>58.757694459988812</v>
      </c>
      <c r="F311" s="27">
        <v>5.2104208416833699E-2</v>
      </c>
      <c r="G311" s="27">
        <f>VLOOKUP(Table3[[#This Row],[Date]],'PCE Core'!A:D,4,)</f>
        <v>4.194078947368423E-2</v>
      </c>
    </row>
    <row r="312" spans="1:7" x14ac:dyDescent="0.35">
      <c r="A312" s="60">
        <v>30895</v>
      </c>
      <c r="B312" s="28">
        <f>VLOOKUP(Table3[[#This Row],[Date]],'PCE Core'!$A:$E,2,)</f>
        <v>52.118000000000002</v>
      </c>
      <c r="C312" s="26">
        <f>VLOOKUP(Table3[[#This Row],[Date]],Database!$A:$E,5)</f>
        <v>105.4</v>
      </c>
      <c r="D312" s="26">
        <f>(((Table3[[#This Row],[Core PCE]]-$B$496)/$B$496)*100)+100</f>
        <v>65.314050829615525</v>
      </c>
      <c r="E312" s="26">
        <f>(((Table3[[#This Row],[Core CPI]]-$C$496)/$C$496)*100)+100</f>
        <v>58.981533296026868</v>
      </c>
      <c r="F312" s="27">
        <v>5.2947052947053062E-2</v>
      </c>
      <c r="G312" s="27">
        <f>VLOOKUP(Table3[[#This Row],[Date]],'PCE Core'!A:D,4,)</f>
        <v>4.0009578352922445E-2</v>
      </c>
    </row>
    <row r="313" spans="1:7" x14ac:dyDescent="0.35">
      <c r="A313" s="63">
        <v>30926</v>
      </c>
      <c r="B313" s="28">
        <f>VLOOKUP(Table3[[#This Row],[Date]],'PCE Core'!$A:$E,2,)</f>
        <v>52.198</v>
      </c>
      <c r="C313" s="28">
        <f>VLOOKUP(Table3[[#This Row],[Date]],Database!$A:$E,5)</f>
        <v>105.8</v>
      </c>
      <c r="D313" s="26">
        <f>(((Table3[[#This Row],[Core PCE]]-$B$496)/$B$496)*100)+100</f>
        <v>65.414306481527888</v>
      </c>
      <c r="E313" s="26">
        <f>(((Table3[[#This Row],[Core CPI]]-$C$496)/$C$496)*100)+100</f>
        <v>59.205372132064916</v>
      </c>
      <c r="F313" s="27">
        <v>5.273631840796017E-2</v>
      </c>
      <c r="G313" s="27">
        <f>VLOOKUP(Table3[[#This Row],[Date]],'PCE Core'!A:D,4,)</f>
        <v>3.7403609189919661E-2</v>
      </c>
    </row>
    <row r="314" spans="1:7" x14ac:dyDescent="0.35">
      <c r="A314" s="60">
        <v>30956</v>
      </c>
      <c r="B314" s="28">
        <f>VLOOKUP(Table3[[#This Row],[Date]],'PCE Core'!$A:$E,2,)</f>
        <v>52.314999999999998</v>
      </c>
      <c r="C314" s="28">
        <f>VLOOKUP(Table3[[#This Row],[Date]],Database!$A:$E,5)</f>
        <v>106.2</v>
      </c>
      <c r="D314" s="26">
        <f>(((Table3[[#This Row],[Core PCE]]-$B$496)/$B$496)*100)+100</f>
        <v>65.560930372449747</v>
      </c>
      <c r="E314" s="26">
        <f>(((Table3[[#This Row],[Core CPI]]-$C$496)/$C$496)*100)+100</f>
        <v>59.429210968102971</v>
      </c>
      <c r="F314" s="27">
        <v>5.148514851485151E-2</v>
      </c>
      <c r="G314" s="27">
        <f>VLOOKUP(Table3[[#This Row],[Date]],'PCE Core'!A:D,4,)</f>
        <v>3.7893066164070954E-2</v>
      </c>
    </row>
    <row r="315" spans="1:7" x14ac:dyDescent="0.35">
      <c r="A315" s="63">
        <v>30987</v>
      </c>
      <c r="B315" s="28">
        <f>VLOOKUP(Table3[[#This Row],[Date]],'PCE Core'!$A:$E,2,)</f>
        <v>52.426000000000002</v>
      </c>
      <c r="C315" s="26">
        <f>VLOOKUP(Table3[[#This Row],[Date]],Database!$A:$E,5)</f>
        <v>106.4</v>
      </c>
      <c r="D315" s="26">
        <f>(((Table3[[#This Row],[Core PCE]]-$B$496)/$B$496)*100)+100</f>
        <v>65.700035089478163</v>
      </c>
      <c r="E315" s="26">
        <f>(((Table3[[#This Row],[Core CPI]]-$C$496)/$C$496)*100)+100</f>
        <v>59.541130386121999</v>
      </c>
      <c r="F315" s="27">
        <v>4.8275862068965572E-2</v>
      </c>
      <c r="G315" s="27">
        <f>VLOOKUP(Table3[[#This Row],[Date]],'PCE Core'!A:D,4,)</f>
        <v>3.7666013498802497E-2</v>
      </c>
    </row>
    <row r="316" spans="1:7" x14ac:dyDescent="0.35">
      <c r="A316" s="60">
        <v>31017</v>
      </c>
      <c r="B316" s="28">
        <f>VLOOKUP(Table3[[#This Row],[Date]],'PCE Core'!$A:$E,2,)</f>
        <v>52.634</v>
      </c>
      <c r="C316" s="28">
        <f>VLOOKUP(Table3[[#This Row],[Date]],Database!$A:$E,5)</f>
        <v>106.8</v>
      </c>
      <c r="D316" s="26">
        <f>(((Table3[[#This Row],[Core PCE]]-$B$496)/$B$496)*100)+100</f>
        <v>65.960699784450341</v>
      </c>
      <c r="E316" s="26">
        <f>(((Table3[[#This Row],[Core CPI]]-$C$496)/$C$496)*100)+100</f>
        <v>59.764969222160047</v>
      </c>
      <c r="F316" s="27">
        <v>4.9115913555992152E-2</v>
      </c>
      <c r="G316" s="27">
        <f>VLOOKUP(Table3[[#This Row],[Date]],'PCE Core'!A:D,4,)</f>
        <v>4.1020569620253126E-2</v>
      </c>
    </row>
    <row r="317" spans="1:7" x14ac:dyDescent="0.35">
      <c r="A317" s="63">
        <v>31048</v>
      </c>
      <c r="B317" s="28">
        <f>VLOOKUP(Table3[[#This Row],[Date]],'PCE Core'!$A:$E,2,)</f>
        <v>52.927999999999997</v>
      </c>
      <c r="C317" s="28">
        <f>VLOOKUP(Table3[[#This Row],[Date]],Database!$A:$E,5)</f>
        <v>107.1</v>
      </c>
      <c r="D317" s="26">
        <f>(((Table3[[#This Row],[Core PCE]]-$B$496)/$B$496)*100)+100</f>
        <v>66.329139305228324</v>
      </c>
      <c r="E317" s="26">
        <f>(((Table3[[#This Row],[Core CPI]]-$C$496)/$C$496)*100)+100</f>
        <v>59.932848349188582</v>
      </c>
      <c r="F317" s="27">
        <v>4.4878048780487748E-2</v>
      </c>
      <c r="G317" s="27">
        <f>VLOOKUP(Table3[[#This Row],[Date]],'PCE Core'!A:D,4,)</f>
        <v>4.3347986358887383E-2</v>
      </c>
    </row>
    <row r="318" spans="1:7" x14ac:dyDescent="0.35">
      <c r="A318" s="60">
        <v>31079</v>
      </c>
      <c r="B318" s="28">
        <f>VLOOKUP(Table3[[#This Row],[Date]],'PCE Core'!$A:$E,2,)</f>
        <v>53.204000000000001</v>
      </c>
      <c r="C318" s="26">
        <f>VLOOKUP(Table3[[#This Row],[Date]],Database!$A:$E,5)</f>
        <v>107.7</v>
      </c>
      <c r="D318" s="26">
        <f>(((Table3[[#This Row],[Core PCE]]-$B$496)/$B$496)*100)+100</f>
        <v>66.675021304326023</v>
      </c>
      <c r="E318" s="26">
        <f>(((Table3[[#This Row],[Core CPI]]-$C$496)/$C$496)*100)+100</f>
        <v>60.268606603245665</v>
      </c>
      <c r="F318" s="27">
        <v>4.7665369649805507E-2</v>
      </c>
      <c r="G318" s="27">
        <f>VLOOKUP(Table3[[#This Row],[Date]],'PCE Core'!A:D,4,)</f>
        <v>4.2214343082136792E-2</v>
      </c>
    </row>
    <row r="319" spans="1:7" x14ac:dyDescent="0.35">
      <c r="A319" s="63">
        <v>31107</v>
      </c>
      <c r="B319" s="28">
        <f>VLOOKUP(Table3[[#This Row],[Date]],'PCE Core'!$A:$E,2,)</f>
        <v>53.39</v>
      </c>
      <c r="C319" s="28">
        <f>VLOOKUP(Table3[[#This Row],[Date]],Database!$A:$E,5)</f>
        <v>108.1</v>
      </c>
      <c r="D319" s="26">
        <f>(((Table3[[#This Row],[Core PCE]]-$B$496)/$B$496)*100)+100</f>
        <v>66.908115695022303</v>
      </c>
      <c r="E319" s="26">
        <f>(((Table3[[#This Row],[Core CPI]]-$C$496)/$C$496)*100)+100</f>
        <v>60.492445439283713</v>
      </c>
      <c r="F319" s="27">
        <v>4.7480620155038677E-2</v>
      </c>
      <c r="G319" s="27">
        <f>VLOOKUP(Table3[[#This Row],[Date]],'PCE Core'!A:D,4,)</f>
        <v>4.1918738534795739E-2</v>
      </c>
    </row>
    <row r="320" spans="1:7" x14ac:dyDescent="0.35">
      <c r="A320" s="60">
        <v>31138</v>
      </c>
      <c r="B320" s="28">
        <f>VLOOKUP(Table3[[#This Row],[Date]],'PCE Core'!$A:$E,2,)</f>
        <v>53.453000000000003</v>
      </c>
      <c r="C320" s="28">
        <f>VLOOKUP(Table3[[#This Row],[Date]],Database!$A:$E,5)</f>
        <v>108.4</v>
      </c>
      <c r="D320" s="26">
        <f>(((Table3[[#This Row],[Core PCE]]-$B$496)/$B$496)*100)+100</f>
        <v>66.987067020903311</v>
      </c>
      <c r="E320" s="26">
        <f>(((Table3[[#This Row],[Core CPI]]-$C$496)/$C$496)*100)+100</f>
        <v>60.660324566312262</v>
      </c>
      <c r="F320" s="27">
        <v>4.5323047251687593E-2</v>
      </c>
      <c r="G320" s="27">
        <f>VLOOKUP(Table3[[#This Row],[Date]],'PCE Core'!A:D,4,)</f>
        <v>3.8265058368782044E-2</v>
      </c>
    </row>
    <row r="321" spans="1:7" x14ac:dyDescent="0.35">
      <c r="A321" s="63">
        <v>31168</v>
      </c>
      <c r="B321" s="28">
        <f>VLOOKUP(Table3[[#This Row],[Date]],'PCE Core'!$A:$E,2,)</f>
        <v>53.637999999999998</v>
      </c>
      <c r="C321" s="26">
        <f>VLOOKUP(Table3[[#This Row],[Date]],Database!$A:$E,5)</f>
        <v>108.8</v>
      </c>
      <c r="D321" s="26">
        <f>(((Table3[[#This Row],[Core PCE]]-$B$496)/$B$496)*100)+100</f>
        <v>67.218908215950677</v>
      </c>
      <c r="E321" s="26">
        <f>(((Table3[[#This Row],[Core CPI]]-$C$496)/$C$496)*100)+100</f>
        <v>60.88416340235031</v>
      </c>
      <c r="F321" s="27">
        <v>4.5148895292987538E-2</v>
      </c>
      <c r="G321" s="27">
        <f>VLOOKUP(Table3[[#This Row],[Date]],'PCE Core'!A:D,4,)</f>
        <v>3.945583504515332E-2</v>
      </c>
    </row>
    <row r="322" spans="1:7" x14ac:dyDescent="0.35">
      <c r="A322" s="60">
        <v>31199</v>
      </c>
      <c r="B322" s="28">
        <f>VLOOKUP(Table3[[#This Row],[Date]],'PCE Core'!$A:$E,2,)</f>
        <v>53.814999999999998</v>
      </c>
      <c r="C322" s="28">
        <f>VLOOKUP(Table3[[#This Row],[Date]],Database!$A:$E,5)</f>
        <v>109.1</v>
      </c>
      <c r="D322" s="26">
        <f>(((Table3[[#This Row],[Core PCE]]-$B$496)/$B$496)*100)+100</f>
        <v>67.440723845806801</v>
      </c>
      <c r="E322" s="26">
        <f>(((Table3[[#This Row],[Core CPI]]-$C$496)/$C$496)*100)+100</f>
        <v>61.052042529378845</v>
      </c>
      <c r="F322" s="27">
        <v>4.4019138755980812E-2</v>
      </c>
      <c r="G322" s="27">
        <f>VLOOKUP(Table3[[#This Row],[Date]],'PCE Core'!A:D,4,)</f>
        <v>4.0426107802954164E-2</v>
      </c>
    </row>
    <row r="323" spans="1:7" x14ac:dyDescent="0.35">
      <c r="A323" s="63">
        <v>31229</v>
      </c>
      <c r="B323" s="28">
        <f>VLOOKUP(Table3[[#This Row],[Date]],'PCE Core'!$A:$E,2,)</f>
        <v>53.972999999999999</v>
      </c>
      <c r="C323" s="28">
        <f>VLOOKUP(Table3[[#This Row],[Date]],Database!$A:$E,5)</f>
        <v>109.4</v>
      </c>
      <c r="D323" s="26">
        <f>(((Table3[[#This Row],[Core PCE]]-$B$496)/$B$496)*100)+100</f>
        <v>67.638728758333741</v>
      </c>
      <c r="E323" s="26">
        <f>(((Table3[[#This Row],[Core CPI]]-$C$496)/$C$496)*100)+100</f>
        <v>61.219921656407394</v>
      </c>
      <c r="F323" s="27">
        <v>4.1904761904761959E-2</v>
      </c>
      <c r="G323" s="27">
        <f>VLOOKUP(Table3[[#This Row],[Date]],'PCE Core'!A:D,4,)</f>
        <v>3.9001289776117894E-2</v>
      </c>
    </row>
    <row r="324" spans="1:7" x14ac:dyDescent="0.35">
      <c r="A324" s="60">
        <v>31260</v>
      </c>
      <c r="B324" s="28">
        <f>VLOOKUP(Table3[[#This Row],[Date]],'PCE Core'!$A:$E,2,)</f>
        <v>54.237000000000002</v>
      </c>
      <c r="C324" s="26">
        <f>VLOOKUP(Table3[[#This Row],[Date]],Database!$A:$E,5)</f>
        <v>109.8</v>
      </c>
      <c r="D324" s="26">
        <f>(((Table3[[#This Row],[Core PCE]]-$B$496)/$B$496)*100)+100</f>
        <v>67.969572409644599</v>
      </c>
      <c r="E324" s="26">
        <f>(((Table3[[#This Row],[Core CPI]]-$C$496)/$C$496)*100)+100</f>
        <v>61.443760492445442</v>
      </c>
      <c r="F324" s="27">
        <v>4.1745730550284549E-2</v>
      </c>
      <c r="G324" s="27">
        <f>VLOOKUP(Table3[[#This Row],[Date]],'PCE Core'!A:D,4,)</f>
        <v>4.0657738209447784E-2</v>
      </c>
    </row>
    <row r="325" spans="1:7" x14ac:dyDescent="0.35">
      <c r="A325" s="63">
        <v>31291</v>
      </c>
      <c r="B325" s="28">
        <f>VLOOKUP(Table3[[#This Row],[Date]],'PCE Core'!$A:$E,2,)</f>
        <v>54.348999999999997</v>
      </c>
      <c r="C325" s="28">
        <f>VLOOKUP(Table3[[#This Row],[Date]],Database!$A:$E,5)</f>
        <v>110</v>
      </c>
      <c r="D325" s="26">
        <f>(((Table3[[#This Row],[Core PCE]]-$B$496)/$B$496)*100)+100</f>
        <v>68.109930322321901</v>
      </c>
      <c r="E325" s="26">
        <f>(((Table3[[#This Row],[Core CPI]]-$C$496)/$C$496)*100)+100</f>
        <v>61.55567991046447</v>
      </c>
      <c r="F325" s="27">
        <v>3.9697542533081311E-2</v>
      </c>
      <c r="G325" s="27">
        <f>VLOOKUP(Table3[[#This Row],[Date]],'PCE Core'!A:D,4,)</f>
        <v>4.1208475420514125E-2</v>
      </c>
    </row>
    <row r="326" spans="1:7" x14ac:dyDescent="0.35">
      <c r="A326" s="60">
        <v>31321</v>
      </c>
      <c r="B326" s="28">
        <f>VLOOKUP(Table3[[#This Row],[Date]],'PCE Core'!$A:$E,2,)</f>
        <v>54.436</v>
      </c>
      <c r="C326" s="28">
        <f>VLOOKUP(Table3[[#This Row],[Date]],Database!$A:$E,5)</f>
        <v>110.5</v>
      </c>
      <c r="D326" s="26">
        <f>(((Table3[[#This Row],[Core PCE]]-$B$496)/$B$496)*100)+100</f>
        <v>68.21895834377662</v>
      </c>
      <c r="E326" s="26">
        <f>(((Table3[[#This Row],[Core CPI]]-$C$496)/$C$496)*100)+100</f>
        <v>61.835478455512032</v>
      </c>
      <c r="F326" s="27">
        <v>4.048964218455741E-2</v>
      </c>
      <c r="G326" s="27">
        <f>VLOOKUP(Table3[[#This Row],[Date]],'PCE Core'!A:D,4,)</f>
        <v>4.0542865334990005E-2</v>
      </c>
    </row>
    <row r="327" spans="1:7" x14ac:dyDescent="0.35">
      <c r="A327" s="63">
        <v>31352</v>
      </c>
      <c r="B327" s="28">
        <f>VLOOKUP(Table3[[#This Row],[Date]],'PCE Core'!$A:$E,2,)</f>
        <v>54.57</v>
      </c>
      <c r="C327" s="26">
        <f>VLOOKUP(Table3[[#This Row],[Date]],Database!$A:$E,5)</f>
        <v>111.1</v>
      </c>
      <c r="D327" s="26">
        <f>(((Table3[[#This Row],[Core PCE]]-$B$496)/$B$496)*100)+100</f>
        <v>68.386886560729849</v>
      </c>
      <c r="E327" s="26">
        <f>(((Table3[[#This Row],[Core CPI]]-$C$496)/$C$496)*100)+100</f>
        <v>62.171236709569108</v>
      </c>
      <c r="F327" s="27">
        <v>4.4172932330826961E-2</v>
      </c>
      <c r="G327" s="27">
        <f>VLOOKUP(Table3[[#This Row],[Date]],'PCE Core'!A:D,4,)</f>
        <v>4.089573875557926E-2</v>
      </c>
    </row>
    <row r="328" spans="1:7" x14ac:dyDescent="0.35">
      <c r="A328" s="60">
        <v>31382</v>
      </c>
      <c r="B328" s="28">
        <f>VLOOKUP(Table3[[#This Row],[Date]],'PCE Core'!$A:$E,2,)</f>
        <v>54.718000000000004</v>
      </c>
      <c r="C328" s="28">
        <f>VLOOKUP(Table3[[#This Row],[Date]],Database!$A:$E,5)</f>
        <v>111.4</v>
      </c>
      <c r="D328" s="26">
        <f>(((Table3[[#This Row],[Core PCE]]-$B$496)/$B$496)*100)+100</f>
        <v>68.572359516767762</v>
      </c>
      <c r="E328" s="26">
        <f>(((Table3[[#This Row],[Core CPI]]-$C$496)/$C$496)*100)+100</f>
        <v>62.339115836597657</v>
      </c>
      <c r="F328" s="27">
        <v>4.3071161048689223E-2</v>
      </c>
      <c r="G328" s="27">
        <f>VLOOKUP(Table3[[#This Row],[Date]],'PCE Core'!A:D,4,)</f>
        <v>3.9594178667781345E-2</v>
      </c>
    </row>
    <row r="329" spans="1:7" x14ac:dyDescent="0.35">
      <c r="A329" s="63">
        <v>31413</v>
      </c>
      <c r="B329" s="28">
        <f>VLOOKUP(Table3[[#This Row],[Date]],'PCE Core'!$A:$E,2,)</f>
        <v>55.014000000000003</v>
      </c>
      <c r="C329" s="28">
        <f>VLOOKUP(Table3[[#This Row],[Date]],Database!$A:$E,5)</f>
        <v>111.9</v>
      </c>
      <c r="D329" s="26">
        <f>(((Table3[[#This Row],[Core PCE]]-$B$496)/$B$496)*100)+100</f>
        <v>68.943305428843544</v>
      </c>
      <c r="E329" s="26">
        <f>(((Table3[[#This Row],[Core CPI]]-$C$496)/$C$496)*100)+100</f>
        <v>62.618914381645226</v>
      </c>
      <c r="F329" s="27">
        <v>4.4817927170868459E-2</v>
      </c>
      <c r="G329" s="27">
        <f>VLOOKUP(Table3[[#This Row],[Date]],'PCE Core'!A:D,4,)</f>
        <v>3.941203143893602E-2</v>
      </c>
    </row>
    <row r="330" spans="1:7" x14ac:dyDescent="0.35">
      <c r="A330" s="60">
        <v>31444</v>
      </c>
      <c r="B330" s="28">
        <f>VLOOKUP(Table3[[#This Row],[Date]],'PCE Core'!$A:$E,2,)</f>
        <v>55.155999999999999</v>
      </c>
      <c r="C330" s="26">
        <f>VLOOKUP(Table3[[#This Row],[Date]],Database!$A:$E,5)</f>
        <v>112.2</v>
      </c>
      <c r="D330" s="26">
        <f>(((Table3[[#This Row],[Core PCE]]-$B$496)/$B$496)*100)+100</f>
        <v>69.121259210988015</v>
      </c>
      <c r="E330" s="26">
        <f>(((Table3[[#This Row],[Core CPI]]-$C$496)/$C$496)*100)+100</f>
        <v>62.78679350867376</v>
      </c>
      <c r="F330" s="27">
        <v>4.1782729805013928E-2</v>
      </c>
      <c r="G330" s="27">
        <f>VLOOKUP(Table3[[#This Row],[Date]],'PCE Core'!A:D,4,)</f>
        <v>3.6688970754078606E-2</v>
      </c>
    </row>
    <row r="331" spans="1:7" x14ac:dyDescent="0.35">
      <c r="A331" s="63">
        <v>31472</v>
      </c>
      <c r="B331" s="28">
        <f>VLOOKUP(Table3[[#This Row],[Date]],'PCE Core'!$A:$E,2,)</f>
        <v>55.323999999999998</v>
      </c>
      <c r="C331" s="28">
        <f>VLOOKUP(Table3[[#This Row],[Date]],Database!$A:$E,5)</f>
        <v>112.5</v>
      </c>
      <c r="D331" s="26">
        <f>(((Table3[[#This Row],[Core PCE]]-$B$496)/$B$496)*100)+100</f>
        <v>69.331796080004011</v>
      </c>
      <c r="E331" s="26">
        <f>(((Table3[[#This Row],[Core CPI]]-$C$496)/$C$496)*100)+100</f>
        <v>62.954672635702295</v>
      </c>
      <c r="F331" s="27">
        <v>4.0703052728954733E-2</v>
      </c>
      <c r="G331" s="27">
        <f>VLOOKUP(Table3[[#This Row],[Date]],'PCE Core'!A:D,4,)</f>
        <v>3.6224011987263487E-2</v>
      </c>
    </row>
    <row r="332" spans="1:7" x14ac:dyDescent="0.35">
      <c r="A332" s="60">
        <v>31503</v>
      </c>
      <c r="B332" s="28">
        <f>VLOOKUP(Table3[[#This Row],[Date]],'PCE Core'!$A:$E,2,)</f>
        <v>55.423999999999999</v>
      </c>
      <c r="C332" s="28">
        <f>VLOOKUP(Table3[[#This Row],[Date]],Database!$A:$E,5)</f>
        <v>112.9</v>
      </c>
      <c r="D332" s="26">
        <f>(((Table3[[#This Row],[Core PCE]]-$B$496)/$B$496)*100)+100</f>
        <v>69.457115644894472</v>
      </c>
      <c r="E332" s="26">
        <f>(((Table3[[#This Row],[Core CPI]]-$C$496)/$C$496)*100)+100</f>
        <v>63.178511471740357</v>
      </c>
      <c r="F332" s="27">
        <v>4.1512915129151291E-2</v>
      </c>
      <c r="G332" s="27">
        <f>VLOOKUP(Table3[[#This Row],[Date]],'PCE Core'!A:D,4,)</f>
        <v>3.6873515050605141E-2</v>
      </c>
    </row>
    <row r="333" spans="1:7" x14ac:dyDescent="0.35">
      <c r="A333" s="63">
        <v>31533</v>
      </c>
      <c r="B333" s="28">
        <f>VLOOKUP(Table3[[#This Row],[Date]],'PCE Core'!$A:$E,2,)</f>
        <v>55.518000000000001</v>
      </c>
      <c r="C333" s="26">
        <f>VLOOKUP(Table3[[#This Row],[Date]],Database!$A:$E,5)</f>
        <v>113.1</v>
      </c>
      <c r="D333" s="26">
        <f>(((Table3[[#This Row],[Core PCE]]-$B$496)/$B$496)*100)+100</f>
        <v>69.574916035891519</v>
      </c>
      <c r="E333" s="26">
        <f>(((Table3[[#This Row],[Core CPI]]-$C$496)/$C$496)*100)+100</f>
        <v>63.290430889759378</v>
      </c>
      <c r="F333" s="27">
        <v>3.9522058823529389E-2</v>
      </c>
      <c r="G333" s="27">
        <f>VLOOKUP(Table3[[#This Row],[Date]],'PCE Core'!A:D,4,)</f>
        <v>3.5049778142361807E-2</v>
      </c>
    </row>
    <row r="334" spans="1:7" x14ac:dyDescent="0.35">
      <c r="A334" s="60">
        <v>31564</v>
      </c>
      <c r="B334" s="28">
        <f>VLOOKUP(Table3[[#This Row],[Date]],'PCE Core'!$A:$E,2,)</f>
        <v>55.685000000000002</v>
      </c>
      <c r="C334" s="28">
        <f>VLOOKUP(Table3[[#This Row],[Date]],Database!$A:$E,5)</f>
        <v>113.4</v>
      </c>
      <c r="D334" s="26">
        <f>(((Table3[[#This Row],[Core PCE]]-$B$496)/$B$496)*100)+100</f>
        <v>69.784199709258601</v>
      </c>
      <c r="E334" s="26">
        <f>(((Table3[[#This Row],[Core CPI]]-$C$496)/$C$496)*100)+100</f>
        <v>63.458310016787919</v>
      </c>
      <c r="F334" s="27">
        <v>3.9413382218148593E-2</v>
      </c>
      <c r="G334" s="27">
        <f>VLOOKUP(Table3[[#This Row],[Date]],'PCE Core'!A:D,4,)</f>
        <v>3.4748676019697194E-2</v>
      </c>
    </row>
    <row r="335" spans="1:7" x14ac:dyDescent="0.35">
      <c r="A335" s="63">
        <v>31594</v>
      </c>
      <c r="B335" s="28">
        <f>VLOOKUP(Table3[[#This Row],[Date]],'PCE Core'!$A:$E,2,)</f>
        <v>55.786000000000001</v>
      </c>
      <c r="C335" s="28">
        <f>VLOOKUP(Table3[[#This Row],[Date]],Database!$A:$E,5)</f>
        <v>113.8</v>
      </c>
      <c r="D335" s="26">
        <f>(((Table3[[#This Row],[Core PCE]]-$B$496)/$B$496)*100)+100</f>
        <v>69.91077246979799</v>
      </c>
      <c r="E335" s="26">
        <f>(((Table3[[#This Row],[Core CPI]]-$C$496)/$C$496)*100)+100</f>
        <v>63.682148852825968</v>
      </c>
      <c r="F335" s="27">
        <v>4.0219378427787847E-2</v>
      </c>
      <c r="G335" s="27">
        <f>VLOOKUP(Table3[[#This Row],[Date]],'PCE Core'!A:D,4,)</f>
        <v>3.359086950882853E-2</v>
      </c>
    </row>
    <row r="336" spans="1:7" x14ac:dyDescent="0.35">
      <c r="A336" s="60">
        <v>31625</v>
      </c>
      <c r="B336" s="28">
        <f>VLOOKUP(Table3[[#This Row],[Date]],'PCE Core'!$A:$E,2,)</f>
        <v>55.901000000000003</v>
      </c>
      <c r="C336" s="26">
        <f>VLOOKUP(Table3[[#This Row],[Date]],Database!$A:$E,5)</f>
        <v>114.2</v>
      </c>
      <c r="D336" s="26">
        <f>(((Table3[[#This Row],[Core PCE]]-$B$496)/$B$496)*100)+100</f>
        <v>70.054889969422021</v>
      </c>
      <c r="E336" s="26">
        <f>(((Table3[[#This Row],[Core CPI]]-$C$496)/$C$496)*100)+100</f>
        <v>63.905987688864023</v>
      </c>
      <c r="F336" s="27">
        <v>4.0072859744990953E-2</v>
      </c>
      <c r="G336" s="27">
        <f>VLOOKUP(Table3[[#This Row],[Date]],'PCE Core'!A:D,4,)</f>
        <v>3.0680162988365903E-2</v>
      </c>
    </row>
    <row r="337" spans="1:7" x14ac:dyDescent="0.35">
      <c r="A337" s="63">
        <v>31656</v>
      </c>
      <c r="B337" s="28">
        <f>VLOOKUP(Table3[[#This Row],[Date]],'PCE Core'!$A:$E,2,)</f>
        <v>56.085000000000001</v>
      </c>
      <c r="C337" s="28">
        <f>VLOOKUP(Table3[[#This Row],[Date]],Database!$A:$E,5)</f>
        <v>114.6</v>
      </c>
      <c r="D337" s="26">
        <f>(((Table3[[#This Row],[Core PCE]]-$B$496)/$B$496)*100)+100</f>
        <v>70.285477968820487</v>
      </c>
      <c r="E337" s="26">
        <f>(((Table3[[#This Row],[Core CPI]]-$C$496)/$C$496)*100)+100</f>
        <v>64.129826524902072</v>
      </c>
      <c r="F337" s="27">
        <v>4.1818181818181768E-2</v>
      </c>
      <c r="G337" s="27">
        <f>VLOOKUP(Table3[[#This Row],[Date]],'PCE Core'!A:D,4,)</f>
        <v>3.1941710059062801E-2</v>
      </c>
    </row>
    <row r="338" spans="1:7" x14ac:dyDescent="0.35">
      <c r="A338" s="60">
        <v>31686</v>
      </c>
      <c r="B338" s="28">
        <f>VLOOKUP(Table3[[#This Row],[Date]],'PCE Core'!$A:$E,2,)</f>
        <v>56.274000000000001</v>
      </c>
      <c r="C338" s="28">
        <f>VLOOKUP(Table3[[#This Row],[Date]],Database!$A:$E,5)</f>
        <v>115</v>
      </c>
      <c r="D338" s="26">
        <f>(((Table3[[#This Row],[Core PCE]]-$B$496)/$B$496)*100)+100</f>
        <v>70.522331946463481</v>
      </c>
      <c r="E338" s="26">
        <f>(((Table3[[#This Row],[Core CPI]]-$C$496)/$C$496)*100)+100</f>
        <v>64.353665360940127</v>
      </c>
      <c r="F338" s="27">
        <v>4.072398190045249E-2</v>
      </c>
      <c r="G338" s="27">
        <f>VLOOKUP(Table3[[#This Row],[Date]],'PCE Core'!A:D,4,)</f>
        <v>3.3764420604012066E-2</v>
      </c>
    </row>
    <row r="339" spans="1:7" x14ac:dyDescent="0.35">
      <c r="A339" s="63">
        <v>31717</v>
      </c>
      <c r="B339" s="28">
        <f>VLOOKUP(Table3[[#This Row],[Date]],'PCE Core'!$A:$E,2,)</f>
        <v>56.393999999999998</v>
      </c>
      <c r="C339" s="26">
        <f>VLOOKUP(Table3[[#This Row],[Date]],Database!$A:$E,5)</f>
        <v>115.3</v>
      </c>
      <c r="D339" s="26">
        <f>(((Table3[[#This Row],[Core PCE]]-$B$496)/$B$496)*100)+100</f>
        <v>70.67271542433204</v>
      </c>
      <c r="E339" s="26">
        <f>(((Table3[[#This Row],[Core CPI]]-$C$496)/$C$496)*100)+100</f>
        <v>64.521544487968669</v>
      </c>
      <c r="F339" s="27">
        <v>3.7803780378037832E-2</v>
      </c>
      <c r="G339" s="27">
        <f>VLOOKUP(Table3[[#This Row],[Date]],'PCE Core'!A:D,4,)</f>
        <v>3.3424958768554114E-2</v>
      </c>
    </row>
    <row r="340" spans="1:7" x14ac:dyDescent="0.35">
      <c r="A340" s="60">
        <v>31747</v>
      </c>
      <c r="B340" s="28">
        <f>VLOOKUP(Table3[[#This Row],[Date]],'PCE Core'!$A:$E,2,)</f>
        <v>56.466000000000001</v>
      </c>
      <c r="C340" s="28">
        <f>VLOOKUP(Table3[[#This Row],[Date]],Database!$A:$E,5)</f>
        <v>115.6</v>
      </c>
      <c r="D340" s="26">
        <f>(((Table3[[#This Row],[Core PCE]]-$B$496)/$B$496)*100)+100</f>
        <v>70.762945511053175</v>
      </c>
      <c r="E340" s="26">
        <f>(((Table3[[#This Row],[Core CPI]]-$C$496)/$C$496)*100)+100</f>
        <v>64.689423614997196</v>
      </c>
      <c r="F340" s="27">
        <v>3.7701974865349992E-2</v>
      </c>
      <c r="G340" s="27">
        <f>VLOOKUP(Table3[[#This Row],[Date]],'PCE Core'!A:D,4,)</f>
        <v>3.1945612047223904E-2</v>
      </c>
    </row>
    <row r="341" spans="1:7" x14ac:dyDescent="0.35">
      <c r="A341" s="63">
        <v>31778</v>
      </c>
      <c r="B341" s="28">
        <f>VLOOKUP(Table3[[#This Row],[Date]],'PCE Core'!$A:$E,2,)</f>
        <v>56.600999999999999</v>
      </c>
      <c r="C341" s="28">
        <f>VLOOKUP(Table3[[#This Row],[Date]],Database!$A:$E,5)</f>
        <v>115.9</v>
      </c>
      <c r="D341" s="26">
        <f>(((Table3[[#This Row],[Core PCE]]-$B$496)/$B$496)*100)+100</f>
        <v>70.932126923655318</v>
      </c>
      <c r="E341" s="26">
        <f>(((Table3[[#This Row],[Core CPI]]-$C$496)/$C$496)*100)+100</f>
        <v>64.857302742025752</v>
      </c>
      <c r="F341" s="27">
        <v>3.5746201966041113E-2</v>
      </c>
      <c r="G341" s="27">
        <f>VLOOKUP(Table3[[#This Row],[Date]],'PCE Core'!A:D,4,)</f>
        <v>2.8847202530264952E-2</v>
      </c>
    </row>
    <row r="342" spans="1:7" x14ac:dyDescent="0.35">
      <c r="A342" s="60">
        <v>31809</v>
      </c>
      <c r="B342" s="28">
        <f>VLOOKUP(Table3[[#This Row],[Date]],'PCE Core'!$A:$E,2,)</f>
        <v>56.713999999999999</v>
      </c>
      <c r="C342" s="26">
        <f>VLOOKUP(Table3[[#This Row],[Date]],Database!$A:$E,5)</f>
        <v>116.2</v>
      </c>
      <c r="D342" s="26">
        <f>(((Table3[[#This Row],[Core PCE]]-$B$496)/$B$496)*100)+100</f>
        <v>71.073738031981549</v>
      </c>
      <c r="E342" s="26">
        <f>(((Table3[[#This Row],[Core CPI]]-$C$496)/$C$496)*100)+100</f>
        <v>65.025181869054279</v>
      </c>
      <c r="F342" s="27">
        <v>3.5650623885917998E-2</v>
      </c>
      <c r="G342" s="27">
        <f>VLOOKUP(Table3[[#This Row],[Date]],'PCE Core'!A:D,4,)</f>
        <v>2.824715352817463E-2</v>
      </c>
    </row>
    <row r="343" spans="1:7" x14ac:dyDescent="0.35">
      <c r="A343" s="63">
        <v>31837</v>
      </c>
      <c r="B343" s="28">
        <f>VLOOKUP(Table3[[#This Row],[Date]],'PCE Core'!$A:$E,2,)</f>
        <v>56.881999999999998</v>
      </c>
      <c r="C343" s="28">
        <f>VLOOKUP(Table3[[#This Row],[Date]],Database!$A:$E,5)</f>
        <v>116.6</v>
      </c>
      <c r="D343" s="26">
        <f>(((Table3[[#This Row],[Core PCE]]-$B$496)/$B$496)*100)+100</f>
        <v>71.284274900997531</v>
      </c>
      <c r="E343" s="26">
        <f>(((Table3[[#This Row],[Core CPI]]-$C$496)/$C$496)*100)+100</f>
        <v>65.249020705092335</v>
      </c>
      <c r="F343" s="27">
        <v>3.644444444444439E-2</v>
      </c>
      <c r="G343" s="27">
        <f>VLOOKUP(Table3[[#This Row],[Date]],'PCE Core'!A:D,4,)</f>
        <v>2.8161376617742751E-2</v>
      </c>
    </row>
    <row r="344" spans="1:7" x14ac:dyDescent="0.35">
      <c r="A344" s="60">
        <v>31868</v>
      </c>
      <c r="B344" s="28">
        <f>VLOOKUP(Table3[[#This Row],[Date]],'PCE Core'!$A:$E,2,)</f>
        <v>57.122999999999998</v>
      </c>
      <c r="C344" s="28">
        <f>VLOOKUP(Table3[[#This Row],[Date]],Database!$A:$E,5)</f>
        <v>117.3</v>
      </c>
      <c r="D344" s="26">
        <f>(((Table3[[#This Row],[Core PCE]]-$B$496)/$B$496)*100)+100</f>
        <v>71.586295052383576</v>
      </c>
      <c r="E344" s="26">
        <f>(((Table3[[#This Row],[Core CPI]]-$C$496)/$C$496)*100)+100</f>
        <v>65.640738668158917</v>
      </c>
      <c r="F344" s="27">
        <v>3.8972542072630567E-2</v>
      </c>
      <c r="G344" s="27">
        <f>VLOOKUP(Table3[[#This Row],[Date]],'PCE Core'!A:D,4,)</f>
        <v>3.0654590069284029E-2</v>
      </c>
    </row>
    <row r="345" spans="1:7" x14ac:dyDescent="0.35">
      <c r="A345" s="63">
        <v>31898</v>
      </c>
      <c r="B345" s="28">
        <f>VLOOKUP(Table3[[#This Row],[Date]],'PCE Core'!$A:$E,2,)</f>
        <v>57.283000000000001</v>
      </c>
      <c r="C345" s="26">
        <f>VLOOKUP(Table3[[#This Row],[Date]],Database!$A:$E,5)</f>
        <v>117.7</v>
      </c>
      <c r="D345" s="26">
        <f>(((Table3[[#This Row],[Core PCE]]-$B$496)/$B$496)*100)+100</f>
        <v>71.786806356208331</v>
      </c>
      <c r="E345" s="26">
        <f>(((Table3[[#This Row],[Core CPI]]-$C$496)/$C$496)*100)+100</f>
        <v>65.864577504196987</v>
      </c>
      <c r="F345" s="27">
        <v>4.0671971706454542E-2</v>
      </c>
      <c r="G345" s="27">
        <f>VLOOKUP(Table3[[#This Row],[Date]],'PCE Core'!A:D,4,)</f>
        <v>3.1791491047948421E-2</v>
      </c>
    </row>
    <row r="346" spans="1:7" x14ac:dyDescent="0.35">
      <c r="A346" s="60">
        <v>31929</v>
      </c>
      <c r="B346" s="28">
        <f>VLOOKUP(Table3[[#This Row],[Date]],'PCE Core'!$A:$E,2,)</f>
        <v>57.441000000000003</v>
      </c>
      <c r="C346" s="28">
        <f>VLOOKUP(Table3[[#This Row],[Date]],Database!$A:$E,5)</f>
        <v>117.9</v>
      </c>
      <c r="D346" s="26">
        <f>(((Table3[[#This Row],[Core PCE]]-$B$496)/$B$496)*100)+100</f>
        <v>71.984811268735271</v>
      </c>
      <c r="E346" s="26">
        <f>(((Table3[[#This Row],[Core CPI]]-$C$496)/$C$496)*100)+100</f>
        <v>65.976496922216</v>
      </c>
      <c r="F346" s="27">
        <v>3.968253968253968E-2</v>
      </c>
      <c r="G346" s="27">
        <f>VLOOKUP(Table3[[#This Row],[Date]],'PCE Core'!A:D,4,)</f>
        <v>3.1534524557780372E-2</v>
      </c>
    </row>
    <row r="347" spans="1:7" x14ac:dyDescent="0.35">
      <c r="A347" s="63">
        <v>31959</v>
      </c>
      <c r="B347" s="28">
        <f>VLOOKUP(Table3[[#This Row],[Date]],'PCE Core'!$A:$E,2,)</f>
        <v>57.588999999999999</v>
      </c>
      <c r="C347" s="28">
        <f>VLOOKUP(Table3[[#This Row],[Date]],Database!$A:$E,5)</f>
        <v>118.3</v>
      </c>
      <c r="D347" s="26">
        <f>(((Table3[[#This Row],[Core PCE]]-$B$496)/$B$496)*100)+100</f>
        <v>72.170284224773155</v>
      </c>
      <c r="E347" s="26">
        <f>(((Table3[[#This Row],[Core CPI]]-$C$496)/$C$496)*100)+100</f>
        <v>66.200335758254056</v>
      </c>
      <c r="F347" s="27">
        <v>3.9543057996485061E-2</v>
      </c>
      <c r="G347" s="27">
        <f>VLOOKUP(Table3[[#This Row],[Date]],'PCE Core'!A:D,4,)</f>
        <v>3.2319936901731565E-2</v>
      </c>
    </row>
    <row r="348" spans="1:7" x14ac:dyDescent="0.35">
      <c r="A348" s="60">
        <v>31990</v>
      </c>
      <c r="B348" s="28">
        <f>VLOOKUP(Table3[[#This Row],[Date]],'PCE Core'!$A:$E,2,)</f>
        <v>57.783000000000001</v>
      </c>
      <c r="C348" s="26">
        <f>VLOOKUP(Table3[[#This Row],[Date]],Database!$A:$E,5)</f>
        <v>118.7</v>
      </c>
      <c r="D348" s="26">
        <f>(((Table3[[#This Row],[Core PCE]]-$B$496)/$B$496)*100)+100</f>
        <v>72.413404180660677</v>
      </c>
      <c r="E348" s="26">
        <f>(((Table3[[#This Row],[Core CPI]]-$C$496)/$C$496)*100)+100</f>
        <v>66.424174594292111</v>
      </c>
      <c r="F348" s="27">
        <v>3.9404553415061293E-2</v>
      </c>
      <c r="G348" s="27">
        <f>VLOOKUP(Table3[[#This Row],[Date]],'PCE Core'!A:D,4,)</f>
        <v>3.3666660703744078E-2</v>
      </c>
    </row>
    <row r="349" spans="1:7" x14ac:dyDescent="0.35">
      <c r="A349" s="63">
        <v>32021</v>
      </c>
      <c r="B349" s="28">
        <f>VLOOKUP(Table3[[#This Row],[Date]],'PCE Core'!$A:$E,2,)</f>
        <v>58.012</v>
      </c>
      <c r="C349" s="28">
        <f>VLOOKUP(Table3[[#This Row],[Date]],Database!$A:$E,5)</f>
        <v>119.2</v>
      </c>
      <c r="D349" s="26">
        <f>(((Table3[[#This Row],[Core PCE]]-$B$496)/$B$496)*100)+100</f>
        <v>72.700385984259853</v>
      </c>
      <c r="E349" s="26">
        <f>(((Table3[[#This Row],[Core CPI]]-$C$496)/$C$496)*100)+100</f>
        <v>66.703973139339681</v>
      </c>
      <c r="F349" s="27">
        <v>4.0139616055846497E-2</v>
      </c>
      <c r="G349" s="27">
        <f>VLOOKUP(Table3[[#This Row],[Date]],'PCE Core'!A:D,4,)</f>
        <v>3.4358562895604877E-2</v>
      </c>
    </row>
    <row r="350" spans="1:7" x14ac:dyDescent="0.35">
      <c r="A350" s="60">
        <v>32051</v>
      </c>
      <c r="B350" s="28">
        <f>VLOOKUP(Table3[[#This Row],[Date]],'PCE Core'!$A:$E,2,)</f>
        <v>58.26</v>
      </c>
      <c r="C350" s="28">
        <f>VLOOKUP(Table3[[#This Row],[Date]],Database!$A:$E,5)</f>
        <v>119.8</v>
      </c>
      <c r="D350" s="26">
        <f>(((Table3[[#This Row],[Core PCE]]-$B$496)/$B$496)*100)+100</f>
        <v>73.011178505188226</v>
      </c>
      <c r="E350" s="26">
        <f>(((Table3[[#This Row],[Core CPI]]-$C$496)/$C$496)*100)+100</f>
        <v>67.03973139339675</v>
      </c>
      <c r="F350" s="27">
        <v>4.1739130434782577E-2</v>
      </c>
      <c r="G350" s="27">
        <f>VLOOKUP(Table3[[#This Row],[Date]],'PCE Core'!A:D,4,)</f>
        <v>3.5291608913530177E-2</v>
      </c>
    </row>
    <row r="351" spans="1:7" x14ac:dyDescent="0.35">
      <c r="A351" s="63">
        <v>32082</v>
      </c>
      <c r="B351" s="28">
        <f>VLOOKUP(Table3[[#This Row],[Date]],'PCE Core'!$A:$E,2,)</f>
        <v>58.381999999999998</v>
      </c>
      <c r="C351" s="26">
        <f>VLOOKUP(Table3[[#This Row],[Date]],Database!$A:$E,5)</f>
        <v>120.1</v>
      </c>
      <c r="D351" s="26">
        <f>(((Table3[[#This Row],[Core PCE]]-$B$496)/$B$496)*100)+100</f>
        <v>73.164068374354599</v>
      </c>
      <c r="E351" s="26">
        <f>(((Table3[[#This Row],[Core CPI]]-$C$496)/$C$496)*100)+100</f>
        <v>67.207610520425291</v>
      </c>
      <c r="F351" s="27">
        <v>4.1630529054640049E-2</v>
      </c>
      <c r="G351" s="27">
        <f>VLOOKUP(Table3[[#This Row],[Date]],'PCE Core'!A:D,4,)</f>
        <v>3.5251977160690846E-2</v>
      </c>
    </row>
    <row r="352" spans="1:7" x14ac:dyDescent="0.35">
      <c r="A352" s="60">
        <v>32112</v>
      </c>
      <c r="B352" s="28">
        <f>VLOOKUP(Table3[[#This Row],[Date]],'PCE Core'!$A:$E,2,)</f>
        <v>58.505000000000003</v>
      </c>
      <c r="C352" s="28">
        <f>VLOOKUP(Table3[[#This Row],[Date]],Database!$A:$E,5)</f>
        <v>120.4</v>
      </c>
      <c r="D352" s="26">
        <f>(((Table3[[#This Row],[Core PCE]]-$B$496)/$B$496)*100)+100</f>
        <v>73.318211439169886</v>
      </c>
      <c r="E352" s="26">
        <f>(((Table3[[#This Row],[Core CPI]]-$C$496)/$C$496)*100)+100</f>
        <v>67.375489647453833</v>
      </c>
      <c r="F352" s="27">
        <v>4.1522491349481071E-2</v>
      </c>
      <c r="G352" s="27">
        <f>VLOOKUP(Table3[[#This Row],[Date]],'PCE Core'!A:D,4,)</f>
        <v>3.6110225622498521E-2</v>
      </c>
    </row>
    <row r="353" spans="1:7" x14ac:dyDescent="0.35">
      <c r="A353" s="63">
        <v>32143</v>
      </c>
      <c r="B353" s="28">
        <f>VLOOKUP(Table3[[#This Row],[Date]],'PCE Core'!$A:$E,2,)</f>
        <v>58.780999999999999</v>
      </c>
      <c r="C353" s="28">
        <f>VLOOKUP(Table3[[#This Row],[Date]],Database!$A:$E,5)</f>
        <v>120.9</v>
      </c>
      <c r="D353" s="26">
        <f>(((Table3[[#This Row],[Core PCE]]-$B$496)/$B$496)*100)+100</f>
        <v>73.664093438267571</v>
      </c>
      <c r="E353" s="26">
        <f>(((Table3[[#This Row],[Core CPI]]-$C$496)/$C$496)*100)+100</f>
        <v>67.655288192501416</v>
      </c>
      <c r="F353" s="27">
        <v>4.3140638481449521E-2</v>
      </c>
      <c r="G353" s="27">
        <f>VLOOKUP(Table3[[#This Row],[Date]],'PCE Core'!A:D,4,)</f>
        <v>3.851522057914171E-2</v>
      </c>
    </row>
    <row r="354" spans="1:7" x14ac:dyDescent="0.35">
      <c r="A354" s="60">
        <v>32174</v>
      </c>
      <c r="B354" s="28">
        <f>VLOOKUP(Table3[[#This Row],[Date]],'PCE Core'!$A:$E,2,)</f>
        <v>58.902000000000001</v>
      </c>
      <c r="C354" s="26">
        <f>VLOOKUP(Table3[[#This Row],[Date]],Database!$A:$E,5)</f>
        <v>121.2</v>
      </c>
      <c r="D354" s="26">
        <f>(((Table3[[#This Row],[Core PCE]]-$B$496)/$B$496)*100)+100</f>
        <v>73.815730111785058</v>
      </c>
      <c r="E354" s="26">
        <f>(((Table3[[#This Row],[Core CPI]]-$C$496)/$C$496)*100)+100</f>
        <v>67.823167319529944</v>
      </c>
      <c r="F354" s="27">
        <v>4.3029259896729767E-2</v>
      </c>
      <c r="G354" s="27">
        <f>VLOOKUP(Table3[[#This Row],[Date]],'PCE Core'!A:D,4,)</f>
        <v>3.8579539443523686E-2</v>
      </c>
    </row>
    <row r="355" spans="1:7" x14ac:dyDescent="0.35">
      <c r="A355" s="63">
        <v>32203</v>
      </c>
      <c r="B355" s="28">
        <f>VLOOKUP(Table3[[#This Row],[Date]],'PCE Core'!$A:$E,2,)</f>
        <v>59.154000000000003</v>
      </c>
      <c r="C355" s="28">
        <f>VLOOKUP(Table3[[#This Row],[Date]],Database!$A:$E,5)</f>
        <v>121.7</v>
      </c>
      <c r="D355" s="26">
        <f>(((Table3[[#This Row],[Core PCE]]-$B$496)/$B$496)*100)+100</f>
        <v>74.131535415309031</v>
      </c>
      <c r="E355" s="26">
        <f>(((Table3[[#This Row],[Core CPI]]-$C$496)/$C$496)*100)+100</f>
        <v>68.102965864577513</v>
      </c>
      <c r="F355" s="27">
        <v>4.3739279588336268E-2</v>
      </c>
      <c r="G355" s="27">
        <f>VLOOKUP(Table3[[#This Row],[Date]],'PCE Core'!A:D,4,)</f>
        <v>3.9942336767343017E-2</v>
      </c>
    </row>
    <row r="356" spans="1:7" x14ac:dyDescent="0.35">
      <c r="A356" s="60">
        <v>32234</v>
      </c>
      <c r="B356" s="28">
        <f>VLOOKUP(Table3[[#This Row],[Date]],'PCE Core'!$A:$E,2,)</f>
        <v>59.441000000000003</v>
      </c>
      <c r="C356" s="28">
        <f>VLOOKUP(Table3[[#This Row],[Date]],Database!$A:$E,5)</f>
        <v>122.3</v>
      </c>
      <c r="D356" s="26">
        <f>(((Table3[[#This Row],[Core PCE]]-$B$496)/$B$496)*100)+100</f>
        <v>74.491202566544686</v>
      </c>
      <c r="E356" s="26">
        <f>(((Table3[[#This Row],[Core CPI]]-$C$496)/$C$496)*100)+100</f>
        <v>68.438724118634582</v>
      </c>
      <c r="F356" s="27">
        <v>4.2625745950554142E-2</v>
      </c>
      <c r="G356" s="27">
        <f>VLOOKUP(Table3[[#This Row],[Date]],'PCE Core'!A:D,4,)</f>
        <v>4.057910123768018E-2</v>
      </c>
    </row>
    <row r="357" spans="1:7" x14ac:dyDescent="0.35">
      <c r="A357" s="63">
        <v>32264</v>
      </c>
      <c r="B357" s="28">
        <f>VLOOKUP(Table3[[#This Row],[Date]],'PCE Core'!$A:$E,2,)</f>
        <v>59.643999999999998</v>
      </c>
      <c r="C357" s="26">
        <f>VLOOKUP(Table3[[#This Row],[Date]],Database!$A:$E,5)</f>
        <v>122.7</v>
      </c>
      <c r="D357" s="26">
        <f>(((Table3[[#This Row],[Core PCE]]-$B$496)/$B$496)*100)+100</f>
        <v>74.745601283272336</v>
      </c>
      <c r="E357" s="26">
        <f>(((Table3[[#This Row],[Core CPI]]-$C$496)/$C$496)*100)+100</f>
        <v>68.662562954672637</v>
      </c>
      <c r="F357" s="27">
        <v>4.2480883602378929E-2</v>
      </c>
      <c r="G357" s="27">
        <f>VLOOKUP(Table3[[#This Row],[Date]],'PCE Core'!A:D,4,)</f>
        <v>4.1216416737950123E-2</v>
      </c>
    </row>
    <row r="358" spans="1:7" x14ac:dyDescent="0.35">
      <c r="A358" s="60">
        <v>32295</v>
      </c>
      <c r="B358" s="28">
        <f>VLOOKUP(Table3[[#This Row],[Date]],'PCE Core'!$A:$E,2,)</f>
        <v>59.896000000000001</v>
      </c>
      <c r="C358" s="28">
        <f>VLOOKUP(Table3[[#This Row],[Date]],Database!$A:$E,5)</f>
        <v>123.2</v>
      </c>
      <c r="D358" s="26">
        <f>(((Table3[[#This Row],[Core PCE]]-$B$496)/$B$496)*100)+100</f>
        <v>75.061406586796323</v>
      </c>
      <c r="E358" s="26">
        <f>(((Table3[[#This Row],[Core CPI]]-$C$496)/$C$496)*100)+100</f>
        <v>68.942361499720207</v>
      </c>
      <c r="F358" s="27">
        <v>4.4953350296861719E-2</v>
      </c>
      <c r="G358" s="27">
        <f>VLOOKUP(Table3[[#This Row],[Date]],'PCE Core'!A:D,4,)</f>
        <v>4.2739506624188267E-2</v>
      </c>
    </row>
    <row r="359" spans="1:7" x14ac:dyDescent="0.35">
      <c r="A359" s="63">
        <v>32325</v>
      </c>
      <c r="B359" s="28">
        <f>VLOOKUP(Table3[[#This Row],[Date]],'PCE Core'!$A:$E,2,)</f>
        <v>60.14</v>
      </c>
      <c r="C359" s="28">
        <f>VLOOKUP(Table3[[#This Row],[Date]],Database!$A:$E,5)</f>
        <v>123.6</v>
      </c>
      <c r="D359" s="26">
        <f>(((Table3[[#This Row],[Core PCE]]-$B$496)/$B$496)*100)+100</f>
        <v>75.367186325129069</v>
      </c>
      <c r="E359" s="26">
        <f>(((Table3[[#This Row],[Core CPI]]-$C$496)/$C$496)*100)+100</f>
        <v>69.166200335758248</v>
      </c>
      <c r="F359" s="27">
        <v>4.4801352493660157E-2</v>
      </c>
      <c r="G359" s="27">
        <f>VLOOKUP(Table3[[#This Row],[Date]],'PCE Core'!A:D,4,)</f>
        <v>4.4296653874871972E-2</v>
      </c>
    </row>
    <row r="360" spans="1:7" x14ac:dyDescent="0.35">
      <c r="A360" s="60">
        <v>32356</v>
      </c>
      <c r="B360" s="28">
        <f>VLOOKUP(Table3[[#This Row],[Date]],'PCE Core'!$A:$E,2,)</f>
        <v>60.289000000000001</v>
      </c>
      <c r="C360" s="26">
        <f>VLOOKUP(Table3[[#This Row],[Date]],Database!$A:$E,5)</f>
        <v>124</v>
      </c>
      <c r="D360" s="26">
        <f>(((Table3[[#This Row],[Core PCE]]-$B$496)/$B$496)*100)+100</f>
        <v>75.553912476815881</v>
      </c>
      <c r="E360" s="26">
        <f>(((Table3[[#This Row],[Core CPI]]-$C$496)/$C$496)*100)+100</f>
        <v>69.390039171796303</v>
      </c>
      <c r="F360" s="27">
        <v>4.4650379106992391E-2</v>
      </c>
      <c r="G360" s="27">
        <f>VLOOKUP(Table3[[#This Row],[Date]],'PCE Core'!A:D,4,)</f>
        <v>4.3369157018500255E-2</v>
      </c>
    </row>
    <row r="361" spans="1:7" x14ac:dyDescent="0.35">
      <c r="A361" s="63">
        <v>32387</v>
      </c>
      <c r="B361" s="28">
        <f>VLOOKUP(Table3[[#This Row],[Date]],'PCE Core'!$A:$E,2,)</f>
        <v>60.613</v>
      </c>
      <c r="C361" s="28">
        <f>VLOOKUP(Table3[[#This Row],[Date]],Database!$A:$E,5)</f>
        <v>124.7</v>
      </c>
      <c r="D361" s="26">
        <f>(((Table3[[#This Row],[Core PCE]]-$B$496)/$B$496)*100)+100</f>
        <v>75.959947867061004</v>
      </c>
      <c r="E361" s="26">
        <f>(((Table3[[#This Row],[Core CPI]]-$C$496)/$C$496)*100)+100</f>
        <v>69.7817571348629</v>
      </c>
      <c r="F361" s="27">
        <v>4.6140939597315432E-2</v>
      </c>
      <c r="G361" s="27">
        <f>VLOOKUP(Table3[[#This Row],[Date]],'PCE Core'!A:D,4,)</f>
        <v>4.4835551265255451E-2</v>
      </c>
    </row>
    <row r="362" spans="1:7" x14ac:dyDescent="0.35">
      <c r="A362" s="60">
        <v>32417</v>
      </c>
      <c r="B362" s="28">
        <f>VLOOKUP(Table3[[#This Row],[Date]],'PCE Core'!$A:$E,2,)</f>
        <v>60.843000000000004</v>
      </c>
      <c r="C362" s="28">
        <f>VLOOKUP(Table3[[#This Row],[Date]],Database!$A:$E,5)</f>
        <v>125.2</v>
      </c>
      <c r="D362" s="26">
        <f>(((Table3[[#This Row],[Core PCE]]-$B$496)/$B$496)*100)+100</f>
        <v>76.248182866309094</v>
      </c>
      <c r="E362" s="26">
        <f>(((Table3[[#This Row],[Core CPI]]-$C$496)/$C$496)*100)+100</f>
        <v>70.06155567991047</v>
      </c>
      <c r="F362" s="27">
        <v>4.5075125208681177E-2</v>
      </c>
      <c r="G362" s="27">
        <f>VLOOKUP(Table3[[#This Row],[Date]],'PCE Core'!A:D,4,)</f>
        <v>4.4335736354274041E-2</v>
      </c>
    </row>
    <row r="363" spans="1:7" x14ac:dyDescent="0.35">
      <c r="A363" s="63">
        <v>32448</v>
      </c>
      <c r="B363" s="28">
        <f>VLOOKUP(Table3[[#This Row],[Date]],'PCE Core'!$A:$E,2,)</f>
        <v>61.01</v>
      </c>
      <c r="C363" s="26">
        <f>VLOOKUP(Table3[[#This Row],[Date]],Database!$A:$E,5)</f>
        <v>125.6</v>
      </c>
      <c r="D363" s="26">
        <f>(((Table3[[#This Row],[Core PCE]]-$B$496)/$B$496)*100)+100</f>
        <v>76.457466539676162</v>
      </c>
      <c r="E363" s="26">
        <f>(((Table3[[#This Row],[Core CPI]]-$C$496)/$C$496)*100)+100</f>
        <v>70.285394515948525</v>
      </c>
      <c r="F363" s="27">
        <v>4.5795170691090757E-2</v>
      </c>
      <c r="G363" s="27">
        <f>VLOOKUP(Table3[[#This Row],[Date]],'PCE Core'!A:D,4,)</f>
        <v>4.5013874139289513E-2</v>
      </c>
    </row>
    <row r="364" spans="1:7" x14ac:dyDescent="0.35">
      <c r="A364" s="60">
        <v>32478</v>
      </c>
      <c r="B364" s="28">
        <f>VLOOKUP(Table3[[#This Row],[Date]],'PCE Core'!$A:$E,2,)</f>
        <v>61.212000000000003</v>
      </c>
      <c r="C364" s="28">
        <f>VLOOKUP(Table3[[#This Row],[Date]],Database!$A:$E,5)</f>
        <v>126</v>
      </c>
      <c r="D364" s="26">
        <f>(((Table3[[#This Row],[Core PCE]]-$B$496)/$B$496)*100)+100</f>
        <v>76.710612060754926</v>
      </c>
      <c r="E364" s="26">
        <f>(((Table3[[#This Row],[Core CPI]]-$C$496)/$C$496)*100)+100</f>
        <v>70.50923335198658</v>
      </c>
      <c r="F364" s="27">
        <v>4.6511627906976688E-2</v>
      </c>
      <c r="G364" s="27">
        <f>VLOOKUP(Table3[[#This Row],[Date]],'PCE Core'!A:D,4,)</f>
        <v>4.6269549611144357E-2</v>
      </c>
    </row>
    <row r="365" spans="1:7" x14ac:dyDescent="0.35">
      <c r="A365" s="63">
        <v>32509</v>
      </c>
      <c r="B365" s="28">
        <f>VLOOKUP(Table3[[#This Row],[Date]],'PCE Core'!$A:$E,2,)</f>
        <v>61.521999999999998</v>
      </c>
      <c r="C365" s="28">
        <f>VLOOKUP(Table3[[#This Row],[Date]],Database!$A:$E,5)</f>
        <v>126.5</v>
      </c>
      <c r="D365" s="26">
        <f>(((Table3[[#This Row],[Core PCE]]-$B$496)/$B$496)*100)+100</f>
        <v>77.099102711915378</v>
      </c>
      <c r="E365" s="26">
        <f>(((Table3[[#This Row],[Core CPI]]-$C$496)/$C$496)*100)+100</f>
        <v>70.789031897034135</v>
      </c>
      <c r="F365" s="27">
        <v>4.631927212572369E-2</v>
      </c>
      <c r="G365" s="27">
        <f>VLOOKUP(Table3[[#This Row],[Date]],'PCE Core'!A:D,4,)</f>
        <v>4.6630714006226495E-2</v>
      </c>
    </row>
    <row r="366" spans="1:7" x14ac:dyDescent="0.35">
      <c r="A366" s="60">
        <v>32540</v>
      </c>
      <c r="B366" s="28">
        <f>VLOOKUP(Table3[[#This Row],[Date]],'PCE Core'!$A:$E,2,)</f>
        <v>61.677999999999997</v>
      </c>
      <c r="C366" s="26">
        <f>VLOOKUP(Table3[[#This Row],[Date]],Database!$A:$E,5)</f>
        <v>126.9</v>
      </c>
      <c r="D366" s="26">
        <f>(((Table3[[#This Row],[Core PCE]]-$B$496)/$B$496)*100)+100</f>
        <v>77.294601233144505</v>
      </c>
      <c r="E366" s="26">
        <f>(((Table3[[#This Row],[Core CPI]]-$C$496)/$C$496)*100)+100</f>
        <v>71.012870733072191</v>
      </c>
      <c r="F366" s="27">
        <v>4.7029702970297051E-2</v>
      </c>
      <c r="G366" s="27">
        <f>VLOOKUP(Table3[[#This Row],[Date]],'PCE Core'!A:D,4,)</f>
        <v>4.7129129740925542E-2</v>
      </c>
    </row>
    <row r="367" spans="1:7" x14ac:dyDescent="0.35">
      <c r="A367" s="63">
        <v>32568</v>
      </c>
      <c r="B367" s="28">
        <f>VLOOKUP(Table3[[#This Row],[Date]],'PCE Core'!$A:$E,2,)</f>
        <v>61.863</v>
      </c>
      <c r="C367" s="28">
        <f>VLOOKUP(Table3[[#This Row],[Date]],Database!$A:$E,5)</f>
        <v>127.4</v>
      </c>
      <c r="D367" s="26">
        <f>(((Table3[[#This Row],[Core PCE]]-$B$496)/$B$496)*100)+100</f>
        <v>77.526442428191885</v>
      </c>
      <c r="E367" s="26">
        <f>(((Table3[[#This Row],[Core CPI]]-$C$496)/$C$496)*100)+100</f>
        <v>71.29266927811976</v>
      </c>
      <c r="F367" s="27">
        <v>4.6836483155299938E-2</v>
      </c>
      <c r="G367" s="27">
        <f>VLOOKUP(Table3[[#This Row],[Date]],'PCE Core'!A:D,4,)</f>
        <v>4.5795719647022955E-2</v>
      </c>
    </row>
    <row r="368" spans="1:7" x14ac:dyDescent="0.35">
      <c r="A368" s="60">
        <v>32599</v>
      </c>
      <c r="B368" s="28">
        <f>VLOOKUP(Table3[[#This Row],[Date]],'PCE Core'!$A:$E,2,)</f>
        <v>62.07</v>
      </c>
      <c r="C368" s="28">
        <f>VLOOKUP(Table3[[#This Row],[Date]],Database!$A:$E,5)</f>
        <v>127.8</v>
      </c>
      <c r="D368" s="26">
        <f>(((Table3[[#This Row],[Core PCE]]-$B$496)/$B$496)*100)+100</f>
        <v>77.785853927515163</v>
      </c>
      <c r="E368" s="26">
        <f>(((Table3[[#This Row],[Core CPI]]-$C$496)/$C$496)*100)+100</f>
        <v>71.516508114157816</v>
      </c>
      <c r="F368" s="27">
        <v>4.4971381847914972E-2</v>
      </c>
      <c r="G368" s="27">
        <f>VLOOKUP(Table3[[#This Row],[Date]],'PCE Core'!A:D,4,)</f>
        <v>4.4228731010581883E-2</v>
      </c>
    </row>
    <row r="369" spans="1:7" x14ac:dyDescent="0.35">
      <c r="A369" s="63">
        <v>32629</v>
      </c>
      <c r="B369" s="28">
        <f>VLOOKUP(Table3[[#This Row],[Date]],'PCE Core'!$A:$E,2,)</f>
        <v>62.256</v>
      </c>
      <c r="C369" s="26">
        <f>VLOOKUP(Table3[[#This Row],[Date]],Database!$A:$E,5)</f>
        <v>128.30000000000001</v>
      </c>
      <c r="D369" s="26">
        <f>(((Table3[[#This Row],[Core PCE]]-$B$496)/$B$496)*100)+100</f>
        <v>78.018948318211443</v>
      </c>
      <c r="E369" s="26">
        <f>(((Table3[[#This Row],[Core CPI]]-$C$496)/$C$496)*100)+100</f>
        <v>71.796306659205385</v>
      </c>
      <c r="F369" s="27">
        <v>4.5639771801141073E-2</v>
      </c>
      <c r="G369" s="27">
        <f>VLOOKUP(Table3[[#This Row],[Date]],'PCE Core'!A:D,4,)</f>
        <v>4.3793172825430923E-2</v>
      </c>
    </row>
    <row r="370" spans="1:7" x14ac:dyDescent="0.35">
      <c r="A370" s="60">
        <v>32660</v>
      </c>
      <c r="B370" s="28">
        <f>VLOOKUP(Table3[[#This Row],[Date]],'PCE Core'!$A:$E,2,)</f>
        <v>62.42</v>
      </c>
      <c r="C370" s="28">
        <f>VLOOKUP(Table3[[#This Row],[Date]],Database!$A:$E,5)</f>
        <v>128.80000000000001</v>
      </c>
      <c r="D370" s="26">
        <f>(((Table3[[#This Row],[Core PCE]]-$B$496)/$B$496)*100)+100</f>
        <v>78.224472404631811</v>
      </c>
      <c r="E370" s="26">
        <f>(((Table3[[#This Row],[Core CPI]]-$C$496)/$C$496)*100)+100</f>
        <v>72.076105204252954</v>
      </c>
      <c r="F370" s="27">
        <v>4.5454545454545532E-2</v>
      </c>
      <c r="G370" s="27">
        <f>VLOOKUP(Table3[[#This Row],[Date]],'PCE Core'!A:D,4,)</f>
        <v>4.2139708828636317E-2</v>
      </c>
    </row>
    <row r="371" spans="1:7" x14ac:dyDescent="0.35">
      <c r="A371" s="63">
        <v>32690</v>
      </c>
      <c r="B371" s="28">
        <f>VLOOKUP(Table3[[#This Row],[Date]],'PCE Core'!$A:$E,2,)</f>
        <v>62.581000000000003</v>
      </c>
      <c r="C371" s="28">
        <f>VLOOKUP(Table3[[#This Row],[Date]],Database!$A:$E,5)</f>
        <v>129.19999999999999</v>
      </c>
      <c r="D371" s="26">
        <f>(((Table3[[#This Row],[Core PCE]]-$B$496)/$B$496)*100)+100</f>
        <v>78.426236904105465</v>
      </c>
      <c r="E371" s="26">
        <f>(((Table3[[#This Row],[Core CPI]]-$C$496)/$C$496)*100)+100</f>
        <v>72.299944040290995</v>
      </c>
      <c r="F371" s="27">
        <v>4.5307443365695747E-2</v>
      </c>
      <c r="G371" s="27">
        <f>VLOOKUP(Table3[[#This Row],[Date]],'PCE Core'!A:D,4,)</f>
        <v>4.0588626538077863E-2</v>
      </c>
    </row>
    <row r="372" spans="1:7" x14ac:dyDescent="0.35">
      <c r="A372" s="60">
        <v>32721</v>
      </c>
      <c r="B372" s="28">
        <f>VLOOKUP(Table3[[#This Row],[Date]],'PCE Core'!$A:$E,2,)</f>
        <v>62.668999999999997</v>
      </c>
      <c r="C372" s="26">
        <f>VLOOKUP(Table3[[#This Row],[Date]],Database!$A:$E,5)</f>
        <v>129.5</v>
      </c>
      <c r="D372" s="26">
        <f>(((Table3[[#This Row],[Core PCE]]-$B$496)/$B$496)*100)+100</f>
        <v>78.53651812120907</v>
      </c>
      <c r="E372" s="26">
        <f>(((Table3[[#This Row],[Core CPI]]-$C$496)/$C$496)*100)+100</f>
        <v>72.467823167319537</v>
      </c>
      <c r="F372" s="27">
        <v>4.4354838709677422E-2</v>
      </c>
      <c r="G372" s="27">
        <f>VLOOKUP(Table3[[#This Row],[Date]],'PCE Core'!A:D,4,)</f>
        <v>3.9476521421818164E-2</v>
      </c>
    </row>
    <row r="373" spans="1:7" x14ac:dyDescent="0.35">
      <c r="A373" s="63">
        <v>32752</v>
      </c>
      <c r="B373" s="28">
        <f>VLOOKUP(Table3[[#This Row],[Date]],'PCE Core'!$A:$E,2,)</f>
        <v>62.886000000000003</v>
      </c>
      <c r="C373" s="28">
        <f>VLOOKUP(Table3[[#This Row],[Date]],Database!$A:$E,5)</f>
        <v>129.9</v>
      </c>
      <c r="D373" s="26">
        <f>(((Table3[[#This Row],[Core PCE]]-$B$496)/$B$496)*100)+100</f>
        <v>78.808461577021404</v>
      </c>
      <c r="E373" s="26">
        <f>(((Table3[[#This Row],[Core CPI]]-$C$496)/$C$496)*100)+100</f>
        <v>72.691662003357592</v>
      </c>
      <c r="F373" s="27">
        <v>4.1700080192461929E-2</v>
      </c>
      <c r="G373" s="27">
        <f>VLOOKUP(Table3[[#This Row],[Date]],'PCE Core'!A:D,4,)</f>
        <v>3.7500206226387132E-2</v>
      </c>
    </row>
    <row r="374" spans="1:7" x14ac:dyDescent="0.35">
      <c r="A374" s="60">
        <v>32782</v>
      </c>
      <c r="B374" s="28">
        <f>VLOOKUP(Table3[[#This Row],[Date]],'PCE Core'!$A:$E,2,)</f>
        <v>63.113999999999997</v>
      </c>
      <c r="C374" s="28">
        <f>VLOOKUP(Table3[[#This Row],[Date]],Database!$A:$E,5)</f>
        <v>130.6</v>
      </c>
      <c r="D374" s="26">
        <f>(((Table3[[#This Row],[Core PCE]]-$B$496)/$B$496)*100)+100</f>
        <v>79.094190184971666</v>
      </c>
      <c r="E374" s="26">
        <f>(((Table3[[#This Row],[Core CPI]]-$C$496)/$C$496)*100)+100</f>
        <v>73.083379966424175</v>
      </c>
      <c r="F374" s="27">
        <v>4.3130990415335392E-2</v>
      </c>
      <c r="G374" s="27">
        <f>VLOOKUP(Table3[[#This Row],[Date]],'PCE Core'!A:D,4,)</f>
        <v>3.7325575661949502E-2</v>
      </c>
    </row>
    <row r="375" spans="1:7" x14ac:dyDescent="0.35">
      <c r="A375" s="63">
        <v>32813</v>
      </c>
      <c r="B375" s="28">
        <f>VLOOKUP(Table3[[#This Row],[Date]],'PCE Core'!$A:$E,2,)</f>
        <v>63.281999999999996</v>
      </c>
      <c r="C375" s="26">
        <f>VLOOKUP(Table3[[#This Row],[Date]],Database!$A:$E,5)</f>
        <v>131.1</v>
      </c>
      <c r="D375" s="26">
        <f>(((Table3[[#This Row],[Core PCE]]-$B$496)/$B$496)*100)+100</f>
        <v>79.304727053987662</v>
      </c>
      <c r="E375" s="26">
        <f>(((Table3[[#This Row],[Core CPI]]-$C$496)/$C$496)*100)+100</f>
        <v>73.363178511471745</v>
      </c>
      <c r="F375" s="27">
        <v>4.3789808917197463E-2</v>
      </c>
      <c r="G375" s="27">
        <f>VLOOKUP(Table3[[#This Row],[Date]],'PCE Core'!A:D,4,)</f>
        <v>3.7239796754630364E-2</v>
      </c>
    </row>
    <row r="376" spans="1:7" x14ac:dyDescent="0.35">
      <c r="A376" s="60">
        <v>32843</v>
      </c>
      <c r="B376" s="28">
        <f>VLOOKUP(Table3[[#This Row],[Date]],'PCE Core'!$A:$E,2,)</f>
        <v>63.462000000000003</v>
      </c>
      <c r="C376" s="28">
        <f>VLOOKUP(Table3[[#This Row],[Date]],Database!$A:$E,5)</f>
        <v>131.6</v>
      </c>
      <c r="D376" s="26">
        <f>(((Table3[[#This Row],[Core PCE]]-$B$496)/$B$496)*100)+100</f>
        <v>79.530302270790514</v>
      </c>
      <c r="E376" s="26">
        <f>(((Table3[[#This Row],[Core CPI]]-$C$496)/$C$496)*100)+100</f>
        <v>73.642977056519314</v>
      </c>
      <c r="F376" s="27">
        <v>4.4444444444444398E-2</v>
      </c>
      <c r="G376" s="27">
        <f>VLOOKUP(Table3[[#This Row],[Date]],'PCE Core'!A:D,4,)</f>
        <v>3.6757498529700054E-2</v>
      </c>
    </row>
    <row r="377" spans="1:7" x14ac:dyDescent="0.35">
      <c r="A377" s="63">
        <v>32874</v>
      </c>
      <c r="B377" s="28">
        <f>VLOOKUP(Table3[[#This Row],[Date]],'PCE Core'!$A:$E,2,)</f>
        <v>63.706000000000003</v>
      </c>
      <c r="C377" s="28">
        <f>VLOOKUP(Table3[[#This Row],[Date]],Database!$A:$E,5)</f>
        <v>132.1</v>
      </c>
      <c r="D377" s="26">
        <f>(((Table3[[#This Row],[Core PCE]]-$B$496)/$B$496)*100)+100</f>
        <v>79.83608200912326</v>
      </c>
      <c r="E377" s="26">
        <f>(((Table3[[#This Row],[Core CPI]]-$C$496)/$C$496)*100)+100</f>
        <v>73.922775601566883</v>
      </c>
      <c r="F377" s="27">
        <v>4.4268774703557258E-2</v>
      </c>
      <c r="G377" s="27">
        <f>VLOOKUP(Table3[[#This Row],[Date]],'PCE Core'!A:D,4,)</f>
        <v>3.5499496115210895E-2</v>
      </c>
    </row>
    <row r="378" spans="1:7" x14ac:dyDescent="0.35">
      <c r="A378" s="60">
        <v>32905</v>
      </c>
      <c r="B378" s="28">
        <f>VLOOKUP(Table3[[#This Row],[Date]],'PCE Core'!$A:$E,2,)</f>
        <v>64.016000000000005</v>
      </c>
      <c r="C378" s="26">
        <f>VLOOKUP(Table3[[#This Row],[Date]],Database!$A:$E,5)</f>
        <v>132.69999999999999</v>
      </c>
      <c r="D378" s="26">
        <f>(((Table3[[#This Row],[Core PCE]]-$B$496)/$B$496)*100)+100</f>
        <v>80.224572660283727</v>
      </c>
      <c r="E378" s="26">
        <f>(((Table3[[#This Row],[Core CPI]]-$C$496)/$C$496)*100)+100</f>
        <v>74.258533855623952</v>
      </c>
      <c r="F378" s="27">
        <v>4.5705279747832797E-2</v>
      </c>
      <c r="G378" s="27">
        <f>VLOOKUP(Table3[[#This Row],[Date]],'PCE Core'!A:D,4,)</f>
        <v>3.7906546904893285E-2</v>
      </c>
    </row>
    <row r="379" spans="1:7" x14ac:dyDescent="0.35">
      <c r="A379" s="63">
        <v>32933</v>
      </c>
      <c r="B379" s="28">
        <f>VLOOKUP(Table3[[#This Row],[Date]],'PCE Core'!$A:$E,2,)</f>
        <v>64.322999999999993</v>
      </c>
      <c r="C379" s="28">
        <f>VLOOKUP(Table3[[#This Row],[Date]],Database!$A:$E,5)</f>
        <v>133.5</v>
      </c>
      <c r="D379" s="26">
        <f>(((Table3[[#This Row],[Core PCE]]-$B$496)/$B$496)*100)+100</f>
        <v>80.609303724497451</v>
      </c>
      <c r="E379" s="26">
        <f>(((Table3[[#This Row],[Core CPI]]-$C$496)/$C$496)*100)+100</f>
        <v>74.706211527700063</v>
      </c>
      <c r="F379" s="27">
        <v>4.7880690737833548E-2</v>
      </c>
      <c r="G379" s="27">
        <f>VLOOKUP(Table3[[#This Row],[Date]],'PCE Core'!A:D,4,)</f>
        <v>3.9765287813394015E-2</v>
      </c>
    </row>
    <row r="380" spans="1:7" x14ac:dyDescent="0.35">
      <c r="A380" s="60">
        <v>32964</v>
      </c>
      <c r="B380" s="28">
        <f>VLOOKUP(Table3[[#This Row],[Date]],'PCE Core'!$A:$E,2,)</f>
        <v>64.515000000000001</v>
      </c>
      <c r="C380" s="28">
        <f>VLOOKUP(Table3[[#This Row],[Date]],Database!$A:$E,5)</f>
        <v>134</v>
      </c>
      <c r="D380" s="26">
        <f>(((Table3[[#This Row],[Core PCE]]-$B$496)/$B$496)*100)+100</f>
        <v>80.849917289087159</v>
      </c>
      <c r="E380" s="26">
        <f>(((Table3[[#This Row],[Core CPI]]-$C$496)/$C$496)*100)+100</f>
        <v>74.986010072747632</v>
      </c>
      <c r="F380" s="27">
        <v>4.8513302034428822E-2</v>
      </c>
      <c r="G380" s="27">
        <f>VLOOKUP(Table3[[#This Row],[Date]],'PCE Core'!A:D,4,)</f>
        <v>3.9391010149830839E-2</v>
      </c>
    </row>
    <row r="381" spans="1:7" x14ac:dyDescent="0.35">
      <c r="A381" s="63">
        <v>32994</v>
      </c>
      <c r="B381" s="28">
        <f>VLOOKUP(Table3[[#This Row],[Date]],'PCE Core'!$A:$E,2,)</f>
        <v>64.712000000000003</v>
      </c>
      <c r="C381" s="26">
        <f>VLOOKUP(Table3[[#This Row],[Date]],Database!$A:$E,5)</f>
        <v>134.4</v>
      </c>
      <c r="D381" s="26">
        <f>(((Table3[[#This Row],[Core PCE]]-$B$496)/$B$496)*100)+100</f>
        <v>81.096796831921395</v>
      </c>
      <c r="E381" s="26">
        <f>(((Table3[[#This Row],[Core CPI]]-$C$496)/$C$496)*100)+100</f>
        <v>75.209848908785688</v>
      </c>
      <c r="F381" s="27">
        <v>4.7544816835541653E-2</v>
      </c>
      <c r="G381" s="27">
        <f>VLOOKUP(Table3[[#This Row],[Date]],'PCE Core'!A:D,4,)</f>
        <v>3.9450012850167103E-2</v>
      </c>
    </row>
    <row r="382" spans="1:7" x14ac:dyDescent="0.35">
      <c r="A382" s="60">
        <v>33025</v>
      </c>
      <c r="B382" s="28">
        <f>VLOOKUP(Table3[[#This Row],[Date]],'PCE Core'!$A:$E,2,)</f>
        <v>64.962999999999994</v>
      </c>
      <c r="C382" s="28">
        <f>VLOOKUP(Table3[[#This Row],[Date]],Database!$A:$E,5)</f>
        <v>135.1</v>
      </c>
      <c r="D382" s="26">
        <f>(((Table3[[#This Row],[Core PCE]]-$B$496)/$B$496)*100)+100</f>
        <v>81.411348939796468</v>
      </c>
      <c r="E382" s="26">
        <f>(((Table3[[#This Row],[Core CPI]]-$C$496)/$C$496)*100)+100</f>
        <v>75.60156687185227</v>
      </c>
      <c r="F382" s="27">
        <v>4.8913043478260733E-2</v>
      </c>
      <c r="G382" s="27">
        <f>VLOOKUP(Table3[[#This Row],[Date]],'PCE Core'!A:D,4,)</f>
        <v>4.0740147388657354E-2</v>
      </c>
    </row>
    <row r="383" spans="1:7" x14ac:dyDescent="0.35">
      <c r="A383" s="63">
        <v>33055</v>
      </c>
      <c r="B383" s="28">
        <f>VLOOKUP(Table3[[#This Row],[Date]],'PCE Core'!$A:$E,2,)</f>
        <v>65.128</v>
      </c>
      <c r="C383" s="28">
        <f>VLOOKUP(Table3[[#This Row],[Date]],Database!$A:$E,5)</f>
        <v>135.80000000000001</v>
      </c>
      <c r="D383" s="26">
        <f>(((Table3[[#This Row],[Core PCE]]-$B$496)/$B$496)*100)+100</f>
        <v>81.618126221865751</v>
      </c>
      <c r="E383" s="26">
        <f>(((Table3[[#This Row],[Core CPI]]-$C$496)/$C$496)*100)+100</f>
        <v>75.993284834918867</v>
      </c>
      <c r="F383" s="27">
        <v>5.108359133126953E-2</v>
      </c>
      <c r="G383" s="27">
        <f>VLOOKUP(Table3[[#This Row],[Date]],'PCE Core'!A:D,4,)</f>
        <v>4.0699253767117763E-2</v>
      </c>
    </row>
    <row r="384" spans="1:7" x14ac:dyDescent="0.35">
      <c r="A384" s="60">
        <v>33086</v>
      </c>
      <c r="B384" s="28">
        <f>VLOOKUP(Table3[[#This Row],[Date]],'PCE Core'!$A:$E,2,)</f>
        <v>65.397999999999996</v>
      </c>
      <c r="C384" s="26">
        <f>VLOOKUP(Table3[[#This Row],[Date]],Database!$A:$E,5)</f>
        <v>136.6</v>
      </c>
      <c r="D384" s="26">
        <f>(((Table3[[#This Row],[Core PCE]]-$B$496)/$B$496)*100)+100</f>
        <v>81.956489047070022</v>
      </c>
      <c r="E384" s="26">
        <f>(((Table3[[#This Row],[Core CPI]]-$C$496)/$C$496)*100)+100</f>
        <v>76.440962506994964</v>
      </c>
      <c r="F384" s="27">
        <v>5.4826254826254778E-2</v>
      </c>
      <c r="G384" s="27">
        <f>VLOOKUP(Table3[[#This Row],[Date]],'PCE Core'!A:D,4,)</f>
        <v>4.3546250937465086E-2</v>
      </c>
    </row>
    <row r="385" spans="1:7" x14ac:dyDescent="0.35">
      <c r="A385" s="63">
        <v>33117</v>
      </c>
      <c r="B385" s="28">
        <f>VLOOKUP(Table3[[#This Row],[Date]],'PCE Core'!$A:$E,2,)</f>
        <v>65.626999999999995</v>
      </c>
      <c r="C385" s="28">
        <f>VLOOKUP(Table3[[#This Row],[Date]],Database!$A:$E,5)</f>
        <v>137.1</v>
      </c>
      <c r="D385" s="26">
        <f>(((Table3[[#This Row],[Core PCE]]-$B$496)/$B$496)*100)+100</f>
        <v>82.243470850669198</v>
      </c>
      <c r="E385" s="26">
        <f>(((Table3[[#This Row],[Core CPI]]-$C$496)/$C$496)*100)+100</f>
        <v>76.720761052042533</v>
      </c>
      <c r="F385" s="27">
        <v>5.5427251732101529E-2</v>
      </c>
      <c r="G385" s="27">
        <f>VLOOKUP(Table3[[#This Row],[Date]],'PCE Core'!A:D,4,)</f>
        <v>4.3586807874566556E-2</v>
      </c>
    </row>
    <row r="386" spans="1:7" x14ac:dyDescent="0.35">
      <c r="A386" s="60">
        <v>33147</v>
      </c>
      <c r="B386" s="28">
        <f>VLOOKUP(Table3[[#This Row],[Date]],'PCE Core'!$A:$E,2,)</f>
        <v>65.849999999999994</v>
      </c>
      <c r="C386" s="28">
        <f>VLOOKUP(Table3[[#This Row],[Date]],Database!$A:$E,5)</f>
        <v>137.6</v>
      </c>
      <c r="D386" s="26">
        <f>(((Table3[[#This Row],[Core PCE]]-$B$496)/$B$496)*100)+100</f>
        <v>82.522933480374945</v>
      </c>
      <c r="E386" s="26">
        <f>(((Table3[[#This Row],[Core CPI]]-$C$496)/$C$496)*100)+100</f>
        <v>77.000559597090103</v>
      </c>
      <c r="F386" s="27">
        <v>5.3598774885145493E-2</v>
      </c>
      <c r="G386" s="27">
        <f>VLOOKUP(Table3[[#This Row],[Date]],'PCE Core'!A:D,4,)</f>
        <v>4.3350128339195694E-2</v>
      </c>
    </row>
    <row r="387" spans="1:7" x14ac:dyDescent="0.35">
      <c r="A387" s="63">
        <v>33178</v>
      </c>
      <c r="B387" s="28">
        <f>VLOOKUP(Table3[[#This Row],[Date]],'PCE Core'!$A:$E,2,)</f>
        <v>65.929000000000002</v>
      </c>
      <c r="C387" s="26">
        <f>VLOOKUP(Table3[[#This Row],[Date]],Database!$A:$E,5)</f>
        <v>138</v>
      </c>
      <c r="D387" s="26">
        <f>(((Table3[[#This Row],[Core PCE]]-$B$496)/$B$496)*100)+100</f>
        <v>82.621935936638423</v>
      </c>
      <c r="E387" s="26">
        <f>(((Table3[[#This Row],[Core CPI]]-$C$496)/$C$496)*100)+100</f>
        <v>77.224398433128158</v>
      </c>
      <c r="F387" s="27">
        <v>5.2631578947368467E-2</v>
      </c>
      <c r="G387" s="27">
        <f>VLOOKUP(Table3[[#This Row],[Date]],'PCE Core'!A:D,4,)</f>
        <v>4.1828640055624124E-2</v>
      </c>
    </row>
    <row r="388" spans="1:7" x14ac:dyDescent="0.35">
      <c r="A388" s="60">
        <v>33208</v>
      </c>
      <c r="B388" s="28">
        <f>VLOOKUP(Table3[[#This Row],[Date]],'PCE Core'!$A:$E,2,)</f>
        <v>66.021000000000001</v>
      </c>
      <c r="C388" s="28">
        <f>VLOOKUP(Table3[[#This Row],[Date]],Database!$A:$E,5)</f>
        <v>138.6</v>
      </c>
      <c r="D388" s="26">
        <f>(((Table3[[#This Row],[Core PCE]]-$B$496)/$B$496)*100)+100</f>
        <v>82.737229936337656</v>
      </c>
      <c r="E388" s="26">
        <f>(((Table3[[#This Row],[Core CPI]]-$C$496)/$C$496)*100)+100</f>
        <v>77.560156687185227</v>
      </c>
      <c r="F388" s="27">
        <v>5.3191489361702128E-2</v>
      </c>
      <c r="G388" s="27">
        <f>VLOOKUP(Table3[[#This Row],[Date]],'PCE Core'!A:D,4,)</f>
        <v>4.0323343102959208E-2</v>
      </c>
    </row>
    <row r="389" spans="1:7" x14ac:dyDescent="0.35">
      <c r="A389" s="63">
        <v>33239</v>
      </c>
      <c r="B389" s="28">
        <f>VLOOKUP(Table3[[#This Row],[Date]],'PCE Core'!$A:$E,2,)</f>
        <v>66.349999999999994</v>
      </c>
      <c r="C389" s="28">
        <f>VLOOKUP(Table3[[#This Row],[Date]],Database!$A:$E,5)</f>
        <v>139.5</v>
      </c>
      <c r="D389" s="26">
        <f>(((Table3[[#This Row],[Core PCE]]-$B$496)/$B$496)*100)+100</f>
        <v>83.149531304827292</v>
      </c>
      <c r="E389" s="26">
        <f>(((Table3[[#This Row],[Core CPI]]-$C$496)/$C$496)*100)+100</f>
        <v>78.063794068270852</v>
      </c>
      <c r="F389" s="27">
        <v>5.6018168054504207E-2</v>
      </c>
      <c r="G389" s="27">
        <f>VLOOKUP(Table3[[#This Row],[Date]],'PCE Core'!A:D,4,)</f>
        <v>4.1503155118826976E-2</v>
      </c>
    </row>
    <row r="390" spans="1:7" x14ac:dyDescent="0.35">
      <c r="A390" s="60">
        <v>33270</v>
      </c>
      <c r="B390" s="28">
        <f>VLOOKUP(Table3[[#This Row],[Date]],'PCE Core'!$A:$E,2,)</f>
        <v>66.533000000000001</v>
      </c>
      <c r="C390" s="26">
        <f>VLOOKUP(Table3[[#This Row],[Date]],Database!$A:$E,5)</f>
        <v>140.19999999999999</v>
      </c>
      <c r="D390" s="26">
        <f>(((Table3[[#This Row],[Core PCE]]-$B$496)/$B$496)*100)+100</f>
        <v>83.378866108576858</v>
      </c>
      <c r="E390" s="26">
        <f>(((Table3[[#This Row],[Core CPI]]-$C$496)/$C$496)*100)+100</f>
        <v>78.455512031337435</v>
      </c>
      <c r="F390" s="27">
        <v>5.6518462697814617E-2</v>
      </c>
      <c r="G390" s="27">
        <f>VLOOKUP(Table3[[#This Row],[Date]],'PCE Core'!A:D,4,)</f>
        <v>3.9318295426143395E-2</v>
      </c>
    </row>
    <row r="391" spans="1:7" x14ac:dyDescent="0.35">
      <c r="A391" s="63">
        <v>33298</v>
      </c>
      <c r="B391" s="28">
        <f>VLOOKUP(Table3[[#This Row],[Date]],'PCE Core'!$A:$E,2,)</f>
        <v>66.671999999999997</v>
      </c>
      <c r="C391" s="28">
        <f>VLOOKUP(Table3[[#This Row],[Date]],Database!$A:$E,5)</f>
        <v>140.5</v>
      </c>
      <c r="D391" s="26">
        <f>(((Table3[[#This Row],[Core PCE]]-$B$496)/$B$496)*100)+100</f>
        <v>83.553060303774615</v>
      </c>
      <c r="E391" s="26">
        <f>(((Table3[[#This Row],[Core CPI]]-$C$496)/$C$496)*100)+100</f>
        <v>78.62339115836599</v>
      </c>
      <c r="F391" s="27">
        <v>5.2434456928838948E-2</v>
      </c>
      <c r="G391" s="27">
        <f>VLOOKUP(Table3[[#This Row],[Date]],'PCE Core'!A:D,4,)</f>
        <v>3.6518819084930799E-2</v>
      </c>
    </row>
    <row r="392" spans="1:7" x14ac:dyDescent="0.35">
      <c r="A392" s="60">
        <v>33329</v>
      </c>
      <c r="B392" s="28">
        <f>VLOOKUP(Table3[[#This Row],[Date]],'PCE Core'!$A:$E,2,)</f>
        <v>66.805000000000007</v>
      </c>
      <c r="C392" s="28">
        <f>VLOOKUP(Table3[[#This Row],[Date]],Database!$A:$E,5)</f>
        <v>140.9</v>
      </c>
      <c r="D392" s="26">
        <f>(((Table3[[#This Row],[Core PCE]]-$B$496)/$B$496)*100)+100</f>
        <v>83.719735325078958</v>
      </c>
      <c r="E392" s="26">
        <f>(((Table3[[#This Row],[Core CPI]]-$C$496)/$C$496)*100)+100</f>
        <v>78.847229994404032</v>
      </c>
      <c r="F392" s="27">
        <v>5.1492537313432868E-2</v>
      </c>
      <c r="G392" s="27">
        <f>VLOOKUP(Table3[[#This Row],[Date]],'PCE Core'!A:D,4,)</f>
        <v>3.5495621173370628E-2</v>
      </c>
    </row>
    <row r="393" spans="1:7" x14ac:dyDescent="0.35">
      <c r="A393" s="63">
        <v>33359</v>
      </c>
      <c r="B393" s="28">
        <f>VLOOKUP(Table3[[#This Row],[Date]],'PCE Core'!$A:$E,2,)</f>
        <v>67.072000000000003</v>
      </c>
      <c r="C393" s="26">
        <f>VLOOKUP(Table3[[#This Row],[Date]],Database!$A:$E,5)</f>
        <v>141.30000000000001</v>
      </c>
      <c r="D393" s="26">
        <f>(((Table3[[#This Row],[Core PCE]]-$B$496)/$B$496)*100)+100</f>
        <v>84.054338563336501</v>
      </c>
      <c r="E393" s="26">
        <f>(((Table3[[#This Row],[Core CPI]]-$C$496)/$C$496)*100)+100</f>
        <v>79.071068830442101</v>
      </c>
      <c r="F393" s="27">
        <v>5.1339285714285747E-2</v>
      </c>
      <c r="G393" s="27">
        <f>VLOOKUP(Table3[[#This Row],[Date]],'PCE Core'!A:D,4,)</f>
        <v>3.6469279268141912E-2</v>
      </c>
    </row>
    <row r="394" spans="1:7" x14ac:dyDescent="0.35">
      <c r="A394" s="60">
        <v>33390</v>
      </c>
      <c r="B394" s="28">
        <f>VLOOKUP(Table3[[#This Row],[Date]],'PCE Core'!$A:$E,2,)</f>
        <v>67.215999999999994</v>
      </c>
      <c r="C394" s="28">
        <f>VLOOKUP(Table3[[#This Row],[Date]],Database!$A:$E,5)</f>
        <v>141.80000000000001</v>
      </c>
      <c r="D394" s="26">
        <f>(((Table3[[#This Row],[Core PCE]]-$B$496)/$B$496)*100)+100</f>
        <v>84.234798736778771</v>
      </c>
      <c r="E394" s="26">
        <f>(((Table3[[#This Row],[Core CPI]]-$C$496)/$C$496)*100)+100</f>
        <v>79.350867375489656</v>
      </c>
      <c r="F394" s="27">
        <v>4.959289415247977E-2</v>
      </c>
      <c r="G394" s="27">
        <f>VLOOKUP(Table3[[#This Row],[Date]],'PCE Core'!A:D,4,)</f>
        <v>3.4681280113295264E-2</v>
      </c>
    </row>
    <row r="395" spans="1:7" x14ac:dyDescent="0.35">
      <c r="A395" s="63">
        <v>33420</v>
      </c>
      <c r="B395" s="28">
        <f>VLOOKUP(Table3[[#This Row],[Date]],'PCE Core'!$A:$E,2,)</f>
        <v>67.421000000000006</v>
      </c>
      <c r="C395" s="28">
        <f>VLOOKUP(Table3[[#This Row],[Date]],Database!$A:$E,5)</f>
        <v>142.30000000000001</v>
      </c>
      <c r="D395" s="26">
        <f>(((Table3[[#This Row],[Core PCE]]-$B$496)/$B$496)*100)+100</f>
        <v>84.491703844804249</v>
      </c>
      <c r="E395" s="26">
        <f>(((Table3[[#This Row],[Core CPI]]-$C$496)/$C$496)*100)+100</f>
        <v>79.630665920537226</v>
      </c>
      <c r="F395" s="27">
        <v>4.7864506627393222E-2</v>
      </c>
      <c r="G395" s="27">
        <f>VLOOKUP(Table3[[#This Row],[Date]],'PCE Core'!A:D,4,)</f>
        <v>3.5207591205011768E-2</v>
      </c>
    </row>
    <row r="396" spans="1:7" x14ac:dyDescent="0.35">
      <c r="A396" s="60">
        <v>33451</v>
      </c>
      <c r="B396" s="28">
        <f>VLOOKUP(Table3[[#This Row],[Date]],'PCE Core'!$A:$E,2,)</f>
        <v>67.605999999999995</v>
      </c>
      <c r="C396" s="26">
        <f>VLOOKUP(Table3[[#This Row],[Date]],Database!$A:$E,5)</f>
        <v>142.9</v>
      </c>
      <c r="D396" s="26">
        <f>(((Table3[[#This Row],[Core PCE]]-$B$496)/$B$496)*100)+100</f>
        <v>84.723545039851615</v>
      </c>
      <c r="E396" s="26">
        <f>(((Table3[[#This Row],[Core CPI]]-$C$496)/$C$496)*100)+100</f>
        <v>79.966424174594295</v>
      </c>
      <c r="F396" s="27">
        <v>4.6120058565153818E-2</v>
      </c>
      <c r="G396" s="27">
        <f>VLOOKUP(Table3[[#This Row],[Date]],'PCE Core'!A:D,4,)</f>
        <v>3.3762500382274664E-2</v>
      </c>
    </row>
    <row r="397" spans="1:7" x14ac:dyDescent="0.35">
      <c r="A397" s="63">
        <v>33482</v>
      </c>
      <c r="B397" s="28">
        <f>VLOOKUP(Table3[[#This Row],[Date]],'PCE Core'!$A:$E,2,)</f>
        <v>67.876999999999995</v>
      </c>
      <c r="C397" s="28">
        <f>VLOOKUP(Table3[[#This Row],[Date]],Database!$A:$E,5)</f>
        <v>143.4</v>
      </c>
      <c r="D397" s="26">
        <f>(((Table3[[#This Row],[Core PCE]]-$B$496)/$B$496)*100)+100</f>
        <v>85.063161060704786</v>
      </c>
      <c r="E397" s="26">
        <f>(((Table3[[#This Row],[Core CPI]]-$C$496)/$C$496)*100)+100</f>
        <v>80.246222719641864</v>
      </c>
      <c r="F397" s="27">
        <v>4.5951859956236407E-2</v>
      </c>
      <c r="G397" s="27">
        <f>VLOOKUP(Table3[[#This Row],[Date]],'PCE Core'!A:D,4,)</f>
        <v>3.4284669419598644E-2</v>
      </c>
    </row>
    <row r="398" spans="1:7" x14ac:dyDescent="0.35">
      <c r="A398" s="60">
        <v>33512</v>
      </c>
      <c r="B398" s="28">
        <f>VLOOKUP(Table3[[#This Row],[Date]],'PCE Core'!$A:$E,2,)</f>
        <v>68.025999999999996</v>
      </c>
      <c r="C398" s="28">
        <f>VLOOKUP(Table3[[#This Row],[Date]],Database!$A:$E,5)</f>
        <v>143.69999999999999</v>
      </c>
      <c r="D398" s="26">
        <f>(((Table3[[#This Row],[Core PCE]]-$B$496)/$B$496)*100)+100</f>
        <v>85.249887212391585</v>
      </c>
      <c r="E398" s="26">
        <f>(((Table3[[#This Row],[Core CPI]]-$C$496)/$C$496)*100)+100</f>
        <v>80.414101846670405</v>
      </c>
      <c r="F398" s="27">
        <v>4.433139534883717E-2</v>
      </c>
      <c r="G398" s="27">
        <f>VLOOKUP(Table3[[#This Row],[Date]],'PCE Core'!A:D,4,)</f>
        <v>3.3044798785117721E-2</v>
      </c>
    </row>
    <row r="399" spans="1:7" x14ac:dyDescent="0.35">
      <c r="A399" s="63">
        <v>33543</v>
      </c>
      <c r="B399" s="28">
        <f>VLOOKUP(Table3[[#This Row],[Date]],'PCE Core'!$A:$E,2,)</f>
        <v>68.153000000000006</v>
      </c>
      <c r="C399" s="26">
        <f>VLOOKUP(Table3[[#This Row],[Date]],Database!$A:$E,5)</f>
        <v>144.19999999999999</v>
      </c>
      <c r="D399" s="26">
        <f>(((Table3[[#This Row],[Core PCE]]-$B$496)/$B$496)*100)+100</f>
        <v>85.409043059802499</v>
      </c>
      <c r="E399" s="26">
        <f>(((Table3[[#This Row],[Core CPI]]-$C$496)/$C$496)*100)+100</f>
        <v>80.69390039171796</v>
      </c>
      <c r="F399" s="27">
        <v>4.4927536231883967E-2</v>
      </c>
      <c r="G399" s="27">
        <f>VLOOKUP(Table3[[#This Row],[Date]],'PCE Core'!A:D,4,)</f>
        <v>3.3733258505361886E-2</v>
      </c>
    </row>
    <row r="400" spans="1:7" x14ac:dyDescent="0.35">
      <c r="A400" s="60">
        <v>33573</v>
      </c>
      <c r="B400" s="28">
        <f>VLOOKUP(Table3[[#This Row],[Date]],'PCE Core'!$A:$E,2,)</f>
        <v>68.320999999999998</v>
      </c>
      <c r="C400" s="28">
        <f>VLOOKUP(Table3[[#This Row],[Date]],Database!$A:$E,5)</f>
        <v>144.69999999999999</v>
      </c>
      <c r="D400" s="26">
        <f>(((Table3[[#This Row],[Core PCE]]-$B$496)/$B$496)*100)+100</f>
        <v>85.619579928818482</v>
      </c>
      <c r="E400" s="26">
        <f>(((Table3[[#This Row],[Core CPI]]-$C$496)/$C$496)*100)+100</f>
        <v>80.97369893676553</v>
      </c>
      <c r="F400" s="27">
        <v>4.4011544011543967E-2</v>
      </c>
      <c r="G400" s="27">
        <f>VLOOKUP(Table3[[#This Row],[Date]],'PCE Core'!A:D,4,)</f>
        <v>3.4837400221141714E-2</v>
      </c>
    </row>
    <row r="401" spans="1:7" x14ac:dyDescent="0.35">
      <c r="A401" s="63">
        <v>33604</v>
      </c>
      <c r="B401" s="28">
        <f>VLOOKUP(Table3[[#This Row],[Date]],'PCE Core'!$A:$E,2,)</f>
        <v>68.507000000000005</v>
      </c>
      <c r="C401" s="28">
        <f>VLOOKUP(Table3[[#This Row],[Date]],Database!$A:$E,5)</f>
        <v>145.1</v>
      </c>
      <c r="D401" s="26">
        <f>(((Table3[[#This Row],[Core PCE]]-$B$496)/$B$496)*100)+100</f>
        <v>85.852674319514762</v>
      </c>
      <c r="E401" s="26">
        <f>(((Table3[[#This Row],[Core CPI]]-$C$496)/$C$496)*100)+100</f>
        <v>81.197537772803585</v>
      </c>
      <c r="F401" s="27">
        <v>4.0143369175627198E-2</v>
      </c>
      <c r="G401" s="27">
        <f>VLOOKUP(Table3[[#This Row],[Date]],'PCE Core'!A:D,4,)</f>
        <v>3.250941974378313E-2</v>
      </c>
    </row>
    <row r="402" spans="1:7" x14ac:dyDescent="0.35">
      <c r="A402" s="60">
        <v>33635</v>
      </c>
      <c r="B402" s="28">
        <f>VLOOKUP(Table3[[#This Row],[Date]],'PCE Core'!$A:$E,2,)</f>
        <v>68.692999999999998</v>
      </c>
      <c r="C402" s="26">
        <f>VLOOKUP(Table3[[#This Row],[Date]],Database!$A:$E,5)</f>
        <v>145.4</v>
      </c>
      <c r="D402" s="26">
        <f>(((Table3[[#This Row],[Core PCE]]-$B$496)/$B$496)*100)+100</f>
        <v>86.085768710211028</v>
      </c>
      <c r="E402" s="26">
        <f>(((Table3[[#This Row],[Core CPI]]-$C$496)/$C$496)*100)+100</f>
        <v>81.365416899832127</v>
      </c>
      <c r="F402" s="27">
        <v>3.7089871611983009E-2</v>
      </c>
      <c r="G402" s="27">
        <f>VLOOKUP(Table3[[#This Row],[Date]],'PCE Core'!A:D,4,)</f>
        <v>3.2465092510483469E-2</v>
      </c>
    </row>
    <row r="403" spans="1:7" x14ac:dyDescent="0.35">
      <c r="A403" s="63">
        <v>33664</v>
      </c>
      <c r="B403" s="28">
        <f>VLOOKUP(Table3[[#This Row],[Date]],'PCE Core'!$A:$E,2,)</f>
        <v>68.864999999999995</v>
      </c>
      <c r="C403" s="28">
        <f>VLOOKUP(Table3[[#This Row],[Date]],Database!$A:$E,5)</f>
        <v>145.9</v>
      </c>
      <c r="D403" s="26">
        <f>(((Table3[[#This Row],[Core PCE]]-$B$496)/$B$496)*100)+100</f>
        <v>86.301318361822638</v>
      </c>
      <c r="E403" s="26">
        <f>(((Table3[[#This Row],[Core CPI]]-$C$496)/$C$496)*100)+100</f>
        <v>81.645215444879696</v>
      </c>
      <c r="F403" s="27">
        <v>3.8434163701067663E-2</v>
      </c>
      <c r="G403" s="27">
        <f>VLOOKUP(Table3[[#This Row],[Date]],'PCE Core'!A:D,4,)</f>
        <v>3.2892368610511126E-2</v>
      </c>
    </row>
    <row r="404" spans="1:7" x14ac:dyDescent="0.35">
      <c r="A404" s="60">
        <v>33695</v>
      </c>
      <c r="B404" s="28">
        <f>VLOOKUP(Table3[[#This Row],[Date]],'PCE Core'!$A:$E,2,)</f>
        <v>69.090999999999994</v>
      </c>
      <c r="C404" s="28">
        <f>VLOOKUP(Table3[[#This Row],[Date]],Database!$A:$E,5)</f>
        <v>146.30000000000001</v>
      </c>
      <c r="D404" s="26">
        <f>(((Table3[[#This Row],[Core PCE]]-$B$496)/$B$496)*100)+100</f>
        <v>86.584540578475099</v>
      </c>
      <c r="E404" s="26">
        <f>(((Table3[[#This Row],[Core CPI]]-$C$496)/$C$496)*100)+100</f>
        <v>81.869054280917751</v>
      </c>
      <c r="F404" s="27">
        <v>3.8325053229240638E-2</v>
      </c>
      <c r="G404" s="27">
        <f>VLOOKUP(Table3[[#This Row],[Date]],'PCE Core'!A:D,4,)</f>
        <v>3.4218995584162665E-2</v>
      </c>
    </row>
    <row r="405" spans="1:7" x14ac:dyDescent="0.35">
      <c r="A405" s="63">
        <v>33725</v>
      </c>
      <c r="B405" s="28">
        <f>VLOOKUP(Table3[[#This Row],[Date]],'PCE Core'!$A:$E,2,)</f>
        <v>69.188000000000002</v>
      </c>
      <c r="C405" s="26">
        <f>VLOOKUP(Table3[[#This Row],[Date]],Database!$A:$E,5)</f>
        <v>146.80000000000001</v>
      </c>
      <c r="D405" s="26">
        <f>(((Table3[[#This Row],[Core PCE]]-$B$496)/$B$496)*100)+100</f>
        <v>86.70610055641886</v>
      </c>
      <c r="E405" s="26">
        <f>(((Table3[[#This Row],[Core CPI]]-$C$496)/$C$496)*100)+100</f>
        <v>82.148852825965321</v>
      </c>
      <c r="F405" s="27">
        <v>3.8924274593064398E-2</v>
      </c>
      <c r="G405" s="27">
        <f>VLOOKUP(Table3[[#This Row],[Date]],'PCE Core'!A:D,4,)</f>
        <v>3.1548187022900756E-2</v>
      </c>
    </row>
    <row r="406" spans="1:7" x14ac:dyDescent="0.35">
      <c r="A406" s="60">
        <v>33756</v>
      </c>
      <c r="B406" s="28">
        <f>VLOOKUP(Table3[[#This Row],[Date]],'PCE Core'!$A:$E,2,)</f>
        <v>69.242000000000004</v>
      </c>
      <c r="C406" s="28">
        <f>VLOOKUP(Table3[[#This Row],[Date]],Database!$A:$E,5)</f>
        <v>147.1</v>
      </c>
      <c r="D406" s="26">
        <f>(((Table3[[#This Row],[Core PCE]]-$B$496)/$B$496)*100)+100</f>
        <v>86.773773121459726</v>
      </c>
      <c r="E406" s="26">
        <f>(((Table3[[#This Row],[Core CPI]]-$C$496)/$C$496)*100)+100</f>
        <v>82.316731952993848</v>
      </c>
      <c r="F406" s="27">
        <v>3.7376586741889872E-2</v>
      </c>
      <c r="G406" s="27">
        <f>VLOOKUP(Table3[[#This Row],[Date]],'PCE Core'!A:D,4,)</f>
        <v>3.0141632944537172E-2</v>
      </c>
    </row>
    <row r="407" spans="1:7" x14ac:dyDescent="0.35">
      <c r="A407" s="63">
        <v>33786</v>
      </c>
      <c r="B407" s="28">
        <f>VLOOKUP(Table3[[#This Row],[Date]],'PCE Core'!$A:$E,2,)</f>
        <v>69.503</v>
      </c>
      <c r="C407" s="28">
        <f>VLOOKUP(Table3[[#This Row],[Date]],Database!$A:$E,5)</f>
        <v>147.6</v>
      </c>
      <c r="D407" s="26">
        <f>(((Table3[[#This Row],[Core PCE]]-$B$496)/$B$496)*100)+100</f>
        <v>87.100857185823841</v>
      </c>
      <c r="E407" s="26">
        <f>(((Table3[[#This Row],[Core CPI]]-$C$496)/$C$496)*100)+100</f>
        <v>82.596530498041417</v>
      </c>
      <c r="F407" s="27">
        <v>3.7245256500351251E-2</v>
      </c>
      <c r="G407" s="27">
        <f>VLOOKUP(Table3[[#This Row],[Date]],'PCE Core'!A:D,4,)</f>
        <v>3.0880586167514476E-2</v>
      </c>
    </row>
    <row r="408" spans="1:7" x14ac:dyDescent="0.35">
      <c r="A408" s="60">
        <v>33817</v>
      </c>
      <c r="B408" s="28">
        <f>VLOOKUP(Table3[[#This Row],[Date]],'PCE Core'!$A:$E,2,)</f>
        <v>69.566999999999993</v>
      </c>
      <c r="C408" s="26">
        <f>VLOOKUP(Table3[[#This Row],[Date]],Database!$A:$E,5)</f>
        <v>147.9</v>
      </c>
      <c r="D408" s="26">
        <f>(((Table3[[#This Row],[Core PCE]]-$B$496)/$B$496)*100)+100</f>
        <v>87.181061707353734</v>
      </c>
      <c r="E408" s="26">
        <f>(((Table3[[#This Row],[Core CPI]]-$C$496)/$C$496)*100)+100</f>
        <v>82.764409625069959</v>
      </c>
      <c r="F408" s="27">
        <v>3.498950314905528E-2</v>
      </c>
      <c r="G408" s="27">
        <f>VLOOKUP(Table3[[#This Row],[Date]],'PCE Core'!A:D,4,)</f>
        <v>2.9006301215868394E-2</v>
      </c>
    </row>
    <row r="409" spans="1:7" x14ac:dyDescent="0.35">
      <c r="A409" s="63">
        <v>33848</v>
      </c>
      <c r="B409" s="28">
        <f>VLOOKUP(Table3[[#This Row],[Date]],'PCE Core'!$A:$E,2,)</f>
        <v>69.680000000000007</v>
      </c>
      <c r="C409" s="28">
        <f>VLOOKUP(Table3[[#This Row],[Date]],Database!$A:$E,5)</f>
        <v>148.1</v>
      </c>
      <c r="D409" s="26">
        <f>(((Table3[[#This Row],[Core PCE]]-$B$496)/$B$496)*100)+100</f>
        <v>87.322672815679994</v>
      </c>
      <c r="E409" s="26">
        <f>(((Table3[[#This Row],[Core CPI]]-$C$496)/$C$496)*100)+100</f>
        <v>82.876329043088987</v>
      </c>
      <c r="F409" s="27">
        <v>3.2775453277545247E-2</v>
      </c>
      <c r="G409" s="27">
        <f>VLOOKUP(Table3[[#This Row],[Date]],'PCE Core'!A:D,4,)</f>
        <v>2.6562753215375039E-2</v>
      </c>
    </row>
    <row r="410" spans="1:7" x14ac:dyDescent="0.35">
      <c r="A410" s="60">
        <v>33878</v>
      </c>
      <c r="B410" s="28">
        <f>VLOOKUP(Table3[[#This Row],[Date]],'PCE Core'!$A:$E,2,)</f>
        <v>69.947999999999993</v>
      </c>
      <c r="C410" s="28">
        <f>VLOOKUP(Table3[[#This Row],[Date]],Database!$A:$E,5)</f>
        <v>148.80000000000001</v>
      </c>
      <c r="D410" s="26">
        <f>(((Table3[[#This Row],[Core PCE]]-$B$496)/$B$496)*100)+100</f>
        <v>87.658529249586422</v>
      </c>
      <c r="E410" s="26">
        <f>(((Table3[[#This Row],[Core CPI]]-$C$496)/$C$496)*100)+100</f>
        <v>83.268047006155584</v>
      </c>
      <c r="F410" s="27">
        <v>3.5490605427975108E-2</v>
      </c>
      <c r="G410" s="27">
        <f>VLOOKUP(Table3[[#This Row],[Date]],'PCE Core'!A:D,4,)</f>
        <v>2.8253902919471923E-2</v>
      </c>
    </row>
    <row r="411" spans="1:7" x14ac:dyDescent="0.35">
      <c r="A411" s="63">
        <v>33909</v>
      </c>
      <c r="B411" s="28">
        <f>VLOOKUP(Table3[[#This Row],[Date]],'PCE Core'!$A:$E,2,)</f>
        <v>70.100999999999999</v>
      </c>
      <c r="C411" s="26">
        <f>VLOOKUP(Table3[[#This Row],[Date]],Database!$A:$E,5)</f>
        <v>149.19999999999999</v>
      </c>
      <c r="D411" s="26">
        <f>(((Table3[[#This Row],[Core PCE]]-$B$496)/$B$496)*100)+100</f>
        <v>87.850268183868863</v>
      </c>
      <c r="E411" s="26">
        <f>(((Table3[[#This Row],[Core CPI]]-$C$496)/$C$496)*100)+100</f>
        <v>83.491885842193625</v>
      </c>
      <c r="F411" s="27">
        <v>3.4674063800277398E-2</v>
      </c>
      <c r="G411" s="27">
        <f>VLOOKUP(Table3[[#This Row],[Date]],'PCE Core'!A:D,4,)</f>
        <v>2.8582747641336306E-2</v>
      </c>
    </row>
    <row r="412" spans="1:7" x14ac:dyDescent="0.35">
      <c r="A412" s="60">
        <v>33939</v>
      </c>
      <c r="B412" s="28">
        <f>VLOOKUP(Table3[[#This Row],[Date]],'PCE Core'!$A:$E,2,)</f>
        <v>70.230999999999995</v>
      </c>
      <c r="C412" s="28">
        <f>VLOOKUP(Table3[[#This Row],[Date]],Database!$A:$E,5)</f>
        <v>149.6</v>
      </c>
      <c r="D412" s="26">
        <f>(((Table3[[#This Row],[Core PCE]]-$B$496)/$B$496)*100)+100</f>
        <v>88.013183618226464</v>
      </c>
      <c r="E412" s="26">
        <f>(((Table3[[#This Row],[Core CPI]]-$C$496)/$C$496)*100)+100</f>
        <v>83.71572467823168</v>
      </c>
      <c r="F412" s="27">
        <v>3.3863165169315868E-2</v>
      </c>
      <c r="G412" s="27">
        <f>VLOOKUP(Table3[[#This Row],[Date]],'PCE Core'!A:D,4,)</f>
        <v>2.7956265277147535E-2</v>
      </c>
    </row>
    <row r="413" spans="1:7" x14ac:dyDescent="0.35">
      <c r="A413" s="63">
        <v>33970</v>
      </c>
      <c r="B413" s="28">
        <f>VLOOKUP(Table3[[#This Row],[Date]],'PCE Core'!$A:$E,2,)</f>
        <v>70.435000000000002</v>
      </c>
      <c r="C413" s="28">
        <f>VLOOKUP(Table3[[#This Row],[Date]],Database!$A:$E,5)</f>
        <v>150.1</v>
      </c>
      <c r="D413" s="26">
        <f>(((Table3[[#This Row],[Core PCE]]-$B$496)/$B$496)*100)+100</f>
        <v>88.268835530603027</v>
      </c>
      <c r="E413" s="26">
        <f>(((Table3[[#This Row],[Core CPI]]-$C$496)/$C$496)*100)+100</f>
        <v>83.995523223279235</v>
      </c>
      <c r="F413" s="27">
        <v>3.445899379738112E-2</v>
      </c>
      <c r="G413" s="27">
        <f>VLOOKUP(Table3[[#This Row],[Date]],'PCE Core'!A:D,4,)</f>
        <v>2.8143109463266487E-2</v>
      </c>
    </row>
    <row r="414" spans="1:7" x14ac:dyDescent="0.35">
      <c r="A414" s="60">
        <v>34001</v>
      </c>
      <c r="B414" s="28">
        <f>VLOOKUP(Table3[[#This Row],[Date]],'PCE Core'!$A:$E,2,)</f>
        <v>70.569999999999993</v>
      </c>
      <c r="C414" s="26">
        <f>VLOOKUP(Table3[[#This Row],[Date]],Database!$A:$E,5)</f>
        <v>150.6</v>
      </c>
      <c r="D414" s="26">
        <f>(((Table3[[#This Row],[Core PCE]]-$B$496)/$B$496)*100)+100</f>
        <v>88.438016943205156</v>
      </c>
      <c r="E414" s="26">
        <f>(((Table3[[#This Row],[Core CPI]]-$C$496)/$C$496)*100)+100</f>
        <v>84.275321768326805</v>
      </c>
      <c r="F414" s="27">
        <v>3.5763411279229627E-2</v>
      </c>
      <c r="G414" s="27">
        <f>VLOOKUP(Table3[[#This Row],[Date]],'PCE Core'!A:D,4,)</f>
        <v>2.7324472653690993E-2</v>
      </c>
    </row>
    <row r="415" spans="1:7" x14ac:dyDescent="0.35">
      <c r="A415" s="63">
        <v>34029</v>
      </c>
      <c r="B415" s="28">
        <f>VLOOKUP(Table3[[#This Row],[Date]],'PCE Core'!$A:$E,2,)</f>
        <v>70.722999999999999</v>
      </c>
      <c r="C415" s="28">
        <f>VLOOKUP(Table3[[#This Row],[Date]],Database!$A:$E,5)</f>
        <v>150.80000000000001</v>
      </c>
      <c r="D415" s="26">
        <f>(((Table3[[#This Row],[Core PCE]]-$B$496)/$B$496)*100)+100</f>
        <v>88.629755877487582</v>
      </c>
      <c r="E415" s="26">
        <f>(((Table3[[#This Row],[Core CPI]]-$C$496)/$C$496)*100)+100</f>
        <v>84.387241186345847</v>
      </c>
      <c r="F415" s="27">
        <v>3.3584647018505873E-2</v>
      </c>
      <c r="G415" s="27">
        <f>VLOOKUP(Table3[[#This Row],[Date]],'PCE Core'!A:D,4,)</f>
        <v>2.6980323821970582E-2</v>
      </c>
    </row>
    <row r="416" spans="1:7" x14ac:dyDescent="0.35">
      <c r="A416" s="60">
        <v>34060</v>
      </c>
      <c r="B416" s="28">
        <f>VLOOKUP(Table3[[#This Row],[Date]],'PCE Core'!$A:$E,2,)</f>
        <v>70.929000000000002</v>
      </c>
      <c r="C416" s="28">
        <f>VLOOKUP(Table3[[#This Row],[Date]],Database!$A:$E,5)</f>
        <v>151.4</v>
      </c>
      <c r="D416" s="26">
        <f>(((Table3[[#This Row],[Core PCE]]-$B$496)/$B$496)*100)+100</f>
        <v>88.88791418116196</v>
      </c>
      <c r="E416" s="26">
        <f>(((Table3[[#This Row],[Core CPI]]-$C$496)/$C$496)*100)+100</f>
        <v>84.722999440402916</v>
      </c>
      <c r="F416" s="27">
        <v>3.4859876965140077E-2</v>
      </c>
      <c r="G416" s="27">
        <f>VLOOKUP(Table3[[#This Row],[Date]],'PCE Core'!A:D,4,)</f>
        <v>2.6602596575530942E-2</v>
      </c>
    </row>
    <row r="417" spans="1:7" x14ac:dyDescent="0.35">
      <c r="A417" s="63">
        <v>34090</v>
      </c>
      <c r="B417" s="28">
        <f>VLOOKUP(Table3[[#This Row],[Date]],'PCE Core'!$A:$E,2,)</f>
        <v>71.168999999999997</v>
      </c>
      <c r="C417" s="26">
        <f>VLOOKUP(Table3[[#This Row],[Date]],Database!$A:$E,5)</f>
        <v>151.80000000000001</v>
      </c>
      <c r="D417" s="26">
        <f>(((Table3[[#This Row],[Core PCE]]-$B$496)/$B$496)*100)+100</f>
        <v>89.188681136899078</v>
      </c>
      <c r="E417" s="26">
        <f>(((Table3[[#This Row],[Core CPI]]-$C$496)/$C$496)*100)+100</f>
        <v>84.946838276440971</v>
      </c>
      <c r="F417" s="27">
        <v>3.405994550408719E-2</v>
      </c>
      <c r="G417" s="27">
        <f>VLOOKUP(Table3[[#This Row],[Date]],'PCE Core'!A:D,4,)</f>
        <v>2.8632132739781387E-2</v>
      </c>
    </row>
    <row r="418" spans="1:7" x14ac:dyDescent="0.35">
      <c r="A418" s="60">
        <v>34121</v>
      </c>
      <c r="B418" s="28">
        <f>VLOOKUP(Table3[[#This Row],[Date]],'PCE Core'!$A:$E,2,)</f>
        <v>71.236999999999995</v>
      </c>
      <c r="C418" s="28">
        <f>VLOOKUP(Table3[[#This Row],[Date]],Database!$A:$E,5)</f>
        <v>152.1</v>
      </c>
      <c r="D418" s="26">
        <f>(((Table3[[#This Row],[Core PCE]]-$B$496)/$B$496)*100)+100</f>
        <v>89.273898441024599</v>
      </c>
      <c r="E418" s="26">
        <f>(((Table3[[#This Row],[Core CPI]]-$C$496)/$C$496)*100)+100</f>
        <v>85.114717403469498</v>
      </c>
      <c r="F418" s="27">
        <v>3.3990482664853841E-2</v>
      </c>
      <c r="G418" s="27">
        <f>VLOOKUP(Table3[[#This Row],[Date]],'PCE Core'!A:D,4,)</f>
        <v>2.8811992721180645E-2</v>
      </c>
    </row>
    <row r="419" spans="1:7" x14ac:dyDescent="0.35">
      <c r="A419" s="63">
        <v>34151</v>
      </c>
      <c r="B419" s="28">
        <f>VLOOKUP(Table3[[#This Row],[Date]],'PCE Core'!$A:$E,2,)</f>
        <v>71.385000000000005</v>
      </c>
      <c r="C419" s="28">
        <f>VLOOKUP(Table3[[#This Row],[Date]],Database!$A:$E,5)</f>
        <v>152.30000000000001</v>
      </c>
      <c r="D419" s="26">
        <f>(((Table3[[#This Row],[Core PCE]]-$B$496)/$B$496)*100)+100</f>
        <v>89.459371397062512</v>
      </c>
      <c r="E419" s="26">
        <f>(((Table3[[#This Row],[Core CPI]]-$C$496)/$C$496)*100)+100</f>
        <v>85.22663682148854</v>
      </c>
      <c r="F419" s="27">
        <v>3.18428184281844E-2</v>
      </c>
      <c r="G419" s="27">
        <f>VLOOKUP(Table3[[#This Row],[Date]],'PCE Core'!A:D,4,)</f>
        <v>2.7077967857502626E-2</v>
      </c>
    </row>
    <row r="420" spans="1:7" x14ac:dyDescent="0.35">
      <c r="A420" s="60">
        <v>34182</v>
      </c>
      <c r="B420" s="28">
        <f>VLOOKUP(Table3[[#This Row],[Date]],'PCE Core'!$A:$E,2,)</f>
        <v>71.518000000000001</v>
      </c>
      <c r="C420" s="26">
        <f>VLOOKUP(Table3[[#This Row],[Date]],Database!$A:$E,5)</f>
        <v>152.80000000000001</v>
      </c>
      <c r="D420" s="26">
        <f>(((Table3[[#This Row],[Core PCE]]-$B$496)/$B$496)*100)+100</f>
        <v>89.626046418366826</v>
      </c>
      <c r="E420" s="26">
        <f>(((Table3[[#This Row],[Core CPI]]-$C$496)/$C$496)*100)+100</f>
        <v>85.50643536653611</v>
      </c>
      <c r="F420" s="27">
        <v>3.3130493576741082E-2</v>
      </c>
      <c r="G420" s="27">
        <f>VLOOKUP(Table3[[#This Row],[Date]],'PCE Core'!A:D,4,)</f>
        <v>2.8044906349274912E-2</v>
      </c>
    </row>
    <row r="421" spans="1:7" x14ac:dyDescent="0.35">
      <c r="A421" s="63">
        <v>34213</v>
      </c>
      <c r="B421" s="28">
        <f>VLOOKUP(Table3[[#This Row],[Date]],'PCE Core'!$A:$E,2,)</f>
        <v>71.625</v>
      </c>
      <c r="C421" s="28">
        <f>VLOOKUP(Table3[[#This Row],[Date]],Database!$A:$E,5)</f>
        <v>152.9</v>
      </c>
      <c r="D421" s="26">
        <f>(((Table3[[#This Row],[Core PCE]]-$B$496)/$B$496)*100)+100</f>
        <v>89.760138352799629</v>
      </c>
      <c r="E421" s="26">
        <f>(((Table3[[#This Row],[Core CPI]]-$C$496)/$C$496)*100)+100</f>
        <v>85.562395075545624</v>
      </c>
      <c r="F421" s="27">
        <v>3.241053342336267E-2</v>
      </c>
      <c r="G421" s="27">
        <f>VLOOKUP(Table3[[#This Row],[Date]],'PCE Core'!A:D,4,)</f>
        <v>2.7913318025258222E-2</v>
      </c>
    </row>
    <row r="422" spans="1:7" x14ac:dyDescent="0.35">
      <c r="A422" s="60">
        <v>34243</v>
      </c>
      <c r="B422" s="28">
        <f>VLOOKUP(Table3[[#This Row],[Date]],'PCE Core'!$A:$E,2,)</f>
        <v>71.744</v>
      </c>
      <c r="C422" s="28">
        <f>VLOOKUP(Table3[[#This Row],[Date]],Database!$A:$E,5)</f>
        <v>153.4</v>
      </c>
      <c r="D422" s="26">
        <f>(((Table3[[#This Row],[Core PCE]]-$B$496)/$B$496)*100)+100</f>
        <v>89.909268635019288</v>
      </c>
      <c r="E422" s="26">
        <f>(((Table3[[#This Row],[Core CPI]]-$C$496)/$C$496)*100)+100</f>
        <v>85.842193620593179</v>
      </c>
      <c r="F422" s="27">
        <v>3.0913978494623611E-2</v>
      </c>
      <c r="G422" s="27">
        <f>VLOOKUP(Table3[[#This Row],[Date]],'PCE Core'!A:D,4,)</f>
        <v>2.5676216618059224E-2</v>
      </c>
    </row>
    <row r="423" spans="1:7" x14ac:dyDescent="0.35">
      <c r="A423" s="63">
        <v>34274</v>
      </c>
      <c r="B423" s="28">
        <f>VLOOKUP(Table3[[#This Row],[Date]],'PCE Core'!$A:$E,2,)</f>
        <v>71.927999999999997</v>
      </c>
      <c r="C423" s="26">
        <f>VLOOKUP(Table3[[#This Row],[Date]],Database!$A:$E,5)</f>
        <v>153.9</v>
      </c>
      <c r="D423" s="26">
        <f>(((Table3[[#This Row],[Core PCE]]-$B$496)/$B$496)*100)+100</f>
        <v>90.139856634417754</v>
      </c>
      <c r="E423" s="26">
        <f>(((Table3[[#This Row],[Core CPI]]-$C$496)/$C$496)*100)+100</f>
        <v>86.121992165640748</v>
      </c>
      <c r="F423" s="27">
        <v>3.1501340482573838E-2</v>
      </c>
      <c r="G423" s="27">
        <f>VLOOKUP(Table3[[#This Row],[Date]],'PCE Core'!A:D,4,)</f>
        <v>2.6062395686224135E-2</v>
      </c>
    </row>
    <row r="424" spans="1:7" x14ac:dyDescent="0.35">
      <c r="A424" s="60">
        <v>34304</v>
      </c>
      <c r="B424" s="28">
        <f>VLOOKUP(Table3[[#This Row],[Date]],'PCE Core'!$A:$E,2,)</f>
        <v>71.959999999999994</v>
      </c>
      <c r="C424" s="28">
        <f>VLOOKUP(Table3[[#This Row],[Date]],Database!$A:$E,5)</f>
        <v>154.30000000000001</v>
      </c>
      <c r="D424" s="26">
        <f>(((Table3[[#This Row],[Core PCE]]-$B$496)/$B$496)*100)+100</f>
        <v>90.179958895182693</v>
      </c>
      <c r="E424" s="26">
        <f>(((Table3[[#This Row],[Core CPI]]-$C$496)/$C$496)*100)+100</f>
        <v>86.345831001678803</v>
      </c>
      <c r="F424" s="27">
        <v>3.1417112299465359E-2</v>
      </c>
      <c r="G424" s="27">
        <f>VLOOKUP(Table3[[#This Row],[Date]],'PCE Core'!A:D,4,)</f>
        <v>2.461875809827568E-2</v>
      </c>
    </row>
    <row r="425" spans="1:7" x14ac:dyDescent="0.35">
      <c r="A425" s="63">
        <v>34335</v>
      </c>
      <c r="B425" s="28">
        <f>VLOOKUP(Table3[[#This Row],[Date]],'PCE Core'!$A:$E,2,)</f>
        <v>72.018000000000001</v>
      </c>
      <c r="C425" s="28">
        <f>VLOOKUP(Table3[[#This Row],[Date]],Database!$A:$E,5)</f>
        <v>154.5</v>
      </c>
      <c r="D425" s="26">
        <f>(((Table3[[#This Row],[Core PCE]]-$B$496)/$B$496)*100)+100</f>
        <v>90.252644242819187</v>
      </c>
      <c r="E425" s="26">
        <f>(((Table3[[#This Row],[Core CPI]]-$C$496)/$C$496)*100)+100</f>
        <v>86.457750419697817</v>
      </c>
      <c r="F425" s="27">
        <v>2.9313790806129291E-2</v>
      </c>
      <c r="G425" s="27">
        <f>VLOOKUP(Table3[[#This Row],[Date]],'PCE Core'!A:D,4,)</f>
        <v>2.2474621991907411E-2</v>
      </c>
    </row>
    <row r="426" spans="1:7" x14ac:dyDescent="0.35">
      <c r="A426" s="60">
        <v>34366</v>
      </c>
      <c r="B426" s="28">
        <f>VLOOKUP(Table3[[#This Row],[Date]],'PCE Core'!$A:$E,2,)</f>
        <v>72.173000000000002</v>
      </c>
      <c r="C426" s="26">
        <f>VLOOKUP(Table3[[#This Row],[Date]],Database!$A:$E,5)</f>
        <v>154.80000000000001</v>
      </c>
      <c r="D426" s="26">
        <f>(((Table3[[#This Row],[Core PCE]]-$B$496)/$B$496)*100)+100</f>
        <v>90.446889568399413</v>
      </c>
      <c r="E426" s="26">
        <f>(((Table3[[#This Row],[Core CPI]]-$C$496)/$C$496)*100)+100</f>
        <v>86.625629546726373</v>
      </c>
      <c r="F426" s="27">
        <v>2.788844621513956E-2</v>
      </c>
      <c r="G426" s="27">
        <f>VLOOKUP(Table3[[#This Row],[Date]],'PCE Core'!A:D,4,)</f>
        <v>2.2715034717302095E-2</v>
      </c>
    </row>
    <row r="427" spans="1:7" x14ac:dyDescent="0.35">
      <c r="A427" s="63">
        <v>34394</v>
      </c>
      <c r="B427" s="28">
        <f>VLOOKUP(Table3[[#This Row],[Date]],'PCE Core'!$A:$E,2,)</f>
        <v>72.42</v>
      </c>
      <c r="C427" s="28">
        <f>VLOOKUP(Table3[[#This Row],[Date]],Database!$A:$E,5)</f>
        <v>155.30000000000001</v>
      </c>
      <c r="D427" s="26">
        <f>(((Table3[[#This Row],[Core PCE]]-$B$496)/$B$496)*100)+100</f>
        <v>90.756428893678873</v>
      </c>
      <c r="E427" s="26">
        <f>(((Table3[[#This Row],[Core CPI]]-$C$496)/$C$496)*100)+100</f>
        <v>86.905428091773928</v>
      </c>
      <c r="F427" s="27">
        <v>2.984084880636605E-2</v>
      </c>
      <c r="G427" s="27">
        <f>VLOOKUP(Table3[[#This Row],[Date]],'PCE Core'!A:D,4,)</f>
        <v>2.3995022835569799E-2</v>
      </c>
    </row>
    <row r="428" spans="1:7" x14ac:dyDescent="0.35">
      <c r="A428" s="60">
        <v>34425</v>
      </c>
      <c r="B428" s="28">
        <f>VLOOKUP(Table3[[#This Row],[Date]],'PCE Core'!$A:$E,2,)</f>
        <v>72.528000000000006</v>
      </c>
      <c r="C428" s="28">
        <f>VLOOKUP(Table3[[#This Row],[Date]],Database!$A:$E,5)</f>
        <v>155.5</v>
      </c>
      <c r="D428" s="26">
        <f>(((Table3[[#This Row],[Core PCE]]-$B$496)/$B$496)*100)+100</f>
        <v>90.89177402376059</v>
      </c>
      <c r="E428" s="26">
        <f>(((Table3[[#This Row],[Core CPI]]-$C$496)/$C$496)*100)+100</f>
        <v>87.017347509792955</v>
      </c>
      <c r="F428" s="27">
        <v>2.708058124174369E-2</v>
      </c>
      <c r="G428" s="27">
        <f>VLOOKUP(Table3[[#This Row],[Date]],'PCE Core'!A:D,4,)</f>
        <v>2.2543670430994426E-2</v>
      </c>
    </row>
    <row r="429" spans="1:7" x14ac:dyDescent="0.35">
      <c r="A429" s="63">
        <v>34455</v>
      </c>
      <c r="B429" s="28">
        <f>VLOOKUP(Table3[[#This Row],[Date]],'PCE Core'!$A:$E,2,)</f>
        <v>72.69</v>
      </c>
      <c r="C429" s="26">
        <f>VLOOKUP(Table3[[#This Row],[Date]],Database!$A:$E,5)</f>
        <v>155.9</v>
      </c>
      <c r="D429" s="26">
        <f>(((Table3[[#This Row],[Core PCE]]-$B$496)/$B$496)*100)+100</f>
        <v>91.094791718883144</v>
      </c>
      <c r="E429" s="26">
        <f>(((Table3[[#This Row],[Core CPI]]-$C$496)/$C$496)*100)+100</f>
        <v>87.241186345831011</v>
      </c>
      <c r="F429" s="27">
        <v>2.7009222661396531E-2</v>
      </c>
      <c r="G429" s="27">
        <f>VLOOKUP(Table3[[#This Row],[Date]],'PCE Core'!A:D,4,)</f>
        <v>2.1371664629262752E-2</v>
      </c>
    </row>
    <row r="430" spans="1:7" x14ac:dyDescent="0.35">
      <c r="A430" s="60">
        <v>34486</v>
      </c>
      <c r="B430" s="28">
        <f>VLOOKUP(Table3[[#This Row],[Date]],'PCE Core'!$A:$E,2,)</f>
        <v>72.850999999999999</v>
      </c>
      <c r="C430" s="28">
        <f>VLOOKUP(Table3[[#This Row],[Date]],Database!$A:$E,5)</f>
        <v>156.4</v>
      </c>
      <c r="D430" s="26">
        <f>(((Table3[[#This Row],[Core PCE]]-$B$496)/$B$496)*100)+100</f>
        <v>91.296556218356798</v>
      </c>
      <c r="E430" s="26">
        <f>(((Table3[[#This Row],[Core CPI]]-$C$496)/$C$496)*100)+100</f>
        <v>87.52098489087858</v>
      </c>
      <c r="F430" s="27">
        <v>2.8270874424720659E-2</v>
      </c>
      <c r="G430" s="27">
        <f>VLOOKUP(Table3[[#This Row],[Date]],'PCE Core'!A:D,4,)</f>
        <v>2.2656765444923347E-2</v>
      </c>
    </row>
    <row r="431" spans="1:7" x14ac:dyDescent="0.35">
      <c r="A431" s="63">
        <v>34516</v>
      </c>
      <c r="B431" s="28">
        <f>VLOOKUP(Table3[[#This Row],[Date]],'PCE Core'!$A:$E,2,)</f>
        <v>73.004000000000005</v>
      </c>
      <c r="C431" s="28">
        <f>VLOOKUP(Table3[[#This Row],[Date]],Database!$A:$E,5)</f>
        <v>156.69999999999999</v>
      </c>
      <c r="D431" s="26">
        <f>(((Table3[[#This Row],[Core PCE]]-$B$496)/$B$496)*100)+100</f>
        <v>91.488295152639225</v>
      </c>
      <c r="E431" s="26">
        <f>(((Table3[[#This Row],[Core CPI]]-$C$496)/$C$496)*100)+100</f>
        <v>87.688864017907107</v>
      </c>
      <c r="F431" s="27">
        <v>2.8890347997373451E-2</v>
      </c>
      <c r="G431" s="27">
        <f>VLOOKUP(Table3[[#This Row],[Date]],'PCE Core'!A:D,4,)</f>
        <v>2.2679834699166488E-2</v>
      </c>
    </row>
    <row r="432" spans="1:7" x14ac:dyDescent="0.35">
      <c r="A432" s="60">
        <v>34547</v>
      </c>
      <c r="B432" s="28">
        <f>VLOOKUP(Table3[[#This Row],[Date]],'PCE Core'!$A:$E,2,)</f>
        <v>73.085999999999999</v>
      </c>
      <c r="C432" s="26">
        <f>VLOOKUP(Table3[[#This Row],[Date]],Database!$A:$E,5)</f>
        <v>157.1</v>
      </c>
      <c r="D432" s="26">
        <f>(((Table3[[#This Row],[Core PCE]]-$B$496)/$B$496)*100)+100</f>
        <v>91.591057195849402</v>
      </c>
      <c r="E432" s="26">
        <f>(((Table3[[#This Row],[Core CPI]]-$C$496)/$C$496)*100)+100</f>
        <v>87.912702853945163</v>
      </c>
      <c r="F432" s="27">
        <v>2.814136125654439E-2</v>
      </c>
      <c r="G432" s="27">
        <f>VLOOKUP(Table3[[#This Row],[Date]],'PCE Core'!A:D,4,)</f>
        <v>2.1924550462820519E-2</v>
      </c>
    </row>
    <row r="433" spans="1:7" x14ac:dyDescent="0.35">
      <c r="A433" s="63">
        <v>34578</v>
      </c>
      <c r="B433" s="28">
        <f>VLOOKUP(Table3[[#This Row],[Date]],'PCE Core'!$A:$E,2,)</f>
        <v>73.197000000000003</v>
      </c>
      <c r="C433" s="28">
        <f>VLOOKUP(Table3[[#This Row],[Date]],Database!$A:$E,5)</f>
        <v>157.5</v>
      </c>
      <c r="D433" s="26">
        <f>(((Table3[[#This Row],[Core PCE]]-$B$496)/$B$496)*100)+100</f>
        <v>91.730161912877833</v>
      </c>
      <c r="E433" s="26">
        <f>(((Table3[[#This Row],[Core CPI]]-$C$496)/$C$496)*100)+100</f>
        <v>88.136541689983218</v>
      </c>
      <c r="F433" s="27">
        <v>3.0085022890778249E-2</v>
      </c>
      <c r="G433" s="27">
        <f>VLOOKUP(Table3[[#This Row],[Date]],'PCE Core'!A:D,4,)</f>
        <v>2.1947643979057629E-2</v>
      </c>
    </row>
    <row r="434" spans="1:7" x14ac:dyDescent="0.35">
      <c r="A434" s="60">
        <v>34608</v>
      </c>
      <c r="B434" s="28">
        <f>VLOOKUP(Table3[[#This Row],[Date]],'PCE Core'!$A:$E,2,)</f>
        <v>73.369</v>
      </c>
      <c r="C434" s="28">
        <f>VLOOKUP(Table3[[#This Row],[Date]],Database!$A:$E,5)</f>
        <v>157.80000000000001</v>
      </c>
      <c r="D434" s="26">
        <f>(((Table3[[#This Row],[Core PCE]]-$B$496)/$B$496)*100)+100</f>
        <v>91.945711564489443</v>
      </c>
      <c r="E434" s="26">
        <f>(((Table3[[#This Row],[Core CPI]]-$C$496)/$C$496)*100)+100</f>
        <v>88.30442081701176</v>
      </c>
      <c r="F434" s="27">
        <v>2.868318122555414E-2</v>
      </c>
      <c r="G434" s="27">
        <f>VLOOKUP(Table3[[#This Row],[Date]],'PCE Core'!A:D,4,)</f>
        <v>2.2649977698483498E-2</v>
      </c>
    </row>
    <row r="435" spans="1:7" x14ac:dyDescent="0.35">
      <c r="A435" s="63">
        <v>34639</v>
      </c>
      <c r="B435" s="28">
        <f>VLOOKUP(Table3[[#This Row],[Date]],'PCE Core'!$A:$E,2,)</f>
        <v>73.503</v>
      </c>
      <c r="C435" s="26">
        <f>VLOOKUP(Table3[[#This Row],[Date]],Database!$A:$E,5)</f>
        <v>158.19999999999999</v>
      </c>
      <c r="D435" s="26">
        <f>(((Table3[[#This Row],[Core PCE]]-$B$496)/$B$496)*100)+100</f>
        <v>92.113639781442672</v>
      </c>
      <c r="E435" s="26">
        <f>(((Table3[[#This Row],[Core CPI]]-$C$496)/$C$496)*100)+100</f>
        <v>88.528259653049801</v>
      </c>
      <c r="F435" s="27">
        <v>2.794022092267695E-2</v>
      </c>
      <c r="G435" s="27">
        <f>VLOOKUP(Table3[[#This Row],[Date]],'PCE Core'!A:D,4,)</f>
        <v>2.1896896896896938E-2</v>
      </c>
    </row>
    <row r="436" spans="1:7" x14ac:dyDescent="0.35">
      <c r="A436" s="60">
        <v>34669</v>
      </c>
      <c r="B436" s="28">
        <f>VLOOKUP(Table3[[#This Row],[Date]],'PCE Core'!$A:$E,2,)</f>
        <v>73.528000000000006</v>
      </c>
      <c r="C436" s="28">
        <f>VLOOKUP(Table3[[#This Row],[Date]],Database!$A:$E,5)</f>
        <v>158.30000000000001</v>
      </c>
      <c r="D436" s="26">
        <f>(((Table3[[#This Row],[Core PCE]]-$B$496)/$B$496)*100)+100</f>
        <v>92.144969672665297</v>
      </c>
      <c r="E436" s="26">
        <f>(((Table3[[#This Row],[Core CPI]]-$C$496)/$C$496)*100)+100</f>
        <v>88.584219362059329</v>
      </c>
      <c r="F436" s="27">
        <v>2.592352559948153E-2</v>
      </c>
      <c r="G436" s="27">
        <f>VLOOKUP(Table3[[#This Row],[Date]],'PCE Core'!A:D,4,)</f>
        <v>2.1789883268482659E-2</v>
      </c>
    </row>
    <row r="437" spans="1:7" x14ac:dyDescent="0.35">
      <c r="A437" s="63">
        <v>34700</v>
      </c>
      <c r="B437" s="28">
        <f>VLOOKUP(Table3[[#This Row],[Date]],'PCE Core'!$A:$E,2,)</f>
        <v>73.710999999999999</v>
      </c>
      <c r="C437" s="28">
        <f>VLOOKUP(Table3[[#This Row],[Date]],Database!$A:$E,5)</f>
        <v>159</v>
      </c>
      <c r="D437" s="26">
        <f>(((Table3[[#This Row],[Core PCE]]-$B$496)/$B$496)*100)+100</f>
        <v>92.374304476414849</v>
      </c>
      <c r="E437" s="26">
        <f>(((Table3[[#This Row],[Core CPI]]-$C$496)/$C$496)*100)+100</f>
        <v>88.975937325125912</v>
      </c>
      <c r="F437" s="27">
        <v>2.9126213592233011E-2</v>
      </c>
      <c r="G437" s="27">
        <f>VLOOKUP(Table3[[#This Row],[Date]],'PCE Core'!A:D,4,)</f>
        <v>2.350801188591738E-2</v>
      </c>
    </row>
    <row r="438" spans="1:7" x14ac:dyDescent="0.35">
      <c r="A438" s="60">
        <v>34731</v>
      </c>
      <c r="B438" s="28">
        <f>VLOOKUP(Table3[[#This Row],[Date]],'PCE Core'!$A:$E,2,)</f>
        <v>73.831000000000003</v>
      </c>
      <c r="C438" s="26">
        <f>VLOOKUP(Table3[[#This Row],[Date]],Database!$A:$E,5)</f>
        <v>159.4</v>
      </c>
      <c r="D438" s="26">
        <f>(((Table3[[#This Row],[Core PCE]]-$B$496)/$B$496)*100)+100</f>
        <v>92.524687954283422</v>
      </c>
      <c r="E438" s="26">
        <f>(((Table3[[#This Row],[Core CPI]]-$C$496)/$C$496)*100)+100</f>
        <v>89.199776161163967</v>
      </c>
      <c r="F438" s="27">
        <v>2.9715762273901769E-2</v>
      </c>
      <c r="G438" s="27">
        <f>VLOOKUP(Table3[[#This Row],[Date]],'PCE Core'!A:D,4,)</f>
        <v>2.2972579773599563E-2</v>
      </c>
    </row>
    <row r="439" spans="1:7" x14ac:dyDescent="0.35">
      <c r="A439" s="63">
        <v>34759</v>
      </c>
      <c r="B439" s="28">
        <f>VLOOKUP(Table3[[#This Row],[Date]],'PCE Core'!$A:$E,2,)</f>
        <v>74.013000000000005</v>
      </c>
      <c r="C439" s="28">
        <f>VLOOKUP(Table3[[#This Row],[Date]],Database!$A:$E,5)</f>
        <v>159.9</v>
      </c>
      <c r="D439" s="26">
        <f>(((Table3[[#This Row],[Core PCE]]-$B$496)/$B$496)*100)+100</f>
        <v>92.752769562384074</v>
      </c>
      <c r="E439" s="26">
        <f>(((Table3[[#This Row],[Core CPI]]-$C$496)/$C$496)*100)+100</f>
        <v>89.479574706211537</v>
      </c>
      <c r="F439" s="27">
        <v>2.9620090148100409E-2</v>
      </c>
      <c r="G439" s="27">
        <f>VLOOKUP(Table3[[#This Row],[Date]],'PCE Core'!A:D,4,)</f>
        <v>2.1996685998343049E-2</v>
      </c>
    </row>
    <row r="440" spans="1:7" x14ac:dyDescent="0.35">
      <c r="A440" s="60">
        <v>34790</v>
      </c>
      <c r="B440" s="28">
        <f>VLOOKUP(Table3[[#This Row],[Date]],'PCE Core'!$A:$E,2,)</f>
        <v>74.183999999999997</v>
      </c>
      <c r="C440" s="28">
        <f>VLOOKUP(Table3[[#This Row],[Date]],Database!$A:$E,5)</f>
        <v>160.4</v>
      </c>
      <c r="D440" s="26">
        <f>(((Table3[[#This Row],[Core PCE]]-$B$496)/$B$496)*100)+100</f>
        <v>92.96706601834677</v>
      </c>
      <c r="E440" s="26">
        <f>(((Table3[[#This Row],[Core CPI]]-$C$496)/$C$496)*100)+100</f>
        <v>89.759373251259106</v>
      </c>
      <c r="F440" s="27">
        <v>3.1511254019292639E-2</v>
      </c>
      <c r="G440" s="27">
        <f>VLOOKUP(Table3[[#This Row],[Date]],'PCE Core'!A:D,4,)</f>
        <v>2.2832561217736483E-2</v>
      </c>
    </row>
    <row r="441" spans="1:7" x14ac:dyDescent="0.35">
      <c r="A441" s="63">
        <v>34820</v>
      </c>
      <c r="B441" s="28">
        <f>VLOOKUP(Table3[[#This Row],[Date]],'PCE Core'!$A:$E,2,)</f>
        <v>74.311000000000007</v>
      </c>
      <c r="C441" s="26">
        <f>VLOOKUP(Table3[[#This Row],[Date]],Database!$A:$E,5)</f>
        <v>160.69999999999999</v>
      </c>
      <c r="D441" s="26">
        <f>(((Table3[[#This Row],[Core PCE]]-$B$496)/$B$496)*100)+100</f>
        <v>93.126221865757685</v>
      </c>
      <c r="E441" s="26">
        <f>(((Table3[[#This Row],[Core CPI]]-$C$496)/$C$496)*100)+100</f>
        <v>89.927252378287633</v>
      </c>
      <c r="F441" s="27">
        <v>3.078896728672215E-2</v>
      </c>
      <c r="G441" s="27">
        <f>VLOOKUP(Table3[[#This Row],[Date]],'PCE Core'!A:D,4,)</f>
        <v>2.2300178841656478E-2</v>
      </c>
    </row>
    <row r="442" spans="1:7" x14ac:dyDescent="0.35">
      <c r="A442" s="60">
        <v>34851</v>
      </c>
      <c r="B442" s="28">
        <f>VLOOKUP(Table3[[#This Row],[Date]],'PCE Core'!$A:$E,2,)</f>
        <v>74.375</v>
      </c>
      <c r="C442" s="28">
        <f>VLOOKUP(Table3[[#This Row],[Date]],Database!$A:$E,5)</f>
        <v>161.1</v>
      </c>
      <c r="D442" s="26">
        <f>(((Table3[[#This Row],[Core PCE]]-$B$496)/$B$496)*100)+100</f>
        <v>93.206426387287578</v>
      </c>
      <c r="E442" s="26">
        <f>(((Table3[[#This Row],[Core CPI]]-$C$496)/$C$496)*100)+100</f>
        <v>90.151091214325689</v>
      </c>
      <c r="F442" s="27">
        <v>3.0051150895140589E-2</v>
      </c>
      <c r="G442" s="27">
        <f>VLOOKUP(Table3[[#This Row],[Date]],'PCE Core'!A:D,4,)</f>
        <v>2.0919410852287559E-2</v>
      </c>
    </row>
    <row r="443" spans="1:7" x14ac:dyDescent="0.35">
      <c r="A443" s="63">
        <v>34881</v>
      </c>
      <c r="B443" s="28">
        <f>VLOOKUP(Table3[[#This Row],[Date]],'PCE Core'!$A:$E,2,)</f>
        <v>74.492999999999995</v>
      </c>
      <c r="C443" s="28">
        <f>VLOOKUP(Table3[[#This Row],[Date]],Database!$A:$E,5)</f>
        <v>161.4</v>
      </c>
      <c r="D443" s="26">
        <f>(((Table3[[#This Row],[Core PCE]]-$B$496)/$B$496)*100)+100</f>
        <v>93.354303473858323</v>
      </c>
      <c r="E443" s="26">
        <f>(((Table3[[#This Row],[Core CPI]]-$C$496)/$C$496)*100)+100</f>
        <v>90.31897034135423</v>
      </c>
      <c r="F443" s="27">
        <v>2.9993618379068391E-2</v>
      </c>
      <c r="G443" s="27">
        <f>VLOOKUP(Table3[[#This Row],[Date]],'PCE Core'!A:D,4,)</f>
        <v>2.0396142677113448E-2</v>
      </c>
    </row>
    <row r="444" spans="1:7" x14ac:dyDescent="0.35">
      <c r="A444" s="60">
        <v>34912</v>
      </c>
      <c r="B444" s="28">
        <f>VLOOKUP(Table3[[#This Row],[Date]],'PCE Core'!$A:$E,2,)</f>
        <v>74.671000000000006</v>
      </c>
      <c r="C444" s="26">
        <f>VLOOKUP(Table3[[#This Row],[Date]],Database!$A:$E,5)</f>
        <v>161.80000000000001</v>
      </c>
      <c r="D444" s="26">
        <f>(((Table3[[#This Row],[Core PCE]]-$B$496)/$B$496)*100)+100</f>
        <v>93.577372299363375</v>
      </c>
      <c r="E444" s="26">
        <f>(((Table3[[#This Row],[Core CPI]]-$C$496)/$C$496)*100)+100</f>
        <v>90.542809177392286</v>
      </c>
      <c r="F444" s="27">
        <v>2.991725015913442E-2</v>
      </c>
      <c r="G444" s="27">
        <f>VLOOKUP(Table3[[#This Row],[Date]],'PCE Core'!A:D,4,)</f>
        <v>2.1686779957857977E-2</v>
      </c>
    </row>
    <row r="445" spans="1:7" x14ac:dyDescent="0.35">
      <c r="A445" s="63">
        <v>34943</v>
      </c>
      <c r="B445" s="28">
        <f>VLOOKUP(Table3[[#This Row],[Date]],'PCE Core'!$A:$E,2,)</f>
        <v>74.77</v>
      </c>
      <c r="C445" s="28">
        <f>VLOOKUP(Table3[[#This Row],[Date]],Database!$A:$E,5)</f>
        <v>162.19999999999999</v>
      </c>
      <c r="D445" s="26">
        <f>(((Table3[[#This Row],[Core PCE]]-$B$496)/$B$496)*100)+100</f>
        <v>93.701438668604936</v>
      </c>
      <c r="E445" s="26">
        <f>(((Table3[[#This Row],[Core CPI]]-$C$496)/$C$496)*100)+100</f>
        <v>90.766648013430327</v>
      </c>
      <c r="F445" s="27">
        <v>2.9841269841269769E-2</v>
      </c>
      <c r="G445" s="27">
        <f>VLOOKUP(Table3[[#This Row],[Date]],'PCE Core'!A:D,4,)</f>
        <v>2.1489951773979714E-2</v>
      </c>
    </row>
    <row r="446" spans="1:7" x14ac:dyDescent="0.35">
      <c r="A446" s="60">
        <v>34973</v>
      </c>
      <c r="B446" s="28">
        <f>VLOOKUP(Table3[[#This Row],[Date]],'PCE Core'!$A:$E,2,)</f>
        <v>74.951999999999998</v>
      </c>
      <c r="C446" s="28">
        <f>VLOOKUP(Table3[[#This Row],[Date]],Database!$A:$E,5)</f>
        <v>162.69999999999999</v>
      </c>
      <c r="D446" s="26">
        <f>(((Table3[[#This Row],[Core PCE]]-$B$496)/$B$496)*100)+100</f>
        <v>93.929520276705588</v>
      </c>
      <c r="E446" s="26">
        <f>(((Table3[[#This Row],[Core CPI]]-$C$496)/$C$496)*100)+100</f>
        <v>91.046446558477896</v>
      </c>
      <c r="F446" s="27">
        <v>3.1051964512040411E-2</v>
      </c>
      <c r="G446" s="27">
        <f>VLOOKUP(Table3[[#This Row],[Date]],'PCE Core'!A:D,4,)</f>
        <v>2.1575869917812678E-2</v>
      </c>
    </row>
    <row r="447" spans="1:7" x14ac:dyDescent="0.35">
      <c r="A447" s="63">
        <v>35004</v>
      </c>
      <c r="B447" s="28">
        <f>VLOOKUP(Table3[[#This Row],[Date]],'PCE Core'!$A:$E,2,)</f>
        <v>75</v>
      </c>
      <c r="C447" s="26">
        <f>VLOOKUP(Table3[[#This Row],[Date]],Database!$A:$E,5)</f>
        <v>163</v>
      </c>
      <c r="D447" s="26">
        <f>(((Table3[[#This Row],[Core PCE]]-$B$496)/$B$496)*100)+100</f>
        <v>93.989673667853012</v>
      </c>
      <c r="E447" s="26">
        <f>(((Table3[[#This Row],[Core CPI]]-$C$496)/$C$496)*100)+100</f>
        <v>91.214325685506438</v>
      </c>
      <c r="F447" s="27">
        <v>3.0341340075853429E-2</v>
      </c>
      <c r="G447" s="27">
        <f>VLOOKUP(Table3[[#This Row],[Date]],'PCE Core'!A:D,4,)</f>
        <v>2.0366515652422347E-2</v>
      </c>
    </row>
    <row r="448" spans="1:7" x14ac:dyDescent="0.35">
      <c r="A448" s="60">
        <v>35034</v>
      </c>
      <c r="B448" s="28">
        <f>VLOOKUP(Table3[[#This Row],[Date]],'PCE Core'!$A:$E,2,)</f>
        <v>75.105000000000004</v>
      </c>
      <c r="C448" s="28">
        <f>VLOOKUP(Table3[[#This Row],[Date]],Database!$A:$E,5)</f>
        <v>163.1</v>
      </c>
      <c r="D448" s="26">
        <f>(((Table3[[#This Row],[Core PCE]]-$B$496)/$B$496)*100)+100</f>
        <v>94.121259210988015</v>
      </c>
      <c r="E448" s="26">
        <f>(((Table3[[#This Row],[Core CPI]]-$C$496)/$C$496)*100)+100</f>
        <v>91.270285394515952</v>
      </c>
      <c r="F448" s="27">
        <v>3.0322173089071269E-2</v>
      </c>
      <c r="G448" s="27">
        <f>VLOOKUP(Table3[[#This Row],[Date]],'PCE Core'!A:D,4,)</f>
        <v>2.1447611794146421E-2</v>
      </c>
    </row>
    <row r="449" spans="1:7" x14ac:dyDescent="0.35">
      <c r="A449" s="63">
        <v>35065</v>
      </c>
      <c r="B449" s="28">
        <f>VLOOKUP(Table3[[#This Row],[Date]],'PCE Core'!$A:$E,2,)</f>
        <v>75.19</v>
      </c>
      <c r="C449" s="28">
        <f>VLOOKUP(Table3[[#This Row],[Date]],Database!$A:$E,5)</f>
        <v>163.69999999999999</v>
      </c>
      <c r="D449" s="26">
        <f>(((Table3[[#This Row],[Core PCE]]-$B$496)/$B$496)*100)+100</f>
        <v>94.227780841144906</v>
      </c>
      <c r="E449" s="26">
        <f>(((Table3[[#This Row],[Core CPI]]-$C$496)/$C$496)*100)+100</f>
        <v>91.606043648573021</v>
      </c>
      <c r="F449" s="27">
        <v>2.955974842767288E-2</v>
      </c>
      <c r="G449" s="27">
        <f>VLOOKUP(Table3[[#This Row],[Date]],'PCE Core'!A:D,4,)</f>
        <v>2.006484785174532E-2</v>
      </c>
    </row>
    <row r="450" spans="1:7" x14ac:dyDescent="0.35">
      <c r="A450" s="60">
        <v>35096</v>
      </c>
      <c r="B450" s="28">
        <f>VLOOKUP(Table3[[#This Row],[Date]],'PCE Core'!$A:$E,2,)</f>
        <v>75.287999999999997</v>
      </c>
      <c r="C450" s="26">
        <f>VLOOKUP(Table3[[#This Row],[Date]],Database!$A:$E,5)</f>
        <v>164</v>
      </c>
      <c r="D450" s="26">
        <f>(((Table3[[#This Row],[Core PCE]]-$B$496)/$B$496)*100)+100</f>
        <v>94.350594014737567</v>
      </c>
      <c r="E450" s="26">
        <f>(((Table3[[#This Row],[Core CPI]]-$C$496)/$C$496)*100)+100</f>
        <v>91.773922775601577</v>
      </c>
      <c r="F450" s="27">
        <v>2.8858218318695068E-2</v>
      </c>
      <c r="G450" s="27">
        <f>VLOOKUP(Table3[[#This Row],[Date]],'PCE Core'!A:D,4,)</f>
        <v>1.9734257967520333E-2</v>
      </c>
    </row>
    <row r="451" spans="1:7" x14ac:dyDescent="0.35">
      <c r="A451" s="63">
        <v>35125</v>
      </c>
      <c r="B451" s="28">
        <f>VLOOKUP(Table3[[#This Row],[Date]],'PCE Core'!$A:$E,2,)</f>
        <v>75.462000000000003</v>
      </c>
      <c r="C451" s="28">
        <f>VLOOKUP(Table3[[#This Row],[Date]],Database!$A:$E,5)</f>
        <v>164.4</v>
      </c>
      <c r="D451" s="26">
        <f>(((Table3[[#This Row],[Core PCE]]-$B$496)/$B$496)*100)+100</f>
        <v>94.568650057646991</v>
      </c>
      <c r="E451" s="26">
        <f>(((Table3[[#This Row],[Core CPI]]-$C$496)/$C$496)*100)+100</f>
        <v>91.997761611639632</v>
      </c>
      <c r="F451" s="27">
        <v>2.814258911819887E-2</v>
      </c>
      <c r="G451" s="27">
        <f>VLOOKUP(Table3[[#This Row],[Date]],'PCE Core'!A:D,4,)</f>
        <v>1.9577641765635739E-2</v>
      </c>
    </row>
    <row r="452" spans="1:7" x14ac:dyDescent="0.35">
      <c r="A452" s="60">
        <v>35156</v>
      </c>
      <c r="B452" s="28">
        <f>VLOOKUP(Table3[[#This Row],[Date]],'PCE Core'!$A:$E,2,)</f>
        <v>75.564999999999998</v>
      </c>
      <c r="C452" s="28">
        <f>VLOOKUP(Table3[[#This Row],[Date]],Database!$A:$E,5)</f>
        <v>164.6</v>
      </c>
      <c r="D452" s="26">
        <f>(((Table3[[#This Row],[Core PCE]]-$B$496)/$B$496)*100)+100</f>
        <v>94.69772920948418</v>
      </c>
      <c r="E452" s="26">
        <f>(((Table3[[#This Row],[Core CPI]]-$C$496)/$C$496)*100)+100</f>
        <v>92.109681029658645</v>
      </c>
      <c r="F452" s="27">
        <v>2.618453865336651E-2</v>
      </c>
      <c r="G452" s="27">
        <f>VLOOKUP(Table3[[#This Row],[Date]],'PCE Core'!A:D,4,)</f>
        <v>1.8615874042920311E-2</v>
      </c>
    </row>
    <row r="453" spans="1:7" x14ac:dyDescent="0.35">
      <c r="A453" s="63">
        <v>35186</v>
      </c>
      <c r="B453" s="28">
        <f>VLOOKUP(Table3[[#This Row],[Date]],'PCE Core'!$A:$E,2,)</f>
        <v>75.695999999999998</v>
      </c>
      <c r="C453" s="26">
        <f>VLOOKUP(Table3[[#This Row],[Date]],Database!$A:$E,5)</f>
        <v>165</v>
      </c>
      <c r="D453" s="26">
        <f>(((Table3[[#This Row],[Core PCE]]-$B$496)/$B$496)*100)+100</f>
        <v>94.861897839490695</v>
      </c>
      <c r="E453" s="26">
        <f>(((Table3[[#This Row],[Core CPI]]-$C$496)/$C$496)*100)+100</f>
        <v>92.333519865696701</v>
      </c>
      <c r="F453" s="27">
        <v>2.6757934038581281E-2</v>
      </c>
      <c r="G453" s="27">
        <f>VLOOKUP(Table3[[#This Row],[Date]],'PCE Core'!A:D,4,)</f>
        <v>1.8637886719328103E-2</v>
      </c>
    </row>
    <row r="454" spans="1:7" x14ac:dyDescent="0.35">
      <c r="A454" s="60">
        <v>35217</v>
      </c>
      <c r="B454" s="28">
        <f>VLOOKUP(Table3[[#This Row],[Date]],'PCE Core'!$A:$E,2,)</f>
        <v>75.754000000000005</v>
      </c>
      <c r="C454" s="28">
        <f>VLOOKUP(Table3[[#This Row],[Date]],Database!$A:$E,5)</f>
        <v>165.4</v>
      </c>
      <c r="D454" s="26">
        <f>(((Table3[[#This Row],[Core PCE]]-$B$496)/$B$496)*100)+100</f>
        <v>94.934583187127174</v>
      </c>
      <c r="E454" s="26">
        <f>(((Table3[[#This Row],[Core CPI]]-$C$496)/$C$496)*100)+100</f>
        <v>92.557358701734756</v>
      </c>
      <c r="F454" s="27">
        <v>2.6691495965239051E-2</v>
      </c>
      <c r="G454" s="27">
        <f>VLOOKUP(Table3[[#This Row],[Date]],'PCE Core'!A:D,4,)</f>
        <v>1.85411764705883E-2</v>
      </c>
    </row>
    <row r="455" spans="1:7" x14ac:dyDescent="0.35">
      <c r="A455" s="63">
        <v>35247</v>
      </c>
      <c r="B455" s="28">
        <f>VLOOKUP(Table3[[#This Row],[Date]],'PCE Core'!$A:$E,2,)</f>
        <v>75.897000000000006</v>
      </c>
      <c r="C455" s="28">
        <f>VLOOKUP(Table3[[#This Row],[Date]],Database!$A:$E,5)</f>
        <v>165.7</v>
      </c>
      <c r="D455" s="26">
        <f>(((Table3[[#This Row],[Core PCE]]-$B$496)/$B$496)*100)+100</f>
        <v>95.113790164920545</v>
      </c>
      <c r="E455" s="26">
        <f>(((Table3[[#This Row],[Core CPI]]-$C$496)/$C$496)*100)+100</f>
        <v>92.725237828763284</v>
      </c>
      <c r="F455" s="27">
        <v>2.6641883519206828E-2</v>
      </c>
      <c r="G455" s="27">
        <f>VLOOKUP(Table3[[#This Row],[Date]],'PCE Core'!A:D,4,)</f>
        <v>1.8847408481333958E-2</v>
      </c>
    </row>
    <row r="456" spans="1:7" x14ac:dyDescent="0.35">
      <c r="A456" s="60">
        <v>35278</v>
      </c>
      <c r="B456" s="28">
        <f>VLOOKUP(Table3[[#This Row],[Date]],'PCE Core'!$A:$E,2,)</f>
        <v>75.962000000000003</v>
      </c>
      <c r="C456" s="26">
        <f>VLOOKUP(Table3[[#This Row],[Date]],Database!$A:$E,5)</f>
        <v>166</v>
      </c>
      <c r="D456" s="26">
        <f>(((Table3[[#This Row],[Core PCE]]-$B$496)/$B$496)*100)+100</f>
        <v>95.195247882099352</v>
      </c>
      <c r="E456" s="26">
        <f>(((Table3[[#This Row],[Core CPI]]-$C$496)/$C$496)*100)+100</f>
        <v>92.893116955791839</v>
      </c>
      <c r="F456" s="27">
        <v>2.5957972805933181E-2</v>
      </c>
      <c r="G456" s="27">
        <f>VLOOKUP(Table3[[#This Row],[Date]],'PCE Core'!A:D,4,)</f>
        <v>1.7289175181797442E-2</v>
      </c>
    </row>
    <row r="457" spans="1:7" x14ac:dyDescent="0.35">
      <c r="A457" s="63">
        <v>35309</v>
      </c>
      <c r="B457" s="28">
        <f>VLOOKUP(Table3[[#This Row],[Date]],'PCE Core'!$A:$E,2,)</f>
        <v>76.191999999999993</v>
      </c>
      <c r="C457" s="28">
        <f>VLOOKUP(Table3[[#This Row],[Date]],Database!$A:$E,5)</f>
        <v>166.5</v>
      </c>
      <c r="D457" s="26">
        <f>(((Table3[[#This Row],[Core PCE]]-$B$496)/$B$496)*100)+100</f>
        <v>95.483482881347413</v>
      </c>
      <c r="E457" s="26">
        <f>(((Table3[[#This Row],[Core CPI]]-$C$496)/$C$496)*100)+100</f>
        <v>93.172915500839395</v>
      </c>
      <c r="F457" s="27">
        <v>2.6510480887792919E-2</v>
      </c>
      <c r="G457" s="27">
        <f>VLOOKUP(Table3[[#This Row],[Date]],'PCE Core'!A:D,4,)</f>
        <v>1.9018322856760694E-2</v>
      </c>
    </row>
    <row r="458" spans="1:7" x14ac:dyDescent="0.35">
      <c r="A458" s="60">
        <v>35339</v>
      </c>
      <c r="B458" s="28">
        <f>VLOOKUP(Table3[[#This Row],[Date]],'PCE Core'!$A:$E,2,)</f>
        <v>76.373000000000005</v>
      </c>
      <c r="C458" s="28">
        <f>VLOOKUP(Table3[[#This Row],[Date]],Database!$A:$E,5)</f>
        <v>166.8</v>
      </c>
      <c r="D458" s="26">
        <f>(((Table3[[#This Row],[Core PCE]]-$B$496)/$B$496)*100)+100</f>
        <v>95.71031129379918</v>
      </c>
      <c r="E458" s="26">
        <f>(((Table3[[#This Row],[Core CPI]]-$C$496)/$C$496)*100)+100</f>
        <v>93.34079462786795</v>
      </c>
      <c r="F458" s="27">
        <v>2.519975414874015E-2</v>
      </c>
      <c r="G458" s="27">
        <f>VLOOKUP(Table3[[#This Row],[Date]],'PCE Core'!A:D,4,)</f>
        <v>1.8958800298858023E-2</v>
      </c>
    </row>
    <row r="459" spans="1:7" x14ac:dyDescent="0.35">
      <c r="A459" s="63">
        <v>35370</v>
      </c>
      <c r="B459" s="28">
        <f>VLOOKUP(Table3[[#This Row],[Date]],'PCE Core'!$A:$E,2,)</f>
        <v>76.472999999999999</v>
      </c>
      <c r="C459" s="26">
        <f>VLOOKUP(Table3[[#This Row],[Date]],Database!$A:$E,5)</f>
        <v>167.2</v>
      </c>
      <c r="D459" s="26">
        <f>(((Table3[[#This Row],[Core PCE]]-$B$496)/$B$496)*100)+100</f>
        <v>95.835630858689655</v>
      </c>
      <c r="E459" s="26">
        <f>(((Table3[[#This Row],[Core CPI]]-$C$496)/$C$496)*100)+100</f>
        <v>93.564633463905992</v>
      </c>
      <c r="F459" s="27">
        <v>2.5766871165644099E-2</v>
      </c>
      <c r="G459" s="27">
        <f>VLOOKUP(Table3[[#This Row],[Date]],'PCE Core'!A:D,4,)</f>
        <v>1.9639999999999987E-2</v>
      </c>
    </row>
    <row r="460" spans="1:7" x14ac:dyDescent="0.35">
      <c r="A460" s="60">
        <v>35400</v>
      </c>
      <c r="B460" s="28">
        <f>VLOOKUP(Table3[[#This Row],[Date]],'PCE Core'!$A:$E,2,)</f>
        <v>76.503</v>
      </c>
      <c r="C460" s="28">
        <f>VLOOKUP(Table3[[#This Row],[Date]],Database!$A:$E,5)</f>
        <v>167.4</v>
      </c>
      <c r="D460" s="26">
        <f>(((Table3[[#This Row],[Core PCE]]-$B$496)/$B$496)*100)+100</f>
        <v>95.873226728156794</v>
      </c>
      <c r="E460" s="26">
        <f>(((Table3[[#This Row],[Core CPI]]-$C$496)/$C$496)*100)+100</f>
        <v>93.676552881925019</v>
      </c>
      <c r="F460" s="27">
        <v>2.6364193746168069E-2</v>
      </c>
      <c r="G460" s="27">
        <f>VLOOKUP(Table3[[#This Row],[Date]],'PCE Core'!A:D,4,)</f>
        <v>1.8613940483323294E-2</v>
      </c>
    </row>
    <row r="461" spans="1:7" x14ac:dyDescent="0.35">
      <c r="A461" s="63">
        <v>35431</v>
      </c>
      <c r="B461" s="28">
        <f>VLOOKUP(Table3[[#This Row],[Date]],'PCE Core'!$A:$E,2,)</f>
        <v>76.584000000000003</v>
      </c>
      <c r="C461" s="28">
        <f>VLOOKUP(Table3[[#This Row],[Date]],Database!$A:$E,5)</f>
        <v>167.8</v>
      </c>
      <c r="D461" s="26">
        <f>(((Table3[[#This Row],[Core PCE]]-$B$496)/$B$496)*100)+100</f>
        <v>95.974735575718071</v>
      </c>
      <c r="E461" s="26">
        <f>(((Table3[[#This Row],[Core CPI]]-$C$496)/$C$496)*100)+100</f>
        <v>93.900391717963075</v>
      </c>
      <c r="F461" s="27">
        <v>2.5045815516188289E-2</v>
      </c>
      <c r="G461" s="27">
        <f>VLOOKUP(Table3[[#This Row],[Date]],'PCE Core'!A:D,4,)</f>
        <v>1.8539699428115515E-2</v>
      </c>
    </row>
    <row r="462" spans="1:7" x14ac:dyDescent="0.35">
      <c r="A462" s="60">
        <v>35462</v>
      </c>
      <c r="B462" s="28">
        <f>VLOOKUP(Table3[[#This Row],[Date]],'PCE Core'!$A:$E,2,)</f>
        <v>76.741</v>
      </c>
      <c r="C462" s="26">
        <f>VLOOKUP(Table3[[#This Row],[Date]],Database!$A:$E,5)</f>
        <v>168.1</v>
      </c>
      <c r="D462" s="26">
        <f>(((Table3[[#This Row],[Core PCE]]-$B$496)/$B$496)*100)+100</f>
        <v>96.171487292596112</v>
      </c>
      <c r="E462" s="26">
        <f>(((Table3[[#This Row],[Core CPI]]-$C$496)/$C$496)*100)+100</f>
        <v>94.068270844991616</v>
      </c>
      <c r="F462" s="27">
        <v>2.499999999999997E-2</v>
      </c>
      <c r="G462" s="27">
        <f>VLOOKUP(Table3[[#This Row],[Date]],'PCE Core'!A:D,4,)</f>
        <v>1.9299224311975387E-2</v>
      </c>
    </row>
    <row r="463" spans="1:7" x14ac:dyDescent="0.35">
      <c r="A463" s="63">
        <v>35490</v>
      </c>
      <c r="B463" s="28">
        <f>VLOOKUP(Table3[[#This Row],[Date]],'PCE Core'!$A:$E,2,)</f>
        <v>76.924999999999997</v>
      </c>
      <c r="C463" s="28">
        <f>VLOOKUP(Table3[[#This Row],[Date]],Database!$A:$E,5)</f>
        <v>168.4</v>
      </c>
      <c r="D463" s="26">
        <f>(((Table3[[#This Row],[Core PCE]]-$B$496)/$B$496)*100)+100</f>
        <v>96.402075291994578</v>
      </c>
      <c r="E463" s="26">
        <f>(((Table3[[#This Row],[Core CPI]]-$C$496)/$C$496)*100)+100</f>
        <v>94.236149972020158</v>
      </c>
      <c r="F463" s="27">
        <v>2.4330900243309E-2</v>
      </c>
      <c r="G463" s="27">
        <f>VLOOKUP(Table3[[#This Row],[Date]],'PCE Core'!A:D,4,)</f>
        <v>1.9387241260501894E-2</v>
      </c>
    </row>
    <row r="464" spans="1:7" x14ac:dyDescent="0.35">
      <c r="A464" s="60">
        <v>35521</v>
      </c>
      <c r="B464" s="28">
        <f>VLOOKUP(Table3[[#This Row],[Date]],'PCE Core'!$A:$E,2,)</f>
        <v>77.075000000000003</v>
      </c>
      <c r="C464" s="28">
        <f>VLOOKUP(Table3[[#This Row],[Date]],Database!$A:$E,5)</f>
        <v>168.9</v>
      </c>
      <c r="D464" s="26">
        <f>(((Table3[[#This Row],[Core PCE]]-$B$496)/$B$496)*100)+100</f>
        <v>96.59005463933029</v>
      </c>
      <c r="E464" s="26">
        <f>(((Table3[[#This Row],[Core CPI]]-$C$496)/$C$496)*100)+100</f>
        <v>94.515948517067727</v>
      </c>
      <c r="F464" s="27">
        <v>2.612393681652498E-2</v>
      </c>
      <c r="G464" s="27">
        <f>VLOOKUP(Table3[[#This Row],[Date]],'PCE Core'!A:D,4,)</f>
        <v>1.9982796268113612E-2</v>
      </c>
    </row>
    <row r="465" spans="1:7" x14ac:dyDescent="0.35">
      <c r="A465" s="63">
        <v>35551</v>
      </c>
      <c r="B465" s="28">
        <f>VLOOKUP(Table3[[#This Row],[Date]],'PCE Core'!$A:$E,2,)</f>
        <v>77.131</v>
      </c>
      <c r="C465" s="26">
        <f>VLOOKUP(Table3[[#This Row],[Date]],Database!$A:$E,5)</f>
        <v>169.2</v>
      </c>
      <c r="D465" s="26">
        <f>(((Table3[[#This Row],[Core PCE]]-$B$496)/$B$496)*100)+100</f>
        <v>96.660233595668956</v>
      </c>
      <c r="E465" s="26">
        <f>(((Table3[[#This Row],[Core CPI]]-$C$496)/$C$496)*100)+100</f>
        <v>94.683827644096255</v>
      </c>
      <c r="F465" s="27">
        <v>2.5454545454545389E-2</v>
      </c>
      <c r="G465" s="27">
        <f>VLOOKUP(Table3[[#This Row],[Date]],'PCE Core'!A:D,4,)</f>
        <v>1.8957408581695232E-2</v>
      </c>
    </row>
    <row r="466" spans="1:7" x14ac:dyDescent="0.35">
      <c r="A466" s="60">
        <v>35582</v>
      </c>
      <c r="B466" s="28">
        <f>VLOOKUP(Table3[[#This Row],[Date]],'PCE Core'!$A:$E,2,)</f>
        <v>77.245000000000005</v>
      </c>
      <c r="C466" s="28">
        <f>VLOOKUP(Table3[[#This Row],[Date]],Database!$A:$E,5)</f>
        <v>169.4</v>
      </c>
      <c r="D466" s="26">
        <f>(((Table3[[#This Row],[Core PCE]]-$B$496)/$B$496)*100)+100</f>
        <v>96.803097899644087</v>
      </c>
      <c r="E466" s="26">
        <f>(((Table3[[#This Row],[Core CPI]]-$C$496)/$C$496)*100)+100</f>
        <v>94.795747062115282</v>
      </c>
      <c r="F466" s="27">
        <v>2.4183796856106408E-2</v>
      </c>
      <c r="G466" s="27">
        <f>VLOOKUP(Table3[[#This Row],[Date]],'PCE Core'!A:D,4,)</f>
        <v>1.9682128996488628E-2</v>
      </c>
    </row>
    <row r="467" spans="1:7" x14ac:dyDescent="0.35">
      <c r="A467" s="63">
        <v>35612</v>
      </c>
      <c r="B467" s="28">
        <f>VLOOKUP(Table3[[#This Row],[Date]],'PCE Core'!$A:$E,2,)</f>
        <v>77.296999999999997</v>
      </c>
      <c r="C467" s="28">
        <f>VLOOKUP(Table3[[#This Row],[Date]],Database!$A:$E,5)</f>
        <v>169.7</v>
      </c>
      <c r="D467" s="26">
        <f>(((Table3[[#This Row],[Core PCE]]-$B$496)/$B$496)*100)+100</f>
        <v>96.868264073387124</v>
      </c>
      <c r="E467" s="26">
        <f>(((Table3[[#This Row],[Core CPI]]-$C$496)/$C$496)*100)+100</f>
        <v>94.96362618914381</v>
      </c>
      <c r="F467" s="27">
        <v>2.4140012070006042E-2</v>
      </c>
      <c r="G467" s="27">
        <f>VLOOKUP(Table3[[#This Row],[Date]],'PCE Core'!A:D,4,)</f>
        <v>1.8446051886108691E-2</v>
      </c>
    </row>
    <row r="468" spans="1:7" x14ac:dyDescent="0.35">
      <c r="A468" s="60">
        <v>35643</v>
      </c>
      <c r="B468" s="28">
        <f>VLOOKUP(Table3[[#This Row],[Date]],'PCE Core'!$A:$E,2,)</f>
        <v>77.266999999999996</v>
      </c>
      <c r="C468" s="26">
        <f>VLOOKUP(Table3[[#This Row],[Date]],Database!$A:$E,5)</f>
        <v>169.8</v>
      </c>
      <c r="D468" s="26">
        <f>(((Table3[[#This Row],[Core PCE]]-$B$496)/$B$496)*100)+100</f>
        <v>96.830668203919984</v>
      </c>
      <c r="E468" s="26">
        <f>(((Table3[[#This Row],[Core CPI]]-$C$496)/$C$496)*100)+100</f>
        <v>95.019585898153338</v>
      </c>
      <c r="F468" s="27">
        <v>2.2891566265060309E-2</v>
      </c>
      <c r="G468" s="27">
        <f>VLOOKUP(Table3[[#This Row],[Date]],'PCE Core'!A:D,4,)</f>
        <v>1.7179642452805254E-2</v>
      </c>
    </row>
    <row r="469" spans="1:7" x14ac:dyDescent="0.35">
      <c r="A469" s="63">
        <v>35674</v>
      </c>
      <c r="B469" s="28">
        <f>VLOOKUP(Table3[[#This Row],[Date]],'PCE Core'!$A:$E,2,)</f>
        <v>77.427000000000007</v>
      </c>
      <c r="C469" s="28">
        <f>VLOOKUP(Table3[[#This Row],[Date]],Database!$A:$E,5)</f>
        <v>170.2</v>
      </c>
      <c r="D469" s="26">
        <f>(((Table3[[#This Row],[Core PCE]]-$B$496)/$B$496)*100)+100</f>
        <v>97.031179507744753</v>
      </c>
      <c r="E469" s="26">
        <f>(((Table3[[#This Row],[Core CPI]]-$C$496)/$C$496)*100)+100</f>
        <v>95.243424734191379</v>
      </c>
      <c r="F469" s="27">
        <v>2.222222222222215E-2</v>
      </c>
      <c r="G469" s="27">
        <f>VLOOKUP(Table3[[#This Row],[Date]],'PCE Core'!A:D,4,)</f>
        <v>1.62090508189838E-2</v>
      </c>
    </row>
    <row r="470" spans="1:7" x14ac:dyDescent="0.35">
      <c r="A470" s="60">
        <v>35704</v>
      </c>
      <c r="B470" s="28">
        <f>VLOOKUP(Table3[[#This Row],[Date]],'PCE Core'!$A:$E,2,)</f>
        <v>77.545000000000002</v>
      </c>
      <c r="C470" s="28">
        <f>VLOOKUP(Table3[[#This Row],[Date]],Database!$A:$E,5)</f>
        <v>170.6</v>
      </c>
      <c r="D470" s="26">
        <f>(((Table3[[#This Row],[Core PCE]]-$B$496)/$B$496)*100)+100</f>
        <v>97.179056594315497</v>
      </c>
      <c r="E470" s="26">
        <f>(((Table3[[#This Row],[Core CPI]]-$C$496)/$C$496)*100)+100</f>
        <v>95.467263570229434</v>
      </c>
      <c r="F470" s="27">
        <v>2.2781774580335631E-2</v>
      </c>
      <c r="G470" s="27">
        <f>VLOOKUP(Table3[[#This Row],[Date]],'PCE Core'!A:D,4,)</f>
        <v>1.5345737367917943E-2</v>
      </c>
    </row>
    <row r="471" spans="1:7" x14ac:dyDescent="0.35">
      <c r="A471" s="63">
        <v>35735</v>
      </c>
      <c r="B471" s="28">
        <f>VLOOKUP(Table3[[#This Row],[Date]],'PCE Core'!$A:$E,2,)</f>
        <v>77.567999999999998</v>
      </c>
      <c r="C471" s="26">
        <f>VLOOKUP(Table3[[#This Row],[Date]],Database!$A:$E,5)</f>
        <v>170.8</v>
      </c>
      <c r="D471" s="26">
        <f>(((Table3[[#This Row],[Core PCE]]-$B$496)/$B$496)*100)+100</f>
        <v>97.207880094240309</v>
      </c>
      <c r="E471" s="26">
        <f>(((Table3[[#This Row],[Core CPI]]-$C$496)/$C$496)*100)+100</f>
        <v>95.579182988248476</v>
      </c>
      <c r="F471" s="27">
        <v>2.153110047846904E-2</v>
      </c>
      <c r="G471" s="27">
        <f>VLOOKUP(Table3[[#This Row],[Date]],'PCE Core'!A:D,4,)</f>
        <v>1.4318779176964403E-2</v>
      </c>
    </row>
    <row r="472" spans="1:7" x14ac:dyDescent="0.35">
      <c r="A472" s="60">
        <v>35765</v>
      </c>
      <c r="B472" s="28">
        <f>VLOOKUP(Table3[[#This Row],[Date]],'PCE Core'!$A:$E,2,)</f>
        <v>77.613</v>
      </c>
      <c r="C472" s="28">
        <f>VLOOKUP(Table3[[#This Row],[Date]],Database!$A:$E,5)</f>
        <v>171.2</v>
      </c>
      <c r="D472" s="26">
        <f>(((Table3[[#This Row],[Core PCE]]-$B$496)/$B$496)*100)+100</f>
        <v>97.264273898441019</v>
      </c>
      <c r="E472" s="26">
        <f>(((Table3[[#This Row],[Core CPI]]-$C$496)/$C$496)*100)+100</f>
        <v>95.803021824286517</v>
      </c>
      <c r="F472" s="27">
        <v>2.270011947431292E-2</v>
      </c>
      <c r="G472" s="27">
        <f>VLOOKUP(Table3[[#This Row],[Date]],'PCE Core'!A:D,4,)</f>
        <v>1.4509234931963445E-2</v>
      </c>
    </row>
    <row r="473" spans="1:7" x14ac:dyDescent="0.35">
      <c r="A473" s="63">
        <v>35796</v>
      </c>
      <c r="B473" s="28">
        <f>VLOOKUP(Table3[[#This Row],[Date]],'PCE Core'!$A:$E,2,)</f>
        <v>77.731999999999999</v>
      </c>
      <c r="C473" s="28">
        <f>VLOOKUP(Table3[[#This Row],[Date]],Database!$A:$E,5)</f>
        <v>171.6</v>
      </c>
      <c r="D473" s="26">
        <f>(((Table3[[#This Row],[Core PCE]]-$B$496)/$B$496)*100)+100</f>
        <v>97.413404180660677</v>
      </c>
      <c r="E473" s="26">
        <f>(((Table3[[#This Row],[Core CPI]]-$C$496)/$C$496)*100)+100</f>
        <v>96.026860660324573</v>
      </c>
      <c r="F473" s="27">
        <v>2.2646007151370579E-2</v>
      </c>
      <c r="G473" s="27">
        <f>VLOOKUP(Table3[[#This Row],[Date]],'PCE Core'!A:D,4,)</f>
        <v>1.4990076256137E-2</v>
      </c>
    </row>
    <row r="474" spans="1:7" x14ac:dyDescent="0.35">
      <c r="A474" s="60">
        <v>35827</v>
      </c>
      <c r="B474" s="28">
        <f>VLOOKUP(Table3[[#This Row],[Date]],'PCE Core'!$A:$E,2,)</f>
        <v>77.798000000000002</v>
      </c>
      <c r="C474" s="26">
        <f>VLOOKUP(Table3[[#This Row],[Date]],Database!$A:$E,5)</f>
        <v>171.9</v>
      </c>
      <c r="D474" s="26">
        <f>(((Table3[[#This Row],[Core PCE]]-$B$496)/$B$496)*100)+100</f>
        <v>97.496115093488385</v>
      </c>
      <c r="E474" s="26">
        <f>(((Table3[[#This Row],[Core CPI]]-$C$496)/$C$496)*100)+100</f>
        <v>96.194739787353114</v>
      </c>
      <c r="F474" s="27">
        <v>2.2605591909577699E-2</v>
      </c>
      <c r="G474" s="27">
        <f>VLOOKUP(Table3[[#This Row],[Date]],'PCE Core'!A:D,4,)</f>
        <v>1.3773602116209096E-2</v>
      </c>
    </row>
    <row r="475" spans="1:7" x14ac:dyDescent="0.35">
      <c r="A475" s="63">
        <v>35855</v>
      </c>
      <c r="B475" s="28">
        <f>VLOOKUP(Table3[[#This Row],[Date]],'PCE Core'!$A:$E,2,)</f>
        <v>77.881</v>
      </c>
      <c r="C475" s="28">
        <f>VLOOKUP(Table3[[#This Row],[Date]],Database!$A:$E,5)</f>
        <v>172.2</v>
      </c>
      <c r="D475" s="26">
        <f>(((Table3[[#This Row],[Core PCE]]-$B$496)/$B$496)*100)+100</f>
        <v>97.600130332347476</v>
      </c>
      <c r="E475" s="26">
        <f>(((Table3[[#This Row],[Core CPI]]-$C$496)/$C$496)*100)+100</f>
        <v>96.362618914381642</v>
      </c>
      <c r="F475" s="27">
        <v>2.256532066508303E-2</v>
      </c>
      <c r="G475" s="27">
        <f>VLOOKUP(Table3[[#This Row],[Date]],'PCE Core'!A:D,4,)</f>
        <v>1.2427689307767347E-2</v>
      </c>
    </row>
    <row r="476" spans="1:7" x14ac:dyDescent="0.35">
      <c r="A476" s="60">
        <v>35886</v>
      </c>
      <c r="B476" s="28">
        <f>VLOOKUP(Table3[[#This Row],[Date]],'PCE Core'!$A:$E,2,)</f>
        <v>78.024000000000001</v>
      </c>
      <c r="C476" s="28">
        <f>VLOOKUP(Table3[[#This Row],[Date]],Database!$A:$E,5)</f>
        <v>172.5</v>
      </c>
      <c r="D476" s="26">
        <f>(((Table3[[#This Row],[Core PCE]]-$B$496)/$B$496)*100)+100</f>
        <v>97.779337310140846</v>
      </c>
      <c r="E476" s="26">
        <f>(((Table3[[#This Row],[Core CPI]]-$C$496)/$C$496)*100)+100</f>
        <v>96.530498041410198</v>
      </c>
      <c r="F476" s="27">
        <v>2.1314387211367639E-2</v>
      </c>
      <c r="G476" s="27">
        <f>VLOOKUP(Table3[[#This Row],[Date]],'PCE Core'!A:D,4,)</f>
        <v>1.2312682452156965E-2</v>
      </c>
    </row>
    <row r="477" spans="1:7" x14ac:dyDescent="0.35">
      <c r="A477" s="63">
        <v>35916</v>
      </c>
      <c r="B477" s="28">
        <f>VLOOKUP(Table3[[#This Row],[Date]],'PCE Core'!$A:$E,2,)</f>
        <v>78.099999999999994</v>
      </c>
      <c r="C477" s="26">
        <f>VLOOKUP(Table3[[#This Row],[Date]],Database!$A:$E,5)</f>
        <v>172.9</v>
      </c>
      <c r="D477" s="26">
        <f>(((Table3[[#This Row],[Core PCE]]-$B$496)/$B$496)*100)+100</f>
        <v>97.874580179457595</v>
      </c>
      <c r="E477" s="26">
        <f>(((Table3[[#This Row],[Core CPI]]-$C$496)/$C$496)*100)+100</f>
        <v>96.754336877448253</v>
      </c>
      <c r="F477" s="27">
        <v>2.1867612293144309E-2</v>
      </c>
      <c r="G477" s="27">
        <f>VLOOKUP(Table3[[#This Row],[Date]],'PCE Core'!A:D,4,)</f>
        <v>1.2563042097211161E-2</v>
      </c>
    </row>
    <row r="478" spans="1:7" x14ac:dyDescent="0.35">
      <c r="A478" s="60">
        <v>35947</v>
      </c>
      <c r="B478" s="28">
        <f>VLOOKUP(Table3[[#This Row],[Date]],'PCE Core'!$A:$E,2,)</f>
        <v>78.001999999999995</v>
      </c>
      <c r="C478" s="28">
        <f>VLOOKUP(Table3[[#This Row],[Date]],Database!$A:$E,5)</f>
        <v>173.2</v>
      </c>
      <c r="D478" s="26">
        <f>(((Table3[[#This Row],[Core PCE]]-$B$496)/$B$496)*100)+100</f>
        <v>97.751767005864934</v>
      </c>
      <c r="E478" s="26">
        <f>(((Table3[[#This Row],[Core CPI]]-$C$496)/$C$496)*100)+100</f>
        <v>96.92221600447678</v>
      </c>
      <c r="F478" s="27">
        <v>2.2432113341204148E-2</v>
      </c>
      <c r="G478" s="27">
        <f>VLOOKUP(Table3[[#This Row],[Date]],'PCE Core'!A:D,4,)</f>
        <v>9.7999870541781442E-3</v>
      </c>
    </row>
    <row r="479" spans="1:7" x14ac:dyDescent="0.35">
      <c r="A479" s="63">
        <v>35977</v>
      </c>
      <c r="B479" s="28">
        <f>VLOOKUP(Table3[[#This Row],[Date]],'PCE Core'!$A:$E,2,)</f>
        <v>78.221999999999994</v>
      </c>
      <c r="C479" s="28">
        <f>VLOOKUP(Table3[[#This Row],[Date]],Database!$A:$E,5)</f>
        <v>173.5</v>
      </c>
      <c r="D479" s="26">
        <f>(((Table3[[#This Row],[Core PCE]]-$B$496)/$B$496)*100)+100</f>
        <v>98.027470048623982</v>
      </c>
      <c r="E479" s="26">
        <f>(((Table3[[#This Row],[Core CPI]]-$C$496)/$C$496)*100)+100</f>
        <v>97.090095131505322</v>
      </c>
      <c r="F479" s="27">
        <v>2.239245727754868E-2</v>
      </c>
      <c r="G479" s="27">
        <f>VLOOKUP(Table3[[#This Row],[Date]],'PCE Core'!A:D,4,)</f>
        <v>1.1966829243049501E-2</v>
      </c>
    </row>
    <row r="480" spans="1:7" x14ac:dyDescent="0.35">
      <c r="A480" s="60">
        <v>36008</v>
      </c>
      <c r="B480" s="28">
        <f>VLOOKUP(Table3[[#This Row],[Date]],'PCE Core'!$A:$E,2,)</f>
        <v>78.375</v>
      </c>
      <c r="C480" s="26">
        <f>VLOOKUP(Table3[[#This Row],[Date]],Database!$A:$E,5)</f>
        <v>174</v>
      </c>
      <c r="D480" s="26">
        <f>(((Table3[[#This Row],[Core PCE]]-$B$496)/$B$496)*100)+100</f>
        <v>98.219208982906409</v>
      </c>
      <c r="E480" s="26">
        <f>(((Table3[[#This Row],[Core CPI]]-$C$496)/$C$496)*100)+100</f>
        <v>97.369893676552891</v>
      </c>
      <c r="F480" s="27">
        <v>2.473498233215541E-2</v>
      </c>
      <c r="G480" s="27">
        <f>VLOOKUP(Table3[[#This Row],[Date]],'PCE Core'!A:D,4,)</f>
        <v>1.433988636804851E-2</v>
      </c>
    </row>
    <row r="481" spans="1:7" x14ac:dyDescent="0.35">
      <c r="A481" s="63">
        <v>36039</v>
      </c>
      <c r="B481" s="28">
        <f>VLOOKUP(Table3[[#This Row],[Date]],'PCE Core'!$A:$E,2,)</f>
        <v>78.361000000000004</v>
      </c>
      <c r="C481" s="28">
        <f>VLOOKUP(Table3[[#This Row],[Date]],Database!$A:$E,5)</f>
        <v>174.2</v>
      </c>
      <c r="D481" s="26">
        <f>(((Table3[[#This Row],[Core PCE]]-$B$496)/$B$496)*100)+100</f>
        <v>98.201664243821739</v>
      </c>
      <c r="E481" s="26">
        <f>(((Table3[[#This Row],[Core CPI]]-$C$496)/$C$496)*100)+100</f>
        <v>97.481813094571905</v>
      </c>
      <c r="F481" s="27">
        <v>2.3501762632197411E-2</v>
      </c>
      <c r="G481" s="27">
        <f>VLOOKUP(Table3[[#This Row],[Date]],'PCE Core'!A:D,4,)</f>
        <v>1.2062975447841158E-2</v>
      </c>
    </row>
    <row r="482" spans="1:7" x14ac:dyDescent="0.35">
      <c r="A482" s="60">
        <v>36069</v>
      </c>
      <c r="B482" s="28">
        <f>VLOOKUP(Table3[[#This Row],[Date]],'PCE Core'!$A:$E,2,)</f>
        <v>78.513999999999996</v>
      </c>
      <c r="C482" s="28">
        <f>VLOOKUP(Table3[[#This Row],[Date]],Database!$A:$E,5)</f>
        <v>174.4</v>
      </c>
      <c r="D482" s="26">
        <f>(((Table3[[#This Row],[Core PCE]]-$B$496)/$B$496)*100)+100</f>
        <v>98.393403178104151</v>
      </c>
      <c r="E482" s="26">
        <f>(((Table3[[#This Row],[Core CPI]]-$C$496)/$C$496)*100)+100</f>
        <v>97.593732512590947</v>
      </c>
      <c r="F482" s="27">
        <v>2.2274325908558101E-2</v>
      </c>
      <c r="G482" s="27">
        <f>VLOOKUP(Table3[[#This Row],[Date]],'PCE Core'!A:D,4,)</f>
        <v>1.249597008188786E-2</v>
      </c>
    </row>
    <row r="483" spans="1:7" x14ac:dyDescent="0.35">
      <c r="A483" s="63">
        <v>36100</v>
      </c>
      <c r="B483" s="28">
        <f>VLOOKUP(Table3[[#This Row],[Date]],'PCE Core'!$A:$E,2,)</f>
        <v>78.528000000000006</v>
      </c>
      <c r="C483" s="26">
        <f>VLOOKUP(Table3[[#This Row],[Date]],Database!$A:$E,5)</f>
        <v>174.8</v>
      </c>
      <c r="D483" s="26">
        <f>(((Table3[[#This Row],[Core PCE]]-$B$496)/$B$496)*100)+100</f>
        <v>98.410947917188835</v>
      </c>
      <c r="E483" s="26">
        <f>(((Table3[[#This Row],[Core CPI]]-$C$496)/$C$496)*100)+100</f>
        <v>97.817571348629002</v>
      </c>
      <c r="F483" s="27">
        <v>2.3419203747072601E-2</v>
      </c>
      <c r="G483" s="27">
        <f>VLOOKUP(Table3[[#This Row],[Date]],'PCE Core'!A:D,4,)</f>
        <v>1.2376237623762479E-2</v>
      </c>
    </row>
    <row r="484" spans="1:7" x14ac:dyDescent="0.35">
      <c r="A484" s="60">
        <v>36130</v>
      </c>
      <c r="B484" s="28">
        <f>VLOOKUP(Table3[[#This Row],[Date]],'PCE Core'!$A:$E,2,)</f>
        <v>78.662999999999997</v>
      </c>
      <c r="C484" s="28">
        <f>VLOOKUP(Table3[[#This Row],[Date]],Database!$A:$E,5)</f>
        <v>175.4</v>
      </c>
      <c r="D484" s="26">
        <f>(((Table3[[#This Row],[Core PCE]]-$B$496)/$B$496)*100)+100</f>
        <v>98.58012932979095</v>
      </c>
      <c r="E484" s="26">
        <f>(((Table3[[#This Row],[Core CPI]]-$C$496)/$C$496)*100)+100</f>
        <v>98.153329602686071</v>
      </c>
      <c r="F484" s="27">
        <v>2.4532710280373932E-2</v>
      </c>
      <c r="G484" s="27">
        <f>VLOOKUP(Table3[[#This Row],[Date]],'PCE Core'!A:D,4,)</f>
        <v>1.3528661435584208E-2</v>
      </c>
    </row>
    <row r="485" spans="1:7" x14ac:dyDescent="0.35">
      <c r="A485" s="63">
        <v>36161</v>
      </c>
      <c r="B485" s="28">
        <f>VLOOKUP(Table3[[#This Row],[Date]],'PCE Core'!$A:$E,2,)</f>
        <v>78.775999999999996</v>
      </c>
      <c r="C485" s="28">
        <f>VLOOKUP(Table3[[#This Row],[Date]],Database!$A:$E,5)</f>
        <v>175.6</v>
      </c>
      <c r="D485" s="26">
        <f>(((Table3[[#This Row],[Core PCE]]-$B$496)/$B$496)*100)+100</f>
        <v>98.72174043811718</v>
      </c>
      <c r="E485" s="26">
        <f>(((Table3[[#This Row],[Core CPI]]-$C$496)/$C$496)*100)+100</f>
        <v>98.265249020705099</v>
      </c>
      <c r="F485" s="27">
        <v>2.3310023310023308E-2</v>
      </c>
      <c r="G485" s="27">
        <f>VLOOKUP(Table3[[#This Row],[Date]],'PCE Core'!A:D,4,)</f>
        <v>1.3430762105696456E-2</v>
      </c>
    </row>
    <row r="486" spans="1:7" x14ac:dyDescent="0.35">
      <c r="A486" s="60">
        <v>36192</v>
      </c>
      <c r="B486" s="28">
        <f>VLOOKUP(Table3[[#This Row],[Date]],'PCE Core'!$A:$E,2,)</f>
        <v>78.748999999999995</v>
      </c>
      <c r="C486" s="26">
        <f>VLOOKUP(Table3[[#This Row],[Date]],Database!$A:$E,5)</f>
        <v>175.6</v>
      </c>
      <c r="D486" s="26">
        <f>(((Table3[[#This Row],[Core PCE]]-$B$496)/$B$496)*100)+100</f>
        <v>98.687904155596755</v>
      </c>
      <c r="E486" s="26">
        <f>(((Table3[[#This Row],[Core CPI]]-$C$496)/$C$496)*100)+100</f>
        <v>98.265249020705099</v>
      </c>
      <c r="F486" s="27">
        <v>2.152414194299004E-2</v>
      </c>
      <c r="G486" s="27">
        <f>VLOOKUP(Table3[[#This Row],[Date]],'PCE Core'!A:D,4,)</f>
        <v>1.2223964626339923E-2</v>
      </c>
    </row>
    <row r="487" spans="1:7" x14ac:dyDescent="0.35">
      <c r="A487" s="63">
        <v>36220</v>
      </c>
      <c r="B487" s="28">
        <f>VLOOKUP(Table3[[#This Row],[Date]],'PCE Core'!$A:$E,2,)</f>
        <v>78.772999999999996</v>
      </c>
      <c r="C487" s="28">
        <f>VLOOKUP(Table3[[#This Row],[Date]],Database!$A:$E,5)</f>
        <v>175.7</v>
      </c>
      <c r="D487" s="26">
        <f>(((Table3[[#This Row],[Core PCE]]-$B$496)/$B$496)*100)+100</f>
        <v>98.717980851170466</v>
      </c>
      <c r="E487" s="26">
        <f>(((Table3[[#This Row],[Core CPI]]-$C$496)/$C$496)*100)+100</f>
        <v>98.321208729714598</v>
      </c>
      <c r="F487" s="27">
        <v>2.032520325203252E-2</v>
      </c>
      <c r="G487" s="27">
        <f>VLOOKUP(Table3[[#This Row],[Date]],'PCE Core'!A:D,4,)</f>
        <v>1.1453371168834452E-2</v>
      </c>
    </row>
    <row r="488" spans="1:7" x14ac:dyDescent="0.35">
      <c r="A488" s="60">
        <v>36251</v>
      </c>
      <c r="B488" s="28">
        <f>VLOOKUP(Table3[[#This Row],[Date]],'PCE Core'!$A:$E,2,)</f>
        <v>78.974999999999994</v>
      </c>
      <c r="C488" s="28">
        <f>VLOOKUP(Table3[[#This Row],[Date]],Database!$A:$E,5)</f>
        <v>176.3</v>
      </c>
      <c r="D488" s="26">
        <f>(((Table3[[#This Row],[Core PCE]]-$B$496)/$B$496)*100)+100</f>
        <v>98.971126372249216</v>
      </c>
      <c r="E488" s="26">
        <f>(((Table3[[#This Row],[Core CPI]]-$C$496)/$C$496)*100)+100</f>
        <v>98.656966983771696</v>
      </c>
      <c r="F488" s="27">
        <v>2.202898550724644E-2</v>
      </c>
      <c r="G488" s="27">
        <f>VLOOKUP(Table3[[#This Row],[Date]],'PCE Core'!A:D,4,)</f>
        <v>1.2188557366963927E-2</v>
      </c>
    </row>
    <row r="489" spans="1:7" x14ac:dyDescent="0.35">
      <c r="A489" s="63">
        <v>36281</v>
      </c>
      <c r="B489" s="28">
        <f>VLOOKUP(Table3[[#This Row],[Date]],'PCE Core'!$A:$E,2,)</f>
        <v>79.051000000000002</v>
      </c>
      <c r="C489" s="26">
        <f>VLOOKUP(Table3[[#This Row],[Date]],Database!$A:$E,5)</f>
        <v>176.5</v>
      </c>
      <c r="D489" s="26">
        <f>(((Table3[[#This Row],[Core PCE]]-$B$496)/$B$496)*100)+100</f>
        <v>99.066369241565994</v>
      </c>
      <c r="E489" s="26">
        <f>(((Table3[[#This Row],[Core CPI]]-$C$496)/$C$496)*100)+100</f>
        <v>98.768886401790724</v>
      </c>
      <c r="F489" s="27">
        <v>2.0821283979178679E-2</v>
      </c>
      <c r="G489" s="27">
        <f>VLOOKUP(Table3[[#This Row],[Date]],'PCE Core'!A:D,4,)</f>
        <v>1.2176696542893824E-2</v>
      </c>
    </row>
    <row r="490" spans="1:7" x14ac:dyDescent="0.35">
      <c r="A490" s="60">
        <v>36312</v>
      </c>
      <c r="B490" s="28">
        <f>VLOOKUP(Table3[[#This Row],[Date]],'PCE Core'!$A:$E,2,)</f>
        <v>79.091999999999999</v>
      </c>
      <c r="C490" s="28">
        <f>VLOOKUP(Table3[[#This Row],[Date]],Database!$A:$E,5)</f>
        <v>176.6</v>
      </c>
      <c r="D490" s="26">
        <f>(((Table3[[#This Row],[Core PCE]]-$B$496)/$B$496)*100)+100</f>
        <v>99.117750263171075</v>
      </c>
      <c r="E490" s="26">
        <f>(((Table3[[#This Row],[Core CPI]]-$C$496)/$C$496)*100)+100</f>
        <v>98.824846110800223</v>
      </c>
      <c r="F490" s="27">
        <v>1.9630484988452691E-2</v>
      </c>
      <c r="G490" s="27">
        <f>VLOOKUP(Table3[[#This Row],[Date]],'PCE Core'!A:D,4,)</f>
        <v>1.3974000666649618E-2</v>
      </c>
    </row>
    <row r="491" spans="1:7" x14ac:dyDescent="0.35">
      <c r="A491" s="63">
        <v>36342</v>
      </c>
      <c r="B491" s="28">
        <f>VLOOKUP(Table3[[#This Row],[Date]],'PCE Core'!$A:$E,2,)</f>
        <v>79.234999999999999</v>
      </c>
      <c r="C491" s="28">
        <f>VLOOKUP(Table3[[#This Row],[Date]],Database!$A:$E,5)</f>
        <v>177.1</v>
      </c>
      <c r="D491" s="26">
        <f>(((Table3[[#This Row],[Core PCE]]-$B$496)/$B$496)*100)+100</f>
        <v>99.296957240964446</v>
      </c>
      <c r="E491" s="26">
        <f>(((Table3[[#This Row],[Core CPI]]-$C$496)/$C$496)*100)+100</f>
        <v>99.104644655847792</v>
      </c>
      <c r="F491" s="27">
        <v>2.0749279538904871E-2</v>
      </c>
      <c r="G491" s="27">
        <f>VLOOKUP(Table3[[#This Row],[Date]],'PCE Core'!A:D,4,)</f>
        <v>1.2950320881593482E-2</v>
      </c>
    </row>
    <row r="492" spans="1:7" x14ac:dyDescent="0.35">
      <c r="A492" s="60">
        <v>36373</v>
      </c>
      <c r="B492" s="28">
        <f>VLOOKUP(Table3[[#This Row],[Date]],'PCE Core'!$A:$E,2,)</f>
        <v>79.272999999999996</v>
      </c>
      <c r="C492" s="26">
        <f>VLOOKUP(Table3[[#This Row],[Date]],Database!$A:$E,5)</f>
        <v>177.3</v>
      </c>
      <c r="D492" s="26">
        <f>(((Table3[[#This Row],[Core PCE]]-$B$496)/$B$496)*100)+100</f>
        <v>99.344578675622827</v>
      </c>
      <c r="E492" s="26">
        <f>(((Table3[[#This Row],[Core CPI]]-$C$496)/$C$496)*100)+100</f>
        <v>99.216564073866834</v>
      </c>
      <c r="F492" s="27">
        <v>1.8965517241379379E-2</v>
      </c>
      <c r="G492" s="27">
        <f>VLOOKUP(Table3[[#This Row],[Date]],'PCE Core'!A:D,4,)</f>
        <v>1.1457735247208882E-2</v>
      </c>
    </row>
    <row r="493" spans="1:7" x14ac:dyDescent="0.35">
      <c r="A493" s="63">
        <v>36404</v>
      </c>
      <c r="B493" s="28">
        <f>VLOOKUP(Table3[[#This Row],[Date]],'PCE Core'!$A:$E,2,)</f>
        <v>79.483000000000004</v>
      </c>
      <c r="C493" s="28">
        <f>VLOOKUP(Table3[[#This Row],[Date]],Database!$A:$E,5)</f>
        <v>177.8</v>
      </c>
      <c r="D493" s="26">
        <f>(((Table3[[#This Row],[Core PCE]]-$B$496)/$B$496)*100)+100</f>
        <v>99.607749761892819</v>
      </c>
      <c r="E493" s="26">
        <f>(((Table3[[#This Row],[Core CPI]]-$C$496)/$C$496)*100)+100</f>
        <v>99.496362618914389</v>
      </c>
      <c r="F493" s="27">
        <v>2.0665901262916321E-2</v>
      </c>
      <c r="G493" s="27">
        <f>VLOOKUP(Table3[[#This Row],[Date]],'PCE Core'!A:D,4,)</f>
        <v>1.4318347136968643E-2</v>
      </c>
    </row>
    <row r="494" spans="1:7" x14ac:dyDescent="0.35">
      <c r="A494" s="60">
        <v>36434</v>
      </c>
      <c r="B494" s="28">
        <f>VLOOKUP(Table3[[#This Row],[Date]],'PCE Core'!$A:$E,2,)</f>
        <v>79.619</v>
      </c>
      <c r="C494" s="28">
        <f>VLOOKUP(Table3[[#This Row],[Date]],Database!$A:$E,5)</f>
        <v>178.1</v>
      </c>
      <c r="D494" s="26">
        <f>(((Table3[[#This Row],[Core PCE]]-$B$496)/$B$496)*100)+100</f>
        <v>99.778184370143862</v>
      </c>
      <c r="E494" s="26">
        <f>(((Table3[[#This Row],[Core CPI]]-$C$496)/$C$496)*100)+100</f>
        <v>99.664241745942931</v>
      </c>
      <c r="F494" s="27">
        <v>2.1215596330275161E-2</v>
      </c>
      <c r="G494" s="27">
        <f>VLOOKUP(Table3[[#This Row],[Date]],'PCE Core'!A:D,4,)</f>
        <v>1.4073923121991034E-2</v>
      </c>
    </row>
    <row r="495" spans="1:7" x14ac:dyDescent="0.35">
      <c r="A495" s="63">
        <v>36465</v>
      </c>
      <c r="B495" s="28">
        <f>VLOOKUP(Table3[[#This Row],[Date]],'PCE Core'!$A:$E,2,)</f>
        <v>79.694999999999993</v>
      </c>
      <c r="C495" s="26">
        <f>VLOOKUP(Table3[[#This Row],[Date]],Database!$A:$E,5)</f>
        <v>178.4</v>
      </c>
      <c r="D495" s="26">
        <f>(((Table3[[#This Row],[Core PCE]]-$B$496)/$B$496)*100)+100</f>
        <v>99.873427239460611</v>
      </c>
      <c r="E495" s="26">
        <f>(((Table3[[#This Row],[Core CPI]]-$C$496)/$C$496)*100)+100</f>
        <v>99.832120872971473</v>
      </c>
      <c r="F495" s="27">
        <v>2.059496567505717E-2</v>
      </c>
      <c r="G495" s="27">
        <f>VLOOKUP(Table3[[#This Row],[Date]],'PCE Core'!A:D,4,)</f>
        <v>1.4860941320293237E-2</v>
      </c>
    </row>
    <row r="496" spans="1:7" x14ac:dyDescent="0.35">
      <c r="A496" s="60">
        <v>36495</v>
      </c>
      <c r="B496" s="28">
        <f>VLOOKUP(Table3[[#This Row],[Date]],'PCE Core'!$A:$E,2,)</f>
        <v>79.796000000000006</v>
      </c>
      <c r="C496" s="28">
        <f>VLOOKUP(Table3[[#This Row],[Date]],Database!$A:$E,5)</f>
        <v>178.7</v>
      </c>
      <c r="D496" s="26">
        <f>(((Table3[[#This Row],[Core PCE]]-$B$496)/$B$496)*100)+100</f>
        <v>100</v>
      </c>
      <c r="E496" s="26">
        <f>(((Table3[[#This Row],[Core CPI]]-$C$496)/$C$496)*100)+100</f>
        <v>100</v>
      </c>
      <c r="F496" s="27">
        <v>1.8814139110604231E-2</v>
      </c>
      <c r="G496" s="27">
        <f>VLOOKUP(Table3[[#This Row],[Date]],'PCE Core'!A:D,4,)</f>
        <v>1.4403213709113686E-2</v>
      </c>
    </row>
    <row r="497" spans="1:7" x14ac:dyDescent="0.35">
      <c r="A497" s="63">
        <v>36526</v>
      </c>
      <c r="B497" s="28">
        <f>VLOOKUP(Table3[[#This Row],[Date]],'PCE Core'!$A:$E,2,)</f>
        <v>79.986999999999995</v>
      </c>
      <c r="C497" s="28">
        <f>VLOOKUP(Table3[[#This Row],[Date]],Database!$A:$E,5)</f>
        <v>179.3</v>
      </c>
      <c r="D497" s="26">
        <f>(((Table3[[#This Row],[Core PCE]]-$B$496)/$B$496)*100)+100</f>
        <v>100.23936036894078</v>
      </c>
      <c r="E497" s="26">
        <f>(((Table3[[#This Row],[Core CPI]]-$C$496)/$C$496)*100)+100</f>
        <v>100.3357582540571</v>
      </c>
      <c r="F497" s="27">
        <v>2.1070615034168658E-2</v>
      </c>
      <c r="G497" s="27">
        <f>VLOOKUP(Table3[[#This Row],[Date]],'PCE Core'!A:D,4,)</f>
        <v>1.5372702345892131E-2</v>
      </c>
    </row>
    <row r="498" spans="1:7" x14ac:dyDescent="0.35">
      <c r="A498" s="60">
        <v>36557</v>
      </c>
      <c r="B498" s="28">
        <f>VLOOKUP(Table3[[#This Row],[Date]],'PCE Core'!$A:$E,2,)</f>
        <v>80.105999999999995</v>
      </c>
      <c r="C498" s="26">
        <f>VLOOKUP(Table3[[#This Row],[Date]],Database!$A:$E,5)</f>
        <v>179.4</v>
      </c>
      <c r="D498" s="26">
        <f>(((Table3[[#This Row],[Core PCE]]-$B$496)/$B$496)*100)+100</f>
        <v>100.38849065116044</v>
      </c>
      <c r="E498" s="26">
        <f>(((Table3[[#This Row],[Core CPI]]-$C$496)/$C$496)*100)+100</f>
        <v>100.3917179630666</v>
      </c>
      <c r="F498" s="27">
        <v>2.1640091116173189E-2</v>
      </c>
      <c r="G498" s="27">
        <f>VLOOKUP(Table3[[#This Row],[Date]],'PCE Core'!A:D,4,)</f>
        <v>1.7231964850347298E-2</v>
      </c>
    </row>
    <row r="499" spans="1:7" x14ac:dyDescent="0.35">
      <c r="A499" s="63">
        <v>36586</v>
      </c>
      <c r="B499" s="28">
        <f>VLOOKUP(Table3[[#This Row],[Date]],'PCE Core'!$A:$E,2,)</f>
        <v>80.27</v>
      </c>
      <c r="C499" s="28">
        <f>VLOOKUP(Table3[[#This Row],[Date]],Database!$A:$E,5)</f>
        <v>180</v>
      </c>
      <c r="D499" s="26">
        <f>(((Table3[[#This Row],[Core PCE]]-$B$496)/$B$496)*100)+100</f>
        <v>100.59401473758082</v>
      </c>
      <c r="E499" s="26">
        <f>(((Table3[[#This Row],[Core CPI]]-$C$496)/$C$496)*100)+100</f>
        <v>100.72747621712368</v>
      </c>
      <c r="F499" s="27">
        <v>2.447353443369386E-2</v>
      </c>
      <c r="G499" s="27">
        <f>VLOOKUP(Table3[[#This Row],[Date]],'PCE Core'!A:D,4,)</f>
        <v>1.9003973442677059E-2</v>
      </c>
    </row>
    <row r="500" spans="1:7" x14ac:dyDescent="0.35">
      <c r="A500" s="60">
        <v>36617</v>
      </c>
      <c r="B500" s="28">
        <f>VLOOKUP(Table3[[#This Row],[Date]],'PCE Core'!$A:$E,2,)</f>
        <v>80.322999999999993</v>
      </c>
      <c r="C500" s="28">
        <f>VLOOKUP(Table3[[#This Row],[Date]],Database!$A:$E,5)</f>
        <v>180.3</v>
      </c>
      <c r="D500" s="26">
        <f>(((Table3[[#This Row],[Core PCE]]-$B$496)/$B$496)*100)+100</f>
        <v>100.66043410697276</v>
      </c>
      <c r="E500" s="26">
        <f>(((Table3[[#This Row],[Core CPI]]-$C$496)/$C$496)*100)+100</f>
        <v>100.89535534415222</v>
      </c>
      <c r="F500" s="27">
        <v>2.2688598979013049E-2</v>
      </c>
      <c r="G500" s="27">
        <f>VLOOKUP(Table3[[#This Row],[Date]],'PCE Core'!A:D,4,)</f>
        <v>1.7068692624248167E-2</v>
      </c>
    </row>
    <row r="501" spans="1:7" x14ac:dyDescent="0.35">
      <c r="A501" s="63">
        <v>36647</v>
      </c>
      <c r="B501" s="28">
        <f>VLOOKUP(Table3[[#This Row],[Date]],'PCE Core'!$A:$E,2,)</f>
        <v>80.409000000000006</v>
      </c>
      <c r="C501" s="26">
        <f>VLOOKUP(Table3[[#This Row],[Date]],Database!$A:$E,5)</f>
        <v>180.7</v>
      </c>
      <c r="D501" s="26">
        <f>(((Table3[[#This Row],[Core PCE]]-$B$496)/$B$496)*100)+100</f>
        <v>100.76820893277859</v>
      </c>
      <c r="E501" s="26">
        <f>(((Table3[[#This Row],[Core CPI]]-$C$496)/$C$496)*100)+100</f>
        <v>101.11919418019026</v>
      </c>
      <c r="F501" s="27">
        <v>2.379603399433421E-2</v>
      </c>
      <c r="G501" s="27">
        <f>VLOOKUP(Table3[[#This Row],[Date]],'PCE Core'!A:D,4,)</f>
        <v>1.7178783317099138E-2</v>
      </c>
    </row>
    <row r="502" spans="1:7" x14ac:dyDescent="0.35">
      <c r="A502" s="60">
        <v>36678</v>
      </c>
      <c r="B502" s="28">
        <f>VLOOKUP(Table3[[#This Row],[Date]],'PCE Core'!$A:$E,2,)</f>
        <v>80.47</v>
      </c>
      <c r="C502" s="28">
        <f>VLOOKUP(Table3[[#This Row],[Date]],Database!$A:$E,5)</f>
        <v>181.1</v>
      </c>
      <c r="D502" s="26">
        <f>(((Table3[[#This Row],[Core PCE]]-$B$496)/$B$496)*100)+100</f>
        <v>100.84465386736176</v>
      </c>
      <c r="E502" s="26">
        <f>(((Table3[[#This Row],[Core CPI]]-$C$496)/$C$496)*100)+100</f>
        <v>101.34303301622832</v>
      </c>
      <c r="F502" s="27">
        <v>2.5481313703284259E-2</v>
      </c>
      <c r="G502" s="27">
        <f>VLOOKUP(Table3[[#This Row],[Date]],'PCE Core'!A:D,4,)</f>
        <v>1.7422748191978962E-2</v>
      </c>
    </row>
    <row r="503" spans="1:7" x14ac:dyDescent="0.35">
      <c r="A503" s="63">
        <v>36708</v>
      </c>
      <c r="B503" s="28">
        <f>VLOOKUP(Table3[[#This Row],[Date]],'PCE Core'!$A:$E,2,)</f>
        <v>80.653999999999996</v>
      </c>
      <c r="C503" s="28">
        <f>VLOOKUP(Table3[[#This Row],[Date]],Database!$A:$E,5)</f>
        <v>181.5</v>
      </c>
      <c r="D503" s="26">
        <f>(((Table3[[#This Row],[Core PCE]]-$B$496)/$B$496)*100)+100</f>
        <v>101.07524186676022</v>
      </c>
      <c r="E503" s="26">
        <f>(((Table3[[#This Row],[Core CPI]]-$C$496)/$C$496)*100)+100</f>
        <v>101.56687185226637</v>
      </c>
      <c r="F503" s="27">
        <v>2.4844720496894439E-2</v>
      </c>
      <c r="G503" s="27">
        <f>VLOOKUP(Table3[[#This Row],[Date]],'PCE Core'!A:D,4,)</f>
        <v>1.790875244525774E-2</v>
      </c>
    </row>
    <row r="504" spans="1:7" x14ac:dyDescent="0.35">
      <c r="A504" s="60">
        <v>36739</v>
      </c>
      <c r="B504" s="28">
        <f>VLOOKUP(Table3[[#This Row],[Date]],'PCE Core'!$A:$E,2,)</f>
        <v>80.757000000000005</v>
      </c>
      <c r="C504" s="26">
        <f>VLOOKUP(Table3[[#This Row],[Date]],Database!$A:$E,5)</f>
        <v>181.9</v>
      </c>
      <c r="D504" s="26">
        <f>(((Table3[[#This Row],[Core PCE]]-$B$496)/$B$496)*100)+100</f>
        <v>101.20432101859743</v>
      </c>
      <c r="E504" s="26">
        <f>(((Table3[[#This Row],[Core CPI]]-$C$496)/$C$496)*100)+100</f>
        <v>101.79071068830443</v>
      </c>
      <c r="F504" s="27">
        <v>2.5944726452340632E-2</v>
      </c>
      <c r="G504" s="27">
        <f>VLOOKUP(Table3[[#This Row],[Date]],'PCE Core'!A:D,4,)</f>
        <v>1.8720119082159235E-2</v>
      </c>
    </row>
    <row r="505" spans="1:7" x14ac:dyDescent="0.35">
      <c r="A505" s="63">
        <v>36770</v>
      </c>
      <c r="B505" s="28">
        <f>VLOOKUP(Table3[[#This Row],[Date]],'PCE Core'!$A:$E,2,)</f>
        <v>80.953000000000003</v>
      </c>
      <c r="C505" s="28">
        <f>VLOOKUP(Table3[[#This Row],[Date]],Database!$A:$E,5)</f>
        <v>182.3</v>
      </c>
      <c r="D505" s="26">
        <f>(((Table3[[#This Row],[Core PCE]]-$B$496)/$B$496)*100)+100</f>
        <v>101.44994736578275</v>
      </c>
      <c r="E505" s="26">
        <f>(((Table3[[#This Row],[Core CPI]]-$C$496)/$C$496)*100)+100</f>
        <v>102.01454952434248</v>
      </c>
      <c r="F505" s="27">
        <v>2.5309336332958381E-2</v>
      </c>
      <c r="G505" s="27">
        <f>VLOOKUP(Table3[[#This Row],[Date]],'PCE Core'!A:D,4,)</f>
        <v>1.8494520840934524E-2</v>
      </c>
    </row>
    <row r="506" spans="1:7" x14ac:dyDescent="0.35">
      <c r="A506" s="60">
        <v>36800</v>
      </c>
      <c r="B506" s="28">
        <f>VLOOKUP(Table3[[#This Row],[Date]],'PCE Core'!$A:$E,2,)</f>
        <v>81.066999999999993</v>
      </c>
      <c r="C506" s="28">
        <f>VLOOKUP(Table3[[#This Row],[Date]],Database!$A:$E,5)</f>
        <v>182.6</v>
      </c>
      <c r="D506" s="26">
        <f>(((Table3[[#This Row],[Core PCE]]-$B$496)/$B$496)*100)+100</f>
        <v>101.59281166975786</v>
      </c>
      <c r="E506" s="26">
        <f>(((Table3[[#This Row],[Core CPI]]-$C$496)/$C$496)*100)+100</f>
        <v>102.18242865137101</v>
      </c>
      <c r="F506" s="27">
        <v>2.526670409882089E-2</v>
      </c>
      <c r="G506" s="27">
        <f>VLOOKUP(Table3[[#This Row],[Date]],'PCE Core'!A:D,4,)</f>
        <v>1.8186613747974645E-2</v>
      </c>
    </row>
    <row r="507" spans="1:7" x14ac:dyDescent="0.35">
      <c r="A507" s="63">
        <v>36831</v>
      </c>
      <c r="B507" s="28">
        <f>VLOOKUP(Table3[[#This Row],[Date]],'PCE Core'!$A:$E,2,)</f>
        <v>81.209999999999994</v>
      </c>
      <c r="C507" s="26">
        <f>VLOOKUP(Table3[[#This Row],[Date]],Database!$A:$E,5)</f>
        <v>183.1</v>
      </c>
      <c r="D507" s="26">
        <f>(((Table3[[#This Row],[Core PCE]]-$B$496)/$B$496)*100)+100</f>
        <v>101.77201864755123</v>
      </c>
      <c r="E507" s="26">
        <f>(((Table3[[#This Row],[Core CPI]]-$C$496)/$C$496)*100)+100</f>
        <v>102.46222719641858</v>
      </c>
      <c r="F507" s="27">
        <v>2.6345291479820562E-2</v>
      </c>
      <c r="G507" s="27">
        <f>VLOOKUP(Table3[[#This Row],[Date]],'PCE Core'!A:D,4,)</f>
        <v>1.9009975531714671E-2</v>
      </c>
    </row>
    <row r="508" spans="1:7" x14ac:dyDescent="0.35">
      <c r="A508" s="60">
        <v>36861</v>
      </c>
      <c r="B508" s="28">
        <f>VLOOKUP(Table3[[#This Row],[Date]],'PCE Core'!$A:$E,2,)</f>
        <v>81.289000000000001</v>
      </c>
      <c r="C508" s="28">
        <f>VLOOKUP(Table3[[#This Row],[Date]],Database!$A:$E,5)</f>
        <v>183.3</v>
      </c>
      <c r="D508" s="26">
        <f>(((Table3[[#This Row],[Core PCE]]-$B$496)/$B$496)*100)+100</f>
        <v>101.87102110381473</v>
      </c>
      <c r="E508" s="26">
        <f>(((Table3[[#This Row],[Core CPI]]-$C$496)/$C$496)*100)+100</f>
        <v>102.57414661443762</v>
      </c>
      <c r="F508" s="27">
        <v>2.5741466144376179E-2</v>
      </c>
      <c r="G508" s="27">
        <f>VLOOKUP(Table3[[#This Row],[Date]],'PCE Core'!A:D,4,)</f>
        <v>1.8710211038147212E-2</v>
      </c>
    </row>
    <row r="509" spans="1:7" x14ac:dyDescent="0.35">
      <c r="A509" s="63">
        <v>36892</v>
      </c>
      <c r="B509" s="28">
        <f>VLOOKUP(Table3[[#This Row],[Date]],'PCE Core'!$A:$E,2,)</f>
        <v>81.591999999999999</v>
      </c>
      <c r="C509" s="28">
        <f>VLOOKUP(Table3[[#This Row],[Date]],Database!$A:$E,5)</f>
        <v>183.9</v>
      </c>
      <c r="D509" s="26">
        <f>(((Table3[[#This Row],[Core PCE]]-$B$496)/$B$496)*100)+100</f>
        <v>102.25073938543284</v>
      </c>
      <c r="E509" s="26">
        <f>(((Table3[[#This Row],[Core CPI]]-$C$496)/$C$496)*100)+100</f>
        <v>102.90990486849469</v>
      </c>
      <c r="F509" s="27">
        <v>2.5655326268823171E-2</v>
      </c>
      <c r="G509" s="27">
        <f>VLOOKUP(Table3[[#This Row],[Date]],'PCE Core'!A:D,4,)</f>
        <v>2.0065760686111545E-2</v>
      </c>
    </row>
    <row r="510" spans="1:7" x14ac:dyDescent="0.35">
      <c r="A510" s="60">
        <v>36923</v>
      </c>
      <c r="B510" s="28">
        <f>VLOOKUP(Table3[[#This Row],[Date]],'PCE Core'!$A:$E,2,)</f>
        <v>81.736000000000004</v>
      </c>
      <c r="C510" s="26">
        <f>VLOOKUP(Table3[[#This Row],[Date]],Database!$A:$E,5)</f>
        <v>184.4</v>
      </c>
      <c r="D510" s="26">
        <f>(((Table3[[#This Row],[Core PCE]]-$B$496)/$B$496)*100)+100</f>
        <v>102.43119955887514</v>
      </c>
      <c r="E510" s="26">
        <f>(((Table3[[#This Row],[Core CPI]]-$C$496)/$C$496)*100)+100</f>
        <v>103.18970341354226</v>
      </c>
      <c r="F510" s="27">
        <v>2.7870680044593091E-2</v>
      </c>
      <c r="G510" s="27">
        <f>VLOOKUP(Table3[[#This Row],[Date]],'PCE Core'!A:D,4,)</f>
        <v>2.0348038848525825E-2</v>
      </c>
    </row>
    <row r="511" spans="1:7" x14ac:dyDescent="0.35">
      <c r="A511" s="63">
        <v>36951</v>
      </c>
      <c r="B511" s="28">
        <f>VLOOKUP(Table3[[#This Row],[Date]],'PCE Core'!$A:$E,2,)</f>
        <v>81.820999999999998</v>
      </c>
      <c r="C511" s="28">
        <f>VLOOKUP(Table3[[#This Row],[Date]],Database!$A:$E,5)</f>
        <v>184.7</v>
      </c>
      <c r="D511" s="26">
        <f>(((Table3[[#This Row],[Core PCE]]-$B$496)/$B$496)*100)+100</f>
        <v>102.53772118903203</v>
      </c>
      <c r="E511" s="26">
        <f>(((Table3[[#This Row],[Core CPI]]-$C$496)/$C$496)*100)+100</f>
        <v>103.35758254057079</v>
      </c>
      <c r="F511" s="27">
        <v>2.611111111111105E-2</v>
      </c>
      <c r="G511" s="27">
        <f>VLOOKUP(Table3[[#This Row],[Date]],'PCE Core'!A:D,4,)</f>
        <v>1.932228728042858E-2</v>
      </c>
    </row>
    <row r="512" spans="1:7" x14ac:dyDescent="0.35">
      <c r="A512" s="60">
        <v>36982</v>
      </c>
      <c r="B512" s="28">
        <f>VLOOKUP(Table3[[#This Row],[Date]],'PCE Core'!$A:$E,2,)</f>
        <v>81.950999999999993</v>
      </c>
      <c r="C512" s="28">
        <f>VLOOKUP(Table3[[#This Row],[Date]],Database!$A:$E,5)</f>
        <v>185.1</v>
      </c>
      <c r="D512" s="26">
        <f>(((Table3[[#This Row],[Core PCE]]-$B$496)/$B$496)*100)+100</f>
        <v>102.70063662338963</v>
      </c>
      <c r="E512" s="26">
        <f>(((Table3[[#This Row],[Core CPI]]-$C$496)/$C$496)*100)+100</f>
        <v>103.58142137660884</v>
      </c>
      <c r="F512" s="27">
        <v>2.6622296173044829E-2</v>
      </c>
      <c r="G512" s="27">
        <f>VLOOKUP(Table3[[#This Row],[Date]],'PCE Core'!A:D,4,)</f>
        <v>2.0268167274628691E-2</v>
      </c>
    </row>
    <row r="513" spans="1:7" x14ac:dyDescent="0.35">
      <c r="A513" s="63">
        <v>37012</v>
      </c>
      <c r="B513" s="28">
        <f>VLOOKUP(Table3[[#This Row],[Date]],'PCE Core'!$A:$E,2,)</f>
        <v>81.97</v>
      </c>
      <c r="C513" s="26">
        <f>VLOOKUP(Table3[[#This Row],[Date]],Database!$A:$E,5)</f>
        <v>185.3</v>
      </c>
      <c r="D513" s="26">
        <f>(((Table3[[#This Row],[Core PCE]]-$B$496)/$B$496)*100)+100</f>
        <v>102.72444734071883</v>
      </c>
      <c r="E513" s="26">
        <f>(((Table3[[#This Row],[Core CPI]]-$C$496)/$C$496)*100)+100</f>
        <v>103.69334079462789</v>
      </c>
      <c r="F513" s="27">
        <v>2.5456557830658678E-2</v>
      </c>
      <c r="G513" s="27">
        <f>VLOOKUP(Table3[[#This Row],[Date]],'PCE Core'!A:D,4,)</f>
        <v>1.9413249760598848E-2</v>
      </c>
    </row>
    <row r="514" spans="1:7" x14ac:dyDescent="0.35">
      <c r="A514" s="60">
        <v>37043</v>
      </c>
      <c r="B514" s="28">
        <f>VLOOKUP(Table3[[#This Row],[Date]],'PCE Core'!$A:$E,2,)</f>
        <v>82.153999999999996</v>
      </c>
      <c r="C514" s="28">
        <f>VLOOKUP(Table3[[#This Row],[Date]],Database!$A:$E,5)</f>
        <v>186</v>
      </c>
      <c r="D514" s="26">
        <f>(((Table3[[#This Row],[Core PCE]]-$B$496)/$B$496)*100)+100</f>
        <v>102.95503534011729</v>
      </c>
      <c r="E514" s="26">
        <f>(((Table3[[#This Row],[Core CPI]]-$C$496)/$C$496)*100)+100</f>
        <v>104.08505875769447</v>
      </c>
      <c r="F514" s="27">
        <v>2.705687465488683E-2</v>
      </c>
      <c r="G514" s="27">
        <f>VLOOKUP(Table3[[#This Row],[Date]],'PCE Core'!A:D,4,)</f>
        <v>2.0927053560333014E-2</v>
      </c>
    </row>
    <row r="515" spans="1:7" x14ac:dyDescent="0.35">
      <c r="A515" s="63">
        <v>37073</v>
      </c>
      <c r="B515" s="28">
        <f>VLOOKUP(Table3[[#This Row],[Date]],'PCE Core'!$A:$E,2,)</f>
        <v>82.366</v>
      </c>
      <c r="C515" s="28">
        <f>VLOOKUP(Table3[[#This Row],[Date]],Database!$A:$E,5)</f>
        <v>186.4</v>
      </c>
      <c r="D515" s="26">
        <f>(((Table3[[#This Row],[Core PCE]]-$B$496)/$B$496)*100)+100</f>
        <v>103.22071281768508</v>
      </c>
      <c r="E515" s="26">
        <f>(((Table3[[#This Row],[Core CPI]]-$C$496)/$C$496)*100)+100</f>
        <v>104.30889759373252</v>
      </c>
      <c r="F515" s="27">
        <v>2.6997245179063389E-2</v>
      </c>
      <c r="G515" s="27">
        <f>VLOOKUP(Table3[[#This Row],[Date]],'PCE Core'!A:D,4,)</f>
        <v>2.1226473578495837E-2</v>
      </c>
    </row>
    <row r="516" spans="1:7" x14ac:dyDescent="0.35">
      <c r="A516" s="60">
        <v>37104</v>
      </c>
      <c r="B516" s="28">
        <f>VLOOKUP(Table3[[#This Row],[Date]],'PCE Core'!$A:$E,2,)</f>
        <v>82.406000000000006</v>
      </c>
      <c r="C516" s="26">
        <f>VLOOKUP(Table3[[#This Row],[Date]],Database!$A:$E,5)</f>
        <v>186.7</v>
      </c>
      <c r="D516" s="26">
        <f>(((Table3[[#This Row],[Core PCE]]-$B$496)/$B$496)*100)+100</f>
        <v>103.27084064364128</v>
      </c>
      <c r="E516" s="26">
        <f>(((Table3[[#This Row],[Core CPI]]-$C$496)/$C$496)*100)+100</f>
        <v>104.47677672076105</v>
      </c>
      <c r="F516" s="27">
        <v>2.6388125343595289E-2</v>
      </c>
      <c r="G516" s="27">
        <f>VLOOKUP(Table3[[#This Row],[Date]],'PCE Core'!A:D,4,)</f>
        <v>2.0419282538974959E-2</v>
      </c>
    </row>
    <row r="517" spans="1:7" x14ac:dyDescent="0.35">
      <c r="A517" s="63">
        <v>37135</v>
      </c>
      <c r="B517" s="28">
        <f>VLOOKUP(Table3[[#This Row],[Date]],'PCE Core'!$A:$E,2,)</f>
        <v>81.938999999999993</v>
      </c>
      <c r="C517" s="28">
        <f>VLOOKUP(Table3[[#This Row],[Date]],Database!$A:$E,5)</f>
        <v>187.1</v>
      </c>
      <c r="D517" s="26">
        <f>(((Table3[[#This Row],[Core PCE]]-$B$496)/$B$496)*100)+100</f>
        <v>102.68559827560277</v>
      </c>
      <c r="E517" s="26">
        <f>(((Table3[[#This Row],[Core CPI]]-$C$496)/$C$496)*100)+100</f>
        <v>104.70061555679911</v>
      </c>
      <c r="F517" s="27">
        <v>2.6330224904004291E-2</v>
      </c>
      <c r="G517" s="27">
        <f>VLOOKUP(Table3[[#This Row],[Date]],'PCE Core'!A:D,4,)</f>
        <v>1.2179906859535655E-2</v>
      </c>
    </row>
    <row r="518" spans="1:7" x14ac:dyDescent="0.35">
      <c r="A518" s="60">
        <v>37165</v>
      </c>
      <c r="B518" s="28">
        <f>VLOOKUP(Table3[[#This Row],[Date]],'PCE Core'!$A:$E,2,)</f>
        <v>82.516000000000005</v>
      </c>
      <c r="C518" s="28">
        <f>VLOOKUP(Table3[[#This Row],[Date]],Database!$A:$E,5)</f>
        <v>187.4</v>
      </c>
      <c r="D518" s="26">
        <f>(((Table3[[#This Row],[Core PCE]]-$B$496)/$B$496)*100)+100</f>
        <v>103.4086921650208</v>
      </c>
      <c r="E518" s="26">
        <f>(((Table3[[#This Row],[Core CPI]]-$C$496)/$C$496)*100)+100</f>
        <v>104.86849468382765</v>
      </c>
      <c r="F518" s="27">
        <v>2.6286966046002249E-2</v>
      </c>
      <c r="G518" s="27">
        <f>VLOOKUP(Table3[[#This Row],[Date]],'PCE Core'!A:D,4,)</f>
        <v>1.7874104136085121E-2</v>
      </c>
    </row>
    <row r="519" spans="1:7" x14ac:dyDescent="0.35">
      <c r="A519" s="63">
        <v>37196</v>
      </c>
      <c r="B519" s="28">
        <f>VLOOKUP(Table3[[#This Row],[Date]],'PCE Core'!$A:$E,2,)</f>
        <v>82.683000000000007</v>
      </c>
      <c r="C519" s="26">
        <f>VLOOKUP(Table3[[#This Row],[Date]],Database!$A:$E,5)</f>
        <v>188.1</v>
      </c>
      <c r="D519" s="26">
        <f>(((Table3[[#This Row],[Core PCE]]-$B$496)/$B$496)*100)+100</f>
        <v>103.61797583838789</v>
      </c>
      <c r="E519" s="26">
        <f>(((Table3[[#This Row],[Core CPI]]-$C$496)/$C$496)*100)+100</f>
        <v>105.26021264689425</v>
      </c>
      <c r="F519" s="27">
        <v>2.7307482250136541E-2</v>
      </c>
      <c r="G519" s="27">
        <f>VLOOKUP(Table3[[#This Row],[Date]],'PCE Core'!A:D,4,)</f>
        <v>1.813816032508328E-2</v>
      </c>
    </row>
    <row r="520" spans="1:7" x14ac:dyDescent="0.35">
      <c r="A520" s="60">
        <v>37226</v>
      </c>
      <c r="B520" s="28">
        <f>VLOOKUP(Table3[[#This Row],[Date]],'PCE Core'!$A:$E,2,)</f>
        <v>82.701999999999998</v>
      </c>
      <c r="C520" s="28">
        <f>VLOOKUP(Table3[[#This Row],[Date]],Database!$A:$E,5)</f>
        <v>188.4</v>
      </c>
      <c r="D520" s="26">
        <f>(((Table3[[#This Row],[Core PCE]]-$B$496)/$B$496)*100)+100</f>
        <v>103.64178655571706</v>
      </c>
      <c r="E520" s="26">
        <f>(((Table3[[#This Row],[Core CPI]]-$C$496)/$C$496)*100)+100</f>
        <v>105.42809177392279</v>
      </c>
      <c r="F520" s="27">
        <v>2.7823240589197999E-2</v>
      </c>
      <c r="G520" s="27">
        <f>VLOOKUP(Table3[[#This Row],[Date]],'PCE Core'!A:D,4,)</f>
        <v>1.7382425666449295E-2</v>
      </c>
    </row>
    <row r="521" spans="1:7" x14ac:dyDescent="0.35">
      <c r="A521" s="63">
        <v>37257</v>
      </c>
      <c r="B521" s="28">
        <f>VLOOKUP(Table3[[#This Row],[Date]],'PCE Core'!$A:$E,2,)</f>
        <v>82.75</v>
      </c>
      <c r="C521" s="28">
        <f>VLOOKUP(Table3[[#This Row],[Date]],Database!$A:$E,5)</f>
        <v>188.7</v>
      </c>
      <c r="D521" s="26">
        <f>(((Table3[[#This Row],[Core PCE]]-$B$496)/$B$496)*100)+100</f>
        <v>103.7019399468645</v>
      </c>
      <c r="E521" s="26">
        <f>(((Table3[[#This Row],[Core CPI]]-$C$496)/$C$496)*100)+100</f>
        <v>105.59597090095131</v>
      </c>
      <c r="F521" s="27">
        <v>2.6101141924959121E-2</v>
      </c>
      <c r="G521" s="27">
        <f>VLOOKUP(Table3[[#This Row],[Date]],'PCE Core'!A:D,4,)</f>
        <v>1.4192567898813624E-2</v>
      </c>
    </row>
    <row r="522" spans="1:7" x14ac:dyDescent="0.35">
      <c r="A522" s="60">
        <v>37288</v>
      </c>
      <c r="B522" s="28">
        <f>VLOOKUP(Table3[[#This Row],[Date]],'PCE Core'!$A:$E,2,)</f>
        <v>82.906999999999996</v>
      </c>
      <c r="C522" s="26">
        <f>VLOOKUP(Table3[[#This Row],[Date]],Database!$A:$E,5)</f>
        <v>189.1</v>
      </c>
      <c r="D522" s="26">
        <f>(((Table3[[#This Row],[Core PCE]]-$B$496)/$B$496)*100)+100</f>
        <v>103.89869166374253</v>
      </c>
      <c r="E522" s="26">
        <f>(((Table3[[#This Row],[Core CPI]]-$C$496)/$C$496)*100)+100</f>
        <v>105.81980973698937</v>
      </c>
      <c r="F522" s="27">
        <v>2.5488069414316639E-2</v>
      </c>
      <c r="G522" s="27">
        <f>VLOOKUP(Table3[[#This Row],[Date]],'PCE Core'!A:D,4,)</f>
        <v>1.4326612508564063E-2</v>
      </c>
    </row>
    <row r="523" spans="1:7" x14ac:dyDescent="0.35">
      <c r="A523" s="63">
        <v>37316</v>
      </c>
      <c r="B523" s="28">
        <f>VLOOKUP(Table3[[#This Row],[Date]],'PCE Core'!$A:$E,2,)</f>
        <v>83.006</v>
      </c>
      <c r="C523" s="28">
        <f>VLOOKUP(Table3[[#This Row],[Date]],Database!$A:$E,5)</f>
        <v>189.2</v>
      </c>
      <c r="D523" s="26">
        <f>(((Table3[[#This Row],[Core PCE]]-$B$496)/$B$496)*100)+100</f>
        <v>104.0227580329841</v>
      </c>
      <c r="E523" s="26">
        <f>(((Table3[[#This Row],[Core CPI]]-$C$496)/$C$496)*100)+100</f>
        <v>105.87576944599888</v>
      </c>
      <c r="F523" s="27">
        <v>2.4363833243096919E-2</v>
      </c>
      <c r="G523" s="27">
        <f>VLOOKUP(Table3[[#This Row],[Date]],'PCE Core'!A:D,4,)</f>
        <v>1.4482834480145711E-2</v>
      </c>
    </row>
    <row r="524" spans="1:7" x14ac:dyDescent="0.35">
      <c r="A524" s="60">
        <v>37347</v>
      </c>
      <c r="B524" s="28">
        <f>VLOOKUP(Table3[[#This Row],[Date]],'PCE Core'!$A:$E,2,)</f>
        <v>83.238</v>
      </c>
      <c r="C524" s="28">
        <f>VLOOKUP(Table3[[#This Row],[Date]],Database!$A:$E,5)</f>
        <v>189.7</v>
      </c>
      <c r="D524" s="26">
        <f>(((Table3[[#This Row],[Core PCE]]-$B$496)/$B$496)*100)+100</f>
        <v>104.31349942352999</v>
      </c>
      <c r="E524" s="26">
        <f>(((Table3[[#This Row],[Core CPI]]-$C$496)/$C$496)*100)+100</f>
        <v>106.15556799104645</v>
      </c>
      <c r="F524" s="27">
        <v>2.4851431658562909E-2</v>
      </c>
      <c r="G524" s="27">
        <f>VLOOKUP(Table3[[#This Row],[Date]],'PCE Core'!A:D,4,)</f>
        <v>1.5704506351356375E-2</v>
      </c>
    </row>
    <row r="525" spans="1:7" x14ac:dyDescent="0.35">
      <c r="A525" s="63">
        <v>37377</v>
      </c>
      <c r="B525" s="28">
        <f>VLOOKUP(Table3[[#This Row],[Date]],'PCE Core'!$A:$E,2,)</f>
        <v>83.331000000000003</v>
      </c>
      <c r="C525" s="26">
        <f>VLOOKUP(Table3[[#This Row],[Date]],Database!$A:$E,5)</f>
        <v>190</v>
      </c>
      <c r="D525" s="26">
        <f>(((Table3[[#This Row],[Core PCE]]-$B$496)/$B$496)*100)+100</f>
        <v>104.43004661887814</v>
      </c>
      <c r="E525" s="26">
        <f>(((Table3[[#This Row],[Core CPI]]-$C$496)/$C$496)*100)+100</f>
        <v>106.32344711807499</v>
      </c>
      <c r="F525" s="27">
        <v>2.5364274150026921E-2</v>
      </c>
      <c r="G525" s="27">
        <f>VLOOKUP(Table3[[#This Row],[Date]],'PCE Core'!A:D,4,)</f>
        <v>1.6603635476393853E-2</v>
      </c>
    </row>
    <row r="526" spans="1:7" x14ac:dyDescent="0.35">
      <c r="A526" s="60">
        <v>37408</v>
      </c>
      <c r="B526" s="28">
        <f>VLOOKUP(Table3[[#This Row],[Date]],'PCE Core'!$A:$E,2,)</f>
        <v>83.462999999999994</v>
      </c>
      <c r="C526" s="28">
        <f>VLOOKUP(Table3[[#This Row],[Date]],Database!$A:$E,5)</f>
        <v>190.2</v>
      </c>
      <c r="D526" s="26">
        <f>(((Table3[[#This Row],[Core PCE]]-$B$496)/$B$496)*100)+100</f>
        <v>104.59546844453354</v>
      </c>
      <c r="E526" s="26">
        <f>(((Table3[[#This Row],[Core CPI]]-$C$496)/$C$496)*100)+100</f>
        <v>106.43536653609401</v>
      </c>
      <c r="F526" s="27">
        <v>2.2580645161290259E-2</v>
      </c>
      <c r="G526" s="27">
        <f>VLOOKUP(Table3[[#This Row],[Date]],'PCE Core'!A:D,4,)</f>
        <v>1.5933490761253225E-2</v>
      </c>
    </row>
    <row r="527" spans="1:7" x14ac:dyDescent="0.35">
      <c r="A527" s="63">
        <v>37438</v>
      </c>
      <c r="B527" s="28">
        <f>VLOOKUP(Table3[[#This Row],[Date]],'PCE Core'!$A:$E,2,)</f>
        <v>83.632000000000005</v>
      </c>
      <c r="C527" s="28">
        <f>VLOOKUP(Table3[[#This Row],[Date]],Database!$A:$E,5)</f>
        <v>190.5</v>
      </c>
      <c r="D527" s="26">
        <f>(((Table3[[#This Row],[Core PCE]]-$B$496)/$B$496)*100)+100</f>
        <v>104.80725850919845</v>
      </c>
      <c r="E527" s="26">
        <f>(((Table3[[#This Row],[Core CPI]]-$C$496)/$C$496)*100)+100</f>
        <v>106.60324566312256</v>
      </c>
      <c r="F527" s="27">
        <v>2.199570815450641E-2</v>
      </c>
      <c r="G527" s="27">
        <f>VLOOKUP(Table3[[#This Row],[Date]],'PCE Core'!A:D,4,)</f>
        <v>1.5370419833426479E-2</v>
      </c>
    </row>
    <row r="528" spans="1:7" x14ac:dyDescent="0.35">
      <c r="A528" s="60">
        <v>37469</v>
      </c>
      <c r="B528" s="28">
        <f>VLOOKUP(Table3[[#This Row],[Date]],'PCE Core'!$A:$E,2,)</f>
        <v>83.796999999999997</v>
      </c>
      <c r="C528" s="26">
        <f>VLOOKUP(Table3[[#This Row],[Date]],Database!$A:$E,5)</f>
        <v>191.1</v>
      </c>
      <c r="D528" s="26">
        <f>(((Table3[[#This Row],[Core PCE]]-$B$496)/$B$496)*100)+100</f>
        <v>105.01403579126772</v>
      </c>
      <c r="E528" s="26">
        <f>(((Table3[[#This Row],[Core CPI]]-$C$496)/$C$496)*100)+100</f>
        <v>106.93900391717963</v>
      </c>
      <c r="F528" s="27">
        <v>2.356722013926088E-2</v>
      </c>
      <c r="G528" s="27">
        <f>VLOOKUP(Table3[[#This Row],[Date]],'PCE Core'!A:D,4,)</f>
        <v>1.6879838846685813E-2</v>
      </c>
    </row>
    <row r="529" spans="1:7" x14ac:dyDescent="0.35">
      <c r="A529" s="63">
        <v>37500</v>
      </c>
      <c r="B529" s="28">
        <f>VLOOKUP(Table3[[#This Row],[Date]],'PCE Core'!$A:$E,2,)</f>
        <v>83.933999999999997</v>
      </c>
      <c r="C529" s="28">
        <f>VLOOKUP(Table3[[#This Row],[Date]],Database!$A:$E,5)</f>
        <v>191.3</v>
      </c>
      <c r="D529" s="26">
        <f>(((Table3[[#This Row],[Core PCE]]-$B$496)/$B$496)*100)+100</f>
        <v>105.18572359516767</v>
      </c>
      <c r="E529" s="26">
        <f>(((Table3[[#This Row],[Core CPI]]-$C$496)/$C$496)*100)+100</f>
        <v>107.05092333519868</v>
      </c>
      <c r="F529" s="27">
        <v>2.2447888829503031E-2</v>
      </c>
      <c r="G529" s="27">
        <f>VLOOKUP(Table3[[#This Row],[Date]],'PCE Core'!A:D,4,)</f>
        <v>2.4347380368322836E-2</v>
      </c>
    </row>
    <row r="530" spans="1:7" x14ac:dyDescent="0.35">
      <c r="A530" s="60">
        <v>37530</v>
      </c>
      <c r="B530" s="28">
        <f>VLOOKUP(Table3[[#This Row],[Date]],'PCE Core'!$A:$E,2,)</f>
        <v>84.004999999999995</v>
      </c>
      <c r="C530" s="28">
        <f>VLOOKUP(Table3[[#This Row],[Date]],Database!$A:$E,5)</f>
        <v>191.5</v>
      </c>
      <c r="D530" s="26">
        <f>(((Table3[[#This Row],[Core PCE]]-$B$496)/$B$496)*100)+100</f>
        <v>105.27470048623989</v>
      </c>
      <c r="E530" s="26">
        <f>(((Table3[[#This Row],[Core CPI]]-$C$496)/$C$496)*100)+100</f>
        <v>107.16284275321769</v>
      </c>
      <c r="F530" s="27">
        <v>2.1878335112059739E-2</v>
      </c>
      <c r="G530" s="27">
        <f>VLOOKUP(Table3[[#This Row],[Date]],'PCE Core'!A:D,4,)</f>
        <v>1.8044985214988488E-2</v>
      </c>
    </row>
    <row r="531" spans="1:7" x14ac:dyDescent="0.35">
      <c r="A531" s="63">
        <v>37561</v>
      </c>
      <c r="B531" s="28">
        <f>VLOOKUP(Table3[[#This Row],[Date]],'PCE Core'!$A:$E,2,)</f>
        <v>84.087000000000003</v>
      </c>
      <c r="C531" s="26">
        <f>VLOOKUP(Table3[[#This Row],[Date]],Database!$A:$E,5)</f>
        <v>191.9</v>
      </c>
      <c r="D531" s="26">
        <f>(((Table3[[#This Row],[Core PCE]]-$B$496)/$B$496)*100)+100</f>
        <v>105.3774625294501</v>
      </c>
      <c r="E531" s="26">
        <f>(((Table3[[#This Row],[Core CPI]]-$C$496)/$C$496)*100)+100</f>
        <v>107.38668158925574</v>
      </c>
      <c r="F531" s="27">
        <v>2.0202020202020259E-2</v>
      </c>
      <c r="G531" s="27">
        <f>VLOOKUP(Table3[[#This Row],[Date]],'PCE Core'!A:D,4,)</f>
        <v>1.698051594644602E-2</v>
      </c>
    </row>
    <row r="532" spans="1:7" x14ac:dyDescent="0.35">
      <c r="A532" s="60">
        <v>37591</v>
      </c>
      <c r="B532" s="28">
        <f>VLOOKUP(Table3[[#This Row],[Date]],'PCE Core'!$A:$E,2,)</f>
        <v>84.165000000000006</v>
      </c>
      <c r="C532" s="28">
        <f>VLOOKUP(Table3[[#This Row],[Date]],Database!$A:$E,5)</f>
        <v>192.1</v>
      </c>
      <c r="D532" s="26">
        <f>(((Table3[[#This Row],[Core PCE]]-$B$496)/$B$496)*100)+100</f>
        <v>105.47521179006466</v>
      </c>
      <c r="E532" s="26">
        <f>(((Table3[[#This Row],[Core CPI]]-$C$496)/$C$496)*100)+100</f>
        <v>107.49860100727477</v>
      </c>
      <c r="F532" s="27">
        <v>1.963906581740971E-2</v>
      </c>
      <c r="G532" s="27">
        <f>VLOOKUP(Table3[[#This Row],[Date]],'PCE Core'!A:D,4,)</f>
        <v>1.7690019588401829E-2</v>
      </c>
    </row>
    <row r="533" spans="1:7" x14ac:dyDescent="0.35">
      <c r="A533" s="63">
        <v>37622</v>
      </c>
      <c r="B533" s="28">
        <f>VLOOKUP(Table3[[#This Row],[Date]],'PCE Core'!$A:$E,2,)</f>
        <v>84.222999999999999</v>
      </c>
      <c r="C533" s="28">
        <f>VLOOKUP(Table3[[#This Row],[Date]],Database!$A:$E,5)</f>
        <v>192.4</v>
      </c>
      <c r="D533" s="26">
        <f>(((Table3[[#This Row],[Core PCE]]-$B$496)/$B$496)*100)+100</f>
        <v>105.54789713770113</v>
      </c>
      <c r="E533" s="26">
        <f>(((Table3[[#This Row],[Core CPI]]-$C$496)/$C$496)*100)+100</f>
        <v>107.66648013430331</v>
      </c>
      <c r="F533" s="27">
        <v>1.9607843137254988E-2</v>
      </c>
      <c r="G533" s="27">
        <f>VLOOKUP(Table3[[#This Row],[Date]],'PCE Core'!A:D,4,)</f>
        <v>1.7800604229607237E-2</v>
      </c>
    </row>
    <row r="534" spans="1:7" x14ac:dyDescent="0.35">
      <c r="A534" s="60">
        <v>37653</v>
      </c>
      <c r="B534" s="28">
        <f>VLOOKUP(Table3[[#This Row],[Date]],'PCE Core'!$A:$E,2,)</f>
        <v>84.338999999999999</v>
      </c>
      <c r="C534" s="26">
        <f>VLOOKUP(Table3[[#This Row],[Date]],Database!$A:$E,5)</f>
        <v>192.5</v>
      </c>
      <c r="D534" s="26">
        <f>(((Table3[[#This Row],[Core PCE]]-$B$496)/$B$496)*100)+100</f>
        <v>105.69326783297407</v>
      </c>
      <c r="E534" s="26">
        <f>(((Table3[[#This Row],[Core CPI]]-$C$496)/$C$496)*100)+100</f>
        <v>107.72243984331283</v>
      </c>
      <c r="F534" s="27">
        <v>1.797990481226867E-2</v>
      </c>
      <c r="G534" s="27">
        <f>VLOOKUP(Table3[[#This Row],[Date]],'PCE Core'!A:D,4,)</f>
        <v>1.7272365421496402E-2</v>
      </c>
    </row>
    <row r="535" spans="1:7" x14ac:dyDescent="0.35">
      <c r="A535" s="63">
        <v>37681</v>
      </c>
      <c r="B535" s="28">
        <f>VLOOKUP(Table3[[#This Row],[Date]],'PCE Core'!$A:$E,2,)</f>
        <v>84.474000000000004</v>
      </c>
      <c r="C535" s="28">
        <f>VLOOKUP(Table3[[#This Row],[Date]],Database!$A:$E,5)</f>
        <v>192.5</v>
      </c>
      <c r="D535" s="26">
        <f>(((Table3[[#This Row],[Core PCE]]-$B$496)/$B$496)*100)+100</f>
        <v>105.86244924557622</v>
      </c>
      <c r="E535" s="26">
        <f>(((Table3[[#This Row],[Core CPI]]-$C$496)/$C$496)*100)+100</f>
        <v>107.72243984331283</v>
      </c>
      <c r="F535" s="27">
        <v>1.7441860465116341E-2</v>
      </c>
      <c r="G535" s="27">
        <f>VLOOKUP(Table3[[#This Row],[Date]],'PCE Core'!A:D,4,)</f>
        <v>1.7685468520347969E-2</v>
      </c>
    </row>
    <row r="536" spans="1:7" x14ac:dyDescent="0.35">
      <c r="A536" s="60">
        <v>37712</v>
      </c>
      <c r="B536" s="28">
        <f>VLOOKUP(Table3[[#This Row],[Date]],'PCE Core'!$A:$E,2,)</f>
        <v>84.567999999999998</v>
      </c>
      <c r="C536" s="28">
        <f>VLOOKUP(Table3[[#This Row],[Date]],Database!$A:$E,5)</f>
        <v>192.5</v>
      </c>
      <c r="D536" s="26">
        <f>(((Table3[[#This Row],[Core PCE]]-$B$496)/$B$496)*100)+100</f>
        <v>105.98024963657325</v>
      </c>
      <c r="E536" s="26">
        <f>(((Table3[[#This Row],[Core CPI]]-$C$496)/$C$496)*100)+100</f>
        <v>107.72243984331283</v>
      </c>
      <c r="F536" s="27">
        <v>1.476014760147608E-2</v>
      </c>
      <c r="G536" s="27">
        <f>VLOOKUP(Table3[[#This Row],[Date]],'PCE Core'!A:D,4,)</f>
        <v>1.5978279151349122E-2</v>
      </c>
    </row>
    <row r="537" spans="1:7" x14ac:dyDescent="0.35">
      <c r="A537" s="63">
        <v>37742</v>
      </c>
      <c r="B537" s="28">
        <f>VLOOKUP(Table3[[#This Row],[Date]],'PCE Core'!$A:$E,2,)</f>
        <v>84.69</v>
      </c>
      <c r="C537" s="26">
        <f>VLOOKUP(Table3[[#This Row],[Date]],Database!$A:$E,5)</f>
        <v>192.9</v>
      </c>
      <c r="D537" s="26">
        <f>(((Table3[[#This Row],[Core PCE]]-$B$496)/$B$496)*100)+100</f>
        <v>106.13313950573962</v>
      </c>
      <c r="E537" s="26">
        <f>(((Table3[[#This Row],[Core CPI]]-$C$496)/$C$496)*100)+100</f>
        <v>107.94627867935088</v>
      </c>
      <c r="F537" s="27">
        <v>1.5263157894736871E-2</v>
      </c>
      <c r="G537" s="27">
        <f>VLOOKUP(Table3[[#This Row],[Date]],'PCE Core'!A:D,4,)</f>
        <v>1.6308456636785765E-2</v>
      </c>
    </row>
    <row r="538" spans="1:7" x14ac:dyDescent="0.35">
      <c r="A538" s="60">
        <v>37773</v>
      </c>
      <c r="B538" s="28">
        <f>VLOOKUP(Table3[[#This Row],[Date]],'PCE Core'!$A:$E,2,)</f>
        <v>84.738</v>
      </c>
      <c r="C538" s="28">
        <f>VLOOKUP(Table3[[#This Row],[Date]],Database!$A:$E,5)</f>
        <v>193</v>
      </c>
      <c r="D538" s="26">
        <f>(((Table3[[#This Row],[Core PCE]]-$B$496)/$B$496)*100)+100</f>
        <v>106.19329289688706</v>
      </c>
      <c r="E538" s="26">
        <f>(((Table3[[#This Row],[Core CPI]]-$C$496)/$C$496)*100)+100</f>
        <v>108.00223838836038</v>
      </c>
      <c r="F538" s="27">
        <v>1.4721345951629919E-2</v>
      </c>
      <c r="G538" s="27">
        <f>VLOOKUP(Table3[[#This Row],[Date]],'PCE Core'!A:D,4,)</f>
        <v>1.5276230185830917E-2</v>
      </c>
    </row>
    <row r="539" spans="1:7" x14ac:dyDescent="0.35">
      <c r="A539" s="63">
        <v>37803</v>
      </c>
      <c r="B539" s="28">
        <f>VLOOKUP(Table3[[#This Row],[Date]],'PCE Core'!$A:$E,2,)</f>
        <v>84.948999999999998</v>
      </c>
      <c r="C539" s="28">
        <f>VLOOKUP(Table3[[#This Row],[Date]],Database!$A:$E,5)</f>
        <v>193.4</v>
      </c>
      <c r="D539" s="26">
        <f>(((Table3[[#This Row],[Core PCE]]-$B$496)/$B$496)*100)+100</f>
        <v>106.45771717880595</v>
      </c>
      <c r="E539" s="26">
        <f>(((Table3[[#This Row],[Core CPI]]-$C$496)/$C$496)*100)+100</f>
        <v>108.22607722439844</v>
      </c>
      <c r="F539" s="27">
        <v>1.522309711286092E-2</v>
      </c>
      <c r="G539" s="27">
        <f>VLOOKUP(Table3[[#This Row],[Date]],'PCE Core'!A:D,4,)</f>
        <v>1.5747560742299514E-2</v>
      </c>
    </row>
    <row r="540" spans="1:7" x14ac:dyDescent="0.35">
      <c r="A540" s="60">
        <v>37834</v>
      </c>
      <c r="B540" s="28">
        <f>VLOOKUP(Table3[[#This Row],[Date]],'PCE Core'!$A:$E,2,)</f>
        <v>85.045000000000002</v>
      </c>
      <c r="C540" s="26">
        <f>VLOOKUP(Table3[[#This Row],[Date]],Database!$A:$E,5)</f>
        <v>193.6</v>
      </c>
      <c r="D540" s="26">
        <f>(((Table3[[#This Row],[Core PCE]]-$B$496)/$B$496)*100)+100</f>
        <v>106.5780239611008</v>
      </c>
      <c r="E540" s="26">
        <f>(((Table3[[#This Row],[Core CPI]]-$C$496)/$C$496)*100)+100</f>
        <v>108.33799664241747</v>
      </c>
      <c r="F540" s="27">
        <v>1.30821559392988E-2</v>
      </c>
      <c r="G540" s="27">
        <f>VLOOKUP(Table3[[#This Row],[Date]],'PCE Core'!A:D,4,)</f>
        <v>1.4893134599090715E-2</v>
      </c>
    </row>
    <row r="541" spans="1:7" x14ac:dyDescent="0.35">
      <c r="A541" s="63">
        <v>37865</v>
      </c>
      <c r="B541" s="28">
        <f>VLOOKUP(Table3[[#This Row],[Date]],'PCE Core'!$A:$E,2,)</f>
        <v>85.164000000000001</v>
      </c>
      <c r="C541" s="28">
        <f>VLOOKUP(Table3[[#This Row],[Date]],Database!$A:$E,5)</f>
        <v>193.7</v>
      </c>
      <c r="D541" s="26">
        <f>(((Table3[[#This Row],[Core PCE]]-$B$496)/$B$496)*100)+100</f>
        <v>106.72715424332046</v>
      </c>
      <c r="E541" s="26">
        <f>(((Table3[[#This Row],[Core CPI]]-$C$496)/$C$496)*100)+100</f>
        <v>108.39395635142698</v>
      </c>
      <c r="F541" s="27">
        <v>1.2545739675901609E-2</v>
      </c>
      <c r="G541" s="27">
        <f>VLOOKUP(Table3[[#This Row],[Date]],'PCE Core'!A:D,4,)</f>
        <v>1.4654371291729263E-2</v>
      </c>
    </row>
    <row r="542" spans="1:7" x14ac:dyDescent="0.35">
      <c r="A542" s="60">
        <v>37895</v>
      </c>
      <c r="B542" s="28">
        <f>VLOOKUP(Table3[[#This Row],[Date]],'PCE Core'!$A:$E,2,)</f>
        <v>85.32</v>
      </c>
      <c r="C542" s="28">
        <f>VLOOKUP(Table3[[#This Row],[Date]],Database!$A:$E,5)</f>
        <v>194</v>
      </c>
      <c r="D542" s="26">
        <f>(((Table3[[#This Row],[Core PCE]]-$B$496)/$B$496)*100)+100</f>
        <v>106.92265276454958</v>
      </c>
      <c r="E542" s="26">
        <f>(((Table3[[#This Row],[Core CPI]]-$C$496)/$C$496)*100)+100</f>
        <v>108.56183547845552</v>
      </c>
      <c r="F542" s="27">
        <v>1.3054830287206271E-2</v>
      </c>
      <c r="G542" s="27">
        <f>VLOOKUP(Table3[[#This Row],[Date]],'PCE Core'!A:D,4,)</f>
        <v>1.5653830129158951E-2</v>
      </c>
    </row>
    <row r="543" spans="1:7" x14ac:dyDescent="0.35">
      <c r="A543" s="63">
        <v>37926</v>
      </c>
      <c r="B543" s="28">
        <f>VLOOKUP(Table3[[#This Row],[Date]],'PCE Core'!$A:$E,2,)</f>
        <v>85.436999999999998</v>
      </c>
      <c r="C543" s="26">
        <f>VLOOKUP(Table3[[#This Row],[Date]],Database!$A:$E,5)</f>
        <v>194</v>
      </c>
      <c r="D543" s="26">
        <f>(((Table3[[#This Row],[Core PCE]]-$B$496)/$B$496)*100)+100</f>
        <v>107.06927665547144</v>
      </c>
      <c r="E543" s="26">
        <f>(((Table3[[#This Row],[Core CPI]]-$C$496)/$C$496)*100)+100</f>
        <v>108.56183547845552</v>
      </c>
      <c r="F543" s="27">
        <v>1.0943199583116179E-2</v>
      </c>
      <c r="G543" s="27">
        <f>VLOOKUP(Table3[[#This Row],[Date]],'PCE Core'!A:D,4,)</f>
        <v>1.6054800385315142E-2</v>
      </c>
    </row>
    <row r="544" spans="1:7" x14ac:dyDescent="0.35">
      <c r="A544" s="60">
        <v>37956</v>
      </c>
      <c r="B544" s="28">
        <f>VLOOKUP(Table3[[#This Row],[Date]],'PCE Core'!$A:$E,2,)</f>
        <v>85.543999999999997</v>
      </c>
      <c r="C544" s="28">
        <f>VLOOKUP(Table3[[#This Row],[Date]],Database!$A:$E,5)</f>
        <v>194.2</v>
      </c>
      <c r="D544" s="26">
        <f>(((Table3[[#This Row],[Core PCE]]-$B$496)/$B$496)*100)+100</f>
        <v>107.20336858990424</v>
      </c>
      <c r="E544" s="26">
        <f>(((Table3[[#This Row],[Core CPI]]-$C$496)/$C$496)*100)+100</f>
        <v>108.67375489647453</v>
      </c>
      <c r="F544" s="27">
        <v>1.09318063508589E-2</v>
      </c>
      <c r="G544" s="27">
        <f>VLOOKUP(Table3[[#This Row],[Date]],'PCE Core'!A:D,4,)</f>
        <v>1.6384482861046643E-2</v>
      </c>
    </row>
    <row r="545" spans="1:7" x14ac:dyDescent="0.35">
      <c r="A545" s="63">
        <v>37987</v>
      </c>
      <c r="B545" s="28">
        <f>VLOOKUP(Table3[[#This Row],[Date]],'PCE Core'!$A:$E,2,)</f>
        <v>85.763000000000005</v>
      </c>
      <c r="C545" s="28">
        <f>VLOOKUP(Table3[[#This Row],[Date]],Database!$A:$E,5)</f>
        <v>194.6</v>
      </c>
      <c r="D545" s="26">
        <f>(((Table3[[#This Row],[Core PCE]]-$B$496)/$B$496)*100)+100</f>
        <v>107.47781843701438</v>
      </c>
      <c r="E545" s="26">
        <f>(((Table3[[#This Row],[Core CPI]]-$C$496)/$C$496)*100)+100</f>
        <v>108.89759373251259</v>
      </c>
      <c r="F545" s="27">
        <v>1.1434511434511369E-2</v>
      </c>
      <c r="G545" s="27">
        <f>VLOOKUP(Table3[[#This Row],[Date]],'PCE Core'!A:D,4,)</f>
        <v>1.828479156524947E-2</v>
      </c>
    </row>
    <row r="546" spans="1:7" x14ac:dyDescent="0.35">
      <c r="A546" s="60">
        <v>38018</v>
      </c>
      <c r="B546" s="28">
        <f>VLOOKUP(Table3[[#This Row],[Date]],'PCE Core'!$A:$E,2,)</f>
        <v>85.902000000000001</v>
      </c>
      <c r="C546" s="26">
        <f>VLOOKUP(Table3[[#This Row],[Date]],Database!$A:$E,5)</f>
        <v>194.9</v>
      </c>
      <c r="D546" s="26">
        <f>(((Table3[[#This Row],[Core PCE]]-$B$496)/$B$496)*100)+100</f>
        <v>107.65201263221213</v>
      </c>
      <c r="E546" s="26">
        <f>(((Table3[[#This Row],[Core CPI]]-$C$496)/$C$496)*100)+100</f>
        <v>109.06547285954115</v>
      </c>
      <c r="F546" s="27">
        <v>1.24675324675325E-2</v>
      </c>
      <c r="G546" s="27">
        <f>VLOOKUP(Table3[[#This Row],[Date]],'PCE Core'!A:D,4,)</f>
        <v>1.8532351581119082E-2</v>
      </c>
    </row>
    <row r="547" spans="1:7" x14ac:dyDescent="0.35">
      <c r="A547" s="63">
        <v>38047</v>
      </c>
      <c r="B547" s="28">
        <f>VLOOKUP(Table3[[#This Row],[Date]],'PCE Core'!$A:$E,2,)</f>
        <v>86.046000000000006</v>
      </c>
      <c r="C547" s="28">
        <f>VLOOKUP(Table3[[#This Row],[Date]],Database!$A:$E,5)</f>
        <v>195.5</v>
      </c>
      <c r="D547" s="26">
        <f>(((Table3[[#This Row],[Core PCE]]-$B$496)/$B$496)*100)+100</f>
        <v>107.83247280565442</v>
      </c>
      <c r="E547" s="26">
        <f>(((Table3[[#This Row],[Core CPI]]-$C$496)/$C$496)*100)+100</f>
        <v>109.40123111359821</v>
      </c>
      <c r="F547" s="27">
        <v>1.5584415584415579E-2</v>
      </c>
      <c r="G547" s="27">
        <f>VLOOKUP(Table3[[#This Row],[Date]],'PCE Core'!A:D,4,)</f>
        <v>1.8609276227004791E-2</v>
      </c>
    </row>
    <row r="548" spans="1:7" x14ac:dyDescent="0.35">
      <c r="A548" s="60">
        <v>38078</v>
      </c>
      <c r="B548" s="28">
        <f>VLOOKUP(Table3[[#This Row],[Date]],'PCE Core'!$A:$E,2,)</f>
        <v>86.27</v>
      </c>
      <c r="C548" s="28">
        <f>VLOOKUP(Table3[[#This Row],[Date]],Database!$A:$E,5)</f>
        <v>195.9</v>
      </c>
      <c r="D548" s="26">
        <f>(((Table3[[#This Row],[Core PCE]]-$B$496)/$B$496)*100)+100</f>
        <v>108.11318863100905</v>
      </c>
      <c r="E548" s="26">
        <f>(((Table3[[#This Row],[Core CPI]]-$C$496)/$C$496)*100)+100</f>
        <v>109.62506994963627</v>
      </c>
      <c r="F548" s="27">
        <v>1.7662337662337688E-2</v>
      </c>
      <c r="G548" s="27">
        <f>VLOOKUP(Table3[[#This Row],[Date]],'PCE Core'!A:D,4,)</f>
        <v>2.012581591145585E-2</v>
      </c>
    </row>
    <row r="549" spans="1:7" x14ac:dyDescent="0.35">
      <c r="A549" s="63">
        <v>38108</v>
      </c>
      <c r="B549" s="28">
        <f>VLOOKUP(Table3[[#This Row],[Date]],'PCE Core'!$A:$E,2,)</f>
        <v>86.388000000000005</v>
      </c>
      <c r="C549" s="26">
        <f>VLOOKUP(Table3[[#This Row],[Date]],Database!$A:$E,5)</f>
        <v>196.2</v>
      </c>
      <c r="D549" s="26">
        <f>(((Table3[[#This Row],[Core PCE]]-$B$496)/$B$496)*100)+100</f>
        <v>108.26106571757983</v>
      </c>
      <c r="E549" s="26">
        <f>(((Table3[[#This Row],[Core CPI]]-$C$496)/$C$496)*100)+100</f>
        <v>109.7929490766648</v>
      </c>
      <c r="F549" s="27">
        <v>1.7107309486780631E-2</v>
      </c>
      <c r="G549" s="27">
        <f>VLOOKUP(Table3[[#This Row],[Date]],'PCE Core'!A:D,4,)</f>
        <v>2.0049592631951912E-2</v>
      </c>
    </row>
    <row r="550" spans="1:7" x14ac:dyDescent="0.35">
      <c r="A550" s="60">
        <v>38139</v>
      </c>
      <c r="B550" s="28">
        <f>VLOOKUP(Table3[[#This Row],[Date]],'PCE Core'!$A:$E,2,)</f>
        <v>86.525000000000006</v>
      </c>
      <c r="C550" s="28">
        <f>VLOOKUP(Table3[[#This Row],[Date]],Database!$A:$E,5)</f>
        <v>196.6</v>
      </c>
      <c r="D550" s="26">
        <f>(((Table3[[#This Row],[Core PCE]]-$B$496)/$B$496)*100)+100</f>
        <v>108.43275352147977</v>
      </c>
      <c r="E550" s="26">
        <f>(((Table3[[#This Row],[Core CPI]]-$C$496)/$C$496)*100)+100</f>
        <v>110.01678791270285</v>
      </c>
      <c r="F550" s="27">
        <v>1.865284974093261E-2</v>
      </c>
      <c r="G550" s="27">
        <f>VLOOKUP(Table3[[#This Row],[Date]],'PCE Core'!A:D,4,)</f>
        <v>2.1088531709504664E-2</v>
      </c>
    </row>
    <row r="551" spans="1:7" x14ac:dyDescent="0.35">
      <c r="A551" s="63">
        <v>38169</v>
      </c>
      <c r="B551" s="28">
        <f>VLOOKUP(Table3[[#This Row],[Date]],'PCE Core'!$A:$E,2,)</f>
        <v>86.628</v>
      </c>
      <c r="C551" s="28">
        <f>VLOOKUP(Table3[[#This Row],[Date]],Database!$A:$E,5)</f>
        <v>196.8</v>
      </c>
      <c r="D551" s="26">
        <f>(((Table3[[#This Row],[Core PCE]]-$B$496)/$B$496)*100)+100</f>
        <v>108.56183267331696</v>
      </c>
      <c r="E551" s="26">
        <f>(((Table3[[#This Row],[Core CPI]]-$C$496)/$C$496)*100)+100</f>
        <v>110.12870733072189</v>
      </c>
      <c r="F551" s="27">
        <v>1.7580144777662909E-2</v>
      </c>
      <c r="G551" s="27">
        <f>VLOOKUP(Table3[[#This Row],[Date]],'PCE Core'!A:D,4,)</f>
        <v>1.9764800056504515E-2</v>
      </c>
    </row>
    <row r="552" spans="1:7" x14ac:dyDescent="0.35">
      <c r="A552" s="60">
        <v>38200</v>
      </c>
      <c r="B552" s="28">
        <f>VLOOKUP(Table3[[#This Row],[Date]],'PCE Core'!$A:$E,2,)</f>
        <v>86.661000000000001</v>
      </c>
      <c r="C552" s="26">
        <f>VLOOKUP(Table3[[#This Row],[Date]],Database!$A:$E,5)</f>
        <v>196.9</v>
      </c>
      <c r="D552" s="26">
        <f>(((Table3[[#This Row],[Core PCE]]-$B$496)/$B$496)*100)+100</f>
        <v>108.60318812973081</v>
      </c>
      <c r="E552" s="26">
        <f>(((Table3[[#This Row],[Core CPI]]-$C$496)/$C$496)*100)+100</f>
        <v>110.18466703973141</v>
      </c>
      <c r="F552" s="27">
        <v>1.70454545454546E-2</v>
      </c>
      <c r="G552" s="27">
        <f>VLOOKUP(Table3[[#This Row],[Date]],'PCE Core'!A:D,4,)</f>
        <v>1.9001704979716615E-2</v>
      </c>
    </row>
    <row r="553" spans="1:7" x14ac:dyDescent="0.35">
      <c r="A553" s="63">
        <v>38231</v>
      </c>
      <c r="B553" s="28">
        <f>VLOOKUP(Table3[[#This Row],[Date]],'PCE Core'!$A:$E,2,)</f>
        <v>86.822999999999993</v>
      </c>
      <c r="C553" s="28">
        <f>VLOOKUP(Table3[[#This Row],[Date]],Database!$A:$E,5)</f>
        <v>197.5</v>
      </c>
      <c r="D553" s="26">
        <f>(((Table3[[#This Row],[Core PCE]]-$B$496)/$B$496)*100)+100</f>
        <v>108.80620582485336</v>
      </c>
      <c r="E553" s="26">
        <f>(((Table3[[#This Row],[Core CPI]]-$C$496)/$C$496)*100)+100</f>
        <v>110.52042529378848</v>
      </c>
      <c r="F553" s="27">
        <v>1.9617965926690819E-2</v>
      </c>
      <c r="G553" s="27">
        <f>VLOOKUP(Table3[[#This Row],[Date]],'PCE Core'!A:D,4,)</f>
        <v>1.9480061998027241E-2</v>
      </c>
    </row>
    <row r="554" spans="1:7" x14ac:dyDescent="0.35">
      <c r="A554" s="60">
        <v>38261</v>
      </c>
      <c r="B554" s="28">
        <f>VLOOKUP(Table3[[#This Row],[Date]],'PCE Core'!$A:$E,2,)</f>
        <v>87.012</v>
      </c>
      <c r="C554" s="28">
        <f>VLOOKUP(Table3[[#This Row],[Date]],Database!$A:$E,5)</f>
        <v>197.9</v>
      </c>
      <c r="D554" s="26">
        <f>(((Table3[[#This Row],[Core PCE]]-$B$496)/$B$496)*100)+100</f>
        <v>109.04305980249636</v>
      </c>
      <c r="E554" s="26">
        <f>(((Table3[[#This Row],[Core CPI]]-$C$496)/$C$496)*100)+100</f>
        <v>110.74426412982653</v>
      </c>
      <c r="F554" s="27">
        <v>2.010309278350518E-2</v>
      </c>
      <c r="G554" s="27">
        <f>VLOOKUP(Table3[[#This Row],[Date]],'PCE Core'!A:D,4,)</f>
        <v>1.9831223628692069E-2</v>
      </c>
    </row>
    <row r="555" spans="1:7" x14ac:dyDescent="0.35">
      <c r="A555" s="63">
        <v>38292</v>
      </c>
      <c r="B555" s="28">
        <f>VLOOKUP(Table3[[#This Row],[Date]],'PCE Core'!$A:$E,2,)</f>
        <v>87.198999999999998</v>
      </c>
      <c r="C555" s="26">
        <f>VLOOKUP(Table3[[#This Row],[Date]],Database!$A:$E,5)</f>
        <v>198.3</v>
      </c>
      <c r="D555" s="26">
        <f>(((Table3[[#This Row],[Core PCE]]-$B$496)/$B$496)*100)+100</f>
        <v>109.27740738884154</v>
      </c>
      <c r="E555" s="26">
        <f>(((Table3[[#This Row],[Core CPI]]-$C$496)/$C$496)*100)+100</f>
        <v>110.96810296586459</v>
      </c>
      <c r="F555" s="27">
        <v>2.2164948453608311E-2</v>
      </c>
      <c r="G555" s="27">
        <f>VLOOKUP(Table3[[#This Row],[Date]],'PCE Core'!A:D,4,)</f>
        <v>2.0623383311679958E-2</v>
      </c>
    </row>
    <row r="556" spans="1:7" x14ac:dyDescent="0.35">
      <c r="A556" s="60">
        <v>38322</v>
      </c>
      <c r="B556" s="28">
        <f>VLOOKUP(Table3[[#This Row],[Date]],'PCE Core'!$A:$E,2,)</f>
        <v>87.311000000000007</v>
      </c>
      <c r="C556" s="28">
        <f>VLOOKUP(Table3[[#This Row],[Date]],Database!$A:$E,5)</f>
        <v>198.6</v>
      </c>
      <c r="D556" s="26">
        <f>(((Table3[[#This Row],[Core PCE]]-$B$496)/$B$496)*100)+100</f>
        <v>109.41776530151887</v>
      </c>
      <c r="E556" s="26">
        <f>(((Table3[[#This Row],[Core CPI]]-$C$496)/$C$496)*100)+100</f>
        <v>111.13598209289312</v>
      </c>
      <c r="F556" s="27">
        <v>2.2657054582904249E-2</v>
      </c>
      <c r="G556" s="27">
        <f>VLOOKUP(Table3[[#This Row],[Date]],'PCE Core'!A:D,4,)</f>
        <v>2.0656036659496987E-2</v>
      </c>
    </row>
    <row r="557" spans="1:7" x14ac:dyDescent="0.35">
      <c r="A557" s="63">
        <v>38353</v>
      </c>
      <c r="B557" s="28">
        <f>VLOOKUP(Table3[[#This Row],[Date]],'PCE Core'!$A:$E,2,)</f>
        <v>87.625</v>
      </c>
      <c r="C557" s="28">
        <f>VLOOKUP(Table3[[#This Row],[Date]],Database!$A:$E,5)</f>
        <v>199</v>
      </c>
      <c r="D557" s="26">
        <f>(((Table3[[#This Row],[Core PCE]]-$B$496)/$B$496)*100)+100</f>
        <v>109.81126873527494</v>
      </c>
      <c r="E557" s="26">
        <f>(((Table3[[#This Row],[Core CPI]]-$C$496)/$C$496)*100)+100</f>
        <v>111.35982092893117</v>
      </c>
      <c r="F557" s="27">
        <v>2.2610483042137749E-2</v>
      </c>
      <c r="G557" s="27">
        <f>VLOOKUP(Table3[[#This Row],[Date]],'PCE Core'!A:D,4,)</f>
        <v>2.171099425160028E-2</v>
      </c>
    </row>
    <row r="558" spans="1:7" x14ac:dyDescent="0.35">
      <c r="A558" s="60">
        <v>38384</v>
      </c>
      <c r="B558" s="28">
        <f>VLOOKUP(Table3[[#This Row],[Date]],'PCE Core'!$A:$E,2,)</f>
        <v>87.77</v>
      </c>
      <c r="C558" s="26">
        <f>VLOOKUP(Table3[[#This Row],[Date]],Database!$A:$E,5)</f>
        <v>199.4</v>
      </c>
      <c r="D558" s="26">
        <f>(((Table3[[#This Row],[Core PCE]]-$B$496)/$B$496)*100)+100</f>
        <v>109.99298210436612</v>
      </c>
      <c r="E558" s="26">
        <f>(((Table3[[#This Row],[Core CPI]]-$C$496)/$C$496)*100)+100</f>
        <v>111.58365976496923</v>
      </c>
      <c r="F558" s="27">
        <v>2.3088763468445361E-2</v>
      </c>
      <c r="G558" s="27">
        <f>VLOOKUP(Table3[[#This Row],[Date]],'PCE Core'!A:D,4,)</f>
        <v>2.17457102279341E-2</v>
      </c>
    </row>
    <row r="559" spans="1:7" x14ac:dyDescent="0.35">
      <c r="A559" s="63">
        <v>38412</v>
      </c>
      <c r="B559" s="28">
        <f>VLOOKUP(Table3[[#This Row],[Date]],'PCE Core'!$A:$E,2,)</f>
        <v>87.986999999999995</v>
      </c>
      <c r="C559" s="28">
        <f>VLOOKUP(Table3[[#This Row],[Date]],Database!$A:$E,5)</f>
        <v>200.1</v>
      </c>
      <c r="D559" s="26">
        <f>(((Table3[[#This Row],[Core PCE]]-$B$496)/$B$496)*100)+100</f>
        <v>110.26492556017844</v>
      </c>
      <c r="E559" s="26">
        <f>(((Table3[[#This Row],[Core CPI]]-$C$496)/$C$496)*100)+100</f>
        <v>111.97537772803582</v>
      </c>
      <c r="F559" s="27">
        <v>2.3529411764705851E-2</v>
      </c>
      <c r="G559" s="27">
        <f>VLOOKUP(Table3[[#This Row],[Date]],'PCE Core'!A:D,4,)</f>
        <v>2.2557701694442371E-2</v>
      </c>
    </row>
    <row r="560" spans="1:7" x14ac:dyDescent="0.35">
      <c r="A560" s="60">
        <v>38443</v>
      </c>
      <c r="B560" s="28">
        <f>VLOOKUP(Table3[[#This Row],[Date]],'PCE Core'!$A:$E,2,)</f>
        <v>88.088999999999999</v>
      </c>
      <c r="C560" s="28">
        <f>VLOOKUP(Table3[[#This Row],[Date]],Database!$A:$E,5)</f>
        <v>200.2</v>
      </c>
      <c r="D560" s="26">
        <f>(((Table3[[#This Row],[Core PCE]]-$B$496)/$B$496)*100)+100</f>
        <v>110.39275151636673</v>
      </c>
      <c r="E560" s="26">
        <f>(((Table3[[#This Row],[Core CPI]]-$C$496)/$C$496)*100)+100</f>
        <v>112.03133743704532</v>
      </c>
      <c r="F560" s="27">
        <v>2.1949974476773781E-2</v>
      </c>
      <c r="G560" s="27">
        <f>VLOOKUP(Table3[[#This Row],[Date]],'PCE Core'!A:D,4,)</f>
        <v>2.1084965805030748E-2</v>
      </c>
    </row>
    <row r="561" spans="1:7" x14ac:dyDescent="0.35">
      <c r="A561" s="63">
        <v>38473</v>
      </c>
      <c r="B561" s="28">
        <f>VLOOKUP(Table3[[#This Row],[Date]],'PCE Core'!$A:$E,2,)</f>
        <v>88.269000000000005</v>
      </c>
      <c r="C561" s="26">
        <f>VLOOKUP(Table3[[#This Row],[Date]],Database!$A:$E,5)</f>
        <v>200.5</v>
      </c>
      <c r="D561" s="26">
        <f>(((Table3[[#This Row],[Core PCE]]-$B$496)/$B$496)*100)+100</f>
        <v>110.61832673316958</v>
      </c>
      <c r="E561" s="26">
        <f>(((Table3[[#This Row],[Core CPI]]-$C$496)/$C$496)*100)+100</f>
        <v>112.19921656407388</v>
      </c>
      <c r="F561" s="27">
        <v>2.1916411824668761E-2</v>
      </c>
      <c r="G561" s="27">
        <f>VLOOKUP(Table3[[#This Row],[Date]],'PCE Core'!A:D,4,)</f>
        <v>2.1773857480205584E-2</v>
      </c>
    </row>
    <row r="562" spans="1:7" x14ac:dyDescent="0.35">
      <c r="A562" s="60">
        <v>38504</v>
      </c>
      <c r="B562" s="28">
        <f>VLOOKUP(Table3[[#This Row],[Date]],'PCE Core'!$A:$E,2,)</f>
        <v>88.33</v>
      </c>
      <c r="C562" s="28">
        <f>VLOOKUP(Table3[[#This Row],[Date]],Database!$A:$E,5)</f>
        <v>200.6</v>
      </c>
      <c r="D562" s="26">
        <f>(((Table3[[#This Row],[Core PCE]]-$B$496)/$B$496)*100)+100</f>
        <v>110.69477166775276</v>
      </c>
      <c r="E562" s="26">
        <f>(((Table3[[#This Row],[Core CPI]]-$C$496)/$C$496)*100)+100</f>
        <v>112.25517627308338</v>
      </c>
      <c r="F562" s="27">
        <v>2.0345879959308241E-2</v>
      </c>
      <c r="G562" s="27">
        <f>VLOOKUP(Table3[[#This Row],[Date]],'PCE Core'!A:D,4,)</f>
        <v>2.0861022825772811E-2</v>
      </c>
    </row>
    <row r="563" spans="1:7" x14ac:dyDescent="0.35">
      <c r="A563" s="63">
        <v>38534</v>
      </c>
      <c r="B563" s="28">
        <f>VLOOKUP(Table3[[#This Row],[Date]],'PCE Core'!$A:$E,2,)</f>
        <v>88.46</v>
      </c>
      <c r="C563" s="28">
        <f>VLOOKUP(Table3[[#This Row],[Date]],Database!$A:$E,5)</f>
        <v>200.9</v>
      </c>
      <c r="D563" s="26">
        <f>(((Table3[[#This Row],[Core PCE]]-$B$496)/$B$496)*100)+100</f>
        <v>110.85768710211036</v>
      </c>
      <c r="E563" s="26">
        <f>(((Table3[[#This Row],[Core CPI]]-$C$496)/$C$496)*100)+100</f>
        <v>112.42305540011193</v>
      </c>
      <c r="F563" s="27">
        <v>2.0833333333333301E-2</v>
      </c>
      <c r="G563" s="27">
        <f>VLOOKUP(Table3[[#This Row],[Date]],'PCE Core'!A:D,4,)</f>
        <v>2.1147896753936298E-2</v>
      </c>
    </row>
    <row r="564" spans="1:7" x14ac:dyDescent="0.35">
      <c r="A564" s="60">
        <v>38565</v>
      </c>
      <c r="B564" s="28">
        <f>VLOOKUP(Table3[[#This Row],[Date]],'PCE Core'!$A:$E,2,)</f>
        <v>88.531999999999996</v>
      </c>
      <c r="C564" s="26">
        <f>VLOOKUP(Table3[[#This Row],[Date]],Database!$A:$E,5)</f>
        <v>201.1</v>
      </c>
      <c r="D564" s="26">
        <f>(((Table3[[#This Row],[Core PCE]]-$B$496)/$B$496)*100)+100</f>
        <v>110.94791718883151</v>
      </c>
      <c r="E564" s="26">
        <f>(((Table3[[#This Row],[Core CPI]]-$C$496)/$C$496)*100)+100</f>
        <v>112.53497481813095</v>
      </c>
      <c r="F564" s="27">
        <v>2.1330624682579929E-2</v>
      </c>
      <c r="G564" s="27">
        <f>VLOOKUP(Table3[[#This Row],[Date]],'PCE Core'!A:D,4,)</f>
        <v>2.1589873184015822E-2</v>
      </c>
    </row>
    <row r="565" spans="1:7" x14ac:dyDescent="0.35">
      <c r="A565" s="63">
        <v>38596</v>
      </c>
      <c r="B565" s="28">
        <f>VLOOKUP(Table3[[#This Row],[Date]],'PCE Core'!$A:$E,2,)</f>
        <v>88.727999999999994</v>
      </c>
      <c r="C565" s="28">
        <f>VLOOKUP(Table3[[#This Row],[Date]],Database!$A:$E,5)</f>
        <v>201.3</v>
      </c>
      <c r="D565" s="26">
        <f>(((Table3[[#This Row],[Core PCE]]-$B$496)/$B$496)*100)+100</f>
        <v>111.19354353601683</v>
      </c>
      <c r="E565" s="26">
        <f>(((Table3[[#This Row],[Core CPI]]-$C$496)/$C$496)*100)+100</f>
        <v>112.64689423614999</v>
      </c>
      <c r="F565" s="27">
        <v>1.924050632911398E-2</v>
      </c>
      <c r="G565" s="27">
        <f>VLOOKUP(Table3[[#This Row],[Date]],'PCE Core'!A:D,4,)</f>
        <v>2.1941190698317282E-2</v>
      </c>
    </row>
    <row r="566" spans="1:7" x14ac:dyDescent="0.35">
      <c r="A566" s="60">
        <v>38626</v>
      </c>
      <c r="B566" s="28">
        <f>VLOOKUP(Table3[[#This Row],[Date]],'PCE Core'!$A:$E,2,)</f>
        <v>88.981999999999999</v>
      </c>
      <c r="C566" s="28">
        <f>VLOOKUP(Table3[[#This Row],[Date]],Database!$A:$E,5)</f>
        <v>202</v>
      </c>
      <c r="D566" s="26">
        <f>(((Table3[[#This Row],[Core PCE]]-$B$496)/$B$496)*100)+100</f>
        <v>111.51185523083863</v>
      </c>
      <c r="E566" s="26">
        <f>(((Table3[[#This Row],[Core CPI]]-$C$496)/$C$496)*100)+100</f>
        <v>113.03861219921657</v>
      </c>
      <c r="F566" s="27">
        <v>2.0717534108135389E-2</v>
      </c>
      <c r="G566" s="27">
        <f>VLOOKUP(Table3[[#This Row],[Date]],'PCE Core'!A:D,4,)</f>
        <v>2.2640555325702187E-2</v>
      </c>
    </row>
    <row r="567" spans="1:7" x14ac:dyDescent="0.35">
      <c r="A567" s="63">
        <v>38657</v>
      </c>
      <c r="B567" s="28">
        <f>VLOOKUP(Table3[[#This Row],[Date]],'PCE Core'!$A:$E,2,)</f>
        <v>89.21</v>
      </c>
      <c r="C567" s="26">
        <f>VLOOKUP(Table3[[#This Row],[Date]],Database!$A:$E,5)</f>
        <v>202.5</v>
      </c>
      <c r="D567" s="26">
        <f>(((Table3[[#This Row],[Core PCE]]-$B$496)/$B$496)*100)+100</f>
        <v>111.7975838387889</v>
      </c>
      <c r="E567" s="26">
        <f>(((Table3[[#This Row],[Core CPI]]-$C$496)/$C$496)*100)+100</f>
        <v>113.31841074426414</v>
      </c>
      <c r="F567" s="27">
        <v>2.1180030257186021E-2</v>
      </c>
      <c r="G567" s="27">
        <f>VLOOKUP(Table3[[#This Row],[Date]],'PCE Core'!A:D,4,)</f>
        <v>2.3062191080172888E-2</v>
      </c>
    </row>
    <row r="568" spans="1:7" x14ac:dyDescent="0.35">
      <c r="A568" s="60">
        <v>38687</v>
      </c>
      <c r="B568" s="28">
        <f>VLOOKUP(Table3[[#This Row],[Date]],'PCE Core'!$A:$E,2,)</f>
        <v>89.302000000000007</v>
      </c>
      <c r="C568" s="28">
        <f>VLOOKUP(Table3[[#This Row],[Date]],Database!$A:$E,5)</f>
        <v>202.8</v>
      </c>
      <c r="D568" s="26">
        <f>(((Table3[[#This Row],[Core PCE]]-$B$496)/$B$496)*100)+100</f>
        <v>111.91287783848814</v>
      </c>
      <c r="E568" s="26">
        <f>(((Table3[[#This Row],[Core CPI]]-$C$496)/$C$496)*100)+100</f>
        <v>113.48628987129268</v>
      </c>
      <c r="F568" s="27">
        <v>2.1148036253776519E-2</v>
      </c>
      <c r="G568" s="27">
        <f>VLOOKUP(Table3[[#This Row],[Date]],'PCE Core'!A:D,4,)</f>
        <v>2.2803541363631153E-2</v>
      </c>
    </row>
    <row r="569" spans="1:7" x14ac:dyDescent="0.35">
      <c r="A569" s="63">
        <v>38718</v>
      </c>
      <c r="B569" s="28">
        <f>VLOOKUP(Table3[[#This Row],[Date]],'PCE Core'!$A:$E,2,)</f>
        <v>89.503</v>
      </c>
      <c r="C569" s="28">
        <f>VLOOKUP(Table3[[#This Row],[Date]],Database!$A:$E,5)</f>
        <v>203.2</v>
      </c>
      <c r="D569" s="26">
        <f>(((Table3[[#This Row],[Core PCE]]-$B$496)/$B$496)*100)+100</f>
        <v>112.16477016391798</v>
      </c>
      <c r="E569" s="26">
        <f>(((Table3[[#This Row],[Core CPI]]-$C$496)/$C$496)*100)+100</f>
        <v>113.71012870733072</v>
      </c>
      <c r="F569" s="27">
        <v>2.1105527638190898E-2</v>
      </c>
      <c r="G569" s="27">
        <f>VLOOKUP(Table3[[#This Row],[Date]],'PCE Core'!A:D,4,)</f>
        <v>2.1432239657631955E-2</v>
      </c>
    </row>
    <row r="570" spans="1:7" x14ac:dyDescent="0.35">
      <c r="A570" s="60">
        <v>38749</v>
      </c>
      <c r="B570" s="28">
        <f>VLOOKUP(Table3[[#This Row],[Date]],'PCE Core'!$A:$E,2,)</f>
        <v>89.647000000000006</v>
      </c>
      <c r="C570" s="26">
        <f>VLOOKUP(Table3[[#This Row],[Date]],Database!$A:$E,5)</f>
        <v>203.6</v>
      </c>
      <c r="D570" s="26">
        <f>(((Table3[[#This Row],[Core PCE]]-$B$496)/$B$496)*100)+100</f>
        <v>112.34523033736026</v>
      </c>
      <c r="E570" s="26">
        <f>(((Table3[[#This Row],[Core CPI]]-$C$496)/$C$496)*100)+100</f>
        <v>113.93396754336878</v>
      </c>
      <c r="F570" s="27">
        <v>2.1063189568706061E-2</v>
      </c>
      <c r="G570" s="27">
        <f>VLOOKUP(Table3[[#This Row],[Date]],'PCE Core'!A:D,4,)</f>
        <v>2.1385439216133183E-2</v>
      </c>
    </row>
    <row r="571" spans="1:7" x14ac:dyDescent="0.35">
      <c r="A571" s="63">
        <v>38777</v>
      </c>
      <c r="B571" s="28">
        <f>VLOOKUP(Table3[[#This Row],[Date]],'PCE Core'!$A:$E,2,)</f>
        <v>89.894000000000005</v>
      </c>
      <c r="C571" s="28">
        <f>VLOOKUP(Table3[[#This Row],[Date]],Database!$A:$E,5)</f>
        <v>204.3</v>
      </c>
      <c r="D571" s="26">
        <f>(((Table3[[#This Row],[Core PCE]]-$B$496)/$B$496)*100)+100</f>
        <v>112.65476966263972</v>
      </c>
      <c r="E571" s="26">
        <f>(((Table3[[#This Row],[Core CPI]]-$C$496)/$C$496)*100)+100</f>
        <v>114.32568550643538</v>
      </c>
      <c r="F571" s="27">
        <v>2.0989505247376399E-2</v>
      </c>
      <c r="G571" s="27">
        <f>VLOOKUP(Table3[[#This Row],[Date]],'PCE Core'!A:D,4,)</f>
        <v>2.1673656335595155E-2</v>
      </c>
    </row>
    <row r="572" spans="1:7" x14ac:dyDescent="0.35">
      <c r="A572" s="60">
        <v>38808</v>
      </c>
      <c r="B572" s="28">
        <f>VLOOKUP(Table3[[#This Row],[Date]],'PCE Core'!$A:$E,2,)</f>
        <v>90.168999999999997</v>
      </c>
      <c r="C572" s="28">
        <f>VLOOKUP(Table3[[#This Row],[Date]],Database!$A:$E,5)</f>
        <v>204.8</v>
      </c>
      <c r="D572" s="26">
        <f>(((Table3[[#This Row],[Core PCE]]-$B$496)/$B$496)*100)+100</f>
        <v>112.99939846608851</v>
      </c>
      <c r="E572" s="26">
        <f>(((Table3[[#This Row],[Core CPI]]-$C$496)/$C$496)*100)+100</f>
        <v>114.60548405148295</v>
      </c>
      <c r="F572" s="27">
        <v>2.2977022977023091E-2</v>
      </c>
      <c r="G572" s="27">
        <f>VLOOKUP(Table3[[#This Row],[Date]],'PCE Core'!A:D,4,)</f>
        <v>2.3612482829865229E-2</v>
      </c>
    </row>
    <row r="573" spans="1:7" x14ac:dyDescent="0.35">
      <c r="A573" s="63">
        <v>38838</v>
      </c>
      <c r="B573" s="28">
        <f>VLOOKUP(Table3[[#This Row],[Date]],'PCE Core'!$A:$E,2,)</f>
        <v>90.394999999999996</v>
      </c>
      <c r="C573" s="26">
        <f>VLOOKUP(Table3[[#This Row],[Date]],Database!$A:$E,5)</f>
        <v>205.4</v>
      </c>
      <c r="D573" s="26">
        <f>(((Table3[[#This Row],[Core PCE]]-$B$496)/$B$496)*100)+100</f>
        <v>113.28262068274097</v>
      </c>
      <c r="E573" s="26">
        <f>(((Table3[[#This Row],[Core CPI]]-$C$496)/$C$496)*100)+100</f>
        <v>114.94124230554002</v>
      </c>
      <c r="F573" s="27">
        <v>2.4438902743142171E-2</v>
      </c>
      <c r="G573" s="27">
        <f>VLOOKUP(Table3[[#This Row],[Date]],'PCE Core'!A:D,4,)</f>
        <v>2.4085466018647434E-2</v>
      </c>
    </row>
    <row r="574" spans="1:7" x14ac:dyDescent="0.35">
      <c r="A574" s="60">
        <v>38869</v>
      </c>
      <c r="B574" s="28">
        <f>VLOOKUP(Table3[[#This Row],[Date]],'PCE Core'!$A:$E,2,)</f>
        <v>90.623000000000005</v>
      </c>
      <c r="C574" s="28">
        <f>VLOOKUP(Table3[[#This Row],[Date]],Database!$A:$E,5)</f>
        <v>205.9</v>
      </c>
      <c r="D574" s="26">
        <f>(((Table3[[#This Row],[Core PCE]]-$B$496)/$B$496)*100)+100</f>
        <v>113.56834929069126</v>
      </c>
      <c r="E574" s="26">
        <f>(((Table3[[#This Row],[Core CPI]]-$C$496)/$C$496)*100)+100</f>
        <v>115.22104085058758</v>
      </c>
      <c r="F574" s="27">
        <v>2.6420737786640142E-2</v>
      </c>
      <c r="G574" s="27">
        <f>VLOOKUP(Table3[[#This Row],[Date]],'PCE Core'!A:D,4,)</f>
        <v>2.5959470168685682E-2</v>
      </c>
    </row>
    <row r="575" spans="1:7" x14ac:dyDescent="0.35">
      <c r="A575" s="63">
        <v>38899</v>
      </c>
      <c r="B575" s="28">
        <f>VLOOKUP(Table3[[#This Row],[Date]],'PCE Core'!$A:$E,2,)</f>
        <v>90.712000000000003</v>
      </c>
      <c r="C575" s="28">
        <f>VLOOKUP(Table3[[#This Row],[Date]],Database!$A:$E,5)</f>
        <v>206.3</v>
      </c>
      <c r="D575" s="26">
        <f>(((Table3[[#This Row],[Core PCE]]-$B$496)/$B$496)*100)+100</f>
        <v>113.67988370344378</v>
      </c>
      <c r="E575" s="26">
        <f>(((Table3[[#This Row],[Core CPI]]-$C$496)/$C$496)*100)+100</f>
        <v>115.44487968662564</v>
      </c>
      <c r="F575" s="27">
        <v>2.687904430064712E-2</v>
      </c>
      <c r="G575" s="27">
        <f>VLOOKUP(Table3[[#This Row],[Date]],'PCE Core'!A:D,4,)</f>
        <v>2.5457834049287923E-2</v>
      </c>
    </row>
    <row r="576" spans="1:7" x14ac:dyDescent="0.35">
      <c r="A576" s="60">
        <v>38930</v>
      </c>
      <c r="B576" s="28">
        <f>VLOOKUP(Table3[[#This Row],[Date]],'PCE Core'!$A:$E,2,)</f>
        <v>90.896000000000001</v>
      </c>
      <c r="C576" s="26">
        <f>VLOOKUP(Table3[[#This Row],[Date]],Database!$A:$E,5)</f>
        <v>206.8</v>
      </c>
      <c r="D576" s="26">
        <f>(((Table3[[#This Row],[Core PCE]]-$B$496)/$B$496)*100)+100</f>
        <v>113.91047170284224</v>
      </c>
      <c r="E576" s="26">
        <f>(((Table3[[#This Row],[Core CPI]]-$C$496)/$C$496)*100)+100</f>
        <v>115.72467823167321</v>
      </c>
      <c r="F576" s="27">
        <v>2.8344107409249211E-2</v>
      </c>
      <c r="G576" s="27">
        <f>VLOOKUP(Table3[[#This Row],[Date]],'PCE Core'!A:D,4,)</f>
        <v>2.6702209370623103E-2</v>
      </c>
    </row>
    <row r="577" spans="1:7" x14ac:dyDescent="0.35">
      <c r="A577" s="63">
        <v>38961</v>
      </c>
      <c r="B577" s="28">
        <f>VLOOKUP(Table3[[#This Row],[Date]],'PCE Core'!$A:$E,2,)</f>
        <v>91.04</v>
      </c>
      <c r="C577" s="28">
        <f>VLOOKUP(Table3[[#This Row],[Date]],Database!$A:$E,5)</f>
        <v>207.2</v>
      </c>
      <c r="D577" s="26">
        <f>(((Table3[[#This Row],[Core PCE]]-$B$496)/$B$496)*100)+100</f>
        <v>114.09093187628453</v>
      </c>
      <c r="E577" s="26">
        <f>(((Table3[[#This Row],[Core CPI]]-$C$496)/$C$496)*100)+100</f>
        <v>115.94851706771125</v>
      </c>
      <c r="F577" s="27">
        <v>2.930948832588165E-2</v>
      </c>
      <c r="G577" s="27">
        <f>VLOOKUP(Table3[[#This Row],[Date]],'PCE Core'!A:D,4,)</f>
        <v>2.6057163465873365E-2</v>
      </c>
    </row>
    <row r="578" spans="1:7" x14ac:dyDescent="0.35">
      <c r="A578" s="60">
        <v>38991</v>
      </c>
      <c r="B578" s="28">
        <f>VLOOKUP(Table3[[#This Row],[Date]],'PCE Core'!$A:$E,2,)</f>
        <v>91.203999999999994</v>
      </c>
      <c r="C578" s="28">
        <f>VLOOKUP(Table3[[#This Row],[Date]],Database!$A:$E,5)</f>
        <v>207.6</v>
      </c>
      <c r="D578" s="26">
        <f>(((Table3[[#This Row],[Core PCE]]-$B$496)/$B$496)*100)+100</f>
        <v>114.29645596270488</v>
      </c>
      <c r="E578" s="26">
        <f>(((Table3[[#This Row],[Core CPI]]-$C$496)/$C$496)*100)+100</f>
        <v>116.17235590374931</v>
      </c>
      <c r="F578" s="27">
        <v>2.7722772277227699E-2</v>
      </c>
      <c r="G578" s="27">
        <f>VLOOKUP(Table3[[#This Row],[Date]],'PCE Core'!A:D,4,)</f>
        <v>2.4971342518711585E-2</v>
      </c>
    </row>
    <row r="579" spans="1:7" x14ac:dyDescent="0.35">
      <c r="A579" s="63">
        <v>39022</v>
      </c>
      <c r="B579" s="28">
        <f>VLOOKUP(Table3[[#This Row],[Date]],'PCE Core'!$A:$E,2,)</f>
        <v>91.248000000000005</v>
      </c>
      <c r="C579" s="26">
        <f>VLOOKUP(Table3[[#This Row],[Date]],Database!$A:$E,5)</f>
        <v>207.8</v>
      </c>
      <c r="D579" s="26">
        <f>(((Table3[[#This Row],[Core PCE]]-$B$496)/$B$496)*100)+100</f>
        <v>114.35159657125669</v>
      </c>
      <c r="E579" s="26">
        <f>(((Table3[[#This Row],[Core CPI]]-$C$496)/$C$496)*100)+100</f>
        <v>116.28427532176835</v>
      </c>
      <c r="F579" s="27">
        <v>2.6172839506172899E-2</v>
      </c>
      <c r="G579" s="27">
        <f>VLOOKUP(Table3[[#This Row],[Date]],'PCE Core'!A:D,4,)</f>
        <v>2.2844972536711253E-2</v>
      </c>
    </row>
    <row r="580" spans="1:7" x14ac:dyDescent="0.35">
      <c r="A580" s="60">
        <v>39052</v>
      </c>
      <c r="B580" s="28">
        <f>VLOOKUP(Table3[[#This Row],[Date]],'PCE Core'!$A:$E,2,)</f>
        <v>91.37</v>
      </c>
      <c r="C580" s="28">
        <f>VLOOKUP(Table3[[#This Row],[Date]],Database!$A:$E,5)</f>
        <v>208.1</v>
      </c>
      <c r="D580" s="26">
        <f>(((Table3[[#This Row],[Core PCE]]-$B$496)/$B$496)*100)+100</f>
        <v>114.50448644042308</v>
      </c>
      <c r="E580" s="26">
        <f>(((Table3[[#This Row],[Core CPI]]-$C$496)/$C$496)*100)+100</f>
        <v>116.45215444879688</v>
      </c>
      <c r="F580" s="27">
        <v>2.613412228796836E-2</v>
      </c>
      <c r="G580" s="27">
        <f>VLOOKUP(Table3[[#This Row],[Date]],'PCE Core'!A:D,4,)</f>
        <v>2.3157376094600318E-2</v>
      </c>
    </row>
    <row r="581" spans="1:7" x14ac:dyDescent="0.35">
      <c r="A581" s="63">
        <v>39083</v>
      </c>
      <c r="B581" s="28">
        <f>VLOOKUP(Table3[[#This Row],[Date]],'PCE Core'!$A:$E,2,)</f>
        <v>91.741</v>
      </c>
      <c r="C581" s="28">
        <f>VLOOKUP(Table3[[#This Row],[Date]],Database!$A:$E,5)</f>
        <v>208.6</v>
      </c>
      <c r="D581" s="26">
        <f>(((Table3[[#This Row],[Core PCE]]-$B$496)/$B$496)*100)+100</f>
        <v>114.96942202616671</v>
      </c>
      <c r="E581" s="26">
        <f>(((Table3[[#This Row],[Core CPI]]-$C$496)/$C$496)*100)+100</f>
        <v>116.73195299384443</v>
      </c>
      <c r="F581" s="27">
        <v>2.6574803149606328E-2</v>
      </c>
      <c r="G581" s="27">
        <f>VLOOKUP(Table3[[#This Row],[Date]],'PCE Core'!A:D,4,)</f>
        <v>2.5004748444186223E-2</v>
      </c>
    </row>
    <row r="582" spans="1:7" x14ac:dyDescent="0.35">
      <c r="A582" s="60">
        <v>39114</v>
      </c>
      <c r="B582" s="28">
        <f>VLOOKUP(Table3[[#This Row],[Date]],'PCE Core'!$A:$E,2,)</f>
        <v>91.938999999999993</v>
      </c>
      <c r="C582" s="26">
        <f>VLOOKUP(Table3[[#This Row],[Date]],Database!$A:$E,5)</f>
        <v>209.13499999999999</v>
      </c>
      <c r="D582" s="26">
        <f>(((Table3[[#This Row],[Core PCE]]-$B$496)/$B$496)*100)+100</f>
        <v>115.21755476464983</v>
      </c>
      <c r="E582" s="26">
        <f>(((Table3[[#This Row],[Core CPI]]-$C$496)/$C$496)*100)+100</f>
        <v>117.03133743704532</v>
      </c>
      <c r="F582" s="27">
        <v>2.7185658153241629E-2</v>
      </c>
      <c r="G582" s="27">
        <f>VLOOKUP(Table3[[#This Row],[Date]],'PCE Core'!A:D,4,)</f>
        <v>2.5566945910069354E-2</v>
      </c>
    </row>
    <row r="583" spans="1:7" x14ac:dyDescent="0.35">
      <c r="A583" s="63">
        <v>39142</v>
      </c>
      <c r="B583" s="28">
        <f>VLOOKUP(Table3[[#This Row],[Date]],'PCE Core'!$A:$E,2,)</f>
        <v>92.031999999999996</v>
      </c>
      <c r="C583" s="28">
        <f>VLOOKUP(Table3[[#This Row],[Date]],Database!$A:$E,5)</f>
        <v>209.41800000000001</v>
      </c>
      <c r="D583" s="26">
        <f>(((Table3[[#This Row],[Core PCE]]-$B$496)/$B$496)*100)+100</f>
        <v>115.33410195999798</v>
      </c>
      <c r="E583" s="26">
        <f>(((Table3[[#This Row],[Core CPI]]-$C$496)/$C$496)*100)+100</f>
        <v>117.18970341354226</v>
      </c>
      <c r="F583" s="27">
        <v>2.5051395007342121E-2</v>
      </c>
      <c r="G583" s="27">
        <f>VLOOKUP(Table3[[#This Row],[Date]],'PCE Core'!A:D,4,)</f>
        <v>2.3783567312612532E-2</v>
      </c>
    </row>
    <row r="584" spans="1:7" x14ac:dyDescent="0.35">
      <c r="A584" s="60">
        <v>39173</v>
      </c>
      <c r="B584" s="28">
        <f>VLOOKUP(Table3[[#This Row],[Date]],'PCE Core'!$A:$E,2,)</f>
        <v>92.162999999999997</v>
      </c>
      <c r="C584" s="28">
        <f>VLOOKUP(Table3[[#This Row],[Date]],Database!$A:$E,5)</f>
        <v>209.74700000000001</v>
      </c>
      <c r="D584" s="26">
        <f>(((Table3[[#This Row],[Core PCE]]-$B$496)/$B$496)*100)+100</f>
        <v>115.49827059000449</v>
      </c>
      <c r="E584" s="26">
        <f>(((Table3[[#This Row],[Core CPI]]-$C$496)/$C$496)*100)+100</f>
        <v>117.37381085618357</v>
      </c>
      <c r="F584" s="27">
        <v>2.415527343750001E-2</v>
      </c>
      <c r="G584" s="27">
        <f>VLOOKUP(Table3[[#This Row],[Date]],'PCE Core'!A:D,4,)</f>
        <v>2.2114030320841974E-2</v>
      </c>
    </row>
    <row r="585" spans="1:7" x14ac:dyDescent="0.35">
      <c r="A585" s="63">
        <v>39203</v>
      </c>
      <c r="B585" s="28">
        <f>VLOOKUP(Table3[[#This Row],[Date]],'PCE Core'!$A:$E,2,)</f>
        <v>92.272000000000006</v>
      </c>
      <c r="C585" s="26">
        <f>VLOOKUP(Table3[[#This Row],[Date]],Database!$A:$E,5)</f>
        <v>210.05799999999999</v>
      </c>
      <c r="D585" s="26">
        <f>(((Table3[[#This Row],[Core PCE]]-$B$496)/$B$496)*100)+100</f>
        <v>115.63486891573513</v>
      </c>
      <c r="E585" s="26">
        <f>(((Table3[[#This Row],[Core CPI]]-$C$496)/$C$496)*100)+100</f>
        <v>117.54784555120314</v>
      </c>
      <c r="F585" s="27">
        <v>2.2677702044790589E-2</v>
      </c>
      <c r="G585" s="27">
        <f>VLOOKUP(Table3[[#This Row],[Date]],'PCE Core'!A:D,4,)</f>
        <v>2.0764422810996289E-2</v>
      </c>
    </row>
    <row r="586" spans="1:7" x14ac:dyDescent="0.35">
      <c r="A586" s="60">
        <v>39234</v>
      </c>
      <c r="B586" s="28">
        <f>VLOOKUP(Table3[[#This Row],[Date]],'PCE Core'!$A:$E,2,)</f>
        <v>92.424000000000007</v>
      </c>
      <c r="C586" s="28">
        <f>VLOOKUP(Table3[[#This Row],[Date]],Database!$A:$E,5)</f>
        <v>210.392</v>
      </c>
      <c r="D586" s="26">
        <f>(((Table3[[#This Row],[Core PCE]]-$B$496)/$B$496)*100)+100</f>
        <v>115.82535465436864</v>
      </c>
      <c r="E586" s="26">
        <f>(((Table3[[#This Row],[Core CPI]]-$C$496)/$C$496)*100)+100</f>
        <v>117.73475097929492</v>
      </c>
      <c r="F586" s="27">
        <v>2.1816415735794029E-2</v>
      </c>
      <c r="G586" s="27">
        <f>VLOOKUP(Table3[[#This Row],[Date]],'PCE Core'!A:D,4,)</f>
        <v>1.9873542036789798E-2</v>
      </c>
    </row>
    <row r="587" spans="1:7" x14ac:dyDescent="0.35">
      <c r="A587" s="63">
        <v>39264</v>
      </c>
      <c r="B587" s="28">
        <f>VLOOKUP(Table3[[#This Row],[Date]],'PCE Core'!$A:$E,2,)</f>
        <v>92.563000000000002</v>
      </c>
      <c r="C587" s="28">
        <f>VLOOKUP(Table3[[#This Row],[Date]],Database!$A:$E,5)</f>
        <v>210.773</v>
      </c>
      <c r="D587" s="26">
        <f>(((Table3[[#This Row],[Core PCE]]-$B$496)/$B$496)*100)+100</f>
        <v>115.99954884956639</v>
      </c>
      <c r="E587" s="26">
        <f>(((Table3[[#This Row],[Core CPI]]-$C$496)/$C$496)*100)+100</f>
        <v>117.94795747062116</v>
      </c>
      <c r="F587" s="27">
        <v>2.168201648085305E-2</v>
      </c>
      <c r="G587" s="27">
        <f>VLOOKUP(Table3[[#This Row],[Date]],'PCE Core'!A:D,4,)</f>
        <v>2.0405238557191983E-2</v>
      </c>
    </row>
    <row r="588" spans="1:7" x14ac:dyDescent="0.35">
      <c r="A588" s="60">
        <v>39295</v>
      </c>
      <c r="B588" s="28">
        <f>VLOOKUP(Table3[[#This Row],[Date]],'PCE Core'!$A:$E,2,)</f>
        <v>92.700999999999993</v>
      </c>
      <c r="C588" s="26">
        <f>VLOOKUP(Table3[[#This Row],[Date]],Database!$A:$E,5)</f>
        <v>211.119</v>
      </c>
      <c r="D588" s="26">
        <f>(((Table3[[#This Row],[Core PCE]]-$B$496)/$B$496)*100)+100</f>
        <v>116.17248984911522</v>
      </c>
      <c r="E588" s="26">
        <f>(((Table3[[#This Row],[Core CPI]]-$C$496)/$C$496)*100)+100</f>
        <v>118.14157806379407</v>
      </c>
      <c r="F588" s="27">
        <v>2.088491295938099E-2</v>
      </c>
      <c r="G588" s="27">
        <f>VLOOKUP(Table3[[#This Row],[Date]],'PCE Core'!A:D,4,)</f>
        <v>1.9857859531772493E-2</v>
      </c>
    </row>
    <row r="589" spans="1:7" x14ac:dyDescent="0.35">
      <c r="A589" s="63">
        <v>39326</v>
      </c>
      <c r="B589" s="28">
        <f>VLOOKUP(Table3[[#This Row],[Date]],'PCE Core'!$A:$E,2,)</f>
        <v>92.953999999999994</v>
      </c>
      <c r="C589" s="28">
        <f>VLOOKUP(Table3[[#This Row],[Date]],Database!$A:$E,5)</f>
        <v>211.554</v>
      </c>
      <c r="D589" s="26">
        <f>(((Table3[[#This Row],[Core PCE]]-$B$496)/$B$496)*100)+100</f>
        <v>116.48954834828811</v>
      </c>
      <c r="E589" s="26">
        <f>(((Table3[[#This Row],[Core CPI]]-$C$496)/$C$496)*100)+100</f>
        <v>118.38500279798546</v>
      </c>
      <c r="F589" s="27">
        <v>2.101351351351358E-2</v>
      </c>
      <c r="G589" s="27">
        <f>VLOOKUP(Table3[[#This Row],[Date]],'PCE Core'!A:D,4,)</f>
        <v>2.1023725834797748E-2</v>
      </c>
    </row>
    <row r="590" spans="1:7" x14ac:dyDescent="0.35">
      <c r="A590" s="60">
        <v>39356</v>
      </c>
      <c r="B590" s="28">
        <f>VLOOKUP(Table3[[#This Row],[Date]],'PCE Core'!$A:$E,2,)</f>
        <v>93.195999999999998</v>
      </c>
      <c r="C590" s="28">
        <f>VLOOKUP(Table3[[#This Row],[Date]],Database!$A:$E,5)</f>
        <v>212.077</v>
      </c>
      <c r="D590" s="26">
        <f>(((Table3[[#This Row],[Core PCE]]-$B$496)/$B$496)*100)+100</f>
        <v>116.79282169532306</v>
      </c>
      <c r="E590" s="26">
        <f>(((Table3[[#This Row],[Core CPI]]-$C$496)/$C$496)*100)+100</f>
        <v>118.67767207610521</v>
      </c>
      <c r="F590" s="27">
        <v>2.1565510597302519E-2</v>
      </c>
      <c r="G590" s="27">
        <f>VLOOKUP(Table3[[#This Row],[Date]],'PCE Core'!A:D,4,)</f>
        <v>2.1841147318100135E-2</v>
      </c>
    </row>
    <row r="591" spans="1:7" x14ac:dyDescent="0.35">
      <c r="A591" s="63">
        <v>39387</v>
      </c>
      <c r="B591" s="28">
        <f>VLOOKUP(Table3[[#This Row],[Date]],'PCE Core'!$A:$E,2,)</f>
        <v>93.379000000000005</v>
      </c>
      <c r="C591" s="26">
        <f>VLOOKUP(Table3[[#This Row],[Date]],Database!$A:$E,5)</f>
        <v>212.66</v>
      </c>
      <c r="D591" s="26">
        <f>(((Table3[[#This Row],[Core PCE]]-$B$496)/$B$496)*100)+100</f>
        <v>117.02215649907264</v>
      </c>
      <c r="E591" s="26">
        <f>(((Table3[[#This Row],[Core CPI]]-$C$496)/$C$496)*100)+100</f>
        <v>119.00391717963068</v>
      </c>
      <c r="F591" s="27">
        <v>2.3387872954764119E-2</v>
      </c>
      <c r="G591" s="27">
        <f>VLOOKUP(Table3[[#This Row],[Date]],'PCE Core'!A:D,4,)</f>
        <v>2.3353936524636156E-2</v>
      </c>
    </row>
    <row r="592" spans="1:7" x14ac:dyDescent="0.35">
      <c r="A592" s="60">
        <v>39417</v>
      </c>
      <c r="B592" s="28">
        <f>VLOOKUP(Table3[[#This Row],[Date]],'PCE Core'!$A:$E,2,)</f>
        <v>93.566999999999993</v>
      </c>
      <c r="C592" s="28">
        <f>VLOOKUP(Table3[[#This Row],[Date]],Database!$A:$E,5)</f>
        <v>213.16800000000001</v>
      </c>
      <c r="D592" s="26">
        <f>(((Table3[[#This Row],[Core PCE]]-$B$496)/$B$496)*100)+100</f>
        <v>117.2577572810667</v>
      </c>
      <c r="E592" s="26">
        <f>(((Table3[[#This Row],[Core CPI]]-$C$496)/$C$496)*100)+100</f>
        <v>119.28819250139901</v>
      </c>
      <c r="F592" s="27">
        <v>2.435367611725138E-2</v>
      </c>
      <c r="G592" s="27">
        <f>VLOOKUP(Table3[[#This Row],[Date]],'PCE Core'!A:D,4,)</f>
        <v>2.4045091386669458E-2</v>
      </c>
    </row>
    <row r="593" spans="1:7" x14ac:dyDescent="0.35">
      <c r="A593" s="63">
        <v>39448</v>
      </c>
      <c r="B593" s="28">
        <f>VLOOKUP(Table3[[#This Row],[Date]],'PCE Core'!$A:$E,2,)</f>
        <v>93.753</v>
      </c>
      <c r="C593" s="28">
        <f>VLOOKUP(Table3[[#This Row],[Date]],Database!$A:$E,5)</f>
        <v>213.77099999999999</v>
      </c>
      <c r="D593" s="26">
        <f>(((Table3[[#This Row],[Core PCE]]-$B$496)/$B$496)*100)+100</f>
        <v>117.49085167176298</v>
      </c>
      <c r="E593" s="26">
        <f>(((Table3[[#This Row],[Core CPI]]-$C$496)/$C$496)*100)+100</f>
        <v>119.62562954672636</v>
      </c>
      <c r="F593" s="27">
        <v>2.4789069990412239E-2</v>
      </c>
      <c r="G593" s="27">
        <f>VLOOKUP(Table3[[#This Row],[Date]],'PCE Core'!A:D,4,)</f>
        <v>2.193130661318277E-2</v>
      </c>
    </row>
    <row r="594" spans="1:7" x14ac:dyDescent="0.35">
      <c r="A594" s="60">
        <v>39479</v>
      </c>
      <c r="B594" s="28">
        <f>VLOOKUP(Table3[[#This Row],[Date]],'PCE Core'!$A:$E,2,)</f>
        <v>93.843999999999994</v>
      </c>
      <c r="C594" s="26">
        <f>VLOOKUP(Table3[[#This Row],[Date]],Database!$A:$E,5)</f>
        <v>213.93899999999999</v>
      </c>
      <c r="D594" s="26">
        <f>(((Table3[[#This Row],[Core PCE]]-$B$496)/$B$496)*100)+100</f>
        <v>117.6048924758133</v>
      </c>
      <c r="E594" s="26">
        <f>(((Table3[[#This Row],[Core CPI]]-$C$496)/$C$496)*100)+100</f>
        <v>119.71964185786234</v>
      </c>
      <c r="F594" s="27">
        <v>2.2970808329547909E-2</v>
      </c>
      <c r="G594" s="27">
        <f>VLOOKUP(Table3[[#This Row],[Date]],'PCE Core'!A:D,4,)</f>
        <v>2.0720260172505698E-2</v>
      </c>
    </row>
    <row r="595" spans="1:7" x14ac:dyDescent="0.35">
      <c r="A595" s="63">
        <v>39508</v>
      </c>
      <c r="B595" s="28">
        <f>VLOOKUP(Table3[[#This Row],[Date]],'PCE Core'!$A:$E,2,)</f>
        <v>94.028000000000006</v>
      </c>
      <c r="C595" s="28">
        <f>VLOOKUP(Table3[[#This Row],[Date]],Database!$A:$E,5)</f>
        <v>214.42</v>
      </c>
      <c r="D595" s="26">
        <f>(((Table3[[#This Row],[Core PCE]]-$B$496)/$B$496)*100)+100</f>
        <v>117.8354804752118</v>
      </c>
      <c r="E595" s="26">
        <f>(((Table3[[#This Row],[Core CPI]]-$C$496)/$C$496)*100)+100</f>
        <v>119.9888080581981</v>
      </c>
      <c r="F595" s="27">
        <v>2.388524386633423E-2</v>
      </c>
      <c r="G595" s="27">
        <f>VLOOKUP(Table3[[#This Row],[Date]],'PCE Core'!A:D,4,)</f>
        <v>2.1688108484005666E-2</v>
      </c>
    </row>
    <row r="596" spans="1:7" x14ac:dyDescent="0.35">
      <c r="A596" s="60">
        <v>39539</v>
      </c>
      <c r="B596" s="28">
        <f>VLOOKUP(Table3[[#This Row],[Date]],'PCE Core'!$A:$E,2,)</f>
        <v>94.082999999999998</v>
      </c>
      <c r="C596" s="28">
        <f>VLOOKUP(Table3[[#This Row],[Date]],Database!$A:$E,5)</f>
        <v>214.56</v>
      </c>
      <c r="D596" s="26">
        <f>(((Table3[[#This Row],[Core PCE]]-$B$496)/$B$496)*100)+100</f>
        <v>117.90440623590153</v>
      </c>
      <c r="E596" s="26">
        <f>(((Table3[[#This Row],[Core CPI]]-$C$496)/$C$496)*100)+100</f>
        <v>120.06715165081143</v>
      </c>
      <c r="F596" s="27">
        <v>2.2946692920518472E-2</v>
      </c>
      <c r="G596" s="27">
        <f>VLOOKUP(Table3[[#This Row],[Date]],'PCE Core'!A:D,4,)</f>
        <v>2.0832655187005649E-2</v>
      </c>
    </row>
    <row r="597" spans="1:7" x14ac:dyDescent="0.35">
      <c r="A597" s="63">
        <v>39569</v>
      </c>
      <c r="B597" s="28">
        <f>VLOOKUP(Table3[[#This Row],[Date]],'PCE Core'!$A:$E,2,)</f>
        <v>94.254999999999995</v>
      </c>
      <c r="C597" s="26">
        <f>VLOOKUP(Table3[[#This Row],[Date]],Database!$A:$E,5)</f>
        <v>214.93600000000001</v>
      </c>
      <c r="D597" s="26">
        <f>(((Table3[[#This Row],[Core PCE]]-$B$496)/$B$496)*100)+100</f>
        <v>118.11995588751314</v>
      </c>
      <c r="E597" s="26">
        <f>(((Table3[[#This Row],[Core CPI]]-$C$496)/$C$496)*100)+100</f>
        <v>120.2775601566872</v>
      </c>
      <c r="F597" s="27">
        <v>2.3222157689780989E-2</v>
      </c>
      <c r="G597" s="27">
        <f>VLOOKUP(Table3[[#This Row],[Date]],'PCE Core'!A:D,4,)</f>
        <v>2.1490809779781406E-2</v>
      </c>
    </row>
    <row r="598" spans="1:7" x14ac:dyDescent="0.35">
      <c r="A598" s="60">
        <v>39600</v>
      </c>
      <c r="B598" s="28">
        <f>VLOOKUP(Table3[[#This Row],[Date]],'PCE Core'!$A:$E,2,)</f>
        <v>94.471000000000004</v>
      </c>
      <c r="C598" s="28">
        <f>VLOOKUP(Table3[[#This Row],[Date]],Database!$A:$E,5)</f>
        <v>215.42400000000001</v>
      </c>
      <c r="D598" s="26">
        <f>(((Table3[[#This Row],[Core PCE]]-$B$496)/$B$496)*100)+100</f>
        <v>118.39064614767656</v>
      </c>
      <c r="E598" s="26">
        <f>(((Table3[[#This Row],[Core CPI]]-$C$496)/$C$496)*100)+100</f>
        <v>120.55064353665362</v>
      </c>
      <c r="F598" s="27">
        <v>2.3917259211376909E-2</v>
      </c>
      <c r="G598" s="27">
        <f>VLOOKUP(Table3[[#This Row],[Date]],'PCE Core'!A:D,4,)</f>
        <v>2.2147926945382118E-2</v>
      </c>
    </row>
    <row r="599" spans="1:7" x14ac:dyDescent="0.35">
      <c r="A599" s="63">
        <v>39630</v>
      </c>
      <c r="B599" s="28">
        <f>VLOOKUP(Table3[[#This Row],[Date]],'PCE Core'!$A:$E,2,)</f>
        <v>94.641000000000005</v>
      </c>
      <c r="C599" s="28">
        <f>VLOOKUP(Table3[[#This Row],[Date]],Database!$A:$E,5)</f>
        <v>215.965</v>
      </c>
      <c r="D599" s="26">
        <f>(((Table3[[#This Row],[Core PCE]]-$B$496)/$B$496)*100)+100</f>
        <v>118.60368940799037</v>
      </c>
      <c r="E599" s="26">
        <f>(((Table3[[#This Row],[Core CPI]]-$C$496)/$C$496)*100)+100</f>
        <v>120.85338556239509</v>
      </c>
      <c r="F599" s="27">
        <v>2.46331361227482E-2</v>
      </c>
      <c r="G599" s="27">
        <f>VLOOKUP(Table3[[#This Row],[Date]],'PCE Core'!A:D,4,)</f>
        <v>2.2449574884132999E-2</v>
      </c>
    </row>
    <row r="600" spans="1:7" x14ac:dyDescent="0.35">
      <c r="A600" s="60">
        <v>39661</v>
      </c>
      <c r="B600" s="28">
        <f>VLOOKUP(Table3[[#This Row],[Date]],'PCE Core'!$A:$E,2,)</f>
        <v>94.757000000000005</v>
      </c>
      <c r="C600" s="26">
        <f>VLOOKUP(Table3[[#This Row],[Date]],Database!$A:$E,5)</f>
        <v>216.393</v>
      </c>
      <c r="D600" s="26">
        <f>(((Table3[[#This Row],[Core PCE]]-$B$496)/$B$496)*100)+100</f>
        <v>118.74906010326332</v>
      </c>
      <c r="E600" s="26">
        <f>(((Table3[[#This Row],[Core CPI]]-$C$496)/$C$496)*100)+100</f>
        <v>121.09289311695579</v>
      </c>
      <c r="F600" s="27">
        <v>2.4981171756213321E-2</v>
      </c>
      <c r="G600" s="27">
        <f>VLOOKUP(Table3[[#This Row],[Date]],'PCE Core'!A:D,4,)</f>
        <v>2.2178833022297621E-2</v>
      </c>
    </row>
    <row r="601" spans="1:7" x14ac:dyDescent="0.35">
      <c r="A601" s="63">
        <v>39692</v>
      </c>
      <c r="B601" s="28">
        <f>VLOOKUP(Table3[[#This Row],[Date]],'PCE Core'!$A:$E,2,)</f>
        <v>94.853999999999999</v>
      </c>
      <c r="C601" s="28">
        <f>VLOOKUP(Table3[[#This Row],[Date]],Database!$A:$E,5)</f>
        <v>216.71299999999999</v>
      </c>
      <c r="D601" s="26">
        <f>(((Table3[[#This Row],[Core PCE]]-$B$496)/$B$496)*100)+100</f>
        <v>118.87062008120706</v>
      </c>
      <c r="E601" s="26">
        <f>(((Table3[[#This Row],[Core CPI]]-$C$496)/$C$496)*100)+100</f>
        <v>121.27196418578623</v>
      </c>
      <c r="F601" s="27">
        <v>2.438620872212292E-2</v>
      </c>
      <c r="G601" s="27">
        <f>VLOOKUP(Table3[[#This Row],[Date]],'PCE Core'!A:D,4,)</f>
        <v>2.0440217742109062E-2</v>
      </c>
    </row>
    <row r="602" spans="1:7" x14ac:dyDescent="0.35">
      <c r="A602" s="60">
        <v>39722</v>
      </c>
      <c r="B602" s="28">
        <f>VLOOKUP(Table3[[#This Row],[Date]],'PCE Core'!$A:$E,2,)</f>
        <v>94.718999999999994</v>
      </c>
      <c r="C602" s="28">
        <f>VLOOKUP(Table3[[#This Row],[Date]],Database!$A:$E,5)</f>
        <v>216.78800000000001</v>
      </c>
      <c r="D602" s="26">
        <f>(((Table3[[#This Row],[Core PCE]]-$B$496)/$B$496)*100)+100</f>
        <v>118.70143866860492</v>
      </c>
      <c r="E602" s="26">
        <f>(((Table3[[#This Row],[Core CPI]]-$C$496)/$C$496)*100)+100</f>
        <v>121.31393396754339</v>
      </c>
      <c r="F602" s="27">
        <v>2.2213629955157861E-2</v>
      </c>
      <c r="G602" s="27">
        <f>VLOOKUP(Table3[[#This Row],[Date]],'PCE Core'!A:D,4,)</f>
        <v>1.6341903085969313E-2</v>
      </c>
    </row>
    <row r="603" spans="1:7" x14ac:dyDescent="0.35">
      <c r="A603" s="63">
        <v>39753</v>
      </c>
      <c r="B603" s="28">
        <f>VLOOKUP(Table3[[#This Row],[Date]],'PCE Core'!$A:$E,2,)</f>
        <v>94.677000000000007</v>
      </c>
      <c r="C603" s="26">
        <f>VLOOKUP(Table3[[#This Row],[Date]],Database!$A:$E,5)</f>
        <v>216.947</v>
      </c>
      <c r="D603" s="26">
        <f>(((Table3[[#This Row],[Core PCE]]-$B$496)/$B$496)*100)+100</f>
        <v>118.64880445135094</v>
      </c>
      <c r="E603" s="26">
        <f>(((Table3[[#This Row],[Core CPI]]-$C$496)/$C$496)*100)+100</f>
        <v>121.40290990486849</v>
      </c>
      <c r="F603" s="27">
        <v>2.0158939151697579E-2</v>
      </c>
      <c r="G603" s="27">
        <f>VLOOKUP(Table3[[#This Row],[Date]],'PCE Core'!A:D,4,)</f>
        <v>1.390034161856522E-2</v>
      </c>
    </row>
    <row r="604" spans="1:7" x14ac:dyDescent="0.35">
      <c r="A604" s="60">
        <v>39783</v>
      </c>
      <c r="B604" s="28">
        <f>VLOOKUP(Table3[[#This Row],[Date]],'PCE Core'!$A:$E,2,)</f>
        <v>94.631</v>
      </c>
      <c r="C604" s="28">
        <f>VLOOKUP(Table3[[#This Row],[Date]],Database!$A:$E,5)</f>
        <v>216.92500000000001</v>
      </c>
      <c r="D604" s="26">
        <f>(((Table3[[#This Row],[Core PCE]]-$B$496)/$B$496)*100)+100</f>
        <v>118.59115745150132</v>
      </c>
      <c r="E604" s="26">
        <f>(((Table3[[#This Row],[Core CPI]]-$C$496)/$C$496)*100)+100</f>
        <v>121.39059876888642</v>
      </c>
      <c r="F604" s="27">
        <v>1.762459656233583E-2</v>
      </c>
      <c r="G604" s="27">
        <f>VLOOKUP(Table3[[#This Row],[Date]],'PCE Core'!A:D,4,)</f>
        <v>1.137153056098846E-2</v>
      </c>
    </row>
    <row r="605" spans="1:7" x14ac:dyDescent="0.35">
      <c r="A605" s="63">
        <v>39814</v>
      </c>
      <c r="B605" s="28">
        <f>VLOOKUP(Table3[[#This Row],[Date]],'PCE Core'!$A:$E,2,)</f>
        <v>94.602000000000004</v>
      </c>
      <c r="C605" s="28">
        <f>VLOOKUP(Table3[[#This Row],[Date]],Database!$A:$E,5)</f>
        <v>217.346</v>
      </c>
      <c r="D605" s="26">
        <f>(((Table3[[#This Row],[Core PCE]]-$B$496)/$B$496)*100)+100</f>
        <v>118.55481477768309</v>
      </c>
      <c r="E605" s="26">
        <f>(((Table3[[#This Row],[Core CPI]]-$C$496)/$C$496)*100)+100</f>
        <v>121.62618914381646</v>
      </c>
      <c r="F605" s="27">
        <v>1.6723503187990971E-2</v>
      </c>
      <c r="G605" s="27">
        <f>VLOOKUP(Table3[[#This Row],[Date]],'PCE Core'!A:D,4,)</f>
        <v>9.0557102172730865E-3</v>
      </c>
    </row>
    <row r="606" spans="1:7" x14ac:dyDescent="0.35">
      <c r="A606" s="60">
        <v>39845</v>
      </c>
      <c r="B606" s="28">
        <f>VLOOKUP(Table3[[#This Row],[Date]],'PCE Core'!$A:$E,2,)</f>
        <v>94.677000000000007</v>
      </c>
      <c r="C606" s="26">
        <f>VLOOKUP(Table3[[#This Row],[Date]],Database!$A:$E,5)</f>
        <v>217.792</v>
      </c>
      <c r="D606" s="26">
        <f>(((Table3[[#This Row],[Core PCE]]-$B$496)/$B$496)*100)+100</f>
        <v>118.64880445135094</v>
      </c>
      <c r="E606" s="26">
        <f>(((Table3[[#This Row],[Core CPI]]-$C$496)/$C$496)*100)+100</f>
        <v>121.87576944599888</v>
      </c>
      <c r="F606" s="27">
        <v>1.800980653363813E-2</v>
      </c>
      <c r="G606" s="27">
        <f>VLOOKUP(Table3[[#This Row],[Date]],'PCE Core'!A:D,4,)</f>
        <v>8.8764332296152413E-3</v>
      </c>
    </row>
    <row r="607" spans="1:7" x14ac:dyDescent="0.35">
      <c r="A607" s="63">
        <v>39873</v>
      </c>
      <c r="B607" s="28">
        <f>VLOOKUP(Table3[[#This Row],[Date]],'PCE Core'!$A:$E,2,)</f>
        <v>94.745000000000005</v>
      </c>
      <c r="C607" s="28">
        <f>VLOOKUP(Table3[[#This Row],[Date]],Database!$A:$E,5)</f>
        <v>218.25299999999999</v>
      </c>
      <c r="D607" s="26">
        <f>(((Table3[[#This Row],[Core PCE]]-$B$496)/$B$496)*100)+100</f>
        <v>118.73402175547646</v>
      </c>
      <c r="E607" s="26">
        <f>(((Table3[[#This Row],[Core CPI]]-$C$496)/$C$496)*100)+100</f>
        <v>122.13374370453273</v>
      </c>
      <c r="F607" s="27">
        <v>1.7876130957933022E-2</v>
      </c>
      <c r="G607" s="27">
        <f>VLOOKUP(Table3[[#This Row],[Date]],'PCE Core'!A:D,4,)</f>
        <v>7.625388182243573E-3</v>
      </c>
    </row>
    <row r="608" spans="1:7" x14ac:dyDescent="0.35">
      <c r="A608" s="60">
        <v>39904</v>
      </c>
      <c r="B608" s="28">
        <f>VLOOKUP(Table3[[#This Row],[Date]],'PCE Core'!$A:$E,2,)</f>
        <v>94.956999999999994</v>
      </c>
      <c r="C608" s="28">
        <f>VLOOKUP(Table3[[#This Row],[Date]],Database!$A:$E,5)</f>
        <v>218.70599999999999</v>
      </c>
      <c r="D608" s="26">
        <f>(((Table3[[#This Row],[Core PCE]]-$B$496)/$B$496)*100)+100</f>
        <v>118.99969923304425</v>
      </c>
      <c r="E608" s="26">
        <f>(((Table3[[#This Row],[Core CPI]]-$C$496)/$C$496)*100)+100</f>
        <v>122.38724118634583</v>
      </c>
      <c r="F608" s="27">
        <v>1.9323266219239309E-2</v>
      </c>
      <c r="G608" s="27">
        <f>VLOOKUP(Table3[[#This Row],[Date]],'PCE Core'!A:D,4,)</f>
        <v>9.2896697596802323E-3</v>
      </c>
    </row>
    <row r="609" spans="1:7" x14ac:dyDescent="0.35">
      <c r="A609" s="63">
        <v>39934</v>
      </c>
      <c r="B609" s="28">
        <f>VLOOKUP(Table3[[#This Row],[Date]],'PCE Core'!$A:$E,2,)</f>
        <v>95.03</v>
      </c>
      <c r="C609" s="26">
        <f>VLOOKUP(Table3[[#This Row],[Date]],Database!$A:$E,5)</f>
        <v>218.904</v>
      </c>
      <c r="D609" s="26">
        <f>(((Table3[[#This Row],[Core PCE]]-$B$496)/$B$496)*100)+100</f>
        <v>119.0911825154143</v>
      </c>
      <c r="E609" s="26">
        <f>(((Table3[[#This Row],[Core CPI]]-$C$496)/$C$496)*100)+100</f>
        <v>122.49804141018467</v>
      </c>
      <c r="F609" s="27">
        <v>1.8461309413034529E-2</v>
      </c>
      <c r="G609" s="27">
        <f>VLOOKUP(Table3[[#This Row],[Date]],'PCE Core'!A:D,4,)</f>
        <v>8.2223754707973652E-3</v>
      </c>
    </row>
    <row r="610" spans="1:7" x14ac:dyDescent="0.35">
      <c r="A610" s="60">
        <v>39965</v>
      </c>
      <c r="B610" s="28">
        <f>VLOOKUP(Table3[[#This Row],[Date]],'PCE Core'!$A:$E,2,)</f>
        <v>95.150999999999996</v>
      </c>
      <c r="C610" s="28">
        <f>VLOOKUP(Table3[[#This Row],[Date]],Database!$A:$E,5)</f>
        <v>219.11199999999999</v>
      </c>
      <c r="D610" s="26">
        <f>(((Table3[[#This Row],[Core PCE]]-$B$496)/$B$496)*100)+100</f>
        <v>119.24281918893176</v>
      </c>
      <c r="E610" s="26">
        <f>(((Table3[[#This Row],[Core CPI]]-$C$496)/$C$496)*100)+100</f>
        <v>122.61443760492446</v>
      </c>
      <c r="F610" s="27">
        <v>1.7119726678550148E-2</v>
      </c>
      <c r="G610" s="27">
        <f>VLOOKUP(Table3[[#This Row],[Date]],'PCE Core'!A:D,4,)</f>
        <v>7.1979760984851706E-3</v>
      </c>
    </row>
    <row r="611" spans="1:7" x14ac:dyDescent="0.35">
      <c r="A611" s="63">
        <v>39995</v>
      </c>
      <c r="B611" s="28">
        <f>VLOOKUP(Table3[[#This Row],[Date]],'PCE Core'!$A:$E,2,)</f>
        <v>95.233000000000004</v>
      </c>
      <c r="C611" s="28">
        <f>VLOOKUP(Table3[[#This Row],[Date]],Database!$A:$E,5)</f>
        <v>219.26300000000001</v>
      </c>
      <c r="D611" s="26">
        <f>(((Table3[[#This Row],[Core PCE]]-$B$496)/$B$496)*100)+100</f>
        <v>119.34558123214195</v>
      </c>
      <c r="E611" s="26">
        <f>(((Table3[[#This Row],[Core CPI]]-$C$496)/$C$496)*100)+100</f>
        <v>122.69893676552883</v>
      </c>
      <c r="F611" s="27">
        <v>1.5270992984974431E-2</v>
      </c>
      <c r="G611" s="27">
        <f>VLOOKUP(Table3[[#This Row],[Date]],'PCE Core'!A:D,4,)</f>
        <v>6.255217083505021E-3</v>
      </c>
    </row>
    <row r="612" spans="1:7" x14ac:dyDescent="0.35">
      <c r="A612" s="60">
        <v>40026</v>
      </c>
      <c r="B612" s="28">
        <f>VLOOKUP(Table3[[#This Row],[Date]],'PCE Core'!$A:$E,2,)</f>
        <v>95.373999999999995</v>
      </c>
      <c r="C612" s="26">
        <f>VLOOKUP(Table3[[#This Row],[Date]],Database!$A:$E,5)</f>
        <v>219.49600000000001</v>
      </c>
      <c r="D612" s="26">
        <f>(((Table3[[#This Row],[Core PCE]]-$B$496)/$B$496)*100)+100</f>
        <v>119.52228181863751</v>
      </c>
      <c r="E612" s="26">
        <f>(((Table3[[#This Row],[Core CPI]]-$C$496)/$C$496)*100)+100</f>
        <v>122.829322887521</v>
      </c>
      <c r="F612" s="27">
        <v>1.433965054322464E-2</v>
      </c>
      <c r="G612" s="27">
        <f>VLOOKUP(Table3[[#This Row],[Date]],'PCE Core'!A:D,4,)</f>
        <v>6.5113922981942249E-3</v>
      </c>
    </row>
    <row r="613" spans="1:7" x14ac:dyDescent="0.35">
      <c r="A613" s="63">
        <v>40057</v>
      </c>
      <c r="B613" s="28">
        <f>VLOOKUP(Table3[[#This Row],[Date]],'PCE Core'!$A:$E,2,)</f>
        <v>95.540999999999997</v>
      </c>
      <c r="C613" s="28">
        <f>VLOOKUP(Table3[[#This Row],[Date]],Database!$A:$E,5)</f>
        <v>219.92</v>
      </c>
      <c r="D613" s="26">
        <f>(((Table3[[#This Row],[Core PCE]]-$B$496)/$B$496)*100)+100</f>
        <v>119.73156549200459</v>
      </c>
      <c r="E613" s="26">
        <f>(((Table3[[#This Row],[Core CPI]]-$C$496)/$C$496)*100)+100</f>
        <v>123.06659205372132</v>
      </c>
      <c r="F613" s="27">
        <v>1.479837388619969E-2</v>
      </c>
      <c r="G613" s="27">
        <f>VLOOKUP(Table3[[#This Row],[Date]],'PCE Core'!A:D,4,)</f>
        <v>7.2427098488202675E-3</v>
      </c>
    </row>
    <row r="614" spans="1:7" x14ac:dyDescent="0.35">
      <c r="A614" s="60">
        <v>40087</v>
      </c>
      <c r="B614" s="28">
        <f>VLOOKUP(Table3[[#This Row],[Date]],'PCE Core'!$A:$E,2,)</f>
        <v>95.893000000000001</v>
      </c>
      <c r="C614" s="28">
        <f>VLOOKUP(Table3[[#This Row],[Date]],Database!$A:$E,5)</f>
        <v>220.501</v>
      </c>
      <c r="D614" s="26">
        <f>(((Table3[[#This Row],[Core PCE]]-$B$496)/$B$496)*100)+100</f>
        <v>120.17269036041907</v>
      </c>
      <c r="E614" s="26">
        <f>(((Table3[[#This Row],[Core CPI]]-$C$496)/$C$496)*100)+100</f>
        <v>123.3917179630666</v>
      </c>
      <c r="F614" s="27">
        <v>1.712733177113121E-2</v>
      </c>
      <c r="G614" s="27">
        <f>VLOOKUP(Table3[[#This Row],[Date]],'PCE Core'!A:D,4,)</f>
        <v>1.2394556530368845E-2</v>
      </c>
    </row>
    <row r="615" spans="1:7" x14ac:dyDescent="0.35">
      <c r="A615" s="63">
        <v>40118</v>
      </c>
      <c r="B615" s="28">
        <f>VLOOKUP(Table3[[#This Row],[Date]],'PCE Core'!$A:$E,2,)</f>
        <v>95.977999999999994</v>
      </c>
      <c r="C615" s="26">
        <f>VLOOKUP(Table3[[#This Row],[Date]],Database!$A:$E,5)</f>
        <v>220.666</v>
      </c>
      <c r="D615" s="26">
        <f>(((Table3[[#This Row],[Core PCE]]-$B$496)/$B$496)*100)+100</f>
        <v>120.27921199057596</v>
      </c>
      <c r="E615" s="26">
        <f>(((Table3[[#This Row],[Core CPI]]-$C$496)/$C$496)*100)+100</f>
        <v>123.4840514829323</v>
      </c>
      <c r="F615" s="27">
        <v>1.7142435710104289E-2</v>
      </c>
      <c r="G615" s="27">
        <f>VLOOKUP(Table3[[#This Row],[Date]],'PCE Core'!A:D,4,)</f>
        <v>1.3741457798620443E-2</v>
      </c>
    </row>
    <row r="616" spans="1:7" x14ac:dyDescent="0.35">
      <c r="A616" s="60">
        <v>40148</v>
      </c>
      <c r="B616" s="28">
        <f>VLOOKUP(Table3[[#This Row],[Date]],'PCE Core'!$A:$E,2,)</f>
        <v>96.06</v>
      </c>
      <c r="C616" s="28">
        <f>VLOOKUP(Table3[[#This Row],[Date]],Database!$A:$E,5)</f>
        <v>220.881</v>
      </c>
      <c r="D616" s="26">
        <f>(((Table3[[#This Row],[Core PCE]]-$B$496)/$B$496)*100)+100</f>
        <v>120.38197403378615</v>
      </c>
      <c r="E616" s="26">
        <f>(((Table3[[#This Row],[Core CPI]]-$C$496)/$C$496)*100)+100</f>
        <v>123.60436485730276</v>
      </c>
      <c r="F616" s="27">
        <v>1.8236717759594279E-2</v>
      </c>
      <c r="G616" s="27">
        <f>VLOOKUP(Table3[[#This Row],[Date]],'PCE Core'!A:D,4,)</f>
        <v>1.5100759793302427E-2</v>
      </c>
    </row>
    <row r="617" spans="1:7" x14ac:dyDescent="0.35">
      <c r="A617" s="63">
        <v>40179</v>
      </c>
      <c r="B617" s="28">
        <f>VLOOKUP(Table3[[#This Row],[Date]],'PCE Core'!$A:$E,2,)</f>
        <v>96.200999999999993</v>
      </c>
      <c r="C617" s="28">
        <f>VLOOKUP(Table3[[#This Row],[Date]],Database!$A:$E,5)</f>
        <v>220.63300000000001</v>
      </c>
      <c r="D617" s="26">
        <f>(((Table3[[#This Row],[Core PCE]]-$B$496)/$B$496)*100)+100</f>
        <v>120.55867462028169</v>
      </c>
      <c r="E617" s="26">
        <f>(((Table3[[#This Row],[Core CPI]]-$C$496)/$C$496)*100)+100</f>
        <v>123.46558477895917</v>
      </c>
      <c r="F617" s="27">
        <v>1.5123351706495661E-2</v>
      </c>
      <c r="G617" s="27">
        <f>VLOOKUP(Table3[[#This Row],[Date]],'PCE Core'!A:D,4,)</f>
        <v>1.6902391069956127E-2</v>
      </c>
    </row>
    <row r="618" spans="1:7" x14ac:dyDescent="0.35">
      <c r="A618" s="60">
        <v>40210</v>
      </c>
      <c r="B618" s="28">
        <f>VLOOKUP(Table3[[#This Row],[Date]],'PCE Core'!$A:$E,2,)</f>
        <v>96.284999999999997</v>
      </c>
      <c r="C618" s="26">
        <f>VLOOKUP(Table3[[#This Row],[Date]],Database!$A:$E,5)</f>
        <v>220.73099999999999</v>
      </c>
      <c r="D618" s="26">
        <f>(((Table3[[#This Row],[Core PCE]]-$B$496)/$B$496)*100)+100</f>
        <v>120.6639430547897</v>
      </c>
      <c r="E618" s="26">
        <f>(((Table3[[#This Row],[Core CPI]]-$C$496)/$C$496)*100)+100</f>
        <v>123.52042529378848</v>
      </c>
      <c r="F618" s="27">
        <v>1.349452688803993E-2</v>
      </c>
      <c r="G618" s="27">
        <f>VLOOKUP(Table3[[#This Row],[Date]],'PCE Core'!A:D,4,)</f>
        <v>1.6984061598909871E-2</v>
      </c>
    </row>
    <row r="619" spans="1:7" x14ac:dyDescent="0.35">
      <c r="A619" s="63">
        <v>40238</v>
      </c>
      <c r="B619" s="28">
        <f>VLOOKUP(Table3[[#This Row],[Date]],'PCE Core'!$A:$E,2,)</f>
        <v>96.429000000000002</v>
      </c>
      <c r="C619" s="28">
        <f>VLOOKUP(Table3[[#This Row],[Date]],Database!$A:$E,5)</f>
        <v>220.78299999999999</v>
      </c>
      <c r="D619" s="26">
        <f>(((Table3[[#This Row],[Core PCE]]-$B$496)/$B$496)*100)+100</f>
        <v>120.84440322823198</v>
      </c>
      <c r="E619" s="26">
        <f>(((Table3[[#This Row],[Core CPI]]-$C$496)/$C$496)*100)+100</f>
        <v>123.54952434247342</v>
      </c>
      <c r="F619" s="27">
        <v>1.1592051426555431E-2</v>
      </c>
      <c r="G619" s="27">
        <f>VLOOKUP(Table3[[#This Row],[Date]],'PCE Core'!A:D,4,)</f>
        <v>1.7774025014512612E-2</v>
      </c>
    </row>
    <row r="620" spans="1:7" x14ac:dyDescent="0.35">
      <c r="A620" s="60">
        <v>40269</v>
      </c>
      <c r="B620" s="28">
        <f>VLOOKUP(Table3[[#This Row],[Date]],'PCE Core'!$A:$E,2,)</f>
        <v>96.477999999999994</v>
      </c>
      <c r="C620" s="28">
        <f>VLOOKUP(Table3[[#This Row],[Date]],Database!$A:$E,5)</f>
        <v>220.822</v>
      </c>
      <c r="D620" s="26">
        <f>(((Table3[[#This Row],[Core PCE]]-$B$496)/$B$496)*100)+100</f>
        <v>120.90580981502831</v>
      </c>
      <c r="E620" s="26">
        <f>(((Table3[[#This Row],[Core CPI]]-$C$496)/$C$496)*100)+100</f>
        <v>123.57134862898714</v>
      </c>
      <c r="F620" s="27">
        <v>9.6750889321738504E-3</v>
      </c>
      <c r="G620" s="27">
        <f>VLOOKUP(Table3[[#This Row],[Date]],'PCE Core'!A:D,4,)</f>
        <v>1.6017776467243078E-2</v>
      </c>
    </row>
    <row r="621" spans="1:7" x14ac:dyDescent="0.35">
      <c r="A621" s="63">
        <v>40299</v>
      </c>
      <c r="B621" s="28">
        <f>VLOOKUP(Table3[[#This Row],[Date]],'PCE Core'!$A:$E,2,)</f>
        <v>96.584999999999994</v>
      </c>
      <c r="C621" s="26">
        <f>VLOOKUP(Table3[[#This Row],[Date]],Database!$A:$E,5)</f>
        <v>220.96199999999999</v>
      </c>
      <c r="D621" s="26">
        <f>(((Table3[[#This Row],[Core PCE]]-$B$496)/$B$496)*100)+100</f>
        <v>121.03990174946111</v>
      </c>
      <c r="E621" s="26">
        <f>(((Table3[[#This Row],[Core CPI]]-$C$496)/$C$496)*100)+100</f>
        <v>123.64969222160045</v>
      </c>
      <c r="F621" s="27">
        <v>9.4013814274750244E-3</v>
      </c>
      <c r="G621" s="27">
        <f>VLOOKUP(Table3[[#This Row],[Date]],'PCE Core'!A:D,4,)</f>
        <v>1.6363253709354864E-2</v>
      </c>
    </row>
    <row r="622" spans="1:7" x14ac:dyDescent="0.35">
      <c r="A622" s="60">
        <v>40330</v>
      </c>
      <c r="B622" s="28">
        <f>VLOOKUP(Table3[[#This Row],[Date]],'PCE Core'!$A:$E,2,)</f>
        <v>96.632000000000005</v>
      </c>
      <c r="C622" s="28">
        <f>VLOOKUP(Table3[[#This Row],[Date]],Database!$A:$E,5)</f>
        <v>221.19399999999999</v>
      </c>
      <c r="D622" s="26">
        <f>(((Table3[[#This Row],[Core PCE]]-$B$496)/$B$496)*100)+100</f>
        <v>121.09880194495965</v>
      </c>
      <c r="E622" s="26">
        <f>(((Table3[[#This Row],[Core CPI]]-$C$496)/$C$496)*100)+100</f>
        <v>123.77951874650252</v>
      </c>
      <c r="F622" s="27">
        <v>9.5019898499397286E-3</v>
      </c>
      <c r="G622" s="27">
        <f>VLOOKUP(Table3[[#This Row],[Date]],'PCE Core'!A:D,4,)</f>
        <v>1.5564733949196633E-2</v>
      </c>
    </row>
    <row r="623" spans="1:7" x14ac:dyDescent="0.35">
      <c r="A623" s="63">
        <v>40360</v>
      </c>
      <c r="B623" s="28">
        <f>VLOOKUP(Table3[[#This Row],[Date]],'PCE Core'!$A:$E,2,)</f>
        <v>96.632999999999996</v>
      </c>
      <c r="C623" s="28">
        <f>VLOOKUP(Table3[[#This Row],[Date]],Database!$A:$E,5)</f>
        <v>221.363</v>
      </c>
      <c r="D623" s="26">
        <f>(((Table3[[#This Row],[Core PCE]]-$B$496)/$B$496)*100)+100</f>
        <v>121.10005514060853</v>
      </c>
      <c r="E623" s="26">
        <f>(((Table3[[#This Row],[Core CPI]]-$C$496)/$C$496)*100)+100</f>
        <v>123.8740906547286</v>
      </c>
      <c r="F623" s="27">
        <v>9.5775393021166107E-3</v>
      </c>
      <c r="G623" s="27">
        <f>VLOOKUP(Table3[[#This Row],[Date]],'PCE Core'!A:D,4,)</f>
        <v>1.4700786492077235E-2</v>
      </c>
    </row>
    <row r="624" spans="1:7" x14ac:dyDescent="0.35">
      <c r="A624" s="60">
        <v>40391</v>
      </c>
      <c r="B624" s="28">
        <f>VLOOKUP(Table3[[#This Row],[Date]],'PCE Core'!$A:$E,2,)</f>
        <v>96.725999999999999</v>
      </c>
      <c r="C624" s="26">
        <f>VLOOKUP(Table3[[#This Row],[Date]],Database!$A:$E,5)</f>
        <v>221.50899999999999</v>
      </c>
      <c r="D624" s="26">
        <f>(((Table3[[#This Row],[Core PCE]]-$B$496)/$B$496)*100)+100</f>
        <v>121.21660233595668</v>
      </c>
      <c r="E624" s="26">
        <f>(((Table3[[#This Row],[Core CPI]]-$C$496)/$C$496)*100)+100</f>
        <v>123.95579182988249</v>
      </c>
      <c r="F624" s="27">
        <v>9.1710099500673208E-3</v>
      </c>
      <c r="G624" s="27">
        <f>VLOOKUP(Table3[[#This Row],[Date]],'PCE Core'!A:D,4,)</f>
        <v>1.4175771174533981E-2</v>
      </c>
    </row>
    <row r="625" spans="1:7" x14ac:dyDescent="0.35">
      <c r="A625" s="63">
        <v>40422</v>
      </c>
      <c r="B625" s="28">
        <f>VLOOKUP(Table3[[#This Row],[Date]],'PCE Core'!$A:$E,2,)</f>
        <v>96.781000000000006</v>
      </c>
      <c r="C625" s="28">
        <f>VLOOKUP(Table3[[#This Row],[Date]],Database!$A:$E,5)</f>
        <v>221.71100000000001</v>
      </c>
      <c r="D625" s="26">
        <f>(((Table3[[#This Row],[Core PCE]]-$B$496)/$B$496)*100)+100</f>
        <v>121.28552809664644</v>
      </c>
      <c r="E625" s="26">
        <f>(((Table3[[#This Row],[Core CPI]]-$C$496)/$C$496)*100)+100</f>
        <v>124.06883044208172</v>
      </c>
      <c r="F625" s="27">
        <v>8.1438704983631555E-3</v>
      </c>
      <c r="G625" s="27">
        <f>VLOOKUP(Table3[[#This Row],[Date]],'PCE Core'!A:D,4,)</f>
        <v>1.2978721177295706E-2</v>
      </c>
    </row>
    <row r="626" spans="1:7" x14ac:dyDescent="0.35">
      <c r="A626" s="60">
        <v>40452</v>
      </c>
      <c r="B626" s="28">
        <f>VLOOKUP(Table3[[#This Row],[Date]],'PCE Core'!$A:$E,2,)</f>
        <v>96.927999999999997</v>
      </c>
      <c r="C626" s="28">
        <f>VLOOKUP(Table3[[#This Row],[Date]],Database!$A:$E,5)</f>
        <v>221.83</v>
      </c>
      <c r="D626" s="26">
        <f>(((Table3[[#This Row],[Core PCE]]-$B$496)/$B$496)*100)+100</f>
        <v>121.46974785703543</v>
      </c>
      <c r="E626" s="26">
        <f>(((Table3[[#This Row],[Core CPI]]-$C$496)/$C$496)*100)+100</f>
        <v>124.13542249580303</v>
      </c>
      <c r="F626" s="27">
        <v>6.027183550188016E-3</v>
      </c>
      <c r="G626" s="27">
        <f>VLOOKUP(Table3[[#This Row],[Date]],'PCE Core'!A:D,4,)</f>
        <v>1.0793280010011123E-2</v>
      </c>
    </row>
    <row r="627" spans="1:7" x14ac:dyDescent="0.35">
      <c r="A627" s="63">
        <v>40483</v>
      </c>
      <c r="B627" s="28">
        <f>VLOOKUP(Table3[[#This Row],[Date]],'PCE Core'!$A:$E,2,)</f>
        <v>97.054000000000002</v>
      </c>
      <c r="C627" s="26">
        <f>VLOOKUP(Table3[[#This Row],[Date]],Database!$A:$E,5)</f>
        <v>222.149</v>
      </c>
      <c r="D627" s="26">
        <f>(((Table3[[#This Row],[Core PCE]]-$B$496)/$B$496)*100)+100</f>
        <v>121.62765050879743</v>
      </c>
      <c r="E627" s="26">
        <f>(((Table3[[#This Row],[Core CPI]]-$C$496)/$C$496)*100)+100</f>
        <v>124.31393396754338</v>
      </c>
      <c r="F627" s="27">
        <v>6.7205641104656089E-3</v>
      </c>
      <c r="G627" s="27">
        <f>VLOOKUP(Table3[[#This Row],[Date]],'PCE Core'!A:D,4,)</f>
        <v>1.1210902498489318E-2</v>
      </c>
    </row>
    <row r="628" spans="1:7" x14ac:dyDescent="0.35">
      <c r="A628" s="60">
        <v>40513</v>
      </c>
      <c r="B628" s="28">
        <f>VLOOKUP(Table3[[#This Row],[Date]],'PCE Core'!$A:$E,2,)</f>
        <v>97.073999999999998</v>
      </c>
      <c r="C628" s="28">
        <f>VLOOKUP(Table3[[#This Row],[Date]],Database!$A:$E,5)</f>
        <v>222.34299999999999</v>
      </c>
      <c r="D628" s="26">
        <f>(((Table3[[#This Row],[Core PCE]]-$B$496)/$B$496)*100)+100</f>
        <v>121.65271442177551</v>
      </c>
      <c r="E628" s="26">
        <f>(((Table3[[#This Row],[Core CPI]]-$C$496)/$C$496)*100)+100</f>
        <v>124.42249580302183</v>
      </c>
      <c r="F628" s="27">
        <v>6.61894866466554E-3</v>
      </c>
      <c r="G628" s="27">
        <f>VLOOKUP(Table3[[#This Row],[Date]],'PCE Core'!A:D,4,)</f>
        <v>1.0555902560899394E-2</v>
      </c>
    </row>
    <row r="629" spans="1:7" x14ac:dyDescent="0.35">
      <c r="A629" s="63">
        <v>40544</v>
      </c>
      <c r="B629" s="28">
        <f>VLOOKUP(Table3[[#This Row],[Date]],'PCE Core'!$A:$E,2,)</f>
        <v>97.283000000000001</v>
      </c>
      <c r="C629" s="28">
        <f>VLOOKUP(Table3[[#This Row],[Date]],Database!$A:$E,5)</f>
        <v>222.803</v>
      </c>
      <c r="D629" s="26">
        <f>(((Table3[[#This Row],[Core PCE]]-$B$496)/$B$496)*100)+100</f>
        <v>121.91463231239661</v>
      </c>
      <c r="E629" s="26">
        <f>(((Table3[[#This Row],[Core CPI]]-$C$496)/$C$496)*100)+100</f>
        <v>124.67991046446559</v>
      </c>
      <c r="F629" s="27">
        <v>9.8353374155270845E-3</v>
      </c>
      <c r="G629" s="27">
        <f>VLOOKUP(Table3[[#This Row],[Date]],'PCE Core'!A:D,4,)</f>
        <v>1.1247284331763785E-2</v>
      </c>
    </row>
    <row r="630" spans="1:7" x14ac:dyDescent="0.35">
      <c r="A630" s="60">
        <v>40575</v>
      </c>
      <c r="B630" s="28">
        <f>VLOOKUP(Table3[[#This Row],[Date]],'PCE Core'!$A:$E,2,)</f>
        <v>97.453000000000003</v>
      </c>
      <c r="C630" s="26">
        <f>VLOOKUP(Table3[[#This Row],[Date]],Database!$A:$E,5)</f>
        <v>223.21299999999999</v>
      </c>
      <c r="D630" s="26">
        <f>(((Table3[[#This Row],[Core PCE]]-$B$496)/$B$496)*100)+100</f>
        <v>122.1276755727104</v>
      </c>
      <c r="E630" s="26">
        <f>(((Table3[[#This Row],[Core CPI]]-$C$496)/$C$496)*100)+100</f>
        <v>124.90934527140459</v>
      </c>
      <c r="F630" s="27">
        <v>1.124445592146096E-2</v>
      </c>
      <c r="G630" s="27">
        <f>VLOOKUP(Table3[[#This Row],[Date]],'PCE Core'!A:D,4,)</f>
        <v>1.2130653788232916E-2</v>
      </c>
    </row>
    <row r="631" spans="1:7" x14ac:dyDescent="0.35">
      <c r="A631" s="63">
        <v>40603</v>
      </c>
      <c r="B631" s="28">
        <f>VLOOKUP(Table3[[#This Row],[Date]],'PCE Core'!$A:$E,2,)</f>
        <v>97.6</v>
      </c>
      <c r="C631" s="28">
        <f>VLOOKUP(Table3[[#This Row],[Date]],Database!$A:$E,5)</f>
        <v>223.45400000000001</v>
      </c>
      <c r="D631" s="26">
        <f>(((Table3[[#This Row],[Core PCE]]-$B$496)/$B$496)*100)+100</f>
        <v>122.31189533309939</v>
      </c>
      <c r="E631" s="26">
        <f>(((Table3[[#This Row],[Core CPI]]-$C$496)/$C$496)*100)+100</f>
        <v>125.04420817011753</v>
      </c>
      <c r="F631" s="27">
        <v>1.2097851736773311E-2</v>
      </c>
      <c r="G631" s="27">
        <f>VLOOKUP(Table3[[#This Row],[Date]],'PCE Core'!A:D,4,)</f>
        <v>1.2143649731927037E-2</v>
      </c>
    </row>
    <row r="632" spans="1:7" x14ac:dyDescent="0.35">
      <c r="A632" s="60">
        <v>40634</v>
      </c>
      <c r="B632" s="28">
        <f>VLOOKUP(Table3[[#This Row],[Date]],'PCE Core'!$A:$E,2,)</f>
        <v>97.823999999999998</v>
      </c>
      <c r="C632" s="28">
        <f>VLOOKUP(Table3[[#This Row],[Date]],Database!$A:$E,5)</f>
        <v>223.727</v>
      </c>
      <c r="D632" s="26">
        <f>(((Table3[[#This Row],[Core PCE]]-$B$496)/$B$496)*100)+100</f>
        <v>122.59261115845405</v>
      </c>
      <c r="E632" s="26">
        <f>(((Table3[[#This Row],[Core CPI]]-$C$496)/$C$496)*100)+100</f>
        <v>125.1969781757135</v>
      </c>
      <c r="F632" s="27">
        <v>1.315539212578457E-2</v>
      </c>
      <c r="G632" s="27">
        <f>VLOOKUP(Table3[[#This Row],[Date]],'PCE Core'!A:D,4,)</f>
        <v>1.3951367151060384E-2</v>
      </c>
    </row>
    <row r="633" spans="1:7" x14ac:dyDescent="0.35">
      <c r="A633" s="63">
        <v>40664</v>
      </c>
      <c r="B633" s="28">
        <f>VLOOKUP(Table3[[#This Row],[Date]],'PCE Core'!$A:$E,2,)</f>
        <v>98.057000000000002</v>
      </c>
      <c r="C633" s="26">
        <f>VLOOKUP(Table3[[#This Row],[Date]],Database!$A:$E,5)</f>
        <v>224.17500000000001</v>
      </c>
      <c r="D633" s="26">
        <f>(((Table3[[#This Row],[Core PCE]]-$B$496)/$B$496)*100)+100</f>
        <v>122.88460574464885</v>
      </c>
      <c r="E633" s="26">
        <f>(((Table3[[#This Row],[Core CPI]]-$C$496)/$C$496)*100)+100</f>
        <v>125.44767767207611</v>
      </c>
      <c r="F633" s="27">
        <v>1.4540961794335779E-2</v>
      </c>
      <c r="G633" s="27">
        <f>VLOOKUP(Table3[[#This Row],[Date]],'PCE Core'!A:D,4,)</f>
        <v>1.5240461769425982E-2</v>
      </c>
    </row>
    <row r="634" spans="1:7" x14ac:dyDescent="0.35">
      <c r="A634" s="60">
        <v>40695</v>
      </c>
      <c r="B634" s="28">
        <f>VLOOKUP(Table3[[#This Row],[Date]],'PCE Core'!$A:$E,2,)</f>
        <v>98.164000000000001</v>
      </c>
      <c r="C634" s="28">
        <f>VLOOKUP(Table3[[#This Row],[Date]],Database!$A:$E,5)</f>
        <v>224.697</v>
      </c>
      <c r="D634" s="26">
        <f>(((Table3[[#This Row],[Core PCE]]-$B$496)/$B$496)*100)+100</f>
        <v>123.01869767908165</v>
      </c>
      <c r="E634" s="26">
        <f>(((Table3[[#This Row],[Core CPI]]-$C$496)/$C$496)*100)+100</f>
        <v>125.73978735310578</v>
      </c>
      <c r="F634" s="27">
        <v>1.583677676609679E-2</v>
      </c>
      <c r="G634" s="27">
        <f>VLOOKUP(Table3[[#This Row],[Date]],'PCE Core'!A:D,4,)</f>
        <v>1.5853961420647367E-2</v>
      </c>
    </row>
    <row r="635" spans="1:7" x14ac:dyDescent="0.35">
      <c r="A635" s="63">
        <v>40725</v>
      </c>
      <c r="B635" s="28">
        <f>VLOOKUP(Table3[[#This Row],[Date]],'PCE Core'!$A:$E,2,)</f>
        <v>98.308999999999997</v>
      </c>
      <c r="C635" s="28">
        <f>VLOOKUP(Table3[[#This Row],[Date]],Database!$A:$E,5)</f>
        <v>225.21799999999999</v>
      </c>
      <c r="D635" s="26">
        <f>(((Table3[[#This Row],[Core PCE]]-$B$496)/$B$496)*100)+100</f>
        <v>123.20041104817282</v>
      </c>
      <c r="E635" s="26">
        <f>(((Table3[[#This Row],[Core CPI]]-$C$496)/$C$496)*100)+100</f>
        <v>126.03133743704532</v>
      </c>
      <c r="F635" s="27">
        <v>1.7414834457429609E-2</v>
      </c>
      <c r="G635" s="27">
        <f>VLOOKUP(Table3[[#This Row],[Date]],'PCE Core'!A:D,4,)</f>
        <v>1.7343971521115997E-2</v>
      </c>
    </row>
    <row r="636" spans="1:7" x14ac:dyDescent="0.35">
      <c r="A636" s="60">
        <v>40756</v>
      </c>
      <c r="B636" s="28">
        <f>VLOOKUP(Table3[[#This Row],[Date]],'PCE Core'!$A:$E,2,)</f>
        <v>98.504999999999995</v>
      </c>
      <c r="C636" s="26">
        <f>VLOOKUP(Table3[[#This Row],[Date]],Database!$A:$E,5)</f>
        <v>225.86199999999999</v>
      </c>
      <c r="D636" s="26">
        <f>(((Table3[[#This Row],[Core PCE]]-$B$496)/$B$496)*100)+100</f>
        <v>123.44603739535815</v>
      </c>
      <c r="E636" s="26">
        <f>(((Table3[[#This Row],[Core CPI]]-$C$496)/$C$496)*100)+100</f>
        <v>126.3917179630666</v>
      </c>
      <c r="F636" s="27">
        <v>1.9651571719433561E-2</v>
      </c>
      <c r="G636" s="27">
        <f>VLOOKUP(Table3[[#This Row],[Date]],'PCE Core'!A:D,4,)</f>
        <v>1.8392159295329037E-2</v>
      </c>
    </row>
    <row r="637" spans="1:7" x14ac:dyDescent="0.35">
      <c r="A637" s="63">
        <v>40787</v>
      </c>
      <c r="B637" s="28">
        <f>VLOOKUP(Table3[[#This Row],[Date]],'PCE Core'!$A:$E,2,)</f>
        <v>98.572000000000003</v>
      </c>
      <c r="C637" s="28">
        <f>VLOOKUP(Table3[[#This Row],[Date]],Database!$A:$E,5)</f>
        <v>226.11799999999999</v>
      </c>
      <c r="D637" s="26">
        <f>(((Table3[[#This Row],[Core PCE]]-$B$496)/$B$496)*100)+100</f>
        <v>123.53000150383477</v>
      </c>
      <c r="E637" s="26">
        <f>(((Table3[[#This Row],[Core CPI]]-$C$496)/$C$496)*100)+100</f>
        <v>126.53497481813095</v>
      </c>
      <c r="F637" s="27">
        <v>1.987722756200631E-2</v>
      </c>
      <c r="G637" s="27">
        <f>VLOOKUP(Table3[[#This Row],[Date]],'PCE Core'!A:D,4,)</f>
        <v>1.8505698432543544E-2</v>
      </c>
    </row>
    <row r="638" spans="1:7" x14ac:dyDescent="0.35">
      <c r="A638" s="60">
        <v>40817</v>
      </c>
      <c r="B638" s="28">
        <f>VLOOKUP(Table3[[#This Row],[Date]],'PCE Core'!$A:$E,2,)</f>
        <v>98.619</v>
      </c>
      <c r="C638" s="28">
        <f>VLOOKUP(Table3[[#This Row],[Date]],Database!$A:$E,5)</f>
        <v>226.506</v>
      </c>
      <c r="D638" s="26">
        <f>(((Table3[[#This Row],[Core PCE]]-$B$496)/$B$496)*100)+100</f>
        <v>123.58890169933329</v>
      </c>
      <c r="E638" s="26">
        <f>(((Table3[[#This Row],[Core CPI]]-$C$496)/$C$496)*100)+100</f>
        <v>126.75209848908787</v>
      </c>
      <c r="F638" s="27">
        <f>(Table3[[#This Row],[Core CPI]]-C626)/C626</f>
        <v>2.1079204796465707E-2</v>
      </c>
      <c r="G638" s="27">
        <f>VLOOKUP(Table3[[#This Row],[Date]],'PCE Core'!A:D,4,)</f>
        <v>1.7445939253879196E-2</v>
      </c>
    </row>
    <row r="639" spans="1:7" x14ac:dyDescent="0.35">
      <c r="A639" s="63">
        <v>40848</v>
      </c>
      <c r="B639" s="28">
        <f>VLOOKUP(Table3[[#This Row],[Date]],'PCE Core'!$A:$E,2,)</f>
        <v>98.828000000000003</v>
      </c>
      <c r="C639" s="26">
        <f>VLOOKUP(Table3[[#This Row],[Date]],Database!$A:$E,5)</f>
        <v>226.899</v>
      </c>
      <c r="D639" s="26">
        <f>(((Table3[[#This Row],[Core PCE]]-$B$496)/$B$496)*100)+100</f>
        <v>123.85081958995437</v>
      </c>
      <c r="E639" s="26">
        <f>(((Table3[[#This Row],[Core CPI]]-$C$496)/$C$496)*100)+100</f>
        <v>126.97202014549525</v>
      </c>
      <c r="F639" s="27">
        <f>(Table3[[#This Row],[Core CPI]]-C627)/C627</f>
        <v>2.1382045383954013E-2</v>
      </c>
      <c r="G639" s="27">
        <f>VLOOKUP(Table3[[#This Row],[Date]],'PCE Core'!A:D,4,)</f>
        <v>1.8278484142848321E-2</v>
      </c>
    </row>
    <row r="640" spans="1:7" x14ac:dyDescent="0.35">
      <c r="A640" s="60">
        <v>40878</v>
      </c>
      <c r="B640" s="28">
        <f>VLOOKUP(Table3[[#This Row],[Date]],'PCE Core'!$A:$E,2,)</f>
        <v>98.992000000000004</v>
      </c>
      <c r="C640" s="28">
        <f>VLOOKUP(Table3[[#This Row],[Date]],Database!$A:$E,5)</f>
        <v>227.405</v>
      </c>
      <c r="D640" s="26">
        <f>(((Table3[[#This Row],[Core PCE]]-$B$496)/$B$496)*100)+100</f>
        <v>124.05634367637475</v>
      </c>
      <c r="E640" s="26">
        <f>(((Table3[[#This Row],[Core CPI]]-$C$496)/$C$496)*100)+100</f>
        <v>127.25517627308338</v>
      </c>
      <c r="F640" s="27">
        <f>(Table3[[#This Row],[Core CPI]]-C628)/C628</f>
        <v>2.2766626338585033E-2</v>
      </c>
      <c r="G640" s="27">
        <f>VLOOKUP(Table3[[#This Row],[Date]],'PCE Core'!A:D,4,)</f>
        <v>1.9758122669303897E-2</v>
      </c>
    </row>
    <row r="641" spans="1:7" x14ac:dyDescent="0.35">
      <c r="A641" s="63">
        <v>40909</v>
      </c>
      <c r="B641" s="28">
        <f>VLOOKUP(Table3[[#This Row],[Date]],'PCE Core'!$A:$E,2,)</f>
        <v>99.287999999999997</v>
      </c>
      <c r="C641" s="28">
        <f>VLOOKUP(Table3[[#This Row],[Date]],Database!$A:$E,5)</f>
        <v>227.87700000000001</v>
      </c>
      <c r="D641" s="26">
        <f>(((Table3[[#This Row],[Core PCE]]-$B$496)/$B$496)*100)+100</f>
        <v>124.42728958845053</v>
      </c>
      <c r="E641" s="26">
        <f>(((Table3[[#This Row],[Core CPI]]-$C$496)/$C$496)*100)+100</f>
        <v>127.51930609960829</v>
      </c>
      <c r="F641" s="27">
        <f>(Table3[[#This Row],[Core CPI]]-C629)/C629</f>
        <v>2.2773481506083906E-2</v>
      </c>
      <c r="G641" s="27">
        <f>VLOOKUP(Table3[[#This Row],[Date]],'PCE Core'!A:D,4,)</f>
        <v>2.0609972965471825E-2</v>
      </c>
    </row>
    <row r="642" spans="1:7" x14ac:dyDescent="0.35">
      <c r="A642" s="60">
        <v>40940</v>
      </c>
      <c r="B642" s="28">
        <f>VLOOKUP(Table3[[#This Row],[Date]],'PCE Core'!$A:$E,2,)</f>
        <v>99.426000000000002</v>
      </c>
      <c r="C642" s="26">
        <f>VLOOKUP(Table3[[#This Row],[Date]],Database!$A:$E,5)</f>
        <v>228.03399999999999</v>
      </c>
      <c r="D642" s="26">
        <f>(((Table3[[#This Row],[Core PCE]]-$B$496)/$B$496)*100)+100</f>
        <v>124.60023058799939</v>
      </c>
      <c r="E642" s="26">
        <f>(((Table3[[#This Row],[Core CPI]]-$C$496)/$C$496)*100)+100</f>
        <v>127.60716284275321</v>
      </c>
      <c r="F642" s="27">
        <f>(Table3[[#This Row],[Core CPI]]-C630)/C630</f>
        <v>2.1598204405657368E-2</v>
      </c>
      <c r="G642" s="27">
        <f>VLOOKUP(Table3[[#This Row],[Date]],'PCE Core'!A:D,4,)</f>
        <v>2.0245656880752763E-2</v>
      </c>
    </row>
    <row r="643" spans="1:7" x14ac:dyDescent="0.35">
      <c r="A643" s="63">
        <v>40969</v>
      </c>
      <c r="B643" s="28">
        <f>VLOOKUP(Table3[[#This Row],[Date]],'PCE Core'!$A:$E,2,)</f>
        <v>99.594999999999999</v>
      </c>
      <c r="C643" s="28">
        <f>VLOOKUP(Table3[[#This Row],[Date]],Database!$A:$E,5)</f>
        <v>228.47800000000001</v>
      </c>
      <c r="D643" s="26">
        <f>(((Table3[[#This Row],[Core PCE]]-$B$496)/$B$496)*100)+100</f>
        <v>124.81202065266429</v>
      </c>
      <c r="E643" s="26">
        <f>(((Table3[[#This Row],[Core CPI]]-$C$496)/$C$496)*100)+100</f>
        <v>127.85562395075547</v>
      </c>
      <c r="F643" s="27">
        <f>(Table3[[#This Row],[Core CPI]]-C631)/C631</f>
        <v>2.2483374654291267E-2</v>
      </c>
      <c r="G643" s="27">
        <f>VLOOKUP(Table3[[#This Row],[Date]],'PCE Core'!A:D,4,)</f>
        <v>2.0440573770491851E-2</v>
      </c>
    </row>
    <row r="644" spans="1:7" x14ac:dyDescent="0.35">
      <c r="A644" s="60">
        <v>41000</v>
      </c>
      <c r="B644" s="28">
        <f>VLOOKUP(Table3[[#This Row],[Date]],'PCE Core'!$A:$E,2,)</f>
        <v>99.745999999999995</v>
      </c>
      <c r="C644" s="28">
        <f>VLOOKUP(Table3[[#This Row],[Date]],Database!$A:$E,5)</f>
        <v>228.905</v>
      </c>
      <c r="D644" s="26">
        <f>(((Table3[[#This Row],[Core PCE]]-$B$496)/$B$496)*100)+100</f>
        <v>125.00125319564889</v>
      </c>
      <c r="E644" s="26">
        <f>(((Table3[[#This Row],[Core CPI]]-$C$496)/$C$496)*100)+100</f>
        <v>128.0945719082261</v>
      </c>
      <c r="F644" s="27">
        <f>(Table3[[#This Row],[Core CPI]]-C632)/C632</f>
        <v>2.3144278518015246E-2</v>
      </c>
      <c r="G644" s="27">
        <f>VLOOKUP(Table3[[#This Row],[Date]],'PCE Core'!A:D,4,)</f>
        <v>1.9647530258423262E-2</v>
      </c>
    </row>
    <row r="645" spans="1:7" x14ac:dyDescent="0.35">
      <c r="A645" s="63">
        <v>41030</v>
      </c>
      <c r="B645" s="28">
        <f>VLOOKUP(Table3[[#This Row],[Date]],'PCE Core'!$A:$E,2,)</f>
        <v>99.846999999999994</v>
      </c>
      <c r="C645" s="26">
        <f>VLOOKUP(Table3[[#This Row],[Date]],Database!$A:$E,5)</f>
        <v>229.22399999999999</v>
      </c>
      <c r="D645" s="26">
        <f>(((Table3[[#This Row],[Core PCE]]-$B$496)/$B$496)*100)+100</f>
        <v>125.12782595618826</v>
      </c>
      <c r="E645" s="26">
        <f>(((Table3[[#This Row],[Core CPI]]-$C$496)/$C$496)*100)+100</f>
        <v>128.27308337996641</v>
      </c>
      <c r="F645" s="27">
        <f>(Table3[[#This Row],[Core CPI]]-C633)/C633</f>
        <v>2.2522582803613151E-2</v>
      </c>
      <c r="G645" s="27">
        <f>VLOOKUP(Table3[[#This Row],[Date]],'PCE Core'!A:D,4,)</f>
        <v>1.8254688599487971E-2</v>
      </c>
    </row>
    <row r="646" spans="1:7" x14ac:dyDescent="0.35">
      <c r="A646" s="60">
        <v>41061</v>
      </c>
      <c r="B646" s="28">
        <f>VLOOKUP(Table3[[#This Row],[Date]],'PCE Core'!$A:$E,2,)</f>
        <v>99.95</v>
      </c>
      <c r="C646" s="28">
        <f>VLOOKUP(Table3[[#This Row],[Date]],Database!$A:$E,5)</f>
        <v>229.62299999999999</v>
      </c>
      <c r="D646" s="26">
        <f>(((Table3[[#This Row],[Core PCE]]-$B$496)/$B$496)*100)+100</f>
        <v>125.25690510802545</v>
      </c>
      <c r="E646" s="26">
        <f>(((Table3[[#This Row],[Core CPI]]-$C$496)/$C$496)*100)+100</f>
        <v>128.49636261891439</v>
      </c>
      <c r="F646" s="27">
        <f>(Table3[[#This Row],[Core CPI]]-C634)/C634</f>
        <v>2.192285611289865E-2</v>
      </c>
      <c r="G646" s="27">
        <f>VLOOKUP(Table3[[#This Row],[Date]],'PCE Core'!A:D,4,)</f>
        <v>1.8194042622550033E-2</v>
      </c>
    </row>
    <row r="647" spans="1:7" x14ac:dyDescent="0.35">
      <c r="A647" s="63">
        <v>41091</v>
      </c>
      <c r="B647" s="28">
        <f>VLOOKUP(Table3[[#This Row],[Date]],'PCE Core'!$A:$E,2,)</f>
        <v>100.053</v>
      </c>
      <c r="C647" s="28">
        <f>VLOOKUP(Table3[[#This Row],[Date]],Database!$A:$E,5)</f>
        <v>229.97</v>
      </c>
      <c r="D647" s="26">
        <f>(((Table3[[#This Row],[Core PCE]]-$B$496)/$B$496)*100)+100</f>
        <v>125.38598425986264</v>
      </c>
      <c r="E647" s="26">
        <f>(((Table3[[#This Row],[Core CPI]]-$C$496)/$C$496)*100)+100</f>
        <v>128.6905428091774</v>
      </c>
      <c r="F647" s="27">
        <f>(Table3[[#This Row],[Core CPI]]-C635)/C635</f>
        <v>2.1099556873784554E-2</v>
      </c>
      <c r="G647" s="27">
        <f>VLOOKUP(Table3[[#This Row],[Date]],'PCE Core'!A:D,4,)</f>
        <v>1.7739983114465611E-2</v>
      </c>
    </row>
    <row r="648" spans="1:7" x14ac:dyDescent="0.35">
      <c r="A648" s="60">
        <v>41122</v>
      </c>
      <c r="B648" s="28">
        <f>VLOOKUP(Table3[[#This Row],[Date]],'PCE Core'!$A:$E,2,)</f>
        <v>100.116</v>
      </c>
      <c r="C648" s="26">
        <f>VLOOKUP(Table3[[#This Row],[Date]],Database!$A:$E,5)</f>
        <v>230.233</v>
      </c>
      <c r="D648" s="26">
        <f>(((Table3[[#This Row],[Core PCE]]-$B$496)/$B$496)*100)+100</f>
        <v>125.46493558574363</v>
      </c>
      <c r="E648" s="26">
        <f>(((Table3[[#This Row],[Core CPI]]-$C$496)/$C$496)*100)+100</f>
        <v>128.83771684387241</v>
      </c>
      <c r="F648" s="27">
        <f>(Table3[[#This Row],[Core CPI]]-C636)/C636</f>
        <v>1.9352524993137443E-2</v>
      </c>
      <c r="G648" s="27">
        <f>VLOOKUP(Table3[[#This Row],[Date]],'PCE Core'!A:D,4,)</f>
        <v>1.6354499771585242E-2</v>
      </c>
    </row>
    <row r="649" spans="1:7" x14ac:dyDescent="0.35">
      <c r="A649" s="63">
        <v>41153</v>
      </c>
      <c r="B649" s="28">
        <f>VLOOKUP(Table3[[#This Row],[Date]],'PCE Core'!$A:$E,2,)</f>
        <v>100.24</v>
      </c>
      <c r="C649" s="28">
        <f>VLOOKUP(Table3[[#This Row],[Date]],Database!$A:$E,5)</f>
        <v>230.65899999999999</v>
      </c>
      <c r="D649" s="26">
        <f>(((Table3[[#This Row],[Core PCE]]-$B$496)/$B$496)*100)+100</f>
        <v>125.62033184620782</v>
      </c>
      <c r="E649" s="26">
        <f>(((Table3[[#This Row],[Core CPI]]-$C$496)/$C$496)*100)+100</f>
        <v>129.07610520425294</v>
      </c>
      <c r="F649" s="27">
        <f>(Table3[[#This Row],[Core CPI]]-C637)/C637</f>
        <v>2.0082434834909194E-2</v>
      </c>
      <c r="G649" s="27">
        <f>VLOOKUP(Table3[[#This Row],[Date]],'PCE Core'!A:D,4,)</f>
        <v>1.692164103396494E-2</v>
      </c>
    </row>
    <row r="650" spans="1:7" x14ac:dyDescent="0.35">
      <c r="A650" s="60">
        <v>41183</v>
      </c>
      <c r="B650" s="28">
        <f>VLOOKUP(Table3[[#This Row],[Date]],'PCE Core'!$A:$E,2,)</f>
        <v>100.482</v>
      </c>
      <c r="C650" s="28">
        <f>VLOOKUP(Table3[[#This Row],[Date]],Database!$A:$E,5)</f>
        <v>231.024</v>
      </c>
      <c r="D650" s="26">
        <f>(((Table3[[#This Row],[Core PCE]]-$B$496)/$B$496)*100)+100</f>
        <v>125.92360519324276</v>
      </c>
      <c r="E650" s="26">
        <f>(((Table3[[#This Row],[Core CPI]]-$C$496)/$C$496)*100)+100</f>
        <v>129.28035814213766</v>
      </c>
      <c r="F650" s="27">
        <f>(Table3[[#This Row],[Core CPI]]-C638)/C638</f>
        <v>1.994649148366931E-2</v>
      </c>
      <c r="G650" s="27">
        <f>VLOOKUP(Table3[[#This Row],[Date]],'PCE Core'!A:D,4,)</f>
        <v>1.8890883095549534E-2</v>
      </c>
    </row>
    <row r="651" spans="1:7" x14ac:dyDescent="0.35">
      <c r="A651" s="63">
        <v>41214</v>
      </c>
      <c r="B651" s="28">
        <f>VLOOKUP(Table3[[#This Row],[Date]],'PCE Core'!$A:$E,2,)</f>
        <v>100.59099999999999</v>
      </c>
      <c r="C651" s="26">
        <f>VLOOKUP(Table3[[#This Row],[Date]],Database!$A:$E,5)</f>
        <v>231.33</v>
      </c>
      <c r="D651" s="26">
        <f>(((Table3[[#This Row],[Core PCE]]-$B$496)/$B$496)*100)+100</f>
        <v>126.06020351897337</v>
      </c>
      <c r="E651" s="26">
        <f>(((Table3[[#This Row],[Core CPI]]-$C$496)/$C$496)*100)+100</f>
        <v>129.45159485170677</v>
      </c>
      <c r="F651" s="27">
        <f>(Table3[[#This Row],[Core CPI]]-C639)/C639</f>
        <v>1.9528512686261341E-2</v>
      </c>
      <c r="G651" s="27">
        <f>VLOOKUP(Table3[[#This Row],[Date]],'PCE Core'!A:D,4,)</f>
        <v>1.7839073946654703E-2</v>
      </c>
    </row>
    <row r="652" spans="1:7" x14ac:dyDescent="0.35">
      <c r="A652" s="60">
        <v>41244</v>
      </c>
      <c r="B652" s="28">
        <f>VLOOKUP(Table3[[#This Row],[Date]],'PCE Core'!$A:$E,2,)</f>
        <v>100.664</v>
      </c>
      <c r="C652" s="28">
        <f>VLOOKUP(Table3[[#This Row],[Date]],Database!$A:$E,5)</f>
        <v>231.72499999999999</v>
      </c>
      <c r="D652" s="26">
        <f>(((Table3[[#This Row],[Core PCE]]-$B$496)/$B$496)*100)+100</f>
        <v>126.15168680134342</v>
      </c>
      <c r="E652" s="26">
        <f>(((Table3[[#This Row],[Core CPI]]-$C$496)/$C$496)*100)+100</f>
        <v>129.67263570229434</v>
      </c>
      <c r="F652" s="27">
        <f>(Table3[[#This Row],[Core CPI]]-C640)/C640</f>
        <v>1.8996943778720753E-2</v>
      </c>
      <c r="G652" s="27">
        <f>VLOOKUP(Table3[[#This Row],[Date]],'PCE Core'!A:D,4,)</f>
        <v>1.6890253757879396E-2</v>
      </c>
    </row>
    <row r="653" spans="1:7" x14ac:dyDescent="0.35">
      <c r="A653" s="63">
        <v>41275</v>
      </c>
      <c r="B653" s="28">
        <f>VLOOKUP(Table3[[#This Row],[Date]],'PCE Core'!$A:$E,2,)</f>
        <v>100.871</v>
      </c>
      <c r="C653" s="28">
        <f>VLOOKUP(Table3[[#This Row],[Date]],Database!$A:$E,5)</f>
        <v>232.22900000000001</v>
      </c>
      <c r="D653" s="26">
        <f>(((Table3[[#This Row],[Core PCE]]-$B$496)/$B$496)*100)+100</f>
        <v>126.41109830066668</v>
      </c>
      <c r="E653" s="26">
        <f>(((Table3[[#This Row],[Core CPI]]-$C$496)/$C$496)*100)+100</f>
        <v>129.95467263570231</v>
      </c>
      <c r="F653" s="27">
        <f>(Table3[[#This Row],[Core CPI]]-C641)/C641</f>
        <v>1.909802217863147E-2</v>
      </c>
      <c r="G653" s="27">
        <f>VLOOKUP(Table3[[#This Row],[Date]],'PCE Core'!A:D,4,)</f>
        <v>1.5943517847071133E-2</v>
      </c>
    </row>
    <row r="654" spans="1:7" x14ac:dyDescent="0.35">
      <c r="A654" s="60">
        <v>41306</v>
      </c>
      <c r="B654" s="28">
        <f>VLOOKUP(Table3[[#This Row],[Date]],'PCE Core'!$A:$E,2,)</f>
        <v>100.992</v>
      </c>
      <c r="C654" s="26">
        <f>VLOOKUP(Table3[[#This Row],[Date]],Database!$A:$E,5)</f>
        <v>232.56899999999999</v>
      </c>
      <c r="D654" s="26">
        <f>(((Table3[[#This Row],[Core PCE]]-$B$496)/$B$496)*100)+100</f>
        <v>126.56273497418417</v>
      </c>
      <c r="E654" s="26">
        <f>(((Table3[[#This Row],[Core CPI]]-$C$496)/$C$496)*100)+100</f>
        <v>130.14493564633463</v>
      </c>
      <c r="F654" s="27">
        <f>(Table3[[#This Row],[Core CPI]]-C642)/C642</f>
        <v>1.9887385214485544E-2</v>
      </c>
      <c r="G654" s="27">
        <f>VLOOKUP(Table3[[#This Row],[Date]],'PCE Core'!A:D,4,)</f>
        <v>1.5750407338120838E-2</v>
      </c>
    </row>
    <row r="655" spans="1:7" x14ac:dyDescent="0.35">
      <c r="A655" s="63">
        <v>41334</v>
      </c>
      <c r="B655" s="28">
        <f>VLOOKUP(Table3[[#This Row],[Date]],'PCE Core'!$A:$E,2,)</f>
        <v>101.08499999999999</v>
      </c>
      <c r="C655" s="28">
        <f>VLOOKUP(Table3[[#This Row],[Date]],Database!$A:$E,5)</f>
        <v>232.79400000000001</v>
      </c>
      <c r="D655" s="26">
        <f>(((Table3[[#This Row],[Core PCE]]-$B$496)/$B$496)*100)+100</f>
        <v>126.67928216953229</v>
      </c>
      <c r="E655" s="26">
        <f>(((Table3[[#This Row],[Core CPI]]-$C$496)/$C$496)*100)+100</f>
        <v>130.27084499160605</v>
      </c>
      <c r="F655" s="27">
        <f>(Table3[[#This Row],[Core CPI]]-C643)/C643</f>
        <v>1.8890221377988264E-2</v>
      </c>
      <c r="G655" s="27">
        <f>VLOOKUP(Table3[[#This Row],[Date]],'PCE Core'!A:D,4,)</f>
        <v>1.4960590391083838E-2</v>
      </c>
    </row>
    <row r="656" spans="1:7" x14ac:dyDescent="0.35">
      <c r="A656" s="60">
        <v>41365</v>
      </c>
      <c r="B656" s="28">
        <f>VLOOKUP(Table3[[#This Row],[Date]],'PCE Core'!$A:$E,2,)</f>
        <v>101.163</v>
      </c>
      <c r="C656" s="28">
        <f>VLOOKUP(Table3[[#This Row],[Date]],Database!$A:$E,5)</f>
        <v>232.83199999999999</v>
      </c>
      <c r="D656" s="26">
        <f>(((Table3[[#This Row],[Core PCE]]-$B$496)/$B$496)*100)+100</f>
        <v>126.77703143014686</v>
      </c>
      <c r="E656" s="26">
        <f>(((Table3[[#This Row],[Core CPI]]-$C$496)/$C$496)*100)+100</f>
        <v>130.29210968102967</v>
      </c>
      <c r="F656" s="27">
        <f>(Table3[[#This Row],[Core CPI]]-C644)/C644</f>
        <v>1.7155588562940926E-2</v>
      </c>
      <c r="G656" s="27">
        <f>VLOOKUP(Table3[[#This Row],[Date]],'PCE Core'!A:D,4,)</f>
        <v>1.4206083451968015E-2</v>
      </c>
    </row>
    <row r="657" spans="1:7" x14ac:dyDescent="0.35">
      <c r="A657" s="63">
        <v>41395</v>
      </c>
      <c r="B657" s="28">
        <f>VLOOKUP(Table3[[#This Row],[Date]],'PCE Core'!$A:$E,2,)</f>
        <v>101.27200000000001</v>
      </c>
      <c r="C657" s="26">
        <f>VLOOKUP(Table3[[#This Row],[Date]],Database!$A:$E,5)</f>
        <v>232.99600000000001</v>
      </c>
      <c r="D657" s="26">
        <f>(((Table3[[#This Row],[Core PCE]]-$B$496)/$B$496)*100)+100</f>
        <v>126.91362975587748</v>
      </c>
      <c r="E657" s="26">
        <f>(((Table3[[#This Row],[Core CPI]]-$C$496)/$C$496)*100)+100</f>
        <v>130.38388360380526</v>
      </c>
      <c r="F657" s="27">
        <f>(Table3[[#This Row],[Core CPI]]-C645)/C645</f>
        <v>1.6455519491850853E-2</v>
      </c>
      <c r="G657" s="27">
        <f>VLOOKUP(Table3[[#This Row],[Date]],'PCE Core'!A:D,4,)</f>
        <v>1.4271835908940794E-2</v>
      </c>
    </row>
    <row r="658" spans="1:7" x14ac:dyDescent="0.35">
      <c r="A658" s="60">
        <v>41426</v>
      </c>
      <c r="B658" s="28">
        <f>VLOOKUP(Table3[[#This Row],[Date]],'PCE Core'!$A:$E,2,)</f>
        <v>101.438</v>
      </c>
      <c r="C658" s="28">
        <f>VLOOKUP(Table3[[#This Row],[Date]],Database!$A:$E,5)</f>
        <v>233.35</v>
      </c>
      <c r="D658" s="26">
        <f>(((Table3[[#This Row],[Core PCE]]-$B$496)/$B$496)*100)+100</f>
        <v>127.12166023359566</v>
      </c>
      <c r="E658" s="26">
        <f>(((Table3[[#This Row],[Core CPI]]-$C$496)/$C$496)*100)+100</f>
        <v>130.58198097369893</v>
      </c>
      <c r="F658" s="27">
        <f>(Table3[[#This Row],[Core CPI]]-C646)/C646</f>
        <v>1.6230952474273065E-2</v>
      </c>
      <c r="G658" s="27">
        <f>VLOOKUP(Table3[[#This Row],[Date]],'PCE Core'!A:D,4,)</f>
        <v>1.4887443721860925E-2</v>
      </c>
    </row>
    <row r="659" spans="1:7" x14ac:dyDescent="0.35">
      <c r="A659" s="63">
        <v>41456</v>
      </c>
      <c r="B659" s="28">
        <f>VLOOKUP(Table3[[#This Row],[Date]],'PCE Core'!$A:$E,2,)</f>
        <v>101.56699999999999</v>
      </c>
      <c r="C659" s="28">
        <f>VLOOKUP(Table3[[#This Row],[Date]],Database!$A:$E,5)</f>
        <v>233.88</v>
      </c>
      <c r="D659" s="26">
        <f>(((Table3[[#This Row],[Core PCE]]-$B$496)/$B$496)*100)+100</f>
        <v>127.28332247230435</v>
      </c>
      <c r="E659" s="26">
        <f>(((Table3[[#This Row],[Core CPI]]-$C$496)/$C$496)*100)+100</f>
        <v>130.87856743144937</v>
      </c>
      <c r="F659" s="27">
        <f>(Table3[[#This Row],[Core CPI]]-C647)/C647</f>
        <v>1.7002217680567016E-2</v>
      </c>
      <c r="G659" s="27">
        <f>VLOOKUP(Table3[[#This Row],[Date]],'PCE Core'!A:D,4,)</f>
        <v>1.5131980050573155E-2</v>
      </c>
    </row>
    <row r="660" spans="1:7" x14ac:dyDescent="0.35">
      <c r="A660" s="60">
        <v>41487</v>
      </c>
      <c r="B660" s="28">
        <f>VLOOKUP(Table3[[#This Row],[Date]],'PCE Core'!$A:$E,2,)</f>
        <v>101.685</v>
      </c>
      <c r="C660" s="26">
        <f>VLOOKUP(Table3[[#This Row],[Date]],Database!$A:$E,5)</f>
        <v>234.33600000000001</v>
      </c>
      <c r="D660" s="26">
        <f>(((Table3[[#This Row],[Core PCE]]-$B$496)/$B$496)*100)+100</f>
        <v>127.43119955887512</v>
      </c>
      <c r="E660" s="26">
        <f>(((Table3[[#This Row],[Core CPI]]-$C$496)/$C$496)*100)+100</f>
        <v>131.13374370453275</v>
      </c>
      <c r="F660" s="27">
        <f>(Table3[[#This Row],[Core CPI]]-C648)/C648</f>
        <v>1.7821076909044352E-2</v>
      </c>
      <c r="G660" s="27">
        <f>VLOOKUP(Table3[[#This Row],[Date]],'PCE Core'!A:D,4,)</f>
        <v>1.5671820688001943E-2</v>
      </c>
    </row>
    <row r="661" spans="1:7" x14ac:dyDescent="0.35">
      <c r="A661" s="63">
        <v>41518</v>
      </c>
      <c r="B661" s="28">
        <f>VLOOKUP(Table3[[#This Row],[Date]],'PCE Core'!$A:$E,2,)</f>
        <v>101.79900000000001</v>
      </c>
      <c r="C661" s="28">
        <f>VLOOKUP(Table3[[#This Row],[Date]],Database!$A:$E,5)</f>
        <v>234.7</v>
      </c>
      <c r="D661" s="26">
        <f>(((Table3[[#This Row],[Core PCE]]-$B$496)/$B$496)*100)+100</f>
        <v>127.57406386285027</v>
      </c>
      <c r="E661" s="26">
        <f>(((Table3[[#This Row],[Core CPI]]-$C$496)/$C$496)*100)+100</f>
        <v>131.33743704532736</v>
      </c>
      <c r="F661" s="27">
        <f>(Table3[[#This Row],[Core CPI]]-C649)/C649</f>
        <v>1.7519368418314467E-2</v>
      </c>
      <c r="G661" s="27">
        <f>VLOOKUP(Table3[[#This Row],[Date]],'PCE Core'!A:D,4,)</f>
        <v>1.5552673583399958E-2</v>
      </c>
    </row>
    <row r="662" spans="1:7" x14ac:dyDescent="0.35">
      <c r="A662" s="60">
        <v>41548</v>
      </c>
      <c r="B662" s="28">
        <f>VLOOKUP(Table3[[#This Row],[Date]],'PCE Core'!$A:$E,2,)</f>
        <v>102.015</v>
      </c>
      <c r="C662" s="28">
        <f>VLOOKUP(Table3[[#This Row],[Date]],Database!$A:$E,5)</f>
        <v>234.92099999999999</v>
      </c>
      <c r="D662" s="26">
        <f>(((Table3[[#This Row],[Core PCE]]-$B$496)/$B$496)*100)+100</f>
        <v>127.84475412301367</v>
      </c>
      <c r="E662" s="26">
        <f>(((Table3[[#This Row],[Core CPI]]-$C$496)/$C$496)*100)+100</f>
        <v>131.4611080022384</v>
      </c>
      <c r="F662" s="27">
        <f>(Table3[[#This Row],[Core CPI]]-C650)/C650</f>
        <v>1.6868377311448125E-2</v>
      </c>
      <c r="G662" s="27">
        <f>VLOOKUP(Table3[[#This Row],[Date]],'PCE Core'!A:D,4,)</f>
        <v>1.5256463844270629E-2</v>
      </c>
    </row>
    <row r="663" spans="1:7" x14ac:dyDescent="0.35">
      <c r="A663" s="63">
        <v>41579</v>
      </c>
      <c r="B663" s="28">
        <f>VLOOKUP(Table3[[#This Row],[Date]],'PCE Core'!$A:$E,2,)</f>
        <v>102.194</v>
      </c>
      <c r="C663" s="26">
        <f>VLOOKUP(Table3[[#This Row],[Date]],Database!$A:$E,5)</f>
        <v>235.35900000000001</v>
      </c>
      <c r="D663" s="26">
        <f>(((Table3[[#This Row],[Core PCE]]-$B$496)/$B$496)*100)+100</f>
        <v>128.06907614416761</v>
      </c>
      <c r="E663" s="26">
        <f>(((Table3[[#This Row],[Core CPI]]-$C$496)/$C$496)*100)+100</f>
        <v>131.70621152770008</v>
      </c>
      <c r="F663" s="27">
        <f>(Table3[[#This Row],[Core CPI]]-C651)/C651</f>
        <v>1.7416677473738797E-2</v>
      </c>
      <c r="G663" s="27">
        <f>VLOOKUP(Table3[[#This Row],[Date]],'PCE Core'!A:D,4,)</f>
        <v>1.5935819307890453E-2</v>
      </c>
    </row>
    <row r="664" spans="1:7" x14ac:dyDescent="0.35">
      <c r="A664" s="60">
        <v>41609</v>
      </c>
      <c r="B664" s="28">
        <f>VLOOKUP(Table3[[#This Row],[Date]],'PCE Core'!$A:$E,2,)</f>
        <v>102.333</v>
      </c>
      <c r="C664" s="28">
        <f>VLOOKUP(Table3[[#This Row],[Date]],Database!$A:$E,5)</f>
        <v>235.75899999999999</v>
      </c>
      <c r="D664" s="26">
        <f>(((Table3[[#This Row],[Core PCE]]-$B$496)/$B$496)*100)+100</f>
        <v>128.24327033936538</v>
      </c>
      <c r="E664" s="26">
        <f>(((Table3[[#This Row],[Core CPI]]-$C$496)/$C$496)*100)+100</f>
        <v>131.9300503637381</v>
      </c>
      <c r="F664" s="27">
        <f>(Table3[[#This Row],[Core CPI]]-C652)/C652</f>
        <v>1.7408566188369799E-2</v>
      </c>
      <c r="G664" s="27">
        <f>VLOOKUP(Table3[[#This Row],[Date]],'PCE Core'!A:D,4,)</f>
        <v>1.6579909401573521E-2</v>
      </c>
    </row>
    <row r="665" spans="1:7" x14ac:dyDescent="0.35">
      <c r="A665" s="63">
        <v>41640</v>
      </c>
      <c r="B665" s="28">
        <f>VLOOKUP(Table3[[#This Row],[Date]],'PCE Core'!$A:$E,2,)</f>
        <v>102.426</v>
      </c>
      <c r="C665" s="28">
        <f>VLOOKUP(Table3[[#This Row],[Date]],Database!$A:$E,5)</f>
        <v>235.96100000000001</v>
      </c>
      <c r="D665" s="26">
        <f>(((Table3[[#This Row],[Core PCE]]-$B$496)/$B$496)*100)+100</f>
        <v>128.3598175347135</v>
      </c>
      <c r="E665" s="26">
        <f>(((Table3[[#This Row],[Core CPI]]-$C$496)/$C$496)*100)+100</f>
        <v>132.04308897593734</v>
      </c>
      <c r="F665" s="27">
        <f>(Table3[[#This Row],[Core CPI]]-C653)/C653</f>
        <v>1.6070344358370396E-2</v>
      </c>
      <c r="G665" s="27">
        <f>VLOOKUP(Table3[[#This Row],[Date]],'PCE Core'!A:D,4,)</f>
        <v>1.5415729000406529E-2</v>
      </c>
    </row>
    <row r="666" spans="1:7" x14ac:dyDescent="0.35">
      <c r="A666" s="60">
        <v>41671</v>
      </c>
      <c r="B666" s="28">
        <f>VLOOKUP(Table3[[#This Row],[Date]],'PCE Core'!$A:$E,2,)</f>
        <v>102.489</v>
      </c>
      <c r="C666" s="26">
        <f>VLOOKUP(Table3[[#This Row],[Date]],Database!$A:$E,5)</f>
        <v>236.185</v>
      </c>
      <c r="D666" s="26">
        <f>(((Table3[[#This Row],[Core PCE]]-$B$496)/$B$496)*100)+100</f>
        <v>128.43876886059451</v>
      </c>
      <c r="E666" s="26">
        <f>(((Table3[[#This Row],[Core CPI]]-$C$496)/$C$496)*100)+100</f>
        <v>132.16843872411863</v>
      </c>
      <c r="F666" s="27">
        <f>(Table3[[#This Row],[Core CPI]]-C654)/C654</f>
        <v>1.55480739049487E-2</v>
      </c>
      <c r="G666" s="27">
        <f>VLOOKUP(Table3[[#This Row],[Date]],'PCE Core'!A:D,4,)</f>
        <v>1.4822956273764256E-2</v>
      </c>
    </row>
    <row r="667" spans="1:7" x14ac:dyDescent="0.35">
      <c r="A667" s="63">
        <v>41699</v>
      </c>
      <c r="B667" s="28">
        <f>VLOOKUP(Table3[[#This Row],[Date]],'PCE Core'!$A:$E,2,)</f>
        <v>102.684</v>
      </c>
      <c r="C667" s="28">
        <f>VLOOKUP(Table3[[#This Row],[Date]],Database!$A:$E,5)</f>
        <v>236.625</v>
      </c>
      <c r="D667" s="26">
        <f>(((Table3[[#This Row],[Core PCE]]-$B$496)/$B$496)*100)+100</f>
        <v>128.68314201213093</v>
      </c>
      <c r="E667" s="26">
        <f>(((Table3[[#This Row],[Core CPI]]-$C$496)/$C$496)*100)+100</f>
        <v>132.41466144376051</v>
      </c>
      <c r="F667" s="27">
        <f>(Table3[[#This Row],[Core CPI]]-C655)/C655</f>
        <v>1.6456609706435685E-2</v>
      </c>
      <c r="G667" s="27">
        <f>VLOOKUP(Table3[[#This Row],[Date]],'PCE Core'!A:D,4,)</f>
        <v>1.5818370678142197E-2</v>
      </c>
    </row>
    <row r="668" spans="1:7" x14ac:dyDescent="0.35">
      <c r="A668" s="60">
        <v>41730</v>
      </c>
      <c r="B668" s="28">
        <f>VLOOKUP(Table3[[#This Row],[Date]],'PCE Core'!$A:$E,2,)</f>
        <v>102.879</v>
      </c>
      <c r="C668" s="28">
        <f>VLOOKUP(Table3[[#This Row],[Date]],Database!$A:$E,5)</f>
        <v>237.072</v>
      </c>
      <c r="D668" s="26">
        <f>(((Table3[[#This Row],[Core PCE]]-$B$496)/$B$496)*100)+100</f>
        <v>128.92751516366735</v>
      </c>
      <c r="E668" s="26">
        <f>(((Table3[[#This Row],[Core CPI]]-$C$496)/$C$496)*100)+100</f>
        <v>132.66480134303302</v>
      </c>
      <c r="F668" s="27">
        <f>(Table3[[#This Row],[Core CPI]]-C656)/C656</f>
        <v>1.8210555250137477E-2</v>
      </c>
      <c r="G668" s="27">
        <f>VLOOKUP(Table3[[#This Row],[Date]],'PCE Core'!A:D,4,)</f>
        <v>1.6962723525399685E-2</v>
      </c>
    </row>
    <row r="669" spans="1:7" x14ac:dyDescent="0.35">
      <c r="A669" s="63">
        <v>41760</v>
      </c>
      <c r="B669" s="28">
        <f>VLOOKUP(Table3[[#This Row],[Date]],'PCE Core'!$A:$E,2,)</f>
        <v>103.06100000000001</v>
      </c>
      <c r="C669" s="26">
        <f>VLOOKUP(Table3[[#This Row],[Date]],Database!$A:$E,5)</f>
        <v>237.529</v>
      </c>
      <c r="D669" s="26">
        <f>(((Table3[[#This Row],[Core PCE]]-$B$496)/$B$496)*100)+100</f>
        <v>129.15559677176802</v>
      </c>
      <c r="E669" s="26">
        <f>(((Table3[[#This Row],[Core CPI]]-$C$496)/$C$496)*100)+100</f>
        <v>132.9205372132065</v>
      </c>
      <c r="F669" s="27">
        <f>(Table3[[#This Row],[Core CPI]]-C657)/C657</f>
        <v>1.945526961836249E-2</v>
      </c>
      <c r="G669" s="27">
        <f>VLOOKUP(Table3[[#This Row],[Date]],'PCE Core'!A:D,4,)</f>
        <v>1.7665297416857587E-2</v>
      </c>
    </row>
    <row r="670" spans="1:7" x14ac:dyDescent="0.35">
      <c r="A670" s="60">
        <v>41791</v>
      </c>
      <c r="B670" s="28">
        <f>VLOOKUP(Table3[[#This Row],[Date]],'PCE Core'!$A:$E,2,)</f>
        <v>103.18</v>
      </c>
      <c r="C670" s="28">
        <f>VLOOKUP(Table3[[#This Row],[Date]],Database!$A:$E,5)</f>
        <v>237.83699999999999</v>
      </c>
      <c r="D670" s="26">
        <f>(((Table3[[#This Row],[Core PCE]]-$B$496)/$B$496)*100)+100</f>
        <v>129.30472705398768</v>
      </c>
      <c r="E670" s="26">
        <f>(((Table3[[#This Row],[Core CPI]]-$C$496)/$C$496)*100)+100</f>
        <v>133.09289311695579</v>
      </c>
      <c r="F670" s="27">
        <f>(Table3[[#This Row],[Core CPI]]-C658)/C658</f>
        <v>1.9228626526676645E-2</v>
      </c>
      <c r="G670" s="27">
        <f>VLOOKUP(Table3[[#This Row],[Date]],'PCE Core'!A:D,4,)</f>
        <v>1.7173051519154599E-2</v>
      </c>
    </row>
    <row r="671" spans="1:7" x14ac:dyDescent="0.35">
      <c r="A671" s="63">
        <v>41821</v>
      </c>
      <c r="B671" s="28">
        <f>VLOOKUP(Table3[[#This Row],[Date]],'PCE Core'!$A:$E,2,)</f>
        <v>103.369</v>
      </c>
      <c r="C671" s="28">
        <f>VLOOKUP(Table3[[#This Row],[Date]],Database!$A:$E,5)</f>
        <v>238.19499999999999</v>
      </c>
      <c r="D671" s="26">
        <f>(((Table3[[#This Row],[Core PCE]]-$B$496)/$B$496)*100)+100</f>
        <v>129.54158103163064</v>
      </c>
      <c r="E671" s="26">
        <f>(((Table3[[#This Row],[Core CPI]]-$C$496)/$C$496)*100)+100</f>
        <v>133.29322887520985</v>
      </c>
      <c r="F671" s="27">
        <f>(Table3[[#This Row],[Core CPI]]-C659)/C659</f>
        <v>1.8449632290063273E-2</v>
      </c>
      <c r="G671" s="27">
        <f>VLOOKUP(Table3[[#This Row],[Date]],'PCE Core'!A:D,4,)</f>
        <v>1.7741983124440093E-2</v>
      </c>
    </row>
    <row r="672" spans="1:7" x14ac:dyDescent="0.35">
      <c r="A672" s="60">
        <v>41852</v>
      </c>
      <c r="B672" s="28">
        <f>VLOOKUP(Table3[[#This Row],[Date]],'PCE Core'!$A:$E,2,)</f>
        <v>103.408</v>
      </c>
      <c r="C672" s="26">
        <f>VLOOKUP(Table3[[#This Row],[Date]],Database!$A:$E,5)</f>
        <v>238.405</v>
      </c>
      <c r="D672" s="26">
        <f>(((Table3[[#This Row],[Core PCE]]-$B$496)/$B$496)*100)+100</f>
        <v>129.59045566193794</v>
      </c>
      <c r="E672" s="26">
        <f>(((Table3[[#This Row],[Core CPI]]-$C$496)/$C$496)*100)+100</f>
        <v>133.41074426412985</v>
      </c>
      <c r="F672" s="27">
        <f>(Table3[[#This Row],[Core CPI]]-C660)/C660</f>
        <v>1.7363956028949832E-2</v>
      </c>
      <c r="G672" s="27">
        <f>VLOOKUP(Table3[[#This Row],[Date]],'PCE Core'!A:D,4,)</f>
        <v>1.6944485420661837E-2</v>
      </c>
    </row>
    <row r="673" spans="1:7" x14ac:dyDescent="0.35">
      <c r="A673" s="63">
        <v>41883</v>
      </c>
      <c r="B673" s="28">
        <f>VLOOKUP(Table3[[#This Row],[Date]],'PCE Core'!$A:$E,2,)</f>
        <v>103.536</v>
      </c>
      <c r="C673" s="28">
        <f>VLOOKUP(Table3[[#This Row],[Date]],Database!$A:$E,5)</f>
        <v>238.786</v>
      </c>
      <c r="D673" s="26">
        <f>(((Table3[[#This Row],[Core PCE]]-$B$496)/$B$496)*100)+100</f>
        <v>129.75086470499775</v>
      </c>
      <c r="E673" s="26">
        <f>(((Table3[[#This Row],[Core CPI]]-$C$496)/$C$496)*100)+100</f>
        <v>133.62395075545609</v>
      </c>
      <c r="F673" s="27">
        <f>(Table3[[#This Row],[Core CPI]]-C661)/C661</f>
        <v>1.740945888368135E-2</v>
      </c>
      <c r="G673" s="27">
        <f>VLOOKUP(Table3[[#This Row],[Date]],'PCE Core'!A:D,4,)</f>
        <v>1.7063035982671684E-2</v>
      </c>
    </row>
    <row r="674" spans="1:7" x14ac:dyDescent="0.35">
      <c r="A674" s="60">
        <v>41913</v>
      </c>
      <c r="B674" s="28">
        <f>VLOOKUP(Table3[[#This Row],[Date]],'PCE Core'!$A:$E,2,)</f>
        <v>103.629</v>
      </c>
      <c r="C674" s="28">
        <f>VLOOKUP(Table3[[#This Row],[Date]],Database!$A:$E,5)</f>
        <v>239.191</v>
      </c>
      <c r="D674" s="26">
        <f>(((Table3[[#This Row],[Core PCE]]-$B$496)/$B$496)*100)+100</f>
        <v>129.86741190034587</v>
      </c>
      <c r="E674" s="26">
        <f>(((Table3[[#This Row],[Core CPI]]-$C$496)/$C$496)*100)+100</f>
        <v>133.8505875769446</v>
      </c>
      <c r="F674" s="27">
        <f>(Table3[[#This Row],[Core CPI]]-C662)/C662</f>
        <v>1.8176323104362787E-2</v>
      </c>
      <c r="G674" s="27">
        <f>VLOOKUP(Table3[[#This Row],[Date]],'PCE Core'!A:D,4,)</f>
        <v>1.5821202764299411E-2</v>
      </c>
    </row>
    <row r="675" spans="1:7" x14ac:dyDescent="0.35">
      <c r="A675" s="63">
        <v>41944</v>
      </c>
      <c r="B675" s="28">
        <f>VLOOKUP(Table3[[#This Row],[Date]],'PCE Core'!$A:$E,2,)</f>
        <v>103.74</v>
      </c>
      <c r="C675" s="26">
        <f>VLOOKUP(Table3[[#This Row],[Date]],Database!$A:$E,5)</f>
        <v>239.458</v>
      </c>
      <c r="D675" s="26">
        <f>(((Table3[[#This Row],[Core PCE]]-$B$496)/$B$496)*100)+100</f>
        <v>130.00651661737427</v>
      </c>
      <c r="E675" s="26">
        <f>(((Table3[[#This Row],[Core CPI]]-$C$496)/$C$496)*100)+100</f>
        <v>134</v>
      </c>
      <c r="F675" s="27">
        <f>(Table3[[#This Row],[Core CPI]]-C663)/C663</f>
        <v>1.7415947552462365E-2</v>
      </c>
      <c r="G675" s="27">
        <f>VLOOKUP(Table3[[#This Row],[Date]],'PCE Core'!A:D,4,)</f>
        <v>1.5128089711724683E-2</v>
      </c>
    </row>
    <row r="676" spans="1:7" x14ac:dyDescent="0.35">
      <c r="A676" s="60">
        <v>41974</v>
      </c>
      <c r="B676" s="28">
        <f>VLOOKUP(Table3[[#This Row],[Date]],'PCE Core'!$A:$E,2,)</f>
        <v>103.837</v>
      </c>
      <c r="C676" s="28">
        <f>VLOOKUP(Table3[[#This Row],[Date]],Database!$A:$E,5)</f>
        <v>239.584</v>
      </c>
      <c r="D676" s="26">
        <f>(((Table3[[#This Row],[Core PCE]]-$B$496)/$B$496)*100)+100</f>
        <v>130.12807659531805</v>
      </c>
      <c r="E676" s="26">
        <f>(((Table3[[#This Row],[Core CPI]]-$C$496)/$C$496)*100)+100</f>
        <v>134.070509233352</v>
      </c>
      <c r="F676" s="27">
        <f>(Table3[[#This Row],[Core CPI]]-C664)/C664</f>
        <v>1.6224195046636681E-2</v>
      </c>
      <c r="G676" s="27">
        <f>VLOOKUP(Table3[[#This Row],[Date]],'PCE Core'!A:D,4,)</f>
        <v>1.4697116277251765E-2</v>
      </c>
    </row>
    <row r="677" spans="1:7" x14ac:dyDescent="0.35">
      <c r="A677" s="63">
        <v>42005</v>
      </c>
      <c r="B677" s="28">
        <f>VLOOKUP(Table3[[#This Row],[Date]],'PCE Core'!$A:$E,2,)</f>
        <v>103.816</v>
      </c>
      <c r="C677" s="28">
        <f>VLOOKUP(Table3[[#This Row],[Date]],Database!$A:$E,5)</f>
        <v>239.81100000000001</v>
      </c>
      <c r="D677" s="26">
        <f>(((Table3[[#This Row],[Core PCE]]-$B$496)/$B$496)*100)+100</f>
        <v>130.10175948669107</v>
      </c>
      <c r="E677" s="26">
        <f>(((Table3[[#This Row],[Core CPI]]-$C$496)/$C$496)*100)+100</f>
        <v>134.1975377728036</v>
      </c>
      <c r="F677" s="27">
        <f>(Table3[[#This Row],[Core CPI]]-C665)/C665</f>
        <v>1.6316255652417112E-2</v>
      </c>
      <c r="G677" s="27">
        <f>VLOOKUP(Table3[[#This Row],[Date]],'PCE Core'!A:D,4,)</f>
        <v>1.3570773045906318E-2</v>
      </c>
    </row>
    <row r="678" spans="1:7" x14ac:dyDescent="0.35">
      <c r="A678" s="60">
        <v>42036</v>
      </c>
      <c r="B678" s="28">
        <f>VLOOKUP(Table3[[#This Row],[Date]],'PCE Core'!$A:$E,2,)</f>
        <v>103.92</v>
      </c>
      <c r="C678" s="26">
        <f>VLOOKUP(Table3[[#This Row],[Date]],Database!$A:$E,5)</f>
        <v>240.172</v>
      </c>
      <c r="D678" s="26">
        <f>(((Table3[[#This Row],[Core PCE]]-$B$496)/$B$496)*100)+100</f>
        <v>130.23209183417714</v>
      </c>
      <c r="E678" s="26">
        <f>(((Table3[[#This Row],[Core CPI]]-$C$496)/$C$496)*100)+100</f>
        <v>134.39955232232793</v>
      </c>
      <c r="F678" s="27">
        <f>(Table3[[#This Row],[Core CPI]]-C666)/C666</f>
        <v>1.6880834938713275E-2</v>
      </c>
      <c r="G678" s="27">
        <f>VLOOKUP(Table3[[#This Row],[Date]],'PCE Core'!A:D,4,)</f>
        <v>1.3962474021602292E-2</v>
      </c>
    </row>
    <row r="679" spans="1:7" x14ac:dyDescent="0.35">
      <c r="A679" s="63">
        <v>42064</v>
      </c>
      <c r="B679" s="28">
        <f>VLOOKUP(Table3[[#This Row],[Date]],'PCE Core'!$A:$E,2,)</f>
        <v>104.08</v>
      </c>
      <c r="C679" s="28">
        <f>VLOOKUP(Table3[[#This Row],[Date]],Database!$A:$E,5)</f>
        <v>240.755</v>
      </c>
      <c r="D679" s="26">
        <f>(((Table3[[#This Row],[Core PCE]]-$B$496)/$B$496)*100)+100</f>
        <v>130.43260313800189</v>
      </c>
      <c r="E679" s="26">
        <f>(((Table3[[#This Row],[Core CPI]]-$C$496)/$C$496)*100)+100</f>
        <v>134.72579742585339</v>
      </c>
      <c r="F679" s="27">
        <f>(Table3[[#This Row],[Core CPI]]-C667)/C667</f>
        <v>1.7453777073428402E-2</v>
      </c>
      <c r="G679" s="27">
        <f>VLOOKUP(Table3[[#This Row],[Date]],'PCE Core'!A:D,4,)</f>
        <v>1.3595107319543462E-2</v>
      </c>
    </row>
    <row r="680" spans="1:7" x14ac:dyDescent="0.35">
      <c r="A680" s="60">
        <v>42095</v>
      </c>
      <c r="B680" s="28">
        <f>VLOOKUP(Table3[[#This Row],[Date]],'PCE Core'!$A:$E,2,)</f>
        <v>104.256</v>
      </c>
      <c r="C680" s="28">
        <f>VLOOKUP(Table3[[#This Row],[Date]],Database!$A:$E,5)</f>
        <v>241.346</v>
      </c>
      <c r="D680" s="26">
        <f>(((Table3[[#This Row],[Core PCE]]-$B$496)/$B$496)*100)+100</f>
        <v>130.65316557220913</v>
      </c>
      <c r="E680" s="26">
        <f>(((Table3[[#This Row],[Core CPI]]-$C$496)/$C$496)*100)+100</f>
        <v>135.05651930609963</v>
      </c>
      <c r="F680" s="27">
        <f>(Table3[[#This Row],[Core CPI]]-C668)/C668</f>
        <v>1.8028278328946483E-2</v>
      </c>
      <c r="G680" s="27">
        <f>VLOOKUP(Table3[[#This Row],[Date]],'PCE Core'!A:D,4,)</f>
        <v>1.3384655760650815E-2</v>
      </c>
    </row>
    <row r="681" spans="1:7" x14ac:dyDescent="0.35">
      <c r="A681" s="63">
        <v>42125</v>
      </c>
      <c r="B681" s="28">
        <f>VLOOKUP(Table3[[#This Row],[Date]],'PCE Core'!$A:$E,2,)</f>
        <v>104.38500000000001</v>
      </c>
      <c r="C681" s="26">
        <f>VLOOKUP(Table3[[#This Row],[Date]],Database!$A:$E,5)</f>
        <v>241.68799999999999</v>
      </c>
      <c r="D681" s="26">
        <f>(((Table3[[#This Row],[Core PCE]]-$B$496)/$B$496)*100)+100</f>
        <v>130.81482781091785</v>
      </c>
      <c r="E681" s="26">
        <f>(((Table3[[#This Row],[Core CPI]]-$C$496)/$C$496)*100)+100</f>
        <v>135.24790151091213</v>
      </c>
      <c r="F681" s="27">
        <f>(Table3[[#This Row],[Core CPI]]-C669)/C669</f>
        <v>1.7509440952473136E-2</v>
      </c>
      <c r="G681" s="27">
        <f>VLOOKUP(Table3[[#This Row],[Date]],'PCE Core'!A:D,4,)</f>
        <v>1.2846760656310321E-2</v>
      </c>
    </row>
    <row r="682" spans="1:7" x14ac:dyDescent="0.35">
      <c r="A682" s="60">
        <v>42156</v>
      </c>
      <c r="B682" s="28">
        <f>VLOOKUP(Table3[[#This Row],[Date]],'PCE Core'!$A:$E,2,)</f>
        <v>104.511</v>
      </c>
      <c r="C682" s="28">
        <f>VLOOKUP(Table3[[#This Row],[Date]],Database!$A:$E,5)</f>
        <v>242.06399999999999</v>
      </c>
      <c r="D682" s="26">
        <f>(((Table3[[#This Row],[Core PCE]]-$B$496)/$B$496)*100)+100</f>
        <v>130.97273046267981</v>
      </c>
      <c r="E682" s="26">
        <f>(((Table3[[#This Row],[Core CPI]]-$C$496)/$C$496)*100)+100</f>
        <v>135.45831001678792</v>
      </c>
      <c r="F682" s="27">
        <f>(Table3[[#This Row],[Core CPI]]-C670)/C670</f>
        <v>1.7772676244654971E-2</v>
      </c>
      <c r="G682" s="27">
        <f>VLOOKUP(Table3[[#This Row],[Date]],'PCE Core'!A:D,4,)</f>
        <v>1.2899786780383686E-2</v>
      </c>
    </row>
    <row r="683" spans="1:7" x14ac:dyDescent="0.35">
      <c r="A683" s="63">
        <v>42186</v>
      </c>
      <c r="B683" s="28">
        <f>VLOOKUP(Table3[[#This Row],[Date]],'PCE Core'!$A:$E,2,)</f>
        <v>104.60299999999999</v>
      </c>
      <c r="C683" s="28">
        <f>VLOOKUP(Table3[[#This Row],[Date]],Database!$A:$E,5)</f>
        <v>242.565</v>
      </c>
      <c r="D683" s="26">
        <f>(((Table3[[#This Row],[Core PCE]]-$B$496)/$B$496)*100)+100</f>
        <v>131.08802446237905</v>
      </c>
      <c r="E683" s="26">
        <f>(((Table3[[#This Row],[Core CPI]]-$C$496)/$C$496)*100)+100</f>
        <v>135.73866815892558</v>
      </c>
      <c r="F683" s="27">
        <f>(Table3[[#This Row],[Core CPI]]-C671)/C671</f>
        <v>1.8346312894897059E-2</v>
      </c>
      <c r="G683" s="27">
        <f>VLOOKUP(Table3[[#This Row],[Date]],'PCE Core'!A:D,4,)</f>
        <v>1.193781501223766E-2</v>
      </c>
    </row>
    <row r="684" spans="1:7" x14ac:dyDescent="0.35">
      <c r="A684" s="60">
        <v>42217</v>
      </c>
      <c r="B684" s="28">
        <f>VLOOKUP(Table3[[#This Row],[Date]],'PCE Core'!$A:$E,2,)</f>
        <v>104.679</v>
      </c>
      <c r="C684" s="26">
        <f>VLOOKUP(Table3[[#This Row],[Date]],Database!$A:$E,5)</f>
        <v>242.81700000000001</v>
      </c>
      <c r="D684" s="26">
        <f>(((Table3[[#This Row],[Core PCE]]-$B$496)/$B$496)*100)+100</f>
        <v>131.18326733169582</v>
      </c>
      <c r="E684" s="26">
        <f>(((Table3[[#This Row],[Core CPI]]-$C$496)/$C$496)*100)+100</f>
        <v>135.87968662562957</v>
      </c>
      <c r="F684" s="27">
        <f>(Table3[[#This Row],[Core CPI]]-C672)/C672</f>
        <v>1.8506323273421305E-2</v>
      </c>
      <c r="G684" s="27">
        <f>VLOOKUP(Table3[[#This Row],[Date]],'PCE Core'!A:D,4,)</f>
        <v>1.2291118675537683E-2</v>
      </c>
    </row>
    <row r="685" spans="1:7" x14ac:dyDescent="0.35">
      <c r="A685" s="63">
        <v>42248</v>
      </c>
      <c r="B685" s="28">
        <f>VLOOKUP(Table3[[#This Row],[Date]],'PCE Core'!$A:$E,2,)</f>
        <v>104.81399999999999</v>
      </c>
      <c r="C685" s="28">
        <f>VLOOKUP(Table3[[#This Row],[Date]],Database!$A:$E,5)</f>
        <v>243.316</v>
      </c>
      <c r="D685" s="26">
        <f>(((Table3[[#This Row],[Core PCE]]-$B$496)/$B$496)*100)+100</f>
        <v>131.35244874429793</v>
      </c>
      <c r="E685" s="26">
        <f>(((Table3[[#This Row],[Core CPI]]-$C$496)/$C$496)*100)+100</f>
        <v>136.15892557358703</v>
      </c>
      <c r="F685" s="27">
        <f>(Table3[[#This Row],[Core CPI]]-C673)/C673</f>
        <v>1.8970961446650982E-2</v>
      </c>
      <c r="G685" s="27">
        <f>VLOOKUP(Table3[[#This Row],[Date]],'PCE Core'!A:D,4,)</f>
        <v>1.2343532684283646E-2</v>
      </c>
    </row>
    <row r="686" spans="1:7" x14ac:dyDescent="0.35">
      <c r="A686" s="60">
        <v>42278</v>
      </c>
      <c r="B686" s="28">
        <f>VLOOKUP(Table3[[#This Row],[Date]],'PCE Core'!$A:$E,2,)</f>
        <v>104.82899999999999</v>
      </c>
      <c r="C686" s="28">
        <f>VLOOKUP(Table3[[#This Row],[Date]],Database!$A:$E,5)</f>
        <v>243.768</v>
      </c>
      <c r="D686" s="26">
        <f>(((Table3[[#This Row],[Core PCE]]-$B$496)/$B$496)*100)+100</f>
        <v>131.37124667903151</v>
      </c>
      <c r="E686" s="26">
        <f>(((Table3[[#This Row],[Core CPI]]-$C$496)/$C$496)*100)+100</f>
        <v>136.41186345831002</v>
      </c>
      <c r="F686" s="27">
        <f>(Table3[[#This Row],[Core CPI]]-C674)/C674</f>
        <v>1.9135335359608003E-2</v>
      </c>
      <c r="G686" s="27">
        <f>VLOOKUP(Table3[[#This Row],[Date]],'PCE Core'!A:D,4,)</f>
        <v>1.1579770141562579E-2</v>
      </c>
    </row>
    <row r="687" spans="1:7" x14ac:dyDescent="0.35">
      <c r="A687" s="63">
        <v>42309</v>
      </c>
      <c r="B687" s="28">
        <f>VLOOKUP(Table3[[#This Row],[Date]],'PCE Core'!$A:$E,2,)</f>
        <v>104.94</v>
      </c>
      <c r="C687" s="26">
        <f>VLOOKUP(Table3[[#This Row],[Date]],Database!$A:$E,5)</f>
        <v>244.24100000000001</v>
      </c>
      <c r="D687" s="26">
        <f>(((Table3[[#This Row],[Core PCE]]-$B$496)/$B$496)*100)+100</f>
        <v>131.51035139605995</v>
      </c>
      <c r="E687" s="26">
        <f>(((Table3[[#This Row],[Core CPI]]-$C$496)/$C$496)*100)+100</f>
        <v>136.67655288192503</v>
      </c>
      <c r="F687" s="27">
        <f>(Table3[[#This Row],[Core CPI]]-C675)/C675</f>
        <v>1.9974275238246436E-2</v>
      </c>
      <c r="G687" s="27">
        <f>VLOOKUP(Table3[[#This Row],[Date]],'PCE Core'!A:D,4,)</f>
        <v>1.1567379988432647E-2</v>
      </c>
    </row>
    <row r="688" spans="1:7" x14ac:dyDescent="0.35">
      <c r="A688" s="60">
        <v>42339</v>
      </c>
      <c r="B688" s="28">
        <f>VLOOKUP(Table3[[#This Row],[Date]],'PCE Core'!$A:$E,2,)</f>
        <v>105.009</v>
      </c>
      <c r="C688" s="28">
        <f>VLOOKUP(Table3[[#This Row],[Date]],Database!$A:$E,5)</f>
        <v>244.547</v>
      </c>
      <c r="D688" s="26">
        <f>(((Table3[[#This Row],[Core PCE]]-$B$496)/$B$496)*100)+100</f>
        <v>131.59682189583435</v>
      </c>
      <c r="E688" s="26">
        <f>(((Table3[[#This Row],[Core CPI]]-$C$496)/$C$496)*100)+100</f>
        <v>136.84778959149412</v>
      </c>
      <c r="F688" s="27">
        <f>(Table3[[#This Row],[Core CPI]]-C676)/C676</f>
        <v>2.0715072792840898E-2</v>
      </c>
      <c r="G688" s="27">
        <f>VLOOKUP(Table3[[#This Row],[Date]],'PCE Core'!A:D,4,)</f>
        <v>1.1286920847096864E-2</v>
      </c>
    </row>
    <row r="689" spans="1:7" x14ac:dyDescent="0.35">
      <c r="A689" s="63">
        <v>42370</v>
      </c>
      <c r="B689" s="28">
        <f>VLOOKUP(Table3[[#This Row],[Date]],'PCE Core'!$A:$E,2,)</f>
        <v>105.20399999999999</v>
      </c>
      <c r="C689" s="28">
        <f>VLOOKUP(Table3[[#This Row],[Date]],Database!$A:$E,5)</f>
        <v>244.95500000000001</v>
      </c>
      <c r="D689" s="26">
        <f>(((Table3[[#This Row],[Core PCE]]-$B$496)/$B$496)*100)+100</f>
        <v>131.84119504737077</v>
      </c>
      <c r="E689" s="26">
        <f>(((Table3[[#This Row],[Core CPI]]-$C$496)/$C$496)*100)+100</f>
        <v>137.07610520425294</v>
      </c>
      <c r="F689" s="27">
        <f>(Table3[[#This Row],[Core CPI]]-C677)/C677</f>
        <v>2.1450225385824691E-2</v>
      </c>
      <c r="G689" s="27">
        <f>VLOOKUP(Table3[[#This Row],[Date]],'PCE Core'!A:D,4,)</f>
        <v>1.3369808122062022E-2</v>
      </c>
    </row>
    <row r="690" spans="1:7" x14ac:dyDescent="0.35">
      <c r="A690" s="60">
        <v>42401</v>
      </c>
      <c r="B690" s="28">
        <f>VLOOKUP(Table3[[#This Row],[Date]],'PCE Core'!$A:$E,2,)</f>
        <v>105.369</v>
      </c>
      <c r="C690" s="26">
        <f>VLOOKUP(Table3[[#This Row],[Date]],Database!$A:$E,5)</f>
        <v>245.51</v>
      </c>
      <c r="D690" s="26">
        <f>(((Table3[[#This Row],[Core PCE]]-$B$496)/$B$496)*100)+100</f>
        <v>132.04797232944006</v>
      </c>
      <c r="E690" s="26">
        <f>(((Table3[[#This Row],[Core CPI]]-$C$496)/$C$496)*100)+100</f>
        <v>137.38668158925574</v>
      </c>
      <c r="F690" s="27">
        <f>(Table3[[#This Row],[Core CPI]]-C678)/C678</f>
        <v>2.2225738220941635E-2</v>
      </c>
      <c r="G690" s="27">
        <f>VLOOKUP(Table3[[#This Row],[Date]],'PCE Core'!A:D,4,)</f>
        <v>1.3943418013856793E-2</v>
      </c>
    </row>
    <row r="691" spans="1:7" x14ac:dyDescent="0.35">
      <c r="A691" s="63">
        <v>42430</v>
      </c>
      <c r="B691" s="28">
        <f>VLOOKUP(Table3[[#This Row],[Date]],'PCE Core'!$A:$E,2,)</f>
        <v>105.521</v>
      </c>
      <c r="C691" s="28">
        <f>VLOOKUP(Table3[[#This Row],[Date]],Database!$A:$E,5)</f>
        <v>245.91300000000001</v>
      </c>
      <c r="D691" s="26">
        <f>(((Table3[[#This Row],[Core PCE]]-$B$496)/$B$496)*100)+100</f>
        <v>132.23845806807358</v>
      </c>
      <c r="E691" s="26">
        <f>(((Table3[[#This Row],[Core CPI]]-$C$496)/$C$496)*100)+100</f>
        <v>137.61219921656408</v>
      </c>
      <c r="F691" s="27">
        <f>(Table3[[#This Row],[Core CPI]]-C679)/C679</f>
        <v>2.1424269485576689E-2</v>
      </c>
      <c r="G691" s="27">
        <f>VLOOKUP(Table3[[#This Row],[Date]],'PCE Core'!A:D,4,)</f>
        <v>1.3845119139123774E-2</v>
      </c>
    </row>
    <row r="692" spans="1:7" x14ac:dyDescent="0.35">
      <c r="A692" s="60">
        <v>42461</v>
      </c>
      <c r="B692" s="28">
        <f>VLOOKUP(Table3[[#This Row],[Date]],'PCE Core'!$A:$E,2,)</f>
        <v>105.786</v>
      </c>
      <c r="C692" s="28">
        <f>VLOOKUP(Table3[[#This Row],[Date]],Database!$A:$E,5)</f>
        <v>246.55099999999999</v>
      </c>
      <c r="D692" s="26">
        <f>(((Table3[[#This Row],[Core PCE]]-$B$496)/$B$496)*100)+100</f>
        <v>132.57055491503331</v>
      </c>
      <c r="E692" s="26">
        <f>(((Table3[[#This Row],[Core CPI]]-$C$496)/$C$496)*100)+100</f>
        <v>137.96922216004475</v>
      </c>
      <c r="F692" s="27">
        <f>(Table3[[#This Row],[Core CPI]]-C680)/C680</f>
        <v>2.1566547612141839E-2</v>
      </c>
      <c r="G692" s="27">
        <f>VLOOKUP(Table3[[#This Row],[Date]],'PCE Core'!A:D,4,)</f>
        <v>1.4675414364640895E-2</v>
      </c>
    </row>
    <row r="693" spans="1:7" x14ac:dyDescent="0.35">
      <c r="A693" s="63">
        <v>42491</v>
      </c>
      <c r="B693" s="28">
        <f>VLOOKUP(Table3[[#This Row],[Date]],'PCE Core'!$A:$E,2,)</f>
        <v>105.94799999999999</v>
      </c>
      <c r="C693" s="26">
        <f>VLOOKUP(Table3[[#This Row],[Date]],Database!$A:$E,5)</f>
        <v>247.137</v>
      </c>
      <c r="D693" s="26">
        <f>(((Table3[[#This Row],[Core PCE]]-$B$496)/$B$496)*100)+100</f>
        <v>132.77357261015587</v>
      </c>
      <c r="E693" s="26">
        <f>(((Table3[[#This Row],[Core CPI]]-$C$496)/$C$496)*100)+100</f>
        <v>138.29714605484054</v>
      </c>
      <c r="F693" s="27">
        <f>(Table3[[#This Row],[Core CPI]]-C681)/C681</f>
        <v>2.2545595974976053E-2</v>
      </c>
      <c r="G693" s="27">
        <f>VLOOKUP(Table3[[#This Row],[Date]],'PCE Core'!A:D,4,)</f>
        <v>1.4973415720649405E-2</v>
      </c>
    </row>
    <row r="694" spans="1:7" x14ac:dyDescent="0.35">
      <c r="A694" s="60">
        <v>42522</v>
      </c>
      <c r="B694" s="28">
        <f>VLOOKUP(Table3[[#This Row],[Date]],'PCE Core'!$A:$E,2,)</f>
        <v>106.077</v>
      </c>
      <c r="C694" s="28">
        <f>VLOOKUP(Table3[[#This Row],[Date]],Database!$A:$E,5)</f>
        <v>247.54</v>
      </c>
      <c r="D694" s="26">
        <f>(((Table3[[#This Row],[Core PCE]]-$B$496)/$B$496)*100)+100</f>
        <v>132.93523484886458</v>
      </c>
      <c r="E694" s="26">
        <f>(((Table3[[#This Row],[Core CPI]]-$C$496)/$C$496)*100)+100</f>
        <v>138.52266368214885</v>
      </c>
      <c r="F694" s="27">
        <f>(Table3[[#This Row],[Core CPI]]-C682)/C682</f>
        <v>2.2622116465067087E-2</v>
      </c>
      <c r="G694" s="27">
        <f>VLOOKUP(Table3[[#This Row],[Date]],'PCE Core'!A:D,4,)</f>
        <v>1.4984068662628839E-2</v>
      </c>
    </row>
    <row r="695" spans="1:7" x14ac:dyDescent="0.35">
      <c r="A695" s="63">
        <v>42552</v>
      </c>
      <c r="B695" s="28">
        <f>VLOOKUP(Table3[[#This Row],[Date]],'PCE Core'!$A:$E,2,)</f>
        <v>106.25700000000001</v>
      </c>
      <c r="C695" s="28">
        <f>VLOOKUP(Table3[[#This Row],[Date]],Database!$A:$E,5)</f>
        <v>247.82900000000001</v>
      </c>
      <c r="D695" s="26">
        <f>(((Table3[[#This Row],[Core PCE]]-$B$496)/$B$496)*100)+100</f>
        <v>133.16081006566745</v>
      </c>
      <c r="E695" s="26">
        <f>(((Table3[[#This Row],[Core CPI]]-$C$496)/$C$496)*100)+100</f>
        <v>138.68438724118636</v>
      </c>
      <c r="F695" s="27">
        <f>(Table3[[#This Row],[Core CPI]]-C683)/C683</f>
        <v>2.1701399624842868E-2</v>
      </c>
      <c r="G695" s="27">
        <f>VLOOKUP(Table3[[#This Row],[Date]],'PCE Core'!A:D,4,)</f>
        <v>1.5812165999063228E-2</v>
      </c>
    </row>
    <row r="696" spans="1:7" x14ac:dyDescent="0.35">
      <c r="A696" s="60">
        <v>42583</v>
      </c>
      <c r="B696" s="28">
        <f>VLOOKUP(Table3[[#This Row],[Date]],'PCE Core'!$A:$E,2,)</f>
        <v>106.456</v>
      </c>
      <c r="C696" s="26">
        <f>VLOOKUP(Table3[[#This Row],[Date]],Database!$A:$E,5)</f>
        <v>248.423</v>
      </c>
      <c r="D696" s="26">
        <f>(((Table3[[#This Row],[Core PCE]]-$B$496)/$B$496)*100)+100</f>
        <v>133.41019599979947</v>
      </c>
      <c r="E696" s="26">
        <f>(((Table3[[#This Row],[Core CPI]]-$C$496)/$C$496)*100)+100</f>
        <v>139.01678791270285</v>
      </c>
      <c r="F696" s="27">
        <f>(Table3[[#This Row],[Core CPI]]-C684)/C684</f>
        <v>2.3087345614186794E-2</v>
      </c>
      <c r="G696" s="27">
        <f>VLOOKUP(Table3[[#This Row],[Date]],'PCE Core'!A:D,4,)</f>
        <v>1.6975706684244224E-2</v>
      </c>
    </row>
    <row r="697" spans="1:7" x14ac:dyDescent="0.35">
      <c r="A697" s="63">
        <v>42614</v>
      </c>
      <c r="B697" s="28">
        <f>VLOOKUP(Table3[[#This Row],[Date]],'PCE Core'!$A:$E,2,)</f>
        <v>106.57899999999999</v>
      </c>
      <c r="C697" s="28">
        <f>VLOOKUP(Table3[[#This Row],[Date]],Database!$A:$E,5)</f>
        <v>248.84200000000001</v>
      </c>
      <c r="D697" s="26">
        <f>(((Table3[[#This Row],[Core PCE]]-$B$496)/$B$496)*100)+100</f>
        <v>133.56433906461476</v>
      </c>
      <c r="E697" s="26">
        <f>(((Table3[[#This Row],[Core CPI]]-$C$496)/$C$496)*100)+100</f>
        <v>139.25125909345275</v>
      </c>
      <c r="F697" s="27">
        <f>(Table3[[#This Row],[Core CPI]]-C685)/C685</f>
        <v>2.2711206825691735E-2</v>
      </c>
      <c r="G697" s="27">
        <f>VLOOKUP(Table3[[#This Row],[Date]],'PCE Core'!A:D,4,)</f>
        <v>1.6839353521476145E-2</v>
      </c>
    </row>
    <row r="698" spans="1:7" x14ac:dyDescent="0.35">
      <c r="A698" s="60">
        <v>42644</v>
      </c>
      <c r="B698" s="28">
        <f>VLOOKUP(Table3[[#This Row],[Date]],'PCE Core'!$A:$E,2,)</f>
        <v>106.73699999999999</v>
      </c>
      <c r="C698" s="28">
        <f>VLOOKUP(Table3[[#This Row],[Date]],Database!$A:$E,5)</f>
        <v>249.142</v>
      </c>
      <c r="D698" s="26">
        <f>(((Table3[[#This Row],[Core PCE]]-$B$496)/$B$496)*100)+100</f>
        <v>133.76234397714171</v>
      </c>
      <c r="E698" s="26">
        <f>(((Table3[[#This Row],[Core CPI]]-$C$496)/$C$496)*100)+100</f>
        <v>139.41913822048127</v>
      </c>
      <c r="F698" s="27">
        <f>(Table3[[#This Row],[Core CPI]]-C686)/C686</f>
        <v>2.2045551507991184E-2</v>
      </c>
      <c r="G698" s="27">
        <f>VLOOKUP(Table3[[#This Row],[Date]],'PCE Core'!A:D,4,)</f>
        <v>1.8201070314512218E-2</v>
      </c>
    </row>
    <row r="699" spans="1:7" x14ac:dyDescent="0.35">
      <c r="A699" s="63">
        <v>42675</v>
      </c>
      <c r="B699" s="28">
        <f>VLOOKUP(Table3[[#This Row],[Date]],'PCE Core'!$A:$E,2,)</f>
        <v>106.789</v>
      </c>
      <c r="C699" s="26">
        <f>VLOOKUP(Table3[[#This Row],[Date]],Database!$A:$E,5)</f>
        <v>249.48099999999999</v>
      </c>
      <c r="D699" s="26">
        <f>(((Table3[[#This Row],[Core PCE]]-$B$496)/$B$496)*100)+100</f>
        <v>133.82751015088473</v>
      </c>
      <c r="E699" s="26">
        <f>(((Table3[[#This Row],[Core CPI]]-$C$496)/$C$496)*100)+100</f>
        <v>139.60884163402352</v>
      </c>
      <c r="F699" s="27">
        <f>(Table3[[#This Row],[Core CPI]]-C687)/C687</f>
        <v>2.1454219398053483E-2</v>
      </c>
      <c r="G699" s="27">
        <f>VLOOKUP(Table3[[#This Row],[Date]],'PCE Core'!A:D,4,)</f>
        <v>1.7619592147894072E-2</v>
      </c>
    </row>
    <row r="700" spans="1:7" x14ac:dyDescent="0.35">
      <c r="A700" s="60">
        <v>42705</v>
      </c>
      <c r="B700" s="28">
        <f>VLOOKUP(Table3[[#This Row],[Date]],'PCE Core'!$A:$E,2,)</f>
        <v>106.929</v>
      </c>
      <c r="C700" s="28">
        <f>VLOOKUP(Table3[[#This Row],[Date]],Database!$A:$E,5)</f>
        <v>249.92</v>
      </c>
      <c r="D700" s="26">
        <f>(((Table3[[#This Row],[Core PCE]]-$B$496)/$B$496)*100)+100</f>
        <v>134.0029575417314</v>
      </c>
      <c r="E700" s="26">
        <f>(((Table3[[#This Row],[Core CPI]]-$C$496)/$C$496)*100)+100</f>
        <v>139.85450475657527</v>
      </c>
      <c r="F700" s="27">
        <f>(Table3[[#This Row],[Core CPI]]-C688)/C688</f>
        <v>2.1971236613002779E-2</v>
      </c>
      <c r="G700" s="27">
        <f>VLOOKUP(Table3[[#This Row],[Date]],'PCE Core'!A:D,4,)</f>
        <v>1.8284147073108034E-2</v>
      </c>
    </row>
    <row r="701" spans="1:7" x14ac:dyDescent="0.35">
      <c r="A701" s="63">
        <v>42736</v>
      </c>
      <c r="B701" s="28">
        <f>VLOOKUP(Table3[[#This Row],[Date]],'PCE Core'!$A:$E,2,)</f>
        <v>107.205</v>
      </c>
      <c r="C701" s="28">
        <f>VLOOKUP(Table3[[#This Row],[Date]],Database!$A:$E,5)</f>
        <v>250.46700000000001</v>
      </c>
      <c r="D701" s="26">
        <f>(((Table3[[#This Row],[Core PCE]]-$B$496)/$B$496)*100)+100</f>
        <v>134.34883954082909</v>
      </c>
      <c r="E701" s="26">
        <f>(((Table3[[#This Row],[Core CPI]]-$C$496)/$C$496)*100)+100</f>
        <v>140.16060436485731</v>
      </c>
      <c r="F701" s="27">
        <f>(Table3[[#This Row],[Core CPI]]-C689)/C689</f>
        <v>2.250209222102019E-2</v>
      </c>
      <c r="G701" s="27">
        <f>VLOOKUP(Table3[[#This Row],[Date]],'PCE Core'!A:D,4,)</f>
        <v>1.9020189346412732E-2</v>
      </c>
    </row>
    <row r="702" spans="1:7" x14ac:dyDescent="0.35">
      <c r="A702" s="60">
        <v>42767</v>
      </c>
      <c r="B702" s="28">
        <f>VLOOKUP(Table3[[#This Row],[Date]],'PCE Core'!$A:$E,2,)</f>
        <v>107.414</v>
      </c>
      <c r="C702" s="26">
        <f>VLOOKUP(Table3[[#This Row],[Date]],Database!$A:$E,5)</f>
        <v>250.99799999999999</v>
      </c>
      <c r="D702" s="26">
        <f>(((Table3[[#This Row],[Core PCE]]-$B$496)/$B$496)*100)+100</f>
        <v>134.6107574314502</v>
      </c>
      <c r="E702" s="26">
        <f>(((Table3[[#This Row],[Core CPI]]-$C$496)/$C$496)*100)+100</f>
        <v>140.45775041969782</v>
      </c>
      <c r="F702" s="27">
        <f>(Table3[[#This Row],[Core CPI]]-C690)/C690</f>
        <v>2.2353468290497332E-2</v>
      </c>
      <c r="G702" s="27">
        <f>VLOOKUP(Table3[[#This Row],[Date]],'PCE Core'!A:D,4,)</f>
        <v>1.9407985270810217E-2</v>
      </c>
    </row>
    <row r="703" spans="1:7" x14ac:dyDescent="0.35">
      <c r="A703" s="63">
        <v>42795</v>
      </c>
      <c r="B703" s="28">
        <f>VLOOKUP(Table3[[#This Row],[Date]],'PCE Core'!$A:$E,2,)</f>
        <v>107.364</v>
      </c>
      <c r="C703" s="28">
        <f>VLOOKUP(Table3[[#This Row],[Date]],Database!$A:$E,5)</f>
        <v>250.94399999999999</v>
      </c>
      <c r="D703" s="26">
        <f>(((Table3[[#This Row],[Core PCE]]-$B$496)/$B$496)*100)+100</f>
        <v>134.54809764900494</v>
      </c>
      <c r="E703" s="26">
        <f>(((Table3[[#This Row],[Core CPI]]-$C$496)/$C$496)*100)+100</f>
        <v>140.4275321768327</v>
      </c>
      <c r="F703" s="27">
        <f>(Table3[[#This Row],[Core CPI]]-C691)/C691</f>
        <v>2.0458454819387253E-2</v>
      </c>
      <c r="G703" s="27">
        <f>VLOOKUP(Table3[[#This Row],[Date]],'PCE Core'!A:D,4,)</f>
        <v>1.7465717724434032E-2</v>
      </c>
    </row>
    <row r="704" spans="1:7" x14ac:dyDescent="0.35">
      <c r="A704" s="60">
        <v>42826</v>
      </c>
      <c r="B704" s="28">
        <f>VLOOKUP(Table3[[#This Row],[Date]],'PCE Core'!$A:$E,2,)</f>
        <v>107.62</v>
      </c>
      <c r="C704" s="28">
        <f>VLOOKUP(Table3[[#This Row],[Date]],Database!$A:$E,5)</f>
        <v>251.227</v>
      </c>
      <c r="D704" s="26">
        <f>(((Table3[[#This Row],[Core PCE]]-$B$496)/$B$496)*100)+100</f>
        <v>134.86891573512457</v>
      </c>
      <c r="E704" s="26">
        <f>(((Table3[[#This Row],[Core CPI]]-$C$496)/$C$496)*100)+100</f>
        <v>140.58589815332962</v>
      </c>
      <c r="F704" s="27">
        <f>(Table3[[#This Row],[Core CPI]]-C692)/C692</f>
        <v>1.8965650108902485E-2</v>
      </c>
      <c r="G704" s="27">
        <f>VLOOKUP(Table3[[#This Row],[Date]],'PCE Core'!A:D,4,)</f>
        <v>1.7336887678898939E-2</v>
      </c>
    </row>
    <row r="705" spans="1:7" x14ac:dyDescent="0.35">
      <c r="A705" s="63">
        <v>42856</v>
      </c>
      <c r="B705" s="28">
        <f>VLOOKUP(Table3[[#This Row],[Date]],'PCE Core'!$A:$E,2,)</f>
        <v>107.71899999999999</v>
      </c>
      <c r="C705" s="26">
        <f>VLOOKUP(Table3[[#This Row],[Date]],Database!$A:$E,5)</f>
        <v>251.43</v>
      </c>
      <c r="D705" s="26">
        <f>(((Table3[[#This Row],[Core PCE]]-$B$496)/$B$496)*100)+100</f>
        <v>134.99298210436612</v>
      </c>
      <c r="E705" s="26">
        <f>(((Table3[[#This Row],[Core CPI]]-$C$496)/$C$496)*100)+100</f>
        <v>140.69949636261893</v>
      </c>
      <c r="F705" s="27">
        <f>(Table3[[#This Row],[Core CPI]]-C693)/C693</f>
        <v>1.7370931912259219E-2</v>
      </c>
      <c r="G705" s="27">
        <f>VLOOKUP(Table3[[#This Row],[Date]],'PCE Core'!A:D,4,)</f>
        <v>1.6715747347755511E-2</v>
      </c>
    </row>
    <row r="706" spans="1:7" x14ac:dyDescent="0.35">
      <c r="A706" s="60">
        <v>42887</v>
      </c>
      <c r="B706" s="28">
        <f>VLOOKUP(Table3[[#This Row],[Date]],'PCE Core'!$A:$E,2,)</f>
        <v>107.876</v>
      </c>
      <c r="C706" s="28">
        <f>VLOOKUP(Table3[[#This Row],[Date]],Database!$A:$E,5)</f>
        <v>251.74600000000001</v>
      </c>
      <c r="D706" s="26">
        <f>(((Table3[[#This Row],[Core PCE]]-$B$496)/$B$496)*100)+100</f>
        <v>135.18973382124418</v>
      </c>
      <c r="E706" s="26">
        <f>(((Table3[[#This Row],[Core CPI]]-$C$496)/$C$496)*100)+100</f>
        <v>140.87632904308899</v>
      </c>
      <c r="F706" s="27">
        <f>(Table3[[#This Row],[Core CPI]]-C694)/C694</f>
        <v>1.6991193342490173E-2</v>
      </c>
      <c r="G706" s="27">
        <f>VLOOKUP(Table3[[#This Row],[Date]],'PCE Core'!A:D,4,)</f>
        <v>1.6959378564627644E-2</v>
      </c>
    </row>
    <row r="707" spans="1:7" x14ac:dyDescent="0.35">
      <c r="A707" s="63">
        <v>42917</v>
      </c>
      <c r="B707" s="28">
        <f>VLOOKUP(Table3[[#This Row],[Date]],'PCE Core'!$A:$E,2,)</f>
        <v>107.941</v>
      </c>
      <c r="C707" s="28">
        <f>VLOOKUP(Table3[[#This Row],[Date]],Database!$A:$E,5)</f>
        <v>251.98500000000001</v>
      </c>
      <c r="D707" s="26">
        <f>(((Table3[[#This Row],[Core PCE]]-$B$496)/$B$496)*100)+100</f>
        <v>135.27119153842295</v>
      </c>
      <c r="E707" s="26">
        <f>(((Table3[[#This Row],[Core CPI]]-$C$496)/$C$496)*100)+100</f>
        <v>141.01007274762173</v>
      </c>
      <c r="F707" s="27">
        <f>(Table3[[#This Row],[Core CPI]]-C695)/C695</f>
        <v>1.6769627444730061E-2</v>
      </c>
      <c r="G707" s="27">
        <f>VLOOKUP(Table3[[#This Row],[Date]],'PCE Core'!A:D,4,)</f>
        <v>1.5848367636955657E-2</v>
      </c>
    </row>
    <row r="708" spans="1:7" x14ac:dyDescent="0.35">
      <c r="A708" s="60">
        <v>42948</v>
      </c>
      <c r="B708" s="28">
        <f>VLOOKUP(Table3[[#This Row],[Date]],'PCE Core'!$A:$E,2,)</f>
        <v>108.074</v>
      </c>
      <c r="C708" s="26">
        <f>VLOOKUP(Table3[[#This Row],[Date]],Database!$A:$E,5)</f>
        <v>252.535</v>
      </c>
      <c r="D708" s="26">
        <f>(((Table3[[#This Row],[Core PCE]]-$B$496)/$B$496)*100)+100</f>
        <v>135.4378665597273</v>
      </c>
      <c r="E708" s="26">
        <f>(((Table3[[#This Row],[Core CPI]]-$C$496)/$C$496)*100)+100</f>
        <v>141.31785114717405</v>
      </c>
      <c r="F708" s="27">
        <f>(Table3[[#This Row],[Core CPI]]-C696)/C696</f>
        <v>1.6552412618799365E-2</v>
      </c>
      <c r="G708" s="27">
        <f>VLOOKUP(Table3[[#This Row],[Date]],'PCE Core'!A:D,4,)</f>
        <v>1.5198767565942689E-2</v>
      </c>
    </row>
    <row r="709" spans="1:7" x14ac:dyDescent="0.35">
      <c r="A709" s="63">
        <v>42979</v>
      </c>
      <c r="B709" s="28">
        <f>VLOOKUP(Table3[[#This Row],[Date]],'PCE Core'!$A:$E,2,)</f>
        <v>108.215</v>
      </c>
      <c r="C709" s="28">
        <f>VLOOKUP(Table3[[#This Row],[Date]],Database!$A:$E,5)</f>
        <v>252.81200000000001</v>
      </c>
      <c r="D709" s="26">
        <f>(((Table3[[#This Row],[Core PCE]]-$B$496)/$B$496)*100)+100</f>
        <v>135.61456714622287</v>
      </c>
      <c r="E709" s="26">
        <f>(((Table3[[#This Row],[Core CPI]]-$C$496)/$C$496)*100)+100</f>
        <v>141.47285954113039</v>
      </c>
      <c r="F709" s="27">
        <f>(Table3[[#This Row],[Core CPI]]-C697)/C697</f>
        <v>1.5953898457655855E-2</v>
      </c>
      <c r="G709" s="27">
        <f>VLOOKUP(Table3[[#This Row],[Date]],'PCE Core'!A:D,4,)</f>
        <v>1.5350115876486081E-2</v>
      </c>
    </row>
    <row r="710" spans="1:7" x14ac:dyDescent="0.35">
      <c r="A710" s="60">
        <v>43009</v>
      </c>
      <c r="B710" s="28">
        <f>VLOOKUP(Table3[[#This Row],[Date]],'PCE Core'!$A:$E,2,)</f>
        <v>108.499</v>
      </c>
      <c r="C710" s="28">
        <f>VLOOKUP(Table3[[#This Row],[Date]],Database!$A:$E,5)</f>
        <v>253.52600000000001</v>
      </c>
      <c r="D710" s="26">
        <f>(((Table3[[#This Row],[Core PCE]]-$B$496)/$B$496)*100)+100</f>
        <v>135.97047471051178</v>
      </c>
      <c r="E710" s="26">
        <f>(((Table3[[#This Row],[Core CPI]]-$C$496)/$C$496)*100)+100</f>
        <v>141.87241186345832</v>
      </c>
      <c r="F710" s="27">
        <f>(Table3[[#This Row],[Core CPI]]-C698)/C698</f>
        <v>1.7596390813271204E-2</v>
      </c>
      <c r="G710" s="27">
        <f>VLOOKUP(Table3[[#This Row],[Date]],'PCE Core'!A:D,4,)</f>
        <v>1.6507865126432264E-2</v>
      </c>
    </row>
    <row r="711" spans="1:7" x14ac:dyDescent="0.35">
      <c r="A711" s="63">
        <v>43040</v>
      </c>
      <c r="B711" s="28">
        <f>VLOOKUP(Table3[[#This Row],[Date]],'PCE Core'!$A:$E,2,)</f>
        <v>108.58199999999999</v>
      </c>
      <c r="C711" s="26">
        <f>VLOOKUP(Table3[[#This Row],[Date]],Database!$A:$E,5)</f>
        <v>253.816</v>
      </c>
      <c r="D711" s="26">
        <f>(((Table3[[#This Row],[Core PCE]]-$B$496)/$B$496)*100)+100</f>
        <v>136.07448994937087</v>
      </c>
      <c r="E711" s="26">
        <f>(((Table3[[#This Row],[Core CPI]]-$C$496)/$C$496)*100)+100</f>
        <v>142.03469501958591</v>
      </c>
      <c r="F711" s="27">
        <f>(Table3[[#This Row],[Core CPI]]-C699)/C699</f>
        <v>1.7376072726981245E-2</v>
      </c>
      <c r="G711" s="27">
        <f>VLOOKUP(Table3[[#This Row],[Date]],'PCE Core'!A:D,4,)</f>
        <v>1.6790118832463945E-2</v>
      </c>
    </row>
    <row r="712" spans="1:7" x14ac:dyDescent="0.35">
      <c r="A712" s="60">
        <v>43070</v>
      </c>
      <c r="B712" s="28">
        <f>VLOOKUP(Table3[[#This Row],[Date]],'PCE Core'!$A:$E,2,)</f>
        <v>108.742</v>
      </c>
      <c r="C712" s="28">
        <f>VLOOKUP(Table3[[#This Row],[Date]],Database!$A:$E,5)</f>
        <v>254.34399999999999</v>
      </c>
      <c r="D712" s="26">
        <f>(((Table3[[#This Row],[Core PCE]]-$B$496)/$B$496)*100)+100</f>
        <v>136.27500125319563</v>
      </c>
      <c r="E712" s="26">
        <f>(((Table3[[#This Row],[Core CPI]]-$C$496)/$C$496)*100)+100</f>
        <v>142.33016228315614</v>
      </c>
      <c r="F712" s="27">
        <f>(Table3[[#This Row],[Core CPI]]-C700)/C700</f>
        <v>1.7701664532650475E-2</v>
      </c>
      <c r="G712" s="27">
        <f>VLOOKUP(Table3[[#This Row],[Date]],'PCE Core'!A:D,4,)</f>
        <v>1.6955175864358615E-2</v>
      </c>
    </row>
    <row r="713" spans="1:7" x14ac:dyDescent="0.35">
      <c r="A713" s="63">
        <v>43101</v>
      </c>
      <c r="B713" s="28">
        <f>VLOOKUP(Table3[[#This Row],[Date]],'PCE Core'!$A:$E,2,)</f>
        <v>109.08</v>
      </c>
      <c r="C713" s="28">
        <f>VLOOKUP(Table3[[#This Row],[Date]],Database!$A:$E,5)</f>
        <v>255.072</v>
      </c>
      <c r="D713" s="26">
        <f>(((Table3[[#This Row],[Core PCE]]-$B$496)/$B$496)*100)+100</f>
        <v>136.69858138252542</v>
      </c>
      <c r="E713" s="26">
        <f>(((Table3[[#This Row],[Core CPI]]-$C$496)/$C$496)*100)+100</f>
        <v>142.7375489647454</v>
      </c>
      <c r="F713" s="27">
        <f>(Table3[[#This Row],[Core CPI]]-C701)/C701</f>
        <v>1.8385655595347848E-2</v>
      </c>
      <c r="G713" s="27">
        <f>VLOOKUP(Table3[[#This Row],[Date]],'PCE Core'!A:D,4,)</f>
        <v>1.7489855883587521E-2</v>
      </c>
    </row>
    <row r="714" spans="1:7" x14ac:dyDescent="0.35">
      <c r="A714" s="60">
        <v>43132</v>
      </c>
      <c r="B714" s="28">
        <f>VLOOKUP(Table3[[#This Row],[Date]],'PCE Core'!$A:$E,2,)</f>
        <v>109.31100000000001</v>
      </c>
      <c r="C714" s="26">
        <f>VLOOKUP(Table3[[#This Row],[Date]],Database!$A:$E,5)</f>
        <v>255.56800000000001</v>
      </c>
      <c r="D714" s="26">
        <f>(((Table3[[#This Row],[Core PCE]]-$B$496)/$B$496)*100)+100</f>
        <v>136.98806957742244</v>
      </c>
      <c r="E714" s="26">
        <f>(((Table3[[#This Row],[Core CPI]]-$C$496)/$C$496)*100)+100</f>
        <v>143.01510912143257</v>
      </c>
      <c r="F714" s="27">
        <f>(Table3[[#This Row],[Core CPI]]-C702)/C702</f>
        <v>1.8207316392959392E-2</v>
      </c>
      <c r="G714" s="27">
        <f>VLOOKUP(Table3[[#This Row],[Date]],'PCE Core'!A:D,4,)</f>
        <v>1.7660640140019043E-2</v>
      </c>
    </row>
    <row r="715" spans="1:7" x14ac:dyDescent="0.35">
      <c r="A715" s="63">
        <v>43160</v>
      </c>
      <c r="B715" s="28">
        <f>VLOOKUP(Table3[[#This Row],[Date]],'PCE Core'!$A:$E,2,)</f>
        <v>109.562</v>
      </c>
      <c r="C715" s="28">
        <f>VLOOKUP(Table3[[#This Row],[Date]],Database!$A:$E,5)</f>
        <v>256.12799999999999</v>
      </c>
      <c r="D715" s="26">
        <f>(((Table3[[#This Row],[Core PCE]]-$B$496)/$B$496)*100)+100</f>
        <v>137.30262168529748</v>
      </c>
      <c r="E715" s="26">
        <f>(((Table3[[#This Row],[Core CPI]]-$C$496)/$C$496)*100)+100</f>
        <v>143.32848349188583</v>
      </c>
      <c r="F715" s="27">
        <f>(Table3[[#This Row],[Core CPI]]-C703)/C703</f>
        <v>2.0657995409334346E-2</v>
      </c>
      <c r="G715" s="27">
        <f>VLOOKUP(Table3[[#This Row],[Date]],'PCE Core'!A:D,4,)</f>
        <v>2.0472411609105411E-2</v>
      </c>
    </row>
    <row r="716" spans="1:7" x14ac:dyDescent="0.35">
      <c r="A716" s="60">
        <v>43191</v>
      </c>
      <c r="B716" s="28">
        <f>VLOOKUP(Table3[[#This Row],[Date]],'PCE Core'!$A:$E,2,)</f>
        <v>109.75</v>
      </c>
      <c r="C716" s="28">
        <f>VLOOKUP(Table3[[#This Row],[Date]],Database!$A:$E,5)</f>
        <v>256.60300000000001</v>
      </c>
      <c r="D716" s="26">
        <f>(((Table3[[#This Row],[Core PCE]]-$B$496)/$B$496)*100)+100</f>
        <v>137.53822246729158</v>
      </c>
      <c r="E716" s="26">
        <f>(((Table3[[#This Row],[Core CPI]]-$C$496)/$C$496)*100)+100</f>
        <v>143.59429210968105</v>
      </c>
      <c r="F716" s="27">
        <f>(Table3[[#This Row],[Core CPI]]-C704)/C704</f>
        <v>2.1398973836410914E-2</v>
      </c>
      <c r="G716" s="27">
        <f>VLOOKUP(Table3[[#This Row],[Date]],'PCE Core'!A:D,4,)</f>
        <v>1.9791860249024303E-2</v>
      </c>
    </row>
    <row r="717" spans="1:7" x14ac:dyDescent="0.35">
      <c r="A717" s="63">
        <v>43221</v>
      </c>
      <c r="B717" s="28">
        <f>VLOOKUP(Table3[[#This Row],[Date]],'PCE Core'!$A:$E,2,)</f>
        <v>109.956</v>
      </c>
      <c r="C717" s="26">
        <f>VLOOKUP(Table3[[#This Row],[Date]],Database!$A:$E,5)</f>
        <v>257.15100000000001</v>
      </c>
      <c r="D717" s="26">
        <f>(((Table3[[#This Row],[Core PCE]]-$B$496)/$B$496)*100)+100</f>
        <v>137.79638077096595</v>
      </c>
      <c r="E717" s="26">
        <f>(((Table3[[#This Row],[Core CPI]]-$C$496)/$C$496)*100)+100</f>
        <v>143.90095131505319</v>
      </c>
      <c r="F717" s="27">
        <f>(Table3[[#This Row],[Core CPI]]-C705)/C705</f>
        <v>2.2753847989500073E-2</v>
      </c>
      <c r="G717" s="27">
        <f>VLOOKUP(Table3[[#This Row],[Date]],'PCE Core'!A:D,4,)</f>
        <v>2.0766995608945581E-2</v>
      </c>
    </row>
    <row r="718" spans="1:7" x14ac:dyDescent="0.35">
      <c r="A718" s="60">
        <v>43252</v>
      </c>
      <c r="B718" s="28">
        <f>VLOOKUP(Table3[[#This Row],[Date]],'PCE Core'!$A:$E,2,)</f>
        <v>110.07299999999999</v>
      </c>
      <c r="C718" s="28">
        <f>VLOOKUP(Table3[[#This Row],[Date]],Database!$A:$E,5)</f>
        <v>257.44900000000001</v>
      </c>
      <c r="D718" s="26">
        <f>(((Table3[[#This Row],[Core PCE]]-$B$496)/$B$496)*100)+100</f>
        <v>137.94300466188781</v>
      </c>
      <c r="E718" s="26">
        <f>(((Table3[[#This Row],[Core CPI]]-$C$496)/$C$496)*100)+100</f>
        <v>144.06771124790151</v>
      </c>
      <c r="F718" s="27">
        <f>(Table3[[#This Row],[Core CPI]]-C706)/C706</f>
        <v>2.2653785958863311E-2</v>
      </c>
      <c r="G718" s="27">
        <f>VLOOKUP(Table3[[#This Row],[Date]],'PCE Core'!A:D,4,)</f>
        <v>2.0365975749935004E-2</v>
      </c>
    </row>
    <row r="719" spans="1:7" x14ac:dyDescent="0.35">
      <c r="A719" s="63">
        <v>43282</v>
      </c>
      <c r="B719" s="28">
        <f>VLOOKUP(Table3[[#This Row],[Date]],'PCE Core'!$A:$E,2,)</f>
        <v>110.21899999999999</v>
      </c>
      <c r="C719" s="28">
        <f>VLOOKUP(Table3[[#This Row],[Date]],Database!$A:$E,5)</f>
        <v>257.84800000000001</v>
      </c>
      <c r="D719" s="26">
        <f>(((Table3[[#This Row],[Core PCE]]-$B$496)/$B$496)*100)+100</f>
        <v>138.12597122662788</v>
      </c>
      <c r="E719" s="26">
        <f>(((Table3[[#This Row],[Core CPI]]-$C$496)/$C$496)*100)+100</f>
        <v>144.29099048684949</v>
      </c>
      <c r="F719" s="27">
        <f>(Table3[[#This Row],[Core CPI]]-C707)/C707</f>
        <v>2.3267257971704661E-2</v>
      </c>
      <c r="G719" s="27">
        <f>VLOOKUP(Table3[[#This Row],[Date]],'PCE Core'!A:D,4,)</f>
        <v>2.1104121696111686E-2</v>
      </c>
    </row>
    <row r="720" spans="1:7" x14ac:dyDescent="0.35">
      <c r="A720" s="60">
        <v>43313</v>
      </c>
      <c r="B720" s="28">
        <f>VLOOKUP(Table3[[#This Row],[Date]],'PCE Core'!$A:$E,2,)</f>
        <v>110.246</v>
      </c>
      <c r="C720" s="26">
        <f>VLOOKUP(Table3[[#This Row],[Date]],Database!$A:$E,5)</f>
        <v>258.02800000000002</v>
      </c>
      <c r="D720" s="26">
        <f>(((Table3[[#This Row],[Core PCE]]-$B$496)/$B$496)*100)+100</f>
        <v>138.15980750914832</v>
      </c>
      <c r="E720" s="26">
        <f>(((Table3[[#This Row],[Core CPI]]-$C$496)/$C$496)*100)+100</f>
        <v>144.39171796306661</v>
      </c>
      <c r="F720" s="27">
        <f>(Table3[[#This Row],[Core CPI]]-C708)/C708</f>
        <v>2.175144039440087E-2</v>
      </c>
      <c r="G720" s="27">
        <f>VLOOKUP(Table3[[#This Row],[Date]],'PCE Core'!A:D,4,)</f>
        <v>2.0097340710994293E-2</v>
      </c>
    </row>
    <row r="721" spans="1:14" x14ac:dyDescent="0.35">
      <c r="A721" s="63">
        <v>43344</v>
      </c>
      <c r="B721" s="28">
        <f>VLOOKUP(Table3[[#This Row],[Date]],'PCE Core'!$A:$E,2,)</f>
        <v>110.476</v>
      </c>
      <c r="C721" s="28">
        <f>VLOOKUP(Table3[[#This Row],[Date]],Database!$A:$E,5)</f>
        <v>258.505</v>
      </c>
      <c r="D721" s="26">
        <f>(((Table3[[#This Row],[Core PCE]]-$B$496)/$B$496)*100)+100</f>
        <v>138.44804250839638</v>
      </c>
      <c r="E721" s="26">
        <f>(((Table3[[#This Row],[Core CPI]]-$C$496)/$C$496)*100)+100</f>
        <v>144.65864577504198</v>
      </c>
      <c r="F721" s="27">
        <f>(Table3[[#This Row],[Core CPI]]-C709)/C709</f>
        <v>2.2518709554926124E-2</v>
      </c>
      <c r="G721" s="27">
        <f>VLOOKUP(Table3[[#This Row],[Date]],'PCE Core'!A:D,4,)</f>
        <v>2.0893591461442457E-2</v>
      </c>
    </row>
    <row r="722" spans="1:14" x14ac:dyDescent="0.35">
      <c r="A722" s="60">
        <v>43374</v>
      </c>
      <c r="B722" s="28">
        <f>VLOOKUP(Table3[[#This Row],[Date]],'PCE Core'!$A:$E,2,)</f>
        <v>110.626</v>
      </c>
      <c r="C722" s="28">
        <f>VLOOKUP(Table3[[#This Row],[Date]],Database!$A:$E,5)</f>
        <v>258.99700000000001</v>
      </c>
      <c r="D722" s="26">
        <f>(((Table3[[#This Row],[Core PCE]]-$B$496)/$B$496)*100)+100</f>
        <v>138.63602185573211</v>
      </c>
      <c r="E722" s="26">
        <f>(((Table3[[#This Row],[Core CPI]]-$C$496)/$C$496)*100)+100</f>
        <v>144.93396754336879</v>
      </c>
      <c r="F722" s="27">
        <f>(Table3[[#This Row],[Core CPI]]-C710)/C710</f>
        <v>2.1579640746905656E-2</v>
      </c>
      <c r="G722" s="27">
        <f>VLOOKUP(Table3[[#This Row],[Date]],'PCE Core'!A:D,4,)</f>
        <v>1.9603867316749551E-2</v>
      </c>
    </row>
    <row r="723" spans="1:14" x14ac:dyDescent="0.35">
      <c r="A723" s="63">
        <v>43405</v>
      </c>
      <c r="B723" s="28">
        <f>VLOOKUP(Table3[[#This Row],[Date]],'PCE Core'!$A:$E,2,)</f>
        <v>110.831</v>
      </c>
      <c r="C723" s="26">
        <f>VLOOKUP(Table3[[#This Row],[Date]],Database!$A:$E,5)</f>
        <v>259.45499999999998</v>
      </c>
      <c r="D723" s="26">
        <f>(((Table3[[#This Row],[Core PCE]]-$B$496)/$B$496)*100)+100</f>
        <v>138.89292696375759</v>
      </c>
      <c r="E723" s="26">
        <f>(((Table3[[#This Row],[Core CPI]]-$C$496)/$C$496)*100)+100</f>
        <v>145.19026301063235</v>
      </c>
      <c r="F723" s="27">
        <f>(Table3[[#This Row],[Core CPI]]-C711)/C711</f>
        <v>2.2216881520471451E-2</v>
      </c>
      <c r="G723" s="27">
        <f>VLOOKUP(Table3[[#This Row],[Date]],'PCE Core'!A:D,4,)</f>
        <v>2.071245694498176E-2</v>
      </c>
    </row>
    <row r="724" spans="1:14" x14ac:dyDescent="0.35">
      <c r="A724" s="60">
        <v>43435</v>
      </c>
      <c r="B724" s="28">
        <f>VLOOKUP(Table3[[#This Row],[Date]],'PCE Core'!$A:$E,2,)</f>
        <v>111.009</v>
      </c>
      <c r="C724" s="28">
        <f>VLOOKUP(Table3[[#This Row],[Date]],Database!$A:$E,5)</f>
        <v>259.93400000000003</v>
      </c>
      <c r="D724" s="26">
        <f>(((Table3[[#This Row],[Core PCE]]-$B$496)/$B$496)*100)+100</f>
        <v>139.1159957892626</v>
      </c>
      <c r="E724" s="26">
        <f>(((Table3[[#This Row],[Core CPI]]-$C$496)/$C$496)*100)+100</f>
        <v>145.45831001678795</v>
      </c>
      <c r="F724" s="27">
        <f>(Table3[[#This Row],[Core CPI]]-C712)/C712</f>
        <v>2.1978108388639134E-2</v>
      </c>
      <c r="G724" s="27">
        <f>VLOOKUP(Table3[[#This Row],[Date]],'PCE Core'!A:D,4,)</f>
        <v>2.0847510621470965E-2</v>
      </c>
    </row>
    <row r="725" spans="1:14" x14ac:dyDescent="0.35">
      <c r="A725" s="63">
        <v>43466</v>
      </c>
      <c r="B725" s="28">
        <f>VLOOKUP(Table3[[#This Row],[Date]],'PCE Core'!$A:$E,2,)</f>
        <v>111.134</v>
      </c>
      <c r="C725" s="28">
        <f>VLOOKUP(Table3[[#This Row],[Date]],Database!$A:$E,5)</f>
        <v>260.53399999999999</v>
      </c>
      <c r="D725" s="26">
        <f>(((Table3[[#This Row],[Core PCE]]-$B$496)/$B$496)*100)+100</f>
        <v>139.27264524537571</v>
      </c>
      <c r="E725" s="26">
        <f>(((Table3[[#This Row],[Core CPI]]-$C$496)/$C$496)*100)+100</f>
        <v>145.794068270845</v>
      </c>
      <c r="F725" s="27">
        <f>(Table3[[#This Row],[Core CPI]]-C713)/C713</f>
        <v>2.1413561661021159E-2</v>
      </c>
      <c r="G725" s="27">
        <f>VLOOKUP(Table3[[#This Row],[Date]],'PCE Core'!A:D,4,)</f>
        <v>1.883021635496885E-2</v>
      </c>
    </row>
    <row r="726" spans="1:14" x14ac:dyDescent="0.35">
      <c r="A726" s="60">
        <v>43497</v>
      </c>
      <c r="B726" s="28">
        <f>VLOOKUP(Table3[[#This Row],[Date]],'PCE Core'!$A:$E,2,)</f>
        <v>111.20699999999999</v>
      </c>
      <c r="C726" s="26">
        <f>VLOOKUP(Table3[[#This Row],[Date]],Database!$A:$E,5)</f>
        <v>260.88499999999999</v>
      </c>
      <c r="D726" s="26">
        <f>(((Table3[[#This Row],[Core PCE]]-$B$496)/$B$496)*100)+100</f>
        <v>139.36412852774572</v>
      </c>
      <c r="E726" s="26">
        <f>(((Table3[[#This Row],[Core CPI]]-$C$496)/$C$496)*100)+100</f>
        <v>145.9904868494684</v>
      </c>
      <c r="F726" s="27">
        <f>(Table3[[#This Row],[Core CPI]]-C714)/C714</f>
        <v>2.0804639078444792E-2</v>
      </c>
      <c r="G726" s="27">
        <f>VLOOKUP(Table3[[#This Row],[Date]],'PCE Core'!A:D,4,)</f>
        <v>1.7345006449488033E-2</v>
      </c>
      <c r="M726" s="17"/>
      <c r="N726" s="17"/>
    </row>
    <row r="727" spans="1:14" x14ac:dyDescent="0.35">
      <c r="A727" s="63">
        <v>43525</v>
      </c>
      <c r="B727" s="28">
        <f>VLOOKUP(Table3[[#This Row],[Date]],'PCE Core'!$A:$E,2,)</f>
        <v>111.35</v>
      </c>
      <c r="C727" s="28">
        <f>VLOOKUP(Table3[[#This Row],[Date]],Database!$A:$E,5)</f>
        <v>261.38200000000001</v>
      </c>
      <c r="D727" s="26">
        <f>(((Table3[[#This Row],[Core PCE]]-$B$496)/$B$496)*100)+100</f>
        <v>139.54333550553912</v>
      </c>
      <c r="E727" s="26">
        <f>(((Table3[[#This Row],[Core CPI]]-$C$496)/$C$496)*100)+100</f>
        <v>146.26860660324567</v>
      </c>
      <c r="F727" s="27">
        <f>(Table3[[#This Row],[Core CPI]]-C715)/C715</f>
        <v>2.0513180909545303E-2</v>
      </c>
      <c r="G727" s="27">
        <f>VLOOKUP(Table3[[#This Row],[Date]],'PCE Core'!A:D,4,)</f>
        <v>1.6319526843248541E-2</v>
      </c>
    </row>
    <row r="728" spans="1:14" x14ac:dyDescent="0.35">
      <c r="A728" s="60">
        <v>43556</v>
      </c>
      <c r="B728" s="28">
        <f>VLOOKUP(Table3[[#This Row],[Date]],'PCE Core'!$A:$E,2,)</f>
        <v>111.65</v>
      </c>
      <c r="C728" s="28">
        <f>VLOOKUP(Table3[[#This Row],[Date]],Database!$A:$E,5)</f>
        <v>261.95800000000003</v>
      </c>
      <c r="D728" s="26">
        <f>(((Table3[[#This Row],[Core PCE]]-$B$496)/$B$496)*100)+100</f>
        <v>139.91929420021052</v>
      </c>
      <c r="E728" s="26">
        <f>(((Table3[[#This Row],[Core CPI]]-$C$496)/$C$496)*100)+100</f>
        <v>146.59093452714049</v>
      </c>
      <c r="F728" s="27">
        <f>(Table3[[#This Row],[Core CPI]]-C716)/C716</f>
        <v>2.0868812913333118E-2</v>
      </c>
      <c r="G728" s="27">
        <f>VLOOKUP(Table3[[#This Row],[Date]],'PCE Core'!A:D,4,)</f>
        <v>1.7312072892938547E-2</v>
      </c>
    </row>
    <row r="729" spans="1:14" x14ac:dyDescent="0.35">
      <c r="A729" s="63">
        <v>43586</v>
      </c>
      <c r="B729" s="28">
        <f>VLOOKUP(Table3[[#This Row],[Date]],'PCE Core'!$A:$E,2,)</f>
        <v>111.773</v>
      </c>
      <c r="C729" s="26">
        <f>VLOOKUP(Table3[[#This Row],[Date]],Database!$A:$E,5)</f>
        <v>262.32100000000003</v>
      </c>
      <c r="D729" s="26">
        <f>(((Table3[[#This Row],[Core PCE]]-$B$496)/$B$496)*100)+100</f>
        <v>140.0734372650258</v>
      </c>
      <c r="E729" s="26">
        <f>(((Table3[[#This Row],[Core CPI]]-$C$496)/$C$496)*100)+100</f>
        <v>146.794068270845</v>
      </c>
      <c r="F729" s="27">
        <f>(Table3[[#This Row],[Core CPI]]-C717)/C717</f>
        <v>2.0104918899790457E-2</v>
      </c>
      <c r="G729" s="27">
        <f>VLOOKUP(Table3[[#This Row],[Date]],'PCE Core'!A:D,4,)</f>
        <v>1.6524791734875706E-2</v>
      </c>
    </row>
    <row r="730" spans="1:14" x14ac:dyDescent="0.35">
      <c r="A730" s="60">
        <v>43617</v>
      </c>
      <c r="B730" s="28">
        <f>VLOOKUP(Table3[[#This Row],[Date]],'PCE Core'!$A:$E,2,)</f>
        <v>112</v>
      </c>
      <c r="C730" s="28">
        <f>VLOOKUP(Table3[[#This Row],[Date]],Database!$A:$E,5)</f>
        <v>262.94499999999999</v>
      </c>
      <c r="D730" s="26">
        <f>(((Table3[[#This Row],[Core PCE]]-$B$496)/$B$496)*100)+100</f>
        <v>140.35791267732716</v>
      </c>
      <c r="E730" s="26">
        <f>(((Table3[[#This Row],[Core CPI]]-$C$496)/$C$496)*100)+100</f>
        <v>147.14325685506435</v>
      </c>
      <c r="F730" s="27">
        <f>(Table3[[#This Row],[Core CPI]]-C718)/C718</f>
        <v>2.13479174516117E-2</v>
      </c>
      <c r="G730" s="27">
        <f>VLOOKUP(Table3[[#This Row],[Date]],'PCE Core'!A:D,4,)</f>
        <v>1.7506563825824741E-2</v>
      </c>
    </row>
    <row r="731" spans="1:14" s="64" customFormat="1" x14ac:dyDescent="0.35">
      <c r="A731" s="63">
        <v>43647</v>
      </c>
      <c r="B731" s="28">
        <f>VLOOKUP(Table3[[#This Row],[Date]],'PCE Core'!$A:$E,2,)</f>
        <v>112.157</v>
      </c>
      <c r="C731" s="28">
        <f>VLOOKUP(Table3[[#This Row],[Date]],Database!$A:$E,5)</f>
        <v>263.49099999999999</v>
      </c>
      <c r="D731" s="26">
        <f>(((Table3[[#This Row],[Core PCE]]-$B$496)/$B$496)*100)+100</f>
        <v>140.55466439420522</v>
      </c>
      <c r="E731" s="26">
        <f>(((Table3[[#This Row],[Core CPI]]-$C$496)/$C$496)*100)+100</f>
        <v>147.44879686625632</v>
      </c>
      <c r="F731" s="27">
        <f>(Table3[[#This Row],[Core CPI]]-C719)/C719</f>
        <v>2.1884986503676478E-2</v>
      </c>
      <c r="G731" s="27">
        <f>VLOOKUP(Table3[[#This Row],[Date]],'PCE Core'!A:D,4,)</f>
        <v>1.7583175314600952E-2</v>
      </c>
    </row>
    <row r="732" spans="1:14" s="64" customFormat="1" x14ac:dyDescent="0.35">
      <c r="A732" s="60">
        <v>43678</v>
      </c>
      <c r="B732" s="28">
        <f>VLOOKUP(Table3[[#This Row],[Date]],'PCE Core'!$A:$E,2,)</f>
        <v>112.27</v>
      </c>
      <c r="C732" s="26">
        <f>VLOOKUP(Table3[[#This Row],[Date]],Database!$A:$E,5)</f>
        <v>264.13499999999999</v>
      </c>
      <c r="D732" s="26">
        <f>(((Table3[[#This Row],[Core PCE]]-$B$496)/$B$496)*100)+100</f>
        <v>140.69627550253142</v>
      </c>
      <c r="E732" s="26">
        <f>(((Table3[[#This Row],[Core CPI]]-$C$496)/$C$496)*100)+100</f>
        <v>147.80917739227755</v>
      </c>
      <c r="F732" s="27">
        <f>(Table3[[#This Row],[Core CPI]]-C720)/C720</f>
        <v>2.3667974018323479E-2</v>
      </c>
      <c r="G732" s="27">
        <f>VLOOKUP(Table3[[#This Row],[Date]],'PCE Core'!A:D,4,)</f>
        <v>1.8358942728080845E-2</v>
      </c>
    </row>
    <row r="733" spans="1:14" s="64" customFormat="1" x14ac:dyDescent="0.35">
      <c r="A733" s="63">
        <v>43709</v>
      </c>
      <c r="B733" s="28">
        <f>VLOOKUP(Table3[[#This Row],[Date]],'PCE Core'!$A:$E,2,)</f>
        <v>112.339</v>
      </c>
      <c r="C733" s="28">
        <f>VLOOKUP(Table3[[#This Row],[Date]],Database!$A:$E,5)</f>
        <v>264.58800000000002</v>
      </c>
      <c r="D733" s="26">
        <f>(((Table3[[#This Row],[Core PCE]]-$B$496)/$B$496)*100)+100</f>
        <v>140.78274600230586</v>
      </c>
      <c r="E733" s="26">
        <f>(((Table3[[#This Row],[Core CPI]]-$C$496)/$C$496)*100)+100</f>
        <v>148.06267487409067</v>
      </c>
      <c r="F733" s="27">
        <f>(Table3[[#This Row],[Core CPI]]-C721)/C721</f>
        <v>2.3531459739656976E-2</v>
      </c>
      <c r="G733" s="27">
        <f>VLOOKUP(Table3[[#This Row],[Date]],'PCE Core'!A:D,4,)</f>
        <v>1.6863391143777832E-2</v>
      </c>
    </row>
    <row r="734" spans="1:14" s="64" customFormat="1" x14ac:dyDescent="0.35">
      <c r="A734" s="60">
        <v>43739</v>
      </c>
      <c r="B734" s="28">
        <f>VLOOKUP(Table3[[#This Row],[Date]],'PCE Core'!$A:$E,2,)</f>
        <v>112.496</v>
      </c>
      <c r="C734" s="28">
        <f>VLOOKUP(Table3[[#This Row],[Date]],Database!$A:$E,5)</f>
        <v>265.01900000000001</v>
      </c>
      <c r="D734" s="26">
        <f>(((Table3[[#This Row],[Core PCE]]-$B$496)/$B$496)*100)+100</f>
        <v>140.97949771918388</v>
      </c>
      <c r="E734" s="26">
        <f>(((Table3[[#This Row],[Core CPI]]-$C$496)/$C$496)*100)+100</f>
        <v>148.30386121992166</v>
      </c>
      <c r="F734" s="27">
        <f>(Table3[[#This Row],[Core CPI]]-C722)/C722</f>
        <v>2.3251234570284562E-2</v>
      </c>
      <c r="G734" s="27">
        <f>VLOOKUP(Table3[[#This Row],[Date]],'PCE Core'!A:D,4,)</f>
        <v>1.6903801999529861E-2</v>
      </c>
    </row>
    <row r="735" spans="1:14" s="64" customFormat="1" x14ac:dyDescent="0.35">
      <c r="A735" s="63">
        <v>43770</v>
      </c>
      <c r="B735" s="28">
        <f>VLOOKUP(Table3[[#This Row],[Date]],'PCE Core'!$A:$E,2,)</f>
        <v>112.524</v>
      </c>
      <c r="C735" s="26">
        <f>VLOOKUP(Table3[[#This Row],[Date]],Database!$A:$E,5)</f>
        <v>265.46100000000001</v>
      </c>
      <c r="D735" s="26">
        <f>(((Table3[[#This Row],[Core PCE]]-$B$496)/$B$496)*100)+100</f>
        <v>141.01458719735325</v>
      </c>
      <c r="E735" s="26">
        <f>(((Table3[[#This Row],[Core CPI]]-$C$496)/$C$496)*100)+100</f>
        <v>148.55120313374371</v>
      </c>
      <c r="F735" s="27">
        <f>(Table3[[#This Row],[Core CPI]]-C723)/C723</f>
        <v>2.3148522865236859E-2</v>
      </c>
      <c r="G735" s="27">
        <f>VLOOKUP(Table3[[#This Row],[Date]],'PCE Core'!A:D,4,)</f>
        <v>1.5275509559599731E-2</v>
      </c>
    </row>
    <row r="736" spans="1:14" s="64" customFormat="1" x14ac:dyDescent="0.35">
      <c r="A736" s="60">
        <v>43800</v>
      </c>
      <c r="B736" s="28">
        <f>VLOOKUP(Table3[[#This Row],[Date]],'PCE Core'!$A:$E,2,)</f>
        <v>112.77200000000001</v>
      </c>
      <c r="C736" s="28">
        <f>VLOOKUP(Table3[[#This Row],[Date]],Database!$A:$E,5)</f>
        <v>265.74200000000002</v>
      </c>
      <c r="D736" s="26">
        <f>(((Table3[[#This Row],[Core PCE]]-$B$496)/$B$496)*100)+100</f>
        <v>141.32537971828162</v>
      </c>
      <c r="E736" s="26">
        <f>(((Table3[[#This Row],[Core CPI]]-$C$496)/$C$496)*100)+100</f>
        <v>148.70844991606046</v>
      </c>
      <c r="F736" s="27">
        <f>(Table3[[#This Row],[Core CPI]]-C724)/C724</f>
        <v>2.2344133510814254E-2</v>
      </c>
      <c r="G736" s="27">
        <f>VLOOKUP(Table3[[#This Row],[Date]],'PCE Core'!A:D,4,)</f>
        <v>1.5881595185975959E-2</v>
      </c>
    </row>
    <row r="737" spans="1:7" s="64" customFormat="1" x14ac:dyDescent="0.35">
      <c r="A737" s="63">
        <v>43831</v>
      </c>
      <c r="B737" s="28">
        <f>VLOOKUP(Table3[[#This Row],[Date]],'PCE Core'!$A:$E,2,)</f>
        <v>113.008</v>
      </c>
      <c r="C737" s="28">
        <f>VLOOKUP(Table3[[#This Row],[Date]],Database!$A:$E,5)</f>
        <v>266.41800000000001</v>
      </c>
      <c r="D737" s="26">
        <f>(((Table3[[#This Row],[Core PCE]]-$B$496)/$B$496)*100)+100</f>
        <v>141.62113389142311</v>
      </c>
      <c r="E737" s="26">
        <f>(((Table3[[#This Row],[Core CPI]]-$C$496)/$C$496)*100)+100</f>
        <v>149.08673754896478</v>
      </c>
      <c r="F737" s="27">
        <f>(Table3[[#This Row],[Core CPI]]-C725)/C725</f>
        <v>2.2584384379773906E-2</v>
      </c>
      <c r="G737" s="27">
        <f>VLOOKUP(Table3[[#This Row],[Date]],'PCE Core'!A:D,4,)</f>
        <v>1.6862526319578124E-2</v>
      </c>
    </row>
    <row r="738" spans="1:7" s="64" customFormat="1" x14ac:dyDescent="0.35">
      <c r="A738" s="60">
        <v>43862</v>
      </c>
      <c r="B738" s="28">
        <f>VLOOKUP(Table3[[#This Row],[Date]],'PCE Core'!$A:$E,2,)</f>
        <v>113.206</v>
      </c>
      <c r="C738" s="26">
        <f>VLOOKUP(Table3[[#This Row],[Date]],Database!$A:$E,5)</f>
        <v>267.08300000000003</v>
      </c>
      <c r="D738" s="26">
        <f>(((Table3[[#This Row],[Core PCE]]-$B$496)/$B$496)*100)+100</f>
        <v>141.86926662990626</v>
      </c>
      <c r="E738" s="26">
        <f>(((Table3[[#This Row],[Core CPI]]-$C$496)/$C$496)*100)+100</f>
        <v>149.45886961387802</v>
      </c>
      <c r="F738" s="27">
        <f>(Table3[[#This Row],[Core CPI]]-C726)/C726</f>
        <v>2.3757594342334883E-2</v>
      </c>
      <c r="G738" s="27">
        <f>VLOOKUP(Table3[[#This Row],[Date]],'PCE Core'!A:D,4,)</f>
        <v>1.7975487154585679E-2</v>
      </c>
    </row>
    <row r="739" spans="1:7" s="64" customFormat="1" x14ac:dyDescent="0.35">
      <c r="A739" s="63">
        <v>43891</v>
      </c>
      <c r="B739" s="28">
        <f>VLOOKUP(Table3[[#This Row],[Date]],'PCE Core'!$A:$E,2,)</f>
        <v>113.143</v>
      </c>
      <c r="C739" s="28">
        <f>VLOOKUP(Table3[[#This Row],[Date]],Database!$A:$E,5)</f>
        <v>266.916</v>
      </c>
      <c r="D739" s="26">
        <f>(((Table3[[#This Row],[Core PCE]]-$B$496)/$B$496)*100)+100</f>
        <v>141.79031530402526</v>
      </c>
      <c r="E739" s="26">
        <f>(((Table3[[#This Row],[Core CPI]]-$C$496)/$C$496)*100)+100</f>
        <v>149.36541689983213</v>
      </c>
      <c r="F739" s="27">
        <f>(Table3[[#This Row],[Core CPI]]-C727)/C727</f>
        <v>2.1172077648805167E-2</v>
      </c>
      <c r="G739" s="27">
        <f>VLOOKUP(Table3[[#This Row],[Date]],'PCE Core'!A:D,4,)</f>
        <v>1.610237988325107E-2</v>
      </c>
    </row>
    <row r="740" spans="1:7" s="64" customFormat="1" x14ac:dyDescent="0.35">
      <c r="A740" s="60">
        <v>43922</v>
      </c>
      <c r="B740" s="28">
        <f>VLOOKUP(Table3[[#This Row],[Date]],'PCE Core'!$A:$E,2,)</f>
        <v>112.66800000000001</v>
      </c>
      <c r="C740" s="28">
        <f>VLOOKUP(Table3[[#This Row],[Date]],Database!$A:$E,5)</f>
        <v>265.77100000000002</v>
      </c>
      <c r="D740" s="26">
        <f>(((Table3[[#This Row],[Core PCE]]-$B$496)/$B$496)*100)+100</f>
        <v>141.19504737079552</v>
      </c>
      <c r="E740" s="26">
        <f>(((Table3[[#This Row],[Core CPI]]-$C$496)/$C$496)*100)+100</f>
        <v>148.72467823167321</v>
      </c>
      <c r="F740" s="27">
        <f>(Table3[[#This Row],[Core CPI]]-C728)/C728</f>
        <v>1.4555768481970346E-2</v>
      </c>
      <c r="G740" s="27">
        <f>VLOOKUP(Table3[[#This Row],[Date]],'PCE Core'!A:D,4,)</f>
        <v>9.1177787729511926E-3</v>
      </c>
    </row>
    <row r="741" spans="1:7" s="64" customFormat="1" x14ac:dyDescent="0.35">
      <c r="A741" s="63">
        <v>43952</v>
      </c>
      <c r="B741" s="28">
        <f>VLOOKUP(Table3[[#This Row],[Date]],'PCE Core'!$A:$E,2,)</f>
        <v>112.819</v>
      </c>
      <c r="C741" s="26">
        <f>VLOOKUP(Table3[[#This Row],[Date]],Database!$A:$E,5)</f>
        <v>265.60599999999999</v>
      </c>
      <c r="D741" s="26">
        <f>(((Table3[[#This Row],[Core PCE]]-$B$496)/$B$496)*100)+100</f>
        <v>141.38427991378012</v>
      </c>
      <c r="E741" s="26">
        <f>(((Table3[[#This Row],[Core CPI]]-$C$496)/$C$496)*100)+100</f>
        <v>148.63234471180749</v>
      </c>
      <c r="F741" s="27">
        <f>(Table3[[#This Row],[Core CPI]]-C729)/C729</f>
        <v>1.2522825088345835E-2</v>
      </c>
      <c r="G741" s="27">
        <f>VLOOKUP(Table3[[#This Row],[Date]],'PCE Core'!A:D,4,)</f>
        <v>9.3582528875489294E-3</v>
      </c>
    </row>
    <row r="742" spans="1:7" s="64" customFormat="1" x14ac:dyDescent="0.35">
      <c r="A742" s="60">
        <v>43983</v>
      </c>
      <c r="B742" s="28">
        <f>VLOOKUP(Table3[[#This Row],[Date]],'PCE Core'!$A:$E,2,)</f>
        <v>113.051</v>
      </c>
      <c r="C742" s="28">
        <f>VLOOKUP(Table3[[#This Row],[Date]],Database!$A:$E,5)</f>
        <v>266.08800000000002</v>
      </c>
      <c r="D742" s="26">
        <f>(((Table3[[#This Row],[Core PCE]]-$B$496)/$B$496)*100)+100</f>
        <v>141.67502130432604</v>
      </c>
      <c r="E742" s="26">
        <f>(((Table3[[#This Row],[Core CPI]]-$C$496)/$C$496)*100)+100</f>
        <v>148.90207050923337</v>
      </c>
      <c r="F742" s="27">
        <f>(Table3[[#This Row],[Core CPI]]-C730)/C730</f>
        <v>1.195307003365734E-2</v>
      </c>
      <c r="G742" s="27">
        <f>VLOOKUP(Table3[[#This Row],[Date]],'PCE Core'!A:D,4,)</f>
        <v>9.3839285714285882E-3</v>
      </c>
    </row>
    <row r="743" spans="1:7" s="64" customFormat="1" x14ac:dyDescent="0.35">
      <c r="A743" s="63">
        <v>44013</v>
      </c>
      <c r="B743" s="28">
        <f>VLOOKUP(Table3[[#This Row],[Date]],'PCE Core'!$A:$E,2,)</f>
        <v>113.425</v>
      </c>
      <c r="C743" s="28">
        <f>VLOOKUP(Table3[[#This Row],[Date]],Database!$A:$E,5)</f>
        <v>267.55200000000002</v>
      </c>
      <c r="D743" s="26">
        <f>(((Table3[[#This Row],[Core PCE]]-$B$496)/$B$496)*100)+100</f>
        <v>142.14371647701637</v>
      </c>
      <c r="E743" s="26">
        <f>(((Table3[[#This Row],[Core CPI]]-$C$496)/$C$496)*100)+100</f>
        <v>149.72132064913265</v>
      </c>
      <c r="F743" s="27">
        <f>(Table3[[#This Row],[Core CPI]]-C731)/C731</f>
        <v>1.5412291121898037E-2</v>
      </c>
      <c r="G743" s="27">
        <f>VLOOKUP(Table3[[#This Row],[Date]],'PCE Core'!A:D,4,)</f>
        <v>1.1305580570093714E-2</v>
      </c>
    </row>
    <row r="744" spans="1:7" s="64" customFormat="1" x14ac:dyDescent="0.35">
      <c r="A744" s="60">
        <v>44044</v>
      </c>
      <c r="B744" s="28">
        <f>VLOOKUP(Table3[[#This Row],[Date]],'PCE Core'!$A:$E,2,)</f>
        <v>113.782</v>
      </c>
      <c r="C744" s="26">
        <f>VLOOKUP(Table3[[#This Row],[Date]],Database!$A:$E,5)</f>
        <v>268.66199999999998</v>
      </c>
      <c r="D744" s="26">
        <f>(((Table3[[#This Row],[Core PCE]]-$B$496)/$B$496)*100)+100</f>
        <v>142.59110732367535</v>
      </c>
      <c r="E744" s="26">
        <f>(((Table3[[#This Row],[Core CPI]]-$C$496)/$C$496)*100)+100</f>
        <v>150.34247341913823</v>
      </c>
      <c r="F744" s="27">
        <f>(Table3[[#This Row],[Core CPI]]-C732)/C732</f>
        <v>1.7138963030268562E-2</v>
      </c>
      <c r="G744" s="27">
        <f>VLOOKUP(Table3[[#This Row],[Date]],'PCE Core'!A:D,4,)</f>
        <v>1.346753362429857E-2</v>
      </c>
    </row>
    <row r="745" spans="1:7" s="64" customFormat="1" x14ac:dyDescent="0.35">
      <c r="A745" s="63">
        <v>44075</v>
      </c>
      <c r="B745" s="28">
        <f>VLOOKUP(Table3[[#This Row],[Date]],'PCE Core'!$A:$E,2,)</f>
        <v>113.979</v>
      </c>
      <c r="C745" s="28">
        <f>VLOOKUP(Table3[[#This Row],[Date]],Database!$A:$E,5)</f>
        <v>269.15199999999999</v>
      </c>
      <c r="D745" s="26">
        <f>(((Table3[[#This Row],[Core PCE]]-$B$496)/$B$496)*100)+100</f>
        <v>142.8379868665096</v>
      </c>
      <c r="E745" s="26">
        <f>(((Table3[[#This Row],[Core CPI]]-$C$496)/$C$496)*100)+100</f>
        <v>150.61667599328484</v>
      </c>
      <c r="F745" s="27">
        <f>(Table3[[#This Row],[Core CPI]]-C733)/C733</f>
        <v>1.7249459537091495E-2</v>
      </c>
      <c r="G745" s="27">
        <f>VLOOKUP(Table3[[#This Row],[Date]],'PCE Core'!A:D,4,)</f>
        <v>1.4598670096760703E-2</v>
      </c>
    </row>
    <row r="746" spans="1:7" s="64" customFormat="1" x14ac:dyDescent="0.35">
      <c r="A746" s="60">
        <v>44105</v>
      </c>
      <c r="B746" s="28">
        <f>VLOOKUP(Table3[[#This Row],[Date]],'PCE Core'!$A:$E,2,)</f>
        <v>114.017</v>
      </c>
      <c r="C746" s="28">
        <f>VLOOKUP(Table3[[#This Row],[Date]],Database!$A:$E,5)</f>
        <v>269.33199999999999</v>
      </c>
      <c r="D746" s="26">
        <f>(((Table3[[#This Row],[Core PCE]]-$B$496)/$B$496)*100)+100</f>
        <v>142.88560830116796</v>
      </c>
      <c r="E746" s="26">
        <f>(((Table3[[#This Row],[Core CPI]]-$C$496)/$C$496)*100)+100</f>
        <v>150.71740346950196</v>
      </c>
      <c r="F746" s="27">
        <f>(Table3[[#This Row],[Core CPI]]-C734)/C734</f>
        <v>1.6274304861160854E-2</v>
      </c>
      <c r="G746" s="27">
        <f>VLOOKUP(Table3[[#This Row],[Date]],'PCE Core'!A:D,4,)</f>
        <v>1.3520480728203678E-2</v>
      </c>
    </row>
    <row r="747" spans="1:7" s="64" customFormat="1" x14ac:dyDescent="0.35">
      <c r="A747" s="63">
        <v>44136</v>
      </c>
      <c r="B747" s="28">
        <f>VLOOKUP(Table3[[#This Row],[Date]],'PCE Core'!$A:$E,2,)</f>
        <v>114.048</v>
      </c>
      <c r="C747" s="26">
        <f>VLOOKUP(Table3[[#This Row],[Date]],Database!$A:$E,5)</f>
        <v>269.81599999999997</v>
      </c>
      <c r="D747" s="26">
        <f>(((Table3[[#This Row],[Core PCE]]-$B$496)/$B$496)*100)+100</f>
        <v>142.924457366284</v>
      </c>
      <c r="E747" s="26">
        <f>(((Table3[[#This Row],[Core CPI]]-$C$496)/$C$496)*100)+100</f>
        <v>150.98824846110801</v>
      </c>
      <c r="F747" s="27">
        <f>(Table3[[#This Row],[Core CPI]]-C735)/C735</f>
        <v>1.6405423018823712E-2</v>
      </c>
      <c r="G747" s="27">
        <f>VLOOKUP(Table3[[#This Row],[Date]],'PCE Core'!A:D,4,)</f>
        <v>1.3543777327503474E-2</v>
      </c>
    </row>
    <row r="748" spans="1:7" s="64" customFormat="1" x14ac:dyDescent="0.35">
      <c r="A748" s="60">
        <v>44166</v>
      </c>
      <c r="B748" s="28">
        <f>VLOOKUP(Table3[[#This Row],[Date]],'PCE Core'!$A:$E,2,)</f>
        <v>114.422</v>
      </c>
      <c r="C748" s="28">
        <f>VLOOKUP(Table3[[#This Row],[Date]],Database!$A:$E,5)</f>
        <v>269.98399999999998</v>
      </c>
      <c r="D748" s="26">
        <f>(((Table3[[#This Row],[Core PCE]]-$B$496)/$B$496)*100)+100</f>
        <v>143.39315253897436</v>
      </c>
      <c r="E748" s="26">
        <f>(((Table3[[#This Row],[Core CPI]]-$C$496)/$C$496)*100)+100</f>
        <v>151.08226077224398</v>
      </c>
      <c r="F748" s="27">
        <f>(Table3[[#This Row],[Core CPI]]-C736)/C736</f>
        <v>1.5962851186489005E-2</v>
      </c>
      <c r="G748" s="27">
        <f>VLOOKUP(Table3[[#This Row],[Date]],'PCE Core'!A:D,4,)</f>
        <v>1.4631291455325714E-2</v>
      </c>
    </row>
    <row r="749" spans="1:7" s="64" customFormat="1" x14ac:dyDescent="0.35">
      <c r="A749" s="63">
        <v>44197</v>
      </c>
      <c r="B749" s="28">
        <f>VLOOKUP(Table3[[#This Row],[Date]],'PCE Core'!$A:$E,2,)</f>
        <v>114.782</v>
      </c>
      <c r="C749" s="28">
        <f>VLOOKUP(Table3[[#This Row],[Date]],Database!$A:$E,5)</f>
        <v>270.11399999999998</v>
      </c>
      <c r="D749" s="26">
        <f>(((Table3[[#This Row],[Core PCE]]-$B$496)/$B$496)*100)+100</f>
        <v>143.84430297258007</v>
      </c>
      <c r="E749" s="26">
        <f>(((Table3[[#This Row],[Core CPI]]-$C$496)/$C$496)*100)+100</f>
        <v>151.15500839395634</v>
      </c>
      <c r="F749" s="27">
        <f>(Table3[[#This Row],[Core CPI]]-C737)/C737</f>
        <v>1.3872936513298536E-2</v>
      </c>
      <c r="G749" s="27">
        <f>VLOOKUP(Table3[[#This Row],[Date]],'PCE Core'!A:D,4,)</f>
        <v>1.5698003681155325E-2</v>
      </c>
    </row>
    <row r="750" spans="1:7" s="64" customFormat="1" x14ac:dyDescent="0.35">
      <c r="A750" s="60">
        <v>44228</v>
      </c>
      <c r="B750" s="28">
        <f>VLOOKUP(Table3[[#This Row],[Date]],'PCE Core'!$A:$E,2,)</f>
        <v>114.97499999999999</v>
      </c>
      <c r="C750" s="26">
        <f>VLOOKUP(Table3[[#This Row],[Date]],Database!$A:$E,5)</f>
        <v>270.52199999999999</v>
      </c>
      <c r="D750" s="26">
        <f>(((Table3[[#This Row],[Core PCE]]-$B$496)/$B$496)*100)+100</f>
        <v>144.08616973281866</v>
      </c>
      <c r="E750" s="26">
        <f>(((Table3[[#This Row],[Core CPI]]-$C$496)/$C$496)*100)+100</f>
        <v>151.38332400671516</v>
      </c>
      <c r="F750" s="27">
        <f>(Table3[[#This Row],[Core CPI]]-C738)/C738</f>
        <v>1.2876147115316079E-2</v>
      </c>
      <c r="G750" s="27">
        <f>VLOOKUP(Table3[[#This Row],[Date]],'PCE Core'!A:D,4,)</f>
        <v>1.5626380227196361E-2</v>
      </c>
    </row>
    <row r="751" spans="1:7" s="64" customFormat="1" x14ac:dyDescent="0.35">
      <c r="A751" s="63">
        <v>44256</v>
      </c>
      <c r="B751" s="28">
        <f>VLOOKUP(Table3[[#This Row],[Date]],'PCE Core'!$A:$E,2,)</f>
        <v>115.45699999999999</v>
      </c>
      <c r="C751" s="28">
        <f>VLOOKUP(Table3[[#This Row],[Date]],Database!$A:$E,5)</f>
        <v>271.34699999999998</v>
      </c>
      <c r="D751" s="26">
        <f>(((Table3[[#This Row],[Core PCE]]-$B$496)/$B$496)*100)+100</f>
        <v>144.69021003559072</v>
      </c>
      <c r="E751" s="26">
        <f>(((Table3[[#This Row],[Core CPI]]-$C$496)/$C$496)*100)+100</f>
        <v>151.84499160604364</v>
      </c>
      <c r="F751" s="27">
        <f>(Table3[[#This Row],[Core CPI]]-C739)/C739</f>
        <v>1.6600728319021651E-2</v>
      </c>
      <c r="G751" s="27">
        <f>VLOOKUP(Table3[[#This Row],[Date]],'PCE Core'!A:D,4,)</f>
        <v>2.0451994378794913E-2</v>
      </c>
    </row>
    <row r="752" spans="1:7" s="64" customFormat="1" x14ac:dyDescent="0.35">
      <c r="A752" s="60">
        <v>44287</v>
      </c>
      <c r="B752" s="28">
        <f>VLOOKUP(Table3[[#This Row],[Date]],'PCE Core'!$A:$E,2,)</f>
        <v>116.18600000000001</v>
      </c>
      <c r="C752" s="28">
        <f>VLOOKUP(Table3[[#This Row],[Date]],Database!$A:$E,5)</f>
        <v>273.66899999999998</v>
      </c>
      <c r="D752" s="26">
        <f>(((Table3[[#This Row],[Core PCE]]-$B$496)/$B$496)*100)+100</f>
        <v>145.60378966364229</v>
      </c>
      <c r="E752" s="26">
        <f>(((Table3[[#This Row],[Core CPI]]-$C$496)/$C$496)*100)+100</f>
        <v>153.14437604924456</v>
      </c>
      <c r="F752" s="27">
        <f>(Table3[[#This Row],[Core CPI]]-C740)/C740</f>
        <v>2.971731302512301E-2</v>
      </c>
      <c r="G752" s="27">
        <f>VLOOKUP(Table3[[#This Row],[Date]],'PCE Core'!A:D,4,)</f>
        <v>3.1224482550502364E-2</v>
      </c>
    </row>
    <row r="753" spans="1:7" s="64" customFormat="1" x14ac:dyDescent="0.35">
      <c r="A753" s="63">
        <v>44317</v>
      </c>
      <c r="B753" s="28">
        <f>VLOOKUP(Table3[[#This Row],[Date]],'PCE Core'!$A:$E,2,)</f>
        <v>116.78700000000001</v>
      </c>
      <c r="C753" s="26">
        <f>VLOOKUP(Table3[[#This Row],[Date]],Database!$A:$E,5)</f>
        <v>275.71499999999997</v>
      </c>
      <c r="D753" s="26">
        <f>(((Table3[[#This Row],[Core PCE]]-$B$496)/$B$496)*100)+100</f>
        <v>146.35696024863401</v>
      </c>
      <c r="E753" s="26">
        <f>(((Table3[[#This Row],[Core CPI]]-$C$496)/$C$496)*100)+100</f>
        <v>154.28931169557919</v>
      </c>
      <c r="F753" s="27">
        <f>(Table3[[#This Row],[Core CPI]]-C741)/C741</f>
        <v>3.8060134183715656E-2</v>
      </c>
      <c r="G753" s="27">
        <f>VLOOKUP(Table3[[#This Row],[Date]],'PCE Core'!A:D,4,)</f>
        <v>3.5171380707150424E-2</v>
      </c>
    </row>
    <row r="754" spans="1:7" s="64" customFormat="1" x14ac:dyDescent="0.35">
      <c r="A754" s="60">
        <v>44348</v>
      </c>
      <c r="B754" s="28">
        <f>VLOOKUP(Table3[[#This Row],[Date]],'PCE Core'!$A:$E,2,)</f>
        <v>117.349</v>
      </c>
      <c r="C754" s="28">
        <f>VLOOKUP(Table3[[#This Row],[Date]],Database!$A:$E,5)</f>
        <v>277.92200000000003</v>
      </c>
      <c r="D754" s="26">
        <f>(((Table3[[#This Row],[Core PCE]]-$B$496)/$B$496)*100)+100</f>
        <v>147.06125620331846</v>
      </c>
      <c r="E754" s="26">
        <f>(((Table3[[#This Row],[Core CPI]]-$C$496)/$C$496)*100)+100</f>
        <v>155.52434247341915</v>
      </c>
      <c r="F754" s="27">
        <f>(Table3[[#This Row],[Core CPI]]-C742)/C742</f>
        <v>4.4474008598659097E-2</v>
      </c>
      <c r="G754" s="27">
        <f>VLOOKUP(Table3[[#This Row],[Date]],'PCE Core'!A:D,4,)</f>
        <v>3.8018239555598819E-2</v>
      </c>
    </row>
    <row r="755" spans="1:7" s="64" customFormat="1" x14ac:dyDescent="0.35">
      <c r="A755" s="60">
        <v>44378</v>
      </c>
      <c r="B755" s="28">
        <f>VLOOKUP(Table3[[#This Row],[Date]],'PCE Core'!$A:$E,2,)</f>
        <v>117.81100000000001</v>
      </c>
      <c r="C755" s="26">
        <f>VLOOKUP(Table3[[#This Row],[Date]],Database!$A:$E,5)</f>
        <v>278.79399999999998</v>
      </c>
      <c r="D755" s="26">
        <f>(((Table3[[#This Row],[Core PCE]]-$B$496)/$B$496)*100)+100</f>
        <v>147.64023259311244</v>
      </c>
      <c r="E755" s="26">
        <f>(((Table3[[#This Row],[Core CPI]]-$C$496)/$C$496)*100)+100</f>
        <v>156.01231113598209</v>
      </c>
      <c r="F755" s="27">
        <f>(Table3[[#This Row],[Core CPI]]-C743)/C743</f>
        <v>4.201800023920569E-2</v>
      </c>
      <c r="G755" s="27">
        <f>VLOOKUP(Table3[[#This Row],[Date]],'PCE Core'!A:D,4,)</f>
        <v>3.8668723826317038E-2</v>
      </c>
    </row>
    <row r="756" spans="1:7" s="64" customFormat="1" x14ac:dyDescent="0.35">
      <c r="A756" s="63">
        <v>44409</v>
      </c>
      <c r="B756" s="28">
        <f>VLOOKUP(Table3[[#This Row],[Date]],'PCE Core'!$A:$E,2,)</f>
        <v>118.199</v>
      </c>
      <c r="C756" s="28">
        <f>VLOOKUP(Table3[[#This Row],[Date]],Database!$A:$E,5)</f>
        <v>279.30599999999998</v>
      </c>
      <c r="D756" s="26">
        <f>(((Table3[[#This Row],[Core PCE]]-$B$496)/$B$496)*100)+100</f>
        <v>148.12647250488743</v>
      </c>
      <c r="E756" s="26">
        <f>(((Table3[[#This Row],[Core CPI]]-$C$496)/$C$496)*100)+100</f>
        <v>156.29882484611079</v>
      </c>
      <c r="F756" s="27">
        <f>(Table3[[#This Row],[Core CPI]]-C744)/C744</f>
        <v>3.9618554168434711E-2</v>
      </c>
      <c r="G756" s="27">
        <f>VLOOKUP(Table3[[#This Row],[Date]],'PCE Core'!A:D,4,)</f>
        <v>3.8819848482185247E-2</v>
      </c>
    </row>
    <row r="757" spans="1:7" s="64" customFormat="1" x14ac:dyDescent="0.35">
      <c r="A757" s="60">
        <v>44440</v>
      </c>
      <c r="B757" s="28">
        <f>VLOOKUP(Table3[[#This Row],[Date]],'PCE Core'!$A:$E,2,)</f>
        <v>118.446</v>
      </c>
      <c r="C757" s="28">
        <f>VLOOKUP(Table3[[#This Row],[Date]],Database!$A:$E,5)</f>
        <v>280.017</v>
      </c>
      <c r="D757" s="26">
        <f>(((Table3[[#This Row],[Core PCE]]-$B$496)/$B$496)*100)+100</f>
        <v>148.4360118301669</v>
      </c>
      <c r="E757" s="26">
        <f>(((Table3[[#This Row],[Core CPI]]-$C$496)/$C$496)*100)+100</f>
        <v>156.69669837716845</v>
      </c>
      <c r="F757" s="27">
        <f>(Table3[[#This Row],[Core CPI]]-C745)/C745</f>
        <v>4.0367524670074935E-2</v>
      </c>
      <c r="G757" s="27">
        <f>VLOOKUP(Table3[[#This Row],[Date]],'PCE Core'!A:D,4,)</f>
        <v>3.9191430000263199E-2</v>
      </c>
    </row>
    <row r="758" spans="1:7" s="64" customFormat="1" x14ac:dyDescent="0.35">
      <c r="A758" s="63">
        <v>44470</v>
      </c>
      <c r="B758" s="28">
        <f>VLOOKUP(Table3[[#This Row],[Date]],'PCE Core'!$A:$E,2,)</f>
        <v>118.929</v>
      </c>
      <c r="C758" s="26">
        <f>VLOOKUP(Table3[[#This Row],[Date]],Database!$A:$E,5)</f>
        <v>281.70499999999998</v>
      </c>
      <c r="D758" s="26">
        <f>(((Table3[[#This Row],[Core PCE]]-$B$496)/$B$496)*100)+100</f>
        <v>149.0413053285879</v>
      </c>
      <c r="E758" s="26">
        <f>(((Table3[[#This Row],[Core CPI]]-$C$496)/$C$496)*100)+100</f>
        <v>157.64129826524902</v>
      </c>
      <c r="F758" s="27">
        <f>(Table3[[#This Row],[Core CPI]]-C746)/C746</f>
        <v>4.5939583859326005E-2</v>
      </c>
      <c r="G758" s="27">
        <f>VLOOKUP(Table3[[#This Row],[Date]],'PCE Core'!A:D,4,)</f>
        <v>4.3081294894621036E-2</v>
      </c>
    </row>
    <row r="759" spans="1:7" s="64" customFormat="1" x14ac:dyDescent="0.35">
      <c r="A759" s="60">
        <v>44501</v>
      </c>
      <c r="B759" s="28">
        <f>VLOOKUP(Table3[[#This Row],[Date]],'PCE Core'!$A:$E,2,)</f>
        <v>119.54300000000001</v>
      </c>
      <c r="C759" s="28">
        <f>VLOOKUP(Table3[[#This Row],[Date]],Database!$A:$E,5)</f>
        <v>283.17899999999997</v>
      </c>
      <c r="D759" s="26">
        <f>(((Table3[[#This Row],[Core PCE]]-$B$496)/$B$496)*100)+100</f>
        <v>149.8107674570154</v>
      </c>
      <c r="E759" s="26">
        <f>(((Table3[[#This Row],[Core CPI]]-$C$496)/$C$496)*100)+100</f>
        <v>158.46614437604924</v>
      </c>
      <c r="F759" s="27">
        <f>(Table3[[#This Row],[Core CPI]]-C747)/C747</f>
        <v>4.9526343878791478E-2</v>
      </c>
      <c r="G759" s="27">
        <f>VLOOKUP(Table3[[#This Row],[Date]],'PCE Core'!A:D,4,)</f>
        <v>4.8181467452300827E-2</v>
      </c>
    </row>
    <row r="760" spans="1:7" s="64" customFormat="1" x14ac:dyDescent="0.35">
      <c r="A760" s="63">
        <v>44531</v>
      </c>
      <c r="B760" s="28">
        <f>VLOOKUP(Table3[[#This Row],[Date]],'PCE Core'!$A:$E,2,)</f>
        <v>120.193</v>
      </c>
      <c r="C760" s="28">
        <f>VLOOKUP(Table3[[#This Row],[Date]],Database!$A:$E,5)</f>
        <v>284.77</v>
      </c>
      <c r="D760" s="26">
        <f>(((Table3[[#This Row],[Core PCE]]-$B$496)/$B$496)*100)+100</f>
        <v>150.62534462880345</v>
      </c>
      <c r="E760" s="26">
        <f>(((Table3[[#This Row],[Core CPI]]-$C$496)/$C$496)*100)+100</f>
        <v>159.3564633463906</v>
      </c>
      <c r="F760" s="27">
        <f>(Table3[[#This Row],[Core CPI]]-C748)/C748</f>
        <v>5.4766208367903295E-2</v>
      </c>
      <c r="G760" s="27">
        <f>VLOOKUP(Table3[[#This Row],[Date]],'PCE Core'!A:D,4,)</f>
        <v>5.0436104944853268E-2</v>
      </c>
    </row>
    <row r="761" spans="1:7" s="64" customFormat="1" x14ac:dyDescent="0.35">
      <c r="A761" s="60">
        <v>44562</v>
      </c>
      <c r="B761" s="28">
        <f>VLOOKUP(Table3[[#This Row],[Date]],'PCE Core'!$A:$E,2,)</f>
        <v>120.761</v>
      </c>
      <c r="C761" s="26">
        <f>VLOOKUP(Table3[[#This Row],[Date]],Database!$A:$E,5)</f>
        <v>286.43099999999998</v>
      </c>
      <c r="D761" s="26">
        <f>(((Table3[[#This Row],[Core PCE]]-$B$496)/$B$496)*100)+100</f>
        <v>151.3371597573813</v>
      </c>
      <c r="E761" s="26">
        <f>(((Table3[[#This Row],[Core CPI]]-$C$496)/$C$496)*100)+100</f>
        <v>160.2859541130386</v>
      </c>
      <c r="F761" s="27">
        <f>(Table3[[#This Row],[Core CPI]]-C749)/C749</f>
        <v>6.0407827806037484E-2</v>
      </c>
      <c r="G761" s="27">
        <f>VLOOKUP(Table3[[#This Row],[Date]],'PCE Core'!A:D,4,)</f>
        <v>5.2090048962380855E-2</v>
      </c>
    </row>
    <row r="762" spans="1:7" s="64" customFormat="1" x14ac:dyDescent="0.35">
      <c r="A762" s="63">
        <v>44593</v>
      </c>
      <c r="B762" s="28">
        <f>VLOOKUP(Table3[[#This Row],[Date]],'PCE Core'!$A:$E,2,)</f>
        <v>121.205</v>
      </c>
      <c r="C762" s="28">
        <f>VLOOKUP(Table3[[#This Row],[Date]],Database!$A:$E,5)</f>
        <v>287.87799999999999</v>
      </c>
      <c r="D762" s="26">
        <f>(((Table3[[#This Row],[Core PCE]]-$B$496)/$B$496)*100)+100</f>
        <v>151.893578625495</v>
      </c>
      <c r="E762" s="26">
        <f>(((Table3[[#This Row],[Core CPI]]-$C$496)/$C$496)*100)+100</f>
        <v>161.09569110240628</v>
      </c>
      <c r="F762" s="27">
        <f>(Table3[[#This Row],[Core CPI]]-C750)/C750</f>
        <v>6.4157443756884813E-2</v>
      </c>
      <c r="G762" s="27">
        <f>VLOOKUP(Table3[[#This Row],[Date]],'PCE Core'!A:D,4,)</f>
        <v>5.4185692541856963E-2</v>
      </c>
    </row>
    <row r="763" spans="1:7" s="64" customFormat="1" x14ac:dyDescent="0.35">
      <c r="A763" s="63">
        <v>44621</v>
      </c>
      <c r="B763" s="28">
        <f>VLOOKUP(Table3[[#This Row],[Date]],'PCE Core'!$A:$E,2,)</f>
        <v>121.651</v>
      </c>
      <c r="C763" s="28">
        <f>VLOOKUP(Table3[[#This Row],[Date]],Database!$A:$E,5)</f>
        <v>288.81099999999998</v>
      </c>
      <c r="D763" s="26">
        <f>(((Table3[[#This Row],[Core PCE]]-$B$496)/$B$496)*100)+100</f>
        <v>152.45250388490649</v>
      </c>
      <c r="E763" s="26">
        <f>(((Table3[[#This Row],[Core CPI]]-$C$496)/$C$496)*100)+100</f>
        <v>161.61779518746502</v>
      </c>
      <c r="F763" s="27">
        <f>(Table3[[#This Row],[Core CPI]]-C751)/C751</f>
        <v>6.4360394623858008E-2</v>
      </c>
      <c r="G763" s="27">
        <f>VLOOKUP(Table3[[#This Row],[Date]],'PCE Core'!A:D,4,)</f>
        <v>5.3647678356444413E-2</v>
      </c>
    </row>
    <row r="764" spans="1:7" s="64" customFormat="1" x14ac:dyDescent="0.35">
      <c r="A764" s="60">
        <v>44652</v>
      </c>
      <c r="B764" s="28">
        <f>VLOOKUP(Table3[[#This Row],[Date]],'PCE Core'!$A:$E,2,)</f>
        <v>122.03</v>
      </c>
      <c r="C764" s="28">
        <f>VLOOKUP(Table3[[#This Row],[Date]],Database!$A:$E,5)</f>
        <v>290.45499999999998</v>
      </c>
      <c r="D764" s="26">
        <f>(((Table3[[#This Row],[Core PCE]]-$B$496)/$B$496)*100)+100</f>
        <v>152.92746503584138</v>
      </c>
      <c r="E764" s="26">
        <f>(((Table3[[#This Row],[Core CPI]]-$C$496)/$C$496)*100)+100</f>
        <v>162.53777280358142</v>
      </c>
      <c r="F764" s="27">
        <f>(Table3[[#This Row],[Core CPI]]-C752)/C752</f>
        <v>6.1336870452992492E-2</v>
      </c>
      <c r="G764" s="27">
        <f>VLOOKUP(Table3[[#This Row],[Date]],'PCE Core'!A:D,4,)</f>
        <v>5.0298659046700923E-2</v>
      </c>
    </row>
    <row r="765" spans="1:7" s="64" customFormat="1" x14ac:dyDescent="0.35">
      <c r="A765" s="63">
        <v>44682</v>
      </c>
      <c r="B765" s="28">
        <f>VLOOKUP(Table3[[#This Row],[Date]],'PCE Core'!$A:$E,2,)</f>
        <v>122.488</v>
      </c>
      <c r="C765" s="26">
        <f>VLOOKUP(Table3[[#This Row],[Date]],Database!$A:$E,5)</f>
        <v>292.28899999999999</v>
      </c>
      <c r="D765" s="26">
        <f>(((Table3[[#This Row],[Core PCE]]-$B$496)/$B$496)*100)+100</f>
        <v>153.50142864303973</v>
      </c>
      <c r="E765" s="26">
        <f>(((Table3[[#This Row],[Core CPI]]-$C$496)/$C$496)*100)+100</f>
        <v>163.5640738668159</v>
      </c>
      <c r="F765" s="27">
        <f>(Table3[[#This Row],[Core CPI]]-C753)/C753</f>
        <v>6.0112797635239336E-2</v>
      </c>
      <c r="G765" s="27">
        <f>VLOOKUP(Table3[[#This Row],[Date]],'PCE Core'!A:D,4,)</f>
        <v>4.8815364723813377E-2</v>
      </c>
    </row>
    <row r="766" spans="1:7" s="64" customFormat="1" x14ac:dyDescent="0.35">
      <c r="A766" s="63">
        <v>44713</v>
      </c>
      <c r="B766" s="28">
        <f>VLOOKUP(Table3[[#This Row],[Date]],'PCE Core'!$A:$E,2,)</f>
        <v>123.258</v>
      </c>
      <c r="C766" s="26">
        <f>VLOOKUP(Table3[[#This Row],[Date]],Database!$A:$E,5)</f>
        <v>294.35399999999998</v>
      </c>
      <c r="D766" s="26">
        <f>(((Table3[[#This Row],[Core PCE]]-$B$496)/$B$496)*100)+100</f>
        <v>154.46638929269636</v>
      </c>
      <c r="E766" s="26">
        <f>(((Table3[[#This Row],[Core CPI]]-$C$496)/$C$496)*100)+100</f>
        <v>164.71964185786234</v>
      </c>
      <c r="F766" s="27">
        <f>(Table3[[#This Row],[Core CPI]]-C754)/C754</f>
        <v>5.9124502558271591E-2</v>
      </c>
      <c r="G766" s="27">
        <f>VLOOKUP(Table3[[#This Row],[Date]],'PCE Core'!A:D,4,)</f>
        <v>5.0354072041517116E-2</v>
      </c>
    </row>
    <row r="767" spans="1:7" s="64" customFormat="1" x14ac:dyDescent="0.35">
      <c r="A767" s="60">
        <v>44743</v>
      </c>
      <c r="B767" s="28">
        <f>VLOOKUP(Table3[[#This Row],[Date]],'PCE Core'!$A:$E,2,)</f>
        <v>123.33799999999999</v>
      </c>
      <c r="C767" s="28">
        <f>VLOOKUP(Table3[[#This Row],[Date]],Database!$A:$E,5)</f>
        <v>295.27499999999998</v>
      </c>
      <c r="D767" s="26">
        <f>(((Table3[[#This Row],[Core PCE]]-$B$496)/$B$496)*100)+100</f>
        <v>154.56664494460873</v>
      </c>
      <c r="E767" s="26">
        <f>(((Table3[[#This Row],[Core CPI]]-$C$496)/$C$496)*100)+100</f>
        <v>165.23503077783994</v>
      </c>
      <c r="F767" s="27">
        <f>(Table3[[#This Row],[Core CPI]]-C755)/C755</f>
        <v>5.9115332467700149E-2</v>
      </c>
      <c r="G767" s="27">
        <f>VLOOKUP(Table3[[#This Row],[Date]],'PCE Core'!A:D,4,)</f>
        <v>4.6914125166580257E-2</v>
      </c>
    </row>
    <row r="768" spans="1:7" s="64" customFormat="1" x14ac:dyDescent="0.35">
      <c r="A768" s="60">
        <v>44774</v>
      </c>
      <c r="B768" s="28">
        <f>VLOOKUP(Table3[[#This Row],[Date]],'PCE Core'!$A:$E,2,)</f>
        <v>124.01</v>
      </c>
      <c r="C768" s="26">
        <f>VLOOKUP(Table3[[#This Row],[Date]],Database!$A:$E,5)</f>
        <v>296.95</v>
      </c>
      <c r="D768" s="26">
        <f>(((Table3[[#This Row],[Core PCE]]-$B$496)/$B$496)*100)+100</f>
        <v>155.40879242067271</v>
      </c>
      <c r="E768" s="26">
        <f>(((Table3[[#This Row],[Core CPI]]-$C$496)/$C$496)*100)+100</f>
        <v>166.17235590374929</v>
      </c>
      <c r="F768" s="27">
        <f>(Table3[[#This Row],[Core CPI]]-C756)/C756</f>
        <v>6.3170859201019697E-2</v>
      </c>
      <c r="G768" s="27">
        <f>VLOOKUP(Table3[[#This Row],[Date]],'PCE Core'!A:D,4,)</f>
        <v>4.9162852477601396E-2</v>
      </c>
    </row>
    <row r="769" spans="1:7" s="64" customFormat="1" x14ac:dyDescent="0.35">
      <c r="A769" s="60">
        <v>44805</v>
      </c>
      <c r="B769" s="28">
        <f>VLOOKUP(Table3[[#This Row],[Date]],'PCE Core'!$A:$E,2,)</f>
        <v>124.584</v>
      </c>
      <c r="C769" s="26">
        <f>VLOOKUP(Table3[[#This Row],[Date]],Database!$A:$E,5)</f>
        <v>298.66000000000003</v>
      </c>
      <c r="D769" s="26">
        <f>(((Table3[[#This Row],[Core PCE]]-$B$496)/$B$496)*100)+100</f>
        <v>156.12812672314402</v>
      </c>
      <c r="E769" s="26">
        <f>(((Table3[[#This Row],[Core CPI]]-$C$496)/$C$496)*100)+100</f>
        <v>167.12926692781201</v>
      </c>
      <c r="F769" s="27">
        <f>(Table3[[#This Row],[Core CPI]]-C757)/C757</f>
        <v>6.6578100615319893E-2</v>
      </c>
      <c r="G769" s="27">
        <f>VLOOKUP(Table3[[#This Row],[Date]],'PCE Core'!A:D,4,)</f>
        <v>5.1821083025176073E-2</v>
      </c>
    </row>
    <row r="770" spans="1:7" s="64" customFormat="1" x14ac:dyDescent="0.35">
      <c r="A770" s="60">
        <v>44835</v>
      </c>
      <c r="B770" s="28">
        <f>VLOOKUP(Table3[[#This Row],[Date]],'PCE Core'!$A:$E,2,)</f>
        <v>124.857</v>
      </c>
      <c r="C770" s="28">
        <f>VLOOKUP(Table3[[#This Row],[Date]],Database!$A:$E,5)</f>
        <v>299.471</v>
      </c>
      <c r="D770" s="26">
        <f>(((Table3[[#This Row],[Core PCE]]-$B$496)/$B$496)*100)+100</f>
        <v>156.47024913529498</v>
      </c>
      <c r="E770" s="26">
        <f>(((Table3[[#This Row],[Core CPI]]-$C$496)/$C$496)*100)+100</f>
        <v>167.58310016787914</v>
      </c>
      <c r="F770" s="27">
        <f>(Table3[[#This Row],[Core CPI]]-C758)/C758</f>
        <v>6.3065973269910092E-2</v>
      </c>
      <c r="G770" s="27">
        <f>VLOOKUP(Table3[[#This Row],[Date]],'PCE Core'!A:D,4,)</f>
        <v>4.9844865423908362E-2</v>
      </c>
    </row>
    <row r="771" spans="1:7" s="64" customFormat="1" x14ac:dyDescent="0.35">
      <c r="A771" s="12"/>
      <c r="B771" s="12"/>
      <c r="C771" s="12"/>
      <c r="D771" s="12"/>
      <c r="E771" s="12"/>
      <c r="F771" s="12"/>
      <c r="G771" s="12"/>
    </row>
    <row r="772" spans="1:7" s="64" customFormat="1" x14ac:dyDescent="0.35">
      <c r="A772" s="12"/>
      <c r="B772" s="12"/>
      <c r="C772" s="12"/>
      <c r="D772" s="12"/>
      <c r="E772" s="12"/>
      <c r="F772" s="12"/>
      <c r="G772" s="12"/>
    </row>
    <row r="773" spans="1:7" s="64" customFormat="1" x14ac:dyDescent="0.35">
      <c r="A773" s="12"/>
      <c r="B773" s="12"/>
      <c r="C773" s="12"/>
      <c r="D773" s="12"/>
      <c r="E773" s="12"/>
      <c r="F773" s="12"/>
      <c r="G773" s="12"/>
    </row>
    <row r="774" spans="1:7" s="64" customFormat="1" x14ac:dyDescent="0.35">
      <c r="A774" s="12"/>
      <c r="B774" s="12"/>
      <c r="C774" s="12"/>
      <c r="D774" s="12"/>
      <c r="E774" s="12"/>
      <c r="F774" s="12"/>
      <c r="G774" s="12"/>
    </row>
    <row r="775" spans="1:7" s="64" customFormat="1" x14ac:dyDescent="0.35">
      <c r="A775" s="12"/>
      <c r="B775" s="12"/>
      <c r="C775" s="12"/>
      <c r="D775" s="12"/>
      <c r="E775" s="12"/>
      <c r="F775" s="12"/>
      <c r="G775" s="12"/>
    </row>
    <row r="776" spans="1:7" s="64" customFormat="1" x14ac:dyDescent="0.35">
      <c r="A776" s="12"/>
      <c r="B776" s="12"/>
      <c r="C776" s="12"/>
      <c r="D776" s="12"/>
      <c r="E776" s="12"/>
      <c r="F776" s="12"/>
      <c r="G776" s="12"/>
    </row>
    <row r="777" spans="1:7" s="64" customFormat="1" x14ac:dyDescent="0.35">
      <c r="A777" s="12"/>
      <c r="B777" s="12"/>
      <c r="C777" s="12"/>
      <c r="D777" s="12"/>
      <c r="E777" s="12"/>
      <c r="F777" s="12"/>
      <c r="G777" s="12"/>
    </row>
    <row r="778" spans="1:7" s="64" customFormat="1" x14ac:dyDescent="0.35">
      <c r="A778" s="12"/>
      <c r="B778" s="12"/>
      <c r="C778" s="12"/>
      <c r="D778" s="12"/>
      <c r="E778" s="12"/>
      <c r="F778" s="12"/>
      <c r="G778" s="12"/>
    </row>
    <row r="779" spans="1:7" s="64" customFormat="1" x14ac:dyDescent="0.35">
      <c r="A779" s="12"/>
      <c r="B779" s="12"/>
      <c r="C779" s="12"/>
      <c r="D779" s="12"/>
      <c r="E779" s="12"/>
      <c r="F779" s="12"/>
      <c r="G779" s="12"/>
    </row>
    <row r="780" spans="1:7" s="64" customFormat="1" x14ac:dyDescent="0.35">
      <c r="A780" s="12"/>
      <c r="B780" s="12"/>
      <c r="C780" s="12"/>
      <c r="D780" s="12"/>
      <c r="E780" s="12"/>
      <c r="F780" s="12"/>
      <c r="G780" s="12"/>
    </row>
    <row r="781" spans="1:7" s="64" customFormat="1" x14ac:dyDescent="0.35">
      <c r="A781" s="12"/>
      <c r="B781" s="12"/>
      <c r="C781" s="12"/>
      <c r="D781" s="12"/>
      <c r="E781" s="12"/>
      <c r="F781" s="12"/>
      <c r="G781" s="12"/>
    </row>
    <row r="782" spans="1:7" s="64" customFormat="1" x14ac:dyDescent="0.35">
      <c r="A782" s="12"/>
      <c r="B782" s="12"/>
      <c r="C782" s="12"/>
      <c r="D782" s="12"/>
      <c r="E782" s="12"/>
      <c r="F782" s="12"/>
      <c r="G782" s="12"/>
    </row>
    <row r="783" spans="1:7" s="64" customFormat="1" x14ac:dyDescent="0.35">
      <c r="A783" s="12"/>
      <c r="B783" s="12"/>
      <c r="C783" s="12"/>
      <c r="D783" s="12"/>
      <c r="E783" s="12"/>
      <c r="F783" s="12"/>
      <c r="G783" s="12"/>
    </row>
    <row r="784" spans="1:7" s="64" customFormat="1" x14ac:dyDescent="0.35">
      <c r="A784" s="12"/>
      <c r="B784" s="12"/>
      <c r="C784" s="12"/>
      <c r="D784" s="12"/>
      <c r="E784" s="12"/>
      <c r="F784" s="12"/>
      <c r="G784" s="12"/>
    </row>
    <row r="785" spans="1:7" s="64" customFormat="1" x14ac:dyDescent="0.35">
      <c r="A785" s="12"/>
      <c r="B785" s="12"/>
      <c r="C785" s="12"/>
      <c r="D785" s="12"/>
      <c r="E785" s="12"/>
      <c r="F785" s="12"/>
      <c r="G785" s="12"/>
    </row>
    <row r="786" spans="1:7" s="64" customFormat="1" x14ac:dyDescent="0.35">
      <c r="A786" s="12"/>
      <c r="B786" s="12"/>
      <c r="C786" s="12"/>
      <c r="D786" s="12"/>
      <c r="E786" s="12"/>
      <c r="F786" s="12"/>
      <c r="G786" s="12"/>
    </row>
    <row r="787" spans="1:7" s="64" customFormat="1" x14ac:dyDescent="0.35">
      <c r="A787" s="12"/>
      <c r="B787" s="12"/>
      <c r="C787" s="12"/>
      <c r="D787" s="12"/>
      <c r="E787" s="12"/>
      <c r="F787" s="12"/>
      <c r="G787" s="12"/>
    </row>
    <row r="788" spans="1:7" s="64" customFormat="1" x14ac:dyDescent="0.35">
      <c r="A788" s="12"/>
      <c r="B788" s="12"/>
      <c r="C788" s="12"/>
      <c r="D788" s="12"/>
      <c r="E788" s="12"/>
      <c r="F788" s="12"/>
      <c r="G788" s="12"/>
    </row>
    <row r="789" spans="1:7" s="64" customFormat="1" x14ac:dyDescent="0.35">
      <c r="A789" s="12"/>
      <c r="B789" s="12"/>
      <c r="C789" s="12"/>
      <c r="D789" s="12"/>
      <c r="E789" s="12"/>
      <c r="F789" s="12"/>
      <c r="G789" s="12"/>
    </row>
    <row r="790" spans="1:7" s="64" customFormat="1" x14ac:dyDescent="0.35">
      <c r="A790" s="12"/>
      <c r="B790" s="12"/>
      <c r="C790" s="12"/>
      <c r="D790" s="12"/>
      <c r="E790" s="12"/>
      <c r="F790" s="12"/>
      <c r="G790" s="12"/>
    </row>
    <row r="791" spans="1:7" s="64" customFormat="1" x14ac:dyDescent="0.35">
      <c r="A791" s="12"/>
      <c r="B791" s="12"/>
      <c r="C791" s="12"/>
      <c r="D791" s="12"/>
      <c r="E791" s="12"/>
      <c r="F791" s="12"/>
      <c r="G791" s="12"/>
    </row>
    <row r="792" spans="1:7" s="64" customFormat="1" x14ac:dyDescent="0.35">
      <c r="A792" s="12"/>
      <c r="B792" s="12"/>
      <c r="C792" s="12"/>
      <c r="D792" s="12"/>
      <c r="E792" s="12"/>
      <c r="F792" s="12"/>
      <c r="G792" s="12"/>
    </row>
    <row r="793" spans="1:7" s="64" customFormat="1" x14ac:dyDescent="0.35">
      <c r="A793" s="12"/>
      <c r="B793" s="12"/>
      <c r="C793" s="12"/>
      <c r="D793" s="12"/>
      <c r="E793" s="12"/>
      <c r="F793" s="12"/>
      <c r="G793" s="12"/>
    </row>
    <row r="794" spans="1:7" s="64" customFormat="1" x14ac:dyDescent="0.35">
      <c r="A794" s="12"/>
      <c r="B794" s="12"/>
      <c r="C794" s="12"/>
      <c r="D794" s="12"/>
      <c r="E794" s="12"/>
      <c r="F794" s="12"/>
      <c r="G794" s="12"/>
    </row>
    <row r="795" spans="1:7" s="64" customFormat="1" x14ac:dyDescent="0.35">
      <c r="A795" s="12"/>
      <c r="B795" s="12"/>
      <c r="C795" s="12"/>
      <c r="D795" s="12"/>
      <c r="E795" s="12"/>
      <c r="F795" s="12"/>
      <c r="G795" s="12"/>
    </row>
    <row r="796" spans="1:7" s="64" customFormat="1" x14ac:dyDescent="0.35">
      <c r="A796" s="12"/>
      <c r="B796" s="12"/>
      <c r="C796" s="12"/>
      <c r="D796" s="12"/>
      <c r="E796" s="12"/>
      <c r="F796" s="12"/>
      <c r="G796" s="12"/>
    </row>
    <row r="797" spans="1:7" s="64" customFormat="1" x14ac:dyDescent="0.35">
      <c r="A797" s="12"/>
      <c r="B797" s="12"/>
      <c r="C797" s="12"/>
      <c r="D797" s="12"/>
      <c r="E797" s="12"/>
      <c r="F797" s="12"/>
      <c r="G797" s="12"/>
    </row>
    <row r="798" spans="1:7" s="64" customFormat="1" x14ac:dyDescent="0.35">
      <c r="A798" s="12"/>
      <c r="B798" s="12"/>
      <c r="C798" s="12"/>
      <c r="D798" s="12"/>
      <c r="E798" s="12"/>
      <c r="F798" s="12"/>
      <c r="G798" s="12"/>
    </row>
    <row r="799" spans="1:7" s="64" customFormat="1" x14ac:dyDescent="0.35">
      <c r="A799" s="12"/>
      <c r="B799" s="12"/>
      <c r="C799" s="12"/>
      <c r="D799" s="12"/>
      <c r="E799" s="12"/>
      <c r="F799" s="12"/>
      <c r="G799" s="12"/>
    </row>
    <row r="800" spans="1:7" s="64" customFormat="1" x14ac:dyDescent="0.35">
      <c r="A800" s="12"/>
      <c r="B800" s="12"/>
      <c r="C800" s="12"/>
      <c r="D800" s="12"/>
      <c r="E800" s="12"/>
      <c r="F800" s="12"/>
      <c r="G800" s="12"/>
    </row>
    <row r="801" spans="1:7" s="64" customFormat="1" x14ac:dyDescent="0.35">
      <c r="A801" s="12"/>
      <c r="B801" s="12"/>
      <c r="C801" s="12"/>
      <c r="D801" s="12"/>
      <c r="E801" s="12"/>
      <c r="F801" s="12"/>
      <c r="G801" s="12"/>
    </row>
    <row r="802" spans="1:7" s="64" customFormat="1" x14ac:dyDescent="0.35">
      <c r="A802" s="12"/>
      <c r="B802" s="12"/>
      <c r="C802" s="12"/>
      <c r="D802" s="12"/>
      <c r="E802" s="12"/>
      <c r="F802" s="12"/>
      <c r="G802" s="12"/>
    </row>
    <row r="803" spans="1:7" s="64" customFormat="1" x14ac:dyDescent="0.35">
      <c r="A803" s="12"/>
      <c r="B803" s="12"/>
      <c r="C803" s="12"/>
      <c r="D803" s="12"/>
      <c r="E803" s="12"/>
      <c r="F803" s="12"/>
      <c r="G803" s="12"/>
    </row>
    <row r="804" spans="1:7" s="64" customFormat="1" x14ac:dyDescent="0.35">
      <c r="A804" s="12"/>
      <c r="B804" s="12"/>
      <c r="C804" s="12"/>
      <c r="D804" s="12"/>
      <c r="E804" s="12"/>
      <c r="F804" s="12"/>
      <c r="G804" s="12"/>
    </row>
    <row r="805" spans="1:7" s="64" customFormat="1" x14ac:dyDescent="0.35">
      <c r="A805" s="12"/>
      <c r="B805" s="12"/>
      <c r="C805" s="12"/>
      <c r="D805" s="12"/>
      <c r="E805" s="12"/>
      <c r="F805" s="12"/>
      <c r="G805" s="12"/>
    </row>
    <row r="806" spans="1:7" s="64" customFormat="1" x14ac:dyDescent="0.35">
      <c r="A806" s="12"/>
      <c r="B806" s="12"/>
      <c r="C806" s="12"/>
      <c r="D806" s="12"/>
      <c r="E806" s="12"/>
      <c r="F806" s="12"/>
      <c r="G806" s="12"/>
    </row>
    <row r="807" spans="1:7" s="64" customFormat="1" x14ac:dyDescent="0.35">
      <c r="A807" s="12"/>
      <c r="B807" s="12"/>
      <c r="C807" s="12"/>
      <c r="D807" s="12"/>
      <c r="E807" s="12"/>
      <c r="F807" s="12"/>
      <c r="G807" s="12"/>
    </row>
    <row r="808" spans="1:7" s="64" customFormat="1" x14ac:dyDescent="0.35">
      <c r="A808" s="12"/>
      <c r="B808" s="12"/>
      <c r="C808" s="12"/>
      <c r="D808" s="12"/>
      <c r="E808" s="12"/>
      <c r="F808" s="12"/>
      <c r="G808" s="12"/>
    </row>
    <row r="809" spans="1:7" s="64" customFormat="1" x14ac:dyDescent="0.35">
      <c r="A809" s="12"/>
      <c r="B809" s="12"/>
      <c r="C809" s="12"/>
      <c r="D809" s="12"/>
      <c r="E809" s="12"/>
      <c r="F809" s="12"/>
      <c r="G809" s="12"/>
    </row>
    <row r="810" spans="1:7" s="64" customFormat="1" x14ac:dyDescent="0.35">
      <c r="A810" s="12"/>
      <c r="B810" s="12"/>
      <c r="C810" s="12"/>
      <c r="D810" s="12"/>
      <c r="E810" s="12"/>
      <c r="F810" s="12"/>
      <c r="G810" s="12"/>
    </row>
    <row r="811" spans="1:7" s="64" customFormat="1" x14ac:dyDescent="0.35">
      <c r="A811" s="12"/>
      <c r="B811" s="12"/>
      <c r="C811" s="12"/>
      <c r="D811" s="12"/>
      <c r="E811" s="12"/>
      <c r="F811" s="12"/>
      <c r="G811" s="12"/>
    </row>
    <row r="812" spans="1:7" s="64" customFormat="1" x14ac:dyDescent="0.35">
      <c r="A812" s="12"/>
      <c r="B812" s="12"/>
      <c r="C812" s="12"/>
      <c r="D812" s="12"/>
      <c r="E812" s="12"/>
      <c r="F812" s="12"/>
      <c r="G812" s="12"/>
    </row>
    <row r="813" spans="1:7" s="64" customFormat="1" x14ac:dyDescent="0.35">
      <c r="A813" s="12"/>
      <c r="B813" s="12"/>
      <c r="C813" s="12"/>
      <c r="D813" s="12"/>
      <c r="E813" s="12"/>
      <c r="F813" s="12"/>
      <c r="G813" s="12"/>
    </row>
    <row r="814" spans="1:7" s="64" customFormat="1" x14ac:dyDescent="0.35">
      <c r="A814" s="12"/>
      <c r="B814" s="12"/>
      <c r="C814" s="12"/>
      <c r="D814" s="12"/>
      <c r="E814" s="12"/>
      <c r="F814" s="12"/>
      <c r="G814" s="12"/>
    </row>
    <row r="815" spans="1:7" s="64" customFormat="1" x14ac:dyDescent="0.35">
      <c r="A815" s="12"/>
      <c r="B815" s="12"/>
      <c r="C815" s="12"/>
      <c r="D815" s="12"/>
      <c r="E815" s="12"/>
      <c r="F815" s="12"/>
      <c r="G815" s="12"/>
    </row>
    <row r="816" spans="1:7" s="64" customFormat="1" x14ac:dyDescent="0.35">
      <c r="A816" s="12"/>
      <c r="B816" s="12"/>
      <c r="C816" s="12"/>
      <c r="D816" s="12"/>
      <c r="E816" s="12"/>
      <c r="F816" s="12"/>
      <c r="G816" s="12"/>
    </row>
    <row r="817" spans="1:7" s="64" customFormat="1" x14ac:dyDescent="0.35">
      <c r="A817" s="12"/>
      <c r="B817" s="12"/>
      <c r="C817" s="12"/>
      <c r="D817" s="12"/>
      <c r="E817" s="12"/>
      <c r="F817" s="12"/>
      <c r="G817" s="12"/>
    </row>
    <row r="818" spans="1:7" s="64" customFormat="1" x14ac:dyDescent="0.35">
      <c r="A818" s="12"/>
      <c r="B818" s="12"/>
      <c r="C818" s="12"/>
      <c r="D818" s="12"/>
      <c r="E818" s="12"/>
      <c r="F818" s="12"/>
      <c r="G818" s="12"/>
    </row>
    <row r="819" spans="1:7" s="64" customFormat="1" x14ac:dyDescent="0.35">
      <c r="A819" s="12"/>
      <c r="B819" s="12"/>
      <c r="C819" s="12"/>
      <c r="D819" s="12"/>
      <c r="E819" s="12"/>
      <c r="F819" s="12"/>
      <c r="G819" s="12"/>
    </row>
    <row r="820" spans="1:7" s="64" customFormat="1" x14ac:dyDescent="0.35">
      <c r="A820" s="12"/>
      <c r="B820" s="12"/>
      <c r="C820" s="12"/>
      <c r="D820" s="12"/>
      <c r="E820" s="12"/>
      <c r="F820" s="12"/>
      <c r="G820" s="12"/>
    </row>
    <row r="821" spans="1:7" s="64" customFormat="1" x14ac:dyDescent="0.35">
      <c r="A821" s="12"/>
      <c r="B821" s="12"/>
      <c r="C821" s="12"/>
      <c r="D821" s="12"/>
      <c r="E821" s="12"/>
      <c r="F821" s="12"/>
      <c r="G821" s="12"/>
    </row>
    <row r="822" spans="1:7" s="64" customFormat="1" x14ac:dyDescent="0.35">
      <c r="A822" s="12"/>
      <c r="B822" s="12"/>
      <c r="C822" s="12"/>
      <c r="D822" s="12"/>
      <c r="E822" s="12"/>
      <c r="F822" s="12"/>
      <c r="G822" s="12"/>
    </row>
    <row r="823" spans="1:7" s="64" customFormat="1" x14ac:dyDescent="0.35">
      <c r="A823" s="12"/>
      <c r="B823" s="12"/>
      <c r="C823" s="12"/>
      <c r="D823" s="12"/>
      <c r="E823" s="12"/>
      <c r="F823" s="12"/>
      <c r="G823" s="12"/>
    </row>
    <row r="824" spans="1:7" s="64" customFormat="1" x14ac:dyDescent="0.35">
      <c r="A824" s="12"/>
      <c r="B824" s="12"/>
      <c r="C824" s="12"/>
      <c r="D824" s="12"/>
      <c r="E824" s="12"/>
      <c r="F824" s="12"/>
      <c r="G824" s="12"/>
    </row>
    <row r="825" spans="1:7" s="64" customFormat="1" x14ac:dyDescent="0.35">
      <c r="A825" s="12"/>
      <c r="B825" s="12"/>
      <c r="C825" s="12"/>
      <c r="D825" s="12"/>
      <c r="E825" s="12"/>
      <c r="F825" s="12"/>
      <c r="G825" s="12"/>
    </row>
    <row r="826" spans="1:7" s="64" customFormat="1" x14ac:dyDescent="0.35">
      <c r="A826" s="12"/>
      <c r="B826" s="12"/>
      <c r="C826" s="12"/>
      <c r="D826" s="12"/>
      <c r="E826" s="12"/>
      <c r="F826" s="12"/>
      <c r="G826" s="12"/>
    </row>
    <row r="827" spans="1:7" s="64" customFormat="1" x14ac:dyDescent="0.35">
      <c r="A827" s="12"/>
      <c r="B827" s="12"/>
      <c r="C827" s="12"/>
      <c r="D827" s="12"/>
      <c r="E827" s="12"/>
      <c r="F827" s="12"/>
      <c r="G827" s="12"/>
    </row>
    <row r="828" spans="1:7" s="64" customFormat="1" x14ac:dyDescent="0.35">
      <c r="A828" s="12"/>
      <c r="B828" s="12"/>
      <c r="C828" s="12"/>
      <c r="D828" s="12"/>
      <c r="E828" s="12"/>
      <c r="F828" s="12"/>
      <c r="G828" s="12"/>
    </row>
    <row r="829" spans="1:7" s="64" customFormat="1" x14ac:dyDescent="0.35">
      <c r="A829" s="12"/>
      <c r="B829" s="12"/>
      <c r="C829" s="12"/>
      <c r="D829" s="12"/>
      <c r="E829" s="12"/>
      <c r="F829" s="12"/>
      <c r="G829" s="12"/>
    </row>
    <row r="830" spans="1:7" s="64" customFormat="1" x14ac:dyDescent="0.35">
      <c r="A830" s="12"/>
      <c r="B830" s="12"/>
      <c r="C830" s="12"/>
      <c r="D830" s="12"/>
      <c r="E830" s="12"/>
      <c r="F830" s="12"/>
      <c r="G830" s="12"/>
    </row>
    <row r="831" spans="1:7" s="64" customFormat="1" x14ac:dyDescent="0.35">
      <c r="A831" s="12"/>
      <c r="B831" s="12"/>
      <c r="C831" s="12"/>
      <c r="D831" s="12"/>
      <c r="E831" s="12"/>
      <c r="F831" s="12"/>
      <c r="G831" s="12"/>
    </row>
    <row r="832" spans="1:7" s="64" customFormat="1" x14ac:dyDescent="0.35">
      <c r="A832" s="12"/>
      <c r="B832" s="12"/>
      <c r="C832" s="12"/>
      <c r="D832" s="12"/>
      <c r="E832" s="12"/>
      <c r="F832" s="12"/>
      <c r="G832" s="12"/>
    </row>
    <row r="833" spans="1:7" s="64" customFormat="1" x14ac:dyDescent="0.35">
      <c r="A833" s="12"/>
      <c r="B833" s="12"/>
      <c r="C833" s="12"/>
      <c r="D833" s="12"/>
      <c r="E833" s="12"/>
      <c r="F833" s="12"/>
      <c r="G833" s="12"/>
    </row>
    <row r="834" spans="1:7" s="64" customFormat="1" x14ac:dyDescent="0.35">
      <c r="A834" s="12"/>
      <c r="B834" s="12"/>
      <c r="C834" s="12"/>
      <c r="D834" s="12"/>
      <c r="E834" s="12"/>
      <c r="F834" s="12"/>
      <c r="G834" s="12"/>
    </row>
    <row r="835" spans="1:7" s="64" customFormat="1" x14ac:dyDescent="0.35">
      <c r="A835" s="12"/>
      <c r="B835" s="12"/>
      <c r="C835" s="12"/>
      <c r="D835" s="12"/>
      <c r="E835" s="12"/>
      <c r="F835" s="12"/>
      <c r="G835" s="12"/>
    </row>
    <row r="836" spans="1:7" s="64" customFormat="1" x14ac:dyDescent="0.35">
      <c r="A836" s="12"/>
      <c r="B836" s="12"/>
      <c r="C836" s="12"/>
      <c r="D836" s="12"/>
      <c r="E836" s="12"/>
      <c r="F836" s="12"/>
      <c r="G836" s="12"/>
    </row>
    <row r="837" spans="1:7" s="64" customFormat="1" x14ac:dyDescent="0.35">
      <c r="A837" s="12"/>
      <c r="B837" s="12"/>
      <c r="C837" s="12"/>
      <c r="D837" s="12"/>
      <c r="E837" s="12"/>
      <c r="F837" s="12"/>
      <c r="G837" s="12"/>
    </row>
    <row r="838" spans="1:7" s="64" customFormat="1" x14ac:dyDescent="0.35">
      <c r="A838" s="12"/>
      <c r="B838" s="12"/>
      <c r="C838" s="12"/>
      <c r="D838" s="12"/>
      <c r="E838" s="12"/>
      <c r="F838" s="12"/>
      <c r="G838" s="12"/>
    </row>
    <row r="839" spans="1:7" s="64" customFormat="1" x14ac:dyDescent="0.35">
      <c r="A839" s="12"/>
      <c r="B839" s="12"/>
      <c r="C839" s="12"/>
      <c r="D839" s="12"/>
      <c r="E839" s="12"/>
      <c r="F839" s="12"/>
      <c r="G839" s="12"/>
    </row>
    <row r="840" spans="1:7" s="64" customFormat="1" x14ac:dyDescent="0.35">
      <c r="A840" s="12"/>
      <c r="B840" s="12"/>
      <c r="C840" s="12"/>
      <c r="D840" s="12"/>
      <c r="E840" s="12"/>
      <c r="F840" s="12"/>
      <c r="G840" s="12"/>
    </row>
    <row r="841" spans="1:7" s="64" customFormat="1" x14ac:dyDescent="0.35">
      <c r="A841" s="12"/>
      <c r="B841" s="12"/>
      <c r="C841" s="12"/>
      <c r="D841" s="12"/>
      <c r="E841" s="12"/>
      <c r="F841" s="12"/>
      <c r="G841" s="12"/>
    </row>
    <row r="842" spans="1:7" s="64" customFormat="1" x14ac:dyDescent="0.35">
      <c r="A842" s="12"/>
      <c r="B842" s="12"/>
      <c r="C842" s="12"/>
      <c r="D842" s="12"/>
      <c r="E842" s="12"/>
      <c r="F842" s="12"/>
      <c r="G842" s="12"/>
    </row>
    <row r="843" spans="1:7" s="64" customFormat="1" x14ac:dyDescent="0.35">
      <c r="A843" s="12"/>
      <c r="B843" s="12"/>
      <c r="C843" s="12"/>
      <c r="D843" s="12"/>
      <c r="E843" s="12"/>
      <c r="F843" s="12"/>
      <c r="G843" s="12"/>
    </row>
    <row r="844" spans="1:7" s="64" customFormat="1" x14ac:dyDescent="0.35">
      <c r="A844" s="12"/>
      <c r="B844" s="12"/>
      <c r="C844" s="12"/>
      <c r="D844" s="12"/>
      <c r="E844" s="12"/>
      <c r="F844" s="12"/>
      <c r="G844" s="12"/>
    </row>
    <row r="845" spans="1:7" s="64" customFormat="1" x14ac:dyDescent="0.35">
      <c r="A845" s="12"/>
      <c r="B845" s="12"/>
      <c r="C845" s="12"/>
      <c r="D845" s="12"/>
      <c r="E845" s="12"/>
      <c r="F845" s="12"/>
      <c r="G845" s="12"/>
    </row>
    <row r="846" spans="1:7" s="64" customFormat="1" x14ac:dyDescent="0.35">
      <c r="A846" s="12"/>
      <c r="B846" s="12"/>
      <c r="C846" s="12"/>
      <c r="D846" s="12"/>
      <c r="E846" s="12"/>
      <c r="F846" s="12"/>
      <c r="G846" s="12"/>
    </row>
    <row r="847" spans="1:7" s="64" customFormat="1" x14ac:dyDescent="0.35">
      <c r="A847" s="12"/>
      <c r="B847" s="12"/>
      <c r="C847" s="12"/>
      <c r="D847" s="12"/>
      <c r="E847" s="12"/>
      <c r="F847" s="12"/>
      <c r="G847" s="12"/>
    </row>
    <row r="848" spans="1:7" s="64" customFormat="1" x14ac:dyDescent="0.35">
      <c r="A848" s="12"/>
      <c r="B848" s="12"/>
      <c r="C848" s="12"/>
      <c r="D848" s="12"/>
      <c r="E848" s="12"/>
      <c r="F848" s="12"/>
      <c r="G848" s="12"/>
    </row>
    <row r="849" spans="1:7" s="64" customFormat="1" x14ac:dyDescent="0.35">
      <c r="A849" s="12"/>
      <c r="B849" s="12"/>
      <c r="C849" s="12"/>
      <c r="D849" s="12"/>
      <c r="E849" s="12"/>
      <c r="F849" s="12"/>
      <c r="G849" s="12"/>
    </row>
    <row r="850" spans="1:7" s="64" customFormat="1" x14ac:dyDescent="0.35">
      <c r="A850" s="12"/>
      <c r="B850" s="12"/>
      <c r="C850" s="12"/>
      <c r="D850" s="12"/>
      <c r="E850" s="12"/>
      <c r="F850" s="12"/>
      <c r="G850" s="12"/>
    </row>
    <row r="851" spans="1:7" s="64" customFormat="1" x14ac:dyDescent="0.35">
      <c r="A851" s="12"/>
      <c r="B851" s="12"/>
      <c r="C851" s="12"/>
      <c r="D851" s="12"/>
      <c r="E851" s="12"/>
      <c r="F851" s="12"/>
      <c r="G851" s="12"/>
    </row>
    <row r="852" spans="1:7" s="64" customFormat="1" x14ac:dyDescent="0.35">
      <c r="A852" s="12"/>
      <c r="B852" s="12"/>
      <c r="C852" s="12"/>
      <c r="D852" s="12"/>
      <c r="E852" s="12"/>
      <c r="F852" s="12"/>
      <c r="G852" s="12"/>
    </row>
    <row r="853" spans="1:7" s="64" customFormat="1" x14ac:dyDescent="0.35">
      <c r="A853" s="12"/>
      <c r="B853" s="12"/>
      <c r="C853" s="12"/>
      <c r="D853" s="12"/>
      <c r="E853" s="12"/>
      <c r="F853" s="12"/>
      <c r="G853" s="12"/>
    </row>
    <row r="854" spans="1:7" s="64" customFormat="1" x14ac:dyDescent="0.35">
      <c r="A854" s="12"/>
      <c r="B854" s="12"/>
      <c r="C854" s="12"/>
      <c r="D854" s="12"/>
      <c r="E854" s="12"/>
      <c r="F854" s="12"/>
      <c r="G854" s="12"/>
    </row>
    <row r="855" spans="1:7" s="64" customFormat="1" x14ac:dyDescent="0.35">
      <c r="A855" s="12"/>
      <c r="B855" s="12"/>
      <c r="C855" s="12"/>
      <c r="D855" s="12"/>
      <c r="E855" s="12"/>
      <c r="F855" s="12"/>
      <c r="G855" s="12"/>
    </row>
    <row r="856" spans="1:7" s="64" customFormat="1" x14ac:dyDescent="0.35">
      <c r="A856" s="12"/>
      <c r="B856" s="12"/>
      <c r="C856" s="12"/>
      <c r="D856" s="12"/>
      <c r="E856" s="12"/>
      <c r="F856" s="12"/>
      <c r="G856" s="12"/>
    </row>
    <row r="857" spans="1:7" s="64" customFormat="1" x14ac:dyDescent="0.35">
      <c r="A857" s="12"/>
      <c r="B857" s="12"/>
      <c r="C857" s="12"/>
      <c r="D857" s="12"/>
      <c r="E857" s="12"/>
      <c r="F857" s="12"/>
      <c r="G857" s="12"/>
    </row>
    <row r="858" spans="1:7" s="64" customFormat="1" x14ac:dyDescent="0.35">
      <c r="A858" s="12"/>
      <c r="B858" s="12"/>
      <c r="C858" s="12"/>
      <c r="D858" s="12"/>
      <c r="E858" s="12"/>
      <c r="F858" s="12"/>
      <c r="G858" s="12"/>
    </row>
    <row r="859" spans="1:7" s="64" customFormat="1" x14ac:dyDescent="0.35">
      <c r="A859" s="12"/>
      <c r="B859" s="12"/>
      <c r="C859" s="12"/>
      <c r="D859" s="12"/>
      <c r="E859" s="12"/>
      <c r="F859" s="12"/>
      <c r="G859" s="12"/>
    </row>
    <row r="860" spans="1:7" s="64" customFormat="1" x14ac:dyDescent="0.35">
      <c r="A860" s="12"/>
      <c r="B860" s="12"/>
      <c r="C860" s="12"/>
      <c r="D860" s="12"/>
      <c r="E860" s="12"/>
      <c r="F860" s="12"/>
      <c r="G860" s="12"/>
    </row>
    <row r="861" spans="1:7" s="64" customFormat="1" x14ac:dyDescent="0.35">
      <c r="A861" s="12"/>
      <c r="B861" s="12"/>
      <c r="C861" s="12"/>
      <c r="D861" s="12"/>
      <c r="E861" s="12"/>
      <c r="F861" s="12"/>
      <c r="G861" s="12"/>
    </row>
    <row r="862" spans="1:7" s="64" customFormat="1" x14ac:dyDescent="0.35">
      <c r="A862" s="12"/>
      <c r="B862" s="12"/>
      <c r="C862" s="12"/>
      <c r="D862" s="12"/>
      <c r="E862" s="12"/>
      <c r="F862" s="12"/>
      <c r="G862" s="12"/>
    </row>
    <row r="863" spans="1:7" s="64" customFormat="1" x14ac:dyDescent="0.35">
      <c r="A863" s="12"/>
      <c r="B863" s="12"/>
      <c r="C863" s="12"/>
      <c r="D863" s="12"/>
      <c r="E863" s="12"/>
      <c r="F863" s="12"/>
      <c r="G863" s="12"/>
    </row>
    <row r="864" spans="1:7" s="64" customFormat="1" x14ac:dyDescent="0.35">
      <c r="A864" s="12"/>
      <c r="B864" s="12"/>
      <c r="C864" s="12"/>
      <c r="D864" s="12"/>
      <c r="E864" s="12"/>
      <c r="F864" s="12"/>
      <c r="G864" s="12"/>
    </row>
    <row r="865" spans="1:7" s="64" customFormat="1" x14ac:dyDescent="0.35">
      <c r="A865" s="12"/>
      <c r="B865" s="12"/>
      <c r="C865" s="12"/>
      <c r="D865" s="12"/>
      <c r="E865" s="12"/>
      <c r="F865" s="12"/>
      <c r="G865" s="12"/>
    </row>
    <row r="866" spans="1:7" s="64" customFormat="1" x14ac:dyDescent="0.35">
      <c r="A866" s="12"/>
      <c r="B866" s="12"/>
      <c r="C866" s="12"/>
      <c r="D866" s="12"/>
      <c r="E866" s="12"/>
      <c r="F866" s="12"/>
      <c r="G866" s="12"/>
    </row>
    <row r="867" spans="1:7" s="64" customFormat="1" x14ac:dyDescent="0.35">
      <c r="A867" s="12"/>
      <c r="B867" s="12"/>
      <c r="C867" s="12"/>
      <c r="D867" s="12"/>
      <c r="E867" s="12"/>
      <c r="F867" s="12"/>
      <c r="G867" s="12"/>
    </row>
    <row r="868" spans="1:7" s="64" customFormat="1" x14ac:dyDescent="0.35">
      <c r="A868" s="12"/>
      <c r="B868" s="12"/>
      <c r="C868" s="12"/>
      <c r="D868" s="12"/>
      <c r="E868" s="12"/>
      <c r="F868" s="12"/>
      <c r="G868" s="12"/>
    </row>
    <row r="869" spans="1:7" s="64" customFormat="1" x14ac:dyDescent="0.35">
      <c r="A869" s="12"/>
      <c r="B869" s="12"/>
      <c r="C869" s="12"/>
      <c r="D869" s="12"/>
      <c r="E869" s="12"/>
      <c r="F869" s="12"/>
      <c r="G869" s="12"/>
    </row>
    <row r="870" spans="1:7" s="64" customFormat="1" x14ac:dyDescent="0.35">
      <c r="A870" s="12"/>
      <c r="B870" s="12"/>
      <c r="C870" s="12"/>
      <c r="D870" s="12"/>
      <c r="E870" s="12"/>
      <c r="F870" s="12"/>
      <c r="G870" s="12"/>
    </row>
    <row r="871" spans="1:7" s="64" customFormat="1" x14ac:dyDescent="0.35">
      <c r="A871" s="12"/>
      <c r="B871" s="12"/>
      <c r="C871" s="12"/>
      <c r="D871" s="12"/>
      <c r="E871" s="12"/>
      <c r="F871" s="12"/>
      <c r="G871" s="12"/>
    </row>
    <row r="872" spans="1:7" s="64" customFormat="1" x14ac:dyDescent="0.35">
      <c r="A872" s="12"/>
      <c r="B872" s="12"/>
      <c r="C872" s="12"/>
      <c r="D872" s="12"/>
      <c r="E872" s="12"/>
      <c r="F872" s="12"/>
      <c r="G872" s="12"/>
    </row>
    <row r="873" spans="1:7" s="64" customFormat="1" x14ac:dyDescent="0.35">
      <c r="A873" s="12"/>
      <c r="B873" s="12"/>
      <c r="C873" s="12"/>
      <c r="D873" s="12"/>
      <c r="E873" s="12"/>
      <c r="F873" s="12"/>
      <c r="G873" s="12"/>
    </row>
    <row r="874" spans="1:7" s="64" customFormat="1" x14ac:dyDescent="0.35">
      <c r="A874" s="12"/>
      <c r="B874" s="12"/>
      <c r="C874" s="12"/>
      <c r="D874" s="12"/>
      <c r="E874" s="12"/>
      <c r="F874" s="12"/>
      <c r="G874" s="12"/>
    </row>
    <row r="875" spans="1:7" s="64" customFormat="1" x14ac:dyDescent="0.35">
      <c r="A875" s="12"/>
      <c r="B875" s="12"/>
      <c r="C875" s="12"/>
      <c r="D875" s="12"/>
      <c r="E875" s="12"/>
      <c r="F875" s="12"/>
      <c r="G875" s="12"/>
    </row>
    <row r="876" spans="1:7" s="64" customFormat="1" x14ac:dyDescent="0.35">
      <c r="A876" s="12"/>
      <c r="B876" s="12"/>
      <c r="C876" s="12"/>
      <c r="D876" s="12"/>
      <c r="E876" s="12"/>
      <c r="F876" s="12"/>
      <c r="G876" s="12"/>
    </row>
    <row r="877" spans="1:7" s="64" customFormat="1" x14ac:dyDescent="0.35">
      <c r="A877" s="12"/>
      <c r="B877" s="12"/>
      <c r="C877" s="12"/>
      <c r="D877" s="12"/>
      <c r="E877" s="12"/>
      <c r="F877" s="12"/>
      <c r="G877" s="12"/>
    </row>
    <row r="878" spans="1:7" s="64" customFormat="1" x14ac:dyDescent="0.35">
      <c r="A878" s="12"/>
      <c r="B878" s="12"/>
      <c r="C878" s="12"/>
      <c r="D878" s="12"/>
      <c r="E878" s="12"/>
      <c r="F878" s="12"/>
      <c r="G878" s="12"/>
    </row>
    <row r="879" spans="1:7" s="64" customFormat="1" x14ac:dyDescent="0.35">
      <c r="A879" s="12"/>
      <c r="B879" s="12"/>
      <c r="C879" s="12"/>
      <c r="D879" s="12"/>
      <c r="E879" s="12"/>
      <c r="F879" s="12"/>
      <c r="G879" s="12"/>
    </row>
    <row r="880" spans="1:7" s="64" customFormat="1" x14ac:dyDescent="0.35">
      <c r="A880" s="12"/>
      <c r="B880" s="12"/>
      <c r="C880" s="12"/>
      <c r="D880" s="12"/>
      <c r="E880" s="12"/>
      <c r="F880" s="12"/>
      <c r="G880" s="12"/>
    </row>
    <row r="881" spans="1:7" s="64" customFormat="1" x14ac:dyDescent="0.35">
      <c r="A881" s="12"/>
      <c r="B881" s="12"/>
      <c r="C881" s="12"/>
      <c r="D881" s="12"/>
      <c r="E881" s="12"/>
      <c r="F881" s="12"/>
      <c r="G881" s="12"/>
    </row>
    <row r="882" spans="1:7" s="64" customFormat="1" x14ac:dyDescent="0.35">
      <c r="A882" s="12"/>
      <c r="B882" s="12"/>
      <c r="C882" s="12"/>
      <c r="D882" s="12"/>
      <c r="E882" s="12"/>
      <c r="F882" s="12"/>
      <c r="G882" s="12"/>
    </row>
    <row r="883" spans="1:7" s="64" customFormat="1" x14ac:dyDescent="0.35">
      <c r="A883" s="12"/>
      <c r="B883" s="12"/>
      <c r="C883" s="12"/>
      <c r="D883" s="12"/>
      <c r="E883" s="12"/>
      <c r="F883" s="12"/>
      <c r="G883" s="12"/>
    </row>
    <row r="884" spans="1:7" s="64" customFormat="1" x14ac:dyDescent="0.35">
      <c r="A884" s="12"/>
      <c r="B884" s="12"/>
      <c r="C884" s="12"/>
      <c r="D884" s="12"/>
      <c r="E884" s="12"/>
      <c r="F884" s="12"/>
      <c r="G884" s="12"/>
    </row>
    <row r="885" spans="1:7" s="64" customFormat="1" x14ac:dyDescent="0.35">
      <c r="A885" s="12"/>
      <c r="B885" s="12"/>
      <c r="C885" s="12"/>
      <c r="D885" s="12"/>
      <c r="E885" s="12"/>
      <c r="F885" s="12"/>
      <c r="G885" s="12"/>
    </row>
    <row r="886" spans="1:7" s="64" customFormat="1" x14ac:dyDescent="0.35">
      <c r="A886" s="12"/>
      <c r="B886" s="12"/>
      <c r="C886" s="12"/>
      <c r="D886" s="12"/>
      <c r="E886" s="12"/>
      <c r="F886" s="12"/>
      <c r="G886" s="12"/>
    </row>
    <row r="887" spans="1:7" s="64" customFormat="1" x14ac:dyDescent="0.35">
      <c r="A887" s="12"/>
      <c r="B887" s="12"/>
      <c r="C887" s="12"/>
      <c r="D887" s="12"/>
      <c r="E887" s="12"/>
      <c r="F887" s="12"/>
      <c r="G887" s="12"/>
    </row>
    <row r="888" spans="1:7" s="64" customFormat="1" x14ac:dyDescent="0.35">
      <c r="A888" s="12"/>
      <c r="B888" s="12"/>
      <c r="C888" s="12"/>
      <c r="D888" s="12"/>
      <c r="E888" s="12"/>
      <c r="F888" s="12"/>
      <c r="G888" s="12"/>
    </row>
    <row r="889" spans="1:7" s="64" customFormat="1" x14ac:dyDescent="0.35">
      <c r="A889" s="12"/>
      <c r="B889" s="12"/>
      <c r="C889" s="12"/>
      <c r="D889" s="12"/>
      <c r="E889" s="12"/>
      <c r="F889" s="12"/>
      <c r="G889" s="12"/>
    </row>
    <row r="890" spans="1:7" s="64" customFormat="1" x14ac:dyDescent="0.35">
      <c r="A890" s="12"/>
      <c r="B890" s="12"/>
      <c r="C890" s="12"/>
      <c r="D890" s="12"/>
      <c r="E890" s="12"/>
      <c r="F890" s="12"/>
      <c r="G890" s="12"/>
    </row>
    <row r="891" spans="1:7" s="64" customFormat="1" x14ac:dyDescent="0.35">
      <c r="A891" s="12"/>
      <c r="B891" s="12"/>
      <c r="C891" s="12"/>
      <c r="D891" s="12"/>
      <c r="E891" s="12"/>
      <c r="F891" s="12"/>
      <c r="G891" s="12"/>
    </row>
    <row r="892" spans="1:7" s="64" customFormat="1" x14ac:dyDescent="0.35">
      <c r="A892" s="12"/>
      <c r="B892" s="12"/>
      <c r="C892" s="12"/>
      <c r="D892" s="12"/>
      <c r="E892" s="12"/>
      <c r="F892" s="12"/>
      <c r="G892" s="12"/>
    </row>
    <row r="893" spans="1:7" s="64" customFormat="1" x14ac:dyDescent="0.35">
      <c r="A893" s="12"/>
      <c r="B893" s="12"/>
      <c r="C893" s="12"/>
      <c r="D893" s="12"/>
      <c r="E893" s="12"/>
      <c r="F893" s="12"/>
      <c r="G893" s="12"/>
    </row>
    <row r="894" spans="1:7" s="64" customFormat="1" x14ac:dyDescent="0.35">
      <c r="A894" s="12"/>
      <c r="B894" s="12"/>
      <c r="C894" s="12"/>
      <c r="D894" s="12"/>
      <c r="E894" s="12"/>
      <c r="F894" s="12"/>
      <c r="G894" s="12"/>
    </row>
    <row r="895" spans="1:7" s="64" customFormat="1" x14ac:dyDescent="0.35">
      <c r="A895" s="12"/>
      <c r="B895" s="12"/>
      <c r="C895" s="12"/>
      <c r="D895" s="12"/>
      <c r="E895" s="12"/>
      <c r="F895" s="12"/>
      <c r="G895" s="12"/>
    </row>
    <row r="896" spans="1:7" s="64" customFormat="1" x14ac:dyDescent="0.35">
      <c r="A896" s="12"/>
      <c r="B896" s="12"/>
      <c r="C896" s="12"/>
      <c r="D896" s="12"/>
      <c r="E896" s="12"/>
      <c r="F896" s="12"/>
      <c r="G896" s="12"/>
    </row>
    <row r="897" spans="1:7" s="64" customFormat="1" x14ac:dyDescent="0.35">
      <c r="A897" s="12"/>
      <c r="B897" s="12"/>
      <c r="C897" s="12"/>
      <c r="D897" s="12"/>
      <c r="E897" s="12"/>
      <c r="F897" s="12"/>
      <c r="G897" s="12"/>
    </row>
    <row r="898" spans="1:7" s="64" customFormat="1" x14ac:dyDescent="0.35">
      <c r="A898" s="12"/>
      <c r="B898" s="12"/>
      <c r="C898" s="12"/>
      <c r="D898" s="12"/>
      <c r="E898" s="12"/>
      <c r="F898" s="12"/>
      <c r="G898" s="12"/>
    </row>
    <row r="899" spans="1:7" s="64" customFormat="1" x14ac:dyDescent="0.35">
      <c r="A899" s="12"/>
      <c r="B899" s="12"/>
      <c r="C899" s="12"/>
      <c r="D899" s="12"/>
      <c r="E899" s="12"/>
      <c r="F899" s="12"/>
      <c r="G899" s="12"/>
    </row>
    <row r="900" spans="1:7" s="64" customFormat="1" x14ac:dyDescent="0.35">
      <c r="A900" s="12"/>
      <c r="B900" s="12"/>
      <c r="C900" s="12"/>
      <c r="D900" s="12"/>
      <c r="E900" s="12"/>
      <c r="F900" s="12"/>
      <c r="G900" s="12"/>
    </row>
    <row r="901" spans="1:7" s="64" customFormat="1" x14ac:dyDescent="0.35">
      <c r="A901" s="12"/>
      <c r="B901" s="12"/>
      <c r="C901" s="12"/>
      <c r="D901" s="12"/>
      <c r="E901" s="12"/>
      <c r="F901" s="12"/>
      <c r="G901" s="12"/>
    </row>
    <row r="902" spans="1:7" s="64" customFormat="1" x14ac:dyDescent="0.35">
      <c r="A902" s="12"/>
      <c r="B902" s="12"/>
      <c r="C902" s="12"/>
      <c r="D902" s="12"/>
      <c r="E902" s="12"/>
      <c r="F902" s="12"/>
      <c r="G902" s="12"/>
    </row>
    <row r="903" spans="1:7" s="64" customFormat="1" x14ac:dyDescent="0.35">
      <c r="A903" s="12"/>
      <c r="B903" s="12"/>
      <c r="C903" s="12"/>
      <c r="D903" s="12"/>
      <c r="E903" s="12"/>
      <c r="F903" s="12"/>
      <c r="G903" s="12"/>
    </row>
    <row r="904" spans="1:7" s="64" customFormat="1" x14ac:dyDescent="0.35">
      <c r="A904" s="12"/>
      <c r="B904" s="12"/>
      <c r="C904" s="12"/>
      <c r="D904" s="12"/>
      <c r="E904" s="12"/>
      <c r="F904" s="12"/>
      <c r="G904" s="12"/>
    </row>
    <row r="905" spans="1:7" s="64" customFormat="1" x14ac:dyDescent="0.35">
      <c r="A905" s="12"/>
      <c r="B905" s="12"/>
      <c r="C905" s="12"/>
      <c r="D905" s="12"/>
      <c r="E905" s="12"/>
      <c r="F905" s="12"/>
      <c r="G905" s="12"/>
    </row>
    <row r="906" spans="1:7" s="64" customFormat="1" x14ac:dyDescent="0.35">
      <c r="A906" s="12"/>
      <c r="B906" s="12"/>
      <c r="C906" s="12"/>
      <c r="D906" s="12"/>
      <c r="E906" s="12"/>
      <c r="F906" s="12"/>
      <c r="G906" s="12"/>
    </row>
    <row r="907" spans="1:7" s="64" customFormat="1" x14ac:dyDescent="0.35">
      <c r="A907" s="12"/>
      <c r="B907" s="12"/>
      <c r="C907" s="12"/>
      <c r="D907" s="12"/>
      <c r="E907" s="12"/>
      <c r="F907" s="12"/>
      <c r="G907" s="12"/>
    </row>
    <row r="908" spans="1:7" s="64" customFormat="1" x14ac:dyDescent="0.35">
      <c r="A908" s="12"/>
      <c r="B908" s="12"/>
      <c r="C908" s="12"/>
      <c r="D908" s="12"/>
      <c r="E908" s="12"/>
      <c r="F908" s="12"/>
      <c r="G908" s="12"/>
    </row>
    <row r="909" spans="1:7" s="64" customFormat="1" x14ac:dyDescent="0.35">
      <c r="A909" s="12"/>
      <c r="B909" s="12"/>
      <c r="C909" s="12"/>
      <c r="D909" s="12"/>
      <c r="E909" s="12"/>
      <c r="F909" s="12"/>
      <c r="G909" s="12"/>
    </row>
    <row r="910" spans="1:7" s="64" customFormat="1" x14ac:dyDescent="0.35">
      <c r="A910" s="12"/>
      <c r="B910" s="12"/>
      <c r="C910" s="12"/>
      <c r="D910" s="12"/>
      <c r="E910" s="12"/>
      <c r="F910" s="12"/>
      <c r="G910" s="12"/>
    </row>
    <row r="911" spans="1:7" s="64" customFormat="1" x14ac:dyDescent="0.35">
      <c r="A911" s="12"/>
      <c r="B911" s="12"/>
      <c r="C911" s="12"/>
      <c r="D911" s="12"/>
      <c r="E911" s="12"/>
      <c r="F911" s="12"/>
      <c r="G911" s="12"/>
    </row>
    <row r="912" spans="1:7" s="64" customFormat="1" x14ac:dyDescent="0.35">
      <c r="A912" s="12"/>
      <c r="B912" s="12"/>
      <c r="C912" s="12"/>
      <c r="D912" s="12"/>
      <c r="E912" s="12"/>
      <c r="F912" s="12"/>
      <c r="G912" s="12"/>
    </row>
    <row r="913" spans="1:7" s="64" customFormat="1" x14ac:dyDescent="0.35">
      <c r="A913" s="12"/>
      <c r="B913" s="12"/>
      <c r="C913" s="12"/>
      <c r="D913" s="12"/>
      <c r="E913" s="12"/>
      <c r="F913" s="12"/>
      <c r="G913" s="12"/>
    </row>
    <row r="914" spans="1:7" s="64" customFormat="1" x14ac:dyDescent="0.35">
      <c r="A914" s="12"/>
      <c r="B914" s="12"/>
      <c r="C914" s="12"/>
      <c r="D914" s="12"/>
      <c r="E914" s="12"/>
      <c r="F914" s="12"/>
      <c r="G914" s="12"/>
    </row>
    <row r="915" spans="1:7" s="64" customFormat="1" x14ac:dyDescent="0.35">
      <c r="A915" s="12"/>
      <c r="B915" s="12"/>
      <c r="C915" s="12"/>
      <c r="D915" s="12"/>
      <c r="E915" s="12"/>
      <c r="F915" s="12"/>
      <c r="G915" s="12"/>
    </row>
    <row r="916" spans="1:7" s="64" customFormat="1" x14ac:dyDescent="0.35">
      <c r="A916" s="12"/>
      <c r="B916" s="12"/>
      <c r="C916" s="12"/>
      <c r="D916" s="12"/>
      <c r="E916" s="12"/>
      <c r="F916" s="12"/>
      <c r="G916" s="12"/>
    </row>
    <row r="917" spans="1:7" s="64" customFormat="1" x14ac:dyDescent="0.35">
      <c r="A917" s="12"/>
      <c r="B917" s="12"/>
      <c r="C917" s="12"/>
      <c r="D917" s="12"/>
      <c r="E917" s="12"/>
      <c r="F917" s="12"/>
      <c r="G917" s="12"/>
    </row>
    <row r="918" spans="1:7" s="64" customFormat="1" x14ac:dyDescent="0.35">
      <c r="A918" s="12"/>
      <c r="B918" s="12"/>
      <c r="C918" s="12"/>
      <c r="D918" s="12"/>
      <c r="E918" s="12"/>
      <c r="F918" s="12"/>
      <c r="G918" s="12"/>
    </row>
    <row r="919" spans="1:7" s="64" customFormat="1" x14ac:dyDescent="0.35">
      <c r="A919" s="12"/>
      <c r="B919" s="12"/>
      <c r="C919" s="12"/>
      <c r="D919" s="12"/>
      <c r="E919" s="12"/>
      <c r="F919" s="12"/>
      <c r="G919" s="12"/>
    </row>
    <row r="920" spans="1:7" s="64" customFormat="1" x14ac:dyDescent="0.35">
      <c r="A920" s="12"/>
      <c r="B920" s="12"/>
      <c r="C920" s="12"/>
      <c r="D920" s="12"/>
      <c r="E920" s="12"/>
      <c r="F920" s="12"/>
      <c r="G920" s="12"/>
    </row>
    <row r="921" spans="1:7" s="64" customFormat="1" x14ac:dyDescent="0.35">
      <c r="A921" s="12"/>
      <c r="B921" s="12"/>
      <c r="C921" s="12"/>
      <c r="D921" s="12"/>
      <c r="E921" s="12"/>
      <c r="F921" s="12"/>
      <c r="G921" s="12"/>
    </row>
    <row r="922" spans="1:7" s="64" customFormat="1" x14ac:dyDescent="0.35">
      <c r="A922" s="12"/>
      <c r="B922" s="12"/>
      <c r="C922" s="12"/>
      <c r="D922" s="12"/>
      <c r="E922" s="12"/>
      <c r="F922" s="12"/>
      <c r="G922" s="12"/>
    </row>
    <row r="923" spans="1:7" s="64" customFormat="1" x14ac:dyDescent="0.35">
      <c r="A923" s="12"/>
      <c r="B923" s="12"/>
      <c r="C923" s="12"/>
      <c r="D923" s="12"/>
      <c r="E923" s="12"/>
      <c r="F923" s="12"/>
      <c r="G923" s="12"/>
    </row>
    <row r="924" spans="1:7" s="64" customFormat="1" x14ac:dyDescent="0.35">
      <c r="A924" s="12"/>
      <c r="B924" s="12"/>
      <c r="C924" s="12"/>
      <c r="D924" s="12"/>
      <c r="E924" s="12"/>
      <c r="F924" s="12"/>
      <c r="G924" s="12"/>
    </row>
    <row r="925" spans="1:7" s="64" customFormat="1" x14ac:dyDescent="0.35">
      <c r="A925" s="12"/>
      <c r="B925" s="12"/>
      <c r="C925" s="12"/>
      <c r="D925" s="12"/>
      <c r="E925" s="12"/>
      <c r="F925" s="12"/>
      <c r="G925" s="12"/>
    </row>
    <row r="926" spans="1:7" s="64" customFormat="1" x14ac:dyDescent="0.35">
      <c r="A926" s="12"/>
      <c r="B926" s="12"/>
      <c r="C926" s="12"/>
      <c r="D926" s="12"/>
      <c r="E926" s="12"/>
      <c r="F926" s="12"/>
      <c r="G926" s="12"/>
    </row>
    <row r="927" spans="1:7" s="64" customFormat="1" x14ac:dyDescent="0.35">
      <c r="A927" s="12"/>
      <c r="B927" s="12"/>
      <c r="C927" s="12"/>
      <c r="D927" s="12"/>
      <c r="E927" s="12"/>
      <c r="F927" s="12"/>
      <c r="G927" s="12"/>
    </row>
    <row r="928" spans="1:7" s="64" customFormat="1" x14ac:dyDescent="0.35">
      <c r="A928" s="12"/>
      <c r="B928" s="12"/>
      <c r="C928" s="12"/>
      <c r="D928" s="12"/>
      <c r="E928" s="12"/>
      <c r="F928" s="12"/>
      <c r="G928" s="12"/>
    </row>
    <row r="929" spans="1:7" s="64" customFormat="1" x14ac:dyDescent="0.35">
      <c r="A929" s="12"/>
      <c r="B929" s="12"/>
      <c r="C929" s="12"/>
      <c r="D929" s="12"/>
      <c r="E929" s="12"/>
      <c r="F929" s="12"/>
      <c r="G929" s="12"/>
    </row>
    <row r="930" spans="1:7" s="64" customFormat="1" x14ac:dyDescent="0.35">
      <c r="A930" s="12"/>
      <c r="B930" s="12"/>
      <c r="C930" s="12"/>
      <c r="D930" s="12"/>
      <c r="E930" s="12"/>
      <c r="F930" s="12"/>
      <c r="G930" s="12"/>
    </row>
    <row r="931" spans="1:7" s="64" customFormat="1" x14ac:dyDescent="0.35">
      <c r="A931" s="12"/>
      <c r="B931" s="12"/>
      <c r="C931" s="12"/>
      <c r="D931" s="12"/>
      <c r="E931" s="12"/>
      <c r="F931" s="12"/>
      <c r="G931" s="12"/>
    </row>
    <row r="932" spans="1:7" s="64" customFormat="1" x14ac:dyDescent="0.35">
      <c r="A932" s="12"/>
      <c r="B932" s="12"/>
      <c r="C932" s="12"/>
      <c r="D932" s="12"/>
      <c r="E932" s="12"/>
      <c r="F932" s="12"/>
      <c r="G932" s="12"/>
    </row>
    <row r="933" spans="1:7" s="64" customFormat="1" x14ac:dyDescent="0.35">
      <c r="A933" s="12"/>
      <c r="B933" s="12"/>
      <c r="C933" s="12"/>
      <c r="D933" s="12"/>
      <c r="E933" s="12"/>
      <c r="F933" s="12"/>
      <c r="G933" s="12"/>
    </row>
    <row r="934" spans="1:7" s="64" customFormat="1" x14ac:dyDescent="0.35">
      <c r="A934" s="12"/>
      <c r="B934" s="12"/>
      <c r="C934" s="12"/>
      <c r="D934" s="12"/>
      <c r="E934" s="12"/>
      <c r="F934" s="12"/>
      <c r="G934" s="12"/>
    </row>
    <row r="935" spans="1:7" s="64" customFormat="1" x14ac:dyDescent="0.35">
      <c r="A935" s="12"/>
      <c r="B935" s="12"/>
      <c r="C935" s="12"/>
      <c r="D935" s="12"/>
      <c r="E935" s="12"/>
      <c r="F935" s="12"/>
      <c r="G935" s="12"/>
    </row>
    <row r="936" spans="1:7" s="64" customFormat="1" x14ac:dyDescent="0.35">
      <c r="A936" s="12"/>
      <c r="B936" s="12"/>
      <c r="C936" s="12"/>
      <c r="D936" s="12"/>
      <c r="E936" s="12"/>
      <c r="F936" s="12"/>
      <c r="G936" s="12"/>
    </row>
    <row r="937" spans="1:7" s="64" customFormat="1" x14ac:dyDescent="0.35">
      <c r="A937" s="12"/>
      <c r="B937" s="12"/>
      <c r="C937" s="12"/>
      <c r="D937" s="12"/>
      <c r="E937" s="12"/>
      <c r="F937" s="12"/>
      <c r="G937" s="12"/>
    </row>
    <row r="938" spans="1:7" s="64" customFormat="1" x14ac:dyDescent="0.35">
      <c r="A938" s="12"/>
      <c r="B938" s="12"/>
      <c r="C938" s="12"/>
      <c r="D938" s="12"/>
      <c r="E938" s="12"/>
      <c r="F938" s="12"/>
      <c r="G938" s="12"/>
    </row>
    <row r="939" spans="1:7" s="64" customFormat="1" x14ac:dyDescent="0.35">
      <c r="A939" s="12"/>
      <c r="B939" s="12"/>
      <c r="C939" s="12"/>
      <c r="D939" s="12"/>
      <c r="E939" s="12"/>
      <c r="F939" s="12"/>
      <c r="G939" s="12"/>
    </row>
    <row r="940" spans="1:7" s="64" customFormat="1" x14ac:dyDescent="0.35">
      <c r="A940" s="12"/>
      <c r="B940" s="12"/>
      <c r="C940" s="12"/>
      <c r="D940" s="12"/>
      <c r="E940" s="12"/>
      <c r="F940" s="12"/>
      <c r="G940" s="12"/>
    </row>
    <row r="941" spans="1:7" s="64" customFormat="1" x14ac:dyDescent="0.35">
      <c r="A941" s="12"/>
      <c r="B941" s="12"/>
      <c r="C941" s="12"/>
      <c r="D941" s="12"/>
      <c r="E941" s="12"/>
      <c r="F941" s="12"/>
      <c r="G941" s="12"/>
    </row>
    <row r="942" spans="1:7" s="64" customFormat="1" x14ac:dyDescent="0.35">
      <c r="A942" s="12"/>
      <c r="B942" s="12"/>
      <c r="C942" s="12"/>
      <c r="D942" s="12"/>
      <c r="E942" s="12"/>
      <c r="F942" s="12"/>
      <c r="G942" s="12"/>
    </row>
    <row r="943" spans="1:7" s="64" customFormat="1" x14ac:dyDescent="0.35">
      <c r="A943" s="12"/>
      <c r="B943" s="12"/>
      <c r="C943" s="12"/>
      <c r="D943" s="12"/>
      <c r="E943" s="12"/>
      <c r="F943" s="12"/>
      <c r="G943" s="12"/>
    </row>
    <row r="944" spans="1:7" s="64" customFormat="1" x14ac:dyDescent="0.35">
      <c r="A944" s="12"/>
      <c r="B944" s="12"/>
      <c r="C944" s="12"/>
      <c r="D944" s="12"/>
      <c r="E944" s="12"/>
      <c r="F944" s="12"/>
      <c r="G944" s="12"/>
    </row>
    <row r="945" spans="1:7" s="64" customFormat="1" x14ac:dyDescent="0.35">
      <c r="A945" s="12"/>
      <c r="B945" s="12"/>
      <c r="C945" s="12"/>
      <c r="D945" s="12"/>
      <c r="E945" s="12"/>
      <c r="F945" s="12"/>
      <c r="G945" s="12"/>
    </row>
    <row r="946" spans="1:7" s="64" customFormat="1" x14ac:dyDescent="0.35">
      <c r="A946" s="12"/>
      <c r="B946" s="12"/>
      <c r="C946" s="12"/>
      <c r="D946" s="12"/>
      <c r="E946" s="12"/>
      <c r="F946" s="12"/>
      <c r="G946" s="12"/>
    </row>
    <row r="947" spans="1:7" s="64" customFormat="1" x14ac:dyDescent="0.35">
      <c r="A947" s="12"/>
      <c r="B947" s="12"/>
      <c r="C947" s="12"/>
      <c r="D947" s="12"/>
      <c r="E947" s="12"/>
      <c r="F947" s="12"/>
      <c r="G947" s="12"/>
    </row>
    <row r="948" spans="1:7" s="64" customFormat="1" x14ac:dyDescent="0.35">
      <c r="A948" s="12"/>
      <c r="B948" s="12"/>
      <c r="C948" s="12"/>
      <c r="D948" s="12"/>
      <c r="E948" s="12"/>
      <c r="F948" s="12"/>
      <c r="G948" s="12"/>
    </row>
    <row r="949" spans="1:7" s="64" customFormat="1" x14ac:dyDescent="0.35">
      <c r="A949" s="12"/>
      <c r="B949" s="12"/>
      <c r="C949" s="12"/>
      <c r="D949" s="12"/>
      <c r="E949" s="12"/>
      <c r="F949" s="12"/>
      <c r="G949" s="12"/>
    </row>
    <row r="950" spans="1:7" s="64" customFormat="1" x14ac:dyDescent="0.35">
      <c r="A950" s="12"/>
      <c r="B950" s="12"/>
      <c r="C950" s="12"/>
      <c r="D950" s="12"/>
      <c r="E950" s="12"/>
      <c r="F950" s="12"/>
      <c r="G950" s="12"/>
    </row>
    <row r="951" spans="1:7" s="64" customFormat="1" x14ac:dyDescent="0.35">
      <c r="A951" s="12"/>
      <c r="B951" s="12"/>
      <c r="C951" s="12"/>
      <c r="D951" s="12"/>
      <c r="E951" s="12"/>
      <c r="F951" s="12"/>
      <c r="G951" s="12"/>
    </row>
    <row r="952" spans="1:7" s="64" customFormat="1" x14ac:dyDescent="0.35">
      <c r="A952" s="12"/>
      <c r="B952" s="12"/>
      <c r="C952" s="12"/>
      <c r="D952" s="12"/>
      <c r="E952" s="12"/>
      <c r="F952" s="12"/>
      <c r="G952" s="12"/>
    </row>
    <row r="953" spans="1:7" s="64" customFormat="1" x14ac:dyDescent="0.35">
      <c r="A953" s="12"/>
      <c r="B953" s="12"/>
      <c r="C953" s="12"/>
      <c r="D953" s="12"/>
      <c r="E953" s="12"/>
      <c r="F953" s="12"/>
      <c r="G953" s="12"/>
    </row>
    <row r="954" spans="1:7" s="64" customFormat="1" x14ac:dyDescent="0.35">
      <c r="A954" s="12"/>
      <c r="B954" s="12"/>
      <c r="C954" s="12"/>
      <c r="D954" s="12"/>
      <c r="E954" s="12"/>
      <c r="F954" s="12"/>
      <c r="G954" s="12"/>
    </row>
    <row r="955" spans="1:7" s="64" customFormat="1" x14ac:dyDescent="0.35">
      <c r="A955" s="12"/>
      <c r="B955" s="12"/>
      <c r="C955" s="12"/>
      <c r="D955" s="12"/>
      <c r="E955" s="12"/>
      <c r="F955" s="12"/>
      <c r="G955" s="12"/>
    </row>
    <row r="956" spans="1:7" s="64" customFormat="1" x14ac:dyDescent="0.35">
      <c r="A956" s="12"/>
      <c r="B956" s="12"/>
      <c r="C956" s="12"/>
      <c r="D956" s="12"/>
      <c r="E956" s="12"/>
      <c r="F956" s="12"/>
      <c r="G956" s="12"/>
    </row>
    <row r="957" spans="1:7" s="64" customFormat="1" x14ac:dyDescent="0.35">
      <c r="A957" s="12"/>
      <c r="B957" s="12"/>
      <c r="C957" s="12"/>
      <c r="D957" s="12"/>
      <c r="E957" s="12"/>
      <c r="F957" s="12"/>
      <c r="G957" s="12"/>
    </row>
    <row r="958" spans="1:7" s="64" customFormat="1" x14ac:dyDescent="0.35">
      <c r="A958" s="12"/>
      <c r="B958" s="12"/>
      <c r="C958" s="12"/>
      <c r="D958" s="12"/>
      <c r="E958" s="12"/>
      <c r="F958" s="12"/>
      <c r="G958" s="12"/>
    </row>
    <row r="959" spans="1:7" s="64" customFormat="1" x14ac:dyDescent="0.35">
      <c r="A959" s="12"/>
      <c r="B959" s="12"/>
      <c r="C959" s="12"/>
      <c r="D959" s="12"/>
      <c r="E959" s="12"/>
      <c r="F959" s="12"/>
      <c r="G959" s="12"/>
    </row>
    <row r="960" spans="1:7" s="64" customFormat="1" x14ac:dyDescent="0.35">
      <c r="A960" s="12"/>
      <c r="B960" s="12"/>
      <c r="C960" s="12"/>
      <c r="D960" s="12"/>
      <c r="E960" s="12"/>
      <c r="F960" s="12"/>
      <c r="G960" s="12"/>
    </row>
    <row r="961" spans="1:7" s="64" customFormat="1" x14ac:dyDescent="0.35">
      <c r="A961" s="12"/>
      <c r="B961" s="12"/>
      <c r="C961" s="12"/>
      <c r="D961" s="12"/>
      <c r="E961" s="12"/>
      <c r="F961" s="12"/>
      <c r="G961" s="12"/>
    </row>
    <row r="962" spans="1:7" s="64" customFormat="1" x14ac:dyDescent="0.35">
      <c r="A962" s="12"/>
      <c r="B962" s="12"/>
      <c r="C962" s="12"/>
      <c r="D962" s="12"/>
      <c r="E962" s="12"/>
      <c r="F962" s="12"/>
      <c r="G962" s="12"/>
    </row>
    <row r="963" spans="1:7" s="64" customFormat="1" x14ac:dyDescent="0.35">
      <c r="A963" s="12"/>
      <c r="B963" s="12"/>
      <c r="C963" s="12"/>
      <c r="D963" s="12"/>
      <c r="E963" s="12"/>
      <c r="F963" s="12"/>
      <c r="G963" s="12"/>
    </row>
    <row r="964" spans="1:7" s="64" customFormat="1" x14ac:dyDescent="0.35">
      <c r="A964" s="12"/>
      <c r="B964" s="12"/>
      <c r="C964" s="12"/>
      <c r="D964" s="12"/>
      <c r="E964" s="12"/>
      <c r="F964" s="12"/>
      <c r="G964" s="12"/>
    </row>
    <row r="965" spans="1:7" s="64" customFormat="1" x14ac:dyDescent="0.35">
      <c r="A965" s="12"/>
      <c r="B965" s="12"/>
      <c r="C965" s="12"/>
      <c r="D965" s="12"/>
      <c r="E965" s="12"/>
      <c r="F965" s="12"/>
      <c r="G965" s="12"/>
    </row>
    <row r="966" spans="1:7" s="64" customFormat="1" x14ac:dyDescent="0.35">
      <c r="A966" s="12"/>
      <c r="B966" s="12"/>
      <c r="C966" s="12"/>
      <c r="D966" s="12"/>
      <c r="E966" s="12"/>
      <c r="F966" s="12"/>
      <c r="G966" s="12"/>
    </row>
    <row r="967" spans="1:7" s="64" customFormat="1" x14ac:dyDescent="0.35">
      <c r="A967" s="12"/>
      <c r="B967" s="12"/>
      <c r="C967" s="12"/>
      <c r="D967" s="12"/>
      <c r="E967" s="12"/>
      <c r="F967" s="12"/>
      <c r="G967" s="12"/>
    </row>
    <row r="968" spans="1:7" s="64" customFormat="1" x14ac:dyDescent="0.35">
      <c r="A968" s="12"/>
      <c r="B968" s="12"/>
      <c r="C968" s="12"/>
      <c r="D968" s="12"/>
      <c r="E968" s="12"/>
      <c r="F968" s="12"/>
      <c r="G968" s="12"/>
    </row>
    <row r="969" spans="1:7" s="64" customFormat="1" x14ac:dyDescent="0.35">
      <c r="A969" s="12"/>
      <c r="B969" s="12"/>
      <c r="C969" s="12"/>
      <c r="D969" s="12"/>
      <c r="E969" s="12"/>
      <c r="F969" s="12"/>
      <c r="G969" s="12"/>
    </row>
    <row r="970" spans="1:7" s="64" customFormat="1" x14ac:dyDescent="0.35">
      <c r="A970" s="12"/>
      <c r="B970" s="12"/>
      <c r="C970" s="12"/>
      <c r="D970" s="12"/>
      <c r="E970" s="12"/>
      <c r="F970" s="12"/>
      <c r="G970" s="12"/>
    </row>
    <row r="971" spans="1:7" s="64" customFormat="1" x14ac:dyDescent="0.35">
      <c r="A971" s="12"/>
      <c r="B971" s="12"/>
      <c r="C971" s="12"/>
      <c r="D971" s="12"/>
      <c r="E971" s="12"/>
      <c r="F971" s="12"/>
      <c r="G971" s="12"/>
    </row>
  </sheetData>
  <conditionalFormatting sqref="F617:F770">
    <cfRule type="colorScale" priority="13">
      <colorScale>
        <cfvo type="min"/>
        <cfvo type="percentile" val="50"/>
        <cfvo type="max"/>
        <color rgb="FFF8696B"/>
        <color rgb="FFFFEB84"/>
        <color rgb="FF63BE7B"/>
      </colorScale>
    </cfRule>
  </conditionalFormatting>
  <conditionalFormatting sqref="G617:G770">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vt:lpstr>
      <vt:lpstr>Database</vt:lpstr>
      <vt:lpstr>PCE Deflator</vt:lpstr>
      <vt:lpstr>PCE Core</vt:lpstr>
      <vt:lpstr>PCE Core vs Core CPI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2018-04-30T10:56:20Z</dcterms:created>
  <dcterms:modified xsi:type="dcterms:W3CDTF">2022-12-03T12:03:19Z</dcterms:modified>
</cp:coreProperties>
</file>