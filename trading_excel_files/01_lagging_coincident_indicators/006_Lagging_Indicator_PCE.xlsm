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4600" yWindow="-640" windowWidth="42520" windowHeight="2756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externalReferences>
    <externalReference xmlns:r="http://schemas.openxmlformats.org/officeDocument/2006/relationships" r:id="rId6"/>
  </externalReferences>
  <definedNames/>
  <calcPr calcId="191029" fullCalcOnLoad="1"/>
</workbook>
</file>

<file path=xl/styles.xml><?xml version="1.0" encoding="utf-8"?>
<styleSheet xmlns="http://schemas.openxmlformats.org/spreadsheetml/2006/main">
  <numFmts count="8">
    <numFmt numFmtId="164" formatCode="dd\-mm\-yyyy"/>
    <numFmt numFmtId="165" formatCode="0.0"/>
    <numFmt numFmtId="166" formatCode="mm/dd/yyyy"/>
    <numFmt numFmtId="167" formatCode="yyyy\-mm\-dd"/>
    <numFmt numFmtId="168" formatCode="0.000"/>
    <numFmt numFmtId="169" formatCode="0.0%"/>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medium">
        <color indexed="64"/>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104">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2" fillId="2" borderId="0" pivotButton="0" quotePrefix="0" xfId="1"/>
    <xf numFmtId="0" fontId="0" fillId="2" borderId="0" pivotButton="0" quotePrefix="0" xfId="0"/>
    <xf numFmtId="164" fontId="0" fillId="0" borderId="0" pivotButton="0" quotePrefix="0" xfId="0"/>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11" fillId="2" borderId="0" applyAlignment="1" pivotButton="0" quotePrefix="0" xfId="0">
      <alignment horizontal="center" vertical="center"/>
    </xf>
    <xf numFmtId="0" fontId="11" fillId="2" borderId="9" applyAlignment="1" pivotButton="0" quotePrefix="0" xfId="0">
      <alignment horizontal="center" vertical="center"/>
    </xf>
    <xf numFmtId="0" fontId="12" fillId="3" borderId="1" applyAlignment="1" pivotButton="0" quotePrefix="0" xfId="0">
      <alignment horizontal="center"/>
    </xf>
    <xf numFmtId="0" fontId="0" fillId="0" borderId="2" applyAlignment="1" pivotButton="0" quotePrefix="0" xfId="0">
      <alignment horizontal="center"/>
    </xf>
    <xf numFmtId="0" fontId="0" fillId="0" borderId="3" applyAlignment="1" pivotButton="0" quotePrefix="0" xfId="0">
      <alignment horizontal="center"/>
    </xf>
    <xf numFmtId="0" fontId="11" fillId="6" borderId="10" applyAlignment="1" pivotButton="0" quotePrefix="0" xfId="0">
      <alignment horizontal="center"/>
    </xf>
    <xf numFmtId="0" fontId="0" fillId="0" borderId="11" applyAlignment="1" pivotButton="0" quotePrefix="0" xfId="0">
      <alignment horizontal="center"/>
    </xf>
    <xf numFmtId="0" fontId="0" fillId="0" borderId="12" applyAlignment="1" pivotButton="0" quotePrefix="0" xfId="0">
      <alignment horizontal="center"/>
    </xf>
    <xf numFmtId="0" fontId="0" fillId="2" borderId="0" applyAlignment="1" pivotButton="0" quotePrefix="0" xfId="0">
      <alignment vertical="center" wrapText="1"/>
    </xf>
    <xf numFmtId="0" fontId="0" fillId="0" borderId="0" applyAlignment="1" pivotButton="0" quotePrefix="0" xfId="0">
      <alignment wrapText="1"/>
    </xf>
    <xf numFmtId="0" fontId="2" fillId="2" borderId="0" pivotButton="0" quotePrefix="0" xfId="1"/>
    <xf numFmtId="0" fontId="0" fillId="0" borderId="0" pivotButton="0" quotePrefix="0" xfId="0"/>
    <xf numFmtId="0" fontId="0" fillId="2" borderId="0" applyAlignment="1" pivotButton="0" quotePrefix="0" xfId="0">
      <alignment vertical="center"/>
    </xf>
    <xf numFmtId="0" fontId="0" fillId="6" borderId="11" applyAlignment="1" pivotButton="0" quotePrefix="0" xfId="0">
      <alignment horizontal="center"/>
    </xf>
    <xf numFmtId="0" fontId="0" fillId="6" borderId="12"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3" fillId="2" borderId="0" pivotButton="0" quotePrefix="0" xfId="0"/>
    <xf numFmtId="14" fontId="14" fillId="2" borderId="13" applyAlignment="1" pivotButton="0" quotePrefix="0" xfId="0">
      <alignment horizontal="center"/>
    </xf>
    <xf numFmtId="14" fontId="11" fillId="2" borderId="13" applyAlignment="1" pivotButton="0" quotePrefix="0" xfId="0">
      <alignment horizontal="center"/>
    </xf>
    <xf numFmtId="0" fontId="11" fillId="2" borderId="14" applyAlignment="1" pivotButton="0" quotePrefix="0" xfId="0">
      <alignment horizontal="center"/>
    </xf>
    <xf numFmtId="0" fontId="11" fillId="2" borderId="15" applyAlignment="1" pivotButton="0" quotePrefix="0" xfId="0">
      <alignment wrapText="1"/>
    </xf>
    <xf numFmtId="0" fontId="0" fillId="2" borderId="16" applyAlignment="1" pivotButton="0" quotePrefix="0" xfId="0">
      <alignment wrapText="1"/>
    </xf>
    <xf numFmtId="169" fontId="0" fillId="2" borderId="16" applyAlignment="1" pivotButton="0" quotePrefix="0" xfId="6">
      <alignment horizontal="center"/>
    </xf>
    <xf numFmtId="169" fontId="0" fillId="2" borderId="17" applyAlignment="1" pivotButton="0" quotePrefix="0" xfId="6">
      <alignment horizontal="center"/>
    </xf>
    <xf numFmtId="0" fontId="15" fillId="2" borderId="18" applyAlignment="1" pivotButton="0" quotePrefix="0" xfId="0">
      <alignment horizontal="center"/>
    </xf>
    <xf numFmtId="0" fontId="16" fillId="2" borderId="0" pivotButton="0" quotePrefix="0" xfId="3"/>
    <xf numFmtId="0" fontId="17" fillId="2" borderId="0" applyAlignment="1" pivotButton="0" quotePrefix="0" xfId="0">
      <alignment wrapText="1"/>
    </xf>
    <xf numFmtId="0" fontId="11" fillId="2" borderId="19" applyAlignment="1" pivotButton="0" quotePrefix="0" xfId="0">
      <alignment wrapText="1"/>
    </xf>
    <xf numFmtId="0" fontId="0" fillId="2" borderId="20" applyAlignment="1" pivotButton="0" quotePrefix="0" xfId="0">
      <alignment wrapText="1"/>
    </xf>
    <xf numFmtId="169" fontId="0" fillId="2" borderId="20" applyAlignment="1" pivotButton="0" quotePrefix="0" xfId="6">
      <alignment horizontal="center"/>
    </xf>
    <xf numFmtId="169" fontId="0" fillId="2" borderId="21" applyAlignment="1" pivotButton="0" quotePrefix="0" xfId="6">
      <alignment horizontal="center"/>
    </xf>
    <xf numFmtId="0" fontId="15" fillId="2" borderId="22" applyAlignment="1" pivotButton="0" quotePrefix="0" xfId="0">
      <alignment horizontal="center"/>
    </xf>
    <xf numFmtId="0" fontId="11" fillId="2" borderId="0" pivotButton="0" quotePrefix="0" xfId="0"/>
    <xf numFmtId="0" fontId="0" fillId="2" borderId="0" applyAlignment="1" pivotButton="0" quotePrefix="0" xfId="0">
      <alignment wrapText="1"/>
    </xf>
    <xf numFmtId="0" fontId="0" fillId="0" borderId="0" applyAlignment="1" pivotButton="0" quotePrefix="0" xfId="0">
      <alignment vertical="center"/>
    </xf>
    <xf numFmtId="14" fontId="11" fillId="2" borderId="23" applyAlignment="1" pivotButton="0" quotePrefix="0" xfId="0">
      <alignment horizontal="center"/>
    </xf>
    <xf numFmtId="0" fontId="10" fillId="2" borderId="0" pivotButton="0" quotePrefix="0" xfId="2"/>
    <xf numFmtId="0" fontId="0" fillId="0" borderId="9" pivotButton="0" quotePrefix="0" xfId="0"/>
    <xf numFmtId="0" fontId="12" fillId="3" borderId="23"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1" pivotButton="0" quotePrefix="0" xfId="0"/>
    <xf numFmtId="0" fontId="0" fillId="0" borderId="12" pivotButton="0" quotePrefix="0" xfId="0"/>
    <xf numFmtId="0" fontId="0" fillId="0" borderId="25" pivotButton="0" quotePrefix="0" xfId="0"/>
    <xf numFmtId="169" fontId="0" fillId="2" borderId="16" applyAlignment="1" pivotButton="0" quotePrefix="0" xfId="6">
      <alignment horizontal="center"/>
    </xf>
    <xf numFmtId="169" fontId="0" fillId="2" borderId="17" applyAlignment="1" pivotButton="0" quotePrefix="0" xfId="6">
      <alignment horizontal="center"/>
    </xf>
    <xf numFmtId="0" fontId="0" fillId="0" borderId="28" pivotButton="0" quotePrefix="0" xfId="0"/>
    <xf numFmtId="169" fontId="0" fillId="2" borderId="20" applyAlignment="1" pivotButton="0" quotePrefix="0" xfId="6">
      <alignment horizontal="center"/>
    </xf>
    <xf numFmtId="169" fontId="0" fillId="2" borderId="21" applyAlignment="1" pivotButton="0" quotePrefix="0" xfId="6">
      <alignment horizontal="center"/>
    </xf>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externalLink" Target="/xl/externalLinks/externalLink1.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'PCE Core'!$D$497:$D$778</f>
              <numCache>
                <formatCode>0.00%</formatCode>
                <ptCount val="282"/>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'PCE Core'!$E$497:$E$761</f>
              <numCache>
                <formatCode>0%</formatCode>
                <ptCount val="265"/>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Core'!$A$149:$A$776</f>
              <numCache>
                <formatCode>yyyy\-mm\-dd</formatCode>
                <ptCount val="62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'PCE Core'!$D$149:$D$776</f>
              <numCache>
                <formatCode>0.00%</formatCode>
                <ptCount val="628"/>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Core'!$A$149:$A$776</f>
              <numCache>
                <formatCode>yyyy\-mm\-dd</formatCode>
                <ptCount val="62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'PCE Core'!$F$149:$F$776</f>
              <numCache>
                <formatCode>General</formatCode>
                <ptCount val="628"/>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CPI'!$B$5:$B$760</f>
              <numCache>
                <formatCode>0.00</formatCode>
                <ptCount val="756"/>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CPI'!$C$5:$C$760</f>
              <numCache>
                <formatCode>0.00</formatCode>
                <ptCount val="756"/>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CPI'!$D$5:$D$760</f>
              <numCache>
                <formatCode>0.00</formatCode>
                <ptCount val="756"/>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CPI'!$E$5:$E$760</f>
              <numCache>
                <formatCode>0.00</formatCode>
                <ptCount val="756"/>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CPI'!$D$5:$D$760</f>
              <numCache>
                <formatCode>0.00</formatCode>
                <ptCount val="756"/>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CPI'!$E$5:$E$760</f>
              <numCache>
                <formatCode>0.00</formatCode>
                <ptCount val="756"/>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Users/markmukherjee/Desktop/Trading_Excel_Files/01_Lagging_Coincident_Indicators/006%20Lagging%20Indicator%20-%20Personal%20Consumption%20Expenditures.xlsm"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Note"/>
      <sheetName val="Database"/>
      <sheetName val="PCE Deflator"/>
      <sheetName val="PCE Core"/>
      <sheetName val="PCE Core vs Core CPI"/>
    </sheetNames>
    <sheetDataSet>
      <sheetData sheetId="0"/>
      <sheetData sheetId="1"/>
      <sheetData sheetId="2"/>
      <sheetData sheetId="3">
        <row r="4">
          <cell r="D4" t="str">
            <v>PCE Core YoY</v>
          </cell>
          <cell r="E4" t="str">
            <v>Fed Target</v>
          </cell>
        </row>
        <row r="497">
          <cell r="A497">
            <v>36526</v>
          </cell>
          <cell r="D497">
            <v>1.5372702345892131E-2</v>
          </cell>
          <cell r="E497">
            <v>0.02</v>
          </cell>
        </row>
        <row r="498">
          <cell r="A498">
            <v>36557</v>
          </cell>
          <cell r="D498">
            <v>1.7231964850347298E-2</v>
          </cell>
          <cell r="E498">
            <v>0.02</v>
          </cell>
        </row>
        <row r="499">
          <cell r="A499">
            <v>36586</v>
          </cell>
          <cell r="D499">
            <v>1.9003973442677059E-2</v>
          </cell>
          <cell r="E499">
            <v>0.02</v>
          </cell>
        </row>
        <row r="500">
          <cell r="A500">
            <v>36617</v>
          </cell>
          <cell r="D500">
            <v>1.7068692624248167E-2</v>
          </cell>
          <cell r="E500">
            <v>0.02</v>
          </cell>
        </row>
        <row r="501">
          <cell r="A501">
            <v>36647</v>
          </cell>
          <cell r="D501">
            <v>1.7178783317099138E-2</v>
          </cell>
          <cell r="E501">
            <v>0.02</v>
          </cell>
        </row>
        <row r="502">
          <cell r="A502">
            <v>36678</v>
          </cell>
          <cell r="D502">
            <v>1.7422748191978962E-2</v>
          </cell>
          <cell r="E502">
            <v>0.02</v>
          </cell>
        </row>
        <row r="503">
          <cell r="A503">
            <v>36708</v>
          </cell>
          <cell r="D503">
            <v>1.790875244525774E-2</v>
          </cell>
          <cell r="E503">
            <v>0.02</v>
          </cell>
        </row>
        <row r="504">
          <cell r="A504">
            <v>36739</v>
          </cell>
          <cell r="D504">
            <v>1.8720119082159235E-2</v>
          </cell>
          <cell r="E504">
            <v>0.02</v>
          </cell>
        </row>
        <row r="505">
          <cell r="A505">
            <v>36770</v>
          </cell>
          <cell r="D505">
            <v>1.8494520840934524E-2</v>
          </cell>
          <cell r="E505">
            <v>0.02</v>
          </cell>
        </row>
        <row r="506">
          <cell r="A506">
            <v>36800</v>
          </cell>
          <cell r="D506">
            <v>1.8186613747974645E-2</v>
          </cell>
          <cell r="E506">
            <v>0.02</v>
          </cell>
        </row>
        <row r="507">
          <cell r="A507">
            <v>36831</v>
          </cell>
          <cell r="D507">
            <v>1.9009975531714671E-2</v>
          </cell>
          <cell r="E507">
            <v>0.02</v>
          </cell>
        </row>
        <row r="508">
          <cell r="A508">
            <v>36861</v>
          </cell>
          <cell r="D508">
            <v>1.8710211038147212E-2</v>
          </cell>
          <cell r="E508">
            <v>0.02</v>
          </cell>
        </row>
        <row r="509">
          <cell r="A509">
            <v>36892</v>
          </cell>
          <cell r="D509">
            <v>2.0065760686111545E-2</v>
          </cell>
          <cell r="E509">
            <v>0.02</v>
          </cell>
        </row>
        <row r="510">
          <cell r="A510">
            <v>36923</v>
          </cell>
          <cell r="D510">
            <v>2.0348038848525825E-2</v>
          </cell>
          <cell r="E510">
            <v>0.02</v>
          </cell>
        </row>
        <row r="511">
          <cell r="A511">
            <v>36951</v>
          </cell>
          <cell r="D511">
            <v>1.932228728042858E-2</v>
          </cell>
          <cell r="E511">
            <v>0.02</v>
          </cell>
        </row>
        <row r="512">
          <cell r="A512">
            <v>36982</v>
          </cell>
          <cell r="D512">
            <v>2.0268167274628691E-2</v>
          </cell>
          <cell r="E512">
            <v>0.02</v>
          </cell>
        </row>
        <row r="513">
          <cell r="A513">
            <v>37012</v>
          </cell>
          <cell r="D513">
            <v>1.9413249760598848E-2</v>
          </cell>
          <cell r="E513">
            <v>0.02</v>
          </cell>
        </row>
        <row r="514">
          <cell r="A514">
            <v>37043</v>
          </cell>
          <cell r="D514">
            <v>2.0927053560333014E-2</v>
          </cell>
          <cell r="E514">
            <v>0.02</v>
          </cell>
        </row>
        <row r="515">
          <cell r="A515">
            <v>37073</v>
          </cell>
          <cell r="D515">
            <v>2.1226473578495837E-2</v>
          </cell>
          <cell r="E515">
            <v>0.02</v>
          </cell>
        </row>
        <row r="516">
          <cell r="A516">
            <v>37104</v>
          </cell>
          <cell r="D516">
            <v>2.0419282538974959E-2</v>
          </cell>
          <cell r="E516">
            <v>0.02</v>
          </cell>
        </row>
        <row r="517">
          <cell r="A517">
            <v>37135</v>
          </cell>
          <cell r="D517">
            <v>1.2179906859535655E-2</v>
          </cell>
          <cell r="E517">
            <v>0.02</v>
          </cell>
        </row>
        <row r="518">
          <cell r="A518">
            <v>37165</v>
          </cell>
          <cell r="D518">
            <v>1.7874104136085121E-2</v>
          </cell>
          <cell r="E518">
            <v>0.02</v>
          </cell>
        </row>
        <row r="519">
          <cell r="A519">
            <v>37196</v>
          </cell>
          <cell r="D519">
            <v>1.813816032508328E-2</v>
          </cell>
          <cell r="E519">
            <v>0.02</v>
          </cell>
        </row>
        <row r="520">
          <cell r="A520">
            <v>37226</v>
          </cell>
          <cell r="D520">
            <v>1.7382425666449295E-2</v>
          </cell>
          <cell r="E520">
            <v>0.02</v>
          </cell>
        </row>
        <row r="521">
          <cell r="A521">
            <v>37257</v>
          </cell>
          <cell r="D521">
            <v>1.4192567898813624E-2</v>
          </cell>
          <cell r="E521">
            <v>0.02</v>
          </cell>
        </row>
        <row r="522">
          <cell r="A522">
            <v>37288</v>
          </cell>
          <cell r="D522">
            <v>1.4326612508564063E-2</v>
          </cell>
          <cell r="E522">
            <v>0.02</v>
          </cell>
        </row>
        <row r="523">
          <cell r="A523">
            <v>37316</v>
          </cell>
          <cell r="D523">
            <v>1.4482834480145711E-2</v>
          </cell>
          <cell r="E523">
            <v>0.02</v>
          </cell>
        </row>
        <row r="524">
          <cell r="A524">
            <v>37347</v>
          </cell>
          <cell r="D524">
            <v>1.5704506351356375E-2</v>
          </cell>
          <cell r="E524">
            <v>0.02</v>
          </cell>
        </row>
        <row r="525">
          <cell r="A525">
            <v>37377</v>
          </cell>
          <cell r="D525">
            <v>1.6603635476393853E-2</v>
          </cell>
          <cell r="E525">
            <v>0.02</v>
          </cell>
        </row>
        <row r="526">
          <cell r="A526">
            <v>37408</v>
          </cell>
          <cell r="D526">
            <v>1.5933490761253225E-2</v>
          </cell>
          <cell r="E526">
            <v>0.02</v>
          </cell>
        </row>
        <row r="527">
          <cell r="A527">
            <v>37438</v>
          </cell>
          <cell r="D527">
            <v>1.5370419833426479E-2</v>
          </cell>
          <cell r="E527">
            <v>0.02</v>
          </cell>
        </row>
        <row r="528">
          <cell r="A528">
            <v>37469</v>
          </cell>
          <cell r="D528">
            <v>1.6879838846685813E-2</v>
          </cell>
          <cell r="E528">
            <v>0.02</v>
          </cell>
        </row>
        <row r="529">
          <cell r="A529">
            <v>37500</v>
          </cell>
          <cell r="D529">
            <v>2.4347380368322836E-2</v>
          </cell>
          <cell r="E529">
            <v>0.02</v>
          </cell>
        </row>
        <row r="530">
          <cell r="A530">
            <v>37530</v>
          </cell>
          <cell r="D530">
            <v>1.8044985214988488E-2</v>
          </cell>
          <cell r="E530">
            <v>0.02</v>
          </cell>
        </row>
        <row r="531">
          <cell r="A531">
            <v>37561</v>
          </cell>
          <cell r="D531">
            <v>1.698051594644602E-2</v>
          </cell>
          <cell r="E531">
            <v>0.02</v>
          </cell>
        </row>
        <row r="532">
          <cell r="A532">
            <v>37591</v>
          </cell>
          <cell r="D532">
            <v>1.7690019588401829E-2</v>
          </cell>
          <cell r="E532">
            <v>0.02</v>
          </cell>
        </row>
        <row r="533">
          <cell r="A533">
            <v>37622</v>
          </cell>
          <cell r="D533">
            <v>1.7800604229607237E-2</v>
          </cell>
          <cell r="E533">
            <v>0.02</v>
          </cell>
        </row>
        <row r="534">
          <cell r="A534">
            <v>37653</v>
          </cell>
          <cell r="D534">
            <v>1.7272365421496402E-2</v>
          </cell>
          <cell r="E534">
            <v>0.02</v>
          </cell>
        </row>
        <row r="535">
          <cell r="A535">
            <v>37681</v>
          </cell>
          <cell r="D535">
            <v>1.7685468520347969E-2</v>
          </cell>
          <cell r="E535">
            <v>0.02</v>
          </cell>
        </row>
        <row r="536">
          <cell r="A536">
            <v>37712</v>
          </cell>
          <cell r="D536">
            <v>1.5978279151349122E-2</v>
          </cell>
          <cell r="E536">
            <v>0.02</v>
          </cell>
        </row>
        <row r="537">
          <cell r="A537">
            <v>37742</v>
          </cell>
          <cell r="D537">
            <v>1.6308456636785765E-2</v>
          </cell>
          <cell r="E537">
            <v>0.02</v>
          </cell>
        </row>
        <row r="538">
          <cell r="A538">
            <v>37773</v>
          </cell>
          <cell r="D538">
            <v>1.5276230185830917E-2</v>
          </cell>
          <cell r="E538">
            <v>0.02</v>
          </cell>
        </row>
        <row r="539">
          <cell r="A539">
            <v>37803</v>
          </cell>
          <cell r="D539">
            <v>1.5747560742299514E-2</v>
          </cell>
          <cell r="E539">
            <v>0.02</v>
          </cell>
        </row>
        <row r="540">
          <cell r="A540">
            <v>37834</v>
          </cell>
          <cell r="D540">
            <v>1.4893134599090715E-2</v>
          </cell>
          <cell r="E540">
            <v>0.02</v>
          </cell>
        </row>
        <row r="541">
          <cell r="A541">
            <v>37865</v>
          </cell>
          <cell r="D541">
            <v>1.4654371291729263E-2</v>
          </cell>
          <cell r="E541">
            <v>0.02</v>
          </cell>
        </row>
        <row r="542">
          <cell r="A542">
            <v>37895</v>
          </cell>
          <cell r="D542">
            <v>1.5653830129158951E-2</v>
          </cell>
          <cell r="E542">
            <v>0.02</v>
          </cell>
        </row>
        <row r="543">
          <cell r="A543">
            <v>37926</v>
          </cell>
          <cell r="D543">
            <v>1.6054800385315142E-2</v>
          </cell>
          <cell r="E543">
            <v>0.02</v>
          </cell>
        </row>
        <row r="544">
          <cell r="A544">
            <v>37956</v>
          </cell>
          <cell r="D544">
            <v>1.6384482861046643E-2</v>
          </cell>
          <cell r="E544">
            <v>0.02</v>
          </cell>
        </row>
        <row r="545">
          <cell r="A545">
            <v>37987</v>
          </cell>
          <cell r="D545">
            <v>1.828479156524947E-2</v>
          </cell>
          <cell r="E545">
            <v>0.02</v>
          </cell>
        </row>
        <row r="546">
          <cell r="A546">
            <v>38018</v>
          </cell>
          <cell r="D546">
            <v>1.8532351581119082E-2</v>
          </cell>
          <cell r="E546">
            <v>0.02</v>
          </cell>
        </row>
        <row r="547">
          <cell r="A547">
            <v>38047</v>
          </cell>
          <cell r="D547">
            <v>1.8609276227004791E-2</v>
          </cell>
          <cell r="E547">
            <v>0.02</v>
          </cell>
        </row>
        <row r="548">
          <cell r="A548">
            <v>38078</v>
          </cell>
          <cell r="D548">
            <v>2.012581591145585E-2</v>
          </cell>
          <cell r="E548">
            <v>0.02</v>
          </cell>
        </row>
        <row r="549">
          <cell r="A549">
            <v>38108</v>
          </cell>
          <cell r="D549">
            <v>2.0049592631951912E-2</v>
          </cell>
          <cell r="E549">
            <v>0.02</v>
          </cell>
        </row>
        <row r="550">
          <cell r="A550">
            <v>38139</v>
          </cell>
          <cell r="D550">
            <v>2.1088531709504664E-2</v>
          </cell>
          <cell r="E550">
            <v>0.02</v>
          </cell>
        </row>
        <row r="551">
          <cell r="A551">
            <v>38169</v>
          </cell>
          <cell r="D551">
            <v>1.9764800056504515E-2</v>
          </cell>
          <cell r="E551">
            <v>0.02</v>
          </cell>
        </row>
        <row r="552">
          <cell r="A552">
            <v>38200</v>
          </cell>
          <cell r="D552">
            <v>1.9001704979716615E-2</v>
          </cell>
          <cell r="E552">
            <v>0.02</v>
          </cell>
        </row>
        <row r="553">
          <cell r="A553">
            <v>38231</v>
          </cell>
          <cell r="D553">
            <v>1.9480061998027241E-2</v>
          </cell>
          <cell r="E553">
            <v>0.02</v>
          </cell>
        </row>
        <row r="554">
          <cell r="A554">
            <v>38261</v>
          </cell>
          <cell r="D554">
            <v>1.9831223628692069E-2</v>
          </cell>
          <cell r="E554">
            <v>0.02</v>
          </cell>
        </row>
        <row r="555">
          <cell r="A555">
            <v>38292</v>
          </cell>
          <cell r="D555">
            <v>2.0623383311679958E-2</v>
          </cell>
          <cell r="E555">
            <v>0.02</v>
          </cell>
        </row>
        <row r="556">
          <cell r="A556">
            <v>38322</v>
          </cell>
          <cell r="D556">
            <v>2.0656036659496987E-2</v>
          </cell>
          <cell r="E556">
            <v>0.02</v>
          </cell>
        </row>
        <row r="557">
          <cell r="A557">
            <v>38353</v>
          </cell>
          <cell r="D557">
            <v>2.171099425160028E-2</v>
          </cell>
          <cell r="E557">
            <v>0.02</v>
          </cell>
        </row>
        <row r="558">
          <cell r="A558">
            <v>38384</v>
          </cell>
          <cell r="D558">
            <v>2.17457102279341E-2</v>
          </cell>
          <cell r="E558">
            <v>0.02</v>
          </cell>
        </row>
        <row r="559">
          <cell r="A559">
            <v>38412</v>
          </cell>
          <cell r="D559">
            <v>2.2557701694442371E-2</v>
          </cell>
          <cell r="E559">
            <v>0.02</v>
          </cell>
        </row>
        <row r="560">
          <cell r="A560">
            <v>38443</v>
          </cell>
          <cell r="D560">
            <v>2.1084965805030748E-2</v>
          </cell>
          <cell r="E560">
            <v>0.02</v>
          </cell>
        </row>
        <row r="561">
          <cell r="A561">
            <v>38473</v>
          </cell>
          <cell r="D561">
            <v>2.1773857480205584E-2</v>
          </cell>
          <cell r="E561">
            <v>0.02</v>
          </cell>
        </row>
        <row r="562">
          <cell r="A562">
            <v>38504</v>
          </cell>
          <cell r="D562">
            <v>2.0861022825772811E-2</v>
          </cell>
          <cell r="E562">
            <v>0.02</v>
          </cell>
        </row>
        <row r="563">
          <cell r="A563">
            <v>38534</v>
          </cell>
          <cell r="D563">
            <v>2.1147896753936298E-2</v>
          </cell>
          <cell r="E563">
            <v>0.02</v>
          </cell>
        </row>
        <row r="564">
          <cell r="A564">
            <v>38565</v>
          </cell>
          <cell r="D564">
            <v>2.1589873184015822E-2</v>
          </cell>
          <cell r="E564">
            <v>0.02</v>
          </cell>
        </row>
        <row r="565">
          <cell r="A565">
            <v>38596</v>
          </cell>
          <cell r="D565">
            <v>2.1941190698317282E-2</v>
          </cell>
          <cell r="E565">
            <v>0.02</v>
          </cell>
        </row>
        <row r="566">
          <cell r="A566">
            <v>38626</v>
          </cell>
          <cell r="D566">
            <v>2.2640555325702187E-2</v>
          </cell>
          <cell r="E566">
            <v>0.02</v>
          </cell>
        </row>
        <row r="567">
          <cell r="A567">
            <v>38657</v>
          </cell>
          <cell r="D567">
            <v>2.3062191080172888E-2</v>
          </cell>
          <cell r="E567">
            <v>0.02</v>
          </cell>
        </row>
        <row r="568">
          <cell r="A568">
            <v>38687</v>
          </cell>
          <cell r="D568">
            <v>2.2803541363631153E-2</v>
          </cell>
          <cell r="E568">
            <v>0.02</v>
          </cell>
        </row>
        <row r="569">
          <cell r="A569">
            <v>38718</v>
          </cell>
          <cell r="D569">
            <v>2.1432239657631955E-2</v>
          </cell>
          <cell r="E569">
            <v>0.02</v>
          </cell>
        </row>
        <row r="570">
          <cell r="A570">
            <v>38749</v>
          </cell>
          <cell r="D570">
            <v>2.1385439216133183E-2</v>
          </cell>
          <cell r="E570">
            <v>0.02</v>
          </cell>
        </row>
        <row r="571">
          <cell r="A571">
            <v>38777</v>
          </cell>
          <cell r="D571">
            <v>2.1673656335595155E-2</v>
          </cell>
          <cell r="E571">
            <v>0.02</v>
          </cell>
        </row>
        <row r="572">
          <cell r="A572">
            <v>38808</v>
          </cell>
          <cell r="D572">
            <v>2.3612482829865229E-2</v>
          </cell>
          <cell r="E572">
            <v>0.02</v>
          </cell>
        </row>
        <row r="573">
          <cell r="A573">
            <v>38838</v>
          </cell>
          <cell r="D573">
            <v>2.4085466018647434E-2</v>
          </cell>
          <cell r="E573">
            <v>0.02</v>
          </cell>
        </row>
        <row r="574">
          <cell r="A574">
            <v>38869</v>
          </cell>
          <cell r="D574">
            <v>2.5959470168685682E-2</v>
          </cell>
          <cell r="E574">
            <v>0.02</v>
          </cell>
        </row>
        <row r="575">
          <cell r="A575">
            <v>38899</v>
          </cell>
          <cell r="D575">
            <v>2.5457834049287923E-2</v>
          </cell>
          <cell r="E575">
            <v>0.02</v>
          </cell>
        </row>
        <row r="576">
          <cell r="A576">
            <v>38930</v>
          </cell>
          <cell r="D576">
            <v>2.6702209370623103E-2</v>
          </cell>
          <cell r="E576">
            <v>0.02</v>
          </cell>
        </row>
        <row r="577">
          <cell r="A577">
            <v>38961</v>
          </cell>
          <cell r="D577">
            <v>2.6057163465873365E-2</v>
          </cell>
          <cell r="E577">
            <v>0.02</v>
          </cell>
        </row>
        <row r="578">
          <cell r="A578">
            <v>38991</v>
          </cell>
          <cell r="D578">
            <v>2.4971342518711585E-2</v>
          </cell>
          <cell r="E578">
            <v>0.02</v>
          </cell>
        </row>
        <row r="579">
          <cell r="A579">
            <v>39022</v>
          </cell>
          <cell r="D579">
            <v>2.2844972536711253E-2</v>
          </cell>
          <cell r="E579">
            <v>0.02</v>
          </cell>
        </row>
        <row r="580">
          <cell r="A580">
            <v>39052</v>
          </cell>
          <cell r="D580">
            <v>2.3157376094600318E-2</v>
          </cell>
          <cell r="E580">
            <v>0.02</v>
          </cell>
        </row>
        <row r="581">
          <cell r="A581">
            <v>39083</v>
          </cell>
          <cell r="D581">
            <v>2.5004748444186223E-2</v>
          </cell>
          <cell r="E581">
            <v>0.02</v>
          </cell>
        </row>
        <row r="582">
          <cell r="A582">
            <v>39114</v>
          </cell>
          <cell r="D582">
            <v>2.5566945910069354E-2</v>
          </cell>
          <cell r="E582">
            <v>0.02</v>
          </cell>
        </row>
        <row r="583">
          <cell r="A583">
            <v>39142</v>
          </cell>
          <cell r="D583">
            <v>2.3783567312612532E-2</v>
          </cell>
          <cell r="E583">
            <v>0.02</v>
          </cell>
        </row>
        <row r="584">
          <cell r="A584">
            <v>39173</v>
          </cell>
          <cell r="D584">
            <v>2.2114030320841974E-2</v>
          </cell>
          <cell r="E584">
            <v>0.02</v>
          </cell>
        </row>
        <row r="585">
          <cell r="A585">
            <v>39203</v>
          </cell>
          <cell r="D585">
            <v>2.0764422810996289E-2</v>
          </cell>
          <cell r="E585">
            <v>0.02</v>
          </cell>
        </row>
        <row r="586">
          <cell r="A586">
            <v>39234</v>
          </cell>
          <cell r="D586">
            <v>1.9873542036789798E-2</v>
          </cell>
          <cell r="E586">
            <v>0.02</v>
          </cell>
        </row>
        <row r="587">
          <cell r="A587">
            <v>39264</v>
          </cell>
          <cell r="D587">
            <v>2.0405238557191983E-2</v>
          </cell>
          <cell r="E587">
            <v>0.02</v>
          </cell>
        </row>
        <row r="588">
          <cell r="A588">
            <v>39295</v>
          </cell>
          <cell r="D588">
            <v>1.9857859531772493E-2</v>
          </cell>
          <cell r="E588">
            <v>0.02</v>
          </cell>
        </row>
        <row r="589">
          <cell r="A589">
            <v>39326</v>
          </cell>
          <cell r="D589">
            <v>2.1023725834797748E-2</v>
          </cell>
          <cell r="E589">
            <v>0.02</v>
          </cell>
        </row>
        <row r="590">
          <cell r="A590">
            <v>39356</v>
          </cell>
          <cell r="D590">
            <v>2.1841147318100135E-2</v>
          </cell>
          <cell r="E590">
            <v>0.02</v>
          </cell>
        </row>
        <row r="591">
          <cell r="A591">
            <v>39387</v>
          </cell>
          <cell r="D591">
            <v>2.3353936524636156E-2</v>
          </cell>
          <cell r="E591">
            <v>0.02</v>
          </cell>
        </row>
        <row r="592">
          <cell r="A592">
            <v>39417</v>
          </cell>
          <cell r="D592">
            <v>2.4045091386669458E-2</v>
          </cell>
          <cell r="E592">
            <v>0.02</v>
          </cell>
        </row>
        <row r="593">
          <cell r="A593">
            <v>39448</v>
          </cell>
          <cell r="D593">
            <v>2.193130661318277E-2</v>
          </cell>
          <cell r="E593">
            <v>0.02</v>
          </cell>
        </row>
        <row r="594">
          <cell r="A594">
            <v>39479</v>
          </cell>
          <cell r="D594">
            <v>2.0720260172505698E-2</v>
          </cell>
          <cell r="E594">
            <v>0.02</v>
          </cell>
        </row>
        <row r="595">
          <cell r="A595">
            <v>39508</v>
          </cell>
          <cell r="D595">
            <v>2.1688108484005666E-2</v>
          </cell>
          <cell r="E595">
            <v>0.02</v>
          </cell>
        </row>
        <row r="596">
          <cell r="A596">
            <v>39539</v>
          </cell>
          <cell r="D596">
            <v>2.0832655187005649E-2</v>
          </cell>
          <cell r="E596">
            <v>0.02</v>
          </cell>
        </row>
        <row r="597">
          <cell r="A597">
            <v>39569</v>
          </cell>
          <cell r="D597">
            <v>2.1490809779781406E-2</v>
          </cell>
          <cell r="E597">
            <v>0.02</v>
          </cell>
        </row>
        <row r="598">
          <cell r="A598">
            <v>39600</v>
          </cell>
          <cell r="D598">
            <v>2.2147926945382118E-2</v>
          </cell>
          <cell r="E598">
            <v>0.02</v>
          </cell>
        </row>
        <row r="599">
          <cell r="A599">
            <v>39630</v>
          </cell>
          <cell r="D599">
            <v>2.2449574884132999E-2</v>
          </cell>
          <cell r="E599">
            <v>0.02</v>
          </cell>
        </row>
        <row r="600">
          <cell r="A600">
            <v>39661</v>
          </cell>
          <cell r="D600">
            <v>2.2178833022297621E-2</v>
          </cell>
          <cell r="E600">
            <v>0.02</v>
          </cell>
        </row>
        <row r="601">
          <cell r="A601">
            <v>39692</v>
          </cell>
          <cell r="D601">
            <v>2.0440217742109062E-2</v>
          </cell>
          <cell r="E601">
            <v>0.02</v>
          </cell>
        </row>
        <row r="602">
          <cell r="A602">
            <v>39722</v>
          </cell>
          <cell r="D602">
            <v>1.6341903085969313E-2</v>
          </cell>
          <cell r="E602">
            <v>0.02</v>
          </cell>
        </row>
        <row r="603">
          <cell r="A603">
            <v>39753</v>
          </cell>
          <cell r="D603">
            <v>1.390034161856522E-2</v>
          </cell>
          <cell r="E603">
            <v>0.02</v>
          </cell>
        </row>
        <row r="604">
          <cell r="A604">
            <v>39783</v>
          </cell>
          <cell r="D604">
            <v>1.137153056098846E-2</v>
          </cell>
          <cell r="E604">
            <v>0.02</v>
          </cell>
        </row>
        <row r="605">
          <cell r="A605">
            <v>39814</v>
          </cell>
          <cell r="D605">
            <v>9.0557102172730865E-3</v>
          </cell>
          <cell r="E605">
            <v>0.02</v>
          </cell>
        </row>
        <row r="606">
          <cell r="A606">
            <v>39845</v>
          </cell>
          <cell r="D606">
            <v>8.8764332296152413E-3</v>
          </cell>
          <cell r="E606">
            <v>0.02</v>
          </cell>
        </row>
        <row r="607">
          <cell r="A607">
            <v>39873</v>
          </cell>
          <cell r="D607">
            <v>7.625388182243573E-3</v>
          </cell>
          <cell r="E607">
            <v>0.02</v>
          </cell>
        </row>
        <row r="608">
          <cell r="A608">
            <v>39904</v>
          </cell>
          <cell r="D608">
            <v>9.2896697596802323E-3</v>
          </cell>
          <cell r="E608">
            <v>0.02</v>
          </cell>
        </row>
        <row r="609">
          <cell r="A609">
            <v>39934</v>
          </cell>
          <cell r="D609">
            <v>8.2223754707973652E-3</v>
          </cell>
          <cell r="E609">
            <v>0.02</v>
          </cell>
        </row>
        <row r="610">
          <cell r="A610">
            <v>39965</v>
          </cell>
          <cell r="D610">
            <v>7.1979760984851706E-3</v>
          </cell>
          <cell r="E610">
            <v>0.02</v>
          </cell>
        </row>
        <row r="611">
          <cell r="A611">
            <v>39995</v>
          </cell>
          <cell r="D611">
            <v>6.255217083505021E-3</v>
          </cell>
          <cell r="E611">
            <v>0.02</v>
          </cell>
        </row>
        <row r="612">
          <cell r="A612">
            <v>40026</v>
          </cell>
          <cell r="D612">
            <v>6.5113922981942249E-3</v>
          </cell>
          <cell r="E612">
            <v>0.02</v>
          </cell>
        </row>
        <row r="613">
          <cell r="A613">
            <v>40057</v>
          </cell>
          <cell r="D613">
            <v>7.2427098488202675E-3</v>
          </cell>
          <cell r="E613">
            <v>0.02</v>
          </cell>
        </row>
        <row r="614">
          <cell r="A614">
            <v>40087</v>
          </cell>
          <cell r="D614">
            <v>1.2394556530368845E-2</v>
          </cell>
          <cell r="E614">
            <v>0.02</v>
          </cell>
        </row>
        <row r="615">
          <cell r="A615">
            <v>40118</v>
          </cell>
          <cell r="D615">
            <v>1.3741457798620443E-2</v>
          </cell>
          <cell r="E615">
            <v>0.02</v>
          </cell>
        </row>
        <row r="616">
          <cell r="A616">
            <v>40148</v>
          </cell>
          <cell r="D616">
            <v>1.5100759793302427E-2</v>
          </cell>
          <cell r="E616">
            <v>0.02</v>
          </cell>
        </row>
        <row r="617">
          <cell r="A617">
            <v>40179</v>
          </cell>
          <cell r="D617">
            <v>1.6902391069956127E-2</v>
          </cell>
          <cell r="E617">
            <v>0.02</v>
          </cell>
        </row>
        <row r="618">
          <cell r="A618">
            <v>40210</v>
          </cell>
          <cell r="D618">
            <v>1.6984061598909871E-2</v>
          </cell>
          <cell r="E618">
            <v>0.02</v>
          </cell>
        </row>
        <row r="619">
          <cell r="A619">
            <v>40238</v>
          </cell>
          <cell r="D619">
            <v>1.7774025014512612E-2</v>
          </cell>
          <cell r="E619">
            <v>0.02</v>
          </cell>
        </row>
        <row r="620">
          <cell r="A620">
            <v>40269</v>
          </cell>
          <cell r="D620">
            <v>1.6017776467243078E-2</v>
          </cell>
          <cell r="E620">
            <v>0.02</v>
          </cell>
        </row>
        <row r="621">
          <cell r="A621">
            <v>40299</v>
          </cell>
          <cell r="D621">
            <v>1.6363253709354864E-2</v>
          </cell>
          <cell r="E621">
            <v>0.02</v>
          </cell>
        </row>
        <row r="622">
          <cell r="A622">
            <v>40330</v>
          </cell>
          <cell r="D622">
            <v>1.5564733949196633E-2</v>
          </cell>
          <cell r="E622">
            <v>0.02</v>
          </cell>
        </row>
        <row r="623">
          <cell r="A623">
            <v>40360</v>
          </cell>
          <cell r="D623">
            <v>1.4700786492077235E-2</v>
          </cell>
          <cell r="E623">
            <v>0.02</v>
          </cell>
        </row>
        <row r="624">
          <cell r="A624">
            <v>40391</v>
          </cell>
          <cell r="D624">
            <v>1.4175771174533981E-2</v>
          </cell>
          <cell r="E624">
            <v>0.02</v>
          </cell>
        </row>
        <row r="625">
          <cell r="A625">
            <v>40422</v>
          </cell>
          <cell r="D625">
            <v>1.2978721177295706E-2</v>
          </cell>
          <cell r="E625">
            <v>0.02</v>
          </cell>
        </row>
        <row r="626">
          <cell r="A626">
            <v>40452</v>
          </cell>
          <cell r="D626">
            <v>1.0793280010011123E-2</v>
          </cell>
          <cell r="E626">
            <v>0.02</v>
          </cell>
        </row>
        <row r="627">
          <cell r="A627">
            <v>40483</v>
          </cell>
          <cell r="D627">
            <v>1.1210902498489318E-2</v>
          </cell>
          <cell r="E627">
            <v>0.02</v>
          </cell>
        </row>
        <row r="628">
          <cell r="A628">
            <v>40513</v>
          </cell>
          <cell r="D628">
            <v>1.0555902560899394E-2</v>
          </cell>
          <cell r="E628">
            <v>0.02</v>
          </cell>
        </row>
        <row r="629">
          <cell r="A629">
            <v>40544</v>
          </cell>
          <cell r="D629">
            <v>1.1247284331763785E-2</v>
          </cell>
          <cell r="E629">
            <v>0.02</v>
          </cell>
        </row>
        <row r="630">
          <cell r="A630">
            <v>40575</v>
          </cell>
          <cell r="D630">
            <v>1.2130653788232916E-2</v>
          </cell>
          <cell r="E630">
            <v>0.02</v>
          </cell>
        </row>
        <row r="631">
          <cell r="A631">
            <v>40603</v>
          </cell>
          <cell r="D631">
            <v>1.2143649731927037E-2</v>
          </cell>
          <cell r="E631">
            <v>0.02</v>
          </cell>
        </row>
        <row r="632">
          <cell r="A632">
            <v>40634</v>
          </cell>
          <cell r="D632">
            <v>1.3951367151060384E-2</v>
          </cell>
          <cell r="E632">
            <v>0.02</v>
          </cell>
        </row>
        <row r="633">
          <cell r="A633">
            <v>40664</v>
          </cell>
          <cell r="D633">
            <v>1.5240461769425982E-2</v>
          </cell>
          <cell r="E633">
            <v>0.02</v>
          </cell>
        </row>
        <row r="634">
          <cell r="A634">
            <v>40695</v>
          </cell>
          <cell r="D634">
            <v>1.5853961420647367E-2</v>
          </cell>
          <cell r="E634">
            <v>0.02</v>
          </cell>
        </row>
        <row r="635">
          <cell r="A635">
            <v>40725</v>
          </cell>
          <cell r="D635">
            <v>1.7343971521115997E-2</v>
          </cell>
          <cell r="E635">
            <v>0.02</v>
          </cell>
        </row>
        <row r="636">
          <cell r="A636">
            <v>40756</v>
          </cell>
          <cell r="D636">
            <v>1.8392159295329037E-2</v>
          </cell>
          <cell r="E636">
            <v>0.02</v>
          </cell>
        </row>
        <row r="637">
          <cell r="A637">
            <v>40787</v>
          </cell>
          <cell r="D637">
            <v>1.8505698432543544E-2</v>
          </cell>
          <cell r="E637">
            <v>0.02</v>
          </cell>
        </row>
        <row r="638">
          <cell r="A638">
            <v>40817</v>
          </cell>
          <cell r="D638">
            <v>1.7445939253879196E-2</v>
          </cell>
          <cell r="E638">
            <v>0.02</v>
          </cell>
        </row>
        <row r="639">
          <cell r="A639">
            <v>40848</v>
          </cell>
          <cell r="D639">
            <v>1.8278484142848321E-2</v>
          </cell>
          <cell r="E639">
            <v>0.02</v>
          </cell>
        </row>
        <row r="640">
          <cell r="A640">
            <v>40878</v>
          </cell>
          <cell r="D640">
            <v>1.9758122669303897E-2</v>
          </cell>
          <cell r="E640">
            <v>0.02</v>
          </cell>
        </row>
        <row r="641">
          <cell r="A641">
            <v>40909</v>
          </cell>
          <cell r="D641">
            <v>2.0609972965471825E-2</v>
          </cell>
          <cell r="E641">
            <v>0.02</v>
          </cell>
        </row>
        <row r="642">
          <cell r="A642">
            <v>40940</v>
          </cell>
          <cell r="D642">
            <v>2.0245656880752763E-2</v>
          </cell>
          <cell r="E642">
            <v>0.02</v>
          </cell>
        </row>
        <row r="643">
          <cell r="A643">
            <v>40969</v>
          </cell>
          <cell r="D643">
            <v>2.0440573770491851E-2</v>
          </cell>
          <cell r="E643">
            <v>0.02</v>
          </cell>
        </row>
        <row r="644">
          <cell r="A644">
            <v>41000</v>
          </cell>
          <cell r="D644">
            <v>1.9647530258423262E-2</v>
          </cell>
          <cell r="E644">
            <v>0.02</v>
          </cell>
        </row>
        <row r="645">
          <cell r="A645">
            <v>41030</v>
          </cell>
          <cell r="D645">
            <v>1.8254688599487971E-2</v>
          </cell>
          <cell r="E645">
            <v>0.02</v>
          </cell>
        </row>
        <row r="646">
          <cell r="A646">
            <v>41061</v>
          </cell>
          <cell r="D646">
            <v>1.8194042622550033E-2</v>
          </cell>
          <cell r="E646">
            <v>0.02</v>
          </cell>
        </row>
        <row r="647">
          <cell r="A647">
            <v>41091</v>
          </cell>
          <cell r="D647">
            <v>1.7739983114465611E-2</v>
          </cell>
          <cell r="E647">
            <v>0.02</v>
          </cell>
        </row>
        <row r="648">
          <cell r="A648">
            <v>41122</v>
          </cell>
          <cell r="D648">
            <v>1.6354499771585242E-2</v>
          </cell>
          <cell r="E648">
            <v>0.02</v>
          </cell>
        </row>
        <row r="649">
          <cell r="A649">
            <v>41153</v>
          </cell>
          <cell r="D649">
            <v>1.692164103396494E-2</v>
          </cell>
          <cell r="E649">
            <v>0.02</v>
          </cell>
        </row>
        <row r="650">
          <cell r="A650">
            <v>41183</v>
          </cell>
          <cell r="D650">
            <v>1.8890883095549534E-2</v>
          </cell>
          <cell r="E650">
            <v>0.02</v>
          </cell>
        </row>
        <row r="651">
          <cell r="A651">
            <v>41214</v>
          </cell>
          <cell r="D651">
            <v>1.7839073946654703E-2</v>
          </cell>
          <cell r="E651">
            <v>0.02</v>
          </cell>
        </row>
        <row r="652">
          <cell r="A652">
            <v>41244</v>
          </cell>
          <cell r="D652">
            <v>1.6890253757879396E-2</v>
          </cell>
          <cell r="E652">
            <v>0.02</v>
          </cell>
        </row>
        <row r="653">
          <cell r="A653">
            <v>41275</v>
          </cell>
          <cell r="D653">
            <v>1.5943517847071133E-2</v>
          </cell>
          <cell r="E653">
            <v>0.02</v>
          </cell>
        </row>
        <row r="654">
          <cell r="A654">
            <v>41306</v>
          </cell>
          <cell r="D654">
            <v>1.5750407338120838E-2</v>
          </cell>
          <cell r="E654">
            <v>0.02</v>
          </cell>
        </row>
        <row r="655">
          <cell r="A655">
            <v>41334</v>
          </cell>
          <cell r="D655">
            <v>1.4960590391083838E-2</v>
          </cell>
          <cell r="E655">
            <v>0.02</v>
          </cell>
        </row>
        <row r="656">
          <cell r="A656">
            <v>41365</v>
          </cell>
          <cell r="D656">
            <v>1.4206083451968015E-2</v>
          </cell>
          <cell r="E656">
            <v>0.02</v>
          </cell>
        </row>
        <row r="657">
          <cell r="A657">
            <v>41395</v>
          </cell>
          <cell r="D657">
            <v>1.4271835908940794E-2</v>
          </cell>
          <cell r="E657">
            <v>0.02</v>
          </cell>
        </row>
        <row r="658">
          <cell r="A658">
            <v>41426</v>
          </cell>
          <cell r="D658">
            <v>1.4887443721860925E-2</v>
          </cell>
          <cell r="E658">
            <v>0.02</v>
          </cell>
        </row>
        <row r="659">
          <cell r="A659">
            <v>41456</v>
          </cell>
          <cell r="D659">
            <v>1.5131980050573155E-2</v>
          </cell>
          <cell r="E659">
            <v>0.02</v>
          </cell>
        </row>
        <row r="660">
          <cell r="A660">
            <v>41487</v>
          </cell>
          <cell r="D660">
            <v>1.5671820688001943E-2</v>
          </cell>
          <cell r="E660">
            <v>0.02</v>
          </cell>
        </row>
        <row r="661">
          <cell r="A661">
            <v>41518</v>
          </cell>
          <cell r="D661">
            <v>1.5552673583399958E-2</v>
          </cell>
          <cell r="E661">
            <v>0.02</v>
          </cell>
        </row>
        <row r="662">
          <cell r="A662">
            <v>41548</v>
          </cell>
          <cell r="D662">
            <v>1.5256463844270629E-2</v>
          </cell>
          <cell r="E662">
            <v>0.02</v>
          </cell>
        </row>
        <row r="663">
          <cell r="A663">
            <v>41579</v>
          </cell>
          <cell r="D663">
            <v>1.5935819307890453E-2</v>
          </cell>
          <cell r="E663">
            <v>0.02</v>
          </cell>
        </row>
        <row r="664">
          <cell r="A664">
            <v>41609</v>
          </cell>
          <cell r="D664">
            <v>1.6579909401573521E-2</v>
          </cell>
          <cell r="E664">
            <v>0.02</v>
          </cell>
        </row>
        <row r="665">
          <cell r="A665">
            <v>41640</v>
          </cell>
          <cell r="D665">
            <v>1.5415729000406529E-2</v>
          </cell>
          <cell r="E665">
            <v>0.02</v>
          </cell>
        </row>
        <row r="666">
          <cell r="A666">
            <v>41671</v>
          </cell>
          <cell r="D666">
            <v>1.4822956273764256E-2</v>
          </cell>
          <cell r="E666">
            <v>0.02</v>
          </cell>
        </row>
        <row r="667">
          <cell r="A667">
            <v>41699</v>
          </cell>
          <cell r="D667">
            <v>1.5818370678142197E-2</v>
          </cell>
          <cell r="E667">
            <v>0.02</v>
          </cell>
        </row>
        <row r="668">
          <cell r="A668">
            <v>41730</v>
          </cell>
          <cell r="D668">
            <v>1.6962723525399685E-2</v>
          </cell>
          <cell r="E668">
            <v>0.02</v>
          </cell>
        </row>
        <row r="669">
          <cell r="A669">
            <v>41760</v>
          </cell>
          <cell r="D669">
            <v>1.7665297416857587E-2</v>
          </cell>
          <cell r="E669">
            <v>0.02</v>
          </cell>
        </row>
        <row r="670">
          <cell r="A670">
            <v>41791</v>
          </cell>
          <cell r="D670">
            <v>1.7173051519154599E-2</v>
          </cell>
          <cell r="E670">
            <v>0.02</v>
          </cell>
        </row>
        <row r="671">
          <cell r="A671">
            <v>41821</v>
          </cell>
          <cell r="D671">
            <v>1.7741983124440093E-2</v>
          </cell>
          <cell r="E671">
            <v>0.02</v>
          </cell>
        </row>
        <row r="672">
          <cell r="A672">
            <v>41852</v>
          </cell>
          <cell r="D672">
            <v>1.6944485420661837E-2</v>
          </cell>
          <cell r="E672">
            <v>0.02</v>
          </cell>
        </row>
        <row r="673">
          <cell r="A673">
            <v>41883</v>
          </cell>
          <cell r="D673">
            <v>1.7063035982671684E-2</v>
          </cell>
          <cell r="E673">
            <v>0.02</v>
          </cell>
        </row>
        <row r="674">
          <cell r="A674">
            <v>41913</v>
          </cell>
          <cell r="D674">
            <v>1.5821202764299411E-2</v>
          </cell>
          <cell r="E674">
            <v>0.02</v>
          </cell>
        </row>
        <row r="675">
          <cell r="A675">
            <v>41944</v>
          </cell>
          <cell r="D675">
            <v>1.5128089711724683E-2</v>
          </cell>
          <cell r="E675">
            <v>0.02</v>
          </cell>
        </row>
        <row r="676">
          <cell r="A676">
            <v>41974</v>
          </cell>
          <cell r="D676">
            <v>1.4697116277251765E-2</v>
          </cell>
          <cell r="E676">
            <v>0.02</v>
          </cell>
        </row>
        <row r="677">
          <cell r="A677">
            <v>42005</v>
          </cell>
          <cell r="D677">
            <v>1.3570773045906318E-2</v>
          </cell>
          <cell r="E677">
            <v>0.02</v>
          </cell>
        </row>
        <row r="678">
          <cell r="A678">
            <v>42036</v>
          </cell>
          <cell r="D678">
            <v>1.3962474021602292E-2</v>
          </cell>
          <cell r="E678">
            <v>0.02</v>
          </cell>
        </row>
        <row r="679">
          <cell r="A679">
            <v>42064</v>
          </cell>
          <cell r="D679">
            <v>1.3595107319543462E-2</v>
          </cell>
          <cell r="E679">
            <v>0.02</v>
          </cell>
        </row>
        <row r="680">
          <cell r="A680">
            <v>42095</v>
          </cell>
          <cell r="D680">
            <v>1.3384655760650815E-2</v>
          </cell>
          <cell r="E680">
            <v>0.02</v>
          </cell>
        </row>
        <row r="681">
          <cell r="A681">
            <v>42125</v>
          </cell>
          <cell r="D681">
            <v>1.2846760656310321E-2</v>
          </cell>
          <cell r="E681">
            <v>0.02</v>
          </cell>
        </row>
        <row r="682">
          <cell r="A682">
            <v>42156</v>
          </cell>
          <cell r="D682">
            <v>1.2899786780383686E-2</v>
          </cell>
          <cell r="E682">
            <v>0.02</v>
          </cell>
        </row>
        <row r="683">
          <cell r="A683">
            <v>42186</v>
          </cell>
          <cell r="D683">
            <v>1.193781501223766E-2</v>
          </cell>
          <cell r="E683">
            <v>0.02</v>
          </cell>
        </row>
        <row r="684">
          <cell r="A684">
            <v>42217</v>
          </cell>
          <cell r="D684">
            <v>1.2291118675537683E-2</v>
          </cell>
          <cell r="E684">
            <v>0.02</v>
          </cell>
        </row>
        <row r="685">
          <cell r="A685">
            <v>42248</v>
          </cell>
          <cell r="D685">
            <v>1.2343532684283646E-2</v>
          </cell>
          <cell r="E685">
            <v>0.02</v>
          </cell>
        </row>
        <row r="686">
          <cell r="A686">
            <v>42278</v>
          </cell>
          <cell r="D686">
            <v>1.1579770141562579E-2</v>
          </cell>
          <cell r="E686">
            <v>0.02</v>
          </cell>
        </row>
        <row r="687">
          <cell r="A687">
            <v>42309</v>
          </cell>
          <cell r="D687">
            <v>1.1567379988432647E-2</v>
          </cell>
          <cell r="E687">
            <v>0.02</v>
          </cell>
        </row>
        <row r="688">
          <cell r="A688">
            <v>42339</v>
          </cell>
          <cell r="D688">
            <v>1.1286920847096864E-2</v>
          </cell>
          <cell r="E688">
            <v>0.02</v>
          </cell>
        </row>
        <row r="689">
          <cell r="A689">
            <v>42370</v>
          </cell>
          <cell r="D689">
            <v>1.3369808122062022E-2</v>
          </cell>
          <cell r="E689">
            <v>0.02</v>
          </cell>
        </row>
        <row r="690">
          <cell r="A690">
            <v>42401</v>
          </cell>
          <cell r="D690">
            <v>1.3943418013856793E-2</v>
          </cell>
          <cell r="E690">
            <v>0.02</v>
          </cell>
        </row>
        <row r="691">
          <cell r="A691">
            <v>42430</v>
          </cell>
          <cell r="D691">
            <v>1.3845119139123774E-2</v>
          </cell>
          <cell r="E691">
            <v>0.02</v>
          </cell>
        </row>
        <row r="692">
          <cell r="A692">
            <v>42461</v>
          </cell>
          <cell r="D692">
            <v>1.4675414364640895E-2</v>
          </cell>
          <cell r="E692">
            <v>0.02</v>
          </cell>
        </row>
        <row r="693">
          <cell r="A693">
            <v>42491</v>
          </cell>
          <cell r="D693">
            <v>1.4973415720649405E-2</v>
          </cell>
          <cell r="E693">
            <v>0.02</v>
          </cell>
        </row>
        <row r="694">
          <cell r="A694">
            <v>42522</v>
          </cell>
          <cell r="D694">
            <v>1.4984068662628839E-2</v>
          </cell>
          <cell r="E694">
            <v>0.02</v>
          </cell>
        </row>
        <row r="695">
          <cell r="A695">
            <v>42552</v>
          </cell>
          <cell r="D695">
            <v>1.5812165999063228E-2</v>
          </cell>
          <cell r="E695">
            <v>0.02</v>
          </cell>
        </row>
        <row r="696">
          <cell r="A696">
            <v>42583</v>
          </cell>
          <cell r="D696">
            <v>1.6975706684244224E-2</v>
          </cell>
          <cell r="E696">
            <v>0.02</v>
          </cell>
        </row>
        <row r="697">
          <cell r="A697">
            <v>42614</v>
          </cell>
          <cell r="D697">
            <v>1.6839353521476145E-2</v>
          </cell>
          <cell r="E697">
            <v>0.02</v>
          </cell>
        </row>
        <row r="698">
          <cell r="A698">
            <v>42644</v>
          </cell>
          <cell r="D698">
            <v>1.8201070314512218E-2</v>
          </cell>
          <cell r="E698">
            <v>0.02</v>
          </cell>
        </row>
        <row r="699">
          <cell r="A699">
            <v>42675</v>
          </cell>
          <cell r="D699">
            <v>1.7619592147894072E-2</v>
          </cell>
          <cell r="E699">
            <v>0.02</v>
          </cell>
        </row>
        <row r="700">
          <cell r="A700">
            <v>42705</v>
          </cell>
          <cell r="D700">
            <v>1.8284147073108034E-2</v>
          </cell>
          <cell r="E700">
            <v>0.02</v>
          </cell>
        </row>
        <row r="701">
          <cell r="A701">
            <v>42736</v>
          </cell>
          <cell r="D701">
            <v>1.9010684004410479E-2</v>
          </cell>
          <cell r="E701">
            <v>0.02</v>
          </cell>
        </row>
        <row r="702">
          <cell r="A702">
            <v>42767</v>
          </cell>
          <cell r="D702">
            <v>1.8867029202137248E-2</v>
          </cell>
          <cell r="E702">
            <v>0.02</v>
          </cell>
        </row>
        <row r="703">
          <cell r="A703">
            <v>42795</v>
          </cell>
          <cell r="D703">
            <v>1.6925540887595847E-2</v>
          </cell>
          <cell r="E703">
            <v>0.02</v>
          </cell>
        </row>
        <row r="704">
          <cell r="A704">
            <v>42826</v>
          </cell>
          <cell r="D704">
            <v>1.7024937137239349E-2</v>
          </cell>
          <cell r="E704">
            <v>0.02</v>
          </cell>
        </row>
        <row r="705">
          <cell r="A705">
            <v>42856</v>
          </cell>
          <cell r="D705">
            <v>1.6526975497413873E-2</v>
          </cell>
          <cell r="E705">
            <v>0.02</v>
          </cell>
        </row>
        <row r="706">
          <cell r="A706">
            <v>42887</v>
          </cell>
          <cell r="D706">
            <v>1.6959378564627644E-2</v>
          </cell>
          <cell r="E706">
            <v>0.02</v>
          </cell>
        </row>
        <row r="707">
          <cell r="A707">
            <v>42917</v>
          </cell>
          <cell r="D707">
            <v>1.587660107098824E-2</v>
          </cell>
          <cell r="E707">
            <v>0.02</v>
          </cell>
        </row>
        <row r="708">
          <cell r="A708">
            <v>42948</v>
          </cell>
          <cell r="D708">
            <v>1.5048470729691175E-2</v>
          </cell>
          <cell r="E708">
            <v>0.02</v>
          </cell>
        </row>
        <row r="709">
          <cell r="A709">
            <v>42979</v>
          </cell>
          <cell r="D709">
            <v>1.583801687011515E-2</v>
          </cell>
          <cell r="E709">
            <v>0.02</v>
          </cell>
        </row>
        <row r="710">
          <cell r="A710">
            <v>43009</v>
          </cell>
          <cell r="D710">
            <v>1.6948199780769665E-2</v>
          </cell>
          <cell r="E710">
            <v>0.02</v>
          </cell>
        </row>
        <row r="711">
          <cell r="A711">
            <v>43040</v>
          </cell>
          <cell r="D711">
            <v>1.6968039779378004E-2</v>
          </cell>
          <cell r="E711">
            <v>0.02</v>
          </cell>
        </row>
        <row r="712">
          <cell r="A712">
            <v>43070</v>
          </cell>
          <cell r="D712">
            <v>1.7207679862338593E-2</v>
          </cell>
          <cell r="E712">
            <v>0.02</v>
          </cell>
        </row>
        <row r="713">
          <cell r="A713">
            <v>43101</v>
          </cell>
          <cell r="D713">
            <v>1.7312786836312162E-2</v>
          </cell>
          <cell r="E713">
            <v>0.02</v>
          </cell>
        </row>
        <row r="714">
          <cell r="A714">
            <v>43132</v>
          </cell>
          <cell r="D714">
            <v>1.7846996469722484E-2</v>
          </cell>
          <cell r="E714">
            <v>0.02</v>
          </cell>
        </row>
        <row r="715">
          <cell r="A715">
            <v>43160</v>
          </cell>
          <cell r="D715">
            <v>2.0828091364030299E-2</v>
          </cell>
          <cell r="E715">
            <v>0.02</v>
          </cell>
        </row>
        <row r="716">
          <cell r="A716">
            <v>43191</v>
          </cell>
          <cell r="D716">
            <v>2.0123249091432906E-2</v>
          </cell>
          <cell r="E716">
            <v>0.02</v>
          </cell>
        </row>
        <row r="717">
          <cell r="A717">
            <v>43221</v>
          </cell>
          <cell r="D717">
            <v>2.1077261627313125E-2</v>
          </cell>
          <cell r="E717">
            <v>0.02</v>
          </cell>
        </row>
        <row r="718">
          <cell r="A718">
            <v>43252</v>
          </cell>
          <cell r="D718">
            <v>2.0671882531795669E-2</v>
          </cell>
          <cell r="E718">
            <v>0.02</v>
          </cell>
        </row>
        <row r="719">
          <cell r="A719">
            <v>43282</v>
          </cell>
          <cell r="D719">
            <v>2.1251760171940977E-2</v>
          </cell>
          <cell r="E719">
            <v>0.02</v>
          </cell>
        </row>
        <row r="720">
          <cell r="A720">
            <v>43313</v>
          </cell>
          <cell r="D720">
            <v>2.0257639415869187E-2</v>
          </cell>
          <cell r="E720">
            <v>0.02</v>
          </cell>
        </row>
        <row r="721">
          <cell r="A721">
            <v>43344</v>
          </cell>
          <cell r="D721">
            <v>2.0394025880462175E-2</v>
          </cell>
          <cell r="E721">
            <v>0.02</v>
          </cell>
        </row>
        <row r="722">
          <cell r="A722">
            <v>43374</v>
          </cell>
          <cell r="D722">
            <v>1.9300573028946243E-2</v>
          </cell>
          <cell r="E722">
            <v>0.02</v>
          </cell>
        </row>
        <row r="723">
          <cell r="A723">
            <v>43405</v>
          </cell>
          <cell r="D723">
            <v>2.059833703188732E-2</v>
          </cell>
          <cell r="E723">
            <v>0.02</v>
          </cell>
        </row>
        <row r="724">
          <cell r="A724">
            <v>43435</v>
          </cell>
          <cell r="D724">
            <v>2.0566521711149269E-2</v>
          </cell>
          <cell r="E724">
            <v>0.02</v>
          </cell>
        </row>
        <row r="725">
          <cell r="A725">
            <v>43466</v>
          </cell>
          <cell r="D725">
            <v>1.8338529249954154E-2</v>
          </cell>
          <cell r="E725">
            <v>0.02</v>
          </cell>
        </row>
        <row r="726">
          <cell r="A726">
            <v>43497</v>
          </cell>
          <cell r="D726">
            <v>1.6682986648119916E-2</v>
          </cell>
          <cell r="E726">
            <v>0.02</v>
          </cell>
        </row>
        <row r="727">
          <cell r="A727">
            <v>43525</v>
          </cell>
          <cell r="D727">
            <v>1.5628708623176529E-2</v>
          </cell>
          <cell r="E727">
            <v>0.02</v>
          </cell>
        </row>
        <row r="728">
          <cell r="A728">
            <v>43556</v>
          </cell>
          <cell r="D728">
            <v>1.6901742109483236E-2</v>
          </cell>
          <cell r="E728">
            <v>0.02</v>
          </cell>
        </row>
        <row r="729">
          <cell r="A729">
            <v>43586</v>
          </cell>
          <cell r="D729">
            <v>1.6140912438960122E-2</v>
          </cell>
          <cell r="E729">
            <v>0.02</v>
          </cell>
        </row>
        <row r="730">
          <cell r="A730">
            <v>43617</v>
          </cell>
          <cell r="D730">
            <v>1.7174359253810015E-2</v>
          </cell>
          <cell r="E730">
            <v>0.02</v>
          </cell>
        </row>
        <row r="731">
          <cell r="A731">
            <v>43647</v>
          </cell>
          <cell r="D731">
            <v>1.7344291442152489E-2</v>
          </cell>
          <cell r="E731">
            <v>0.02</v>
          </cell>
        </row>
        <row r="732">
          <cell r="A732">
            <v>43678</v>
          </cell>
          <cell r="D732">
            <v>1.852204595136377E-2</v>
          </cell>
          <cell r="E732">
            <v>0.02</v>
          </cell>
        </row>
        <row r="733">
          <cell r="A733">
            <v>43709</v>
          </cell>
          <cell r="D733">
            <v>1.7126046616881739E-2</v>
          </cell>
          <cell r="E733">
            <v>0.02</v>
          </cell>
        </row>
        <row r="734">
          <cell r="A734">
            <v>43739</v>
          </cell>
          <cell r="D734">
            <v>1.7163619273144682E-2</v>
          </cell>
          <cell r="E734">
            <v>0.02</v>
          </cell>
        </row>
        <row r="735">
          <cell r="A735">
            <v>43770</v>
          </cell>
          <cell r="D735">
            <v>1.5680542774138832E-2</v>
          </cell>
          <cell r="E735">
            <v>0.02</v>
          </cell>
        </row>
        <row r="736">
          <cell r="A736">
            <v>43800</v>
          </cell>
          <cell r="D736">
            <v>1.6377493108480603E-2</v>
          </cell>
          <cell r="E736">
            <v>0.02</v>
          </cell>
        </row>
        <row r="737">
          <cell r="A737">
            <v>43831</v>
          </cell>
          <cell r="D737">
            <v>1.7828200972447361E-2</v>
          </cell>
          <cell r="E737">
            <v>0.02</v>
          </cell>
        </row>
        <row r="738">
          <cell r="A738">
            <v>43862</v>
          </cell>
          <cell r="D738">
            <v>1.9073594008785191E-2</v>
          </cell>
          <cell r="E738">
            <v>0.02</v>
          </cell>
        </row>
        <row r="739">
          <cell r="A739">
            <v>43891</v>
          </cell>
          <cell r="D739">
            <v>1.7042083880130159E-2</v>
          </cell>
          <cell r="E739">
            <v>0.02</v>
          </cell>
        </row>
        <row r="740">
          <cell r="A740">
            <v>43922</v>
          </cell>
          <cell r="D740">
            <v>9.1481717096597963E-3</v>
          </cell>
          <cell r="E740">
            <v>0.02</v>
          </cell>
        </row>
        <row r="741">
          <cell r="A741">
            <v>43952</v>
          </cell>
          <cell r="D741">
            <v>1.0022909507445631E-2</v>
          </cell>
          <cell r="E741">
            <v>0.02</v>
          </cell>
        </row>
        <row r="742">
          <cell r="A742">
            <v>43983</v>
          </cell>
          <cell r="D742">
            <v>1.1321731832102652E-2</v>
          </cell>
          <cell r="E742">
            <v>0.02</v>
          </cell>
        </row>
        <row r="743">
          <cell r="A743">
            <v>44013</v>
          </cell>
          <cell r="D743">
            <v>1.3018279090503734E-2</v>
          </cell>
          <cell r="E743">
            <v>0.02</v>
          </cell>
        </row>
        <row r="744">
          <cell r="A744">
            <v>44044</v>
          </cell>
          <cell r="D744">
            <v>1.497920544309774E-2</v>
          </cell>
          <cell r="E744">
            <v>0.02</v>
          </cell>
        </row>
        <row r="745">
          <cell r="A745">
            <v>44075</v>
          </cell>
          <cell r="D745">
            <v>1.569855918552596E-2</v>
          </cell>
          <cell r="E745">
            <v>0.02</v>
          </cell>
        </row>
        <row r="746">
          <cell r="A746">
            <v>44105</v>
          </cell>
          <cell r="D746">
            <v>1.4190510040874304E-2</v>
          </cell>
          <cell r="E746">
            <v>0.02</v>
          </cell>
        </row>
        <row r="747">
          <cell r="A747">
            <v>44136</v>
          </cell>
          <cell r="D747">
            <v>1.3839539511085906E-2</v>
          </cell>
          <cell r="E747">
            <v>0.02</v>
          </cell>
        </row>
        <row r="748">
          <cell r="A748">
            <v>44166</v>
          </cell>
          <cell r="D748">
            <v>1.4801815216620592E-2</v>
          </cell>
          <cell r="E748">
            <v>0.02</v>
          </cell>
        </row>
        <row r="749">
          <cell r="A749">
            <v>44197</v>
          </cell>
          <cell r="D749">
            <v>1.5092002830856235E-2</v>
          </cell>
          <cell r="E749">
            <v>0.02</v>
          </cell>
        </row>
        <row r="750">
          <cell r="A750">
            <v>44228</v>
          </cell>
          <cell r="D750">
            <v>1.4874354105021397E-2</v>
          </cell>
          <cell r="E750">
            <v>0.02</v>
          </cell>
        </row>
        <row r="751">
          <cell r="A751">
            <v>44256</v>
          </cell>
          <cell r="D751">
            <v>1.9734865223155013E-2</v>
          </cell>
          <cell r="E751">
            <v>0.02</v>
          </cell>
        </row>
        <row r="752">
          <cell r="A752">
            <v>44287</v>
          </cell>
          <cell r="D752">
            <v>3.1031359874986723E-2</v>
          </cell>
          <cell r="E752">
            <v>0.02</v>
          </cell>
        </row>
        <row r="753">
          <cell r="A753">
            <v>44317</v>
          </cell>
          <cell r="D753">
            <v>3.4430819393252016E-2</v>
          </cell>
          <cell r="E753">
            <v>0.02</v>
          </cell>
        </row>
        <row r="754">
          <cell r="A754">
            <v>44348</v>
          </cell>
          <cell r="D754">
            <v>3.5403699289277404E-2</v>
          </cell>
          <cell r="E754">
            <v>0.02</v>
          </cell>
        </row>
      </sheetData>
      <sheetData sheetId="4"/>
    </sheetDataSet>
  </externalBook>
</externalLink>
</file>

<file path=xl/tables/table1.xml><?xml version="1.0" encoding="utf-8"?>
<table xmlns="http://schemas.openxmlformats.org/spreadsheetml/2006/main" id="1" name="Table5345679103" displayName="Table5345679103" ref="A4:D760" headerRowCount="1" totalsRowShown="0" headerRowDxfId="35" dataDxfId="33" headerRowBorderDxfId="34">
  <autoFilter ref="A4:D760"/>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0" headerRowCount="1" totalsRowShown="0" headerRowDxfId="28" dataDxfId="26" headerRowBorderDxfId="27">
  <autoFilter ref="A4:F760"/>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0" headerRowCount="1" totalsRowShown="0" headerRowDxfId="19" dataDxfId="17" headerRowBorderDxfId="18" tableBorderDxfId="16" totalsRowBorderDxfId="15">
  <autoFilter ref="A4:G760"/>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Q28" sqref="Q28"/>
    </sheetView>
  </sheetViews>
  <sheetFormatPr baseColWidth="10" defaultColWidth="9.1640625" defaultRowHeight="15"/>
  <cols>
    <col width="9.1640625" customWidth="1" style="51" min="1" max="1"/>
    <col width="12.83203125" customWidth="1" style="51" min="2" max="10"/>
    <col width="2.83203125" customWidth="1" style="51" min="11" max="13"/>
    <col width="19" customWidth="1" style="51" min="14" max="14"/>
    <col width="9.1640625" customWidth="1" style="51" min="15" max="15"/>
    <col width="12.33203125" customWidth="1" style="51" min="16" max="19"/>
    <col width="9.1640625" customWidth="1" style="51" min="20" max="24"/>
    <col width="9.1640625" customWidth="1" style="51" min="25" max="16384"/>
  </cols>
  <sheetData>
    <row r="1">
      <c r="B1" s="53" t="n"/>
    </row>
    <row r="2" ht="16" customHeight="1" s="63" thickBot="1">
      <c r="B2" s="90" t="n"/>
      <c r="C2" s="90" t="n"/>
      <c r="D2" s="90" t="n"/>
      <c r="E2" s="90" t="n"/>
      <c r="F2" s="90" t="n"/>
      <c r="G2" s="90" t="n"/>
      <c r="H2" s="90" t="n"/>
      <c r="I2" s="90" t="n"/>
      <c r="J2" s="90" t="n"/>
    </row>
    <row r="3" ht="16" customHeight="1" s="63" thickBot="1">
      <c r="B3" s="91" t="inlineStr">
        <is>
          <t>Personal Consumption Expenditures - PCE</t>
        </is>
      </c>
      <c r="C3" s="92" t="n"/>
      <c r="D3" s="92" t="n"/>
      <c r="E3" s="92" t="n"/>
      <c r="F3" s="92" t="n"/>
      <c r="G3" s="92" t="n"/>
      <c r="H3" s="92" t="n"/>
      <c r="I3" s="92" t="n"/>
      <c r="J3" s="93" t="n"/>
    </row>
    <row r="5">
      <c r="B5" s="94" t="inlineStr">
        <is>
          <t>Definition</t>
        </is>
      </c>
      <c r="C5" s="95" t="n"/>
      <c r="D5" s="95" t="n"/>
      <c r="E5" s="95" t="n"/>
      <c r="F5" s="95" t="n"/>
      <c r="G5" s="95" t="n"/>
      <c r="H5" s="95" t="n"/>
      <c r="I5" s="95" t="n"/>
      <c r="J5" s="96" t="n"/>
    </row>
    <row r="7">
      <c r="B7" s="60" t="inlineStr">
        <is>
          <t>The PCE price index, released each month in the Personal Income and Outlays report, reflects changes in the prices of goods and services purchased by consumers in the United States. Quarterly and annual data are included in the GDP release.</t>
        </is>
      </c>
    </row>
    <row r="8">
      <c r="B8" s="62" t="inlineStr">
        <is>
          <t>https://www.bea.gov/data/personal-consumption-expenditures-price-index</t>
        </is>
      </c>
    </row>
    <row r="9">
      <c r="B9" s="64" t="n"/>
      <c r="C9" s="64" t="n"/>
      <c r="D9" s="64" t="n"/>
      <c r="E9" s="64" t="n"/>
    </row>
    <row r="10">
      <c r="B10" s="64" t="n"/>
      <c r="C10" s="64" t="n"/>
      <c r="D10" s="64" t="n"/>
      <c r="E10" s="64" t="n"/>
    </row>
    <row r="11">
      <c r="B11" s="64" t="n"/>
      <c r="C11" s="64" t="n"/>
      <c r="D11" s="64" t="n"/>
      <c r="E11" s="64" t="n"/>
    </row>
    <row r="12">
      <c r="B12" s="64" t="n"/>
      <c r="C12" s="64" t="n"/>
      <c r="D12" s="64" t="n"/>
      <c r="E12" s="64" t="n"/>
    </row>
    <row r="13">
      <c r="B13" s="64" t="n"/>
      <c r="C13" s="64" t="n"/>
      <c r="D13" s="64" t="n"/>
      <c r="E13" s="64" t="n"/>
    </row>
    <row r="14">
      <c r="B14" s="64" t="n"/>
      <c r="C14" s="64" t="n"/>
      <c r="D14" s="64" t="n"/>
      <c r="E14" s="64" t="n"/>
    </row>
    <row r="15">
      <c r="B15" s="64" t="n"/>
      <c r="C15" s="64" t="n"/>
      <c r="D15" s="64" t="n"/>
      <c r="E15" s="64" t="n"/>
    </row>
    <row r="16">
      <c r="B16" s="94" t="inlineStr">
        <is>
          <t>Process / TO DO LIST</t>
        </is>
      </c>
      <c r="C16" s="95" t="n"/>
      <c r="D16" s="95" t="n"/>
      <c r="E16" s="95" t="n"/>
      <c r="F16" s="95" t="n"/>
      <c r="G16" s="95" t="n"/>
      <c r="H16" s="95" t="n"/>
      <c r="I16" s="95" t="n"/>
      <c r="J16" s="96" t="n"/>
      <c r="N16" s="94" t="inlineStr">
        <is>
          <t>Summary</t>
        </is>
      </c>
      <c r="O16" s="95" t="n"/>
      <c r="P16" s="95" t="n"/>
      <c r="Q16" s="95" t="n"/>
      <c r="R16" s="95" t="n"/>
      <c r="S16" s="96" t="n"/>
    </row>
    <row r="18">
      <c r="B18" s="94" t="inlineStr">
        <is>
          <t>TO DO LIST</t>
        </is>
      </c>
      <c r="C18" s="95" t="n"/>
      <c r="D18" s="95" t="n"/>
      <c r="E18" s="95" t="n"/>
      <c r="F18" s="96" t="n"/>
      <c r="G18" s="94" t="inlineStr">
        <is>
          <t>Comments</t>
        </is>
      </c>
      <c r="H18" s="95" t="n"/>
      <c r="I18" s="95" t="n"/>
      <c r="J18" s="96" t="n"/>
      <c r="N18" s="69" t="inlineStr">
        <is>
          <t>* To modify</t>
        </is>
      </c>
    </row>
    <row r="19" ht="16" customHeight="1" s="63" thickBot="1"/>
    <row r="20">
      <c r="B20" s="51" t="inlineStr">
        <is>
          <t>Database</t>
        </is>
      </c>
      <c r="G20" s="51" t="n"/>
      <c r="P20" s="70" t="n">
        <v>44531</v>
      </c>
      <c r="Q20" s="71" t="n"/>
    </row>
    <row r="21" ht="16" customHeight="1" s="63" thickBot="1">
      <c r="B21" s="51" t="inlineStr">
        <is>
          <t>Create data on Fred</t>
        </is>
      </c>
      <c r="G21" s="51" t="n"/>
      <c r="P21" s="72" t="inlineStr">
        <is>
          <t>mom</t>
        </is>
      </c>
      <c r="Q21" s="72" t="inlineStr">
        <is>
          <t>yoy</t>
        </is>
      </c>
    </row>
    <row r="22">
      <c r="B22" s="51" t="inlineStr">
        <is>
          <t>https://research.stlouisfed.org/useraccount/datalists</t>
        </is>
      </c>
      <c r="G22" s="51" t="n"/>
      <c r="N22" s="73" t="inlineStr">
        <is>
          <t>PCE Deflator</t>
        </is>
      </c>
      <c r="O22" s="97" t="n"/>
      <c r="P22" s="98">
        <f>(VLOOKUP($P$20,Database!A:C,MATCH(Note!S22,Database!A1:C1,),)-VLOOKUP($N$30,Database!A:C,MATCH(Note!S22,Database!A1:C1,),))/VLOOKUP($N$30,Database!A:C,MATCH(Note!S22,Database!A1:C1,),)</f>
        <v/>
      </c>
      <c r="Q22" s="99">
        <f>(VLOOKUP($P$20,Database!A:C,MATCH(Note!S22,Database!A1:C1,),)-VLOOKUP($N$31,Database!A:C,MATCH(Note!S22,Database!A1:C1,),))/VLOOKUP($N$31,Database!A:C,MATCH(Note!S22,Database!A1:C1,),)</f>
        <v/>
      </c>
      <c r="S22" s="77" t="inlineStr">
        <is>
          <t>PCEPI</t>
        </is>
      </c>
    </row>
    <row r="23" ht="16" customHeight="1" s="63" thickBot="1">
      <c r="B23" s="78" t="inlineStr">
        <is>
          <t>PCEPI</t>
        </is>
      </c>
      <c r="G23" s="79" t="inlineStr">
        <is>
          <t>Personal Consumption Expenditures: Chain-type Price Index (PCEPI)</t>
        </is>
      </c>
      <c r="N23" s="80" t="inlineStr">
        <is>
          <t>PCE Core</t>
        </is>
      </c>
      <c r="O23" s="100" t="n"/>
      <c r="P23" s="101">
        <f>(VLOOKUP($P$20,Database!A:C,MATCH(Note!S23,Database!A1:C1,),)-VLOOKUP($N$30,Database!A:C,MATCH(Note!S23,Database!A1:C1,),))/VLOOKUP($N$30,Database!A:C,MATCH(Note!S23,Database!A1:C1,),)</f>
        <v/>
      </c>
      <c r="Q23" s="102">
        <f>(VLOOKUP($P$20,Database!A:C,MATCH(Note!S23,Database!A1:C1,),)-VLOOKUP($N$31,Database!A:C,MATCH(Note!S23,Database!A1:C1,),))/VLOOKUP($N$31,Database!A:C,MATCH(Note!S23,Database!A1:C1,),)</f>
        <v/>
      </c>
      <c r="S23" s="84" t="inlineStr">
        <is>
          <t>PCEPILFE</t>
        </is>
      </c>
    </row>
    <row r="24">
      <c r="B24" s="78" t="inlineStr">
        <is>
          <t>PCEPILFE</t>
        </is>
      </c>
      <c r="G24" s="79" t="inlineStr">
        <is>
          <t>Personal Consumption Expenditures Excluding Food and Energy (Chain-Type Price Index)</t>
        </is>
      </c>
    </row>
    <row r="25">
      <c r="B25" s="51" t="inlineStr">
        <is>
          <t>Fed Funds Target</t>
        </is>
      </c>
      <c r="G25" s="51" t="inlineStr">
        <is>
          <t>https://fred.stlouisfed.org/series/DFEDTARL</t>
        </is>
      </c>
    </row>
    <row r="26">
      <c r="G26" s="51" t="inlineStr">
        <is>
          <t>https://fred.stlouisfed.org/series/DFEDTARU</t>
        </is>
      </c>
    </row>
    <row r="27">
      <c r="B27" s="51" t="inlineStr">
        <is>
          <t>Fed Funds Rate</t>
        </is>
      </c>
      <c r="G27" s="51" t="inlineStr">
        <is>
          <t>https://fred.stlouisfed.org/series/FEDFUNDs</t>
        </is>
      </c>
    </row>
    <row r="29" ht="16" customHeight="1" s="63" thickBot="1">
      <c r="B29" s="85" t="n"/>
    </row>
    <row r="30" ht="16" customHeight="1" s="63" thickBot="1">
      <c r="B30" s="86" t="n"/>
      <c r="N30" s="71">
        <f>DATE(YEAR($P$20),MONTH($P$20)-1,DAY($P$20))</f>
        <v/>
      </c>
    </row>
    <row r="31" ht="16" customHeight="1" s="63" thickBot="1">
      <c r="B31" s="87" t="n"/>
      <c r="N31" s="88">
        <f>DATE(YEAR($P$20)-1,MONTH($P$20),DAY($P$20))</f>
        <v/>
      </c>
      <c r="P31" s="89" t="n"/>
      <c r="Q31" s="89" t="n"/>
    </row>
  </sheetData>
  <mergeCells count="17">
    <mergeCell ref="G24:J24"/>
    <mergeCell ref="B30:J30"/>
    <mergeCell ref="G20:J20"/>
    <mergeCell ref="G21:J21"/>
    <mergeCell ref="G22:J22"/>
    <mergeCell ref="N22:O22"/>
    <mergeCell ref="G23:J23"/>
    <mergeCell ref="N23:O23"/>
    <mergeCell ref="B8:J8"/>
    <mergeCell ref="B16:J16"/>
    <mergeCell ref="N16:S16"/>
    <mergeCell ref="B18:F18"/>
    <mergeCell ref="G18:J18"/>
    <mergeCell ref="B1:J2"/>
    <mergeCell ref="B3:J3"/>
    <mergeCell ref="B5:J5"/>
    <mergeCell ref="B7:J7"/>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1"/>
  <sheetViews>
    <sheetView zoomScale="170" zoomScaleNormal="170" workbookViewId="0">
      <pane ySplit="1" topLeftCell="A74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103" t="n">
        <v>20821</v>
      </c>
      <c r="B2" t="n">
        <v/>
      </c>
      <c r="C2" t="n">
        <v/>
      </c>
      <c r="D2" t="n">
        <v/>
      </c>
      <c r="E2" t="n">
        <v>28.5</v>
      </c>
    </row>
    <row r="3">
      <c r="A3" s="103" t="n">
        <v>20852</v>
      </c>
      <c r="B3" t="n">
        <v/>
      </c>
      <c r="C3" t="n">
        <v/>
      </c>
      <c r="D3" t="n">
        <v/>
      </c>
      <c r="E3" t="n">
        <v>28.6</v>
      </c>
    </row>
    <row r="4">
      <c r="A4" s="103" t="n">
        <v>20880</v>
      </c>
      <c r="B4" t="n">
        <v/>
      </c>
      <c r="C4" t="n">
        <v/>
      </c>
      <c r="D4" t="n">
        <v/>
      </c>
      <c r="E4" t="n">
        <v>28.7</v>
      </c>
    </row>
    <row r="5">
      <c r="A5" s="103" t="n">
        <v>20911</v>
      </c>
      <c r="B5" t="n">
        <v/>
      </c>
      <c r="C5" t="n">
        <v/>
      </c>
      <c r="D5" t="n">
        <v/>
      </c>
      <c r="E5" t="n">
        <v>28.8</v>
      </c>
    </row>
    <row r="6">
      <c r="A6" s="103" t="n">
        <v>20941</v>
      </c>
      <c r="B6" t="n">
        <v/>
      </c>
      <c r="C6" t="n">
        <v/>
      </c>
      <c r="D6" t="n">
        <v/>
      </c>
      <c r="E6" t="n">
        <v>28.8</v>
      </c>
    </row>
    <row r="7">
      <c r="A7" s="103" t="n">
        <v>20972</v>
      </c>
      <c r="B7" t="n">
        <v/>
      </c>
      <c r="C7" t="n">
        <v/>
      </c>
      <c r="D7" t="n">
        <v/>
      </c>
      <c r="E7" t="n">
        <v>28.9</v>
      </c>
    </row>
    <row r="8">
      <c r="A8" s="103" t="n">
        <v>21002</v>
      </c>
      <c r="B8" t="n">
        <v/>
      </c>
      <c r="C8" t="n">
        <v/>
      </c>
      <c r="D8" t="n">
        <v/>
      </c>
      <c r="E8" t="n">
        <v>29</v>
      </c>
    </row>
    <row r="9">
      <c r="A9" s="103" t="n">
        <v>21033</v>
      </c>
      <c r="B9" t="n">
        <v/>
      </c>
      <c r="C9" t="n">
        <v/>
      </c>
      <c r="D9" t="n">
        <v/>
      </c>
      <c r="E9" t="n">
        <v>29</v>
      </c>
    </row>
    <row r="10">
      <c r="A10" s="103" t="n">
        <v>21064</v>
      </c>
      <c r="B10" t="n">
        <v/>
      </c>
      <c r="C10" t="n">
        <v/>
      </c>
      <c r="D10" t="n">
        <v/>
      </c>
      <c r="E10" t="n">
        <v>29.1</v>
      </c>
    </row>
    <row r="11">
      <c r="A11" s="103" t="n">
        <v>21094</v>
      </c>
      <c r="B11" t="n">
        <v/>
      </c>
      <c r="C11" t="n">
        <v/>
      </c>
      <c r="D11" t="n">
        <v/>
      </c>
      <c r="E11" t="n">
        <v>29.2</v>
      </c>
    </row>
    <row r="12">
      <c r="A12" s="103" t="n">
        <v>21125</v>
      </c>
      <c r="B12" t="n">
        <v/>
      </c>
      <c r="C12" t="n">
        <v/>
      </c>
      <c r="D12" t="n">
        <v/>
      </c>
      <c r="E12" t="n">
        <v>29.3</v>
      </c>
    </row>
    <row r="13">
      <c r="A13" s="103" t="n">
        <v>21155</v>
      </c>
      <c r="B13" t="n">
        <v/>
      </c>
      <c r="C13" t="n">
        <v/>
      </c>
      <c r="D13" t="n">
        <v/>
      </c>
      <c r="E13" t="n">
        <v>29.3</v>
      </c>
    </row>
    <row r="14">
      <c r="A14" s="103" t="n">
        <v>21186</v>
      </c>
      <c r="B14" t="n">
        <v/>
      </c>
      <c r="C14" t="n">
        <v/>
      </c>
      <c r="D14" t="n">
        <v/>
      </c>
      <c r="E14" t="n">
        <v>29.3</v>
      </c>
    </row>
    <row r="15">
      <c r="A15" s="103" t="n">
        <v>21217</v>
      </c>
      <c r="B15" t="n">
        <v/>
      </c>
      <c r="C15" t="n">
        <v/>
      </c>
      <c r="D15" t="n">
        <v/>
      </c>
      <c r="E15" t="n">
        <v>29.4</v>
      </c>
    </row>
    <row r="16">
      <c r="A16" s="103" t="n">
        <v>21245</v>
      </c>
      <c r="B16" t="n">
        <v/>
      </c>
      <c r="C16" t="n">
        <v/>
      </c>
      <c r="D16" t="n">
        <v/>
      </c>
      <c r="E16" t="n">
        <v>29.5</v>
      </c>
    </row>
    <row r="17">
      <c r="A17" s="103" t="n">
        <v>21276</v>
      </c>
      <c r="B17" t="n">
        <v/>
      </c>
      <c r="C17" t="n">
        <v/>
      </c>
      <c r="D17" t="n">
        <v/>
      </c>
      <c r="E17" t="n">
        <v>29.5</v>
      </c>
    </row>
    <row r="18">
      <c r="A18" s="103" t="n">
        <v>21306</v>
      </c>
      <c r="B18" t="n">
        <v/>
      </c>
      <c r="C18" t="n">
        <v/>
      </c>
      <c r="D18" t="n">
        <v/>
      </c>
      <c r="E18" t="n">
        <v>29.5</v>
      </c>
    </row>
    <row r="19">
      <c r="A19" s="103" t="n">
        <v>21337</v>
      </c>
      <c r="B19" t="n">
        <v/>
      </c>
      <c r="C19" t="n">
        <v/>
      </c>
      <c r="D19" t="n">
        <v/>
      </c>
      <c r="E19" t="n">
        <v>29.6</v>
      </c>
    </row>
    <row r="20">
      <c r="A20" s="103" t="n">
        <v>21367</v>
      </c>
      <c r="B20" t="n">
        <v/>
      </c>
      <c r="C20" t="n">
        <v/>
      </c>
      <c r="D20" t="n">
        <v/>
      </c>
      <c r="E20" t="n">
        <v>29.6</v>
      </c>
    </row>
    <row r="21">
      <c r="A21" s="103" t="n">
        <v>21398</v>
      </c>
      <c r="B21" t="n">
        <v/>
      </c>
      <c r="C21" t="n">
        <v/>
      </c>
      <c r="D21" t="n">
        <v/>
      </c>
      <c r="E21" t="n">
        <v>29.6</v>
      </c>
    </row>
    <row r="22">
      <c r="A22" s="103" t="n">
        <v>21429</v>
      </c>
      <c r="B22" t="n">
        <v/>
      </c>
      <c r="C22" t="n">
        <v/>
      </c>
      <c r="D22" t="n">
        <v/>
      </c>
      <c r="E22" t="n">
        <v>29.7</v>
      </c>
    </row>
    <row r="23">
      <c r="A23" s="103" t="n">
        <v>21459</v>
      </c>
      <c r="B23" t="n">
        <v/>
      </c>
      <c r="C23" t="n">
        <v/>
      </c>
      <c r="D23" t="n">
        <v/>
      </c>
      <c r="E23" t="n">
        <v>29.7</v>
      </c>
    </row>
    <row r="24">
      <c r="A24" s="103" t="n">
        <v>21490</v>
      </c>
      <c r="B24" t="n">
        <v/>
      </c>
      <c r="C24" t="n">
        <v/>
      </c>
      <c r="D24" t="n">
        <v/>
      </c>
      <c r="E24" t="n">
        <v>29.8</v>
      </c>
    </row>
    <row r="25">
      <c r="A25" s="103" t="n">
        <v>21520</v>
      </c>
      <c r="B25" t="n">
        <v/>
      </c>
      <c r="C25" t="n">
        <v/>
      </c>
      <c r="D25" t="n">
        <v/>
      </c>
      <c r="E25" t="n">
        <v>29.9</v>
      </c>
    </row>
    <row r="26">
      <c r="A26" s="103" t="n">
        <v>21551</v>
      </c>
      <c r="B26" t="n">
        <v>16.042</v>
      </c>
      <c r="C26" t="n">
        <v>16.688</v>
      </c>
      <c r="D26" t="n">
        <v/>
      </c>
      <c r="E26" t="n">
        <v>29.9</v>
      </c>
    </row>
    <row r="27">
      <c r="A27" s="103" t="n">
        <v>21582</v>
      </c>
      <c r="B27" t="n">
        <v>16.057</v>
      </c>
      <c r="C27" t="n">
        <v>16.701</v>
      </c>
      <c r="D27" t="n">
        <v/>
      </c>
      <c r="E27" t="n">
        <v>29.9</v>
      </c>
    </row>
    <row r="28">
      <c r="A28" s="103" t="n">
        <v>21610</v>
      </c>
      <c r="B28" t="n">
        <v>16.068</v>
      </c>
      <c r="C28" t="n">
        <v>16.719</v>
      </c>
      <c r="D28" t="n">
        <v/>
      </c>
      <c r="E28" t="n">
        <v>30</v>
      </c>
    </row>
    <row r="29">
      <c r="A29" s="103" t="n">
        <v>21641</v>
      </c>
      <c r="B29" t="n">
        <v>16.1</v>
      </c>
      <c r="C29" t="n">
        <v>16.762</v>
      </c>
      <c r="D29" t="n">
        <v/>
      </c>
      <c r="E29" t="n">
        <v>30</v>
      </c>
    </row>
    <row r="30">
      <c r="A30" s="103" t="n">
        <v>21671</v>
      </c>
      <c r="B30" t="n">
        <v>16.109</v>
      </c>
      <c r="C30" t="n">
        <v>16.783</v>
      </c>
      <c r="D30" t="n">
        <v/>
      </c>
      <c r="E30" t="n">
        <v>30.1</v>
      </c>
    </row>
    <row r="31">
      <c r="A31" s="103" t="n">
        <v>21702</v>
      </c>
      <c r="B31" t="n">
        <v>16.155</v>
      </c>
      <c r="C31" t="n">
        <v>16.832</v>
      </c>
      <c r="D31" t="n">
        <v/>
      </c>
      <c r="E31" t="n">
        <v>30.2</v>
      </c>
    </row>
    <row r="32">
      <c r="A32" s="103" t="n">
        <v>21732</v>
      </c>
      <c r="B32" t="n">
        <v>16.189</v>
      </c>
      <c r="C32" t="n">
        <v>16.871</v>
      </c>
      <c r="D32" t="n">
        <v/>
      </c>
      <c r="E32" t="n">
        <v>30.2</v>
      </c>
    </row>
    <row r="33">
      <c r="A33" s="103" t="n">
        <v>21763</v>
      </c>
      <c r="B33" t="n">
        <v>16.212</v>
      </c>
      <c r="C33" t="n">
        <v>16.899</v>
      </c>
      <c r="D33" t="n">
        <v/>
      </c>
      <c r="E33" t="n">
        <v>30.2</v>
      </c>
    </row>
    <row r="34">
      <c r="A34" s="103" t="n">
        <v>21794</v>
      </c>
      <c r="B34" t="n">
        <v>16.255</v>
      </c>
      <c r="C34" t="n">
        <v>16.943</v>
      </c>
      <c r="D34" t="n">
        <v/>
      </c>
      <c r="E34" t="n">
        <v>30.3</v>
      </c>
    </row>
    <row r="35">
      <c r="A35" s="103" t="n">
        <v>21824</v>
      </c>
      <c r="B35" t="n">
        <v>16.294</v>
      </c>
      <c r="C35" t="n">
        <v>16.972</v>
      </c>
      <c r="D35" t="n">
        <v/>
      </c>
      <c r="E35" t="n">
        <v>30.4</v>
      </c>
    </row>
    <row r="36">
      <c r="A36" s="103" t="n">
        <v>21855</v>
      </c>
      <c r="B36" t="n">
        <v>16.304</v>
      </c>
      <c r="C36" t="n">
        <v>17.003</v>
      </c>
      <c r="D36" t="n">
        <v/>
      </c>
      <c r="E36" t="n">
        <v>30.4</v>
      </c>
    </row>
    <row r="37">
      <c r="A37" s="103" t="n">
        <v>21885</v>
      </c>
      <c r="B37" t="n">
        <v>16.323</v>
      </c>
      <c r="C37" t="n">
        <v>17.029</v>
      </c>
      <c r="D37" t="n">
        <v/>
      </c>
      <c r="E37" t="n">
        <v>30.5</v>
      </c>
    </row>
    <row r="38">
      <c r="A38" s="103" t="n">
        <v>21916</v>
      </c>
      <c r="B38" t="n">
        <v>16.314</v>
      </c>
      <c r="C38" t="n">
        <v>17.033</v>
      </c>
      <c r="D38" t="n">
        <v/>
      </c>
      <c r="E38" t="n">
        <v>30.5</v>
      </c>
    </row>
    <row r="39">
      <c r="A39" s="103" t="n">
        <v>21947</v>
      </c>
      <c r="B39" t="n">
        <v>16.331</v>
      </c>
      <c r="C39" t="n">
        <v>17.065</v>
      </c>
      <c r="D39" t="n">
        <v/>
      </c>
      <c r="E39" t="n">
        <v>30.6</v>
      </c>
    </row>
    <row r="40">
      <c r="A40" s="103" t="n">
        <v>21976</v>
      </c>
      <c r="B40" t="n">
        <v>16.34</v>
      </c>
      <c r="C40" t="n">
        <v>17.067</v>
      </c>
      <c r="D40" t="n">
        <v/>
      </c>
      <c r="E40" t="n">
        <v>30.6</v>
      </c>
    </row>
    <row r="41">
      <c r="A41" s="103" t="n">
        <v>22007</v>
      </c>
      <c r="B41" t="n">
        <v>16.4</v>
      </c>
      <c r="C41" t="n">
        <v>17.098</v>
      </c>
      <c r="D41" t="n">
        <v/>
      </c>
      <c r="E41" t="n">
        <v>30.6</v>
      </c>
    </row>
    <row r="42">
      <c r="A42" s="103" t="n">
        <v>22037</v>
      </c>
      <c r="B42" t="n">
        <v>16.417</v>
      </c>
      <c r="C42" t="n">
        <v>17.125</v>
      </c>
      <c r="D42" t="n">
        <v/>
      </c>
      <c r="E42" t="n">
        <v>30.6</v>
      </c>
    </row>
    <row r="43">
      <c r="A43" s="103" t="n">
        <v>22068</v>
      </c>
      <c r="B43" t="n">
        <v>16.424</v>
      </c>
      <c r="C43" t="n">
        <v>17.136</v>
      </c>
      <c r="D43" t="n">
        <v/>
      </c>
      <c r="E43" t="n">
        <v>30.7</v>
      </c>
    </row>
    <row r="44">
      <c r="A44" s="103" t="n">
        <v>22098</v>
      </c>
      <c r="B44" t="n">
        <v>16.453</v>
      </c>
      <c r="C44" t="n">
        <v>17.166</v>
      </c>
      <c r="D44" t="n">
        <v/>
      </c>
      <c r="E44" t="n">
        <v>30.6</v>
      </c>
    </row>
    <row r="45">
      <c r="A45" s="103" t="n">
        <v>22129</v>
      </c>
      <c r="B45" t="n">
        <v>16.481</v>
      </c>
      <c r="C45" t="n">
        <v>17.191</v>
      </c>
      <c r="D45" t="n">
        <v/>
      </c>
      <c r="E45" t="n">
        <v>30.6</v>
      </c>
    </row>
    <row r="46">
      <c r="A46" s="103" t="n">
        <v>22160</v>
      </c>
      <c r="B46" t="n">
        <v>16.491</v>
      </c>
      <c r="C46" t="n">
        <v>17.204</v>
      </c>
      <c r="D46" t="n">
        <v/>
      </c>
      <c r="E46" t="n">
        <v>30.6</v>
      </c>
    </row>
    <row r="47">
      <c r="A47" s="103" t="n">
        <v>22190</v>
      </c>
      <c r="B47" t="n">
        <v>16.51</v>
      </c>
      <c r="C47" t="n">
        <v>17.214</v>
      </c>
      <c r="D47" t="n">
        <v/>
      </c>
      <c r="E47" t="n">
        <v>30.8</v>
      </c>
    </row>
    <row r="48">
      <c r="A48" s="103" t="n">
        <v>22221</v>
      </c>
      <c r="B48" t="n">
        <v>16.565</v>
      </c>
      <c r="C48" t="n">
        <v>17.26</v>
      </c>
      <c r="D48" t="n">
        <v/>
      </c>
      <c r="E48" t="n">
        <v>30.8</v>
      </c>
    </row>
    <row r="49">
      <c r="A49" s="103" t="n">
        <v>22251</v>
      </c>
      <c r="B49" t="n">
        <v>16.569</v>
      </c>
      <c r="C49" t="n">
        <v>17.255</v>
      </c>
      <c r="D49" t="n">
        <v/>
      </c>
      <c r="E49" t="n">
        <v>30.7</v>
      </c>
    </row>
    <row r="50">
      <c r="A50" s="103" t="n">
        <v>22282</v>
      </c>
      <c r="B50" t="n">
        <v>16.571</v>
      </c>
      <c r="C50" t="n">
        <v>17.259</v>
      </c>
      <c r="D50" t="n">
        <v/>
      </c>
      <c r="E50" t="n">
        <v>30.8</v>
      </c>
    </row>
    <row r="51">
      <c r="A51" s="103" t="n">
        <v>22313</v>
      </c>
      <c r="B51" t="n">
        <v>16.587</v>
      </c>
      <c r="C51" t="n">
        <v>17.276</v>
      </c>
      <c r="D51" t="n">
        <v/>
      </c>
      <c r="E51" t="n">
        <v>30.8</v>
      </c>
    </row>
    <row r="52">
      <c r="A52" s="103" t="n">
        <v>22341</v>
      </c>
      <c r="B52" t="n">
        <v>16.578</v>
      </c>
      <c r="C52" t="n">
        <v>17.282</v>
      </c>
      <c r="D52" t="n">
        <v/>
      </c>
      <c r="E52" t="n">
        <v>30.9</v>
      </c>
    </row>
    <row r="53">
      <c r="A53" s="103" t="n">
        <v>22372</v>
      </c>
      <c r="B53" t="n">
        <v>16.568</v>
      </c>
      <c r="C53" t="n">
        <v>17.306</v>
      </c>
      <c r="D53" t="n">
        <v/>
      </c>
      <c r="E53" t="n">
        <v>30.9</v>
      </c>
    </row>
    <row r="54">
      <c r="A54" s="103" t="n">
        <v>22402</v>
      </c>
      <c r="B54" t="n">
        <v>16.577</v>
      </c>
      <c r="C54" t="n">
        <v>17.328</v>
      </c>
      <c r="D54" t="n">
        <v/>
      </c>
      <c r="E54" t="n">
        <v>30.9</v>
      </c>
    </row>
    <row r="55">
      <c r="A55" s="103" t="n">
        <v>22433</v>
      </c>
      <c r="B55" t="n">
        <v>16.585</v>
      </c>
      <c r="C55" t="n">
        <v>17.354</v>
      </c>
      <c r="D55" t="n">
        <v/>
      </c>
      <c r="E55" t="n">
        <v>31</v>
      </c>
    </row>
    <row r="56">
      <c r="A56" s="103" t="n">
        <v>22463</v>
      </c>
      <c r="B56" t="n">
        <v>16.621</v>
      </c>
      <c r="C56" t="n">
        <v>17.381</v>
      </c>
      <c r="D56" t="n">
        <v/>
      </c>
      <c r="E56" t="n">
        <v>31</v>
      </c>
    </row>
    <row r="57">
      <c r="A57" s="103" t="n">
        <v>22494</v>
      </c>
      <c r="B57" t="n">
        <v>16.635</v>
      </c>
      <c r="C57" t="n">
        <v>17.399</v>
      </c>
      <c r="D57" t="n">
        <v/>
      </c>
      <c r="E57" t="n">
        <v>31.1</v>
      </c>
    </row>
    <row r="58">
      <c r="A58" s="103" t="n">
        <v>22525</v>
      </c>
      <c r="B58" t="n">
        <v>16.654</v>
      </c>
      <c r="C58" t="n">
        <v>17.434</v>
      </c>
      <c r="D58" t="n">
        <v/>
      </c>
      <c r="E58" t="n">
        <v>31.1</v>
      </c>
    </row>
    <row r="59">
      <c r="A59" s="103" t="n">
        <v>22555</v>
      </c>
      <c r="B59" t="n">
        <v>16.652</v>
      </c>
      <c r="C59" t="n">
        <v>17.44</v>
      </c>
      <c r="D59" t="n">
        <v/>
      </c>
      <c r="E59" t="n">
        <v>31.1</v>
      </c>
    </row>
    <row r="60">
      <c r="A60" s="103" t="n">
        <v>22586</v>
      </c>
      <c r="B60" t="n">
        <v>16.653</v>
      </c>
      <c r="C60" t="n">
        <v>17.443</v>
      </c>
      <c r="D60" t="n">
        <v/>
      </c>
      <c r="E60" t="n">
        <v>31.2</v>
      </c>
    </row>
    <row r="61">
      <c r="A61" s="103" t="n">
        <v>22616</v>
      </c>
      <c r="B61" t="n">
        <v>16.658</v>
      </c>
      <c r="C61" t="n">
        <v>17.458</v>
      </c>
      <c r="D61" t="n">
        <v/>
      </c>
      <c r="E61" t="n">
        <v>31.2</v>
      </c>
    </row>
    <row r="62">
      <c r="A62" s="103" t="n">
        <v>22647</v>
      </c>
      <c r="B62" t="n">
        <v>16.689</v>
      </c>
      <c r="C62" t="n">
        <v>17.478</v>
      </c>
      <c r="D62" t="n">
        <v/>
      </c>
      <c r="E62" t="n">
        <v>31.2</v>
      </c>
    </row>
    <row r="63">
      <c r="A63" s="103" t="n">
        <v>22678</v>
      </c>
      <c r="B63" t="n">
        <v>16.734</v>
      </c>
      <c r="C63" t="n">
        <v>17.507</v>
      </c>
      <c r="D63" t="n">
        <v/>
      </c>
      <c r="E63" t="n">
        <v>31.2</v>
      </c>
    </row>
    <row r="64">
      <c r="A64" s="103" t="n">
        <v>22706</v>
      </c>
      <c r="B64" t="n">
        <v>16.756</v>
      </c>
      <c r="C64" t="n">
        <v>17.548</v>
      </c>
      <c r="D64" t="n">
        <v/>
      </c>
      <c r="E64" t="n">
        <v>31.3</v>
      </c>
    </row>
    <row r="65">
      <c r="A65" s="103" t="n">
        <v>22737</v>
      </c>
      <c r="B65" t="n">
        <v>16.775</v>
      </c>
      <c r="C65" t="n">
        <v>17.551</v>
      </c>
      <c r="D65" t="n">
        <v/>
      </c>
      <c r="E65" t="n">
        <v>31.3</v>
      </c>
    </row>
    <row r="66">
      <c r="A66" s="103" t="n">
        <v>22767</v>
      </c>
      <c r="B66" t="n">
        <v>16.786</v>
      </c>
      <c r="C66" t="n">
        <v>17.576</v>
      </c>
      <c r="D66" t="n">
        <v/>
      </c>
      <c r="E66" t="n">
        <v>31.4</v>
      </c>
    </row>
    <row r="67">
      <c r="A67" s="103" t="n">
        <v>22798</v>
      </c>
      <c r="B67" t="n">
        <v>16.796</v>
      </c>
      <c r="C67" t="n">
        <v>17.608</v>
      </c>
      <c r="D67" t="n">
        <v/>
      </c>
      <c r="E67" t="n">
        <v>31.4</v>
      </c>
    </row>
    <row r="68">
      <c r="A68" s="103" t="n">
        <v>22828</v>
      </c>
      <c r="B68" t="n">
        <v>16.787</v>
      </c>
      <c r="C68" t="n">
        <v>17.623</v>
      </c>
      <c r="D68" t="n">
        <v/>
      </c>
      <c r="E68" t="n">
        <v>31.4</v>
      </c>
    </row>
    <row r="69">
      <c r="A69" s="103" t="n">
        <v>22859</v>
      </c>
      <c r="B69" t="n">
        <v>16.811</v>
      </c>
      <c r="C69" t="n">
        <v>17.626</v>
      </c>
      <c r="D69" t="n">
        <v/>
      </c>
      <c r="E69" t="n">
        <v>31.5</v>
      </c>
    </row>
    <row r="70">
      <c r="A70" s="103" t="n">
        <v>22890</v>
      </c>
      <c r="B70" t="n">
        <v>16.894</v>
      </c>
      <c r="C70" t="n">
        <v>17.66</v>
      </c>
      <c r="D70" t="n">
        <v/>
      </c>
      <c r="E70" t="n">
        <v>31.5</v>
      </c>
    </row>
    <row r="71">
      <c r="A71" s="103" t="n">
        <v>22920</v>
      </c>
      <c r="B71" t="n">
        <v>16.876</v>
      </c>
      <c r="C71" t="n">
        <v>17.659</v>
      </c>
      <c r="D71" t="n">
        <v/>
      </c>
      <c r="E71" t="n">
        <v>31.5</v>
      </c>
    </row>
    <row r="72">
      <c r="A72" s="103" t="n">
        <v>22951</v>
      </c>
      <c r="B72" t="n">
        <v>16.889</v>
      </c>
      <c r="C72" t="n">
        <v>17.672</v>
      </c>
      <c r="D72" t="n">
        <v/>
      </c>
      <c r="E72" t="n">
        <v>31.5</v>
      </c>
    </row>
    <row r="73">
      <c r="A73" s="103" t="n">
        <v>22981</v>
      </c>
      <c r="B73" t="n">
        <v>16.882</v>
      </c>
      <c r="C73" t="n">
        <v>17.677</v>
      </c>
      <c r="D73" t="n">
        <v/>
      </c>
      <c r="E73" t="n">
        <v>31.6</v>
      </c>
    </row>
    <row r="74">
      <c r="A74" s="103" t="n">
        <v>23012</v>
      </c>
      <c r="B74" t="n">
        <v>16.923</v>
      </c>
      <c r="C74" t="n">
        <v>17.711</v>
      </c>
      <c r="D74" t="n">
        <v/>
      </c>
      <c r="E74" t="n">
        <v>31.5</v>
      </c>
    </row>
    <row r="75">
      <c r="A75" s="103" t="n">
        <v>23043</v>
      </c>
      <c r="B75" t="n">
        <v>16.941</v>
      </c>
      <c r="C75" t="n">
        <v>17.731</v>
      </c>
      <c r="D75" t="n">
        <v/>
      </c>
      <c r="E75" t="n">
        <v>31.6</v>
      </c>
    </row>
    <row r="76">
      <c r="A76" s="103" t="n">
        <v>23071</v>
      </c>
      <c r="B76" t="n">
        <v>16.928</v>
      </c>
      <c r="C76" t="n">
        <v>17.742</v>
      </c>
      <c r="D76" t="n">
        <v/>
      </c>
      <c r="E76" t="n">
        <v>31.7</v>
      </c>
    </row>
    <row r="77">
      <c r="A77" s="103" t="n">
        <v>23102</v>
      </c>
      <c r="B77" t="n">
        <v>16.927</v>
      </c>
      <c r="C77" t="n">
        <v>17.763</v>
      </c>
      <c r="D77" t="n">
        <v/>
      </c>
      <c r="E77" t="n">
        <v>31.7</v>
      </c>
    </row>
    <row r="78">
      <c r="A78" s="103" t="n">
        <v>23132</v>
      </c>
      <c r="B78" t="n">
        <v>16.954</v>
      </c>
      <c r="C78" t="n">
        <v>17.795</v>
      </c>
      <c r="D78" t="n">
        <v/>
      </c>
      <c r="E78" t="n">
        <v>31.7</v>
      </c>
    </row>
    <row r="79">
      <c r="A79" s="103" t="n">
        <v>23163</v>
      </c>
      <c r="B79" t="n">
        <v>16.991</v>
      </c>
      <c r="C79" t="n">
        <v>17.826</v>
      </c>
      <c r="D79" t="n">
        <v/>
      </c>
      <c r="E79" t="n">
        <v>31.8</v>
      </c>
    </row>
    <row r="80">
      <c r="A80" s="103" t="n">
        <v>23193</v>
      </c>
      <c r="B80" t="n">
        <v>17.025</v>
      </c>
      <c r="C80" t="n">
        <v>17.842</v>
      </c>
      <c r="D80" t="n">
        <v/>
      </c>
      <c r="E80" t="n">
        <v>31.8</v>
      </c>
    </row>
    <row r="81">
      <c r="A81" s="103" t="n">
        <v>23224</v>
      </c>
      <c r="B81" t="n">
        <v>17.048</v>
      </c>
      <c r="C81" t="n">
        <v>17.858</v>
      </c>
      <c r="D81" t="n">
        <v/>
      </c>
      <c r="E81" t="n">
        <v>31.9</v>
      </c>
    </row>
    <row r="82">
      <c r="A82" s="103" t="n">
        <v>23255</v>
      </c>
      <c r="B82" t="n">
        <v>17.044</v>
      </c>
      <c r="C82" t="n">
        <v>17.89</v>
      </c>
      <c r="D82" t="n">
        <v/>
      </c>
      <c r="E82" t="n">
        <v>31.9</v>
      </c>
    </row>
    <row r="83">
      <c r="A83" s="103" t="n">
        <v>23285</v>
      </c>
      <c r="B83" t="n">
        <v>17.078</v>
      </c>
      <c r="C83" t="n">
        <v>17.93</v>
      </c>
      <c r="D83" t="n">
        <v/>
      </c>
      <c r="E83" t="n">
        <v>32</v>
      </c>
    </row>
    <row r="84">
      <c r="A84" s="103" t="n">
        <v>23316</v>
      </c>
      <c r="B84" t="n">
        <v>17.102</v>
      </c>
      <c r="C84" t="n">
        <v>17.947</v>
      </c>
      <c r="D84" t="n">
        <v/>
      </c>
      <c r="E84" t="n">
        <v>32</v>
      </c>
    </row>
    <row r="85">
      <c r="A85" s="103" t="n">
        <v>23346</v>
      </c>
      <c r="B85" t="n">
        <v>17.127</v>
      </c>
      <c r="C85" t="n">
        <v>17.972</v>
      </c>
      <c r="D85" t="n">
        <v/>
      </c>
      <c r="E85" t="n">
        <v>32.1</v>
      </c>
    </row>
    <row r="86">
      <c r="A86" s="103" t="n">
        <v>23377</v>
      </c>
      <c r="B86" t="n">
        <v>17.163</v>
      </c>
      <c r="C86" t="n">
        <v>17.997</v>
      </c>
      <c r="D86" t="n">
        <v/>
      </c>
      <c r="E86" t="n">
        <v>32.2</v>
      </c>
    </row>
    <row r="87">
      <c r="A87" s="103" t="n">
        <v>23408</v>
      </c>
      <c r="B87" t="n">
        <v>17.188</v>
      </c>
      <c r="C87" t="n">
        <v>18.031</v>
      </c>
      <c r="D87" t="n">
        <v/>
      </c>
      <c r="E87" t="n">
        <v>32.2</v>
      </c>
    </row>
    <row r="88">
      <c r="A88" s="103" t="n">
        <v>23437</v>
      </c>
      <c r="B88" t="n">
        <v>17.198</v>
      </c>
      <c r="C88" t="n">
        <v>18.048</v>
      </c>
      <c r="D88" t="n">
        <v/>
      </c>
      <c r="E88" t="n">
        <v>32.2</v>
      </c>
    </row>
    <row r="89">
      <c r="A89" s="103" t="n">
        <v>23468</v>
      </c>
      <c r="B89" t="n">
        <v>17.211</v>
      </c>
      <c r="C89" t="n">
        <v>18.065</v>
      </c>
      <c r="D89" t="n">
        <v/>
      </c>
      <c r="E89" t="n">
        <v>32.2</v>
      </c>
    </row>
    <row r="90">
      <c r="A90" s="103" t="n">
        <v>23498</v>
      </c>
      <c r="B90" t="n">
        <v>17.213</v>
      </c>
      <c r="C90" t="n">
        <v>18.08</v>
      </c>
      <c r="D90" t="n">
        <v/>
      </c>
      <c r="E90" t="n">
        <v>32.2</v>
      </c>
    </row>
    <row r="91">
      <c r="A91" s="103" t="n">
        <v>23529</v>
      </c>
      <c r="B91" t="n">
        <v>17.237</v>
      </c>
      <c r="C91" t="n">
        <v>18.093</v>
      </c>
      <c r="D91" t="n">
        <v/>
      </c>
      <c r="E91" t="n">
        <v>32.3</v>
      </c>
    </row>
    <row r="92">
      <c r="A92" s="103" t="n">
        <v>23559</v>
      </c>
      <c r="B92" t="n">
        <v>17.259</v>
      </c>
      <c r="C92" t="n">
        <v>18.111</v>
      </c>
      <c r="D92" t="n">
        <v/>
      </c>
      <c r="E92" t="n">
        <v>32.3</v>
      </c>
    </row>
    <row r="93">
      <c r="A93" s="103" t="n">
        <v>23590</v>
      </c>
      <c r="B93" t="n">
        <v>17.273</v>
      </c>
      <c r="C93" t="n">
        <v>18.135</v>
      </c>
      <c r="D93" t="n">
        <v/>
      </c>
      <c r="E93" t="n">
        <v>32.3</v>
      </c>
    </row>
    <row r="94">
      <c r="A94" s="103" t="n">
        <v>23621</v>
      </c>
      <c r="B94" t="n">
        <v>17.299</v>
      </c>
      <c r="C94" t="n">
        <v>18.143</v>
      </c>
      <c r="D94" t="n">
        <v/>
      </c>
      <c r="E94" t="n">
        <v>32.3</v>
      </c>
    </row>
    <row r="95">
      <c r="A95" s="103" t="n">
        <v>23651</v>
      </c>
      <c r="B95" t="n">
        <v>17.31</v>
      </c>
      <c r="C95" t="n">
        <v>18.149</v>
      </c>
      <c r="D95" t="n">
        <v/>
      </c>
      <c r="E95" t="n">
        <v>32.4</v>
      </c>
    </row>
    <row r="96">
      <c r="A96" s="103" t="n">
        <v>23682</v>
      </c>
      <c r="B96" t="n">
        <v>17.334</v>
      </c>
      <c r="C96" t="n">
        <v>18.176</v>
      </c>
      <c r="D96" t="n">
        <v/>
      </c>
      <c r="E96" t="n">
        <v>32.5</v>
      </c>
    </row>
    <row r="97">
      <c r="A97" s="103" t="n">
        <v>23712</v>
      </c>
      <c r="B97" t="n">
        <v>17.359</v>
      </c>
      <c r="C97" t="n">
        <v>18.201</v>
      </c>
      <c r="D97" t="n">
        <v/>
      </c>
      <c r="E97" t="n">
        <v>32.5</v>
      </c>
    </row>
    <row r="98">
      <c r="A98" s="103" t="n">
        <v>23743</v>
      </c>
      <c r="B98" t="n">
        <v>17.378</v>
      </c>
      <c r="C98" t="n">
        <v>18.226</v>
      </c>
      <c r="D98" t="n">
        <v/>
      </c>
      <c r="E98" t="n">
        <v>32.6</v>
      </c>
    </row>
    <row r="99">
      <c r="A99" s="103" t="n">
        <v>23774</v>
      </c>
      <c r="B99" t="n">
        <v>17.385</v>
      </c>
      <c r="C99" t="n">
        <v>18.248</v>
      </c>
      <c r="D99" t="n">
        <v/>
      </c>
      <c r="E99" t="n">
        <v>32.6</v>
      </c>
    </row>
    <row r="100">
      <c r="A100" s="103" t="n">
        <v>23802</v>
      </c>
      <c r="B100" t="n">
        <v>17.408</v>
      </c>
      <c r="C100" t="n">
        <v>18.258</v>
      </c>
      <c r="D100" t="n">
        <v/>
      </c>
      <c r="E100" t="n">
        <v>32.6</v>
      </c>
    </row>
    <row r="101">
      <c r="A101" s="103" t="n">
        <v>23833</v>
      </c>
      <c r="B101" t="n">
        <v>17.435</v>
      </c>
      <c r="C101" t="n">
        <v>18.28</v>
      </c>
      <c r="D101" t="n">
        <v/>
      </c>
      <c r="E101" t="n">
        <v>32.7</v>
      </c>
    </row>
    <row r="102">
      <c r="A102" s="103" t="n">
        <v>23863</v>
      </c>
      <c r="B102" t="n">
        <v>17.474</v>
      </c>
      <c r="C102" t="n">
        <v>18.314</v>
      </c>
      <c r="D102" t="n">
        <v/>
      </c>
      <c r="E102" t="n">
        <v>32.7</v>
      </c>
    </row>
    <row r="103">
      <c r="A103" s="103" t="n">
        <v>23894</v>
      </c>
      <c r="B103" t="n">
        <v>17.525</v>
      </c>
      <c r="C103" t="n">
        <v>18.309</v>
      </c>
      <c r="D103" t="n">
        <v/>
      </c>
      <c r="E103" t="n">
        <v>32.7</v>
      </c>
    </row>
    <row r="104">
      <c r="A104" s="103" t="n">
        <v>23924</v>
      </c>
      <c r="B104" t="n">
        <v>17.538</v>
      </c>
      <c r="C104" t="n">
        <v>18.327</v>
      </c>
      <c r="D104" t="n">
        <v/>
      </c>
      <c r="E104" t="n">
        <v>32.7</v>
      </c>
    </row>
    <row r="105">
      <c r="A105" s="103" t="n">
        <v>23955</v>
      </c>
      <c r="B105" t="n">
        <v>17.542</v>
      </c>
      <c r="C105" t="n">
        <v>18.362</v>
      </c>
      <c r="D105" t="n">
        <v/>
      </c>
      <c r="E105" t="n">
        <v>32.7</v>
      </c>
    </row>
    <row r="106">
      <c r="A106" s="103" t="n">
        <v>23986</v>
      </c>
      <c r="B106" t="n">
        <v>17.55</v>
      </c>
      <c r="C106" t="n">
        <v>18.384</v>
      </c>
      <c r="D106" t="n">
        <v/>
      </c>
      <c r="E106" t="n">
        <v>32.8</v>
      </c>
    </row>
    <row r="107">
      <c r="A107" s="103" t="n">
        <v>24016</v>
      </c>
      <c r="B107" t="n">
        <v>17.556</v>
      </c>
      <c r="C107" t="n">
        <v>18.377</v>
      </c>
      <c r="D107" t="n">
        <v/>
      </c>
      <c r="E107" t="n">
        <v>32.8</v>
      </c>
    </row>
    <row r="108">
      <c r="A108" s="103" t="n">
        <v>24047</v>
      </c>
      <c r="B108" t="n">
        <v>17.585</v>
      </c>
      <c r="C108" t="n">
        <v>18.411</v>
      </c>
      <c r="D108" t="n">
        <v/>
      </c>
      <c r="E108" t="n">
        <v>32.9</v>
      </c>
    </row>
    <row r="109">
      <c r="A109" s="103" t="n">
        <v>24077</v>
      </c>
      <c r="B109" t="n">
        <v>17.649</v>
      </c>
      <c r="C109" t="n">
        <v>18.467</v>
      </c>
      <c r="D109" t="n">
        <v/>
      </c>
      <c r="E109" t="n">
        <v>33</v>
      </c>
    </row>
    <row r="110">
      <c r="A110" s="103" t="n">
        <v>24108</v>
      </c>
      <c r="B110" t="n">
        <v>17.67</v>
      </c>
      <c r="C110" t="n">
        <v>18.473</v>
      </c>
      <c r="D110" t="n">
        <v/>
      </c>
      <c r="E110" t="n">
        <v>33</v>
      </c>
    </row>
    <row r="111">
      <c r="A111" s="103" t="n">
        <v>24139</v>
      </c>
      <c r="B111" t="n">
        <v>17.743</v>
      </c>
      <c r="C111" t="n">
        <v>18.518</v>
      </c>
      <c r="D111" t="n">
        <v/>
      </c>
      <c r="E111" t="n">
        <v>33.1</v>
      </c>
    </row>
    <row r="112">
      <c r="A112" s="103" t="n">
        <v>24167</v>
      </c>
      <c r="B112" t="n">
        <v>17.786</v>
      </c>
      <c r="C112" t="n">
        <v>18.542</v>
      </c>
      <c r="D112" t="n">
        <v/>
      </c>
      <c r="E112" t="n">
        <v>33.1</v>
      </c>
    </row>
    <row r="113">
      <c r="A113" s="103" t="n">
        <v>24198</v>
      </c>
      <c r="B113" t="n">
        <v>17.848</v>
      </c>
      <c r="C113" t="n">
        <v>18.608</v>
      </c>
      <c r="D113" t="n">
        <v/>
      </c>
      <c r="E113" t="n">
        <v>33.3</v>
      </c>
    </row>
    <row r="114">
      <c r="A114" s="103" t="n">
        <v>24228</v>
      </c>
      <c r="B114" t="n">
        <v>17.87</v>
      </c>
      <c r="C114" t="n">
        <v>18.657</v>
      </c>
      <c r="D114" t="n">
        <v/>
      </c>
      <c r="E114" t="n">
        <v>33.4</v>
      </c>
    </row>
    <row r="115">
      <c r="A115" s="103" t="n">
        <v>24259</v>
      </c>
      <c r="B115" t="n">
        <v>17.915</v>
      </c>
      <c r="C115" t="n">
        <v>18.718</v>
      </c>
      <c r="D115" t="n">
        <v/>
      </c>
      <c r="E115" t="n">
        <v>33.5</v>
      </c>
    </row>
    <row r="116">
      <c r="A116" s="103" t="n">
        <v>24289</v>
      </c>
      <c r="B116" t="n">
        <v>17.949</v>
      </c>
      <c r="C116" t="n">
        <v>18.773</v>
      </c>
      <c r="D116" t="n">
        <v/>
      </c>
      <c r="E116" t="n">
        <v>33.6</v>
      </c>
    </row>
    <row r="117">
      <c r="A117" s="103" t="n">
        <v>24320</v>
      </c>
      <c r="B117" t="n">
        <v>18.018</v>
      </c>
      <c r="C117" t="n">
        <v>18.807</v>
      </c>
      <c r="D117" t="n">
        <v/>
      </c>
      <c r="E117" t="n">
        <v>33.7</v>
      </c>
    </row>
    <row r="118">
      <c r="A118" s="103" t="n">
        <v>24351</v>
      </c>
      <c r="B118" t="n">
        <v>18.075</v>
      </c>
      <c r="C118" t="n">
        <v>18.865</v>
      </c>
      <c r="D118" t="n">
        <v/>
      </c>
      <c r="E118" t="n">
        <v>33.8</v>
      </c>
    </row>
    <row r="119">
      <c r="A119" s="103" t="n">
        <v>24381</v>
      </c>
      <c r="B119" t="n">
        <v>18.123</v>
      </c>
      <c r="C119" t="n">
        <v>18.927</v>
      </c>
      <c r="D119" t="n">
        <v/>
      </c>
      <c r="E119" t="n">
        <v>34</v>
      </c>
    </row>
    <row r="120">
      <c r="A120" s="103" t="n">
        <v>24412</v>
      </c>
      <c r="B120" t="n">
        <v>18.15</v>
      </c>
      <c r="C120" t="n">
        <v>18.975</v>
      </c>
      <c r="D120" t="n">
        <v/>
      </c>
      <c r="E120" t="n">
        <v>34</v>
      </c>
    </row>
    <row r="121">
      <c r="A121" s="103" t="n">
        <v>24442</v>
      </c>
      <c r="B121" t="n">
        <v>18.187</v>
      </c>
      <c r="C121" t="n">
        <v>19.032</v>
      </c>
      <c r="D121" t="n">
        <v/>
      </c>
      <c r="E121" t="n">
        <v>34.1</v>
      </c>
    </row>
    <row r="122">
      <c r="A122" s="103" t="n">
        <v>24473</v>
      </c>
      <c r="B122" t="n">
        <v>18.188</v>
      </c>
      <c r="C122" t="n">
        <v>19.05</v>
      </c>
      <c r="D122" t="n">
        <v/>
      </c>
      <c r="E122" t="n">
        <v>34.2</v>
      </c>
    </row>
    <row r="123">
      <c r="A123" s="103" t="n">
        <v>24504</v>
      </c>
      <c r="B123" t="n">
        <v>18.209</v>
      </c>
      <c r="C123" t="n">
        <v>19.084</v>
      </c>
      <c r="D123" t="n">
        <v/>
      </c>
      <c r="E123" t="n">
        <v>34.2</v>
      </c>
    </row>
    <row r="124">
      <c r="A124" s="103" t="n">
        <v>24532</v>
      </c>
      <c r="B124" t="n">
        <v>18.22</v>
      </c>
      <c r="C124" t="n">
        <v>19.113</v>
      </c>
      <c r="D124" t="n">
        <v/>
      </c>
      <c r="E124" t="n">
        <v>34.3</v>
      </c>
    </row>
    <row r="125">
      <c r="A125" s="103" t="n">
        <v>24563</v>
      </c>
      <c r="B125" t="n">
        <v>18.249</v>
      </c>
      <c r="C125" t="n">
        <v>19.165</v>
      </c>
      <c r="D125" t="n">
        <v/>
      </c>
      <c r="E125" t="n">
        <v>34.4</v>
      </c>
    </row>
    <row r="126">
      <c r="A126" s="103" t="n">
        <v>24593</v>
      </c>
      <c r="B126" t="n">
        <v>18.285</v>
      </c>
      <c r="C126" t="n">
        <v>19.208</v>
      </c>
      <c r="D126" t="n">
        <v/>
      </c>
      <c r="E126" t="n">
        <v>34.5</v>
      </c>
    </row>
    <row r="127">
      <c r="A127" s="103" t="n">
        <v>24624</v>
      </c>
      <c r="B127" t="n">
        <v>18.343</v>
      </c>
      <c r="C127" t="n">
        <v>19.257</v>
      </c>
      <c r="D127" t="n">
        <v/>
      </c>
      <c r="E127" t="n">
        <v>34.6</v>
      </c>
    </row>
    <row r="128">
      <c r="A128" s="103" t="n">
        <v>24654</v>
      </c>
      <c r="B128" t="n">
        <v>18.405</v>
      </c>
      <c r="C128" t="n">
        <v>19.322</v>
      </c>
      <c r="D128" t="n">
        <v/>
      </c>
      <c r="E128" t="n">
        <v>34.7</v>
      </c>
    </row>
    <row r="129">
      <c r="A129" s="103" t="n">
        <v>24685</v>
      </c>
      <c r="B129" t="n">
        <v>18.463</v>
      </c>
      <c r="C129" t="n">
        <v>19.382</v>
      </c>
      <c r="D129" t="n">
        <v/>
      </c>
      <c r="E129" t="n">
        <v>34.9</v>
      </c>
    </row>
    <row r="130">
      <c r="A130" s="103" t="n">
        <v>24716</v>
      </c>
      <c r="B130" t="n">
        <v>18.519</v>
      </c>
      <c r="C130" t="n">
        <v>19.45</v>
      </c>
      <c r="D130" t="n">
        <v/>
      </c>
      <c r="E130" t="n">
        <v>35</v>
      </c>
    </row>
    <row r="131">
      <c r="A131" s="103" t="n">
        <v>24746</v>
      </c>
      <c r="B131" t="n">
        <v>18.57</v>
      </c>
      <c r="C131" t="n">
        <v>19.523</v>
      </c>
      <c r="D131" t="n">
        <v/>
      </c>
      <c r="E131" t="n">
        <v>35.1</v>
      </c>
    </row>
    <row r="132">
      <c r="A132" s="103" t="n">
        <v>24777</v>
      </c>
      <c r="B132" t="n">
        <v>18.632</v>
      </c>
      <c r="C132" t="n">
        <v>19.585</v>
      </c>
      <c r="D132" t="n">
        <v/>
      </c>
      <c r="E132" t="n">
        <v>35.2</v>
      </c>
    </row>
    <row r="133">
      <c r="A133" s="103" t="n">
        <v>24807</v>
      </c>
      <c r="B133" t="n">
        <v>18.661</v>
      </c>
      <c r="C133" t="n">
        <v>19.633</v>
      </c>
      <c r="D133" t="n">
        <v/>
      </c>
      <c r="E133" t="n">
        <v>35.4</v>
      </c>
    </row>
    <row r="134">
      <c r="A134" s="103" t="n">
        <v>24838</v>
      </c>
      <c r="B134" t="n">
        <v>18.748</v>
      </c>
      <c r="C134" t="n">
        <v>19.72</v>
      </c>
      <c r="D134" t="n">
        <v/>
      </c>
      <c r="E134" t="n">
        <v>35.5</v>
      </c>
    </row>
    <row r="135">
      <c r="A135" s="103" t="n">
        <v>24869</v>
      </c>
      <c r="B135" t="n">
        <v>18.824</v>
      </c>
      <c r="C135" t="n">
        <v>19.805</v>
      </c>
      <c r="D135" t="n">
        <v/>
      </c>
      <c r="E135" t="n">
        <v>35.7</v>
      </c>
    </row>
    <row r="136">
      <c r="A136" s="103" t="n">
        <v>24898</v>
      </c>
      <c r="B136" t="n">
        <v>18.886</v>
      </c>
      <c r="C136" t="n">
        <v>19.884</v>
      </c>
      <c r="D136" t="n">
        <v/>
      </c>
      <c r="E136" t="n">
        <v>35.8</v>
      </c>
    </row>
    <row r="137">
      <c r="A137" s="103" t="n">
        <v>24929</v>
      </c>
      <c r="B137" t="n">
        <v>18.945</v>
      </c>
      <c r="C137" t="n">
        <v>19.957</v>
      </c>
      <c r="D137" t="n">
        <v/>
      </c>
      <c r="E137" t="n">
        <v>35.9</v>
      </c>
    </row>
    <row r="138">
      <c r="A138" s="103" t="n">
        <v>24959</v>
      </c>
      <c r="B138" t="n">
        <v>19.015</v>
      </c>
      <c r="C138" t="n">
        <v>20.033</v>
      </c>
      <c r="D138" t="n">
        <v/>
      </c>
      <c r="E138" t="n">
        <v>36</v>
      </c>
    </row>
    <row r="139">
      <c r="A139" s="103" t="n">
        <v>24990</v>
      </c>
      <c r="B139" t="n">
        <v>19.075</v>
      </c>
      <c r="C139" t="n">
        <v>20.111</v>
      </c>
      <c r="D139" t="n">
        <v/>
      </c>
      <c r="E139" t="n">
        <v>36.2</v>
      </c>
    </row>
    <row r="140">
      <c r="A140" s="103" t="n">
        <v>25020</v>
      </c>
      <c r="B140" t="n">
        <v>19.134</v>
      </c>
      <c r="C140" t="n">
        <v>20.178</v>
      </c>
      <c r="D140" t="n">
        <v/>
      </c>
      <c r="E140" t="n">
        <v>36.4</v>
      </c>
    </row>
    <row r="141">
      <c r="A141" s="103" t="n">
        <v>25051</v>
      </c>
      <c r="B141" t="n">
        <v>19.212</v>
      </c>
      <c r="C141" t="n">
        <v>20.257</v>
      </c>
      <c r="D141" t="n">
        <v/>
      </c>
      <c r="E141" t="n">
        <v>36.5</v>
      </c>
    </row>
    <row r="142">
      <c r="A142" s="103" t="n">
        <v>25082</v>
      </c>
      <c r="B142" t="n">
        <v>19.279</v>
      </c>
      <c r="C142" t="n">
        <v>20.339</v>
      </c>
      <c r="D142" t="n">
        <v/>
      </c>
      <c r="E142" t="n">
        <v>36.7</v>
      </c>
    </row>
    <row r="143">
      <c r="A143" s="103" t="n">
        <v>25112</v>
      </c>
      <c r="B143" t="n">
        <v>19.364</v>
      </c>
      <c r="C143" t="n">
        <v>20.422</v>
      </c>
      <c r="D143" t="n">
        <v/>
      </c>
      <c r="E143" t="n">
        <v>36.9</v>
      </c>
    </row>
    <row r="144">
      <c r="A144" s="103" t="n">
        <v>25143</v>
      </c>
      <c r="B144" t="n">
        <v>19.43</v>
      </c>
      <c r="C144" t="n">
        <v>20.498</v>
      </c>
      <c r="D144" t="n">
        <v/>
      </c>
      <c r="E144" t="n">
        <v>37.1</v>
      </c>
    </row>
    <row r="145">
      <c r="A145" s="103" t="n">
        <v>25173</v>
      </c>
      <c r="B145" t="n">
        <v>19.47</v>
      </c>
      <c r="C145" t="n">
        <v>20.56</v>
      </c>
      <c r="D145" t="n">
        <v/>
      </c>
      <c r="E145" t="n">
        <v>37.2</v>
      </c>
    </row>
    <row r="146">
      <c r="A146" s="103" t="n">
        <v>25204</v>
      </c>
      <c r="B146" t="n">
        <v>19.546</v>
      </c>
      <c r="C146" t="n">
        <v>20.638</v>
      </c>
      <c r="D146" t="n">
        <v/>
      </c>
      <c r="E146" t="n">
        <v>37.3</v>
      </c>
    </row>
    <row r="147">
      <c r="A147" s="103" t="n">
        <v>25235</v>
      </c>
      <c r="B147" t="n">
        <v>19.595</v>
      </c>
      <c r="C147" t="n">
        <v>20.709</v>
      </c>
      <c r="D147" t="n">
        <v/>
      </c>
      <c r="E147" t="n">
        <v>37.6</v>
      </c>
    </row>
    <row r="148">
      <c r="A148" s="103" t="n">
        <v>25263</v>
      </c>
      <c r="B148" t="n">
        <v>19.687</v>
      </c>
      <c r="C148" t="n">
        <v>20.805</v>
      </c>
      <c r="D148" t="n">
        <v/>
      </c>
      <c r="E148" t="n">
        <v>37.8</v>
      </c>
    </row>
    <row r="149">
      <c r="A149" s="103" t="n">
        <v>25294</v>
      </c>
      <c r="B149" t="n">
        <v>19.774</v>
      </c>
      <c r="C149" t="n">
        <v>20.886</v>
      </c>
      <c r="D149" t="n">
        <v/>
      </c>
      <c r="E149" t="n">
        <v>38.1</v>
      </c>
    </row>
    <row r="150">
      <c r="A150" s="103" t="n">
        <v>25324</v>
      </c>
      <c r="B150" t="n">
        <v>19.854</v>
      </c>
      <c r="C150" t="n">
        <v>20.969</v>
      </c>
      <c r="D150" t="n">
        <v/>
      </c>
      <c r="E150" t="n">
        <v>38.1</v>
      </c>
    </row>
    <row r="151">
      <c r="A151" s="103" t="n">
        <v>25355</v>
      </c>
      <c r="B151" t="n">
        <v>19.95</v>
      </c>
      <c r="C151" t="n">
        <v>21.041</v>
      </c>
      <c r="D151" t="n">
        <v/>
      </c>
      <c r="E151" t="n">
        <v>38.3</v>
      </c>
    </row>
    <row r="152">
      <c r="A152" s="103" t="n">
        <v>25385</v>
      </c>
      <c r="B152" t="n">
        <v>20.037</v>
      </c>
      <c r="C152" t="n">
        <v>21.139</v>
      </c>
      <c r="D152" t="n">
        <v/>
      </c>
      <c r="E152" t="n">
        <v>38.5</v>
      </c>
    </row>
    <row r="153">
      <c r="A153" s="103" t="n">
        <v>25416</v>
      </c>
      <c r="B153" t="n">
        <v>20.093</v>
      </c>
      <c r="C153" t="n">
        <v>21.199</v>
      </c>
      <c r="D153" t="n">
        <v/>
      </c>
      <c r="E153" t="n">
        <v>38.7</v>
      </c>
    </row>
    <row r="154">
      <c r="A154" s="103" t="n">
        <v>25447</v>
      </c>
      <c r="B154" t="n">
        <v>20.176</v>
      </c>
      <c r="C154" t="n">
        <v>21.284</v>
      </c>
      <c r="D154" t="n">
        <v/>
      </c>
      <c r="E154" t="n">
        <v>38.9</v>
      </c>
    </row>
    <row r="155">
      <c r="A155" s="103" t="n">
        <v>25477</v>
      </c>
      <c r="B155" t="n">
        <v>20.245</v>
      </c>
      <c r="C155" t="n">
        <v>21.375</v>
      </c>
      <c r="D155" t="n">
        <v/>
      </c>
      <c r="E155" t="n">
        <v>39.1</v>
      </c>
    </row>
    <row r="156">
      <c r="A156" s="103" t="n">
        <v>25508</v>
      </c>
      <c r="B156" t="n">
        <v>20.332</v>
      </c>
      <c r="C156" t="n">
        <v>21.457</v>
      </c>
      <c r="D156" t="n">
        <v/>
      </c>
      <c r="E156" t="n">
        <v>39.2</v>
      </c>
    </row>
    <row r="157">
      <c r="A157" s="103" t="n">
        <v>25538</v>
      </c>
      <c r="B157" t="n">
        <v>20.426</v>
      </c>
      <c r="C157" t="n">
        <v>21.537</v>
      </c>
      <c r="D157" t="n">
        <v/>
      </c>
      <c r="E157" t="n">
        <v>39.4</v>
      </c>
    </row>
    <row r="158">
      <c r="A158" s="103" t="n">
        <v>25569</v>
      </c>
      <c r="B158" t="n">
        <v>20.499</v>
      </c>
      <c r="C158" t="n">
        <v>21.608</v>
      </c>
      <c r="D158" t="n">
        <v/>
      </c>
      <c r="E158" t="n">
        <v>39.6</v>
      </c>
    </row>
    <row r="159">
      <c r="A159" s="103" t="n">
        <v>25600</v>
      </c>
      <c r="B159" t="n">
        <v>20.58</v>
      </c>
      <c r="C159" t="n">
        <v>21.691</v>
      </c>
      <c r="D159" t="n">
        <v/>
      </c>
      <c r="E159" t="n">
        <v>39.8</v>
      </c>
    </row>
    <row r="160">
      <c r="A160" s="103" t="n">
        <v>25628</v>
      </c>
      <c r="B160" t="n">
        <v>20.631</v>
      </c>
      <c r="C160" t="n">
        <v>21.772</v>
      </c>
      <c r="D160" t="n">
        <v/>
      </c>
      <c r="E160" t="n">
        <v>40.1</v>
      </c>
    </row>
    <row r="161">
      <c r="A161" s="103" t="n">
        <v>25659</v>
      </c>
      <c r="B161" t="n">
        <v>20.736</v>
      </c>
      <c r="C161" t="n">
        <v>21.857</v>
      </c>
      <c r="D161" t="n">
        <v/>
      </c>
      <c r="E161" t="n">
        <v>40.4</v>
      </c>
    </row>
    <row r="162">
      <c r="A162" s="103" t="n">
        <v>25689</v>
      </c>
      <c r="B162" t="n">
        <v>20.802</v>
      </c>
      <c r="C162" t="n">
        <v>21.934</v>
      </c>
      <c r="D162" t="n">
        <v/>
      </c>
      <c r="E162" t="n">
        <v>40.5</v>
      </c>
    </row>
    <row r="163">
      <c r="A163" s="103" t="n">
        <v>25720</v>
      </c>
      <c r="B163" t="n">
        <v>20.856</v>
      </c>
      <c r="C163" t="n">
        <v>22.014</v>
      </c>
      <c r="D163" t="n">
        <v/>
      </c>
      <c r="E163" t="n">
        <v>40.8</v>
      </c>
    </row>
    <row r="164">
      <c r="A164" s="103" t="n">
        <v>25750</v>
      </c>
      <c r="B164" t="n">
        <v>20.932</v>
      </c>
      <c r="C164" t="n">
        <v>22.098</v>
      </c>
      <c r="D164" t="n">
        <v/>
      </c>
      <c r="E164" t="n">
        <v>40.9</v>
      </c>
    </row>
    <row r="165">
      <c r="A165" s="103" t="n">
        <v>25781</v>
      </c>
      <c r="B165" t="n">
        <v>20.987</v>
      </c>
      <c r="C165" t="n">
        <v>22.174</v>
      </c>
      <c r="D165" t="n">
        <v/>
      </c>
      <c r="E165" t="n">
        <v>41.1</v>
      </c>
    </row>
    <row r="166">
      <c r="A166" s="103" t="n">
        <v>25812</v>
      </c>
      <c r="B166" t="n">
        <v>21.081</v>
      </c>
      <c r="C166" t="n">
        <v>22.267</v>
      </c>
      <c r="D166" t="n">
        <v/>
      </c>
      <c r="E166" t="n">
        <v>41.3</v>
      </c>
    </row>
    <row r="167">
      <c r="A167" s="103" t="n">
        <v>25842</v>
      </c>
      <c r="B167" t="n">
        <v>21.185</v>
      </c>
      <c r="C167" t="n">
        <v>22.376</v>
      </c>
      <c r="D167" t="n">
        <v/>
      </c>
      <c r="E167" t="n">
        <v>41.5</v>
      </c>
    </row>
    <row r="168">
      <c r="A168" s="103" t="n">
        <v>25873</v>
      </c>
      <c r="B168" t="n">
        <v>21.269</v>
      </c>
      <c r="C168" t="n">
        <v>22.492</v>
      </c>
      <c r="D168" t="n">
        <v/>
      </c>
      <c r="E168" t="n">
        <v>41.8</v>
      </c>
    </row>
    <row r="169">
      <c r="A169" s="103" t="n">
        <v>25903</v>
      </c>
      <c r="B169" t="n">
        <v>21.363</v>
      </c>
      <c r="C169" t="n">
        <v>22.605</v>
      </c>
      <c r="D169" t="n">
        <v/>
      </c>
      <c r="E169" t="n">
        <v>42</v>
      </c>
    </row>
    <row r="170">
      <c r="A170" s="103" t="n">
        <v>25934</v>
      </c>
      <c r="B170" t="n">
        <v>21.408</v>
      </c>
      <c r="C170" t="n">
        <v>22.694</v>
      </c>
      <c r="D170" t="n">
        <v/>
      </c>
      <c r="E170" t="n">
        <v>42.1</v>
      </c>
    </row>
    <row r="171">
      <c r="A171" s="103" t="n">
        <v>25965</v>
      </c>
      <c r="B171" t="n">
        <v>21.471</v>
      </c>
      <c r="C171" t="n">
        <v>22.78</v>
      </c>
      <c r="D171" t="n">
        <v/>
      </c>
      <c r="E171" t="n">
        <v>42.2</v>
      </c>
    </row>
    <row r="172">
      <c r="A172" s="103" t="n">
        <v>25993</v>
      </c>
      <c r="B172" t="n">
        <v>21.542</v>
      </c>
      <c r="C172" t="n">
        <v>22.853</v>
      </c>
      <c r="D172" t="n">
        <v/>
      </c>
      <c r="E172" t="n">
        <v>42.2</v>
      </c>
    </row>
    <row r="173">
      <c r="A173" s="103" t="n">
        <v>26024</v>
      </c>
      <c r="B173" t="n">
        <v>21.626</v>
      </c>
      <c r="C173" t="n">
        <v>22.939</v>
      </c>
      <c r="D173" t="n">
        <v/>
      </c>
      <c r="E173" t="n">
        <v>42.4</v>
      </c>
    </row>
    <row r="174">
      <c r="A174" s="103" t="n">
        <v>26054</v>
      </c>
      <c r="B174" t="n">
        <v>21.717</v>
      </c>
      <c r="C174" t="n">
        <v>23.039</v>
      </c>
      <c r="D174" t="n">
        <v/>
      </c>
      <c r="E174" t="n">
        <v>42.6</v>
      </c>
    </row>
    <row r="175">
      <c r="A175" s="103" t="n">
        <v>26085</v>
      </c>
      <c r="B175" t="n">
        <v>21.813</v>
      </c>
      <c r="C175" t="n">
        <v>23.129</v>
      </c>
      <c r="D175" t="n">
        <v/>
      </c>
      <c r="E175" t="n">
        <v>42.8</v>
      </c>
    </row>
    <row r="176">
      <c r="A176" s="103" t="n">
        <v>26115</v>
      </c>
      <c r="B176" t="n">
        <v>21.879</v>
      </c>
      <c r="C176" t="n">
        <v>23.218</v>
      </c>
      <c r="D176" t="n">
        <v/>
      </c>
      <c r="E176" t="n">
        <v>42.9</v>
      </c>
    </row>
    <row r="177">
      <c r="A177" s="103" t="n">
        <v>26146</v>
      </c>
      <c r="B177" t="n">
        <v>21.942</v>
      </c>
      <c r="C177" t="n">
        <v>23.251</v>
      </c>
      <c r="D177" t="n">
        <v/>
      </c>
      <c r="E177" t="n">
        <v>43</v>
      </c>
    </row>
    <row r="178">
      <c r="A178" s="103" t="n">
        <v>26177</v>
      </c>
      <c r="B178" t="n">
        <v>21.975</v>
      </c>
      <c r="C178" t="n">
        <v>23.289</v>
      </c>
      <c r="D178" t="n">
        <v/>
      </c>
      <c r="E178" t="n">
        <v>43</v>
      </c>
    </row>
    <row r="179">
      <c r="A179" s="103" t="n">
        <v>26207</v>
      </c>
      <c r="B179" t="n">
        <v>22.009</v>
      </c>
      <c r="C179" t="n">
        <v>23.326</v>
      </c>
      <c r="D179" t="n">
        <v/>
      </c>
      <c r="E179" t="n">
        <v>43.1</v>
      </c>
    </row>
    <row r="180">
      <c r="A180" s="103" t="n">
        <v>26238</v>
      </c>
      <c r="B180" t="n">
        <v>22.054</v>
      </c>
      <c r="C180" t="n">
        <v>23.379</v>
      </c>
      <c r="D180" t="n">
        <v/>
      </c>
      <c r="E180" t="n">
        <v>43.2</v>
      </c>
    </row>
    <row r="181">
      <c r="A181" s="103" t="n">
        <v>26268</v>
      </c>
      <c r="B181" t="n">
        <v>22.141</v>
      </c>
      <c r="C181" t="n">
        <v>23.452</v>
      </c>
      <c r="D181" t="n">
        <v/>
      </c>
      <c r="E181" t="n">
        <v>43.3</v>
      </c>
    </row>
    <row r="182">
      <c r="A182" s="103" t="n">
        <v>26299</v>
      </c>
      <c r="B182" t="n">
        <v>22.232</v>
      </c>
      <c r="C182" t="n">
        <v>23.552</v>
      </c>
      <c r="D182" t="n">
        <v/>
      </c>
      <c r="E182" t="n">
        <v>43.5</v>
      </c>
    </row>
    <row r="183">
      <c r="A183" s="103" t="n">
        <v>26330</v>
      </c>
      <c r="B183" t="n">
        <v>22.319</v>
      </c>
      <c r="C183" t="n">
        <v>23.615</v>
      </c>
      <c r="D183" t="n">
        <v/>
      </c>
      <c r="E183" t="n">
        <v>43.6</v>
      </c>
    </row>
    <row r="184">
      <c r="A184" s="103" t="n">
        <v>26359</v>
      </c>
      <c r="B184" t="n">
        <v>22.351</v>
      </c>
      <c r="C184" t="n">
        <v>23.662</v>
      </c>
      <c r="D184" t="n">
        <v/>
      </c>
      <c r="E184" t="n">
        <v>43.6</v>
      </c>
    </row>
    <row r="185">
      <c r="A185" s="103" t="n">
        <v>26390</v>
      </c>
      <c r="B185" t="n">
        <v>22.386</v>
      </c>
      <c r="C185" t="n">
        <v>23.717</v>
      </c>
      <c r="D185" t="n">
        <v/>
      </c>
      <c r="E185" t="n">
        <v>43.8</v>
      </c>
    </row>
    <row r="186">
      <c r="A186" s="103" t="n">
        <v>26420</v>
      </c>
      <c r="B186" t="n">
        <v>22.434</v>
      </c>
      <c r="C186" t="n">
        <v>23.772</v>
      </c>
      <c r="D186" t="n">
        <v/>
      </c>
      <c r="E186" t="n">
        <v>43.9</v>
      </c>
    </row>
    <row r="187">
      <c r="A187" s="103" t="n">
        <v>26451</v>
      </c>
      <c r="B187" t="n">
        <v>22.469</v>
      </c>
      <c r="C187" t="n">
        <v>23.819</v>
      </c>
      <c r="D187" t="n">
        <v/>
      </c>
      <c r="E187" t="n">
        <v>44</v>
      </c>
    </row>
    <row r="188">
      <c r="A188" s="103" t="n">
        <v>26481</v>
      </c>
      <c r="B188" t="n">
        <v>22.549</v>
      </c>
      <c r="C188" t="n">
        <v>23.888</v>
      </c>
      <c r="D188" t="n">
        <v/>
      </c>
      <c r="E188" t="n">
        <v>44.1</v>
      </c>
    </row>
    <row r="189">
      <c r="A189" s="103" t="n">
        <v>26512</v>
      </c>
      <c r="B189" t="n">
        <v>22.615</v>
      </c>
      <c r="C189" t="n">
        <v>23.938</v>
      </c>
      <c r="D189" t="n">
        <v/>
      </c>
      <c r="E189" t="n">
        <v>44.3</v>
      </c>
    </row>
    <row r="190">
      <c r="A190" s="103" t="n">
        <v>26543</v>
      </c>
      <c r="B190" t="n">
        <v>22.716</v>
      </c>
      <c r="C190" t="n">
        <v>24.018</v>
      </c>
      <c r="D190" t="n">
        <v/>
      </c>
      <c r="E190" t="n">
        <v>44.3</v>
      </c>
    </row>
    <row r="191">
      <c r="A191" s="103" t="n">
        <v>26573</v>
      </c>
      <c r="B191" t="n">
        <v>22.741</v>
      </c>
      <c r="C191" t="n">
        <v>24.032</v>
      </c>
      <c r="D191" t="n">
        <v/>
      </c>
      <c r="E191" t="n">
        <v>44.4</v>
      </c>
    </row>
    <row r="192">
      <c r="A192" s="103" t="n">
        <v>26604</v>
      </c>
      <c r="B192" t="n">
        <v>22.809</v>
      </c>
      <c r="C192" t="n">
        <v>24.095</v>
      </c>
      <c r="D192" t="n">
        <v/>
      </c>
      <c r="E192" t="n">
        <v>44.4</v>
      </c>
    </row>
    <row r="193">
      <c r="A193" s="103" t="n">
        <v>26634</v>
      </c>
      <c r="B193" t="n">
        <v>22.882</v>
      </c>
      <c r="C193" t="n">
        <v>24.168</v>
      </c>
      <c r="D193" t="n">
        <v/>
      </c>
      <c r="E193" t="n">
        <v>44.6</v>
      </c>
    </row>
    <row r="194">
      <c r="A194" s="103" t="n">
        <v>26665</v>
      </c>
      <c r="B194" t="n">
        <v>22.951</v>
      </c>
      <c r="C194" t="n">
        <v>24.183</v>
      </c>
      <c r="D194" t="n">
        <v/>
      </c>
      <c r="E194" t="n">
        <v>44.6</v>
      </c>
    </row>
    <row r="195">
      <c r="A195" s="103" t="n">
        <v>26696</v>
      </c>
      <c r="B195" t="n">
        <v>23.072</v>
      </c>
      <c r="C195" t="n">
        <v>24.259</v>
      </c>
      <c r="D195" t="n">
        <v/>
      </c>
      <c r="E195" t="n">
        <v>44.8</v>
      </c>
    </row>
    <row r="196">
      <c r="A196" s="103" t="n">
        <v>26724</v>
      </c>
      <c r="B196" t="n">
        <v>23.235</v>
      </c>
      <c r="C196" t="n">
        <v>24.357</v>
      </c>
      <c r="D196" t="n">
        <v/>
      </c>
      <c r="E196" t="n">
        <v>45</v>
      </c>
    </row>
    <row r="197">
      <c r="A197" s="103" t="n">
        <v>26755</v>
      </c>
      <c r="B197" t="n">
        <v>23.408</v>
      </c>
      <c r="C197" t="n">
        <v>24.498</v>
      </c>
      <c r="D197" t="n">
        <v/>
      </c>
      <c r="E197" t="n">
        <v>45.1</v>
      </c>
    </row>
    <row r="198">
      <c r="A198" s="103" t="n">
        <v>26785</v>
      </c>
      <c r="B198" t="n">
        <v>23.523</v>
      </c>
      <c r="C198" t="n">
        <v>24.593</v>
      </c>
      <c r="D198" t="n">
        <v/>
      </c>
      <c r="E198" t="n">
        <v>45.3</v>
      </c>
    </row>
    <row r="199">
      <c r="A199" s="103" t="n">
        <v>26816</v>
      </c>
      <c r="B199" t="n">
        <v>23.658</v>
      </c>
      <c r="C199" t="n">
        <v>24.699</v>
      </c>
      <c r="D199" t="n">
        <v/>
      </c>
      <c r="E199" t="n">
        <v>45.4</v>
      </c>
    </row>
    <row r="200">
      <c r="A200" s="103" t="n">
        <v>26846</v>
      </c>
      <c r="B200" t="n">
        <v>23.744</v>
      </c>
      <c r="C200" t="n">
        <v>24.805</v>
      </c>
      <c r="D200" t="n">
        <v/>
      </c>
      <c r="E200" t="n">
        <v>45.5</v>
      </c>
    </row>
    <row r="201">
      <c r="A201" s="103" t="n">
        <v>26877</v>
      </c>
      <c r="B201" t="n">
        <v>24.017</v>
      </c>
      <c r="C201" t="n">
        <v>24.921</v>
      </c>
      <c r="D201" t="n">
        <v/>
      </c>
      <c r="E201" t="n">
        <v>45.7</v>
      </c>
    </row>
    <row r="202">
      <c r="A202" s="103" t="n">
        <v>26908</v>
      </c>
      <c r="B202" t="n">
        <v>24.113</v>
      </c>
      <c r="C202" t="n">
        <v>25.046</v>
      </c>
      <c r="D202" t="n">
        <v/>
      </c>
      <c r="E202" t="n">
        <v>46</v>
      </c>
    </row>
    <row r="203">
      <c r="A203" s="103" t="n">
        <v>26938</v>
      </c>
      <c r="B203" t="n">
        <v>24.249</v>
      </c>
      <c r="C203" t="n">
        <v>25.143</v>
      </c>
      <c r="D203" t="n">
        <v/>
      </c>
      <c r="E203" t="n">
        <v>46.3</v>
      </c>
    </row>
    <row r="204">
      <c r="A204" s="103" t="n">
        <v>26969</v>
      </c>
      <c r="B204" t="n">
        <v>24.448</v>
      </c>
      <c r="C204" t="n">
        <v>25.264</v>
      </c>
      <c r="D204" t="n">
        <v/>
      </c>
      <c r="E204" t="n">
        <v>46.5</v>
      </c>
    </row>
    <row r="205">
      <c r="A205" s="103" t="n">
        <v>26999</v>
      </c>
      <c r="B205" t="n">
        <v>24.649</v>
      </c>
      <c r="C205" t="n">
        <v>25.404</v>
      </c>
      <c r="D205" t="n">
        <v/>
      </c>
      <c r="E205" t="n">
        <v>46.7</v>
      </c>
    </row>
    <row r="206">
      <c r="A206" s="103" t="n">
        <v>27030</v>
      </c>
      <c r="B206" t="n">
        <v>24.885</v>
      </c>
      <c r="C206" t="n">
        <v>25.529</v>
      </c>
      <c r="D206" t="n">
        <v/>
      </c>
      <c r="E206" t="n">
        <v>46.9</v>
      </c>
    </row>
    <row r="207">
      <c r="A207" s="103" t="n">
        <v>27061</v>
      </c>
      <c r="B207" t="n">
        <v>25.175</v>
      </c>
      <c r="C207" t="n">
        <v>25.692</v>
      </c>
      <c r="D207" t="n">
        <v/>
      </c>
      <c r="E207" t="n">
        <v>47.2</v>
      </c>
    </row>
    <row r="208">
      <c r="A208" s="103" t="n">
        <v>27089</v>
      </c>
      <c r="B208" t="n">
        <v>25.467</v>
      </c>
      <c r="C208" t="n">
        <v>25.892</v>
      </c>
      <c r="D208" t="n">
        <v/>
      </c>
      <c r="E208" t="n">
        <v>47.6</v>
      </c>
    </row>
    <row r="209">
      <c r="A209" s="103" t="n">
        <v>27120</v>
      </c>
      <c r="B209" t="n">
        <v>25.647</v>
      </c>
      <c r="C209" t="n">
        <v>26.086</v>
      </c>
      <c r="D209" t="n">
        <v/>
      </c>
      <c r="E209" t="n">
        <v>47.9</v>
      </c>
    </row>
    <row r="210">
      <c r="A210" s="103" t="n">
        <v>27150</v>
      </c>
      <c r="B210" t="n">
        <v>25.9</v>
      </c>
      <c r="C210" t="n">
        <v>26.337</v>
      </c>
      <c r="D210" t="n">
        <v/>
      </c>
      <c r="E210" t="n">
        <v>48.5</v>
      </c>
    </row>
    <row r="211">
      <c r="A211" s="103" t="n">
        <v>27181</v>
      </c>
      <c r="B211" t="n">
        <v>26.119</v>
      </c>
      <c r="C211" t="n">
        <v>26.607</v>
      </c>
      <c r="D211" t="n">
        <v/>
      </c>
      <c r="E211" t="n">
        <v>49</v>
      </c>
    </row>
    <row r="212">
      <c r="A212" s="103" t="n">
        <v>27211</v>
      </c>
      <c r="B212" t="n">
        <v>26.312</v>
      </c>
      <c r="C212" t="n">
        <v>26.843</v>
      </c>
      <c r="D212" t="n">
        <v/>
      </c>
      <c r="E212" t="n">
        <v>49.5</v>
      </c>
    </row>
    <row r="213">
      <c r="A213" s="103" t="n">
        <v>27242</v>
      </c>
      <c r="B213" t="n">
        <v>26.587</v>
      </c>
      <c r="C213" t="n">
        <v>27.101</v>
      </c>
      <c r="D213" t="n">
        <v/>
      </c>
      <c r="E213" t="n">
        <v>50.2</v>
      </c>
    </row>
    <row r="214">
      <c r="A214" s="103" t="n">
        <v>27273</v>
      </c>
      <c r="B214" t="n">
        <v>26.863</v>
      </c>
      <c r="C214" t="n">
        <v>27.345</v>
      </c>
      <c r="D214" t="n">
        <v/>
      </c>
      <c r="E214" t="n">
        <v>50.7</v>
      </c>
    </row>
    <row r="215">
      <c r="A215" s="103" t="n">
        <v>27303</v>
      </c>
      <c r="B215" t="n">
        <v>27.056</v>
      </c>
      <c r="C215" t="n">
        <v>27.559</v>
      </c>
      <c r="D215" t="n">
        <v/>
      </c>
      <c r="E215" t="n">
        <v>51.2</v>
      </c>
    </row>
    <row r="216">
      <c r="A216" s="103" t="n">
        <v>27334</v>
      </c>
      <c r="B216" t="n">
        <v>27.259</v>
      </c>
      <c r="C216" t="n">
        <v>27.76</v>
      </c>
      <c r="D216" t="n">
        <v/>
      </c>
      <c r="E216" t="n">
        <v>51.6</v>
      </c>
    </row>
    <row r="217">
      <c r="A217" s="103" t="n">
        <v>27364</v>
      </c>
      <c r="B217" t="n">
        <v>27.474</v>
      </c>
      <c r="C217" t="n">
        <v>27.956</v>
      </c>
      <c r="D217" t="n">
        <v/>
      </c>
      <c r="E217" t="n">
        <v>52</v>
      </c>
    </row>
    <row r="218">
      <c r="A218" s="103" t="n">
        <v>27395</v>
      </c>
      <c r="B218" t="n">
        <v>27.645</v>
      </c>
      <c r="C218" t="n">
        <v>28.119</v>
      </c>
      <c r="D218" t="n">
        <v/>
      </c>
      <c r="E218" t="n">
        <v>52.3</v>
      </c>
    </row>
    <row r="219">
      <c r="A219" s="103" t="n">
        <v>27426</v>
      </c>
      <c r="B219" t="n">
        <v>27.795</v>
      </c>
      <c r="C219" t="n">
        <v>28.318</v>
      </c>
      <c r="D219" t="n">
        <v/>
      </c>
      <c r="E219" t="n">
        <v>52.8</v>
      </c>
    </row>
    <row r="220">
      <c r="A220" s="103" t="n">
        <v>27454</v>
      </c>
      <c r="B220" t="n">
        <v>27.889</v>
      </c>
      <c r="C220" t="n">
        <v>28.466</v>
      </c>
      <c r="D220" t="n">
        <v/>
      </c>
      <c r="E220" t="n">
        <v>53</v>
      </c>
    </row>
    <row r="221">
      <c r="A221" s="103" t="n">
        <v>27485</v>
      </c>
      <c r="B221" t="n">
        <v>27.984</v>
      </c>
      <c r="C221" t="n">
        <v>28.604</v>
      </c>
      <c r="D221" t="n">
        <v/>
      </c>
      <c r="E221" t="n">
        <v>53.3</v>
      </c>
    </row>
    <row r="222">
      <c r="A222" s="103" t="n">
        <v>27515</v>
      </c>
      <c r="B222" t="n">
        <v>28.095</v>
      </c>
      <c r="C222" t="n">
        <v>28.725</v>
      </c>
      <c r="D222" t="n">
        <v/>
      </c>
      <c r="E222" t="n">
        <v>53.5</v>
      </c>
    </row>
    <row r="223">
      <c r="A223" s="103" t="n">
        <v>27546</v>
      </c>
      <c r="B223" t="n">
        <v>28.271</v>
      </c>
      <c r="C223" t="n">
        <v>28.866</v>
      </c>
      <c r="D223" t="n">
        <v/>
      </c>
      <c r="E223" t="n">
        <v>53.8</v>
      </c>
    </row>
    <row r="224">
      <c r="A224" s="103" t="n">
        <v>27576</v>
      </c>
      <c r="B224" t="n">
        <v>28.514</v>
      </c>
      <c r="C224" t="n">
        <v>29.044</v>
      </c>
      <c r="D224" t="n">
        <v/>
      </c>
      <c r="E224" t="n">
        <v>54</v>
      </c>
    </row>
    <row r="225">
      <c r="A225" s="103" t="n">
        <v>27607</v>
      </c>
      <c r="B225" t="n">
        <v>28.637</v>
      </c>
      <c r="C225" t="n">
        <v>29.144</v>
      </c>
      <c r="D225" t="n">
        <v/>
      </c>
      <c r="E225" t="n">
        <v>54.2</v>
      </c>
    </row>
    <row r="226">
      <c r="A226" s="103" t="n">
        <v>27638</v>
      </c>
      <c r="B226" t="n">
        <v>28.779</v>
      </c>
      <c r="C226" t="n">
        <v>29.302</v>
      </c>
      <c r="D226" t="n">
        <v/>
      </c>
      <c r="E226" t="n">
        <v>54.5</v>
      </c>
    </row>
    <row r="227">
      <c r="A227" s="103" t="n">
        <v>27668</v>
      </c>
      <c r="B227" t="n">
        <v>28.946</v>
      </c>
      <c r="C227" t="n">
        <v>29.448</v>
      </c>
      <c r="D227" t="n">
        <v/>
      </c>
      <c r="E227" t="n">
        <v>54.8</v>
      </c>
    </row>
    <row r="228">
      <c r="A228" s="103" t="n">
        <v>27699</v>
      </c>
      <c r="B228" t="n">
        <v>29.132</v>
      </c>
      <c r="C228" t="n">
        <v>29.643</v>
      </c>
      <c r="D228" t="n">
        <v/>
      </c>
      <c r="E228" t="n">
        <v>55.2</v>
      </c>
    </row>
    <row r="229">
      <c r="A229" s="103" t="n">
        <v>27729</v>
      </c>
      <c r="B229" t="n">
        <v>29.293</v>
      </c>
      <c r="C229" t="n">
        <v>29.823</v>
      </c>
      <c r="D229" t="n">
        <v/>
      </c>
      <c r="E229" t="n">
        <v>55.5</v>
      </c>
    </row>
    <row r="230">
      <c r="A230" s="103" t="n">
        <v>27760</v>
      </c>
      <c r="B230" t="n">
        <v>29.405</v>
      </c>
      <c r="C230" t="n">
        <v>29.976</v>
      </c>
      <c r="D230" t="n">
        <v/>
      </c>
      <c r="E230" t="n">
        <v>55.9</v>
      </c>
    </row>
    <row r="231">
      <c r="A231" s="103" t="n">
        <v>27791</v>
      </c>
      <c r="B231" t="n">
        <v>29.442</v>
      </c>
      <c r="C231" t="n">
        <v>30.095</v>
      </c>
      <c r="D231" t="n">
        <v/>
      </c>
      <c r="E231" t="n">
        <v>56.2</v>
      </c>
    </row>
    <row r="232">
      <c r="A232" s="103" t="n">
        <v>27820</v>
      </c>
      <c r="B232" t="n">
        <v>29.486</v>
      </c>
      <c r="C232" t="n">
        <v>30.195</v>
      </c>
      <c r="D232" t="n">
        <v/>
      </c>
      <c r="E232" t="n">
        <v>56.5</v>
      </c>
    </row>
    <row r="233">
      <c r="A233" s="103" t="n">
        <v>27851</v>
      </c>
      <c r="B233" t="n">
        <v>29.553</v>
      </c>
      <c r="C233" t="n">
        <v>30.312</v>
      </c>
      <c r="D233" t="n">
        <v/>
      </c>
      <c r="E233" t="n">
        <v>56.7</v>
      </c>
    </row>
    <row r="234">
      <c r="A234" s="103" t="n">
        <v>27881</v>
      </c>
      <c r="B234" t="n">
        <v>29.695</v>
      </c>
      <c r="C234" t="n">
        <v>30.456</v>
      </c>
      <c r="D234" t="n">
        <v/>
      </c>
      <c r="E234" t="n">
        <v>57</v>
      </c>
    </row>
    <row r="235">
      <c r="A235" s="103" t="n">
        <v>27912</v>
      </c>
      <c r="B235" t="n">
        <v>29.824</v>
      </c>
      <c r="C235" t="n">
        <v>30.579</v>
      </c>
      <c r="D235" t="n">
        <v/>
      </c>
      <c r="E235" t="n">
        <v>57.2</v>
      </c>
    </row>
    <row r="236">
      <c r="A236" s="103" t="n">
        <v>27942</v>
      </c>
      <c r="B236" t="n">
        <v>29.975</v>
      </c>
      <c r="C236" t="n">
        <v>30.748</v>
      </c>
      <c r="D236" t="n">
        <v/>
      </c>
      <c r="E236" t="n">
        <v>57.6</v>
      </c>
    </row>
    <row r="237">
      <c r="A237" s="103" t="n">
        <v>27973</v>
      </c>
      <c r="B237" t="n">
        <v>30.14</v>
      </c>
      <c r="C237" t="n">
        <v>30.925</v>
      </c>
      <c r="D237" t="n">
        <v/>
      </c>
      <c r="E237" t="n">
        <v>57.9</v>
      </c>
    </row>
    <row r="238">
      <c r="A238" s="103" t="n">
        <v>28004</v>
      </c>
      <c r="B238" t="n">
        <v>30.31</v>
      </c>
      <c r="C238" t="n">
        <v>31.106</v>
      </c>
      <c r="D238" t="n">
        <v/>
      </c>
      <c r="E238" t="n">
        <v>58.2</v>
      </c>
    </row>
    <row r="239">
      <c r="A239" s="103" t="n">
        <v>28034</v>
      </c>
      <c r="B239" t="n">
        <v>30.469</v>
      </c>
      <c r="C239" t="n">
        <v>31.258</v>
      </c>
      <c r="D239" t="n">
        <v/>
      </c>
      <c r="E239" t="n">
        <v>58.5</v>
      </c>
    </row>
    <row r="240">
      <c r="A240" s="103" t="n">
        <v>28065</v>
      </c>
      <c r="B240" t="n">
        <v>30.607</v>
      </c>
      <c r="C240" t="n">
        <v>31.401</v>
      </c>
      <c r="D240" t="n">
        <v/>
      </c>
      <c r="E240" t="n">
        <v>58.7</v>
      </c>
    </row>
    <row r="241">
      <c r="A241" s="103" t="n">
        <v>28095</v>
      </c>
      <c r="B241" t="n">
        <v>30.778</v>
      </c>
      <c r="C241" t="n">
        <v>31.571</v>
      </c>
      <c r="D241" t="n">
        <v/>
      </c>
      <c r="E241" t="n">
        <v>58.9</v>
      </c>
    </row>
    <row r="242">
      <c r="A242" s="103" t="n">
        <v>28126</v>
      </c>
      <c r="B242" t="n">
        <v>30.957</v>
      </c>
      <c r="C242" t="n">
        <v>31.763</v>
      </c>
      <c r="D242" t="n">
        <v/>
      </c>
      <c r="E242" t="n">
        <v>59.3</v>
      </c>
    </row>
    <row r="243">
      <c r="A243" s="103" t="n">
        <v>28157</v>
      </c>
      <c r="B243" t="n">
        <v>31.199</v>
      </c>
      <c r="C243" t="n">
        <v>31.958</v>
      </c>
      <c r="D243" t="n">
        <v/>
      </c>
      <c r="E243" t="n">
        <v>59.7</v>
      </c>
    </row>
    <row r="244">
      <c r="A244" s="103" t="n">
        <v>28185</v>
      </c>
      <c r="B244" t="n">
        <v>31.356</v>
      </c>
      <c r="C244" t="n">
        <v>32.094</v>
      </c>
      <c r="D244" t="n">
        <v/>
      </c>
      <c r="E244" t="n">
        <v>60</v>
      </c>
    </row>
    <row r="245">
      <c r="A245" s="103" t="n">
        <v>28216</v>
      </c>
      <c r="B245" t="n">
        <v>31.538</v>
      </c>
      <c r="C245" t="n">
        <v>32.253</v>
      </c>
      <c r="D245" t="n">
        <v/>
      </c>
      <c r="E245" t="n">
        <v>60.3</v>
      </c>
    </row>
    <row r="246">
      <c r="A246" s="103" t="n">
        <v>28246</v>
      </c>
      <c r="B246" t="n">
        <v>31.698</v>
      </c>
      <c r="C246" t="n">
        <v>32.417</v>
      </c>
      <c r="D246" t="n">
        <v/>
      </c>
      <c r="E246" t="n">
        <v>60.6</v>
      </c>
    </row>
    <row r="247">
      <c r="A247" s="103" t="n">
        <v>28277</v>
      </c>
      <c r="B247" t="n">
        <v>31.875</v>
      </c>
      <c r="C247" t="n">
        <v>32.611</v>
      </c>
      <c r="D247" t="n">
        <v/>
      </c>
      <c r="E247" t="n">
        <v>61</v>
      </c>
    </row>
    <row r="248">
      <c r="A248" s="103" t="n">
        <v>28307</v>
      </c>
      <c r="B248" t="n">
        <v>32.041</v>
      </c>
      <c r="C248" t="n">
        <v>32.813</v>
      </c>
      <c r="D248" t="n">
        <v/>
      </c>
      <c r="E248" t="n">
        <v>61.2</v>
      </c>
    </row>
    <row r="249">
      <c r="A249" s="103" t="n">
        <v>28338</v>
      </c>
      <c r="B249" t="n">
        <v>32.19</v>
      </c>
      <c r="C249" t="n">
        <v>32.973</v>
      </c>
      <c r="D249" t="n">
        <v/>
      </c>
      <c r="E249" t="n">
        <v>61.5</v>
      </c>
    </row>
    <row r="250">
      <c r="A250" s="103" t="n">
        <v>28369</v>
      </c>
      <c r="B250" t="n">
        <v>32.311</v>
      </c>
      <c r="C250" t="n">
        <v>33.113</v>
      </c>
      <c r="D250" t="n">
        <v/>
      </c>
      <c r="E250" t="n">
        <v>61.8</v>
      </c>
    </row>
    <row r="251">
      <c r="A251" s="103" t="n">
        <v>28399</v>
      </c>
      <c r="B251" t="n">
        <v>32.461</v>
      </c>
      <c r="C251" t="n">
        <v>33.273</v>
      </c>
      <c r="D251" t="n">
        <v/>
      </c>
      <c r="E251" t="n">
        <v>62</v>
      </c>
    </row>
    <row r="252">
      <c r="A252" s="103" t="n">
        <v>28430</v>
      </c>
      <c r="B252" t="n">
        <v>32.648</v>
      </c>
      <c r="C252" t="n">
        <v>33.445</v>
      </c>
      <c r="D252" t="n">
        <v/>
      </c>
      <c r="E252" t="n">
        <v>62.3</v>
      </c>
    </row>
    <row r="253">
      <c r="A253" s="103" t="n">
        <v>28460</v>
      </c>
      <c r="B253" t="n">
        <v>32.806</v>
      </c>
      <c r="C253" t="n">
        <v>33.618</v>
      </c>
      <c r="D253" t="n">
        <v/>
      </c>
      <c r="E253" t="n">
        <v>62.7</v>
      </c>
    </row>
    <row r="254">
      <c r="A254" s="103" t="n">
        <v>28491</v>
      </c>
      <c r="B254" t="n">
        <v>33</v>
      </c>
      <c r="C254" t="n">
        <v>33.819</v>
      </c>
      <c r="D254" t="n">
        <v/>
      </c>
      <c r="E254" t="n">
        <v>63.1</v>
      </c>
    </row>
    <row r="255">
      <c r="A255" s="103" t="n">
        <v>28522</v>
      </c>
      <c r="B255" t="n">
        <v>33.153</v>
      </c>
      <c r="C255" t="n">
        <v>33.949</v>
      </c>
      <c r="D255" t="n">
        <v/>
      </c>
      <c r="E255" t="n">
        <v>63.4</v>
      </c>
    </row>
    <row r="256">
      <c r="A256" s="103" t="n">
        <v>28550</v>
      </c>
      <c r="B256" t="n">
        <v>33.368</v>
      </c>
      <c r="C256" t="n">
        <v>34.133</v>
      </c>
      <c r="D256" t="n">
        <v/>
      </c>
      <c r="E256" t="n">
        <v>63.8</v>
      </c>
    </row>
    <row r="257">
      <c r="A257" s="103" t="n">
        <v>28581</v>
      </c>
      <c r="B257" t="n">
        <v>33.621</v>
      </c>
      <c r="C257" t="n">
        <v>34.354</v>
      </c>
      <c r="D257" t="n">
        <v/>
      </c>
      <c r="E257" t="n">
        <v>64.3</v>
      </c>
    </row>
    <row r="258">
      <c r="A258" s="103" t="n">
        <v>28611</v>
      </c>
      <c r="B258" t="n">
        <v>33.861</v>
      </c>
      <c r="C258" t="n">
        <v>34.556</v>
      </c>
      <c r="D258" t="n">
        <v/>
      </c>
      <c r="E258" t="n">
        <v>64.7</v>
      </c>
    </row>
    <row r="259">
      <c r="A259" s="103" t="n">
        <v>28642</v>
      </c>
      <c r="B259" t="n">
        <v>34.082</v>
      </c>
      <c r="C259" t="n">
        <v>34.749</v>
      </c>
      <c r="D259" t="n">
        <v/>
      </c>
      <c r="E259" t="n">
        <v>65.2</v>
      </c>
    </row>
    <row r="260">
      <c r="A260" s="103" t="n">
        <v>28672</v>
      </c>
      <c r="B260" t="n">
        <v>34.269</v>
      </c>
      <c r="C260" t="n">
        <v>34.953</v>
      </c>
      <c r="D260" t="n">
        <v/>
      </c>
      <c r="E260" t="n">
        <v>65.59999999999999</v>
      </c>
    </row>
    <row r="261">
      <c r="A261" s="103" t="n">
        <v>28703</v>
      </c>
      <c r="B261" t="n">
        <v>34.442</v>
      </c>
      <c r="C261" t="n">
        <v>35.141</v>
      </c>
      <c r="D261" t="n">
        <v/>
      </c>
      <c r="E261" t="n">
        <v>66.09999999999999</v>
      </c>
    </row>
    <row r="262">
      <c r="A262" s="103" t="n">
        <v>28734</v>
      </c>
      <c r="B262" t="n">
        <v>34.638</v>
      </c>
      <c r="C262" t="n">
        <v>35.343</v>
      </c>
      <c r="D262" t="n">
        <v/>
      </c>
      <c r="E262" t="n">
        <v>66.7</v>
      </c>
    </row>
    <row r="263">
      <c r="A263" s="103" t="n">
        <v>28764</v>
      </c>
      <c r="B263" t="n">
        <v>34.913</v>
      </c>
      <c r="C263" t="n">
        <v>35.603</v>
      </c>
      <c r="D263" t="n">
        <v/>
      </c>
      <c r="E263" t="n">
        <v>67.2</v>
      </c>
    </row>
    <row r="264">
      <c r="A264" s="103" t="n">
        <v>28795</v>
      </c>
      <c r="B264" t="n">
        <v>35.112</v>
      </c>
      <c r="C264" t="n">
        <v>35.794</v>
      </c>
      <c r="D264" t="n">
        <v/>
      </c>
      <c r="E264" t="n">
        <v>67.59999999999999</v>
      </c>
    </row>
    <row r="265">
      <c r="A265" s="103" t="n">
        <v>28825</v>
      </c>
      <c r="B265" t="n">
        <v>35.276</v>
      </c>
      <c r="C265" t="n">
        <v>35.934</v>
      </c>
      <c r="D265" t="n">
        <v/>
      </c>
      <c r="E265" t="n">
        <v>68</v>
      </c>
    </row>
    <row r="266">
      <c r="A266" s="103" t="n">
        <v>28856</v>
      </c>
      <c r="B266" t="n">
        <v>35.542</v>
      </c>
      <c r="C266" t="n">
        <v>36.118</v>
      </c>
      <c r="D266" t="n">
        <v/>
      </c>
      <c r="E266" t="n">
        <v>68.5</v>
      </c>
    </row>
    <row r="267">
      <c r="A267" s="103" t="n">
        <v>28887</v>
      </c>
      <c r="B267" t="n">
        <v>35.732</v>
      </c>
      <c r="C267" t="n">
        <v>36.235</v>
      </c>
      <c r="D267" t="n">
        <v/>
      </c>
      <c r="E267" t="n">
        <v>69.2</v>
      </c>
    </row>
    <row r="268">
      <c r="A268" s="103" t="n">
        <v>28915</v>
      </c>
      <c r="B268" t="n">
        <v>36.011</v>
      </c>
      <c r="C268" t="n">
        <v>36.444</v>
      </c>
      <c r="D268" t="n">
        <v/>
      </c>
      <c r="E268" t="n">
        <v>69.8</v>
      </c>
    </row>
    <row r="269">
      <c r="A269" s="103" t="n">
        <v>28946</v>
      </c>
      <c r="B269" t="n">
        <v>36.386</v>
      </c>
      <c r="C269" t="n">
        <v>36.78</v>
      </c>
      <c r="D269" t="n">
        <v/>
      </c>
      <c r="E269" t="n">
        <v>70.3</v>
      </c>
    </row>
    <row r="270">
      <c r="A270" s="103" t="n">
        <v>28976</v>
      </c>
      <c r="B270" t="n">
        <v>36.763</v>
      </c>
      <c r="C270" t="n">
        <v>37.1</v>
      </c>
      <c r="D270" t="n">
        <v/>
      </c>
      <c r="E270" t="n">
        <v>70.8</v>
      </c>
    </row>
    <row r="271">
      <c r="A271" s="103" t="n">
        <v>29007</v>
      </c>
      <c r="B271" t="n">
        <v>37.066</v>
      </c>
      <c r="C271" t="n">
        <v>37.308</v>
      </c>
      <c r="D271" t="n">
        <v/>
      </c>
      <c r="E271" t="n">
        <v>71.3</v>
      </c>
    </row>
    <row r="272">
      <c r="A272" s="103" t="n">
        <v>29037</v>
      </c>
      <c r="B272" t="n">
        <v>37.349</v>
      </c>
      <c r="C272" t="n">
        <v>37.495</v>
      </c>
      <c r="D272" t="n">
        <v/>
      </c>
      <c r="E272" t="n">
        <v>71.90000000000001</v>
      </c>
    </row>
    <row r="273">
      <c r="A273" s="103" t="n">
        <v>29068</v>
      </c>
      <c r="B273" t="n">
        <v>37.635</v>
      </c>
      <c r="C273" t="n">
        <v>37.744</v>
      </c>
      <c r="D273" t="n">
        <v/>
      </c>
      <c r="E273" t="n">
        <v>72.7</v>
      </c>
    </row>
    <row r="274">
      <c r="A274" s="103" t="n">
        <v>29099</v>
      </c>
      <c r="B274" t="n">
        <v>37.967</v>
      </c>
      <c r="C274" t="n">
        <v>38.002</v>
      </c>
      <c r="D274" t="n">
        <v/>
      </c>
      <c r="E274" t="n">
        <v>73.3</v>
      </c>
    </row>
    <row r="275">
      <c r="A275" s="103" t="n">
        <v>29129</v>
      </c>
      <c r="B275" t="n">
        <v>38.276</v>
      </c>
      <c r="C275" t="n">
        <v>38.279</v>
      </c>
      <c r="D275" t="n">
        <v/>
      </c>
      <c r="E275" t="n">
        <v>74</v>
      </c>
    </row>
    <row r="276">
      <c r="A276" s="103" t="n">
        <v>29160</v>
      </c>
      <c r="B276" t="n">
        <v>38.542</v>
      </c>
      <c r="C276" t="n">
        <v>38.524</v>
      </c>
      <c r="D276" t="n">
        <v/>
      </c>
      <c r="E276" t="n">
        <v>74.8</v>
      </c>
    </row>
    <row r="277">
      <c r="A277" s="103" t="n">
        <v>29190</v>
      </c>
      <c r="B277" t="n">
        <v>38.866</v>
      </c>
      <c r="C277" t="n">
        <v>38.801</v>
      </c>
      <c r="D277" t="n">
        <v/>
      </c>
      <c r="E277" t="n">
        <v>75.7</v>
      </c>
    </row>
    <row r="278">
      <c r="A278" s="103" t="n">
        <v>29221</v>
      </c>
      <c r="B278" t="n">
        <v>39.273</v>
      </c>
      <c r="C278" t="n">
        <v>39.095</v>
      </c>
      <c r="D278" t="n">
        <v/>
      </c>
      <c r="E278" t="n">
        <v>76.7</v>
      </c>
    </row>
    <row r="279">
      <c r="A279" s="103" t="n">
        <v>29252</v>
      </c>
      <c r="B279" t="n">
        <v>39.699</v>
      </c>
      <c r="C279" t="n">
        <v>39.485</v>
      </c>
      <c r="D279" t="n">
        <v/>
      </c>
      <c r="E279" t="n">
        <v>77.5</v>
      </c>
    </row>
    <row r="280">
      <c r="A280" s="103" t="n">
        <v>29281</v>
      </c>
      <c r="B280" t="n">
        <v>40.186</v>
      </c>
      <c r="C280" t="n">
        <v>39.851</v>
      </c>
      <c r="D280" t="n">
        <v/>
      </c>
      <c r="E280" t="n">
        <v>78.59999999999999</v>
      </c>
    </row>
    <row r="281">
      <c r="A281" s="103" t="n">
        <v>29312</v>
      </c>
      <c r="B281" t="n">
        <v>40.396</v>
      </c>
      <c r="C281" t="n">
        <v>40.056</v>
      </c>
      <c r="D281" t="n">
        <v/>
      </c>
      <c r="E281" t="n">
        <v>79.5</v>
      </c>
    </row>
    <row r="282">
      <c r="A282" s="103" t="n">
        <v>29342</v>
      </c>
      <c r="B282" t="n">
        <v>40.71</v>
      </c>
      <c r="C282" t="n">
        <v>40.378</v>
      </c>
      <c r="D282" t="n">
        <v/>
      </c>
      <c r="E282" t="n">
        <v>80.09999999999999</v>
      </c>
    </row>
    <row r="283">
      <c r="A283" s="103" t="n">
        <v>29373</v>
      </c>
      <c r="B283" t="n">
        <v>40.967</v>
      </c>
      <c r="C283" t="n">
        <v>40.646</v>
      </c>
      <c r="D283" t="n">
        <v/>
      </c>
      <c r="E283" t="n">
        <v>81</v>
      </c>
    </row>
    <row r="284">
      <c r="A284" s="103" t="n">
        <v>29403</v>
      </c>
      <c r="B284" t="n">
        <v>41.285</v>
      </c>
      <c r="C284" t="n">
        <v>40.932</v>
      </c>
      <c r="D284" t="n">
        <v/>
      </c>
      <c r="E284" t="n">
        <v>80.8</v>
      </c>
    </row>
    <row r="285">
      <c r="A285" s="103" t="n">
        <v>29434</v>
      </c>
      <c r="B285" t="n">
        <v>41.629</v>
      </c>
      <c r="C285" t="n">
        <v>41.228</v>
      </c>
      <c r="D285" t="n">
        <v/>
      </c>
      <c r="E285" t="n">
        <v>81.3</v>
      </c>
    </row>
    <row r="286">
      <c r="A286" s="103" t="n">
        <v>29465</v>
      </c>
      <c r="B286" t="n">
        <v>42.014</v>
      </c>
      <c r="C286" t="n">
        <v>41.616</v>
      </c>
      <c r="D286" t="n">
        <v/>
      </c>
      <c r="E286" t="n">
        <v>82.09999999999999</v>
      </c>
    </row>
    <row r="287">
      <c r="A287" s="103" t="n">
        <v>29495</v>
      </c>
      <c r="B287" t="n">
        <v>42.351</v>
      </c>
      <c r="C287" t="n">
        <v>41.959</v>
      </c>
      <c r="D287" t="n">
        <v/>
      </c>
      <c r="E287" t="n">
        <v>83</v>
      </c>
    </row>
    <row r="288">
      <c r="A288" s="103" t="n">
        <v>29526</v>
      </c>
      <c r="B288" t="n">
        <v>42.696</v>
      </c>
      <c r="C288" t="n">
        <v>42.289</v>
      </c>
      <c r="D288" t="n">
        <v/>
      </c>
      <c r="E288" t="n">
        <v>83.90000000000001</v>
      </c>
    </row>
    <row r="289">
      <c r="A289" s="103" t="n">
        <v>29556</v>
      </c>
      <c r="B289" t="n">
        <v>42.973</v>
      </c>
      <c r="C289" t="n">
        <v>42.544</v>
      </c>
      <c r="D289" t="n">
        <v/>
      </c>
      <c r="E289" t="n">
        <v>84.90000000000001</v>
      </c>
    </row>
    <row r="290">
      <c r="A290" s="103" t="n">
        <v>29587</v>
      </c>
      <c r="B290" t="n">
        <v>43.386</v>
      </c>
      <c r="C290" t="n">
        <v>42.912</v>
      </c>
      <c r="D290" t="n">
        <v/>
      </c>
      <c r="E290" t="n">
        <v>85.40000000000001</v>
      </c>
    </row>
    <row r="291">
      <c r="A291" s="103" t="n">
        <v>29618</v>
      </c>
      <c r="B291" t="n">
        <v>43.825</v>
      </c>
      <c r="C291" t="n">
        <v>43.226</v>
      </c>
      <c r="D291" t="n">
        <v/>
      </c>
      <c r="E291" t="n">
        <v>85.90000000000001</v>
      </c>
    </row>
    <row r="292">
      <c r="A292" s="103" t="n">
        <v>29646</v>
      </c>
      <c r="B292" t="n">
        <v>44.13</v>
      </c>
      <c r="C292" t="n">
        <v>43.466</v>
      </c>
      <c r="D292" t="n">
        <v/>
      </c>
      <c r="E292" t="n">
        <v>86.40000000000001</v>
      </c>
    </row>
    <row r="293">
      <c r="A293" s="103" t="n">
        <v>29677</v>
      </c>
      <c r="B293" t="n">
        <v>44.323</v>
      </c>
      <c r="C293" t="n">
        <v>43.744</v>
      </c>
      <c r="D293" t="n">
        <v/>
      </c>
      <c r="E293" t="n">
        <v>87</v>
      </c>
    </row>
    <row r="294">
      <c r="A294" s="103" t="n">
        <v>29707</v>
      </c>
      <c r="B294" t="n">
        <v>44.522</v>
      </c>
      <c r="C294" t="n">
        <v>44.045</v>
      </c>
      <c r="D294" t="n">
        <v/>
      </c>
      <c r="E294" t="n">
        <v>87.8</v>
      </c>
    </row>
    <row r="295">
      <c r="A295" s="103" t="n">
        <v>29738</v>
      </c>
      <c r="B295" t="n">
        <v>44.699</v>
      </c>
      <c r="C295" t="n">
        <v>44.265</v>
      </c>
      <c r="D295" t="n">
        <v/>
      </c>
      <c r="E295" t="n">
        <v>88.59999999999999</v>
      </c>
    </row>
    <row r="296">
      <c r="A296" s="103" t="n">
        <v>29768</v>
      </c>
      <c r="B296" t="n">
        <v>44.969</v>
      </c>
      <c r="C296" t="n">
        <v>44.532</v>
      </c>
      <c r="D296" t="n">
        <v/>
      </c>
      <c r="E296" t="n">
        <v>89.8</v>
      </c>
    </row>
    <row r="297">
      <c r="A297" s="103" t="n">
        <v>29799</v>
      </c>
      <c r="B297" t="n">
        <v>45.25</v>
      </c>
      <c r="C297" t="n">
        <v>44.83</v>
      </c>
      <c r="D297" t="n">
        <v/>
      </c>
      <c r="E297" t="n">
        <v>90.7</v>
      </c>
    </row>
    <row r="298">
      <c r="A298" s="103" t="n">
        <v>29830</v>
      </c>
      <c r="B298" t="n">
        <v>45.524</v>
      </c>
      <c r="C298" t="n">
        <v>45.124</v>
      </c>
      <c r="D298" t="n">
        <v/>
      </c>
      <c r="E298" t="n">
        <v>91.8</v>
      </c>
    </row>
    <row r="299">
      <c r="A299" s="103" t="n">
        <v>29860</v>
      </c>
      <c r="B299" t="n">
        <v>45.73</v>
      </c>
      <c r="C299" t="n">
        <v>45.393</v>
      </c>
      <c r="D299" t="n">
        <v/>
      </c>
      <c r="E299" t="n">
        <v>92.09999999999999</v>
      </c>
    </row>
    <row r="300">
      <c r="A300" s="103" t="n">
        <v>29891</v>
      </c>
      <c r="B300" t="n">
        <v>45.976</v>
      </c>
      <c r="C300" t="n">
        <v>45.658</v>
      </c>
      <c r="D300" t="n">
        <v/>
      </c>
      <c r="E300" t="n">
        <v>92.5</v>
      </c>
    </row>
    <row r="301">
      <c r="A301" s="103" t="n">
        <v>29921</v>
      </c>
      <c r="B301" t="n">
        <v>46.118</v>
      </c>
      <c r="C301" t="n">
        <v>45.826</v>
      </c>
      <c r="D301" t="n">
        <v/>
      </c>
      <c r="E301" t="n">
        <v>93</v>
      </c>
    </row>
    <row r="302">
      <c r="A302" s="103" t="n">
        <v>29952</v>
      </c>
      <c r="B302" t="n">
        <v>46.392</v>
      </c>
      <c r="C302" t="n">
        <v>46.108</v>
      </c>
      <c r="D302" t="n">
        <v/>
      </c>
      <c r="E302" t="n">
        <v>93.3</v>
      </c>
    </row>
    <row r="303">
      <c r="A303" s="103" t="n">
        <v>29983</v>
      </c>
      <c r="B303" t="n">
        <v>46.531</v>
      </c>
      <c r="C303" t="n">
        <v>46.286</v>
      </c>
      <c r="D303" t="n">
        <v/>
      </c>
      <c r="E303" t="n">
        <v>93.8</v>
      </c>
    </row>
    <row r="304">
      <c r="A304" s="103" t="n">
        <v>30011</v>
      </c>
      <c r="B304" t="n">
        <v>46.651</v>
      </c>
      <c r="C304" t="n">
        <v>46.488</v>
      </c>
      <c r="D304" t="n">
        <v/>
      </c>
      <c r="E304" t="n">
        <v>93.90000000000001</v>
      </c>
    </row>
    <row r="305">
      <c r="A305" s="103" t="n">
        <v>30042</v>
      </c>
      <c r="B305" t="n">
        <v>46.675</v>
      </c>
      <c r="C305" t="n">
        <v>46.672</v>
      </c>
      <c r="D305" t="n">
        <v/>
      </c>
      <c r="E305" t="n">
        <v>94.7</v>
      </c>
    </row>
    <row r="306">
      <c r="A306" s="103" t="n">
        <v>30072</v>
      </c>
      <c r="B306" t="n">
        <v>46.951</v>
      </c>
      <c r="C306" t="n">
        <v>46.927</v>
      </c>
      <c r="D306" t="n">
        <v/>
      </c>
      <c r="E306" t="n">
        <v>95.40000000000001</v>
      </c>
    </row>
    <row r="307">
      <c r="A307" s="103" t="n">
        <v>30103</v>
      </c>
      <c r="B307" t="n">
        <v>47.292</v>
      </c>
      <c r="C307" t="n">
        <v>47.162</v>
      </c>
      <c r="D307" t="n">
        <v/>
      </c>
      <c r="E307" t="n">
        <v>96.09999999999999</v>
      </c>
    </row>
    <row r="308">
      <c r="A308" s="103" t="n">
        <v>30133</v>
      </c>
      <c r="B308" t="n">
        <v>47.572</v>
      </c>
      <c r="C308" t="n">
        <v>47.468</v>
      </c>
      <c r="D308" t="n">
        <v/>
      </c>
      <c r="E308" t="n">
        <v>96.7</v>
      </c>
    </row>
    <row r="309">
      <c r="A309" s="103" t="n">
        <v>30164</v>
      </c>
      <c r="B309" t="n">
        <v>47.72</v>
      </c>
      <c r="C309" t="n">
        <v>47.686</v>
      </c>
      <c r="D309" t="n">
        <v/>
      </c>
      <c r="E309" t="n">
        <v>97.09999999999999</v>
      </c>
    </row>
    <row r="310">
      <c r="A310" s="103" t="n">
        <v>30195</v>
      </c>
      <c r="B310" t="n">
        <v>47.852</v>
      </c>
      <c r="C310" t="n">
        <v>47.863</v>
      </c>
      <c r="D310" t="n">
        <v/>
      </c>
      <c r="E310" t="n">
        <v>97.2</v>
      </c>
    </row>
    <row r="311">
      <c r="A311" s="103" t="n">
        <v>30225</v>
      </c>
      <c r="B311" t="n">
        <v>48.121</v>
      </c>
      <c r="C311" t="n">
        <v>48.166</v>
      </c>
      <c r="D311" t="n">
        <v/>
      </c>
      <c r="E311" t="n">
        <v>97.5</v>
      </c>
    </row>
    <row r="312">
      <c r="A312" s="103" t="n">
        <v>30256</v>
      </c>
      <c r="B312" t="n">
        <v>48.265</v>
      </c>
      <c r="C312" t="n">
        <v>48.344</v>
      </c>
      <c r="D312" t="n">
        <v/>
      </c>
      <c r="E312" t="n">
        <v>97.3</v>
      </c>
    </row>
    <row r="313">
      <c r="A313" s="103" t="n">
        <v>30286</v>
      </c>
      <c r="B313" t="n">
        <v>48.338</v>
      </c>
      <c r="C313" t="n">
        <v>48.498</v>
      </c>
      <c r="D313" t="n">
        <v/>
      </c>
      <c r="E313" t="n">
        <v>97.2</v>
      </c>
    </row>
    <row r="314">
      <c r="A314" s="103" t="n">
        <v>30317</v>
      </c>
      <c r="B314" t="n">
        <v>48.564</v>
      </c>
      <c r="C314" t="n">
        <v>48.83</v>
      </c>
      <c r="D314" t="n">
        <v/>
      </c>
      <c r="E314" t="n">
        <v>97.59999999999999</v>
      </c>
    </row>
    <row r="315">
      <c r="A315" s="103" t="n">
        <v>30348</v>
      </c>
      <c r="B315" t="n">
        <v>48.646</v>
      </c>
      <c r="C315" t="n">
        <v>49.011</v>
      </c>
      <c r="D315" t="n">
        <v/>
      </c>
      <c r="E315" t="n">
        <v>98</v>
      </c>
    </row>
    <row r="316">
      <c r="A316" s="103" t="n">
        <v>30376</v>
      </c>
      <c r="B316" t="n">
        <v>48.709</v>
      </c>
      <c r="C316" t="n">
        <v>49.073</v>
      </c>
      <c r="D316" t="n">
        <v/>
      </c>
      <c r="E316" t="n">
        <v>98.2</v>
      </c>
    </row>
    <row r="317">
      <c r="A317" s="103" t="n">
        <v>30407</v>
      </c>
      <c r="B317" t="n">
        <v>48.931</v>
      </c>
      <c r="C317" t="n">
        <v>49.222</v>
      </c>
      <c r="D317" t="n">
        <v/>
      </c>
      <c r="E317" t="n">
        <v>98.59999999999999</v>
      </c>
    </row>
    <row r="318">
      <c r="A318" s="103" t="n">
        <v>30437</v>
      </c>
      <c r="B318" t="n">
        <v>49.07</v>
      </c>
      <c r="C318" t="n">
        <v>49.293</v>
      </c>
      <c r="D318" t="n">
        <v/>
      </c>
      <c r="E318" t="n">
        <v>98.90000000000001</v>
      </c>
    </row>
    <row r="319">
      <c r="A319" s="103" t="n">
        <v>30468</v>
      </c>
      <c r="B319" t="n">
        <v>49.253</v>
      </c>
      <c r="C319" t="n">
        <v>49.523</v>
      </c>
      <c r="D319" t="n">
        <v/>
      </c>
      <c r="E319" t="n">
        <v>99.2</v>
      </c>
    </row>
    <row r="320">
      <c r="A320" s="103" t="n">
        <v>30498</v>
      </c>
      <c r="B320" t="n">
        <v>49.53</v>
      </c>
      <c r="C320" t="n">
        <v>49.856</v>
      </c>
      <c r="D320" t="n">
        <v/>
      </c>
      <c r="E320" t="n">
        <v>99.8</v>
      </c>
    </row>
    <row r="321">
      <c r="A321" s="103" t="n">
        <v>30529</v>
      </c>
      <c r="B321" t="n">
        <v>49.743</v>
      </c>
      <c r="C321" t="n">
        <v>50.113</v>
      </c>
      <c r="D321" t="n">
        <v/>
      </c>
      <c r="E321" t="n">
        <v>100.1</v>
      </c>
    </row>
    <row r="322">
      <c r="A322" s="103" t="n">
        <v>30560</v>
      </c>
      <c r="B322" t="n">
        <v>49.916</v>
      </c>
      <c r="C322" t="n">
        <v>50.316</v>
      </c>
      <c r="D322" t="n">
        <v/>
      </c>
      <c r="E322" t="n">
        <v>100.5</v>
      </c>
    </row>
    <row r="323">
      <c r="A323" s="103" t="n">
        <v>30590</v>
      </c>
      <c r="B323" t="n">
        <v>50.002</v>
      </c>
      <c r="C323" t="n">
        <v>50.405</v>
      </c>
      <c r="D323" t="n">
        <v/>
      </c>
      <c r="E323" t="n">
        <v>101</v>
      </c>
    </row>
    <row r="324">
      <c r="A324" s="103" t="n">
        <v>30621</v>
      </c>
      <c r="B324" t="n">
        <v>50.072</v>
      </c>
      <c r="C324" t="n">
        <v>50.523</v>
      </c>
      <c r="D324" t="n">
        <v/>
      </c>
      <c r="E324" t="n">
        <v>101.5</v>
      </c>
    </row>
    <row r="325">
      <c r="A325" s="103" t="n">
        <v>30651</v>
      </c>
      <c r="B325" t="n">
        <v>50.1</v>
      </c>
      <c r="C325" t="n">
        <v>50.56</v>
      </c>
      <c r="D325" t="n">
        <v/>
      </c>
      <c r="E325" t="n">
        <v>101.8</v>
      </c>
    </row>
    <row r="326">
      <c r="A326" s="103" t="n">
        <v>30682</v>
      </c>
      <c r="B326" t="n">
        <v>50.318</v>
      </c>
      <c r="C326" t="n">
        <v>50.729</v>
      </c>
      <c r="D326" t="n">
        <v/>
      </c>
      <c r="E326" t="n">
        <v>102.5</v>
      </c>
    </row>
    <row r="327">
      <c r="A327" s="103" t="n">
        <v>30713</v>
      </c>
      <c r="B327" t="n">
        <v>50.656</v>
      </c>
      <c r="C327" t="n">
        <v>51.049</v>
      </c>
      <c r="D327" t="n">
        <v/>
      </c>
      <c r="E327" t="n">
        <v>102.8</v>
      </c>
    </row>
    <row r="328">
      <c r="A328" s="103" t="n">
        <v>30742</v>
      </c>
      <c r="B328" t="n">
        <v>50.823</v>
      </c>
      <c r="C328" t="n">
        <v>51.242</v>
      </c>
      <c r="D328" t="n">
        <v/>
      </c>
      <c r="E328" t="n">
        <v>103.2</v>
      </c>
    </row>
    <row r="329">
      <c r="A329" s="103" t="n">
        <v>30773</v>
      </c>
      <c r="B329" t="n">
        <v>51.016</v>
      </c>
      <c r="C329" t="n">
        <v>51.483</v>
      </c>
      <c r="D329" t="n">
        <v/>
      </c>
      <c r="E329" t="n">
        <v>103.7</v>
      </c>
    </row>
    <row r="330">
      <c r="A330" s="103" t="n">
        <v>30803</v>
      </c>
      <c r="B330" t="n">
        <v>51.08</v>
      </c>
      <c r="C330" t="n">
        <v>51.602</v>
      </c>
      <c r="D330" t="n">
        <v/>
      </c>
      <c r="E330" t="n">
        <v>104.1</v>
      </c>
    </row>
    <row r="331">
      <c r="A331" s="103" t="n">
        <v>30834</v>
      </c>
      <c r="B331" t="n">
        <v>51.171</v>
      </c>
      <c r="C331" t="n">
        <v>51.724</v>
      </c>
      <c r="D331" t="n">
        <v/>
      </c>
      <c r="E331" t="n">
        <v>104.5</v>
      </c>
    </row>
    <row r="332">
      <c r="A332" s="103" t="n">
        <v>30864</v>
      </c>
      <c r="B332" t="n">
        <v>51.354</v>
      </c>
      <c r="C332" t="n">
        <v>51.947</v>
      </c>
      <c r="D332" t="n">
        <v/>
      </c>
      <c r="E332" t="n">
        <v>105</v>
      </c>
    </row>
    <row r="333">
      <c r="A333" s="103" t="n">
        <v>30895</v>
      </c>
      <c r="B333" t="n">
        <v>51.512</v>
      </c>
      <c r="C333" t="n">
        <v>52.118</v>
      </c>
      <c r="D333" t="n">
        <v/>
      </c>
      <c r="E333" t="n">
        <v>105.4</v>
      </c>
    </row>
    <row r="334">
      <c r="A334" s="103" t="n">
        <v>30926</v>
      </c>
      <c r="B334" t="n">
        <v>51.582</v>
      </c>
      <c r="C334" t="n">
        <v>52.198</v>
      </c>
      <c r="D334" t="n">
        <v/>
      </c>
      <c r="E334" t="n">
        <v>105.8</v>
      </c>
    </row>
    <row r="335">
      <c r="A335" s="103" t="n">
        <v>30956</v>
      </c>
      <c r="B335" t="n">
        <v>51.704</v>
      </c>
      <c r="C335" t="n">
        <v>52.315</v>
      </c>
      <c r="D335" t="n">
        <v/>
      </c>
      <c r="E335" t="n">
        <v>106.2</v>
      </c>
    </row>
    <row r="336">
      <c r="A336" s="103" t="n">
        <v>30987</v>
      </c>
      <c r="B336" t="n">
        <v>51.776</v>
      </c>
      <c r="C336" t="n">
        <v>52.426</v>
      </c>
      <c r="D336" t="n">
        <v/>
      </c>
      <c r="E336" t="n">
        <v>106.4</v>
      </c>
    </row>
    <row r="337">
      <c r="A337" s="103" t="n">
        <v>31017</v>
      </c>
      <c r="B337" t="n">
        <v>51.922</v>
      </c>
      <c r="C337" t="n">
        <v>52.634</v>
      </c>
      <c r="D337" t="n">
        <v/>
      </c>
      <c r="E337" t="n">
        <v>106.8</v>
      </c>
    </row>
    <row r="338">
      <c r="A338" s="103" t="n">
        <v>31048</v>
      </c>
      <c r="B338" t="n">
        <v>52.182</v>
      </c>
      <c r="C338" t="n">
        <v>52.928</v>
      </c>
      <c r="D338" t="n">
        <v/>
      </c>
      <c r="E338" t="n">
        <v>107.1</v>
      </c>
    </row>
    <row r="339">
      <c r="A339" s="103" t="n">
        <v>31079</v>
      </c>
      <c r="B339" t="n">
        <v>52.424</v>
      </c>
      <c r="C339" t="n">
        <v>53.204</v>
      </c>
      <c r="D339" t="n">
        <v/>
      </c>
      <c r="E339" t="n">
        <v>107.7</v>
      </c>
    </row>
    <row r="340">
      <c r="A340" s="103" t="n">
        <v>31107</v>
      </c>
      <c r="B340" t="n">
        <v>52.629</v>
      </c>
      <c r="C340" t="n">
        <v>53.39</v>
      </c>
      <c r="D340" t="n">
        <v/>
      </c>
      <c r="E340" t="n">
        <v>108.1</v>
      </c>
    </row>
    <row r="341">
      <c r="A341" s="103" t="n">
        <v>31138</v>
      </c>
      <c r="B341" t="n">
        <v>52.706</v>
      </c>
      <c r="C341" t="n">
        <v>53.453</v>
      </c>
      <c r="D341" t="n">
        <v/>
      </c>
      <c r="E341" t="n">
        <v>108.4</v>
      </c>
    </row>
    <row r="342">
      <c r="A342" s="103" t="n">
        <v>31168</v>
      </c>
      <c r="B342" t="n">
        <v>52.831</v>
      </c>
      <c r="C342" t="n">
        <v>53.638</v>
      </c>
      <c r="D342" t="n">
        <v/>
      </c>
      <c r="E342" t="n">
        <v>108.8</v>
      </c>
    </row>
    <row r="343">
      <c r="A343" s="103" t="n">
        <v>31199</v>
      </c>
      <c r="B343" t="n">
        <v>52.974</v>
      </c>
      <c r="C343" t="n">
        <v>53.815</v>
      </c>
      <c r="D343" t="n">
        <v/>
      </c>
      <c r="E343" t="n">
        <v>109.1</v>
      </c>
    </row>
    <row r="344">
      <c r="A344" s="103" t="n">
        <v>31229</v>
      </c>
      <c r="B344" t="n">
        <v>53.104</v>
      </c>
      <c r="C344" t="n">
        <v>53.973</v>
      </c>
      <c r="D344" t="n">
        <v/>
      </c>
      <c r="E344" t="n">
        <v>109.4</v>
      </c>
    </row>
    <row r="345">
      <c r="A345" s="103" t="n">
        <v>31260</v>
      </c>
      <c r="B345" t="n">
        <v>53.28</v>
      </c>
      <c r="C345" t="n">
        <v>54.237</v>
      </c>
      <c r="D345" t="n">
        <v/>
      </c>
      <c r="E345" t="n">
        <v>109.8</v>
      </c>
    </row>
    <row r="346">
      <c r="A346" s="103" t="n">
        <v>31291</v>
      </c>
      <c r="B346" t="n">
        <v>53.37</v>
      </c>
      <c r="C346" t="n">
        <v>54.349</v>
      </c>
      <c r="D346" t="n">
        <v/>
      </c>
      <c r="E346" t="n">
        <v>110</v>
      </c>
    </row>
    <row r="347">
      <c r="A347" s="103" t="n">
        <v>31321</v>
      </c>
      <c r="B347" t="n">
        <v>53.459</v>
      </c>
      <c r="C347" t="n">
        <v>54.436</v>
      </c>
      <c r="D347" t="n">
        <v/>
      </c>
      <c r="E347" t="n">
        <v>110.5</v>
      </c>
    </row>
    <row r="348">
      <c r="A348" s="103" t="n">
        <v>31352</v>
      </c>
      <c r="B348" t="n">
        <v>53.614</v>
      </c>
      <c r="C348" t="n">
        <v>54.57</v>
      </c>
      <c r="D348" t="n">
        <v/>
      </c>
      <c r="E348" t="n">
        <v>111.1</v>
      </c>
    </row>
    <row r="349">
      <c r="A349" s="103" t="n">
        <v>31382</v>
      </c>
      <c r="B349" t="n">
        <v>53.795</v>
      </c>
      <c r="C349" t="n">
        <v>54.718</v>
      </c>
      <c r="D349" t="n">
        <v/>
      </c>
      <c r="E349" t="n">
        <v>111.4</v>
      </c>
    </row>
    <row r="350">
      <c r="A350" s="103" t="n">
        <v>31413</v>
      </c>
      <c r="B350" t="n">
        <v>54.042</v>
      </c>
      <c r="C350" t="n">
        <v>55.014</v>
      </c>
      <c r="D350" t="n">
        <v/>
      </c>
      <c r="E350" t="n">
        <v>111.9</v>
      </c>
    </row>
    <row r="351">
      <c r="A351" s="103" t="n">
        <v>31444</v>
      </c>
      <c r="B351" t="n">
        <v>54.042</v>
      </c>
      <c r="C351" t="n">
        <v>55.156</v>
      </c>
      <c r="D351" t="n">
        <v/>
      </c>
      <c r="E351" t="n">
        <v>112.2</v>
      </c>
    </row>
    <row r="352">
      <c r="A352" s="103" t="n">
        <v>31472</v>
      </c>
      <c r="B352" t="n">
        <v>53.924</v>
      </c>
      <c r="C352" t="n">
        <v>55.324</v>
      </c>
      <c r="D352" t="n">
        <v/>
      </c>
      <c r="E352" t="n">
        <v>112.5</v>
      </c>
    </row>
    <row r="353">
      <c r="A353" s="103" t="n">
        <v>31503</v>
      </c>
      <c r="B353" t="n">
        <v>53.813</v>
      </c>
      <c r="C353" t="n">
        <v>55.424</v>
      </c>
      <c r="D353" t="n">
        <v/>
      </c>
      <c r="E353" t="n">
        <v>112.9</v>
      </c>
    </row>
    <row r="354">
      <c r="A354" s="103" t="n">
        <v>31533</v>
      </c>
      <c r="B354" t="n">
        <v>53.912</v>
      </c>
      <c r="C354" t="n">
        <v>55.518</v>
      </c>
      <c r="D354" t="n">
        <v/>
      </c>
      <c r="E354" t="n">
        <v>113.1</v>
      </c>
    </row>
    <row r="355">
      <c r="A355" s="103" t="n">
        <v>31564</v>
      </c>
      <c r="B355" t="n">
        <v>54.112</v>
      </c>
      <c r="C355" t="n">
        <v>55.685</v>
      </c>
      <c r="D355" t="n">
        <v/>
      </c>
      <c r="E355" t="n">
        <v>113.4</v>
      </c>
    </row>
    <row r="356">
      <c r="A356" s="103" t="n">
        <v>31594</v>
      </c>
      <c r="B356" t="n">
        <v>54.126</v>
      </c>
      <c r="C356" t="n">
        <v>55.786</v>
      </c>
      <c r="D356" t="n">
        <v/>
      </c>
      <c r="E356" t="n">
        <v>113.8</v>
      </c>
    </row>
    <row r="357">
      <c r="A357" s="103" t="n">
        <v>31625</v>
      </c>
      <c r="B357" t="n">
        <v>54.194</v>
      </c>
      <c r="C357" t="n">
        <v>55.901</v>
      </c>
      <c r="D357" t="n">
        <v/>
      </c>
      <c r="E357" t="n">
        <v>114.2</v>
      </c>
    </row>
    <row r="358">
      <c r="A358" s="103" t="n">
        <v>31656</v>
      </c>
      <c r="B358" t="n">
        <v>54.371</v>
      </c>
      <c r="C358" t="n">
        <v>56.085</v>
      </c>
      <c r="D358" t="n">
        <v/>
      </c>
      <c r="E358" t="n">
        <v>114.6</v>
      </c>
    </row>
    <row r="359">
      <c r="A359" s="103" t="n">
        <v>31686</v>
      </c>
      <c r="B359" t="n">
        <v>54.469</v>
      </c>
      <c r="C359" t="n">
        <v>56.274</v>
      </c>
      <c r="D359" t="n">
        <v/>
      </c>
      <c r="E359" t="n">
        <v>115</v>
      </c>
    </row>
    <row r="360">
      <c r="A360" s="103" t="n">
        <v>31717</v>
      </c>
      <c r="B360" t="n">
        <v>54.566</v>
      </c>
      <c r="C360" t="n">
        <v>56.394</v>
      </c>
      <c r="D360" t="n">
        <v/>
      </c>
      <c r="E360" t="n">
        <v>115.3</v>
      </c>
    </row>
    <row r="361">
      <c r="A361" s="103" t="n">
        <v>31747</v>
      </c>
      <c r="B361" t="n">
        <v>54.64</v>
      </c>
      <c r="C361" t="n">
        <v>56.466</v>
      </c>
      <c r="D361" t="n">
        <v/>
      </c>
      <c r="E361" t="n">
        <v>115.6</v>
      </c>
    </row>
    <row r="362">
      <c r="A362" s="103" t="n">
        <v>31778</v>
      </c>
      <c r="B362" t="n">
        <v>54.895</v>
      </c>
      <c r="C362" t="n">
        <v>56.601</v>
      </c>
      <c r="D362" t="n">
        <v/>
      </c>
      <c r="E362" t="n">
        <v>115.9</v>
      </c>
    </row>
    <row r="363">
      <c r="A363" s="103" t="n">
        <v>31809</v>
      </c>
      <c r="B363" t="n">
        <v>55.088</v>
      </c>
      <c r="C363" t="n">
        <v>56.714</v>
      </c>
      <c r="D363" t="n">
        <v/>
      </c>
      <c r="E363" t="n">
        <v>116.2</v>
      </c>
    </row>
    <row r="364">
      <c r="A364" s="103" t="n">
        <v>31837</v>
      </c>
      <c r="B364" t="n">
        <v>55.233</v>
      </c>
      <c r="C364" t="n">
        <v>56.882</v>
      </c>
      <c r="D364" t="n">
        <v/>
      </c>
      <c r="E364" t="n">
        <v>116.6</v>
      </c>
    </row>
    <row r="365">
      <c r="A365" s="103" t="n">
        <v>31868</v>
      </c>
      <c r="B365" t="n">
        <v>55.439</v>
      </c>
      <c r="C365" t="n">
        <v>57.123</v>
      </c>
      <c r="D365" t="n">
        <v/>
      </c>
      <c r="E365" t="n">
        <v>117.3</v>
      </c>
    </row>
    <row r="366">
      <c r="A366" s="103" t="n">
        <v>31898</v>
      </c>
      <c r="B366" t="n">
        <v>55.58</v>
      </c>
      <c r="C366" t="n">
        <v>57.283</v>
      </c>
      <c r="D366" t="n">
        <v/>
      </c>
      <c r="E366" t="n">
        <v>117.7</v>
      </c>
    </row>
    <row r="367">
      <c r="A367" s="103" t="n">
        <v>31929</v>
      </c>
      <c r="B367" t="n">
        <v>55.791</v>
      </c>
      <c r="C367" t="n">
        <v>57.441</v>
      </c>
      <c r="D367" t="n">
        <v/>
      </c>
      <c r="E367" t="n">
        <v>117.9</v>
      </c>
    </row>
    <row r="368">
      <c r="A368" s="103" t="n">
        <v>31959</v>
      </c>
      <c r="B368" t="n">
        <v>55.919</v>
      </c>
      <c r="C368" t="n">
        <v>57.589</v>
      </c>
      <c r="D368" t="n">
        <v/>
      </c>
      <c r="E368" t="n">
        <v>118.3</v>
      </c>
    </row>
    <row r="369">
      <c r="A369" s="103" t="n">
        <v>31990</v>
      </c>
      <c r="B369" t="n">
        <v>56.14</v>
      </c>
      <c r="C369" t="n">
        <v>57.783</v>
      </c>
      <c r="D369" t="n">
        <v/>
      </c>
      <c r="E369" t="n">
        <v>118.7</v>
      </c>
    </row>
    <row r="370">
      <c r="A370" s="103" t="n">
        <v>32021</v>
      </c>
      <c r="B370" t="n">
        <v>56.329</v>
      </c>
      <c r="C370" t="n">
        <v>58.012</v>
      </c>
      <c r="D370" t="n">
        <v/>
      </c>
      <c r="E370" t="n">
        <v>119.2</v>
      </c>
    </row>
    <row r="371">
      <c r="A371" s="103" t="n">
        <v>32051</v>
      </c>
      <c r="B371" t="n">
        <v>56.508</v>
      </c>
      <c r="C371" t="n">
        <v>58.26</v>
      </c>
      <c r="D371" t="n">
        <v/>
      </c>
      <c r="E371" t="n">
        <v>119.8</v>
      </c>
    </row>
    <row r="372">
      <c r="A372" s="103" t="n">
        <v>32082</v>
      </c>
      <c r="B372" t="n">
        <v>56.616</v>
      </c>
      <c r="C372" t="n">
        <v>58.382</v>
      </c>
      <c r="D372" t="n">
        <v/>
      </c>
      <c r="E372" t="n">
        <v>120.1</v>
      </c>
    </row>
    <row r="373">
      <c r="A373" s="103" t="n">
        <v>32112</v>
      </c>
      <c r="B373" t="n">
        <v>56.72</v>
      </c>
      <c r="C373" t="n">
        <v>58.505</v>
      </c>
      <c r="D373" t="n">
        <v/>
      </c>
      <c r="E373" t="n">
        <v>120.4</v>
      </c>
    </row>
    <row r="374">
      <c r="A374" s="103" t="n">
        <v>32143</v>
      </c>
      <c r="B374" t="n">
        <v>56.941</v>
      </c>
      <c r="C374" t="n">
        <v>58.781</v>
      </c>
      <c r="D374" t="n">
        <v/>
      </c>
      <c r="E374" t="n">
        <v>120.9</v>
      </c>
    </row>
    <row r="375">
      <c r="A375" s="103" t="n">
        <v>32174</v>
      </c>
      <c r="B375" t="n">
        <v>57.024</v>
      </c>
      <c r="C375" t="n">
        <v>58.902</v>
      </c>
      <c r="D375" t="n">
        <v/>
      </c>
      <c r="E375" t="n">
        <v>121.2</v>
      </c>
    </row>
    <row r="376">
      <c r="A376" s="103" t="n">
        <v>32203</v>
      </c>
      <c r="B376" t="n">
        <v>57.221</v>
      </c>
      <c r="C376" t="n">
        <v>59.154</v>
      </c>
      <c r="D376" t="n">
        <v/>
      </c>
      <c r="E376" t="n">
        <v>121.7</v>
      </c>
    </row>
    <row r="377">
      <c r="A377" s="103" t="n">
        <v>32234</v>
      </c>
      <c r="B377" t="n">
        <v>57.499</v>
      </c>
      <c r="C377" t="n">
        <v>59.441</v>
      </c>
      <c r="D377" t="n">
        <v/>
      </c>
      <c r="E377" t="n">
        <v>122.3</v>
      </c>
    </row>
    <row r="378">
      <c r="A378" s="103" t="n">
        <v>32264</v>
      </c>
      <c r="B378" t="n">
        <v>57.666</v>
      </c>
      <c r="C378" t="n">
        <v>59.644</v>
      </c>
      <c r="D378" t="n">
        <v/>
      </c>
      <c r="E378" t="n">
        <v>122.7</v>
      </c>
    </row>
    <row r="379">
      <c r="A379" s="103" t="n">
        <v>32295</v>
      </c>
      <c r="B379" t="n">
        <v>57.912</v>
      </c>
      <c r="C379" t="n">
        <v>59.896</v>
      </c>
      <c r="D379" t="n">
        <v/>
      </c>
      <c r="E379" t="n">
        <v>123.2</v>
      </c>
    </row>
    <row r="380">
      <c r="A380" s="103" t="n">
        <v>32325</v>
      </c>
      <c r="B380" t="n">
        <v>58.193</v>
      </c>
      <c r="C380" t="n">
        <v>60.14</v>
      </c>
      <c r="D380" t="n">
        <v/>
      </c>
      <c r="E380" t="n">
        <v>123.6</v>
      </c>
    </row>
    <row r="381">
      <c r="A381" s="103" t="n">
        <v>32356</v>
      </c>
      <c r="B381" t="n">
        <v>58.366</v>
      </c>
      <c r="C381" t="n">
        <v>60.289</v>
      </c>
      <c r="D381" t="n">
        <v/>
      </c>
      <c r="E381" t="n">
        <v>124</v>
      </c>
    </row>
    <row r="382">
      <c r="A382" s="103" t="n">
        <v>32387</v>
      </c>
      <c r="B382" t="n">
        <v>58.65</v>
      </c>
      <c r="C382" t="n">
        <v>60.613</v>
      </c>
      <c r="D382" t="n">
        <v/>
      </c>
      <c r="E382" t="n">
        <v>124.7</v>
      </c>
    </row>
    <row r="383">
      <c r="A383" s="103" t="n">
        <v>32417</v>
      </c>
      <c r="B383" t="n">
        <v>58.841</v>
      </c>
      <c r="C383" t="n">
        <v>60.843</v>
      </c>
      <c r="D383" t="n">
        <v/>
      </c>
      <c r="E383" t="n">
        <v>125.2</v>
      </c>
    </row>
    <row r="384">
      <c r="A384" s="103" t="n">
        <v>32448</v>
      </c>
      <c r="B384" t="n">
        <v>58.978</v>
      </c>
      <c r="C384" t="n">
        <v>61.01</v>
      </c>
      <c r="D384" t="n">
        <v/>
      </c>
      <c r="E384" t="n">
        <v>125.6</v>
      </c>
    </row>
    <row r="385">
      <c r="A385" s="103" t="n">
        <v>32478</v>
      </c>
      <c r="B385" t="n">
        <v>59.162</v>
      </c>
      <c r="C385" t="n">
        <v>61.212</v>
      </c>
      <c r="D385" t="n">
        <v/>
      </c>
      <c r="E385" t="n">
        <v>126</v>
      </c>
    </row>
    <row r="386">
      <c r="A386" s="103" t="n">
        <v>32509</v>
      </c>
      <c r="B386" t="n">
        <v>59.465</v>
      </c>
      <c r="C386" t="n">
        <v>61.522</v>
      </c>
      <c r="D386" t="n">
        <v/>
      </c>
      <c r="E386" t="n">
        <v>126.5</v>
      </c>
    </row>
    <row r="387">
      <c r="A387" s="103" t="n">
        <v>32540</v>
      </c>
      <c r="B387" t="n">
        <v>59.663</v>
      </c>
      <c r="C387" t="n">
        <v>61.678</v>
      </c>
      <c r="D387" t="n">
        <v/>
      </c>
      <c r="E387" t="n">
        <v>126.9</v>
      </c>
    </row>
    <row r="388">
      <c r="A388" s="103" t="n">
        <v>32568</v>
      </c>
      <c r="B388" t="n">
        <v>59.885</v>
      </c>
      <c r="C388" t="n">
        <v>61.863</v>
      </c>
      <c r="D388" t="n">
        <v/>
      </c>
      <c r="E388" t="n">
        <v>127.4</v>
      </c>
    </row>
    <row r="389">
      <c r="A389" s="103" t="n">
        <v>32599</v>
      </c>
      <c r="B389" t="n">
        <v>60.284</v>
      </c>
      <c r="C389" t="n">
        <v>62.07</v>
      </c>
      <c r="D389" t="n">
        <v/>
      </c>
      <c r="E389" t="n">
        <v>127.8</v>
      </c>
    </row>
    <row r="390">
      <c r="A390" s="103" t="n">
        <v>32629</v>
      </c>
      <c r="B390" t="n">
        <v>60.504</v>
      </c>
      <c r="C390" t="n">
        <v>62.256</v>
      </c>
      <c r="D390" t="n">
        <v/>
      </c>
      <c r="E390" t="n">
        <v>128.3</v>
      </c>
    </row>
    <row r="391">
      <c r="A391" s="103" t="n">
        <v>32660</v>
      </c>
      <c r="B391" t="n">
        <v>60.637</v>
      </c>
      <c r="C391" t="n">
        <v>62.42</v>
      </c>
      <c r="D391" t="n">
        <v/>
      </c>
      <c r="E391" t="n">
        <v>128.8</v>
      </c>
    </row>
    <row r="392">
      <c r="A392" s="103" t="n">
        <v>32690</v>
      </c>
      <c r="B392" t="n">
        <v>60.782</v>
      </c>
      <c r="C392" t="n">
        <v>62.581</v>
      </c>
      <c r="D392" t="n">
        <v/>
      </c>
      <c r="E392" t="n">
        <v>129.2</v>
      </c>
    </row>
    <row r="393">
      <c r="A393" s="103" t="n">
        <v>32721</v>
      </c>
      <c r="B393" t="n">
        <v>60.789</v>
      </c>
      <c r="C393" t="n">
        <v>62.669</v>
      </c>
      <c r="D393" t="n">
        <v/>
      </c>
      <c r="E393" t="n">
        <v>129.5</v>
      </c>
    </row>
    <row r="394">
      <c r="A394" s="103" t="n">
        <v>32752</v>
      </c>
      <c r="B394" t="n">
        <v>60.924</v>
      </c>
      <c r="C394" t="n">
        <v>62.886</v>
      </c>
      <c r="D394" t="n">
        <v/>
      </c>
      <c r="E394" t="n">
        <v>129.9</v>
      </c>
    </row>
    <row r="395">
      <c r="A395" s="103" t="n">
        <v>32782</v>
      </c>
      <c r="B395" t="n">
        <v>61.162</v>
      </c>
      <c r="C395" t="n">
        <v>63.114</v>
      </c>
      <c r="D395" t="n">
        <v/>
      </c>
      <c r="E395" t="n">
        <v>130.6</v>
      </c>
    </row>
    <row r="396">
      <c r="A396" s="103" t="n">
        <v>32813</v>
      </c>
      <c r="B396" t="n">
        <v>61.296</v>
      </c>
      <c r="C396" t="n">
        <v>63.282</v>
      </c>
      <c r="D396" t="n">
        <v/>
      </c>
      <c r="E396" t="n">
        <v>131.1</v>
      </c>
    </row>
    <row r="397">
      <c r="A397" s="103" t="n">
        <v>32843</v>
      </c>
      <c r="B397" t="n">
        <v>61.473</v>
      </c>
      <c r="C397" t="n">
        <v>63.462</v>
      </c>
      <c r="D397" t="n">
        <v/>
      </c>
      <c r="E397" t="n">
        <v>131.6</v>
      </c>
    </row>
    <row r="398">
      <c r="A398" s="103" t="n">
        <v>32874</v>
      </c>
      <c r="B398" t="n">
        <v>61.939</v>
      </c>
      <c r="C398" t="n">
        <v>63.706</v>
      </c>
      <c r="D398" t="n">
        <v/>
      </c>
      <c r="E398" t="n">
        <v>132.1</v>
      </c>
    </row>
    <row r="399">
      <c r="A399" s="103" t="n">
        <v>32905</v>
      </c>
      <c r="B399" t="n">
        <v>62.212</v>
      </c>
      <c r="C399" t="n">
        <v>64.01600000000001</v>
      </c>
      <c r="D399" t="n">
        <v/>
      </c>
      <c r="E399" t="n">
        <v>132.7</v>
      </c>
    </row>
    <row r="400">
      <c r="A400" s="103" t="n">
        <v>32933</v>
      </c>
      <c r="B400" t="n">
        <v>62.446</v>
      </c>
      <c r="C400" t="n">
        <v>64.32299999999999</v>
      </c>
      <c r="D400" t="n">
        <v/>
      </c>
      <c r="E400" t="n">
        <v>133.5</v>
      </c>
    </row>
    <row r="401">
      <c r="A401" s="103" t="n">
        <v>32964</v>
      </c>
      <c r="B401" t="n">
        <v>62.577</v>
      </c>
      <c r="C401" t="n">
        <v>64.515</v>
      </c>
      <c r="D401" t="n">
        <v/>
      </c>
      <c r="E401" t="n">
        <v>134</v>
      </c>
    </row>
    <row r="402">
      <c r="A402" s="103" t="n">
        <v>32994</v>
      </c>
      <c r="B402" t="n">
        <v>62.718</v>
      </c>
      <c r="C402" t="n">
        <v>64.712</v>
      </c>
      <c r="D402" t="n">
        <v/>
      </c>
      <c r="E402" t="n">
        <v>134.4</v>
      </c>
    </row>
    <row r="403">
      <c r="A403" s="103" t="n">
        <v>33025</v>
      </c>
      <c r="B403" t="n">
        <v>62.995</v>
      </c>
      <c r="C403" t="n">
        <v>64.96299999999999</v>
      </c>
      <c r="D403" t="n">
        <v/>
      </c>
      <c r="E403" t="n">
        <v>135.1</v>
      </c>
    </row>
    <row r="404">
      <c r="A404" s="103" t="n">
        <v>33055</v>
      </c>
      <c r="B404" t="n">
        <v>63.151</v>
      </c>
      <c r="C404" t="n">
        <v>65.128</v>
      </c>
      <c r="D404" t="n">
        <v/>
      </c>
      <c r="E404" t="n">
        <v>135.8</v>
      </c>
    </row>
    <row r="405">
      <c r="A405" s="103" t="n">
        <v>33086</v>
      </c>
      <c r="B405" t="n">
        <v>63.571</v>
      </c>
      <c r="C405" t="n">
        <v>65.398</v>
      </c>
      <c r="D405" t="n">
        <v/>
      </c>
      <c r="E405" t="n">
        <v>136.6</v>
      </c>
    </row>
    <row r="406">
      <c r="A406" s="103" t="n">
        <v>33117</v>
      </c>
      <c r="B406" t="n">
        <v>63.961</v>
      </c>
      <c r="C406" t="n">
        <v>65.627</v>
      </c>
      <c r="D406" t="n">
        <v/>
      </c>
      <c r="E406" t="n">
        <v>137.1</v>
      </c>
    </row>
    <row r="407">
      <c r="A407" s="103" t="n">
        <v>33147</v>
      </c>
      <c r="B407" t="n">
        <v>64.327</v>
      </c>
      <c r="C407" t="n">
        <v>65.84999999999999</v>
      </c>
      <c r="D407" t="n">
        <v/>
      </c>
      <c r="E407" t="n">
        <v>137.6</v>
      </c>
    </row>
    <row r="408">
      <c r="A408" s="103" t="n">
        <v>33178</v>
      </c>
      <c r="B408" t="n">
        <v>64.40900000000001</v>
      </c>
      <c r="C408" t="n">
        <v>65.929</v>
      </c>
      <c r="D408" t="n">
        <v/>
      </c>
      <c r="E408" t="n">
        <v>138</v>
      </c>
    </row>
    <row r="409">
      <c r="A409" s="103" t="n">
        <v>33208</v>
      </c>
      <c r="B409" t="n">
        <v>64.46899999999999</v>
      </c>
      <c r="C409" t="n">
        <v>66.021</v>
      </c>
      <c r="D409" t="n">
        <v/>
      </c>
      <c r="E409" t="n">
        <v>138.6</v>
      </c>
    </row>
    <row r="410">
      <c r="A410" s="103" t="n">
        <v>33239</v>
      </c>
      <c r="B410" t="n">
        <v>64.714</v>
      </c>
      <c r="C410" t="n">
        <v>66.34999999999999</v>
      </c>
      <c r="D410" t="n">
        <v/>
      </c>
      <c r="E410" t="n">
        <v>139.5</v>
      </c>
    </row>
    <row r="411">
      <c r="A411" s="103" t="n">
        <v>33270</v>
      </c>
      <c r="B411" t="n">
        <v>64.747</v>
      </c>
      <c r="C411" t="n">
        <v>66.533</v>
      </c>
      <c r="D411" t="n">
        <v/>
      </c>
      <c r="E411" t="n">
        <v>140.2</v>
      </c>
    </row>
    <row r="412">
      <c r="A412" s="103" t="n">
        <v>33298</v>
      </c>
      <c r="B412" t="n">
        <v>64.76000000000001</v>
      </c>
      <c r="C412" t="n">
        <v>66.672</v>
      </c>
      <c r="D412" t="n">
        <v/>
      </c>
      <c r="E412" t="n">
        <v>140.5</v>
      </c>
    </row>
    <row r="413">
      <c r="A413" s="103" t="n">
        <v>33329</v>
      </c>
      <c r="B413" t="n">
        <v>64.878</v>
      </c>
      <c r="C413" t="n">
        <v>66.80500000000001</v>
      </c>
      <c r="D413" t="n">
        <v/>
      </c>
      <c r="E413" t="n">
        <v>140.9</v>
      </c>
    </row>
    <row r="414">
      <c r="A414" s="103" t="n">
        <v>33359</v>
      </c>
      <c r="B414" t="n">
        <v>65.14700000000001</v>
      </c>
      <c r="C414" t="n">
        <v>67.072</v>
      </c>
      <c r="D414" t="n">
        <v/>
      </c>
      <c r="E414" t="n">
        <v>141.3</v>
      </c>
    </row>
    <row r="415">
      <c r="A415" s="103" t="n">
        <v>33390</v>
      </c>
      <c r="B415" t="n">
        <v>65.25700000000001</v>
      </c>
      <c r="C415" t="n">
        <v>67.21599999999999</v>
      </c>
      <c r="D415" t="n">
        <v/>
      </c>
      <c r="E415" t="n">
        <v>141.8</v>
      </c>
    </row>
    <row r="416">
      <c r="A416" s="103" t="n">
        <v>33420</v>
      </c>
      <c r="B416" t="n">
        <v>65.36</v>
      </c>
      <c r="C416" t="n">
        <v>67.42100000000001</v>
      </c>
      <c r="D416" t="n">
        <v/>
      </c>
      <c r="E416" t="n">
        <v>142.3</v>
      </c>
    </row>
    <row r="417">
      <c r="A417" s="103" t="n">
        <v>33451</v>
      </c>
      <c r="B417" t="n">
        <v>65.511</v>
      </c>
      <c r="C417" t="n">
        <v>67.60599999999999</v>
      </c>
      <c r="D417" t="n">
        <v/>
      </c>
      <c r="E417" t="n">
        <v>142.9</v>
      </c>
    </row>
    <row r="418">
      <c r="A418" s="103" t="n">
        <v>33482</v>
      </c>
      <c r="B418" t="n">
        <v>65.73699999999999</v>
      </c>
      <c r="C418" t="n">
        <v>67.877</v>
      </c>
      <c r="D418" t="n">
        <v/>
      </c>
      <c r="E418" t="n">
        <v>143.4</v>
      </c>
    </row>
    <row r="419">
      <c r="A419" s="103" t="n">
        <v>33512</v>
      </c>
      <c r="B419" t="n">
        <v>65.86</v>
      </c>
      <c r="C419" t="n">
        <v>68.026</v>
      </c>
      <c r="D419" t="n">
        <v/>
      </c>
      <c r="E419" t="n">
        <v>143.7</v>
      </c>
    </row>
    <row r="420">
      <c r="A420" s="103" t="n">
        <v>33543</v>
      </c>
      <c r="B420" t="n">
        <v>66.005</v>
      </c>
      <c r="C420" t="n">
        <v>68.15300000000001</v>
      </c>
      <c r="D420" t="n">
        <v/>
      </c>
      <c r="E420" t="n">
        <v>144.2</v>
      </c>
    </row>
    <row r="421">
      <c r="A421" s="103" t="n">
        <v>33573</v>
      </c>
      <c r="B421" t="n">
        <v>66.17</v>
      </c>
      <c r="C421" t="n">
        <v>68.321</v>
      </c>
      <c r="D421" t="n">
        <v/>
      </c>
      <c r="E421" t="n">
        <v>144.7</v>
      </c>
    </row>
    <row r="422">
      <c r="A422" s="103" t="n">
        <v>33604</v>
      </c>
      <c r="B422" t="n">
        <v>66.26000000000001</v>
      </c>
      <c r="C422" t="n">
        <v>68.50700000000001</v>
      </c>
      <c r="D422" t="n">
        <v/>
      </c>
      <c r="E422" t="n">
        <v>145.1</v>
      </c>
    </row>
    <row r="423">
      <c r="A423" s="103" t="n">
        <v>33635</v>
      </c>
      <c r="B423" t="n">
        <v>66.428</v>
      </c>
      <c r="C423" t="n">
        <v>68.693</v>
      </c>
      <c r="D423" t="n">
        <v/>
      </c>
      <c r="E423" t="n">
        <v>145.4</v>
      </c>
    </row>
    <row r="424">
      <c r="A424" s="103" t="n">
        <v>33664</v>
      </c>
      <c r="B424" t="n">
        <v>66.589</v>
      </c>
      <c r="C424" t="n">
        <v>68.86499999999999</v>
      </c>
      <c r="D424" t="n">
        <v/>
      </c>
      <c r="E424" t="n">
        <v>145.9</v>
      </c>
    </row>
    <row r="425">
      <c r="A425" s="103" t="n">
        <v>33695</v>
      </c>
      <c r="B425" t="n">
        <v>66.76900000000001</v>
      </c>
      <c r="C425" t="n">
        <v>69.09099999999999</v>
      </c>
      <c r="D425" t="n">
        <v/>
      </c>
      <c r="E425" t="n">
        <v>146.3</v>
      </c>
    </row>
    <row r="426">
      <c r="A426" s="103" t="n">
        <v>33725</v>
      </c>
      <c r="B426" t="n">
        <v>66.857</v>
      </c>
      <c r="C426" t="n">
        <v>69.188</v>
      </c>
      <c r="D426" t="n">
        <v/>
      </c>
      <c r="E426" t="n">
        <v>146.8</v>
      </c>
    </row>
    <row r="427">
      <c r="A427" s="103" t="n">
        <v>33756</v>
      </c>
      <c r="B427" t="n">
        <v>66.976</v>
      </c>
      <c r="C427" t="n">
        <v>69.242</v>
      </c>
      <c r="D427" t="n">
        <v/>
      </c>
      <c r="E427" t="n">
        <v>147.1</v>
      </c>
    </row>
    <row r="428">
      <c r="A428" s="103" t="n">
        <v>33786</v>
      </c>
      <c r="B428" t="n">
        <v>67.197</v>
      </c>
      <c r="C428" t="n">
        <v>69.503</v>
      </c>
      <c r="D428" t="n">
        <v/>
      </c>
      <c r="E428" t="n">
        <v>147.6</v>
      </c>
    </row>
    <row r="429">
      <c r="A429" s="103" t="n">
        <v>33817</v>
      </c>
      <c r="B429" t="n">
        <v>67.28700000000001</v>
      </c>
      <c r="C429" t="n">
        <v>69.56699999999999</v>
      </c>
      <c r="D429" t="n">
        <v/>
      </c>
      <c r="E429" t="n">
        <v>147.9</v>
      </c>
    </row>
    <row r="430">
      <c r="A430" s="103" t="n">
        <v>33848</v>
      </c>
      <c r="B430" t="n">
        <v>67.39700000000001</v>
      </c>
      <c r="C430" t="n">
        <v>69.68000000000001</v>
      </c>
      <c r="D430" t="n">
        <v/>
      </c>
      <c r="E430" t="n">
        <v>148.1</v>
      </c>
    </row>
    <row r="431">
      <c r="A431" s="103" t="n">
        <v>33878</v>
      </c>
      <c r="B431" t="n">
        <v>67.63500000000001</v>
      </c>
      <c r="C431" t="n">
        <v>69.94799999999999</v>
      </c>
      <c r="D431" t="n">
        <v/>
      </c>
      <c r="E431" t="n">
        <v>148.8</v>
      </c>
    </row>
    <row r="432">
      <c r="A432" s="103" t="n">
        <v>33909</v>
      </c>
      <c r="B432" t="n">
        <v>67.768</v>
      </c>
      <c r="C432" t="n">
        <v>70.101</v>
      </c>
      <c r="D432" t="n">
        <v/>
      </c>
      <c r="E432" t="n">
        <v>149.2</v>
      </c>
    </row>
    <row r="433">
      <c r="A433" s="103" t="n">
        <v>33939</v>
      </c>
      <c r="B433" t="n">
        <v>67.886</v>
      </c>
      <c r="C433" t="n">
        <v>70.23099999999999</v>
      </c>
      <c r="D433" t="n">
        <v/>
      </c>
      <c r="E433" t="n">
        <v>149.6</v>
      </c>
    </row>
    <row r="434">
      <c r="A434" s="103" t="n">
        <v>33970</v>
      </c>
      <c r="B434" t="n">
        <v>68.05200000000001</v>
      </c>
      <c r="C434" t="n">
        <v>70.435</v>
      </c>
      <c r="D434" t="n">
        <v/>
      </c>
      <c r="E434" t="n">
        <v>150.1</v>
      </c>
    </row>
    <row r="435">
      <c r="A435" s="103" t="n">
        <v>34001</v>
      </c>
      <c r="B435" t="n">
        <v>68.154</v>
      </c>
      <c r="C435" t="n">
        <v>70.56999999999999</v>
      </c>
      <c r="D435" t="n">
        <v/>
      </c>
      <c r="E435" t="n">
        <v>150.6</v>
      </c>
    </row>
    <row r="436">
      <c r="A436" s="103" t="n">
        <v>34029</v>
      </c>
      <c r="B436" t="n">
        <v>68.294</v>
      </c>
      <c r="C436" t="n">
        <v>70.723</v>
      </c>
      <c r="D436" t="n">
        <v/>
      </c>
      <c r="E436" t="n">
        <v>150.8</v>
      </c>
    </row>
    <row r="437">
      <c r="A437" s="103" t="n">
        <v>34060</v>
      </c>
      <c r="B437" t="n">
        <v>68.47499999999999</v>
      </c>
      <c r="C437" t="n">
        <v>70.929</v>
      </c>
      <c r="D437" t="n">
        <v/>
      </c>
      <c r="E437" t="n">
        <v>151.4</v>
      </c>
    </row>
    <row r="438">
      <c r="A438" s="103" t="n">
        <v>34090</v>
      </c>
      <c r="B438" t="n">
        <v>68.687</v>
      </c>
      <c r="C438" t="n">
        <v>71.169</v>
      </c>
      <c r="D438" t="n">
        <v/>
      </c>
      <c r="E438" t="n">
        <v>151.8</v>
      </c>
    </row>
    <row r="439">
      <c r="A439" s="103" t="n">
        <v>34121</v>
      </c>
      <c r="B439" t="n">
        <v>68.711</v>
      </c>
      <c r="C439" t="n">
        <v>71.23699999999999</v>
      </c>
      <c r="D439" t="n">
        <v/>
      </c>
      <c r="E439" t="n">
        <v>152.1</v>
      </c>
    </row>
    <row r="440">
      <c r="A440" s="103" t="n">
        <v>34151</v>
      </c>
      <c r="B440" t="n">
        <v>68.81999999999999</v>
      </c>
      <c r="C440" t="n">
        <v>71.38500000000001</v>
      </c>
      <c r="D440" t="n">
        <v/>
      </c>
      <c r="E440" t="n">
        <v>152.3</v>
      </c>
    </row>
    <row r="441">
      <c r="A441" s="103" t="n">
        <v>34182</v>
      </c>
      <c r="B441" t="n">
        <v>68.938</v>
      </c>
      <c r="C441" t="n">
        <v>71.518</v>
      </c>
      <c r="D441" t="n">
        <v/>
      </c>
      <c r="E441" t="n">
        <v>152.8</v>
      </c>
    </row>
    <row r="442">
      <c r="A442" s="103" t="n">
        <v>34213</v>
      </c>
      <c r="B442" t="n">
        <v>69.01000000000001</v>
      </c>
      <c r="C442" t="n">
        <v>71.625</v>
      </c>
      <c r="D442" t="n">
        <v/>
      </c>
      <c r="E442" t="n">
        <v>152.9</v>
      </c>
    </row>
    <row r="443">
      <c r="A443" s="103" t="n">
        <v>34243</v>
      </c>
      <c r="B443" t="n">
        <v>69.227</v>
      </c>
      <c r="C443" t="n">
        <v>71.744</v>
      </c>
      <c r="D443" t="n">
        <v/>
      </c>
      <c r="E443" t="n">
        <v>153.4</v>
      </c>
    </row>
    <row r="444">
      <c r="A444" s="103" t="n">
        <v>34274</v>
      </c>
      <c r="B444" t="n">
        <v>69.358</v>
      </c>
      <c r="C444" t="n">
        <v>71.928</v>
      </c>
      <c r="D444" t="n">
        <v/>
      </c>
      <c r="E444" t="n">
        <v>153.9</v>
      </c>
    </row>
    <row r="445">
      <c r="A445" s="103" t="n">
        <v>34304</v>
      </c>
      <c r="B445" t="n">
        <v>69.374</v>
      </c>
      <c r="C445" t="n">
        <v>71.95999999999999</v>
      </c>
      <c r="D445" t="n">
        <v/>
      </c>
      <c r="E445" t="n">
        <v>154.3</v>
      </c>
    </row>
    <row r="446">
      <c r="A446" s="103" t="n">
        <v>34335</v>
      </c>
      <c r="B446" t="n">
        <v>69.39700000000001</v>
      </c>
      <c r="C446" t="n">
        <v>72.018</v>
      </c>
      <c r="D446" t="n">
        <v/>
      </c>
      <c r="E446" t="n">
        <v>154.5</v>
      </c>
    </row>
    <row r="447">
      <c r="A447" s="103" t="n">
        <v>34366</v>
      </c>
      <c r="B447" t="n">
        <v>69.55800000000001</v>
      </c>
      <c r="C447" t="n">
        <v>72.173</v>
      </c>
      <c r="D447" t="n">
        <v/>
      </c>
      <c r="E447" t="n">
        <v>154.8</v>
      </c>
    </row>
    <row r="448">
      <c r="A448" s="103" t="n">
        <v>34394</v>
      </c>
      <c r="B448" t="n">
        <v>69.75</v>
      </c>
      <c r="C448" t="n">
        <v>72.42</v>
      </c>
      <c r="D448" t="n">
        <v/>
      </c>
      <c r="E448" t="n">
        <v>155.3</v>
      </c>
    </row>
    <row r="449">
      <c r="A449" s="103" t="n">
        <v>34425</v>
      </c>
      <c r="B449" t="n">
        <v>69.83199999999999</v>
      </c>
      <c r="C449" t="n">
        <v>72.52800000000001</v>
      </c>
      <c r="D449" t="n">
        <v/>
      </c>
      <c r="E449" t="n">
        <v>155.5</v>
      </c>
    </row>
    <row r="450">
      <c r="A450" s="103" t="n">
        <v>34455</v>
      </c>
      <c r="B450" t="n">
        <v>69.93300000000001</v>
      </c>
      <c r="C450" t="n">
        <v>72.69</v>
      </c>
      <c r="D450" t="n">
        <v/>
      </c>
      <c r="E450" t="n">
        <v>155.9</v>
      </c>
    </row>
    <row r="451">
      <c r="A451" s="103" t="n">
        <v>34486</v>
      </c>
      <c r="B451" t="n">
        <v>70.104</v>
      </c>
      <c r="C451" t="n">
        <v>72.851</v>
      </c>
      <c r="D451" t="n">
        <v/>
      </c>
      <c r="E451" t="n">
        <v>156.4</v>
      </c>
    </row>
    <row r="452">
      <c r="A452" s="103" t="n">
        <v>34516</v>
      </c>
      <c r="B452" t="n">
        <v>70.325</v>
      </c>
      <c r="C452" t="n">
        <v>73.004</v>
      </c>
      <c r="D452" t="n">
        <v/>
      </c>
      <c r="E452" t="n">
        <v>156.7</v>
      </c>
    </row>
    <row r="453">
      <c r="A453" s="103" t="n">
        <v>34547</v>
      </c>
      <c r="B453" t="n">
        <v>70.486</v>
      </c>
      <c r="C453" t="n">
        <v>73.086</v>
      </c>
      <c r="D453" t="n">
        <v/>
      </c>
      <c r="E453" t="n">
        <v>157.1</v>
      </c>
    </row>
    <row r="454">
      <c r="A454" s="103" t="n">
        <v>34578</v>
      </c>
      <c r="B454" t="n">
        <v>70.565</v>
      </c>
      <c r="C454" t="n">
        <v>73.197</v>
      </c>
      <c r="D454" t="n">
        <v/>
      </c>
      <c r="E454" t="n">
        <v>157.5</v>
      </c>
    </row>
    <row r="455">
      <c r="A455" s="103" t="n">
        <v>34608</v>
      </c>
      <c r="B455" t="n">
        <v>70.684</v>
      </c>
      <c r="C455" t="n">
        <v>73.369</v>
      </c>
      <c r="D455" t="n">
        <v/>
      </c>
      <c r="E455" t="n">
        <v>157.8</v>
      </c>
    </row>
    <row r="456">
      <c r="A456" s="103" t="n">
        <v>34639</v>
      </c>
      <c r="B456" t="n">
        <v>70.819</v>
      </c>
      <c r="C456" t="n">
        <v>73.503</v>
      </c>
      <c r="D456" t="n">
        <v/>
      </c>
      <c r="E456" t="n">
        <v>158.2</v>
      </c>
    </row>
    <row r="457">
      <c r="A457" s="103" t="n">
        <v>34669</v>
      </c>
      <c r="B457" t="n">
        <v>70.86499999999999</v>
      </c>
      <c r="C457" t="n">
        <v>73.52800000000001</v>
      </c>
      <c r="D457" t="n">
        <v/>
      </c>
      <c r="E457" t="n">
        <v>158.3</v>
      </c>
    </row>
    <row r="458">
      <c r="A458" s="103" t="n">
        <v>34700</v>
      </c>
      <c r="B458" t="n">
        <v>71.008</v>
      </c>
      <c r="C458" t="n">
        <v>73.711</v>
      </c>
      <c r="D458" t="n">
        <v/>
      </c>
      <c r="E458" t="n">
        <v>159</v>
      </c>
    </row>
    <row r="459">
      <c r="A459" s="103" t="n">
        <v>34731</v>
      </c>
      <c r="B459" t="n">
        <v>71.134</v>
      </c>
      <c r="C459" t="n">
        <v>73.831</v>
      </c>
      <c r="D459" t="n">
        <v/>
      </c>
      <c r="E459" t="n">
        <v>159.4</v>
      </c>
    </row>
    <row r="460">
      <c r="A460" s="103" t="n">
        <v>34759</v>
      </c>
      <c r="B460" t="n">
        <v>71.265</v>
      </c>
      <c r="C460" t="n">
        <v>74.01300000000001</v>
      </c>
      <c r="D460" t="n">
        <v/>
      </c>
      <c r="E460" t="n">
        <v>159.9</v>
      </c>
    </row>
    <row r="461">
      <c r="A461" s="103" t="n">
        <v>34790</v>
      </c>
      <c r="B461" t="n">
        <v>71.453</v>
      </c>
      <c r="C461" t="n">
        <v>74.184</v>
      </c>
      <c r="D461" t="n">
        <v/>
      </c>
      <c r="E461" t="n">
        <v>160.4</v>
      </c>
    </row>
    <row r="462">
      <c r="A462" s="103" t="n">
        <v>34820</v>
      </c>
      <c r="B462" t="n">
        <v>71.563</v>
      </c>
      <c r="C462" t="n">
        <v>74.31100000000001</v>
      </c>
      <c r="D462" t="n">
        <v/>
      </c>
      <c r="E462" t="n">
        <v>160.7</v>
      </c>
    </row>
    <row r="463">
      <c r="A463" s="103" t="n">
        <v>34851</v>
      </c>
      <c r="B463" t="n">
        <v>71.633</v>
      </c>
      <c r="C463" t="n">
        <v>74.375</v>
      </c>
      <c r="D463" t="n">
        <v/>
      </c>
      <c r="E463" t="n">
        <v>161.1</v>
      </c>
    </row>
    <row r="464">
      <c r="A464" s="103" t="n">
        <v>34881</v>
      </c>
      <c r="B464" t="n">
        <v>71.72199999999999</v>
      </c>
      <c r="C464" t="n">
        <v>74.49299999999999</v>
      </c>
      <c r="D464" t="n">
        <v/>
      </c>
      <c r="E464" t="n">
        <v>161.4</v>
      </c>
    </row>
    <row r="465">
      <c r="A465" s="103" t="n">
        <v>34912</v>
      </c>
      <c r="B465" t="n">
        <v>71.877</v>
      </c>
      <c r="C465" t="n">
        <v>74.67100000000001</v>
      </c>
      <c r="D465" t="n">
        <v/>
      </c>
      <c r="E465" t="n">
        <v>161.8</v>
      </c>
    </row>
    <row r="466">
      <c r="A466" s="103" t="n">
        <v>34943</v>
      </c>
      <c r="B466" t="n">
        <v>71.926</v>
      </c>
      <c r="C466" t="n">
        <v>74.77</v>
      </c>
      <c r="D466" t="n">
        <v/>
      </c>
      <c r="E466" t="n">
        <v>162.2</v>
      </c>
    </row>
    <row r="467">
      <c r="A467" s="103" t="n">
        <v>34973</v>
      </c>
      <c r="B467" t="n">
        <v>72.113</v>
      </c>
      <c r="C467" t="n">
        <v>74.952</v>
      </c>
      <c r="D467" t="n">
        <v/>
      </c>
      <c r="E467" t="n">
        <v>162.7</v>
      </c>
    </row>
    <row r="468">
      <c r="A468" s="103" t="n">
        <v>35004</v>
      </c>
      <c r="B468" t="n">
        <v>72.111</v>
      </c>
      <c r="C468" t="n">
        <v>75</v>
      </c>
      <c r="D468" t="n">
        <v/>
      </c>
      <c r="E468" t="n">
        <v>163</v>
      </c>
    </row>
    <row r="469">
      <c r="A469" s="103" t="n">
        <v>35034</v>
      </c>
      <c r="B469" t="n">
        <v>72.249</v>
      </c>
      <c r="C469" t="n">
        <v>75.105</v>
      </c>
      <c r="D469" t="n">
        <v/>
      </c>
      <c r="E469" t="n">
        <v>163.1</v>
      </c>
    </row>
    <row r="470">
      <c r="A470" s="103" t="n">
        <v>35065</v>
      </c>
      <c r="B470" t="n">
        <v>72.41</v>
      </c>
      <c r="C470" t="n">
        <v>75.19</v>
      </c>
      <c r="D470" t="n">
        <v/>
      </c>
      <c r="E470" t="n">
        <v>163.7</v>
      </c>
    </row>
    <row r="471">
      <c r="A471" s="103" t="n">
        <v>35096</v>
      </c>
      <c r="B471" t="n">
        <v>72.524</v>
      </c>
      <c r="C471" t="n">
        <v>75.288</v>
      </c>
      <c r="D471" t="n">
        <v/>
      </c>
      <c r="E471" t="n">
        <v>164</v>
      </c>
    </row>
    <row r="472">
      <c r="A472" s="103" t="n">
        <v>35125</v>
      </c>
      <c r="B472" t="n">
        <v>72.74299999999999</v>
      </c>
      <c r="C472" t="n">
        <v>75.462</v>
      </c>
      <c r="D472" t="n">
        <v/>
      </c>
      <c r="E472" t="n">
        <v>164.4</v>
      </c>
    </row>
    <row r="473">
      <c r="A473" s="103" t="n">
        <v>35156</v>
      </c>
      <c r="B473" t="n">
        <v>72.961</v>
      </c>
      <c r="C473" t="n">
        <v>75.565</v>
      </c>
      <c r="D473" t="n">
        <v/>
      </c>
      <c r="E473" t="n">
        <v>164.6</v>
      </c>
    </row>
    <row r="474">
      <c r="A474" s="103" t="n">
        <v>35186</v>
      </c>
      <c r="B474" t="n">
        <v>73.087</v>
      </c>
      <c r="C474" t="n">
        <v>75.696</v>
      </c>
      <c r="D474" t="n">
        <v/>
      </c>
      <c r="E474" t="n">
        <v>165</v>
      </c>
    </row>
    <row r="475">
      <c r="A475" s="103" t="n">
        <v>35217</v>
      </c>
      <c r="B475" t="n">
        <v>73.086</v>
      </c>
      <c r="C475" t="n">
        <v>75.754</v>
      </c>
      <c r="D475" t="n">
        <v/>
      </c>
      <c r="E475" t="n">
        <v>165.4</v>
      </c>
    </row>
    <row r="476">
      <c r="A476" s="103" t="n">
        <v>35247</v>
      </c>
      <c r="B476" t="n">
        <v>73.241</v>
      </c>
      <c r="C476" t="n">
        <v>75.89700000000001</v>
      </c>
      <c r="D476" t="n">
        <v/>
      </c>
      <c r="E476" t="n">
        <v>165.7</v>
      </c>
    </row>
    <row r="477">
      <c r="A477" s="103" t="n">
        <v>35278</v>
      </c>
      <c r="B477" t="n">
        <v>73.31</v>
      </c>
      <c r="C477" t="n">
        <v>75.962</v>
      </c>
      <c r="D477" t="n">
        <v/>
      </c>
      <c r="E477" t="n">
        <v>166</v>
      </c>
    </row>
    <row r="478">
      <c r="A478" s="103" t="n">
        <v>35309</v>
      </c>
      <c r="B478" t="n">
        <v>73.517</v>
      </c>
      <c r="C478" t="n">
        <v>76.19199999999999</v>
      </c>
      <c r="D478" t="n">
        <v/>
      </c>
      <c r="E478" t="n">
        <v>166.5</v>
      </c>
    </row>
    <row r="479">
      <c r="A479" s="103" t="n">
        <v>35339</v>
      </c>
      <c r="B479" t="n">
        <v>73.73999999999999</v>
      </c>
      <c r="C479" t="n">
        <v>76.373</v>
      </c>
      <c r="D479" t="n">
        <v/>
      </c>
      <c r="E479" t="n">
        <v>166.8</v>
      </c>
    </row>
    <row r="480">
      <c r="A480" s="103" t="n">
        <v>35370</v>
      </c>
      <c r="B480" t="n">
        <v>73.871</v>
      </c>
      <c r="C480" t="n">
        <v>76.473</v>
      </c>
      <c r="D480" t="n">
        <v/>
      </c>
      <c r="E480" t="n">
        <v>167.2</v>
      </c>
    </row>
    <row r="481">
      <c r="A481" s="103" t="n">
        <v>35400</v>
      </c>
      <c r="B481" t="n">
        <v>73.956</v>
      </c>
      <c r="C481" t="n">
        <v>76.503</v>
      </c>
      <c r="D481" t="n">
        <v/>
      </c>
      <c r="E481" t="n">
        <v>167.4</v>
      </c>
    </row>
    <row r="482">
      <c r="A482" s="103" t="n">
        <v>35431</v>
      </c>
      <c r="B482" t="n">
        <v>74.05200000000001</v>
      </c>
      <c r="C482" t="n">
        <v>76.584</v>
      </c>
      <c r="D482" t="n">
        <v/>
      </c>
      <c r="E482" t="n">
        <v>167.8</v>
      </c>
    </row>
    <row r="483">
      <c r="A483" s="103" t="n">
        <v>35462</v>
      </c>
      <c r="B483" t="n">
        <v>74.208</v>
      </c>
      <c r="C483" t="n">
        <v>76.741</v>
      </c>
      <c r="D483" t="n">
        <v/>
      </c>
      <c r="E483" t="n">
        <v>168.1</v>
      </c>
    </row>
    <row r="484">
      <c r="A484" s="103" t="n">
        <v>35490</v>
      </c>
      <c r="B484" t="n">
        <v>74.286</v>
      </c>
      <c r="C484" t="n">
        <v>76.925</v>
      </c>
      <c r="D484" t="n">
        <v/>
      </c>
      <c r="E484" t="n">
        <v>168.4</v>
      </c>
    </row>
    <row r="485">
      <c r="A485" s="103" t="n">
        <v>35521</v>
      </c>
      <c r="B485" t="n">
        <v>74.35899999999999</v>
      </c>
      <c r="C485" t="n">
        <v>77.075</v>
      </c>
      <c r="D485" t="n">
        <v/>
      </c>
      <c r="E485" t="n">
        <v>168.9</v>
      </c>
    </row>
    <row r="486">
      <c r="A486" s="103" t="n">
        <v>35551</v>
      </c>
      <c r="B486" t="n">
        <v>74.324</v>
      </c>
      <c r="C486" t="n">
        <v>77.131</v>
      </c>
      <c r="D486" t="n">
        <v/>
      </c>
      <c r="E486" t="n">
        <v>169.2</v>
      </c>
    </row>
    <row r="487">
      <c r="A487" s="103" t="n">
        <v>35582</v>
      </c>
      <c r="B487" t="n">
        <v>74.42</v>
      </c>
      <c r="C487" t="n">
        <v>77.245</v>
      </c>
      <c r="D487" t="n">
        <v/>
      </c>
      <c r="E487" t="n">
        <v>169.4</v>
      </c>
    </row>
    <row r="488">
      <c r="A488" s="103" t="n">
        <v>35612</v>
      </c>
      <c r="B488" t="n">
        <v>74.464</v>
      </c>
      <c r="C488" t="n">
        <v>77.297</v>
      </c>
      <c r="D488" t="n">
        <v/>
      </c>
      <c r="E488" t="n">
        <v>169.7</v>
      </c>
    </row>
    <row r="489">
      <c r="A489" s="103" t="n">
        <v>35643</v>
      </c>
      <c r="B489" t="n">
        <v>74.524</v>
      </c>
      <c r="C489" t="n">
        <v>77.267</v>
      </c>
      <c r="D489" t="n">
        <v/>
      </c>
      <c r="E489" t="n">
        <v>169.8</v>
      </c>
    </row>
    <row r="490">
      <c r="A490" s="103" t="n">
        <v>35674</v>
      </c>
      <c r="B490" t="n">
        <v>74.70399999999999</v>
      </c>
      <c r="C490" t="n">
        <v>77.42700000000001</v>
      </c>
      <c r="D490" t="n">
        <v/>
      </c>
      <c r="E490" t="n">
        <v>170.2</v>
      </c>
    </row>
    <row r="491">
      <c r="A491" s="103" t="n">
        <v>35704</v>
      </c>
      <c r="B491" t="n">
        <v>74.801</v>
      </c>
      <c r="C491" t="n">
        <v>77.545</v>
      </c>
      <c r="D491" t="n">
        <v/>
      </c>
      <c r="E491" t="n">
        <v>170.6</v>
      </c>
    </row>
    <row r="492">
      <c r="A492" s="103" t="n">
        <v>35735</v>
      </c>
      <c r="B492" t="n">
        <v>74.804</v>
      </c>
      <c r="C492" t="n">
        <v>77.568</v>
      </c>
      <c r="D492" t="n">
        <v/>
      </c>
      <c r="E492" t="n">
        <v>170.8</v>
      </c>
    </row>
    <row r="493">
      <c r="A493" s="103" t="n">
        <v>35765</v>
      </c>
      <c r="B493" t="n">
        <v>74.788</v>
      </c>
      <c r="C493" t="n">
        <v>77.613</v>
      </c>
      <c r="D493" t="n">
        <v/>
      </c>
      <c r="E493" t="n">
        <v>171.2</v>
      </c>
    </row>
    <row r="494">
      <c r="A494" s="103" t="n">
        <v>35796</v>
      </c>
      <c r="B494" t="n">
        <v>74.825</v>
      </c>
      <c r="C494" t="n">
        <v>77.732</v>
      </c>
      <c r="D494" t="n">
        <v/>
      </c>
      <c r="E494" t="n">
        <v>171.6</v>
      </c>
    </row>
    <row r="495">
      <c r="A495" s="103" t="n">
        <v>35827</v>
      </c>
      <c r="B495" t="n">
        <v>74.78700000000001</v>
      </c>
      <c r="C495" t="n">
        <v>77.798</v>
      </c>
      <c r="D495" t="n">
        <v/>
      </c>
      <c r="E495" t="n">
        <v>171.9</v>
      </c>
    </row>
    <row r="496">
      <c r="A496" s="103" t="n">
        <v>35855</v>
      </c>
      <c r="B496" t="n">
        <v>74.79900000000001</v>
      </c>
      <c r="C496" t="n">
        <v>77.881</v>
      </c>
      <c r="D496" t="n">
        <v/>
      </c>
      <c r="E496" t="n">
        <v>172.2</v>
      </c>
    </row>
    <row r="497">
      <c r="A497" s="103" t="n">
        <v>35886</v>
      </c>
      <c r="B497" t="n">
        <v>74.89100000000001</v>
      </c>
      <c r="C497" t="n">
        <v>78.024</v>
      </c>
      <c r="D497" t="n">
        <v/>
      </c>
      <c r="E497" t="n">
        <v>172.5</v>
      </c>
    </row>
    <row r="498">
      <c r="A498" s="103" t="n">
        <v>35916</v>
      </c>
      <c r="B498" t="n">
        <v>74.994</v>
      </c>
      <c r="C498" t="n">
        <v>78.09999999999999</v>
      </c>
      <c r="D498" t="n">
        <v/>
      </c>
      <c r="E498" t="n">
        <v>172.9</v>
      </c>
    </row>
    <row r="499">
      <c r="A499" s="103" t="n">
        <v>35947</v>
      </c>
      <c r="B499" t="n">
        <v>74.931</v>
      </c>
      <c r="C499" t="n">
        <v>78.002</v>
      </c>
      <c r="D499" t="n">
        <v/>
      </c>
      <c r="E499" t="n">
        <v>173.2</v>
      </c>
    </row>
    <row r="500">
      <c r="A500" s="103" t="n">
        <v>35977</v>
      </c>
      <c r="B500" t="n">
        <v>75.116</v>
      </c>
      <c r="C500" t="n">
        <v>78.22199999999999</v>
      </c>
      <c r="D500" t="n">
        <v/>
      </c>
      <c r="E500" t="n">
        <v>173.5</v>
      </c>
    </row>
    <row r="501">
      <c r="A501" s="103" t="n">
        <v>36008</v>
      </c>
      <c r="B501" t="n">
        <v>75.22</v>
      </c>
      <c r="C501" t="n">
        <v>78.375</v>
      </c>
      <c r="D501" t="n">
        <v/>
      </c>
      <c r="E501" t="n">
        <v>174</v>
      </c>
    </row>
    <row r="502">
      <c r="A502" s="103" t="n">
        <v>36039</v>
      </c>
      <c r="B502" t="n">
        <v>75.176</v>
      </c>
      <c r="C502" t="n">
        <v>78.361</v>
      </c>
      <c r="D502" t="n">
        <v/>
      </c>
      <c r="E502" t="n">
        <v>174.2</v>
      </c>
    </row>
    <row r="503">
      <c r="A503" s="103" t="n">
        <v>36069</v>
      </c>
      <c r="B503" t="n">
        <v>75.34099999999999</v>
      </c>
      <c r="C503" t="n">
        <v>78.514</v>
      </c>
      <c r="D503" t="n">
        <v/>
      </c>
      <c r="E503" t="n">
        <v>174.4</v>
      </c>
    </row>
    <row r="504">
      <c r="A504" s="103" t="n">
        <v>36100</v>
      </c>
      <c r="B504" t="n">
        <v>75.345</v>
      </c>
      <c r="C504" t="n">
        <v>78.52800000000001</v>
      </c>
      <c r="D504" t="n">
        <v/>
      </c>
      <c r="E504" t="n">
        <v>174.8</v>
      </c>
    </row>
    <row r="505">
      <c r="A505" s="103" t="n">
        <v>36130</v>
      </c>
      <c r="B505" t="n">
        <v>75.42</v>
      </c>
      <c r="C505" t="n">
        <v>78.663</v>
      </c>
      <c r="D505" t="n">
        <v/>
      </c>
      <c r="E505" t="n">
        <v>175.4</v>
      </c>
    </row>
    <row r="506">
      <c r="A506" s="103" t="n">
        <v>36161</v>
      </c>
      <c r="B506" t="n">
        <v>75.527</v>
      </c>
      <c r="C506" t="n">
        <v>78.776</v>
      </c>
      <c r="D506" t="n">
        <v/>
      </c>
      <c r="E506" t="n">
        <v>175.6</v>
      </c>
    </row>
    <row r="507">
      <c r="A507" s="103" t="n">
        <v>36192</v>
      </c>
      <c r="B507" t="n">
        <v>75.48399999999999</v>
      </c>
      <c r="C507" t="n">
        <v>78.749</v>
      </c>
      <c r="D507" t="n">
        <v/>
      </c>
      <c r="E507" t="n">
        <v>175.6</v>
      </c>
    </row>
    <row r="508">
      <c r="A508" s="103" t="n">
        <v>36220</v>
      </c>
      <c r="B508" t="n">
        <v>75.541</v>
      </c>
      <c r="C508" t="n">
        <v>78.773</v>
      </c>
      <c r="D508" t="n">
        <v/>
      </c>
      <c r="E508" t="n">
        <v>175.7</v>
      </c>
    </row>
    <row r="509">
      <c r="A509" s="103" t="n">
        <v>36251</v>
      </c>
      <c r="B509" t="n">
        <v>75.90600000000001</v>
      </c>
      <c r="C509" t="n">
        <v>78.97499999999999</v>
      </c>
      <c r="D509" t="n">
        <v/>
      </c>
      <c r="E509" t="n">
        <v>176.3</v>
      </c>
    </row>
    <row r="510">
      <c r="A510" s="103" t="n">
        <v>36281</v>
      </c>
      <c r="B510" t="n">
        <v>75.955</v>
      </c>
      <c r="C510" t="n">
        <v>79.051</v>
      </c>
      <c r="D510" t="n">
        <v/>
      </c>
      <c r="E510" t="n">
        <v>176.5</v>
      </c>
    </row>
    <row r="511">
      <c r="A511" s="103" t="n">
        <v>36312</v>
      </c>
      <c r="B511" t="n">
        <v>75.979</v>
      </c>
      <c r="C511" t="n">
        <v>79.092</v>
      </c>
      <c r="D511" t="n">
        <v/>
      </c>
      <c r="E511" t="n">
        <v>176.6</v>
      </c>
    </row>
    <row r="512">
      <c r="A512" s="103" t="n">
        <v>36342</v>
      </c>
      <c r="B512" t="n">
        <v>76.181</v>
      </c>
      <c r="C512" t="n">
        <v>79.235</v>
      </c>
      <c r="D512" t="n">
        <v/>
      </c>
      <c r="E512" t="n">
        <v>177.1</v>
      </c>
    </row>
    <row r="513">
      <c r="A513" s="103" t="n">
        <v>36373</v>
      </c>
      <c r="B513" t="n">
        <v>76.319</v>
      </c>
      <c r="C513" t="n">
        <v>79.273</v>
      </c>
      <c r="D513" t="n">
        <v/>
      </c>
      <c r="E513" t="n">
        <v>177.3</v>
      </c>
    </row>
    <row r="514">
      <c r="A514" s="103" t="n">
        <v>36404</v>
      </c>
      <c r="B514" t="n">
        <v>76.593</v>
      </c>
      <c r="C514" t="n">
        <v>79.483</v>
      </c>
      <c r="D514" t="n">
        <v/>
      </c>
      <c r="E514" t="n">
        <v>177.8</v>
      </c>
    </row>
    <row r="515">
      <c r="A515" s="103" t="n">
        <v>36434</v>
      </c>
      <c r="B515" t="n">
        <v>76.723</v>
      </c>
      <c r="C515" t="n">
        <v>79.619</v>
      </c>
      <c r="D515" t="n">
        <v/>
      </c>
      <c r="E515" t="n">
        <v>178.1</v>
      </c>
    </row>
    <row r="516">
      <c r="A516" s="103" t="n">
        <v>36465</v>
      </c>
      <c r="B516" t="n">
        <v>76.792</v>
      </c>
      <c r="C516" t="n">
        <v>79.69499999999999</v>
      </c>
      <c r="D516" t="n">
        <v/>
      </c>
      <c r="E516" t="n">
        <v>178.4</v>
      </c>
    </row>
    <row r="517">
      <c r="A517" s="103" t="n">
        <v>36495</v>
      </c>
      <c r="B517" t="n">
        <v>76.97</v>
      </c>
      <c r="C517" t="n">
        <v>79.79600000000001</v>
      </c>
      <c r="D517" t="n">
        <v/>
      </c>
      <c r="E517" t="n">
        <v>178.7</v>
      </c>
    </row>
    <row r="518">
      <c r="A518" s="103" t="n">
        <v>36526</v>
      </c>
      <c r="B518" t="n">
        <v>77.18000000000001</v>
      </c>
      <c r="C518" t="n">
        <v>79.98699999999999</v>
      </c>
      <c r="D518" t="n">
        <v/>
      </c>
      <c r="E518" t="n">
        <v>179.3</v>
      </c>
    </row>
    <row r="519">
      <c r="A519" s="103" t="n">
        <v>36557</v>
      </c>
      <c r="B519" t="n">
        <v>77.422</v>
      </c>
      <c r="C519" t="n">
        <v>80.10599999999999</v>
      </c>
      <c r="D519" t="n">
        <v/>
      </c>
      <c r="E519" t="n">
        <v>179.4</v>
      </c>
    </row>
    <row r="520">
      <c r="A520" s="103" t="n">
        <v>36586</v>
      </c>
      <c r="B520" t="n">
        <v>77.755</v>
      </c>
      <c r="C520" t="n">
        <v>80.27</v>
      </c>
      <c r="D520" t="n">
        <v/>
      </c>
      <c r="E520" t="n">
        <v>180</v>
      </c>
    </row>
    <row r="521">
      <c r="A521" s="103" t="n">
        <v>36617</v>
      </c>
      <c r="B521" t="n">
        <v>77.69</v>
      </c>
      <c r="C521" t="n">
        <v>80.32299999999999</v>
      </c>
      <c r="D521" t="n">
        <v/>
      </c>
      <c r="E521" t="n">
        <v>180.3</v>
      </c>
    </row>
    <row r="522">
      <c r="A522" s="103" t="n">
        <v>36647</v>
      </c>
      <c r="B522" t="n">
        <v>77.755</v>
      </c>
      <c r="C522" t="n">
        <v>80.40900000000001</v>
      </c>
      <c r="D522" t="n">
        <v/>
      </c>
      <c r="E522" t="n">
        <v>180.7</v>
      </c>
    </row>
    <row r="523">
      <c r="A523" s="103" t="n">
        <v>36678</v>
      </c>
      <c r="B523" t="n">
        <v>78.01900000000001</v>
      </c>
      <c r="C523" t="n">
        <v>80.47</v>
      </c>
      <c r="D523" t="n">
        <v/>
      </c>
      <c r="E523" t="n">
        <v>181.1</v>
      </c>
    </row>
    <row r="524">
      <c r="A524" s="103" t="n">
        <v>36708</v>
      </c>
      <c r="B524" t="n">
        <v>78.214</v>
      </c>
      <c r="C524" t="n">
        <v>80.654</v>
      </c>
      <c r="D524" t="n">
        <v/>
      </c>
      <c r="E524" t="n">
        <v>181.5</v>
      </c>
    </row>
    <row r="525">
      <c r="A525" s="103" t="n">
        <v>36739</v>
      </c>
      <c r="B525" t="n">
        <v>78.209</v>
      </c>
      <c r="C525" t="n">
        <v>80.75700000000001</v>
      </c>
      <c r="D525" t="n">
        <v/>
      </c>
      <c r="E525" t="n">
        <v>181.9</v>
      </c>
    </row>
    <row r="526">
      <c r="A526" s="103" t="n">
        <v>36770</v>
      </c>
      <c r="B526" t="n">
        <v>78.545</v>
      </c>
      <c r="C526" t="n">
        <v>80.953</v>
      </c>
      <c r="D526" t="n">
        <v/>
      </c>
      <c r="E526" t="n">
        <v>182.3</v>
      </c>
    </row>
    <row r="527">
      <c r="A527" s="103" t="n">
        <v>36800</v>
      </c>
      <c r="B527" t="n">
        <v>78.652</v>
      </c>
      <c r="C527" t="n">
        <v>81.06699999999999</v>
      </c>
      <c r="D527" t="n">
        <v/>
      </c>
      <c r="E527" t="n">
        <v>182.6</v>
      </c>
    </row>
    <row r="528">
      <c r="A528" s="103" t="n">
        <v>36831</v>
      </c>
      <c r="B528" t="n">
        <v>78.762</v>
      </c>
      <c r="C528" t="n">
        <v>81.20999999999999</v>
      </c>
      <c r="D528" t="n">
        <v/>
      </c>
      <c r="E528" t="n">
        <v>183.1</v>
      </c>
    </row>
    <row r="529">
      <c r="A529" s="103" t="n">
        <v>36861</v>
      </c>
      <c r="B529" t="n">
        <v>78.883</v>
      </c>
      <c r="C529" t="n">
        <v>81.289</v>
      </c>
      <c r="D529" t="n">
        <v/>
      </c>
      <c r="E529" t="n">
        <v>183.3</v>
      </c>
    </row>
    <row r="530">
      <c r="A530" s="103" t="n">
        <v>36892</v>
      </c>
      <c r="B530" t="n">
        <v>79.265</v>
      </c>
      <c r="C530" t="n">
        <v>81.592</v>
      </c>
      <c r="D530" t="n">
        <v/>
      </c>
      <c r="E530" t="n">
        <v>183.9</v>
      </c>
    </row>
    <row r="531">
      <c r="A531" s="103" t="n">
        <v>36923</v>
      </c>
      <c r="B531" t="n">
        <v>79.38800000000001</v>
      </c>
      <c r="C531" t="n">
        <v>81.736</v>
      </c>
      <c r="D531" t="n">
        <v/>
      </c>
      <c r="E531" t="n">
        <v>184.4</v>
      </c>
    </row>
    <row r="532">
      <c r="A532" s="103" t="n">
        <v>36951</v>
      </c>
      <c r="B532" t="n">
        <v>79.395</v>
      </c>
      <c r="C532" t="n">
        <v>81.821</v>
      </c>
      <c r="D532" t="n">
        <v/>
      </c>
      <c r="E532" t="n">
        <v>184.7</v>
      </c>
    </row>
    <row r="533">
      <c r="A533" s="103" t="n">
        <v>36982</v>
      </c>
      <c r="B533" t="n">
        <v>79.53400000000001</v>
      </c>
      <c r="C533" t="n">
        <v>81.95099999999999</v>
      </c>
      <c r="D533" t="n">
        <v/>
      </c>
      <c r="E533" t="n">
        <v>185.1</v>
      </c>
    </row>
    <row r="534">
      <c r="A534" s="103" t="n">
        <v>37012</v>
      </c>
      <c r="B534" t="n">
        <v>79.74299999999999</v>
      </c>
      <c r="C534" t="n">
        <v>81.97</v>
      </c>
      <c r="D534" t="n">
        <v/>
      </c>
      <c r="E534" t="n">
        <v>185.3</v>
      </c>
    </row>
    <row r="535">
      <c r="A535" s="103" t="n">
        <v>37043</v>
      </c>
      <c r="B535" t="n">
        <v>79.88500000000001</v>
      </c>
      <c r="C535" t="n">
        <v>82.154</v>
      </c>
      <c r="D535" t="n">
        <v/>
      </c>
      <c r="E535" t="n">
        <v>186</v>
      </c>
    </row>
    <row r="536">
      <c r="A536" s="103" t="n">
        <v>37073</v>
      </c>
      <c r="B536" t="n">
        <v>79.858</v>
      </c>
      <c r="C536" t="n">
        <v>82.366</v>
      </c>
      <c r="D536" t="n">
        <v/>
      </c>
      <c r="E536" t="n">
        <v>186.4</v>
      </c>
    </row>
    <row r="537">
      <c r="A537" s="103" t="n">
        <v>37104</v>
      </c>
      <c r="B537" t="n">
        <v>79.848</v>
      </c>
      <c r="C537" t="n">
        <v>82.40600000000001</v>
      </c>
      <c r="D537" t="n">
        <v/>
      </c>
      <c r="E537" t="n">
        <v>186.7</v>
      </c>
    </row>
    <row r="538">
      <c r="A538" s="103" t="n">
        <v>37135</v>
      </c>
      <c r="B538" t="n">
        <v>79.577</v>
      </c>
      <c r="C538" t="n">
        <v>81.93899999999999</v>
      </c>
      <c r="D538" t="n">
        <v/>
      </c>
      <c r="E538" t="n">
        <v>187.1</v>
      </c>
    </row>
    <row r="539">
      <c r="A539" s="103" t="n">
        <v>37165</v>
      </c>
      <c r="B539" t="n">
        <v>79.857</v>
      </c>
      <c r="C539" t="n">
        <v>82.51600000000001</v>
      </c>
      <c r="D539" t="n">
        <v/>
      </c>
      <c r="E539" t="n">
        <v>187.4</v>
      </c>
    </row>
    <row r="540">
      <c r="A540" s="103" t="n">
        <v>37196</v>
      </c>
      <c r="B540" t="n">
        <v>79.803</v>
      </c>
      <c r="C540" t="n">
        <v>82.68300000000001</v>
      </c>
      <c r="D540" t="n">
        <v/>
      </c>
      <c r="E540" t="n">
        <v>188.1</v>
      </c>
    </row>
    <row r="541">
      <c r="A541" s="103" t="n">
        <v>37226</v>
      </c>
      <c r="B541" t="n">
        <v>79.721</v>
      </c>
      <c r="C541" t="n">
        <v>82.702</v>
      </c>
      <c r="D541" t="n">
        <v/>
      </c>
      <c r="E541" t="n">
        <v>188.4</v>
      </c>
    </row>
    <row r="542">
      <c r="A542" s="103" t="n">
        <v>37257</v>
      </c>
      <c r="B542" t="n">
        <v>79.79300000000001</v>
      </c>
      <c r="C542" t="n">
        <v>82.75</v>
      </c>
      <c r="D542" t="n">
        <v/>
      </c>
      <c r="E542" t="n">
        <v>188.7</v>
      </c>
    </row>
    <row r="543">
      <c r="A543" s="103" t="n">
        <v>37288</v>
      </c>
      <c r="B543" t="n">
        <v>79.926</v>
      </c>
      <c r="C543" t="n">
        <v>82.907</v>
      </c>
      <c r="D543" t="n">
        <v/>
      </c>
      <c r="E543" t="n">
        <v>189.1</v>
      </c>
    </row>
    <row r="544">
      <c r="A544" s="103" t="n">
        <v>37316</v>
      </c>
      <c r="B544" t="n">
        <v>80.14400000000001</v>
      </c>
      <c r="C544" t="n">
        <v>83.006</v>
      </c>
      <c r="D544" t="n">
        <v/>
      </c>
      <c r="E544" t="n">
        <v>189.2</v>
      </c>
    </row>
    <row r="545">
      <c r="A545" s="103" t="n">
        <v>37347</v>
      </c>
      <c r="B545" t="n">
        <v>80.479</v>
      </c>
      <c r="C545" t="n">
        <v>83.238</v>
      </c>
      <c r="D545" t="n">
        <v/>
      </c>
      <c r="E545" t="n">
        <v>189.7</v>
      </c>
    </row>
    <row r="546">
      <c r="A546" s="103" t="n">
        <v>37377</v>
      </c>
      <c r="B546" t="n">
        <v>80.53100000000001</v>
      </c>
      <c r="C546" t="n">
        <v>83.331</v>
      </c>
      <c r="D546" t="n">
        <v/>
      </c>
      <c r="E546" t="n">
        <v>190</v>
      </c>
    </row>
    <row r="547">
      <c r="A547" s="103" t="n">
        <v>37408</v>
      </c>
      <c r="B547" t="n">
        <v>80.63200000000001</v>
      </c>
      <c r="C547" t="n">
        <v>83.46299999999999</v>
      </c>
      <c r="D547" t="n">
        <v/>
      </c>
      <c r="E547" t="n">
        <v>190.2</v>
      </c>
    </row>
    <row r="548">
      <c r="A548" s="103" t="n">
        <v>37438</v>
      </c>
      <c r="B548" t="n">
        <v>80.81</v>
      </c>
      <c r="C548" t="n">
        <v>83.63200000000001</v>
      </c>
      <c r="D548" t="n">
        <v/>
      </c>
      <c r="E548" t="n">
        <v>190.5</v>
      </c>
    </row>
    <row r="549">
      <c r="A549" s="103" t="n">
        <v>37469</v>
      </c>
      <c r="B549" t="n">
        <v>80.96899999999999</v>
      </c>
      <c r="C549" t="n">
        <v>83.797</v>
      </c>
      <c r="D549" t="n">
        <v/>
      </c>
      <c r="E549" t="n">
        <v>191.1</v>
      </c>
    </row>
    <row r="550">
      <c r="A550" s="103" t="n">
        <v>37500</v>
      </c>
      <c r="B550" t="n">
        <v>81.11499999999999</v>
      </c>
      <c r="C550" t="n">
        <v>83.934</v>
      </c>
      <c r="D550" t="n">
        <v/>
      </c>
      <c r="E550" t="n">
        <v>191.3</v>
      </c>
    </row>
    <row r="551">
      <c r="A551" s="103" t="n">
        <v>37530</v>
      </c>
      <c r="B551" t="n">
        <v>81.262</v>
      </c>
      <c r="C551" t="n">
        <v>84.005</v>
      </c>
      <c r="D551" t="n">
        <v/>
      </c>
      <c r="E551" t="n">
        <v>191.5</v>
      </c>
    </row>
    <row r="552">
      <c r="A552" s="103" t="n">
        <v>37561</v>
      </c>
      <c r="B552" t="n">
        <v>81.343</v>
      </c>
      <c r="C552" t="n">
        <v>84.087</v>
      </c>
      <c r="D552" t="n">
        <v/>
      </c>
      <c r="E552" t="n">
        <v>191.9</v>
      </c>
    </row>
    <row r="553">
      <c r="A553" s="103" t="n">
        <v>37591</v>
      </c>
      <c r="B553" t="n">
        <v>81.42100000000001</v>
      </c>
      <c r="C553" t="n">
        <v>84.16500000000001</v>
      </c>
      <c r="D553" t="n">
        <v/>
      </c>
      <c r="E553" t="n">
        <v>192.1</v>
      </c>
    </row>
    <row r="554">
      <c r="A554" s="103" t="n">
        <v>37622</v>
      </c>
      <c r="B554" t="n">
        <v>81.664</v>
      </c>
      <c r="C554" t="n">
        <v>84.223</v>
      </c>
      <c r="D554" t="n">
        <v/>
      </c>
      <c r="E554" t="n">
        <v>192.4</v>
      </c>
    </row>
    <row r="555">
      <c r="A555" s="103" t="n">
        <v>37653</v>
      </c>
      <c r="B555" t="n">
        <v>82.009</v>
      </c>
      <c r="C555" t="n">
        <v>84.339</v>
      </c>
      <c r="D555" t="n">
        <v/>
      </c>
      <c r="E555" t="n">
        <v>192.5</v>
      </c>
    </row>
    <row r="556">
      <c r="A556" s="103" t="n">
        <v>37681</v>
      </c>
      <c r="B556" t="n">
        <v>82.21899999999999</v>
      </c>
      <c r="C556" t="n">
        <v>84.474</v>
      </c>
      <c r="D556" t="n">
        <v/>
      </c>
      <c r="E556" t="n">
        <v>192.5</v>
      </c>
    </row>
    <row r="557">
      <c r="A557" s="103" t="n">
        <v>37712</v>
      </c>
      <c r="B557" t="n">
        <v>82.08</v>
      </c>
      <c r="C557" t="n">
        <v>84.568</v>
      </c>
      <c r="D557" t="n">
        <v/>
      </c>
      <c r="E557" t="n">
        <v>192.5</v>
      </c>
    </row>
    <row r="558">
      <c r="A558" s="103" t="n">
        <v>37742</v>
      </c>
      <c r="B558" t="n">
        <v>81.986</v>
      </c>
      <c r="C558" t="n">
        <v>84.69</v>
      </c>
      <c r="D558" t="n">
        <v/>
      </c>
      <c r="E558" t="n">
        <v>192.9</v>
      </c>
    </row>
    <row r="559">
      <c r="A559" s="103" t="n">
        <v>37773</v>
      </c>
      <c r="B559" t="n">
        <v>82.074</v>
      </c>
      <c r="C559" t="n">
        <v>84.738</v>
      </c>
      <c r="D559" t="n">
        <v/>
      </c>
      <c r="E559" t="n">
        <v>193</v>
      </c>
    </row>
    <row r="560">
      <c r="A560" s="103" t="n">
        <v>37803</v>
      </c>
      <c r="B560" t="n">
        <v>82.315</v>
      </c>
      <c r="C560" t="n">
        <v>84.949</v>
      </c>
      <c r="D560" t="n">
        <v/>
      </c>
      <c r="E560" t="n">
        <v>193.4</v>
      </c>
    </row>
    <row r="561">
      <c r="A561" s="103" t="n">
        <v>37834</v>
      </c>
      <c r="B561" t="n">
        <v>82.593</v>
      </c>
      <c r="C561" t="n">
        <v>85.045</v>
      </c>
      <c r="D561" t="n">
        <v/>
      </c>
      <c r="E561" t="n">
        <v>193.6</v>
      </c>
    </row>
    <row r="562">
      <c r="A562" s="103" t="n">
        <v>37865</v>
      </c>
      <c r="B562" t="n">
        <v>82.852</v>
      </c>
      <c r="C562" t="n">
        <v>85.164</v>
      </c>
      <c r="D562" t="n">
        <v/>
      </c>
      <c r="E562" t="n">
        <v>193.7</v>
      </c>
    </row>
    <row r="563">
      <c r="A563" s="103" t="n">
        <v>37895</v>
      </c>
      <c r="B563" t="n">
        <v>82.86199999999999</v>
      </c>
      <c r="C563" t="n">
        <v>85.31999999999999</v>
      </c>
      <c r="D563" t="n">
        <v/>
      </c>
      <c r="E563" t="n">
        <v>194</v>
      </c>
    </row>
    <row r="564">
      <c r="A564" s="103" t="n">
        <v>37926</v>
      </c>
      <c r="B564" t="n">
        <v>82.967</v>
      </c>
      <c r="C564" t="n">
        <v>85.437</v>
      </c>
      <c r="D564" t="n">
        <v/>
      </c>
      <c r="E564" t="n">
        <v>194</v>
      </c>
    </row>
    <row r="565">
      <c r="A565" s="103" t="n">
        <v>37956</v>
      </c>
      <c r="B565" t="n">
        <v>83.15000000000001</v>
      </c>
      <c r="C565" t="n">
        <v>85.544</v>
      </c>
      <c r="D565" t="n">
        <v/>
      </c>
      <c r="E565" t="n">
        <v>194.2</v>
      </c>
    </row>
    <row r="566">
      <c r="A566" s="103" t="n">
        <v>37987</v>
      </c>
      <c r="B566" t="n">
        <v>83.471</v>
      </c>
      <c r="C566" t="n">
        <v>85.76300000000001</v>
      </c>
      <c r="D566" t="n">
        <v/>
      </c>
      <c r="E566" t="n">
        <v>194.6</v>
      </c>
    </row>
    <row r="567">
      <c r="A567" s="103" t="n">
        <v>38018</v>
      </c>
      <c r="B567" t="n">
        <v>83.649</v>
      </c>
      <c r="C567" t="n">
        <v>85.902</v>
      </c>
      <c r="D567" t="n">
        <v/>
      </c>
      <c r="E567" t="n">
        <v>194.9</v>
      </c>
    </row>
    <row r="568">
      <c r="A568" s="103" t="n">
        <v>38047</v>
      </c>
      <c r="B568" t="n">
        <v>83.77800000000001</v>
      </c>
      <c r="C568" t="n">
        <v>86.04600000000001</v>
      </c>
      <c r="D568" t="n">
        <v/>
      </c>
      <c r="E568" t="n">
        <v>195.5</v>
      </c>
    </row>
    <row r="569">
      <c r="A569" s="103" t="n">
        <v>38078</v>
      </c>
      <c r="B569" t="n">
        <v>83.934</v>
      </c>
      <c r="C569" t="n">
        <v>86.27</v>
      </c>
      <c r="D569" t="n">
        <v/>
      </c>
      <c r="E569" t="n">
        <v>195.9</v>
      </c>
    </row>
    <row r="570">
      <c r="A570" s="103" t="n">
        <v>38108</v>
      </c>
      <c r="B570" t="n">
        <v>84.206</v>
      </c>
      <c r="C570" t="n">
        <v>86.38800000000001</v>
      </c>
      <c r="D570" t="n">
        <v/>
      </c>
      <c r="E570" t="n">
        <v>196.2</v>
      </c>
    </row>
    <row r="571">
      <c r="A571" s="103" t="n">
        <v>38139</v>
      </c>
      <c r="B571" t="n">
        <v>84.447</v>
      </c>
      <c r="C571" t="n">
        <v>86.52500000000001</v>
      </c>
      <c r="D571" t="n">
        <v/>
      </c>
      <c r="E571" t="n">
        <v>196.6</v>
      </c>
    </row>
    <row r="572">
      <c r="A572" s="103" t="n">
        <v>38169</v>
      </c>
      <c r="B572" t="n">
        <v>84.52500000000001</v>
      </c>
      <c r="C572" t="n">
        <v>86.628</v>
      </c>
      <c r="D572" t="n">
        <v/>
      </c>
      <c r="E572" t="n">
        <v>196.8</v>
      </c>
    </row>
    <row r="573">
      <c r="A573" s="103" t="n">
        <v>38200</v>
      </c>
      <c r="B573" t="n">
        <v>84.569</v>
      </c>
      <c r="C573" t="n">
        <v>86.661</v>
      </c>
      <c r="D573" t="n">
        <v/>
      </c>
      <c r="E573" t="n">
        <v>196.9</v>
      </c>
    </row>
    <row r="574">
      <c r="A574" s="103" t="n">
        <v>38231</v>
      </c>
      <c r="B574" t="n">
        <v>84.735</v>
      </c>
      <c r="C574" t="n">
        <v>86.82299999999999</v>
      </c>
      <c r="D574" t="n">
        <v/>
      </c>
      <c r="E574" t="n">
        <v>197.5</v>
      </c>
    </row>
    <row r="575">
      <c r="A575" s="103" t="n">
        <v>38261</v>
      </c>
      <c r="B575" t="n">
        <v>85.099</v>
      </c>
      <c r="C575" t="n">
        <v>87.012</v>
      </c>
      <c r="D575" t="n">
        <v/>
      </c>
      <c r="E575" t="n">
        <v>197.9</v>
      </c>
    </row>
    <row r="576">
      <c r="A576" s="103" t="n">
        <v>38292</v>
      </c>
      <c r="B576" t="n">
        <v>85.42700000000001</v>
      </c>
      <c r="C576" t="n">
        <v>87.199</v>
      </c>
      <c r="D576" t="n">
        <v/>
      </c>
      <c r="E576" t="n">
        <v>198.3</v>
      </c>
    </row>
    <row r="577">
      <c r="A577" s="103" t="n">
        <v>38322</v>
      </c>
      <c r="B577" t="n">
        <v>85.473</v>
      </c>
      <c r="C577" t="n">
        <v>87.31100000000001</v>
      </c>
      <c r="D577" t="n">
        <v/>
      </c>
      <c r="E577" t="n">
        <v>198.6</v>
      </c>
    </row>
    <row r="578">
      <c r="A578" s="103" t="n">
        <v>38353</v>
      </c>
      <c r="B578" t="n">
        <v>85.58499999999999</v>
      </c>
      <c r="C578" t="n">
        <v>87.625</v>
      </c>
      <c r="D578" t="n">
        <v/>
      </c>
      <c r="E578" t="n">
        <v>199</v>
      </c>
    </row>
    <row r="579">
      <c r="A579" s="103" t="n">
        <v>38384</v>
      </c>
      <c r="B579" t="n">
        <v>85.82299999999999</v>
      </c>
      <c r="C579" t="n">
        <v>87.77</v>
      </c>
      <c r="D579" t="n">
        <v/>
      </c>
      <c r="E579" t="n">
        <v>199.4</v>
      </c>
    </row>
    <row r="580">
      <c r="A580" s="103" t="n">
        <v>38412</v>
      </c>
      <c r="B580" t="n">
        <v>86.08</v>
      </c>
      <c r="C580" t="n">
        <v>87.98699999999999</v>
      </c>
      <c r="D580" t="n">
        <v/>
      </c>
      <c r="E580" t="n">
        <v>200.1</v>
      </c>
    </row>
    <row r="581">
      <c r="A581" s="103" t="n">
        <v>38443</v>
      </c>
      <c r="B581" t="n">
        <v>86.321</v>
      </c>
      <c r="C581" t="n">
        <v>88.089</v>
      </c>
      <c r="D581" t="n">
        <v/>
      </c>
      <c r="E581" t="n">
        <v>200.2</v>
      </c>
    </row>
    <row r="582">
      <c r="A582" s="103" t="n">
        <v>38473</v>
      </c>
      <c r="B582" t="n">
        <v>86.37</v>
      </c>
      <c r="C582" t="n">
        <v>88.26900000000001</v>
      </c>
      <c r="D582" t="n">
        <v/>
      </c>
      <c r="E582" t="n">
        <v>200.5</v>
      </c>
    </row>
    <row r="583">
      <c r="A583" s="103" t="n">
        <v>38504</v>
      </c>
      <c r="B583" t="n">
        <v>86.423</v>
      </c>
      <c r="C583" t="n">
        <v>88.33</v>
      </c>
      <c r="D583" t="n">
        <v/>
      </c>
      <c r="E583" t="n">
        <v>200.6</v>
      </c>
    </row>
    <row r="584">
      <c r="A584" s="103" t="n">
        <v>38534</v>
      </c>
      <c r="B584" t="n">
        <v>86.79000000000001</v>
      </c>
      <c r="C584" t="n">
        <v>88.45999999999999</v>
      </c>
      <c r="D584" t="n">
        <v/>
      </c>
      <c r="E584" t="n">
        <v>200.9</v>
      </c>
    </row>
    <row r="585">
      <c r="A585" s="103" t="n">
        <v>38565</v>
      </c>
      <c r="B585" t="n">
        <v>87.14</v>
      </c>
      <c r="C585" t="n">
        <v>88.532</v>
      </c>
      <c r="D585" t="n">
        <v/>
      </c>
      <c r="E585" t="n">
        <v>201.1</v>
      </c>
    </row>
    <row r="586">
      <c r="A586" s="103" t="n">
        <v>38596</v>
      </c>
      <c r="B586" t="n">
        <v>87.98099999999999</v>
      </c>
      <c r="C586" t="n">
        <v>88.72799999999999</v>
      </c>
      <c r="D586" t="n">
        <v/>
      </c>
      <c r="E586" t="n">
        <v>201.3</v>
      </c>
    </row>
    <row r="587">
      <c r="A587" s="103" t="n">
        <v>38626</v>
      </c>
      <c r="B587" t="n">
        <v>88.121</v>
      </c>
      <c r="C587" t="n">
        <v>88.982</v>
      </c>
      <c r="D587" t="n">
        <v/>
      </c>
      <c r="E587" t="n">
        <v>202</v>
      </c>
    </row>
    <row r="588">
      <c r="A588" s="103" t="n">
        <v>38657</v>
      </c>
      <c r="B588" t="n">
        <v>87.938</v>
      </c>
      <c r="C588" t="n">
        <v>89.20999999999999</v>
      </c>
      <c r="D588" t="n">
        <v/>
      </c>
      <c r="E588" t="n">
        <v>202.5</v>
      </c>
    </row>
    <row r="589">
      <c r="A589" s="103" t="n">
        <v>38687</v>
      </c>
      <c r="B589" t="n">
        <v>87.938</v>
      </c>
      <c r="C589" t="n">
        <v>89.30200000000001</v>
      </c>
      <c r="D589" t="n">
        <v/>
      </c>
      <c r="E589" t="n">
        <v>202.8</v>
      </c>
    </row>
    <row r="590">
      <c r="A590" s="103" t="n">
        <v>38718</v>
      </c>
      <c r="B590" t="n">
        <v>88.364</v>
      </c>
      <c r="C590" t="n">
        <v>89.503</v>
      </c>
      <c r="D590" t="n">
        <v/>
      </c>
      <c r="E590" t="n">
        <v>203.2</v>
      </c>
    </row>
    <row r="591">
      <c r="A591" s="103" t="n">
        <v>38749</v>
      </c>
      <c r="B591" t="n">
        <v>88.417</v>
      </c>
      <c r="C591" t="n">
        <v>89.64700000000001</v>
      </c>
      <c r="D591" t="n">
        <v/>
      </c>
      <c r="E591" t="n">
        <v>203.6</v>
      </c>
    </row>
    <row r="592">
      <c r="A592" s="103" t="n">
        <v>38777</v>
      </c>
      <c r="B592" t="n">
        <v>88.58799999999999</v>
      </c>
      <c r="C592" t="n">
        <v>89.89400000000001</v>
      </c>
      <c r="D592" t="n">
        <v/>
      </c>
      <c r="E592" t="n">
        <v>204.3</v>
      </c>
    </row>
    <row r="593">
      <c r="A593" s="103" t="n">
        <v>38808</v>
      </c>
      <c r="B593" t="n">
        <v>88.999</v>
      </c>
      <c r="C593" t="n">
        <v>90.169</v>
      </c>
      <c r="D593" t="n">
        <v/>
      </c>
      <c r="E593" t="n">
        <v>204.8</v>
      </c>
    </row>
    <row r="594">
      <c r="A594" s="103" t="n">
        <v>38838</v>
      </c>
      <c r="B594" t="n">
        <v>89.239</v>
      </c>
      <c r="C594" t="n">
        <v>90.395</v>
      </c>
      <c r="D594" t="n">
        <v/>
      </c>
      <c r="E594" t="n">
        <v>205.4</v>
      </c>
    </row>
    <row r="595">
      <c r="A595" s="103" t="n">
        <v>38869</v>
      </c>
      <c r="B595" t="n">
        <v>89.459</v>
      </c>
      <c r="C595" t="n">
        <v>90.623</v>
      </c>
      <c r="D595" t="n">
        <v/>
      </c>
      <c r="E595" t="n">
        <v>205.9</v>
      </c>
    </row>
    <row r="596">
      <c r="A596" s="103" t="n">
        <v>38899</v>
      </c>
      <c r="B596" t="n">
        <v>89.765</v>
      </c>
      <c r="C596" t="n">
        <v>90.712</v>
      </c>
      <c r="D596" t="n">
        <v/>
      </c>
      <c r="E596" t="n">
        <v>206.3</v>
      </c>
    </row>
    <row r="597">
      <c r="A597" s="103" t="n">
        <v>38930</v>
      </c>
      <c r="B597" t="n">
        <v>90.047</v>
      </c>
      <c r="C597" t="n">
        <v>90.896</v>
      </c>
      <c r="D597" t="n">
        <v/>
      </c>
      <c r="E597" t="n">
        <v>206.8</v>
      </c>
    </row>
    <row r="598">
      <c r="A598" s="103" t="n">
        <v>38961</v>
      </c>
      <c r="B598" t="n">
        <v>89.812</v>
      </c>
      <c r="C598" t="n">
        <v>91.04000000000001</v>
      </c>
      <c r="D598" t="n">
        <v/>
      </c>
      <c r="E598" t="n">
        <v>207.2</v>
      </c>
    </row>
    <row r="599">
      <c r="A599" s="103" t="n">
        <v>38991</v>
      </c>
      <c r="B599" t="n">
        <v>89.599</v>
      </c>
      <c r="C599" t="n">
        <v>91.20399999999999</v>
      </c>
      <c r="D599" t="n">
        <v/>
      </c>
      <c r="E599" t="n">
        <v>207.6</v>
      </c>
    </row>
    <row r="600">
      <c r="A600" s="103" t="n">
        <v>39022</v>
      </c>
      <c r="B600" t="n">
        <v>89.63</v>
      </c>
      <c r="C600" t="n">
        <v>91.248</v>
      </c>
      <c r="D600" t="n">
        <v/>
      </c>
      <c r="E600" t="n">
        <v>207.8</v>
      </c>
    </row>
    <row r="601">
      <c r="A601" s="103" t="n">
        <v>39052</v>
      </c>
      <c r="B601" t="n">
        <v>89.949</v>
      </c>
      <c r="C601" t="n">
        <v>91.37</v>
      </c>
      <c r="D601" t="n">
        <v/>
      </c>
      <c r="E601" t="n">
        <v>208.1</v>
      </c>
    </row>
    <row r="602">
      <c r="A602" s="103" t="n">
        <v>39083</v>
      </c>
      <c r="B602" t="n">
        <v>90.249</v>
      </c>
      <c r="C602" t="n">
        <v>91.741</v>
      </c>
      <c r="D602" t="n">
        <v/>
      </c>
      <c r="E602" t="n">
        <v>208.6</v>
      </c>
    </row>
    <row r="603">
      <c r="A603" s="103" t="n">
        <v>39114</v>
      </c>
      <c r="B603" t="n">
        <v>90.529</v>
      </c>
      <c r="C603" t="n">
        <v>91.93899999999999</v>
      </c>
      <c r="D603" t="n">
        <v/>
      </c>
      <c r="E603" t="n">
        <v>209.135</v>
      </c>
    </row>
    <row r="604">
      <c r="A604" s="103" t="n">
        <v>39142</v>
      </c>
      <c r="B604" t="n">
        <v>90.861</v>
      </c>
      <c r="C604" t="n">
        <v>92.032</v>
      </c>
      <c r="D604" t="n">
        <v/>
      </c>
      <c r="E604" t="n">
        <v>209.418</v>
      </c>
    </row>
    <row r="605">
      <c r="A605" s="103" t="n">
        <v>39173</v>
      </c>
      <c r="B605" t="n">
        <v>91.074</v>
      </c>
      <c r="C605" t="n">
        <v>92.163</v>
      </c>
      <c r="D605" t="n">
        <v/>
      </c>
      <c r="E605" t="n">
        <v>209.747</v>
      </c>
    </row>
    <row r="606">
      <c r="A606" s="103" t="n">
        <v>39203</v>
      </c>
      <c r="B606" t="n">
        <v>91.339</v>
      </c>
      <c r="C606" t="n">
        <v>92.27200000000001</v>
      </c>
      <c r="D606" t="n">
        <v/>
      </c>
      <c r="E606" t="n">
        <v>210.058</v>
      </c>
    </row>
    <row r="607">
      <c r="A607" s="103" t="n">
        <v>39234</v>
      </c>
      <c r="B607" t="n">
        <v>91.532</v>
      </c>
      <c r="C607" t="n">
        <v>92.42400000000001</v>
      </c>
      <c r="D607" t="n">
        <v/>
      </c>
      <c r="E607" t="n">
        <v>210.392</v>
      </c>
    </row>
    <row r="608">
      <c r="A608" s="103" t="n">
        <v>39264</v>
      </c>
      <c r="B608" t="n">
        <v>91.672</v>
      </c>
      <c r="C608" t="n">
        <v>92.563</v>
      </c>
      <c r="D608" t="n">
        <v/>
      </c>
      <c r="E608" t="n">
        <v>210.773</v>
      </c>
    </row>
    <row r="609">
      <c r="A609" s="103" t="n">
        <v>39295</v>
      </c>
      <c r="B609" t="n">
        <v>91.73399999999999</v>
      </c>
      <c r="C609" t="n">
        <v>92.70099999999999</v>
      </c>
      <c r="D609" t="n">
        <v/>
      </c>
      <c r="E609" t="n">
        <v>211.119</v>
      </c>
    </row>
    <row r="610">
      <c r="A610" s="103" t="n">
        <v>39326</v>
      </c>
      <c r="B610" t="n">
        <v>92.08799999999999</v>
      </c>
      <c r="C610" t="n">
        <v>92.95399999999999</v>
      </c>
      <c r="D610" t="n">
        <v/>
      </c>
      <c r="E610" t="n">
        <v>211.554</v>
      </c>
    </row>
    <row r="611">
      <c r="A611" s="103" t="n">
        <v>39356</v>
      </c>
      <c r="B611" t="n">
        <v>92.367</v>
      </c>
      <c r="C611" t="n">
        <v>93.196</v>
      </c>
      <c r="D611" t="n">
        <v/>
      </c>
      <c r="E611" t="n">
        <v>212.077</v>
      </c>
    </row>
    <row r="612">
      <c r="A612" s="103" t="n">
        <v>39387</v>
      </c>
      <c r="B612" t="n">
        <v>92.85599999999999</v>
      </c>
      <c r="C612" t="n">
        <v>93.379</v>
      </c>
      <c r="D612" t="n">
        <v/>
      </c>
      <c r="E612" t="n">
        <v>212.66</v>
      </c>
    </row>
    <row r="613">
      <c r="A613" s="103" t="n">
        <v>39417</v>
      </c>
      <c r="B613" t="n">
        <v>93.072</v>
      </c>
      <c r="C613" t="n">
        <v>93.56699999999999</v>
      </c>
      <c r="D613" t="n">
        <v/>
      </c>
      <c r="E613" t="n">
        <v>213.168</v>
      </c>
    </row>
    <row r="614">
      <c r="A614" s="103" t="n">
        <v>39448</v>
      </c>
      <c r="B614" t="n">
        <v>93.307</v>
      </c>
      <c r="C614" t="n">
        <v>93.753</v>
      </c>
      <c r="D614" t="n">
        <v/>
      </c>
      <c r="E614" t="n">
        <v>213.771</v>
      </c>
    </row>
    <row r="615">
      <c r="A615" s="103" t="n">
        <v>39479</v>
      </c>
      <c r="B615" t="n">
        <v>93.492</v>
      </c>
      <c r="C615" t="n">
        <v>93.84399999999999</v>
      </c>
      <c r="D615" t="n">
        <v/>
      </c>
      <c r="E615" t="n">
        <v>213.939</v>
      </c>
    </row>
    <row r="616">
      <c r="A616" s="103" t="n">
        <v>39508</v>
      </c>
      <c r="B616" t="n">
        <v>93.76000000000001</v>
      </c>
      <c r="C616" t="n">
        <v>94.02800000000001</v>
      </c>
      <c r="D616" t="n">
        <v/>
      </c>
      <c r="E616" t="n">
        <v>214.42</v>
      </c>
    </row>
    <row r="617">
      <c r="A617" s="103" t="n">
        <v>39539</v>
      </c>
      <c r="B617" t="n">
        <v>93.934</v>
      </c>
      <c r="C617" t="n">
        <v>94.083</v>
      </c>
      <c r="D617" t="n">
        <v/>
      </c>
      <c r="E617" t="n">
        <v>214.56</v>
      </c>
    </row>
    <row r="618">
      <c r="A618" s="103" t="n">
        <v>39569</v>
      </c>
      <c r="B618" t="n">
        <v>94.337</v>
      </c>
      <c r="C618" t="n">
        <v>94.255</v>
      </c>
      <c r="D618" t="n">
        <v/>
      </c>
      <c r="E618" t="n">
        <v>214.936</v>
      </c>
    </row>
    <row r="619">
      <c r="A619" s="103" t="n">
        <v>39600</v>
      </c>
      <c r="B619" t="n">
        <v>95.021</v>
      </c>
      <c r="C619" t="n">
        <v>94.471</v>
      </c>
      <c r="D619" t="n">
        <v/>
      </c>
      <c r="E619" t="n">
        <v>215.424</v>
      </c>
    </row>
    <row r="620">
      <c r="A620" s="103" t="n">
        <v>39630</v>
      </c>
      <c r="B620" t="n">
        <v>95.46299999999999</v>
      </c>
      <c r="C620" t="n">
        <v>94.64100000000001</v>
      </c>
      <c r="D620" t="n">
        <v/>
      </c>
      <c r="E620" t="n">
        <v>215.965</v>
      </c>
    </row>
    <row r="621">
      <c r="A621" s="103" t="n">
        <v>39661</v>
      </c>
      <c r="B621" t="n">
        <v>95.386</v>
      </c>
      <c r="C621" t="n">
        <v>94.75700000000001</v>
      </c>
      <c r="D621" t="n">
        <v/>
      </c>
      <c r="E621" t="n">
        <v>216.393</v>
      </c>
    </row>
    <row r="622">
      <c r="A622" s="103" t="n">
        <v>39692</v>
      </c>
      <c r="B622" t="n">
        <v>95.465</v>
      </c>
      <c r="C622" t="n">
        <v>94.854</v>
      </c>
      <c r="D622" t="n">
        <v/>
      </c>
      <c r="E622" t="n">
        <v>216.713</v>
      </c>
    </row>
    <row r="623">
      <c r="A623" s="103" t="n">
        <v>39722</v>
      </c>
      <c r="B623" t="n">
        <v>94.83499999999999</v>
      </c>
      <c r="C623" t="n">
        <v>94.71899999999999</v>
      </c>
      <c r="D623" t="n">
        <v/>
      </c>
      <c r="E623" t="n">
        <v>216.788</v>
      </c>
    </row>
    <row r="624">
      <c r="A624" s="103" t="n">
        <v>39753</v>
      </c>
      <c r="B624" t="n">
        <v>93.71599999999999</v>
      </c>
      <c r="C624" t="n">
        <v>94.67700000000001</v>
      </c>
      <c r="D624" t="n">
        <v/>
      </c>
      <c r="E624" t="n">
        <v>216.947</v>
      </c>
    </row>
    <row r="625">
      <c r="A625" s="103" t="n">
        <v>39783</v>
      </c>
      <c r="B625" t="n">
        <v>93.19199999999999</v>
      </c>
      <c r="C625" t="n">
        <v>94.631</v>
      </c>
      <c r="D625" t="n">
        <v/>
      </c>
      <c r="E625" t="n">
        <v>216.925</v>
      </c>
    </row>
    <row r="626">
      <c r="A626" s="103" t="n">
        <v>39814</v>
      </c>
      <c r="B626" t="n">
        <v>93.203</v>
      </c>
      <c r="C626" t="n">
        <v>94.602</v>
      </c>
      <c r="D626" t="n">
        <v>0.25</v>
      </c>
      <c r="E626" t="n">
        <v>217.346</v>
      </c>
    </row>
    <row r="627">
      <c r="A627" s="103" t="n">
        <v>39845</v>
      </c>
      <c r="B627" t="n">
        <v>93.369</v>
      </c>
      <c r="C627" t="n">
        <v>94.67700000000001</v>
      </c>
      <c r="D627" t="n">
        <v>0.25</v>
      </c>
      <c r="E627" t="n">
        <v>217.792</v>
      </c>
    </row>
    <row r="628">
      <c r="A628" s="103" t="n">
        <v>39873</v>
      </c>
      <c r="B628" t="n">
        <v>93.267</v>
      </c>
      <c r="C628" t="n">
        <v>94.745</v>
      </c>
      <c r="D628" t="n">
        <v>0.25</v>
      </c>
      <c r="E628" t="n">
        <v>218.253</v>
      </c>
    </row>
    <row r="629">
      <c r="A629" s="103" t="n">
        <v>39904</v>
      </c>
      <c r="B629" t="n">
        <v>93.401</v>
      </c>
      <c r="C629" t="n">
        <v>94.95699999999999</v>
      </c>
      <c r="D629" t="n">
        <v>0.25</v>
      </c>
      <c r="E629" t="n">
        <v>218.706</v>
      </c>
    </row>
    <row r="630">
      <c r="A630" s="103" t="n">
        <v>39934</v>
      </c>
      <c r="B630" t="n">
        <v>93.498</v>
      </c>
      <c r="C630" t="n">
        <v>95.03</v>
      </c>
      <c r="D630" t="n">
        <v>0.25</v>
      </c>
      <c r="E630" t="n">
        <v>218.904</v>
      </c>
    </row>
    <row r="631">
      <c r="A631" s="103" t="n">
        <v>39965</v>
      </c>
      <c r="B631" t="n">
        <v>94.053</v>
      </c>
      <c r="C631" t="n">
        <v>95.151</v>
      </c>
      <c r="D631" t="n">
        <v>0.25</v>
      </c>
      <c r="E631" t="n">
        <v>219.112</v>
      </c>
    </row>
    <row r="632">
      <c r="A632" s="103" t="n">
        <v>39995</v>
      </c>
      <c r="B632" t="n">
        <v>94.063</v>
      </c>
      <c r="C632" t="n">
        <v>95.233</v>
      </c>
      <c r="D632" t="n">
        <v>0.25</v>
      </c>
      <c r="E632" t="n">
        <v>219.263</v>
      </c>
    </row>
    <row r="633">
      <c r="A633" s="103" t="n">
        <v>40026</v>
      </c>
      <c r="B633" t="n">
        <v>94.336</v>
      </c>
      <c r="C633" t="n">
        <v>95.374</v>
      </c>
      <c r="D633" t="n">
        <v>0.25</v>
      </c>
      <c r="E633" t="n">
        <v>219.496</v>
      </c>
    </row>
    <row r="634">
      <c r="A634" s="103" t="n">
        <v>40057</v>
      </c>
      <c r="B634" t="n">
        <v>94.489</v>
      </c>
      <c r="C634" t="n">
        <v>95.541</v>
      </c>
      <c r="D634" t="n">
        <v>0.25</v>
      </c>
      <c r="E634" t="n">
        <v>219.92</v>
      </c>
    </row>
    <row r="635">
      <c r="A635" s="103" t="n">
        <v>40087</v>
      </c>
      <c r="B635" t="n">
        <v>94.84699999999999</v>
      </c>
      <c r="C635" t="n">
        <v>95.893</v>
      </c>
      <c r="D635" t="n">
        <v>0.25</v>
      </c>
      <c r="E635" t="n">
        <v>220.501</v>
      </c>
    </row>
    <row r="636">
      <c r="A636" s="103" t="n">
        <v>40118</v>
      </c>
      <c r="B636" t="n">
        <v>95.084</v>
      </c>
      <c r="C636" t="n">
        <v>95.97799999999999</v>
      </c>
      <c r="D636" t="n">
        <v>0.25</v>
      </c>
      <c r="E636" t="n">
        <v>220.666</v>
      </c>
    </row>
    <row r="637">
      <c r="A637" s="103" t="n">
        <v>40148</v>
      </c>
      <c r="B637" t="n">
        <v>95.14</v>
      </c>
      <c r="C637" t="n">
        <v>96.06</v>
      </c>
      <c r="D637" t="n">
        <v>0.25</v>
      </c>
      <c r="E637" t="n">
        <v>220.881</v>
      </c>
    </row>
    <row r="638">
      <c r="A638" s="103" t="n">
        <v>40179</v>
      </c>
      <c r="B638" t="n">
        <v>95.348</v>
      </c>
      <c r="C638" t="n">
        <v>96.20099999999999</v>
      </c>
      <c r="D638" t="n">
        <v>0.25</v>
      </c>
      <c r="E638" t="n">
        <v>220.633</v>
      </c>
    </row>
    <row r="639">
      <c r="A639" s="103" t="n">
        <v>40210</v>
      </c>
      <c r="B639" t="n">
        <v>95.345</v>
      </c>
      <c r="C639" t="n">
        <v>96.285</v>
      </c>
      <c r="D639" t="n">
        <v>0.25</v>
      </c>
      <c r="E639" t="n">
        <v>220.731</v>
      </c>
    </row>
    <row r="640">
      <c r="A640" s="103" t="n">
        <v>40238</v>
      </c>
      <c r="B640" t="n">
        <v>95.48</v>
      </c>
      <c r="C640" t="n">
        <v>96.429</v>
      </c>
      <c r="D640" t="n">
        <v>0.25</v>
      </c>
      <c r="E640" t="n">
        <v>220.783</v>
      </c>
    </row>
    <row r="641">
      <c r="A641" s="103" t="n">
        <v>40269</v>
      </c>
      <c r="B641" t="n">
        <v>95.532</v>
      </c>
      <c r="C641" t="n">
        <v>96.47799999999999</v>
      </c>
      <c r="D641" t="n">
        <v>0.25</v>
      </c>
      <c r="E641" t="n">
        <v>220.822</v>
      </c>
    </row>
    <row r="642">
      <c r="A642" s="103" t="n">
        <v>40299</v>
      </c>
      <c r="B642" t="n">
        <v>95.562</v>
      </c>
      <c r="C642" t="n">
        <v>96.58499999999999</v>
      </c>
      <c r="D642" t="n">
        <v>0.25</v>
      </c>
      <c r="E642" t="n">
        <v>220.962</v>
      </c>
    </row>
    <row r="643">
      <c r="A643" s="103" t="n">
        <v>40330</v>
      </c>
      <c r="B643" t="n">
        <v>95.52200000000001</v>
      </c>
      <c r="C643" t="n">
        <v>96.63200000000001</v>
      </c>
      <c r="D643" t="n">
        <v>0.25</v>
      </c>
      <c r="E643" t="n">
        <v>221.194</v>
      </c>
    </row>
    <row r="644">
      <c r="A644" s="103" t="n">
        <v>40360</v>
      </c>
      <c r="B644" t="n">
        <v>95.604</v>
      </c>
      <c r="C644" t="n">
        <v>96.633</v>
      </c>
      <c r="D644" t="n">
        <v>0.25</v>
      </c>
      <c r="E644" t="n">
        <v>221.363</v>
      </c>
    </row>
    <row r="645">
      <c r="A645" s="103" t="n">
        <v>40391</v>
      </c>
      <c r="B645" t="n">
        <v>95.735</v>
      </c>
      <c r="C645" t="n">
        <v>96.726</v>
      </c>
      <c r="D645" t="n">
        <v>0.25</v>
      </c>
      <c r="E645" t="n">
        <v>221.509</v>
      </c>
    </row>
    <row r="646">
      <c r="A646" s="103" t="n">
        <v>40422</v>
      </c>
      <c r="B646" t="n">
        <v>95.83</v>
      </c>
      <c r="C646" t="n">
        <v>96.78100000000001</v>
      </c>
      <c r="D646" t="n">
        <v>0.25</v>
      </c>
      <c r="E646" t="n">
        <v>221.711</v>
      </c>
    </row>
    <row r="647">
      <c r="A647" s="103" t="n">
        <v>40452</v>
      </c>
      <c r="B647" t="n">
        <v>96.13500000000001</v>
      </c>
      <c r="C647" t="n">
        <v>96.928</v>
      </c>
      <c r="D647" t="n">
        <v>0.25</v>
      </c>
      <c r="E647" t="n">
        <v>221.83</v>
      </c>
    </row>
    <row r="648">
      <c r="A648" s="103" t="n">
        <v>40483</v>
      </c>
      <c r="B648" t="n">
        <v>96.327</v>
      </c>
      <c r="C648" t="n">
        <v>97.054</v>
      </c>
      <c r="D648" t="n">
        <v>0.25</v>
      </c>
      <c r="E648" t="n">
        <v>222.149</v>
      </c>
    </row>
    <row r="649">
      <c r="A649" s="103" t="n">
        <v>40513</v>
      </c>
      <c r="B649" t="n">
        <v>96.545</v>
      </c>
      <c r="C649" t="n">
        <v>97.074</v>
      </c>
      <c r="D649" t="n">
        <v>0.25</v>
      </c>
      <c r="E649" t="n">
        <v>222.343</v>
      </c>
    </row>
    <row r="650">
      <c r="A650" s="103" t="n">
        <v>40544</v>
      </c>
      <c r="B650" t="n">
        <v>96.83499999999999</v>
      </c>
      <c r="C650" t="n">
        <v>97.283</v>
      </c>
      <c r="D650" t="n">
        <v>0.25</v>
      </c>
      <c r="E650" t="n">
        <v>222.803</v>
      </c>
    </row>
    <row r="651">
      <c r="A651" s="103" t="n">
        <v>40575</v>
      </c>
      <c r="B651" t="n">
        <v>97.105</v>
      </c>
      <c r="C651" t="n">
        <v>97.453</v>
      </c>
      <c r="D651" t="n">
        <v>0.25</v>
      </c>
      <c r="E651" t="n">
        <v>223.213</v>
      </c>
    </row>
    <row r="652">
      <c r="A652" s="103" t="n">
        <v>40603</v>
      </c>
      <c r="B652" t="n">
        <v>97.496</v>
      </c>
      <c r="C652" t="n">
        <v>97.59999999999999</v>
      </c>
      <c r="D652" t="n">
        <v>0.25</v>
      </c>
      <c r="E652" t="n">
        <v>223.454</v>
      </c>
    </row>
    <row r="653">
      <c r="A653" s="103" t="n">
        <v>40634</v>
      </c>
      <c r="B653" t="n">
        <v>97.908</v>
      </c>
      <c r="C653" t="n">
        <v>97.824</v>
      </c>
      <c r="D653" t="n">
        <v>0.25</v>
      </c>
      <c r="E653" t="n">
        <v>223.727</v>
      </c>
    </row>
    <row r="654">
      <c r="A654" s="103" t="n">
        <v>40664</v>
      </c>
      <c r="B654" t="n">
        <v>98.206</v>
      </c>
      <c r="C654" t="n">
        <v>98.057</v>
      </c>
      <c r="D654" t="n">
        <v>0.25</v>
      </c>
      <c r="E654" t="n">
        <v>224.175</v>
      </c>
    </row>
    <row r="655">
      <c r="A655" s="103" t="n">
        <v>40695</v>
      </c>
      <c r="B655" t="n">
        <v>98.18600000000001</v>
      </c>
      <c r="C655" t="n">
        <v>98.164</v>
      </c>
      <c r="D655" t="n">
        <v>0.25</v>
      </c>
      <c r="E655" t="n">
        <v>224.697</v>
      </c>
    </row>
    <row r="656">
      <c r="A656" s="103" t="n">
        <v>40725</v>
      </c>
      <c r="B656" t="n">
        <v>98.35299999999999</v>
      </c>
      <c r="C656" t="n">
        <v>98.309</v>
      </c>
      <c r="D656" t="n">
        <v>0.25</v>
      </c>
      <c r="E656" t="n">
        <v>225.218</v>
      </c>
    </row>
    <row r="657">
      <c r="A657" s="103" t="n">
        <v>40756</v>
      </c>
      <c r="B657" t="n">
        <v>98.584</v>
      </c>
      <c r="C657" t="n">
        <v>98.505</v>
      </c>
      <c r="D657" t="n">
        <v>0.25</v>
      </c>
      <c r="E657" t="n">
        <v>225.862</v>
      </c>
    </row>
    <row r="658">
      <c r="A658" s="103" t="n">
        <v>40787</v>
      </c>
      <c r="B658" t="n">
        <v>98.723</v>
      </c>
      <c r="C658" t="n">
        <v>98.572</v>
      </c>
      <c r="D658" t="n">
        <v>0.25</v>
      </c>
      <c r="E658" t="n">
        <v>226.118</v>
      </c>
    </row>
    <row r="659">
      <c r="A659" s="103" t="n">
        <v>40817</v>
      </c>
      <c r="B659" t="n">
        <v>98.72499999999999</v>
      </c>
      <c r="C659" t="n">
        <v>98.619</v>
      </c>
      <c r="D659" t="n">
        <v>0.25</v>
      </c>
      <c r="E659" t="n">
        <v>226.506</v>
      </c>
    </row>
    <row r="660">
      <c r="A660" s="103" t="n">
        <v>40848</v>
      </c>
      <c r="B660" t="n">
        <v>98.928</v>
      </c>
      <c r="C660" t="n">
        <v>98.828</v>
      </c>
      <c r="D660" t="n">
        <v>0.25</v>
      </c>
      <c r="E660" t="n">
        <v>226.899</v>
      </c>
    </row>
    <row r="661">
      <c r="A661" s="103" t="n">
        <v>40878</v>
      </c>
      <c r="B661" t="n">
        <v>98.98399999999999</v>
      </c>
      <c r="C661" t="n">
        <v>98.992</v>
      </c>
      <c r="D661" t="n">
        <v>0.25</v>
      </c>
      <c r="E661" t="n">
        <v>227.405</v>
      </c>
    </row>
    <row r="662">
      <c r="A662" s="103" t="n">
        <v>40909</v>
      </c>
      <c r="B662" t="n">
        <v>99.32299999999999</v>
      </c>
      <c r="C662" t="n">
        <v>99.288</v>
      </c>
      <c r="D662" t="n">
        <v>0.25</v>
      </c>
      <c r="E662" t="n">
        <v>227.877</v>
      </c>
    </row>
    <row r="663">
      <c r="A663" s="103" t="n">
        <v>40940</v>
      </c>
      <c r="B663" t="n">
        <v>99.545</v>
      </c>
      <c r="C663" t="n">
        <v>99.426</v>
      </c>
      <c r="D663" t="n">
        <v>0.25</v>
      </c>
      <c r="E663" t="n">
        <v>228.034</v>
      </c>
    </row>
    <row r="664">
      <c r="A664" s="103" t="n">
        <v>40969</v>
      </c>
      <c r="B664" t="n">
        <v>99.735</v>
      </c>
      <c r="C664" t="n">
        <v>99.595</v>
      </c>
      <c r="D664" t="n">
        <v>0.25</v>
      </c>
      <c r="E664" t="n">
        <v>228.478</v>
      </c>
    </row>
    <row r="665">
      <c r="A665" s="103" t="n">
        <v>41000</v>
      </c>
      <c r="B665" t="n">
        <v>99.866</v>
      </c>
      <c r="C665" t="n">
        <v>99.746</v>
      </c>
      <c r="D665" t="n">
        <v>0.25</v>
      </c>
      <c r="E665" t="n">
        <v>228.905</v>
      </c>
    </row>
    <row r="666">
      <c r="A666" s="103" t="n">
        <v>41030</v>
      </c>
      <c r="B666" t="n">
        <v>99.754</v>
      </c>
      <c r="C666" t="n">
        <v>99.84699999999999</v>
      </c>
      <c r="D666" t="n">
        <v>0.25</v>
      </c>
      <c r="E666" t="n">
        <v>229.224</v>
      </c>
    </row>
    <row r="667">
      <c r="A667" s="103" t="n">
        <v>41061</v>
      </c>
      <c r="B667" t="n">
        <v>99.70399999999999</v>
      </c>
      <c r="C667" t="n">
        <v>99.95</v>
      </c>
      <c r="D667" t="n">
        <v>0.25</v>
      </c>
      <c r="E667" t="n">
        <v>229.623</v>
      </c>
    </row>
    <row r="668">
      <c r="A668" s="103" t="n">
        <v>41091</v>
      </c>
      <c r="B668" t="n">
        <v>99.73999999999999</v>
      </c>
      <c r="C668" t="n">
        <v>100.053</v>
      </c>
      <c r="D668" t="n">
        <v>0.25</v>
      </c>
      <c r="E668" t="n">
        <v>229.97</v>
      </c>
    </row>
    <row r="669">
      <c r="A669" s="103" t="n">
        <v>41122</v>
      </c>
      <c r="B669" t="n">
        <v>100.075</v>
      </c>
      <c r="C669" t="n">
        <v>100.116</v>
      </c>
      <c r="D669" t="n">
        <v>0.25</v>
      </c>
      <c r="E669" t="n">
        <v>230.233</v>
      </c>
    </row>
    <row r="670">
      <c r="A670" s="103" t="n">
        <v>41153</v>
      </c>
      <c r="B670" t="n">
        <v>100.379</v>
      </c>
      <c r="C670" t="n">
        <v>100.24</v>
      </c>
      <c r="D670" t="n">
        <v>0.25</v>
      </c>
      <c r="E670" t="n">
        <v>230.659</v>
      </c>
    </row>
    <row r="671">
      <c r="A671" s="103" t="n">
        <v>41183</v>
      </c>
      <c r="B671" t="n">
        <v>100.677</v>
      </c>
      <c r="C671" t="n">
        <v>100.482</v>
      </c>
      <c r="D671" t="n">
        <v>0.25</v>
      </c>
      <c r="E671" t="n">
        <v>231.024</v>
      </c>
    </row>
    <row r="672">
      <c r="A672" s="103" t="n">
        <v>41214</v>
      </c>
      <c r="B672" t="n">
        <v>100.609</v>
      </c>
      <c r="C672" t="n">
        <v>100.591</v>
      </c>
      <c r="D672" t="n">
        <v>0.25</v>
      </c>
      <c r="E672" t="n">
        <v>231.33</v>
      </c>
    </row>
    <row r="673">
      <c r="A673" s="103" t="n">
        <v>41244</v>
      </c>
      <c r="B673" t="n">
        <v>100.593</v>
      </c>
      <c r="C673" t="n">
        <v>100.664</v>
      </c>
      <c r="D673" t="n">
        <v>0.25</v>
      </c>
      <c r="E673" t="n">
        <v>231.725</v>
      </c>
    </row>
    <row r="674">
      <c r="A674" s="103" t="n">
        <v>41275</v>
      </c>
      <c r="B674" t="n">
        <v>100.787</v>
      </c>
      <c r="C674" t="n">
        <v>100.871</v>
      </c>
      <c r="D674" t="n">
        <v>0.25</v>
      </c>
      <c r="E674" t="n">
        <v>232.229</v>
      </c>
    </row>
    <row r="675">
      <c r="A675" s="103" t="n">
        <v>41306</v>
      </c>
      <c r="B675" t="n">
        <v>101.156</v>
      </c>
      <c r="C675" t="n">
        <v>100.992</v>
      </c>
      <c r="D675" t="n">
        <v>0.25</v>
      </c>
      <c r="E675" t="n">
        <v>232.569</v>
      </c>
    </row>
    <row r="676">
      <c r="A676" s="103" t="n">
        <v>41334</v>
      </c>
      <c r="B676" t="n">
        <v>101.023</v>
      </c>
      <c r="C676" t="n">
        <v>101.085</v>
      </c>
      <c r="D676" t="n">
        <v>0.25</v>
      </c>
      <c r="E676" t="n">
        <v>232.794</v>
      </c>
    </row>
    <row r="677">
      <c r="A677" s="103" t="n">
        <v>41365</v>
      </c>
      <c r="B677" t="n">
        <v>100.944</v>
      </c>
      <c r="C677" t="n">
        <v>101.163</v>
      </c>
      <c r="D677" t="n">
        <v>0.25</v>
      </c>
      <c r="E677" t="n">
        <v>232.832</v>
      </c>
    </row>
    <row r="678">
      <c r="A678" s="103" t="n">
        <v>41395</v>
      </c>
      <c r="B678" t="n">
        <v>101.01</v>
      </c>
      <c r="C678" t="n">
        <v>101.272</v>
      </c>
      <c r="D678" t="n">
        <v>0.25</v>
      </c>
      <c r="E678" t="n">
        <v>232.996</v>
      </c>
    </row>
    <row r="679">
      <c r="A679" s="103" t="n">
        <v>41426</v>
      </c>
      <c r="B679" t="n">
        <v>101.228</v>
      </c>
      <c r="C679" t="n">
        <v>101.438</v>
      </c>
      <c r="D679" t="n">
        <v>0.25</v>
      </c>
      <c r="E679" t="n">
        <v>233.35</v>
      </c>
    </row>
    <row r="680">
      <c r="A680" s="103" t="n">
        <v>41456</v>
      </c>
      <c r="B680" t="n">
        <v>101.354</v>
      </c>
      <c r="C680" t="n">
        <v>101.567</v>
      </c>
      <c r="D680" t="n">
        <v>0.25</v>
      </c>
      <c r="E680" t="n">
        <v>233.88</v>
      </c>
    </row>
    <row r="681">
      <c r="A681" s="103" t="n">
        <v>41487</v>
      </c>
      <c r="B681" t="n">
        <v>101.51</v>
      </c>
      <c r="C681" t="n">
        <v>101.685</v>
      </c>
      <c r="D681" t="n">
        <v>0.25</v>
      </c>
      <c r="E681" t="n">
        <v>234.336</v>
      </c>
    </row>
    <row r="682">
      <c r="A682" s="103" t="n">
        <v>41518</v>
      </c>
      <c r="B682" t="n">
        <v>101.55</v>
      </c>
      <c r="C682" t="n">
        <v>101.799</v>
      </c>
      <c r="D682" t="n">
        <v>0.25</v>
      </c>
      <c r="E682" t="n">
        <v>234.7</v>
      </c>
    </row>
    <row r="683">
      <c r="A683" s="103" t="n">
        <v>41548</v>
      </c>
      <c r="B683" t="n">
        <v>101.722</v>
      </c>
      <c r="C683" t="n">
        <v>102.015</v>
      </c>
      <c r="D683" t="n">
        <v>0.25</v>
      </c>
      <c r="E683" t="n">
        <v>234.921</v>
      </c>
    </row>
    <row r="684">
      <c r="A684" s="103" t="n">
        <v>41579</v>
      </c>
      <c r="B684" t="n">
        <v>101.881</v>
      </c>
      <c r="C684" t="n">
        <v>102.194</v>
      </c>
      <c r="D684" t="n">
        <v>0.25</v>
      </c>
      <c r="E684" t="n">
        <v>235.359</v>
      </c>
    </row>
    <row r="685">
      <c r="A685" s="103" t="n">
        <v>41609</v>
      </c>
      <c r="B685" t="n">
        <v>102.084</v>
      </c>
      <c r="C685" t="n">
        <v>102.333</v>
      </c>
      <c r="D685" t="n">
        <v>0.25</v>
      </c>
      <c r="E685" t="n">
        <v>235.759</v>
      </c>
    </row>
    <row r="686">
      <c r="A686" s="103" t="n">
        <v>41640</v>
      </c>
      <c r="B686" t="n">
        <v>102.278</v>
      </c>
      <c r="C686" t="n">
        <v>102.426</v>
      </c>
      <c r="D686" t="n">
        <v>0.25</v>
      </c>
      <c r="E686" t="n">
        <v>235.961</v>
      </c>
    </row>
    <row r="687">
      <c r="A687" s="103" t="n">
        <v>41671</v>
      </c>
      <c r="B687" t="n">
        <v>102.338</v>
      </c>
      <c r="C687" t="n">
        <v>102.489</v>
      </c>
      <c r="D687" t="n">
        <v>0.25</v>
      </c>
      <c r="E687" t="n">
        <v>236.185</v>
      </c>
    </row>
    <row r="688">
      <c r="A688" s="103" t="n">
        <v>41699</v>
      </c>
      <c r="B688" t="n">
        <v>102.543</v>
      </c>
      <c r="C688" t="n">
        <v>102.684</v>
      </c>
      <c r="D688" t="n">
        <v>0.25</v>
      </c>
      <c r="E688" t="n">
        <v>236.625</v>
      </c>
    </row>
    <row r="689">
      <c r="A689" s="103" t="n">
        <v>41730</v>
      </c>
      <c r="B689" t="n">
        <v>102.742</v>
      </c>
      <c r="C689" t="n">
        <v>102.879</v>
      </c>
      <c r="D689" t="n">
        <v>0.25</v>
      </c>
      <c r="E689" t="n">
        <v>237.072</v>
      </c>
    </row>
    <row r="690">
      <c r="A690" s="103" t="n">
        <v>41760</v>
      </c>
      <c r="B690" t="n">
        <v>102.919</v>
      </c>
      <c r="C690" t="n">
        <v>103.061</v>
      </c>
      <c r="D690" t="n">
        <v>0.25</v>
      </c>
      <c r="E690" t="n">
        <v>237.529</v>
      </c>
    </row>
    <row r="691">
      <c r="A691" s="103" t="n">
        <v>41791</v>
      </c>
      <c r="B691" t="n">
        <v>103.035</v>
      </c>
      <c r="C691" t="n">
        <v>103.18</v>
      </c>
      <c r="D691" t="n">
        <v>0.25</v>
      </c>
      <c r="E691" t="n">
        <v>237.837</v>
      </c>
    </row>
    <row r="692">
      <c r="A692" s="103" t="n">
        <v>41821</v>
      </c>
      <c r="B692" t="n">
        <v>103.19</v>
      </c>
      <c r="C692" t="n">
        <v>103.369</v>
      </c>
      <c r="D692" t="n">
        <v>0.25</v>
      </c>
      <c r="E692" t="n">
        <v>238.195</v>
      </c>
    </row>
    <row r="693">
      <c r="A693" s="103" t="n">
        <v>41852</v>
      </c>
      <c r="B693" t="n">
        <v>103.177</v>
      </c>
      <c r="C693" t="n">
        <v>103.408</v>
      </c>
      <c r="D693" t="n">
        <v>0.25</v>
      </c>
      <c r="E693" t="n">
        <v>238.405</v>
      </c>
    </row>
    <row r="694">
      <c r="A694" s="103" t="n">
        <v>41883</v>
      </c>
      <c r="B694" t="n">
        <v>103.203</v>
      </c>
      <c r="C694" t="n">
        <v>103.536</v>
      </c>
      <c r="D694" t="n">
        <v>0.25</v>
      </c>
      <c r="E694" t="n">
        <v>238.786</v>
      </c>
    </row>
    <row r="695">
      <c r="A695" s="103" t="n">
        <v>41913</v>
      </c>
      <c r="B695" t="n">
        <v>103.177</v>
      </c>
      <c r="C695" t="n">
        <v>103.629</v>
      </c>
      <c r="D695" t="n">
        <v>0.25</v>
      </c>
      <c r="E695" t="n">
        <v>239.191</v>
      </c>
    </row>
    <row r="696">
      <c r="A696" s="103" t="n">
        <v>41944</v>
      </c>
      <c r="B696" t="n">
        <v>103.098</v>
      </c>
      <c r="C696" t="n">
        <v>103.74</v>
      </c>
      <c r="D696" t="n">
        <v>0.25</v>
      </c>
      <c r="E696" t="n">
        <v>239.458</v>
      </c>
    </row>
    <row r="697">
      <c r="A697" s="103" t="n">
        <v>41974</v>
      </c>
      <c r="B697" t="n">
        <v>102.94</v>
      </c>
      <c r="C697" t="n">
        <v>103.837</v>
      </c>
      <c r="D697" t="n">
        <v>0.25</v>
      </c>
      <c r="E697" t="n">
        <v>239.584</v>
      </c>
    </row>
    <row r="698">
      <c r="A698" s="103" t="n">
        <v>42005</v>
      </c>
      <c r="B698" t="n">
        <v>102.465</v>
      </c>
      <c r="C698" t="n">
        <v>103.816</v>
      </c>
      <c r="D698" t="n">
        <v>0.25</v>
      </c>
      <c r="E698" t="n">
        <v>239.811</v>
      </c>
    </row>
    <row r="699">
      <c r="A699" s="103" t="n">
        <v>42036</v>
      </c>
      <c r="B699" t="n">
        <v>102.634</v>
      </c>
      <c r="C699" t="n">
        <v>103.92</v>
      </c>
      <c r="D699" t="n">
        <v>0.25</v>
      </c>
      <c r="E699" t="n">
        <v>240.172</v>
      </c>
    </row>
    <row r="700">
      <c r="A700" s="103" t="n">
        <v>42064</v>
      </c>
      <c r="B700" t="n">
        <v>102.831</v>
      </c>
      <c r="C700" t="n">
        <v>104.08</v>
      </c>
      <c r="D700" t="n">
        <v>0.25</v>
      </c>
      <c r="E700" t="n">
        <v>240.755</v>
      </c>
    </row>
    <row r="701">
      <c r="A701" s="103" t="n">
        <v>42095</v>
      </c>
      <c r="B701" t="n">
        <v>102.91</v>
      </c>
      <c r="C701" t="n">
        <v>104.256</v>
      </c>
      <c r="D701" t="n">
        <v>0.25</v>
      </c>
      <c r="E701" t="n">
        <v>241.346</v>
      </c>
    </row>
    <row r="702">
      <c r="A702" s="103" t="n">
        <v>42125</v>
      </c>
      <c r="B702" t="n">
        <v>103.156</v>
      </c>
      <c r="C702" t="n">
        <v>104.385</v>
      </c>
      <c r="D702" t="n">
        <v>0.25</v>
      </c>
      <c r="E702" t="n">
        <v>241.688</v>
      </c>
    </row>
    <row r="703">
      <c r="A703" s="103" t="n">
        <v>42156</v>
      </c>
      <c r="B703" t="n">
        <v>103.356</v>
      </c>
      <c r="C703" t="n">
        <v>104.511</v>
      </c>
      <c r="D703" t="n">
        <v>0.25</v>
      </c>
      <c r="E703" t="n">
        <v>242.064</v>
      </c>
    </row>
    <row r="704">
      <c r="A704" s="103" t="n">
        <v>42186</v>
      </c>
      <c r="B704" t="n">
        <v>103.441</v>
      </c>
      <c r="C704" t="n">
        <v>104.603</v>
      </c>
      <c r="D704" t="n">
        <v>0.25</v>
      </c>
      <c r="E704" t="n">
        <v>242.565</v>
      </c>
    </row>
    <row r="705">
      <c r="A705" s="103" t="n">
        <v>42217</v>
      </c>
      <c r="B705" t="n">
        <v>103.442</v>
      </c>
      <c r="C705" t="n">
        <v>104.679</v>
      </c>
      <c r="D705" t="n">
        <v>0.25</v>
      </c>
      <c r="E705" t="n">
        <v>242.817</v>
      </c>
    </row>
    <row r="706">
      <c r="A706" s="103" t="n">
        <v>42248</v>
      </c>
      <c r="B706" t="n">
        <v>103.289</v>
      </c>
      <c r="C706" t="n">
        <v>104.814</v>
      </c>
      <c r="D706" t="n">
        <v>0.25</v>
      </c>
      <c r="E706" t="n">
        <v>243.316</v>
      </c>
    </row>
    <row r="707">
      <c r="A707" s="103" t="n">
        <v>42278</v>
      </c>
      <c r="B707" t="n">
        <v>103.274</v>
      </c>
      <c r="C707" t="n">
        <v>104.829</v>
      </c>
      <c r="D707" t="n">
        <v>0.25</v>
      </c>
      <c r="E707" t="n">
        <v>243.768</v>
      </c>
    </row>
    <row r="708">
      <c r="A708" s="103" t="n">
        <v>42309</v>
      </c>
      <c r="B708" t="n">
        <v>103.337</v>
      </c>
      <c r="C708" t="n">
        <v>104.94</v>
      </c>
      <c r="D708" t="n">
        <v>0.25</v>
      </c>
      <c r="E708" t="n">
        <v>244.241</v>
      </c>
    </row>
    <row r="709">
      <c r="A709" s="103" t="n">
        <v>42339</v>
      </c>
      <c r="B709" t="n">
        <v>103.253</v>
      </c>
      <c r="C709" t="n">
        <v>105.009</v>
      </c>
      <c r="D709" t="n">
        <v>0.25</v>
      </c>
      <c r="E709" t="n">
        <v>244.547</v>
      </c>
    </row>
    <row r="710">
      <c r="A710" s="103" t="n">
        <v>42370</v>
      </c>
      <c r="B710" t="n">
        <v>103.306</v>
      </c>
      <c r="C710" t="n">
        <v>105.204</v>
      </c>
      <c r="D710" t="n">
        <v>0.5</v>
      </c>
      <c r="E710" t="n">
        <v>244.955</v>
      </c>
    </row>
    <row r="711">
      <c r="A711" s="103" t="n">
        <v>42401</v>
      </c>
      <c r="B711" t="n">
        <v>103.242</v>
      </c>
      <c r="C711" t="n">
        <v>105.369</v>
      </c>
      <c r="D711" t="n">
        <v>0.5</v>
      </c>
      <c r="E711" t="n">
        <v>245.51</v>
      </c>
    </row>
    <row r="712">
      <c r="A712" s="103" t="n">
        <v>42430</v>
      </c>
      <c r="B712" t="n">
        <v>103.481</v>
      </c>
      <c r="C712" t="n">
        <v>105.521</v>
      </c>
      <c r="D712" t="n">
        <v>0.5</v>
      </c>
      <c r="E712" t="n">
        <v>245.913</v>
      </c>
    </row>
    <row r="713">
      <c r="A713" s="103" t="n">
        <v>42461</v>
      </c>
      <c r="B713" t="n">
        <v>103.823</v>
      </c>
      <c r="C713" t="n">
        <v>105.786</v>
      </c>
      <c r="D713" t="n">
        <v>0.5</v>
      </c>
      <c r="E713" t="n">
        <v>246.551</v>
      </c>
    </row>
    <row r="714">
      <c r="A714" s="103" t="n">
        <v>42491</v>
      </c>
      <c r="B714" t="n">
        <v>103.977</v>
      </c>
      <c r="C714" t="n">
        <v>105.948</v>
      </c>
      <c r="D714" t="n">
        <v>0.5</v>
      </c>
      <c r="E714" t="n">
        <v>247.137</v>
      </c>
    </row>
    <row r="715">
      <c r="A715" s="103" t="n">
        <v>42522</v>
      </c>
      <c r="B715" t="n">
        <v>104.175</v>
      </c>
      <c r="C715" t="n">
        <v>106.077</v>
      </c>
      <c r="D715" t="n">
        <v>0.5</v>
      </c>
      <c r="E715" t="n">
        <v>247.54</v>
      </c>
    </row>
    <row r="716">
      <c r="A716" s="103" t="n">
        <v>42552</v>
      </c>
      <c r="B716" t="n">
        <v>104.218</v>
      </c>
      <c r="C716" t="n">
        <v>106.257</v>
      </c>
      <c r="D716" t="n">
        <v>0.5</v>
      </c>
      <c r="E716" t="n">
        <v>247.829</v>
      </c>
    </row>
    <row r="717">
      <c r="A717" s="103" t="n">
        <v>42583</v>
      </c>
      <c r="B717" t="n">
        <v>104.374</v>
      </c>
      <c r="C717" t="n">
        <v>106.456</v>
      </c>
      <c r="D717" t="n">
        <v>0.5</v>
      </c>
      <c r="E717" t="n">
        <v>248.423</v>
      </c>
    </row>
    <row r="718">
      <c r="A718" s="103" t="n">
        <v>42614</v>
      </c>
      <c r="B718" t="n">
        <v>104.555</v>
      </c>
      <c r="C718" t="n">
        <v>106.579</v>
      </c>
      <c r="D718" t="n">
        <v>0.5</v>
      </c>
      <c r="E718" t="n">
        <v>248.842</v>
      </c>
    </row>
    <row r="719">
      <c r="A719" s="103" t="n">
        <v>42644</v>
      </c>
      <c r="B719" t="n">
        <v>104.786</v>
      </c>
      <c r="C719" t="n">
        <v>106.737</v>
      </c>
      <c r="D719" t="n">
        <v>0.5</v>
      </c>
      <c r="E719" t="n">
        <v>249.142</v>
      </c>
    </row>
    <row r="720">
      <c r="A720" s="103" t="n">
        <v>42675</v>
      </c>
      <c r="B720" t="n">
        <v>104.826</v>
      </c>
      <c r="C720" t="n">
        <v>106.789</v>
      </c>
      <c r="D720" t="n">
        <v>0.5</v>
      </c>
      <c r="E720" t="n">
        <v>249.481</v>
      </c>
    </row>
    <row r="721">
      <c r="A721" s="103" t="n">
        <v>42705</v>
      </c>
      <c r="B721" t="n">
        <v>105.017</v>
      </c>
      <c r="C721" t="n">
        <v>106.929</v>
      </c>
      <c r="D721" t="n">
        <v>0.5</v>
      </c>
      <c r="E721" t="n">
        <v>249.92</v>
      </c>
    </row>
    <row r="722">
      <c r="A722" s="103" t="n">
        <v>42736</v>
      </c>
      <c r="B722" t="n">
        <v>105.41</v>
      </c>
      <c r="C722" t="n">
        <v>107.204</v>
      </c>
      <c r="D722" t="n">
        <v>0.75</v>
      </c>
      <c r="E722" t="n">
        <v>250.462</v>
      </c>
    </row>
    <row r="723">
      <c r="A723" s="103" t="n">
        <v>42767</v>
      </c>
      <c r="B723" t="n">
        <v>105.502</v>
      </c>
      <c r="C723" t="n">
        <v>107.357</v>
      </c>
      <c r="D723" t="n">
        <v>0.75</v>
      </c>
      <c r="E723" t="n">
        <v>250.903</v>
      </c>
    </row>
    <row r="724">
      <c r="A724" s="103" t="n">
        <v>42795</v>
      </c>
      <c r="B724" t="n">
        <v>105.448</v>
      </c>
      <c r="C724" t="n">
        <v>107.307</v>
      </c>
      <c r="D724" t="n">
        <v>0.75</v>
      </c>
      <c r="E724" t="n">
        <v>250.836</v>
      </c>
    </row>
    <row r="725">
      <c r="A725" s="103" t="n">
        <v>42826</v>
      </c>
      <c r="B725" t="n">
        <v>105.732</v>
      </c>
      <c r="C725" t="n">
        <v>107.587</v>
      </c>
      <c r="D725" t="n">
        <v>1</v>
      </c>
      <c r="E725" t="n">
        <v>251.252</v>
      </c>
    </row>
    <row r="726">
      <c r="A726" s="103" t="n">
        <v>42856</v>
      </c>
      <c r="B726" t="n">
        <v>105.703</v>
      </c>
      <c r="C726" t="n">
        <v>107.699</v>
      </c>
      <c r="D726" t="n">
        <v>1</v>
      </c>
      <c r="E726" t="n">
        <v>251.488</v>
      </c>
    </row>
    <row r="727">
      <c r="A727" s="103" t="n">
        <v>42887</v>
      </c>
      <c r="B727" t="n">
        <v>105.818</v>
      </c>
      <c r="C727" t="n">
        <v>107.876</v>
      </c>
      <c r="D727" t="n">
        <v>1</v>
      </c>
      <c r="E727" t="n">
        <v>251.822</v>
      </c>
    </row>
    <row r="728">
      <c r="A728" s="103" t="n">
        <v>42917</v>
      </c>
      <c r="B728" t="n">
        <v>105.844</v>
      </c>
      <c r="C728" t="n">
        <v>107.944</v>
      </c>
      <c r="D728" t="n">
        <v>1.25</v>
      </c>
      <c r="E728" t="n">
        <v>252.047</v>
      </c>
    </row>
    <row r="729">
      <c r="A729" s="103" t="n">
        <v>42948</v>
      </c>
      <c r="B729" t="n">
        <v>106.074</v>
      </c>
      <c r="C729" t="n">
        <v>108.058</v>
      </c>
      <c r="D729" t="n">
        <v>1.25</v>
      </c>
      <c r="E729" t="n">
        <v>252.597</v>
      </c>
    </row>
    <row r="730">
      <c r="A730" s="103" t="n">
        <v>42979</v>
      </c>
      <c r="B730" t="n">
        <v>106.52</v>
      </c>
      <c r="C730" t="n">
        <v>108.267</v>
      </c>
      <c r="D730" t="n">
        <v>1.25</v>
      </c>
      <c r="E730" t="n">
        <v>253.039</v>
      </c>
    </row>
    <row r="731">
      <c r="A731" s="103" t="n">
        <v>43009</v>
      </c>
      <c r="B731" t="n">
        <v>106.692</v>
      </c>
      <c r="C731" t="n">
        <v>108.546</v>
      </c>
      <c r="D731" t="n">
        <v>1.25</v>
      </c>
      <c r="E731" t="n">
        <v>253.535</v>
      </c>
    </row>
    <row r="732">
      <c r="A732" s="103" t="n">
        <v>43040</v>
      </c>
      <c r="B732" t="n">
        <v>106.88</v>
      </c>
      <c r="C732" t="n">
        <v>108.601</v>
      </c>
      <c r="D732" t="n">
        <v>1.25</v>
      </c>
      <c r="E732" t="n">
        <v>253.744</v>
      </c>
    </row>
    <row r="733">
      <c r="A733" s="103" t="n">
        <v>43070</v>
      </c>
      <c r="B733" t="n">
        <v>106.995</v>
      </c>
      <c r="C733" t="n">
        <v>108.769</v>
      </c>
      <c r="D733" t="n">
        <v>1.25</v>
      </c>
      <c r="E733" t="n">
        <v>254.308</v>
      </c>
    </row>
    <row r="734">
      <c r="A734" s="103" t="n">
        <v>43101</v>
      </c>
      <c r="B734" t="n">
        <v>107.354</v>
      </c>
      <c r="C734" t="n">
        <v>109.06</v>
      </c>
      <c r="D734" t="n">
        <v>1.5</v>
      </c>
      <c r="E734" t="n">
        <v>255.007</v>
      </c>
    </row>
    <row r="735">
      <c r="A735" s="103" t="n">
        <v>43132</v>
      </c>
      <c r="B735" t="n">
        <v>107.574</v>
      </c>
      <c r="C735" t="n">
        <v>109.273</v>
      </c>
      <c r="D735" t="n">
        <v>1.5</v>
      </c>
      <c r="E735" t="n">
        <v>255.472</v>
      </c>
    </row>
    <row r="736">
      <c r="A736" s="103" t="n">
        <v>43160</v>
      </c>
      <c r="B736" t="n">
        <v>107.744</v>
      </c>
      <c r="C736" t="n">
        <v>109.542</v>
      </c>
      <c r="D736" t="n">
        <v>1.5</v>
      </c>
      <c r="E736" t="n">
        <v>256.117</v>
      </c>
    </row>
    <row r="737">
      <c r="A737" s="103" t="n">
        <v>43191</v>
      </c>
      <c r="B737" t="n">
        <v>108.008</v>
      </c>
      <c r="C737" t="n">
        <v>109.752</v>
      </c>
      <c r="D737" t="n">
        <v>1.75</v>
      </c>
      <c r="E737" t="n">
        <v>256.656</v>
      </c>
    </row>
    <row r="738">
      <c r="A738" s="103" t="n">
        <v>43221</v>
      </c>
      <c r="B738" t="n">
        <v>108.203</v>
      </c>
      <c r="C738" t="n">
        <v>109.969</v>
      </c>
      <c r="D738" t="n">
        <v>1.75</v>
      </c>
      <c r="E738" t="n">
        <v>257.157</v>
      </c>
    </row>
    <row r="739">
      <c r="A739" s="103" t="n">
        <v>43252</v>
      </c>
      <c r="B739" t="n">
        <v>108.341</v>
      </c>
      <c r="C739" t="n">
        <v>110.106</v>
      </c>
      <c r="D739" t="n">
        <v>1.75</v>
      </c>
      <c r="E739" t="n">
        <v>257.534</v>
      </c>
    </row>
    <row r="740">
      <c r="A740" s="103" t="n">
        <v>43282</v>
      </c>
      <c r="B740" t="n">
        <v>108.427</v>
      </c>
      <c r="C740" t="n">
        <v>110.238</v>
      </c>
      <c r="D740" t="n">
        <v>2</v>
      </c>
      <c r="E740" t="n">
        <v>257.93</v>
      </c>
    </row>
    <row r="741">
      <c r="A741" s="103" t="n">
        <v>43313</v>
      </c>
      <c r="B741" t="n">
        <v>108.491</v>
      </c>
      <c r="C741" t="n">
        <v>110.247</v>
      </c>
      <c r="D741" t="n">
        <v>2</v>
      </c>
      <c r="E741" t="n">
        <v>258.08</v>
      </c>
    </row>
    <row r="742">
      <c r="A742" s="103" t="n">
        <v>43344</v>
      </c>
      <c r="B742" t="n">
        <v>108.72</v>
      </c>
      <c r="C742" t="n">
        <v>110.475</v>
      </c>
      <c r="D742" t="n">
        <v>2</v>
      </c>
      <c r="E742" t="n">
        <v>258.534</v>
      </c>
    </row>
    <row r="743">
      <c r="A743" s="103" t="n">
        <v>43374</v>
      </c>
      <c r="B743" t="n">
        <v>108.947</v>
      </c>
      <c r="C743" t="n">
        <v>110.641</v>
      </c>
      <c r="D743" t="n">
        <v>2.25</v>
      </c>
      <c r="E743" t="n">
        <v>258.989</v>
      </c>
    </row>
    <row r="744">
      <c r="A744" s="103" t="n">
        <v>43405</v>
      </c>
      <c r="B744" t="n">
        <v>109.023</v>
      </c>
      <c r="C744" t="n">
        <v>110.838</v>
      </c>
      <c r="D744" t="n">
        <v>2.25</v>
      </c>
      <c r="E744" t="n">
        <v>259.415</v>
      </c>
    </row>
    <row r="745">
      <c r="A745" s="103" t="n">
        <v>43435</v>
      </c>
      <c r="B745" t="n">
        <v>108.99</v>
      </c>
      <c r="C745" t="n">
        <v>111.006</v>
      </c>
      <c r="D745" t="n">
        <v>2.25</v>
      </c>
      <c r="E745" t="n">
        <v>259.873</v>
      </c>
    </row>
    <row r="746">
      <c r="A746" s="103" t="n">
        <v>43466</v>
      </c>
      <c r="B746" t="n">
        <v>108.93</v>
      </c>
      <c r="C746" t="n">
        <v>111.06</v>
      </c>
      <c r="D746" t="n">
        <v>2.5</v>
      </c>
      <c r="E746" t="n">
        <v>260.419</v>
      </c>
    </row>
    <row r="747">
      <c r="A747" s="103" t="n">
        <v>43497</v>
      </c>
      <c r="B747" t="n">
        <v>109.036</v>
      </c>
      <c r="C747" t="n">
        <v>111.096</v>
      </c>
      <c r="D747" t="n">
        <v>2.5</v>
      </c>
      <c r="E747" t="n">
        <v>260.722</v>
      </c>
    </row>
    <row r="748">
      <c r="A748" s="103" t="n">
        <v>43525</v>
      </c>
      <c r="B748" t="n">
        <v>109.333</v>
      </c>
      <c r="C748" t="n">
        <v>111.254</v>
      </c>
      <c r="D748" t="n">
        <v>2.5</v>
      </c>
      <c r="E748" t="n">
        <v>261.339</v>
      </c>
    </row>
    <row r="749">
      <c r="A749" s="103" t="n">
        <v>43556</v>
      </c>
      <c r="B749" t="n">
        <v>109.759</v>
      </c>
      <c r="C749" t="n">
        <v>111.607</v>
      </c>
      <c r="D749" t="n">
        <v>2.5</v>
      </c>
      <c r="E749" t="n">
        <v>262.05</v>
      </c>
    </row>
    <row r="750">
      <c r="A750" s="103" t="n">
        <v>43586</v>
      </c>
      <c r="B750" t="n">
        <v>109.827</v>
      </c>
      <c r="C750" t="n">
        <v>111.744</v>
      </c>
      <c r="D750" t="n">
        <v>2.5</v>
      </c>
      <c r="E750" t="n">
        <v>262.384</v>
      </c>
    </row>
    <row r="751">
      <c r="A751" s="103" t="n">
        <v>43617</v>
      </c>
      <c r="B751" t="n">
        <v>109.92</v>
      </c>
      <c r="C751" t="n">
        <v>111.997</v>
      </c>
      <c r="D751" t="n">
        <v>2.5</v>
      </c>
      <c r="E751" t="n">
        <v>263.117</v>
      </c>
    </row>
    <row r="752">
      <c r="A752" s="103" t="n">
        <v>43647</v>
      </c>
      <c r="B752" t="n">
        <v>110.074</v>
      </c>
      <c r="C752" t="n">
        <v>112.15</v>
      </c>
      <c r="D752" t="n">
        <v>2.5</v>
      </c>
      <c r="E752" t="n">
        <v>263.616</v>
      </c>
    </row>
    <row r="753">
      <c r="A753" s="103" t="n">
        <v>43678</v>
      </c>
      <c r="B753" t="n">
        <v>110.133</v>
      </c>
      <c r="C753" t="n">
        <v>112.289</v>
      </c>
      <c r="D753" t="n">
        <v>2.25</v>
      </c>
      <c r="E753" t="n">
        <v>264.151</v>
      </c>
    </row>
    <row r="754">
      <c r="A754" s="103" t="n">
        <v>43709</v>
      </c>
      <c r="B754" t="n">
        <v>110.215</v>
      </c>
      <c r="C754" t="n">
        <v>112.367</v>
      </c>
      <c r="D754" t="n">
        <v>2.25</v>
      </c>
      <c r="E754" t="n">
        <v>264.603</v>
      </c>
    </row>
    <row r="755">
      <c r="A755" s="103" t="n">
        <v>43739</v>
      </c>
      <c r="B755" t="n">
        <v>110.479</v>
      </c>
      <c r="C755" t="n">
        <v>112.54</v>
      </c>
      <c r="D755" t="n">
        <v>2</v>
      </c>
      <c r="E755" t="n">
        <v>265.026</v>
      </c>
    </row>
    <row r="756">
      <c r="A756" s="103" t="n">
        <v>43770</v>
      </c>
      <c r="B756" t="n">
        <v>110.568</v>
      </c>
      <c r="C756" t="n">
        <v>112.576</v>
      </c>
      <c r="D756" t="n">
        <v>1.75</v>
      </c>
      <c r="E756" t="n">
        <v>265.427</v>
      </c>
    </row>
    <row r="757">
      <c r="A757" s="103" t="n">
        <v>43800</v>
      </c>
      <c r="B757" t="n">
        <v>110.789</v>
      </c>
      <c r="C757" t="n">
        <v>112.824</v>
      </c>
      <c r="D757" t="n">
        <v>1.75</v>
      </c>
      <c r="E757" t="n">
        <v>265.651</v>
      </c>
    </row>
    <row r="758">
      <c r="A758" s="103" t="n">
        <v>43831</v>
      </c>
      <c r="B758" t="n">
        <v>111.002</v>
      </c>
      <c r="C758" t="n">
        <v>113.04</v>
      </c>
      <c r="D758" t="n">
        <v>1.75</v>
      </c>
      <c r="E758" t="n">
        <v>266.306</v>
      </c>
    </row>
    <row r="759">
      <c r="A759" s="103" t="n">
        <v>43862</v>
      </c>
      <c r="B759" t="n">
        <v>111.071</v>
      </c>
      <c r="C759" t="n">
        <v>113.215</v>
      </c>
      <c r="D759" t="n">
        <v>1.75</v>
      </c>
      <c r="E759" t="n">
        <v>266.876</v>
      </c>
    </row>
    <row r="760">
      <c r="A760" s="103" t="n">
        <v>43891</v>
      </c>
      <c r="B760" t="n">
        <v>110.802</v>
      </c>
      <c r="C760" t="n">
        <v>113.15</v>
      </c>
      <c r="D760" t="n">
        <v>1.75</v>
      </c>
      <c r="E760" t="n">
        <v>266.82</v>
      </c>
    </row>
    <row r="761">
      <c r="A761" s="103" t="n">
        <v>43922</v>
      </c>
      <c r="B761" t="n">
        <v>110.213</v>
      </c>
      <c r="C761" t="n">
        <v>112.628</v>
      </c>
      <c r="D761" t="n">
        <v>0.25</v>
      </c>
      <c r="E761" t="n">
        <v>265.836</v>
      </c>
    </row>
    <row r="762">
      <c r="A762" s="103" t="n">
        <v>43952</v>
      </c>
      <c r="B762" t="n">
        <v>110.385</v>
      </c>
      <c r="C762" t="n">
        <v>112.864</v>
      </c>
      <c r="D762" t="n">
        <v>0.25</v>
      </c>
      <c r="E762" t="n">
        <v>265.637</v>
      </c>
    </row>
    <row r="763">
      <c r="A763" s="103" t="n">
        <v>43983</v>
      </c>
      <c r="B763" t="n">
        <v>110.918</v>
      </c>
      <c r="C763" t="n">
        <v>113.265</v>
      </c>
      <c r="D763" t="n">
        <v>0.25</v>
      </c>
      <c r="E763" t="n">
        <v>266.282</v>
      </c>
    </row>
    <row r="764">
      <c r="A764" s="103" t="n">
        <v>44013</v>
      </c>
      <c r="B764" t="n">
        <v>111.221</v>
      </c>
      <c r="C764" t="n">
        <v>113.61</v>
      </c>
      <c r="D764" t="n">
        <v>0.25</v>
      </c>
      <c r="E764" t="n">
        <v>267.722</v>
      </c>
    </row>
    <row r="765">
      <c r="A765" s="103" t="n">
        <v>44044</v>
      </c>
      <c r="B765" t="n">
        <v>111.563</v>
      </c>
      <c r="C765" t="n">
        <v>113.971</v>
      </c>
      <c r="D765" t="n">
        <v>0.25</v>
      </c>
      <c r="E765" t="n">
        <v>268.654</v>
      </c>
    </row>
    <row r="766">
      <c r="A766" s="103" t="n">
        <v>44075</v>
      </c>
      <c r="B766" t="n">
        <v>111.736</v>
      </c>
      <c r="C766" t="n">
        <v>114.131</v>
      </c>
      <c r="D766" t="n">
        <v>0.25</v>
      </c>
      <c r="E766" t="n">
        <v>269.155</v>
      </c>
    </row>
    <row r="767">
      <c r="A767" s="103" t="n">
        <v>44105</v>
      </c>
      <c r="B767" t="n">
        <v>111.775</v>
      </c>
      <c r="C767" t="n">
        <v>114.137</v>
      </c>
      <c r="D767" t="n">
        <v>0.25</v>
      </c>
      <c r="E767" t="n">
        <v>269.35</v>
      </c>
    </row>
    <row r="768">
      <c r="A768" s="103" t="n">
        <v>44136</v>
      </c>
      <c r="B768" t="n">
        <v>111.79</v>
      </c>
      <c r="C768" t="n">
        <v>114.134</v>
      </c>
      <c r="D768" t="n">
        <v>0.25</v>
      </c>
      <c r="E768" t="n">
        <v>269.819</v>
      </c>
    </row>
    <row r="769">
      <c r="A769" s="103" t="n">
        <v>44166</v>
      </c>
      <c r="B769" t="n">
        <v>112.22</v>
      </c>
      <c r="C769" t="n">
        <v>114.494</v>
      </c>
      <c r="D769" t="n">
        <v>0.25</v>
      </c>
      <c r="E769" t="n">
        <v>269.94</v>
      </c>
    </row>
    <row r="770">
      <c r="A770" s="103" t="n">
        <v>44197</v>
      </c>
      <c r="B770" t="n">
        <v>112.57</v>
      </c>
      <c r="C770" t="n">
        <v>114.746</v>
      </c>
      <c r="D770" t="n">
        <v>0.25</v>
      </c>
      <c r="E770" t="n">
        <v>270.025</v>
      </c>
    </row>
    <row r="771">
      <c r="A771" s="103" t="n">
        <v>44228</v>
      </c>
      <c r="B771" t="n">
        <v>112.878</v>
      </c>
      <c r="C771" t="n">
        <v>114.899</v>
      </c>
      <c r="D771" t="n">
        <v>0.25</v>
      </c>
      <c r="E771" t="n">
        <v>270.299</v>
      </c>
    </row>
    <row r="772">
      <c r="A772" s="103" t="n">
        <v>44256</v>
      </c>
      <c r="B772" t="n">
        <v>113.518</v>
      </c>
      <c r="C772" t="n">
        <v>115.383</v>
      </c>
      <c r="D772" t="n">
        <v>0.25</v>
      </c>
      <c r="E772" t="n">
        <v>271.214</v>
      </c>
    </row>
    <row r="773">
      <c r="A773" s="103" t="n">
        <v>44287</v>
      </c>
      <c r="B773" t="n">
        <v>114.161</v>
      </c>
      <c r="C773" t="n">
        <v>116.1</v>
      </c>
      <c r="D773" t="n">
        <v>0.25</v>
      </c>
      <c r="E773" t="n">
        <v>273.7</v>
      </c>
    </row>
    <row r="774">
      <c r="A774" s="103" t="n">
        <v>44317</v>
      </c>
      <c r="B774" t="n">
        <v>114.767</v>
      </c>
      <c r="C774" t="n">
        <v>116.766</v>
      </c>
      <c r="D774" t="n">
        <v>0.25</v>
      </c>
      <c r="E774" t="n">
        <v>275.718</v>
      </c>
    </row>
    <row r="775">
      <c r="A775" s="103" t="n">
        <v>44348</v>
      </c>
      <c r="B775" t="n">
        <v>115.388</v>
      </c>
      <c r="C775" t="n">
        <v>117.327</v>
      </c>
      <c r="D775" t="n">
        <v>0.25</v>
      </c>
      <c r="E775" t="n">
        <v>278.14</v>
      </c>
    </row>
    <row r="776">
      <c r="A776" s="103" t="n">
        <v>44378</v>
      </c>
      <c r="B776" t="n">
        <v>115.847</v>
      </c>
      <c r="C776" t="n">
        <v>117.704</v>
      </c>
      <c r="D776" t="n">
        <v>0.25</v>
      </c>
      <c r="E776" t="n">
        <v>279.054</v>
      </c>
    </row>
    <row r="777">
      <c r="A777" s="103" t="n">
        <v>44409</v>
      </c>
      <c r="B777" t="n">
        <v>116.29</v>
      </c>
      <c r="C777" t="n">
        <v>118.073</v>
      </c>
      <c r="D777" t="n">
        <v>0.25</v>
      </c>
      <c r="E777" t="n">
        <v>279.338</v>
      </c>
    </row>
    <row r="778">
      <c r="A778" s="103" t="n">
        <v>44440</v>
      </c>
      <c r="B778" t="n">
        <v>116.693</v>
      </c>
      <c r="C778" t="n">
        <v>118.357</v>
      </c>
      <c r="D778" t="n">
        <v>0.25</v>
      </c>
      <c r="E778" t="n">
        <v>280.017</v>
      </c>
    </row>
    <row r="779">
      <c r="A779" s="103" t="n">
        <v>44470</v>
      </c>
      <c r="B779" t="n">
        <v>117.45</v>
      </c>
      <c r="C779" t="n">
        <v>118.881</v>
      </c>
      <c r="D779" t="n">
        <v>0.25</v>
      </c>
      <c r="E779" t="n">
        <v>281.695</v>
      </c>
    </row>
    <row r="780">
      <c r="A780" s="103" t="n">
        <v>44501</v>
      </c>
      <c r="B780" t="n">
        <v>118.186</v>
      </c>
      <c r="C780" t="n">
        <v>119.452</v>
      </c>
      <c r="D780" t="n">
        <v>0.25</v>
      </c>
      <c r="E780" t="n">
        <v>283.201</v>
      </c>
    </row>
    <row r="781">
      <c r="A781" s="103" t="n">
        <v>44531</v>
      </c>
      <c r="B781" t="n">
        <v>118.715</v>
      </c>
      <c r="C781" t="n">
        <v>120.047</v>
      </c>
      <c r="D781" t="n">
        <v>0.25</v>
      </c>
      <c r="E781" t="n">
        <v>284.759</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60" zoomScaleNormal="160" workbookViewId="0">
      <pane ySplit="4" topLeftCell="A721" activePane="bottomLeft" state="frozen"/>
      <selection pane="bottomLeft" activeCell="C762" sqref="C762"/>
    </sheetView>
  </sheetViews>
  <sheetFormatPr baseColWidth="10" defaultColWidth="8.83203125" defaultRowHeight="15"/>
  <cols>
    <col width="10.83203125" customWidth="1" style="3" min="1" max="1"/>
    <col width="18.1640625" customWidth="1" style="38" min="2" max="2"/>
    <col width="15" customWidth="1" style="1" min="3" max="3"/>
    <col width="13" customWidth="1" style="2" min="4" max="4"/>
    <col width="9.1640625" customWidth="1" style="51" min="5" max="66"/>
    <col width="10.83203125" customWidth="1" style="63" min="253" max="253"/>
    <col width="18.1640625" customWidth="1" style="63" min="254" max="254"/>
    <col width="15" customWidth="1" style="63" min="255" max="255"/>
    <col width="13" customWidth="1" style="63" min="256" max="259"/>
    <col width="17.6640625" customWidth="1" style="63" min="260" max="260"/>
    <col width="10.83203125" customWidth="1" style="63" min="509" max="509"/>
    <col width="18.1640625" customWidth="1" style="63" min="510" max="510"/>
    <col width="15" customWidth="1" style="63" min="511" max="511"/>
    <col width="13" customWidth="1" style="63" min="512" max="515"/>
    <col width="17.6640625" customWidth="1" style="63" min="516" max="516"/>
    <col width="10.83203125" customWidth="1" style="63" min="765" max="765"/>
    <col width="18.1640625" customWidth="1" style="63" min="766" max="766"/>
    <col width="15" customWidth="1" style="63" min="767" max="767"/>
    <col width="13" customWidth="1" style="63" min="768" max="771"/>
    <col width="17.6640625" customWidth="1" style="63" min="772" max="772"/>
    <col width="10.83203125" customWidth="1" style="63" min="1021" max="1021"/>
    <col width="18.1640625" customWidth="1" style="63" min="1022" max="1022"/>
    <col width="15" customWidth="1" style="63" min="1023" max="1023"/>
    <col width="13" customWidth="1" style="63" min="1024" max="1027"/>
    <col width="17.6640625" customWidth="1" style="63" min="1028" max="1028"/>
    <col width="10.83203125" customWidth="1" style="63" min="1277" max="1277"/>
    <col width="18.1640625" customWidth="1" style="63" min="1278" max="1278"/>
    <col width="15" customWidth="1" style="63" min="1279" max="1279"/>
    <col width="13" customWidth="1" style="63" min="1280" max="1283"/>
    <col width="17.6640625" customWidth="1" style="63" min="1284" max="1284"/>
    <col width="10.83203125" customWidth="1" style="63" min="1533" max="1533"/>
    <col width="18.1640625" customWidth="1" style="63" min="1534" max="1534"/>
    <col width="15" customWidth="1" style="63" min="1535" max="1535"/>
    <col width="13" customWidth="1" style="63" min="1536" max="1539"/>
    <col width="17.6640625" customWidth="1" style="63" min="1540" max="1540"/>
    <col width="10.83203125" customWidth="1" style="63" min="1789" max="1789"/>
    <col width="18.1640625" customWidth="1" style="63" min="1790" max="1790"/>
    <col width="15" customWidth="1" style="63" min="1791" max="1791"/>
    <col width="13" customWidth="1" style="63" min="1792" max="1795"/>
    <col width="17.6640625" customWidth="1" style="63" min="1796" max="1796"/>
    <col width="10.83203125" customWidth="1" style="63" min="2045" max="2045"/>
    <col width="18.1640625" customWidth="1" style="63" min="2046" max="2046"/>
    <col width="15" customWidth="1" style="63" min="2047" max="2047"/>
    <col width="13" customWidth="1" style="63" min="2048" max="2051"/>
    <col width="17.6640625" customWidth="1" style="63" min="2052" max="2052"/>
    <col width="10.83203125" customWidth="1" style="63" min="2301" max="2301"/>
    <col width="18.1640625" customWidth="1" style="63" min="2302" max="2302"/>
    <col width="15" customWidth="1" style="63" min="2303" max="2303"/>
    <col width="13" customWidth="1" style="63" min="2304" max="2307"/>
    <col width="17.6640625" customWidth="1" style="63" min="2308" max="2308"/>
    <col width="10.83203125" customWidth="1" style="63" min="2557" max="2557"/>
    <col width="18.1640625" customWidth="1" style="63" min="2558" max="2558"/>
    <col width="15" customWidth="1" style="63" min="2559" max="2559"/>
    <col width="13" customWidth="1" style="63" min="2560" max="2563"/>
    <col width="17.6640625" customWidth="1" style="63" min="2564" max="2564"/>
    <col width="10.83203125" customWidth="1" style="63" min="2813" max="2813"/>
    <col width="18.1640625" customWidth="1" style="63" min="2814" max="2814"/>
    <col width="15" customWidth="1" style="63" min="2815" max="2815"/>
    <col width="13" customWidth="1" style="63" min="2816" max="2819"/>
    <col width="17.6640625" customWidth="1" style="63" min="2820" max="2820"/>
    <col width="10.83203125" customWidth="1" style="63" min="3069" max="3069"/>
    <col width="18.1640625" customWidth="1" style="63" min="3070" max="3070"/>
    <col width="15" customWidth="1" style="63" min="3071" max="3071"/>
    <col width="13" customWidth="1" style="63" min="3072" max="3075"/>
    <col width="17.6640625" customWidth="1" style="63" min="3076" max="3076"/>
    <col width="10.83203125" customWidth="1" style="63" min="3325" max="3325"/>
    <col width="18.1640625" customWidth="1" style="63" min="3326" max="3326"/>
    <col width="15" customWidth="1" style="63" min="3327" max="3327"/>
    <col width="13" customWidth="1" style="63" min="3328" max="3331"/>
    <col width="17.6640625" customWidth="1" style="63" min="3332" max="3332"/>
    <col width="10.83203125" customWidth="1" style="63" min="3581" max="3581"/>
    <col width="18.1640625" customWidth="1" style="63" min="3582" max="3582"/>
    <col width="15" customWidth="1" style="63" min="3583" max="3583"/>
    <col width="13" customWidth="1" style="63" min="3584" max="3587"/>
    <col width="17.6640625" customWidth="1" style="63" min="3588" max="3588"/>
    <col width="10.83203125" customWidth="1" style="63" min="3837" max="3837"/>
    <col width="18.1640625" customWidth="1" style="63" min="3838" max="3838"/>
    <col width="15" customWidth="1" style="63" min="3839" max="3839"/>
    <col width="13" customWidth="1" style="63" min="3840" max="3843"/>
    <col width="17.6640625" customWidth="1" style="63" min="3844" max="3844"/>
    <col width="10.83203125" customWidth="1" style="63" min="4093" max="4093"/>
    <col width="18.1640625" customWidth="1" style="63" min="4094" max="4094"/>
    <col width="15" customWidth="1" style="63" min="4095" max="4095"/>
    <col width="13" customWidth="1" style="63" min="4096" max="4099"/>
    <col width="17.6640625" customWidth="1" style="63" min="4100" max="4100"/>
    <col width="10.83203125" customWidth="1" style="63" min="4349" max="4349"/>
    <col width="18.1640625" customWidth="1" style="63" min="4350" max="4350"/>
    <col width="15" customWidth="1" style="63" min="4351" max="4351"/>
    <col width="13" customWidth="1" style="63" min="4352" max="4355"/>
    <col width="17.6640625" customWidth="1" style="63" min="4356" max="4356"/>
    <col width="10.83203125" customWidth="1" style="63" min="4605" max="4605"/>
    <col width="18.1640625" customWidth="1" style="63" min="4606" max="4606"/>
    <col width="15" customWidth="1" style="63" min="4607" max="4607"/>
    <col width="13" customWidth="1" style="63" min="4608" max="4611"/>
    <col width="17.6640625" customWidth="1" style="63" min="4612" max="4612"/>
    <col width="10.83203125" customWidth="1" style="63" min="4861" max="4861"/>
    <col width="18.1640625" customWidth="1" style="63" min="4862" max="4862"/>
    <col width="15" customWidth="1" style="63" min="4863" max="4863"/>
    <col width="13" customWidth="1" style="63" min="4864" max="4867"/>
    <col width="17.6640625" customWidth="1" style="63" min="4868" max="4868"/>
    <col width="10.83203125" customWidth="1" style="63" min="5117" max="5117"/>
    <col width="18.1640625" customWidth="1" style="63" min="5118" max="5118"/>
    <col width="15" customWidth="1" style="63" min="5119" max="5119"/>
    <col width="13" customWidth="1" style="63" min="5120" max="5123"/>
    <col width="17.6640625" customWidth="1" style="63" min="5124" max="5124"/>
    <col width="10.83203125" customWidth="1" style="63" min="5373" max="5373"/>
    <col width="18.1640625" customWidth="1" style="63" min="5374" max="5374"/>
    <col width="15" customWidth="1" style="63" min="5375" max="5375"/>
    <col width="13" customWidth="1" style="63" min="5376" max="5379"/>
    <col width="17.6640625" customWidth="1" style="63" min="5380" max="5380"/>
    <col width="10.83203125" customWidth="1" style="63" min="5629" max="5629"/>
    <col width="18.1640625" customWidth="1" style="63" min="5630" max="5630"/>
    <col width="15" customWidth="1" style="63" min="5631" max="5631"/>
    <col width="13" customWidth="1" style="63" min="5632" max="5635"/>
    <col width="17.6640625" customWidth="1" style="63" min="5636" max="5636"/>
    <col width="10.83203125" customWidth="1" style="63" min="5885" max="5885"/>
    <col width="18.1640625" customWidth="1" style="63" min="5886" max="5886"/>
    <col width="15" customWidth="1" style="63" min="5887" max="5887"/>
    <col width="13" customWidth="1" style="63" min="5888" max="5891"/>
    <col width="17.6640625" customWidth="1" style="63" min="5892" max="5892"/>
    <col width="10.83203125" customWidth="1" style="63" min="6141" max="6141"/>
    <col width="18.1640625" customWidth="1" style="63" min="6142" max="6142"/>
    <col width="15" customWidth="1" style="63" min="6143" max="6143"/>
    <col width="13" customWidth="1" style="63" min="6144" max="6147"/>
    <col width="17.6640625" customWidth="1" style="63" min="6148" max="6148"/>
    <col width="10.83203125" customWidth="1" style="63" min="6397" max="6397"/>
    <col width="18.1640625" customWidth="1" style="63" min="6398" max="6398"/>
    <col width="15" customWidth="1" style="63" min="6399" max="6399"/>
    <col width="13" customWidth="1" style="63" min="6400" max="6403"/>
    <col width="17.6640625" customWidth="1" style="63" min="6404" max="6404"/>
    <col width="10.83203125" customWidth="1" style="63" min="6653" max="6653"/>
    <col width="18.1640625" customWidth="1" style="63" min="6654" max="6654"/>
    <col width="15" customWidth="1" style="63" min="6655" max="6655"/>
    <col width="13" customWidth="1" style="63" min="6656" max="6659"/>
    <col width="17.6640625" customWidth="1" style="63" min="6660" max="6660"/>
    <col width="10.83203125" customWidth="1" style="63" min="6909" max="6909"/>
    <col width="18.1640625" customWidth="1" style="63" min="6910" max="6910"/>
    <col width="15" customWidth="1" style="63" min="6911" max="6911"/>
    <col width="13" customWidth="1" style="63" min="6912" max="6915"/>
    <col width="17.6640625" customWidth="1" style="63" min="6916" max="6916"/>
    <col width="10.83203125" customWidth="1" style="63" min="7165" max="7165"/>
    <col width="18.1640625" customWidth="1" style="63" min="7166" max="7166"/>
    <col width="15" customWidth="1" style="63" min="7167" max="7167"/>
    <col width="13" customWidth="1" style="63" min="7168" max="7171"/>
    <col width="17.6640625" customWidth="1" style="63" min="7172" max="7172"/>
    <col width="10.83203125" customWidth="1" style="63" min="7421" max="7421"/>
    <col width="18.1640625" customWidth="1" style="63" min="7422" max="7422"/>
    <col width="15" customWidth="1" style="63" min="7423" max="7423"/>
    <col width="13" customWidth="1" style="63" min="7424" max="7427"/>
    <col width="17.6640625" customWidth="1" style="63" min="7428" max="7428"/>
    <col width="10.83203125" customWidth="1" style="63" min="7677" max="7677"/>
    <col width="18.1640625" customWidth="1" style="63" min="7678" max="7678"/>
    <col width="15" customWidth="1" style="63" min="7679" max="7679"/>
    <col width="13" customWidth="1" style="63" min="7680" max="7683"/>
    <col width="17.6640625" customWidth="1" style="63" min="7684" max="7684"/>
    <col width="10.83203125" customWidth="1" style="63" min="7933" max="7933"/>
    <col width="18.1640625" customWidth="1" style="63" min="7934" max="7934"/>
    <col width="15" customWidth="1" style="63" min="7935" max="7935"/>
    <col width="13" customWidth="1" style="63" min="7936" max="7939"/>
    <col width="17.6640625" customWidth="1" style="63" min="7940" max="7940"/>
    <col width="10.83203125" customWidth="1" style="63" min="8189" max="8189"/>
    <col width="18.1640625" customWidth="1" style="63" min="8190" max="8190"/>
    <col width="15" customWidth="1" style="63" min="8191" max="8191"/>
    <col width="13" customWidth="1" style="63" min="8192" max="8195"/>
    <col width="17.6640625" customWidth="1" style="63" min="8196" max="8196"/>
    <col width="10.83203125" customWidth="1" style="63" min="8445" max="8445"/>
    <col width="18.1640625" customWidth="1" style="63" min="8446" max="8446"/>
    <col width="15" customWidth="1" style="63" min="8447" max="8447"/>
    <col width="13" customWidth="1" style="63" min="8448" max="8451"/>
    <col width="17.6640625" customWidth="1" style="63" min="8452" max="8452"/>
    <col width="10.83203125" customWidth="1" style="63" min="8701" max="8701"/>
    <col width="18.1640625" customWidth="1" style="63" min="8702" max="8702"/>
    <col width="15" customWidth="1" style="63" min="8703" max="8703"/>
    <col width="13" customWidth="1" style="63" min="8704" max="8707"/>
    <col width="17.6640625" customWidth="1" style="63" min="8708" max="8708"/>
    <col width="10.83203125" customWidth="1" style="63" min="8957" max="8957"/>
    <col width="18.1640625" customWidth="1" style="63" min="8958" max="8958"/>
    <col width="15" customWidth="1" style="63" min="8959" max="8959"/>
    <col width="13" customWidth="1" style="63" min="8960" max="8963"/>
    <col width="17.6640625" customWidth="1" style="63" min="8964" max="8964"/>
    <col width="10.83203125" customWidth="1" style="63" min="9213" max="9213"/>
    <col width="18.1640625" customWidth="1" style="63" min="9214" max="9214"/>
    <col width="15" customWidth="1" style="63" min="9215" max="9215"/>
    <col width="13" customWidth="1" style="63" min="9216" max="9219"/>
    <col width="17.6640625" customWidth="1" style="63" min="9220" max="9220"/>
    <col width="10.83203125" customWidth="1" style="63" min="9469" max="9469"/>
    <col width="18.1640625" customWidth="1" style="63" min="9470" max="9470"/>
    <col width="15" customWidth="1" style="63" min="9471" max="9471"/>
    <col width="13" customWidth="1" style="63" min="9472" max="9475"/>
    <col width="17.6640625" customWidth="1" style="63" min="9476" max="9476"/>
    <col width="10.83203125" customWidth="1" style="63" min="9725" max="9725"/>
    <col width="18.1640625" customWidth="1" style="63" min="9726" max="9726"/>
    <col width="15" customWidth="1" style="63" min="9727" max="9727"/>
    <col width="13" customWidth="1" style="63" min="9728" max="9731"/>
    <col width="17.6640625" customWidth="1" style="63" min="9732" max="9732"/>
    <col width="10.83203125" customWidth="1" style="63" min="9981" max="9981"/>
    <col width="18.1640625" customWidth="1" style="63" min="9982" max="9982"/>
    <col width="15" customWidth="1" style="63" min="9983" max="9983"/>
    <col width="13" customWidth="1" style="63" min="9984" max="9987"/>
    <col width="17.6640625" customWidth="1" style="63" min="9988" max="9988"/>
    <col width="10.83203125" customWidth="1" style="63" min="10237" max="10237"/>
    <col width="18.1640625" customWidth="1" style="63" min="10238" max="10238"/>
    <col width="15" customWidth="1" style="63" min="10239" max="10239"/>
    <col width="13" customWidth="1" style="63" min="10240" max="10243"/>
    <col width="17.6640625" customWidth="1" style="63" min="10244" max="10244"/>
    <col width="10.83203125" customWidth="1" style="63" min="10493" max="10493"/>
    <col width="18.1640625" customWidth="1" style="63" min="10494" max="10494"/>
    <col width="15" customWidth="1" style="63" min="10495" max="10495"/>
    <col width="13" customWidth="1" style="63" min="10496" max="10499"/>
    <col width="17.6640625" customWidth="1" style="63" min="10500" max="10500"/>
    <col width="10.83203125" customWidth="1" style="63" min="10749" max="10749"/>
    <col width="18.1640625" customWidth="1" style="63" min="10750" max="10750"/>
    <col width="15" customWidth="1" style="63" min="10751" max="10751"/>
    <col width="13" customWidth="1" style="63" min="10752" max="10755"/>
    <col width="17.6640625" customWidth="1" style="63" min="10756" max="10756"/>
    <col width="10.83203125" customWidth="1" style="63" min="11005" max="11005"/>
    <col width="18.1640625" customWidth="1" style="63" min="11006" max="11006"/>
    <col width="15" customWidth="1" style="63" min="11007" max="11007"/>
    <col width="13" customWidth="1" style="63" min="11008" max="11011"/>
    <col width="17.6640625" customWidth="1" style="63" min="11012" max="11012"/>
    <col width="10.83203125" customWidth="1" style="63" min="11261" max="11261"/>
    <col width="18.1640625" customWidth="1" style="63" min="11262" max="11262"/>
    <col width="15" customWidth="1" style="63" min="11263" max="11263"/>
    <col width="13" customWidth="1" style="63" min="11264" max="11267"/>
    <col width="17.6640625" customWidth="1" style="63" min="11268" max="11268"/>
    <col width="10.83203125" customWidth="1" style="63" min="11517" max="11517"/>
    <col width="18.1640625" customWidth="1" style="63" min="11518" max="11518"/>
    <col width="15" customWidth="1" style="63" min="11519" max="11519"/>
    <col width="13" customWidth="1" style="63" min="11520" max="11523"/>
    <col width="17.6640625" customWidth="1" style="63" min="11524" max="11524"/>
    <col width="10.83203125" customWidth="1" style="63" min="11773" max="11773"/>
    <col width="18.1640625" customWidth="1" style="63" min="11774" max="11774"/>
    <col width="15" customWidth="1" style="63" min="11775" max="11775"/>
    <col width="13" customWidth="1" style="63" min="11776" max="11779"/>
    <col width="17.6640625" customWidth="1" style="63" min="11780" max="11780"/>
    <col width="10.83203125" customWidth="1" style="63" min="12029" max="12029"/>
    <col width="18.1640625" customWidth="1" style="63" min="12030" max="12030"/>
    <col width="15" customWidth="1" style="63" min="12031" max="12031"/>
    <col width="13" customWidth="1" style="63" min="12032" max="12035"/>
    <col width="17.6640625" customWidth="1" style="63" min="12036" max="12036"/>
    <col width="10.83203125" customWidth="1" style="63" min="12285" max="12285"/>
    <col width="18.1640625" customWidth="1" style="63" min="12286" max="12286"/>
    <col width="15" customWidth="1" style="63" min="12287" max="12287"/>
    <col width="13" customWidth="1" style="63" min="12288" max="12291"/>
    <col width="17.6640625" customWidth="1" style="63" min="12292" max="12292"/>
    <col width="10.83203125" customWidth="1" style="63" min="12541" max="12541"/>
    <col width="18.1640625" customWidth="1" style="63" min="12542" max="12542"/>
    <col width="15" customWidth="1" style="63" min="12543" max="12543"/>
    <col width="13" customWidth="1" style="63" min="12544" max="12547"/>
    <col width="17.6640625" customWidth="1" style="63" min="12548" max="12548"/>
    <col width="10.83203125" customWidth="1" style="63" min="12797" max="12797"/>
    <col width="18.1640625" customWidth="1" style="63" min="12798" max="12798"/>
    <col width="15" customWidth="1" style="63" min="12799" max="12799"/>
    <col width="13" customWidth="1" style="63" min="12800" max="12803"/>
    <col width="17.6640625" customWidth="1" style="63" min="12804" max="12804"/>
    <col width="10.83203125" customWidth="1" style="63" min="13053" max="13053"/>
    <col width="18.1640625" customWidth="1" style="63" min="13054" max="13054"/>
    <col width="15" customWidth="1" style="63" min="13055" max="13055"/>
    <col width="13" customWidth="1" style="63" min="13056" max="13059"/>
    <col width="17.6640625" customWidth="1" style="63" min="13060" max="13060"/>
    <col width="10.83203125" customWidth="1" style="63" min="13309" max="13309"/>
    <col width="18.1640625" customWidth="1" style="63" min="13310" max="13310"/>
    <col width="15" customWidth="1" style="63" min="13311" max="13311"/>
    <col width="13" customWidth="1" style="63" min="13312" max="13315"/>
    <col width="17.6640625" customWidth="1" style="63" min="13316" max="13316"/>
    <col width="10.83203125" customWidth="1" style="63" min="13565" max="13565"/>
    <col width="18.1640625" customWidth="1" style="63" min="13566" max="13566"/>
    <col width="15" customWidth="1" style="63" min="13567" max="13567"/>
    <col width="13" customWidth="1" style="63" min="13568" max="13571"/>
    <col width="17.6640625" customWidth="1" style="63" min="13572" max="13572"/>
    <col width="10.83203125" customWidth="1" style="63" min="13821" max="13821"/>
    <col width="18.1640625" customWidth="1" style="63" min="13822" max="13822"/>
    <col width="15" customWidth="1" style="63" min="13823" max="13823"/>
    <col width="13" customWidth="1" style="63" min="13824" max="13827"/>
    <col width="17.6640625" customWidth="1" style="63" min="13828" max="13828"/>
    <col width="10.83203125" customWidth="1" style="63" min="14077" max="14077"/>
    <col width="18.1640625" customWidth="1" style="63" min="14078" max="14078"/>
    <col width="15" customWidth="1" style="63" min="14079" max="14079"/>
    <col width="13" customWidth="1" style="63" min="14080" max="14083"/>
    <col width="17.6640625" customWidth="1" style="63" min="14084" max="14084"/>
    <col width="10.83203125" customWidth="1" style="63" min="14333" max="14333"/>
    <col width="18.1640625" customWidth="1" style="63" min="14334" max="14334"/>
    <col width="15" customWidth="1" style="63" min="14335" max="14335"/>
    <col width="13" customWidth="1" style="63" min="14336" max="14339"/>
    <col width="17.6640625" customWidth="1" style="63" min="14340" max="14340"/>
    <col width="10.83203125" customWidth="1" style="63" min="14589" max="14589"/>
    <col width="18.1640625" customWidth="1" style="63" min="14590" max="14590"/>
    <col width="15" customWidth="1" style="63" min="14591" max="14591"/>
    <col width="13" customWidth="1" style="63" min="14592" max="14595"/>
    <col width="17.6640625" customWidth="1" style="63" min="14596" max="14596"/>
    <col width="10.83203125" customWidth="1" style="63" min="14845" max="14845"/>
    <col width="18.1640625" customWidth="1" style="63" min="14846" max="14846"/>
    <col width="15" customWidth="1" style="63" min="14847" max="14847"/>
    <col width="13" customWidth="1" style="63" min="14848" max="14851"/>
    <col width="17.6640625" customWidth="1" style="63" min="14852" max="14852"/>
    <col width="10.83203125" customWidth="1" style="63" min="15101" max="15101"/>
    <col width="18.1640625" customWidth="1" style="63" min="15102" max="15102"/>
    <col width="15" customWidth="1" style="63" min="15103" max="15103"/>
    <col width="13" customWidth="1" style="63" min="15104" max="15107"/>
    <col width="17.6640625" customWidth="1" style="63" min="15108" max="15108"/>
    <col width="10.83203125" customWidth="1" style="63" min="15357" max="15357"/>
    <col width="18.1640625" customWidth="1" style="63" min="15358" max="15358"/>
    <col width="15" customWidth="1" style="63" min="15359" max="15359"/>
    <col width="13" customWidth="1" style="63" min="15360" max="15363"/>
    <col width="17.6640625" customWidth="1" style="63" min="15364" max="15364"/>
    <col width="10.83203125" customWidth="1" style="63" min="15613" max="15613"/>
    <col width="18.1640625" customWidth="1" style="63" min="15614" max="15614"/>
    <col width="15" customWidth="1" style="63" min="15615" max="15615"/>
    <col width="13" customWidth="1" style="63" min="15616" max="15619"/>
    <col width="17.6640625" customWidth="1" style="63" min="15620" max="15620"/>
    <col width="10.83203125" customWidth="1" style="63" min="15869" max="15869"/>
    <col width="18.1640625" customWidth="1" style="63" min="15870" max="15870"/>
    <col width="15" customWidth="1" style="63" min="15871" max="15871"/>
    <col width="13" customWidth="1" style="63" min="15872" max="15875"/>
    <col width="17.6640625" customWidth="1" style="63" min="15876" max="15876"/>
    <col width="10.83203125" customWidth="1" style="63" min="16125" max="16125"/>
    <col width="18.1640625" customWidth="1" style="63" min="16126" max="16126"/>
    <col width="15" customWidth="1" style="63" min="16127" max="16127"/>
    <col width="13" customWidth="1" style="63" min="16128" max="16131"/>
    <col width="17.6640625" customWidth="1" style="63" min="16132" max="16132"/>
  </cols>
  <sheetData>
    <row r="1" customFormat="1" s="51">
      <c r="A1" s="39" t="inlineStr">
        <is>
          <t>PCEPI</t>
        </is>
      </c>
      <c r="B1" s="40" t="n"/>
      <c r="C1" s="4" t="n"/>
      <c r="D1" s="5" t="n"/>
    </row>
    <row r="2" customFormat="1" s="51">
      <c r="A2" s="10" t="inlineStr">
        <is>
          <t>Personal Consumption Expenditures: Chain-type Price Index (PCEPI)</t>
        </is>
      </c>
      <c r="B2" s="41" t="n"/>
      <c r="C2" s="4" t="n"/>
      <c r="D2" s="5" t="n"/>
      <c r="H2" s="42" t="n"/>
    </row>
    <row r="3" ht="16" customFormat="1" customHeight="1" s="51" thickBot="1">
      <c r="A3" s="6" t="n"/>
      <c r="B3" s="40" t="n"/>
      <c r="C3" s="4" t="n"/>
      <c r="D3" s="5" t="n"/>
    </row>
    <row r="4" ht="23.25" customHeight="1" s="63">
      <c r="A4" s="23" t="inlineStr">
        <is>
          <t>Date</t>
        </is>
      </c>
      <c r="B4" s="43" t="inlineStr">
        <is>
          <t>Value</t>
        </is>
      </c>
      <c r="C4" s="24" t="inlineStr">
        <is>
          <t>PCE Core MoM</t>
        </is>
      </c>
      <c r="D4" s="25" t="inlineStr">
        <is>
          <t>PCE Core YoY</t>
        </is>
      </c>
    </row>
    <row r="5">
      <c r="A5" s="44" t="n">
        <v>21551</v>
      </c>
      <c r="B5" s="45">
        <f>VLOOKUP(Table5345679103[[#This Row],[Date]],Database!A:E,MATCH($A$1,Database!$A$1:$E$1,),)</f>
        <v/>
      </c>
      <c r="C5" s="7" t="n"/>
      <c r="D5" s="7" t="n"/>
    </row>
    <row r="6">
      <c r="A6" s="44" t="n">
        <v>21582</v>
      </c>
      <c r="B6" s="45">
        <f>VLOOKUP(Table5345679103[[#This Row],[Date]],Database!A:E,MATCH($A$1,Database!$A$1:$E$1,),)</f>
        <v/>
      </c>
      <c r="C6" s="8">
        <f>(B6-B5)/B5</f>
        <v/>
      </c>
      <c r="D6" s="7" t="n"/>
    </row>
    <row r="7">
      <c r="A7" s="44" t="n">
        <v>21610</v>
      </c>
      <c r="B7" s="45">
        <f>VLOOKUP(Table5345679103[[#This Row],[Date]],Database!A:E,MATCH($A$1,Database!$A$1:$E$1,),)</f>
        <v/>
      </c>
      <c r="C7" s="8">
        <f>(B7-B6)/B6</f>
        <v/>
      </c>
      <c r="D7" s="7" t="n"/>
    </row>
    <row r="8">
      <c r="A8" s="44" t="n">
        <v>21641</v>
      </c>
      <c r="B8" s="45">
        <f>VLOOKUP(Table5345679103[[#This Row],[Date]],Database!A:E,MATCH($A$1,Database!$A$1:$E$1,),)</f>
        <v/>
      </c>
      <c r="C8" s="8">
        <f>(B8-B7)/B7</f>
        <v/>
      </c>
      <c r="D8" s="7" t="n"/>
    </row>
    <row r="9">
      <c r="A9" s="44" t="n">
        <v>21671</v>
      </c>
      <c r="B9" s="45">
        <f>VLOOKUP(Table5345679103[[#This Row],[Date]],Database!A:E,MATCH($A$1,Database!$A$1:$E$1,),)</f>
        <v/>
      </c>
      <c r="C9" s="8">
        <f>(B9-B8)/B8</f>
        <v/>
      </c>
      <c r="D9" s="7" t="n"/>
    </row>
    <row r="10">
      <c r="A10" s="44" t="n">
        <v>21702</v>
      </c>
      <c r="B10" s="45">
        <f>VLOOKUP(Table5345679103[[#This Row],[Date]],Database!A:E,MATCH($A$1,Database!$A$1:$E$1,),)</f>
        <v/>
      </c>
      <c r="C10" s="8">
        <f>(B10-B9)/B9</f>
        <v/>
      </c>
      <c r="D10" s="7" t="n"/>
    </row>
    <row r="11">
      <c r="A11" s="44" t="n">
        <v>21732</v>
      </c>
      <c r="B11" s="45">
        <f>VLOOKUP(Table5345679103[[#This Row],[Date]],Database!A:E,MATCH($A$1,Database!$A$1:$E$1,),)</f>
        <v/>
      </c>
      <c r="C11" s="8">
        <f>(B11-B10)/B10</f>
        <v/>
      </c>
      <c r="D11" s="7" t="n"/>
    </row>
    <row r="12">
      <c r="A12" s="44" t="n">
        <v>21763</v>
      </c>
      <c r="B12" s="45">
        <f>VLOOKUP(Table5345679103[[#This Row],[Date]],Database!A:E,MATCH($A$1,Database!$A$1:$E$1,),)</f>
        <v/>
      </c>
      <c r="C12" s="8">
        <f>(B12-B11)/B11</f>
        <v/>
      </c>
      <c r="D12" s="7" t="n"/>
    </row>
    <row r="13">
      <c r="A13" s="44" t="n">
        <v>21794</v>
      </c>
      <c r="B13" s="45">
        <f>VLOOKUP(Table5345679103[[#This Row],[Date]],Database!A:E,MATCH($A$1,Database!$A$1:$E$1,),)</f>
        <v/>
      </c>
      <c r="C13" s="8">
        <f>(B13-B12)/B12</f>
        <v/>
      </c>
      <c r="D13" s="7" t="n"/>
    </row>
    <row r="14">
      <c r="A14" s="44" t="n">
        <v>21824</v>
      </c>
      <c r="B14" s="45">
        <f>VLOOKUP(Table5345679103[[#This Row],[Date]],Database!A:E,MATCH($A$1,Database!$A$1:$E$1,),)</f>
        <v/>
      </c>
      <c r="C14" s="8">
        <f>(B14-B13)/B13</f>
        <v/>
      </c>
      <c r="D14" s="7" t="n"/>
    </row>
    <row r="15">
      <c r="A15" s="44" t="n">
        <v>21855</v>
      </c>
      <c r="B15" s="45">
        <f>VLOOKUP(Table5345679103[[#This Row],[Date]],Database!A:E,MATCH($A$1,Database!$A$1:$E$1,),)</f>
        <v/>
      </c>
      <c r="C15" s="8">
        <f>(B15-B14)/B14</f>
        <v/>
      </c>
      <c r="D15" s="7" t="n"/>
    </row>
    <row r="16">
      <c r="A16" s="44" t="n">
        <v>21885</v>
      </c>
      <c r="B16" s="45">
        <f>VLOOKUP(Table5345679103[[#This Row],[Date]],Database!A:E,MATCH($A$1,Database!$A$1:$E$1,),)</f>
        <v/>
      </c>
      <c r="C16" s="8">
        <f>(B16-B15)/B15</f>
        <v/>
      </c>
      <c r="D16" s="7" t="n"/>
    </row>
    <row r="17">
      <c r="A17" s="44" t="n">
        <v>21916</v>
      </c>
      <c r="B17" s="45">
        <f>VLOOKUP(Table5345679103[[#This Row],[Date]],Database!A:E,MATCH($A$1,Database!$A$1:$E$1,),)</f>
        <v/>
      </c>
      <c r="C17" s="8">
        <f>(B17-B16)/B16</f>
        <v/>
      </c>
      <c r="D17" s="7">
        <f>(Table5345679103[[#This Row],[Value]]-B5)/B5</f>
        <v/>
      </c>
    </row>
    <row r="18">
      <c r="A18" s="44" t="n">
        <v>21947</v>
      </c>
      <c r="B18" s="45">
        <f>VLOOKUP(Table5345679103[[#This Row],[Date]],Database!A:E,MATCH($A$1,Database!$A$1:$E$1,),)</f>
        <v/>
      </c>
      <c r="C18" s="8">
        <f>(B18-B17)/B17</f>
        <v/>
      </c>
      <c r="D18" s="7">
        <f>(Table5345679103[[#This Row],[Value]]-B6)/B6</f>
        <v/>
      </c>
    </row>
    <row r="19">
      <c r="A19" s="44" t="n">
        <v>21976</v>
      </c>
      <c r="B19" s="45">
        <f>VLOOKUP(Table5345679103[[#This Row],[Date]],Database!A:E,MATCH($A$1,Database!$A$1:$E$1,),)</f>
        <v/>
      </c>
      <c r="C19" s="8">
        <f>(B19-B18)/B18</f>
        <v/>
      </c>
      <c r="D19" s="7">
        <f>(Table5345679103[[#This Row],[Value]]-B7)/B7</f>
        <v/>
      </c>
    </row>
    <row r="20">
      <c r="A20" s="44" t="n">
        <v>22007</v>
      </c>
      <c r="B20" s="45">
        <f>VLOOKUP(Table5345679103[[#This Row],[Date]],Database!A:E,MATCH($A$1,Database!$A$1:$E$1,),)</f>
        <v/>
      </c>
      <c r="C20" s="8">
        <f>(B20-B19)/B19</f>
        <v/>
      </c>
      <c r="D20" s="7">
        <f>(Table5345679103[[#This Row],[Value]]-B8)/B8</f>
        <v/>
      </c>
    </row>
    <row r="21">
      <c r="A21" s="44" t="n">
        <v>22037</v>
      </c>
      <c r="B21" s="45">
        <f>VLOOKUP(Table5345679103[[#This Row],[Date]],Database!A:E,MATCH($A$1,Database!$A$1:$E$1,),)</f>
        <v/>
      </c>
      <c r="C21" s="8">
        <f>(B21-B20)/B20</f>
        <v/>
      </c>
      <c r="D21" s="7">
        <f>(Table5345679103[[#This Row],[Value]]-B9)/B9</f>
        <v/>
      </c>
    </row>
    <row r="22">
      <c r="A22" s="44" t="n">
        <v>22068</v>
      </c>
      <c r="B22" s="45">
        <f>VLOOKUP(Table5345679103[[#This Row],[Date]],Database!A:E,MATCH($A$1,Database!$A$1:$E$1,),)</f>
        <v/>
      </c>
      <c r="C22" s="8">
        <f>(B22-B21)/B21</f>
        <v/>
      </c>
      <c r="D22" s="7">
        <f>(Table5345679103[[#This Row],[Value]]-B10)/B10</f>
        <v/>
      </c>
    </row>
    <row r="23">
      <c r="A23" s="44" t="n">
        <v>22098</v>
      </c>
      <c r="B23" s="45">
        <f>VLOOKUP(Table5345679103[[#This Row],[Date]],Database!A:E,MATCH($A$1,Database!$A$1:$E$1,),)</f>
        <v/>
      </c>
      <c r="C23" s="8">
        <f>(B23-B22)/B22</f>
        <v/>
      </c>
      <c r="D23" s="7">
        <f>(Table5345679103[[#This Row],[Value]]-B11)/B11</f>
        <v/>
      </c>
    </row>
    <row r="24">
      <c r="A24" s="44" t="n">
        <v>22129</v>
      </c>
      <c r="B24" s="45">
        <f>VLOOKUP(Table5345679103[[#This Row],[Date]],Database!A:E,MATCH($A$1,Database!$A$1:$E$1,),)</f>
        <v/>
      </c>
      <c r="C24" s="8">
        <f>(B24-B23)/B23</f>
        <v/>
      </c>
      <c r="D24" s="7">
        <f>(Table5345679103[[#This Row],[Value]]-B12)/B12</f>
        <v/>
      </c>
    </row>
    <row r="25">
      <c r="A25" s="44" t="n">
        <v>22160</v>
      </c>
      <c r="B25" s="45">
        <f>VLOOKUP(Table5345679103[[#This Row],[Date]],Database!A:E,MATCH($A$1,Database!$A$1:$E$1,),)</f>
        <v/>
      </c>
      <c r="C25" s="8">
        <f>(B25-B24)/B24</f>
        <v/>
      </c>
      <c r="D25" s="7">
        <f>(Table5345679103[[#This Row],[Value]]-B13)/B13</f>
        <v/>
      </c>
    </row>
    <row r="26">
      <c r="A26" s="44" t="n">
        <v>22190</v>
      </c>
      <c r="B26" s="45">
        <f>VLOOKUP(Table5345679103[[#This Row],[Date]],Database!A:E,MATCH($A$1,Database!$A$1:$E$1,),)</f>
        <v/>
      </c>
      <c r="C26" s="8">
        <f>(B26-B25)/B25</f>
        <v/>
      </c>
      <c r="D26" s="7">
        <f>(Table5345679103[[#This Row],[Value]]-B14)/B14</f>
        <v/>
      </c>
    </row>
    <row r="27">
      <c r="A27" s="44" t="n">
        <v>22221</v>
      </c>
      <c r="B27" s="45">
        <f>VLOOKUP(Table5345679103[[#This Row],[Date]],Database!A:E,MATCH($A$1,Database!$A$1:$E$1,),)</f>
        <v/>
      </c>
      <c r="C27" s="8">
        <f>(B27-B26)/B26</f>
        <v/>
      </c>
      <c r="D27" s="7">
        <f>(Table5345679103[[#This Row],[Value]]-B15)/B15</f>
        <v/>
      </c>
    </row>
    <row r="28">
      <c r="A28" s="44" t="n">
        <v>22251</v>
      </c>
      <c r="B28" s="45">
        <f>VLOOKUP(Table5345679103[[#This Row],[Date]],Database!A:E,MATCH($A$1,Database!$A$1:$E$1,),)</f>
        <v/>
      </c>
      <c r="C28" s="8">
        <f>(B28-B27)/B27</f>
        <v/>
      </c>
      <c r="D28" s="7">
        <f>(Table5345679103[[#This Row],[Value]]-B16)/B16</f>
        <v/>
      </c>
    </row>
    <row r="29">
      <c r="A29" s="44" t="n">
        <v>22282</v>
      </c>
      <c r="B29" s="45">
        <f>VLOOKUP(Table5345679103[[#This Row],[Date]],Database!A:E,MATCH($A$1,Database!$A$1:$E$1,),)</f>
        <v/>
      </c>
      <c r="C29" s="8">
        <f>(B29-B28)/B28</f>
        <v/>
      </c>
      <c r="D29" s="7">
        <f>(Table5345679103[[#This Row],[Value]]-B17)/B17</f>
        <v/>
      </c>
    </row>
    <row r="30">
      <c r="A30" s="44" t="n">
        <v>22313</v>
      </c>
      <c r="B30" s="45">
        <f>VLOOKUP(Table5345679103[[#This Row],[Date]],Database!A:E,MATCH($A$1,Database!$A$1:$E$1,),)</f>
        <v/>
      </c>
      <c r="C30" s="8">
        <f>(B30-B29)/B29</f>
        <v/>
      </c>
      <c r="D30" s="7">
        <f>(Table5345679103[[#This Row],[Value]]-B18)/B18</f>
        <v/>
      </c>
    </row>
    <row r="31">
      <c r="A31" s="44" t="n">
        <v>22341</v>
      </c>
      <c r="B31" s="45">
        <f>VLOOKUP(Table5345679103[[#This Row],[Date]],Database!A:E,MATCH($A$1,Database!$A$1:$E$1,),)</f>
        <v/>
      </c>
      <c r="C31" s="8">
        <f>(B31-B30)/B30</f>
        <v/>
      </c>
      <c r="D31" s="7">
        <f>(Table5345679103[[#This Row],[Value]]-B19)/B19</f>
        <v/>
      </c>
    </row>
    <row r="32">
      <c r="A32" s="44" t="n">
        <v>22372</v>
      </c>
      <c r="B32" s="45">
        <f>VLOOKUP(Table5345679103[[#This Row],[Date]],Database!A:E,MATCH($A$1,Database!$A$1:$E$1,),)</f>
        <v/>
      </c>
      <c r="C32" s="8">
        <f>(B32-B31)/B31</f>
        <v/>
      </c>
      <c r="D32" s="7">
        <f>(Table5345679103[[#This Row],[Value]]-B20)/B20</f>
        <v/>
      </c>
    </row>
    <row r="33">
      <c r="A33" s="44" t="n">
        <v>22402</v>
      </c>
      <c r="B33" s="45">
        <f>VLOOKUP(Table5345679103[[#This Row],[Date]],Database!A:E,MATCH($A$1,Database!$A$1:$E$1,),)</f>
        <v/>
      </c>
      <c r="C33" s="8">
        <f>(B33-B32)/B32</f>
        <v/>
      </c>
      <c r="D33" s="7">
        <f>(Table5345679103[[#This Row],[Value]]-B21)/B21</f>
        <v/>
      </c>
    </row>
    <row r="34">
      <c r="A34" s="44" t="n">
        <v>22433</v>
      </c>
      <c r="B34" s="45">
        <f>VLOOKUP(Table5345679103[[#This Row],[Date]],Database!A:E,MATCH($A$1,Database!$A$1:$E$1,),)</f>
        <v/>
      </c>
      <c r="C34" s="8">
        <f>(B34-B33)/B33</f>
        <v/>
      </c>
      <c r="D34" s="7">
        <f>(Table5345679103[[#This Row],[Value]]-B22)/B22</f>
        <v/>
      </c>
    </row>
    <row r="35">
      <c r="A35" s="44" t="n">
        <v>22463</v>
      </c>
      <c r="B35" s="45">
        <f>VLOOKUP(Table5345679103[[#This Row],[Date]],Database!A:E,MATCH($A$1,Database!$A$1:$E$1,),)</f>
        <v/>
      </c>
      <c r="C35" s="8">
        <f>(B35-B34)/B34</f>
        <v/>
      </c>
      <c r="D35" s="7">
        <f>(Table5345679103[[#This Row],[Value]]-B23)/B23</f>
        <v/>
      </c>
    </row>
    <row r="36">
      <c r="A36" s="44" t="n">
        <v>22494</v>
      </c>
      <c r="B36" s="45">
        <f>VLOOKUP(Table5345679103[[#This Row],[Date]],Database!A:E,MATCH($A$1,Database!$A$1:$E$1,),)</f>
        <v/>
      </c>
      <c r="C36" s="8">
        <f>(B36-B35)/B35</f>
        <v/>
      </c>
      <c r="D36" s="7">
        <f>(Table5345679103[[#This Row],[Value]]-B24)/B24</f>
        <v/>
      </c>
    </row>
    <row r="37">
      <c r="A37" s="44" t="n">
        <v>22525</v>
      </c>
      <c r="B37" s="45">
        <f>VLOOKUP(Table5345679103[[#This Row],[Date]],Database!A:E,MATCH($A$1,Database!$A$1:$E$1,),)</f>
        <v/>
      </c>
      <c r="C37" s="8">
        <f>(B37-B36)/B36</f>
        <v/>
      </c>
      <c r="D37" s="7">
        <f>(Table5345679103[[#This Row],[Value]]-B25)/B25</f>
        <v/>
      </c>
    </row>
    <row r="38">
      <c r="A38" s="44" t="n">
        <v>22555</v>
      </c>
      <c r="B38" s="45">
        <f>VLOOKUP(Table5345679103[[#This Row],[Date]],Database!A:E,MATCH($A$1,Database!$A$1:$E$1,),)</f>
        <v/>
      </c>
      <c r="C38" s="8">
        <f>(B38-B37)/B37</f>
        <v/>
      </c>
      <c r="D38" s="7">
        <f>(Table5345679103[[#This Row],[Value]]-B26)/B26</f>
        <v/>
      </c>
    </row>
    <row r="39">
      <c r="A39" s="44" t="n">
        <v>22586</v>
      </c>
      <c r="B39" s="45">
        <f>VLOOKUP(Table5345679103[[#This Row],[Date]],Database!A:E,MATCH($A$1,Database!$A$1:$E$1,),)</f>
        <v/>
      </c>
      <c r="C39" s="8">
        <f>(B39-B38)/B38</f>
        <v/>
      </c>
      <c r="D39" s="7">
        <f>(Table5345679103[[#This Row],[Value]]-B27)/B27</f>
        <v/>
      </c>
    </row>
    <row r="40">
      <c r="A40" s="44" t="n">
        <v>22616</v>
      </c>
      <c r="B40" s="45">
        <f>VLOOKUP(Table5345679103[[#This Row],[Date]],Database!A:E,MATCH($A$1,Database!$A$1:$E$1,),)</f>
        <v/>
      </c>
      <c r="C40" s="8">
        <f>(B40-B39)/B39</f>
        <v/>
      </c>
      <c r="D40" s="7">
        <f>(Table5345679103[[#This Row],[Value]]-B28)/B28</f>
        <v/>
      </c>
    </row>
    <row r="41">
      <c r="A41" s="44" t="n">
        <v>22647</v>
      </c>
      <c r="B41" s="45">
        <f>VLOOKUP(Table5345679103[[#This Row],[Date]],Database!A:E,MATCH($A$1,Database!$A$1:$E$1,),)</f>
        <v/>
      </c>
      <c r="C41" s="8">
        <f>(B41-B40)/B40</f>
        <v/>
      </c>
      <c r="D41" s="7">
        <f>(Table5345679103[[#This Row],[Value]]-B29)/B29</f>
        <v/>
      </c>
    </row>
    <row r="42">
      <c r="A42" s="44" t="n">
        <v>22678</v>
      </c>
      <c r="B42" s="45">
        <f>VLOOKUP(Table5345679103[[#This Row],[Date]],Database!A:E,MATCH($A$1,Database!$A$1:$E$1,),)</f>
        <v/>
      </c>
      <c r="C42" s="8">
        <f>(B42-B41)/B41</f>
        <v/>
      </c>
      <c r="D42" s="7">
        <f>(Table5345679103[[#This Row],[Value]]-B30)/B30</f>
        <v/>
      </c>
    </row>
    <row r="43">
      <c r="A43" s="44" t="n">
        <v>22706</v>
      </c>
      <c r="B43" s="45">
        <f>VLOOKUP(Table5345679103[[#This Row],[Date]],Database!A:E,MATCH($A$1,Database!$A$1:$E$1,),)</f>
        <v/>
      </c>
      <c r="C43" s="8">
        <f>(B43-B42)/B42</f>
        <v/>
      </c>
      <c r="D43" s="7">
        <f>(Table5345679103[[#This Row],[Value]]-B31)/B31</f>
        <v/>
      </c>
    </row>
    <row r="44">
      <c r="A44" s="44" t="n">
        <v>22737</v>
      </c>
      <c r="B44" s="45">
        <f>VLOOKUP(Table5345679103[[#This Row],[Date]],Database!A:E,MATCH($A$1,Database!$A$1:$E$1,),)</f>
        <v/>
      </c>
      <c r="C44" s="8">
        <f>(B44-B43)/B43</f>
        <v/>
      </c>
      <c r="D44" s="7">
        <f>(Table5345679103[[#This Row],[Value]]-B32)/B32</f>
        <v/>
      </c>
    </row>
    <row r="45">
      <c r="A45" s="44" t="n">
        <v>22767</v>
      </c>
      <c r="B45" s="45">
        <f>VLOOKUP(Table5345679103[[#This Row],[Date]],Database!A:E,MATCH($A$1,Database!$A$1:$E$1,),)</f>
        <v/>
      </c>
      <c r="C45" s="8">
        <f>(B45-B44)/B44</f>
        <v/>
      </c>
      <c r="D45" s="7">
        <f>(Table5345679103[[#This Row],[Value]]-B33)/B33</f>
        <v/>
      </c>
    </row>
    <row r="46">
      <c r="A46" s="44" t="n">
        <v>22798</v>
      </c>
      <c r="B46" s="45">
        <f>VLOOKUP(Table5345679103[[#This Row],[Date]],Database!A:E,MATCH($A$1,Database!$A$1:$E$1,),)</f>
        <v/>
      </c>
      <c r="C46" s="8">
        <f>(B46-B45)/B45</f>
        <v/>
      </c>
      <c r="D46" s="7">
        <f>(Table5345679103[[#This Row],[Value]]-B34)/B34</f>
        <v/>
      </c>
    </row>
    <row r="47">
      <c r="A47" s="44" t="n">
        <v>22828</v>
      </c>
      <c r="B47" s="45">
        <f>VLOOKUP(Table5345679103[[#This Row],[Date]],Database!A:E,MATCH($A$1,Database!$A$1:$E$1,),)</f>
        <v/>
      </c>
      <c r="C47" s="8">
        <f>(B47-B46)/B46</f>
        <v/>
      </c>
      <c r="D47" s="7">
        <f>(Table5345679103[[#This Row],[Value]]-B35)/B35</f>
        <v/>
      </c>
    </row>
    <row r="48">
      <c r="A48" s="44" t="n">
        <v>22859</v>
      </c>
      <c r="B48" s="45">
        <f>VLOOKUP(Table5345679103[[#This Row],[Date]],Database!A:E,MATCH($A$1,Database!$A$1:$E$1,),)</f>
        <v/>
      </c>
      <c r="C48" s="8">
        <f>(B48-B47)/B47</f>
        <v/>
      </c>
      <c r="D48" s="7">
        <f>(Table5345679103[[#This Row],[Value]]-B36)/B36</f>
        <v/>
      </c>
    </row>
    <row r="49">
      <c r="A49" s="44" t="n">
        <v>22890</v>
      </c>
      <c r="B49" s="45">
        <f>VLOOKUP(Table5345679103[[#This Row],[Date]],Database!A:E,MATCH($A$1,Database!$A$1:$E$1,),)</f>
        <v/>
      </c>
      <c r="C49" s="8">
        <f>(B49-B48)/B48</f>
        <v/>
      </c>
      <c r="D49" s="7">
        <f>(Table5345679103[[#This Row],[Value]]-B37)/B37</f>
        <v/>
      </c>
    </row>
    <row r="50">
      <c r="A50" s="44" t="n">
        <v>22920</v>
      </c>
      <c r="B50" s="45">
        <f>VLOOKUP(Table5345679103[[#This Row],[Date]],Database!A:E,MATCH($A$1,Database!$A$1:$E$1,),)</f>
        <v/>
      </c>
      <c r="C50" s="8">
        <f>(B50-B49)/B49</f>
        <v/>
      </c>
      <c r="D50" s="7">
        <f>(Table5345679103[[#This Row],[Value]]-B38)/B38</f>
        <v/>
      </c>
    </row>
    <row r="51">
      <c r="A51" s="44" t="n">
        <v>22951</v>
      </c>
      <c r="B51" s="45">
        <f>VLOOKUP(Table5345679103[[#This Row],[Date]],Database!A:E,MATCH($A$1,Database!$A$1:$E$1,),)</f>
        <v/>
      </c>
      <c r="C51" s="8">
        <f>(B51-B50)/B50</f>
        <v/>
      </c>
      <c r="D51" s="7">
        <f>(Table5345679103[[#This Row],[Value]]-B39)/B39</f>
        <v/>
      </c>
    </row>
    <row r="52">
      <c r="A52" s="44" t="n">
        <v>22981</v>
      </c>
      <c r="B52" s="45">
        <f>VLOOKUP(Table5345679103[[#This Row],[Date]],Database!A:E,MATCH($A$1,Database!$A$1:$E$1,),)</f>
        <v/>
      </c>
      <c r="C52" s="8">
        <f>(B52-B51)/B51</f>
        <v/>
      </c>
      <c r="D52" s="7">
        <f>(Table5345679103[[#This Row],[Value]]-B40)/B40</f>
        <v/>
      </c>
    </row>
    <row r="53">
      <c r="A53" s="44" t="n">
        <v>23012</v>
      </c>
      <c r="B53" s="45">
        <f>VLOOKUP(Table5345679103[[#This Row],[Date]],Database!A:E,MATCH($A$1,Database!$A$1:$E$1,),)</f>
        <v/>
      </c>
      <c r="C53" s="8">
        <f>(B53-B52)/B52</f>
        <v/>
      </c>
      <c r="D53" s="7">
        <f>(Table5345679103[[#This Row],[Value]]-B41)/B41</f>
        <v/>
      </c>
    </row>
    <row r="54">
      <c r="A54" s="44" t="n">
        <v>23043</v>
      </c>
      <c r="B54" s="45">
        <f>VLOOKUP(Table5345679103[[#This Row],[Date]],Database!A:E,MATCH($A$1,Database!$A$1:$E$1,),)</f>
        <v/>
      </c>
      <c r="C54" s="8">
        <f>(B54-B53)/B53</f>
        <v/>
      </c>
      <c r="D54" s="7">
        <f>(Table5345679103[[#This Row],[Value]]-B42)/B42</f>
        <v/>
      </c>
    </row>
    <row r="55">
      <c r="A55" s="44" t="n">
        <v>23071</v>
      </c>
      <c r="B55" s="45">
        <f>VLOOKUP(Table5345679103[[#This Row],[Date]],Database!A:E,MATCH($A$1,Database!$A$1:$E$1,),)</f>
        <v/>
      </c>
      <c r="C55" s="8">
        <f>(B55-B54)/B54</f>
        <v/>
      </c>
      <c r="D55" s="7">
        <f>(Table5345679103[[#This Row],[Value]]-B43)/B43</f>
        <v/>
      </c>
    </row>
    <row r="56">
      <c r="A56" s="44" t="n">
        <v>23102</v>
      </c>
      <c r="B56" s="45">
        <f>VLOOKUP(Table5345679103[[#This Row],[Date]],Database!A:E,MATCH($A$1,Database!$A$1:$E$1,),)</f>
        <v/>
      </c>
      <c r="C56" s="8">
        <f>(B56-B55)/B55</f>
        <v/>
      </c>
      <c r="D56" s="7">
        <f>(Table5345679103[[#This Row],[Value]]-B44)/B44</f>
        <v/>
      </c>
    </row>
    <row r="57">
      <c r="A57" s="44" t="n">
        <v>23132</v>
      </c>
      <c r="B57" s="45">
        <f>VLOOKUP(Table5345679103[[#This Row],[Date]],Database!A:E,MATCH($A$1,Database!$A$1:$E$1,),)</f>
        <v/>
      </c>
      <c r="C57" s="8">
        <f>(B57-B56)/B56</f>
        <v/>
      </c>
      <c r="D57" s="7">
        <f>(Table5345679103[[#This Row],[Value]]-B45)/B45</f>
        <v/>
      </c>
    </row>
    <row r="58">
      <c r="A58" s="44" t="n">
        <v>23163</v>
      </c>
      <c r="B58" s="45">
        <f>VLOOKUP(Table5345679103[[#This Row],[Date]],Database!A:E,MATCH($A$1,Database!$A$1:$E$1,),)</f>
        <v/>
      </c>
      <c r="C58" s="8">
        <f>(B58-B57)/B57</f>
        <v/>
      </c>
      <c r="D58" s="7">
        <f>(Table5345679103[[#This Row],[Value]]-B46)/B46</f>
        <v/>
      </c>
    </row>
    <row r="59">
      <c r="A59" s="44" t="n">
        <v>23193</v>
      </c>
      <c r="B59" s="45">
        <f>VLOOKUP(Table5345679103[[#This Row],[Date]],Database!A:E,MATCH($A$1,Database!$A$1:$E$1,),)</f>
        <v/>
      </c>
      <c r="C59" s="8">
        <f>(B59-B58)/B58</f>
        <v/>
      </c>
      <c r="D59" s="7">
        <f>(Table5345679103[[#This Row],[Value]]-B47)/B47</f>
        <v/>
      </c>
    </row>
    <row r="60">
      <c r="A60" s="44" t="n">
        <v>23224</v>
      </c>
      <c r="B60" s="45">
        <f>VLOOKUP(Table5345679103[[#This Row],[Date]],Database!A:E,MATCH($A$1,Database!$A$1:$E$1,),)</f>
        <v/>
      </c>
      <c r="C60" s="8">
        <f>(B60-B59)/B59</f>
        <v/>
      </c>
      <c r="D60" s="7">
        <f>(Table5345679103[[#This Row],[Value]]-B48)/B48</f>
        <v/>
      </c>
    </row>
    <row r="61">
      <c r="A61" s="44" t="n">
        <v>23255</v>
      </c>
      <c r="B61" s="45">
        <f>VLOOKUP(Table5345679103[[#This Row],[Date]],Database!A:E,MATCH($A$1,Database!$A$1:$E$1,),)</f>
        <v/>
      </c>
      <c r="C61" s="8">
        <f>(B61-B60)/B60</f>
        <v/>
      </c>
      <c r="D61" s="7">
        <f>(Table5345679103[[#This Row],[Value]]-B49)/B49</f>
        <v/>
      </c>
    </row>
    <row r="62">
      <c r="A62" s="44" t="n">
        <v>23285</v>
      </c>
      <c r="B62" s="45">
        <f>VLOOKUP(Table5345679103[[#This Row],[Date]],Database!A:E,MATCH($A$1,Database!$A$1:$E$1,),)</f>
        <v/>
      </c>
      <c r="C62" s="8">
        <f>(B62-B61)/B61</f>
        <v/>
      </c>
      <c r="D62" s="7">
        <f>(Table5345679103[[#This Row],[Value]]-B50)/B50</f>
        <v/>
      </c>
    </row>
    <row r="63">
      <c r="A63" s="44" t="n">
        <v>23316</v>
      </c>
      <c r="B63" s="45">
        <f>VLOOKUP(Table5345679103[[#This Row],[Date]],Database!A:E,MATCH($A$1,Database!$A$1:$E$1,),)</f>
        <v/>
      </c>
      <c r="C63" s="8">
        <f>(B63-B62)/B62</f>
        <v/>
      </c>
      <c r="D63" s="7">
        <f>(Table5345679103[[#This Row],[Value]]-B51)/B51</f>
        <v/>
      </c>
    </row>
    <row r="64">
      <c r="A64" s="44" t="n">
        <v>23346</v>
      </c>
      <c r="B64" s="45">
        <f>VLOOKUP(Table5345679103[[#This Row],[Date]],Database!A:E,MATCH($A$1,Database!$A$1:$E$1,),)</f>
        <v/>
      </c>
      <c r="C64" s="8">
        <f>(B64-B63)/B63</f>
        <v/>
      </c>
      <c r="D64" s="7">
        <f>(Table5345679103[[#This Row],[Value]]-B52)/B52</f>
        <v/>
      </c>
    </row>
    <row r="65">
      <c r="A65" s="44" t="n">
        <v>23377</v>
      </c>
      <c r="B65" s="45">
        <f>VLOOKUP(Table5345679103[[#This Row],[Date]],Database!A:E,MATCH($A$1,Database!$A$1:$E$1,),)</f>
        <v/>
      </c>
      <c r="C65" s="8">
        <f>(B65-B64)/B64</f>
        <v/>
      </c>
      <c r="D65" s="7">
        <f>(Table5345679103[[#This Row],[Value]]-B53)/B53</f>
        <v/>
      </c>
    </row>
    <row r="66">
      <c r="A66" s="44" t="n">
        <v>23408</v>
      </c>
      <c r="B66" s="45">
        <f>VLOOKUP(Table5345679103[[#This Row],[Date]],Database!A:E,MATCH($A$1,Database!$A$1:$E$1,),)</f>
        <v/>
      </c>
      <c r="C66" s="8">
        <f>(B66-B65)/B65</f>
        <v/>
      </c>
      <c r="D66" s="7">
        <f>(Table5345679103[[#This Row],[Value]]-B54)/B54</f>
        <v/>
      </c>
    </row>
    <row r="67">
      <c r="A67" s="44" t="n">
        <v>23437</v>
      </c>
      <c r="B67" s="45">
        <f>VLOOKUP(Table5345679103[[#This Row],[Date]],Database!A:E,MATCH($A$1,Database!$A$1:$E$1,),)</f>
        <v/>
      </c>
      <c r="C67" s="8">
        <f>(B67-B66)/B66</f>
        <v/>
      </c>
      <c r="D67" s="7">
        <f>(Table5345679103[[#This Row],[Value]]-B55)/B55</f>
        <v/>
      </c>
    </row>
    <row r="68">
      <c r="A68" s="44" t="n">
        <v>23468</v>
      </c>
      <c r="B68" s="45">
        <f>VLOOKUP(Table5345679103[[#This Row],[Date]],Database!A:E,MATCH($A$1,Database!$A$1:$E$1,),)</f>
        <v/>
      </c>
      <c r="C68" s="8">
        <f>(B68-B67)/B67</f>
        <v/>
      </c>
      <c r="D68" s="7">
        <f>(Table5345679103[[#This Row],[Value]]-B56)/B56</f>
        <v/>
      </c>
    </row>
    <row r="69">
      <c r="A69" s="44" t="n">
        <v>23498</v>
      </c>
      <c r="B69" s="45">
        <f>VLOOKUP(Table5345679103[[#This Row],[Date]],Database!A:E,MATCH($A$1,Database!$A$1:$E$1,),)</f>
        <v/>
      </c>
      <c r="C69" s="8">
        <f>(B69-B68)/B68</f>
        <v/>
      </c>
      <c r="D69" s="7">
        <f>(Table5345679103[[#This Row],[Value]]-B57)/B57</f>
        <v/>
      </c>
    </row>
    <row r="70">
      <c r="A70" s="44" t="n">
        <v>23529</v>
      </c>
      <c r="B70" s="45">
        <f>VLOOKUP(Table5345679103[[#This Row],[Date]],Database!A:E,MATCH($A$1,Database!$A$1:$E$1,),)</f>
        <v/>
      </c>
      <c r="C70" s="8">
        <f>(B70-B69)/B69</f>
        <v/>
      </c>
      <c r="D70" s="7">
        <f>(Table5345679103[[#This Row],[Value]]-B58)/B58</f>
        <v/>
      </c>
    </row>
    <row r="71">
      <c r="A71" s="44" t="n">
        <v>23559</v>
      </c>
      <c r="B71" s="45">
        <f>VLOOKUP(Table5345679103[[#This Row],[Date]],Database!A:E,MATCH($A$1,Database!$A$1:$E$1,),)</f>
        <v/>
      </c>
      <c r="C71" s="8">
        <f>(B71-B70)/B70</f>
        <v/>
      </c>
      <c r="D71" s="7">
        <f>(Table5345679103[[#This Row],[Value]]-B59)/B59</f>
        <v/>
      </c>
    </row>
    <row r="72">
      <c r="A72" s="44" t="n">
        <v>23590</v>
      </c>
      <c r="B72" s="45">
        <f>VLOOKUP(Table5345679103[[#This Row],[Date]],Database!A:E,MATCH($A$1,Database!$A$1:$E$1,),)</f>
        <v/>
      </c>
      <c r="C72" s="8">
        <f>(B72-B71)/B71</f>
        <v/>
      </c>
      <c r="D72" s="7">
        <f>(Table5345679103[[#This Row],[Value]]-B60)/B60</f>
        <v/>
      </c>
    </row>
    <row r="73">
      <c r="A73" s="44" t="n">
        <v>23621</v>
      </c>
      <c r="B73" s="45">
        <f>VLOOKUP(Table5345679103[[#This Row],[Date]],Database!A:E,MATCH($A$1,Database!$A$1:$E$1,),)</f>
        <v/>
      </c>
      <c r="C73" s="8">
        <f>(B73-B72)/B72</f>
        <v/>
      </c>
      <c r="D73" s="7">
        <f>(Table5345679103[[#This Row],[Value]]-B61)/B61</f>
        <v/>
      </c>
    </row>
    <row r="74">
      <c r="A74" s="44" t="n">
        <v>23651</v>
      </c>
      <c r="B74" s="45">
        <f>VLOOKUP(Table5345679103[[#This Row],[Date]],Database!A:E,MATCH($A$1,Database!$A$1:$E$1,),)</f>
        <v/>
      </c>
      <c r="C74" s="8">
        <f>(B74-B73)/B73</f>
        <v/>
      </c>
      <c r="D74" s="7">
        <f>(Table5345679103[[#This Row],[Value]]-B62)/B62</f>
        <v/>
      </c>
    </row>
    <row r="75">
      <c r="A75" s="44" t="n">
        <v>23682</v>
      </c>
      <c r="B75" s="45">
        <f>VLOOKUP(Table5345679103[[#This Row],[Date]],Database!A:E,MATCH($A$1,Database!$A$1:$E$1,),)</f>
        <v/>
      </c>
      <c r="C75" s="8">
        <f>(B75-B74)/B74</f>
        <v/>
      </c>
      <c r="D75" s="7">
        <f>(Table5345679103[[#This Row],[Value]]-B63)/B63</f>
        <v/>
      </c>
    </row>
    <row r="76">
      <c r="A76" s="44" t="n">
        <v>23712</v>
      </c>
      <c r="B76" s="45">
        <f>VLOOKUP(Table5345679103[[#This Row],[Date]],Database!A:E,MATCH($A$1,Database!$A$1:$E$1,),)</f>
        <v/>
      </c>
      <c r="C76" s="8">
        <f>(B76-B75)/B75</f>
        <v/>
      </c>
      <c r="D76" s="7">
        <f>(Table5345679103[[#This Row],[Value]]-B64)/B64</f>
        <v/>
      </c>
    </row>
    <row r="77">
      <c r="A77" s="44" t="n">
        <v>23743</v>
      </c>
      <c r="B77" s="45">
        <f>VLOOKUP(Table5345679103[[#This Row],[Date]],Database!A:E,MATCH($A$1,Database!$A$1:$E$1,),)</f>
        <v/>
      </c>
      <c r="C77" s="8">
        <f>(B77-B76)/B76</f>
        <v/>
      </c>
      <c r="D77" s="7">
        <f>(Table5345679103[[#This Row],[Value]]-B65)/B65</f>
        <v/>
      </c>
    </row>
    <row r="78">
      <c r="A78" s="44" t="n">
        <v>23774</v>
      </c>
      <c r="B78" s="45">
        <f>VLOOKUP(Table5345679103[[#This Row],[Date]],Database!A:E,MATCH($A$1,Database!$A$1:$E$1,),)</f>
        <v/>
      </c>
      <c r="C78" s="8">
        <f>(B78-B77)/B77</f>
        <v/>
      </c>
      <c r="D78" s="7">
        <f>(Table5345679103[[#This Row],[Value]]-B66)/B66</f>
        <v/>
      </c>
    </row>
    <row r="79">
      <c r="A79" s="44" t="n">
        <v>23802</v>
      </c>
      <c r="B79" s="45">
        <f>VLOOKUP(Table5345679103[[#This Row],[Date]],Database!A:E,MATCH($A$1,Database!$A$1:$E$1,),)</f>
        <v/>
      </c>
      <c r="C79" s="8">
        <f>(B79-B78)/B78</f>
        <v/>
      </c>
      <c r="D79" s="7">
        <f>(Table5345679103[[#This Row],[Value]]-B67)/B67</f>
        <v/>
      </c>
    </row>
    <row r="80">
      <c r="A80" s="44" t="n">
        <v>23833</v>
      </c>
      <c r="B80" s="45">
        <f>VLOOKUP(Table5345679103[[#This Row],[Date]],Database!A:E,MATCH($A$1,Database!$A$1:$E$1,),)</f>
        <v/>
      </c>
      <c r="C80" s="8">
        <f>(B80-B79)/B79</f>
        <v/>
      </c>
      <c r="D80" s="7">
        <f>(Table5345679103[[#This Row],[Value]]-B68)/B68</f>
        <v/>
      </c>
    </row>
    <row r="81">
      <c r="A81" s="44" t="n">
        <v>23863</v>
      </c>
      <c r="B81" s="45">
        <f>VLOOKUP(Table5345679103[[#This Row],[Date]],Database!A:E,MATCH($A$1,Database!$A$1:$E$1,),)</f>
        <v/>
      </c>
      <c r="C81" s="8">
        <f>(B81-B80)/B80</f>
        <v/>
      </c>
      <c r="D81" s="7">
        <f>(Table5345679103[[#This Row],[Value]]-B69)/B69</f>
        <v/>
      </c>
    </row>
    <row r="82">
      <c r="A82" s="44" t="n">
        <v>23894</v>
      </c>
      <c r="B82" s="45">
        <f>VLOOKUP(Table5345679103[[#This Row],[Date]],Database!A:E,MATCH($A$1,Database!$A$1:$E$1,),)</f>
        <v/>
      </c>
      <c r="C82" s="8">
        <f>(B82-B81)/B81</f>
        <v/>
      </c>
      <c r="D82" s="7">
        <f>(Table5345679103[[#This Row],[Value]]-B70)/B70</f>
        <v/>
      </c>
    </row>
    <row r="83">
      <c r="A83" s="44" t="n">
        <v>23924</v>
      </c>
      <c r="B83" s="45">
        <f>VLOOKUP(Table5345679103[[#This Row],[Date]],Database!A:E,MATCH($A$1,Database!$A$1:$E$1,),)</f>
        <v/>
      </c>
      <c r="C83" s="8">
        <f>(B83-B82)/B82</f>
        <v/>
      </c>
      <c r="D83" s="7">
        <f>(Table5345679103[[#This Row],[Value]]-B71)/B71</f>
        <v/>
      </c>
    </row>
    <row r="84">
      <c r="A84" s="44" t="n">
        <v>23955</v>
      </c>
      <c r="B84" s="45">
        <f>VLOOKUP(Table5345679103[[#This Row],[Date]],Database!A:E,MATCH($A$1,Database!$A$1:$E$1,),)</f>
        <v/>
      </c>
      <c r="C84" s="8">
        <f>(B84-B83)/B83</f>
        <v/>
      </c>
      <c r="D84" s="7">
        <f>(Table5345679103[[#This Row],[Value]]-B72)/B72</f>
        <v/>
      </c>
    </row>
    <row r="85">
      <c r="A85" s="44" t="n">
        <v>23986</v>
      </c>
      <c r="B85" s="45">
        <f>VLOOKUP(Table5345679103[[#This Row],[Date]],Database!A:E,MATCH($A$1,Database!$A$1:$E$1,),)</f>
        <v/>
      </c>
      <c r="C85" s="8">
        <f>(B85-B84)/B84</f>
        <v/>
      </c>
      <c r="D85" s="7">
        <f>(Table5345679103[[#This Row],[Value]]-B73)/B73</f>
        <v/>
      </c>
    </row>
    <row r="86">
      <c r="A86" s="44" t="n">
        <v>24016</v>
      </c>
      <c r="B86" s="45">
        <f>VLOOKUP(Table5345679103[[#This Row],[Date]],Database!A:E,MATCH($A$1,Database!$A$1:$E$1,),)</f>
        <v/>
      </c>
      <c r="C86" s="8">
        <f>(B86-B85)/B85</f>
        <v/>
      </c>
      <c r="D86" s="7">
        <f>(Table5345679103[[#This Row],[Value]]-B74)/B74</f>
        <v/>
      </c>
    </row>
    <row r="87">
      <c r="A87" s="44" t="n">
        <v>24047</v>
      </c>
      <c r="B87" s="45">
        <f>VLOOKUP(Table5345679103[[#This Row],[Date]],Database!A:E,MATCH($A$1,Database!$A$1:$E$1,),)</f>
        <v/>
      </c>
      <c r="C87" s="8">
        <f>(B87-B86)/B86</f>
        <v/>
      </c>
      <c r="D87" s="7">
        <f>(Table5345679103[[#This Row],[Value]]-B75)/B75</f>
        <v/>
      </c>
    </row>
    <row r="88">
      <c r="A88" s="44" t="n">
        <v>24077</v>
      </c>
      <c r="B88" s="45">
        <f>VLOOKUP(Table5345679103[[#This Row],[Date]],Database!A:E,MATCH($A$1,Database!$A$1:$E$1,),)</f>
        <v/>
      </c>
      <c r="C88" s="8">
        <f>(B88-B87)/B87</f>
        <v/>
      </c>
      <c r="D88" s="7">
        <f>(Table5345679103[[#This Row],[Value]]-B76)/B76</f>
        <v/>
      </c>
    </row>
    <row r="89">
      <c r="A89" s="44" t="n">
        <v>24108</v>
      </c>
      <c r="B89" s="45">
        <f>VLOOKUP(Table5345679103[[#This Row],[Date]],Database!A:E,MATCH($A$1,Database!$A$1:$E$1,),)</f>
        <v/>
      </c>
      <c r="C89" s="8">
        <f>(B89-B88)/B88</f>
        <v/>
      </c>
      <c r="D89" s="7">
        <f>(Table5345679103[[#This Row],[Value]]-B77)/B77</f>
        <v/>
      </c>
    </row>
    <row r="90">
      <c r="A90" s="44" t="n">
        <v>24139</v>
      </c>
      <c r="B90" s="45">
        <f>VLOOKUP(Table5345679103[[#This Row],[Date]],Database!A:E,MATCH($A$1,Database!$A$1:$E$1,),)</f>
        <v/>
      </c>
      <c r="C90" s="8">
        <f>(B90-B89)/B89</f>
        <v/>
      </c>
      <c r="D90" s="7">
        <f>(Table5345679103[[#This Row],[Value]]-B78)/B78</f>
        <v/>
      </c>
    </row>
    <row r="91">
      <c r="A91" s="44" t="n">
        <v>24167</v>
      </c>
      <c r="B91" s="45">
        <f>VLOOKUP(Table5345679103[[#This Row],[Date]],Database!A:E,MATCH($A$1,Database!$A$1:$E$1,),)</f>
        <v/>
      </c>
      <c r="C91" s="8">
        <f>(B91-B90)/B90</f>
        <v/>
      </c>
      <c r="D91" s="7">
        <f>(Table5345679103[[#This Row],[Value]]-B79)/B79</f>
        <v/>
      </c>
    </row>
    <row r="92">
      <c r="A92" s="44" t="n">
        <v>24198</v>
      </c>
      <c r="B92" s="45">
        <f>VLOOKUP(Table5345679103[[#This Row],[Date]],Database!A:E,MATCH($A$1,Database!$A$1:$E$1,),)</f>
        <v/>
      </c>
      <c r="C92" s="8">
        <f>(B92-B91)/B91</f>
        <v/>
      </c>
      <c r="D92" s="7">
        <f>(Table5345679103[[#This Row],[Value]]-B80)/B80</f>
        <v/>
      </c>
    </row>
    <row r="93">
      <c r="A93" s="44" t="n">
        <v>24228</v>
      </c>
      <c r="B93" s="45">
        <f>VLOOKUP(Table5345679103[[#This Row],[Date]],Database!A:E,MATCH($A$1,Database!$A$1:$E$1,),)</f>
        <v/>
      </c>
      <c r="C93" s="8">
        <f>(B93-B92)/B92</f>
        <v/>
      </c>
      <c r="D93" s="7">
        <f>(Table5345679103[[#This Row],[Value]]-B81)/B81</f>
        <v/>
      </c>
    </row>
    <row r="94">
      <c r="A94" s="44" t="n">
        <v>24259</v>
      </c>
      <c r="B94" s="45">
        <f>VLOOKUP(Table5345679103[[#This Row],[Date]],Database!A:E,MATCH($A$1,Database!$A$1:$E$1,),)</f>
        <v/>
      </c>
      <c r="C94" s="8">
        <f>(B94-B93)/B93</f>
        <v/>
      </c>
      <c r="D94" s="7">
        <f>(Table5345679103[[#This Row],[Value]]-B82)/B82</f>
        <v/>
      </c>
    </row>
    <row r="95">
      <c r="A95" s="44" t="n">
        <v>24289</v>
      </c>
      <c r="B95" s="45">
        <f>VLOOKUP(Table5345679103[[#This Row],[Date]],Database!A:E,MATCH($A$1,Database!$A$1:$E$1,),)</f>
        <v/>
      </c>
      <c r="C95" s="8">
        <f>(B95-B94)/B94</f>
        <v/>
      </c>
      <c r="D95" s="7">
        <f>(Table5345679103[[#This Row],[Value]]-B83)/B83</f>
        <v/>
      </c>
    </row>
    <row r="96">
      <c r="A96" s="44" t="n">
        <v>24320</v>
      </c>
      <c r="B96" s="45">
        <f>VLOOKUP(Table5345679103[[#This Row],[Date]],Database!A:E,MATCH($A$1,Database!$A$1:$E$1,),)</f>
        <v/>
      </c>
      <c r="C96" s="8">
        <f>(B96-B95)/B95</f>
        <v/>
      </c>
      <c r="D96" s="7">
        <f>(Table5345679103[[#This Row],[Value]]-B84)/B84</f>
        <v/>
      </c>
    </row>
    <row r="97">
      <c r="A97" s="44" t="n">
        <v>24351</v>
      </c>
      <c r="B97" s="45">
        <f>VLOOKUP(Table5345679103[[#This Row],[Date]],Database!A:E,MATCH($A$1,Database!$A$1:$E$1,),)</f>
        <v/>
      </c>
      <c r="C97" s="8">
        <f>(B97-B96)/B96</f>
        <v/>
      </c>
      <c r="D97" s="7">
        <f>(Table5345679103[[#This Row],[Value]]-B85)/B85</f>
        <v/>
      </c>
    </row>
    <row r="98">
      <c r="A98" s="44" t="n">
        <v>24381</v>
      </c>
      <c r="B98" s="45">
        <f>VLOOKUP(Table5345679103[[#This Row],[Date]],Database!A:E,MATCH($A$1,Database!$A$1:$E$1,),)</f>
        <v/>
      </c>
      <c r="C98" s="8">
        <f>(B98-B97)/B97</f>
        <v/>
      </c>
      <c r="D98" s="7">
        <f>(Table5345679103[[#This Row],[Value]]-B86)/B86</f>
        <v/>
      </c>
    </row>
    <row r="99">
      <c r="A99" s="44" t="n">
        <v>24412</v>
      </c>
      <c r="B99" s="45">
        <f>VLOOKUP(Table5345679103[[#This Row],[Date]],Database!A:E,MATCH($A$1,Database!$A$1:$E$1,),)</f>
        <v/>
      </c>
      <c r="C99" s="8">
        <f>(B99-B98)/B98</f>
        <v/>
      </c>
      <c r="D99" s="7">
        <f>(Table5345679103[[#This Row],[Value]]-B87)/B87</f>
        <v/>
      </c>
    </row>
    <row r="100">
      <c r="A100" s="44" t="n">
        <v>24442</v>
      </c>
      <c r="B100" s="45">
        <f>VLOOKUP(Table5345679103[[#This Row],[Date]],Database!A:E,MATCH($A$1,Database!$A$1:$E$1,),)</f>
        <v/>
      </c>
      <c r="C100" s="8">
        <f>(B100-B99)/B99</f>
        <v/>
      </c>
      <c r="D100" s="7">
        <f>(Table5345679103[[#This Row],[Value]]-B88)/B88</f>
        <v/>
      </c>
    </row>
    <row r="101">
      <c r="A101" s="44" t="n">
        <v>24473</v>
      </c>
      <c r="B101" s="45">
        <f>VLOOKUP(Table5345679103[[#This Row],[Date]],Database!A:E,MATCH($A$1,Database!$A$1:$E$1,),)</f>
        <v/>
      </c>
      <c r="C101" s="8">
        <f>(B101-B100)/B100</f>
        <v/>
      </c>
      <c r="D101" s="7">
        <f>(Table5345679103[[#This Row],[Value]]-B89)/B89</f>
        <v/>
      </c>
    </row>
    <row r="102">
      <c r="A102" s="44" t="n">
        <v>24504</v>
      </c>
      <c r="B102" s="45">
        <f>VLOOKUP(Table5345679103[[#This Row],[Date]],Database!A:E,MATCH($A$1,Database!$A$1:$E$1,),)</f>
        <v/>
      </c>
      <c r="C102" s="8">
        <f>(B102-B101)/B101</f>
        <v/>
      </c>
      <c r="D102" s="7">
        <f>(Table5345679103[[#This Row],[Value]]-B90)/B90</f>
        <v/>
      </c>
    </row>
    <row r="103">
      <c r="A103" s="44" t="n">
        <v>24532</v>
      </c>
      <c r="B103" s="45">
        <f>VLOOKUP(Table5345679103[[#This Row],[Date]],Database!A:E,MATCH($A$1,Database!$A$1:$E$1,),)</f>
        <v/>
      </c>
      <c r="C103" s="8">
        <f>(B103-B102)/B102</f>
        <v/>
      </c>
      <c r="D103" s="7">
        <f>(Table5345679103[[#This Row],[Value]]-B91)/B91</f>
        <v/>
      </c>
    </row>
    <row r="104">
      <c r="A104" s="44" t="n">
        <v>24563</v>
      </c>
      <c r="B104" s="45">
        <f>VLOOKUP(Table5345679103[[#This Row],[Date]],Database!A:E,MATCH($A$1,Database!$A$1:$E$1,),)</f>
        <v/>
      </c>
      <c r="C104" s="8">
        <f>(B104-B103)/B103</f>
        <v/>
      </c>
      <c r="D104" s="7">
        <f>(Table5345679103[[#This Row],[Value]]-B92)/B92</f>
        <v/>
      </c>
    </row>
    <row r="105">
      <c r="A105" s="44" t="n">
        <v>24593</v>
      </c>
      <c r="B105" s="45">
        <f>VLOOKUP(Table5345679103[[#This Row],[Date]],Database!A:E,MATCH($A$1,Database!$A$1:$E$1,),)</f>
        <v/>
      </c>
      <c r="C105" s="8">
        <f>(B105-B104)/B104</f>
        <v/>
      </c>
      <c r="D105" s="7">
        <f>(Table5345679103[[#This Row],[Value]]-B93)/B93</f>
        <v/>
      </c>
    </row>
    <row r="106">
      <c r="A106" s="44" t="n">
        <v>24624</v>
      </c>
      <c r="B106" s="45">
        <f>VLOOKUP(Table5345679103[[#This Row],[Date]],Database!A:E,MATCH($A$1,Database!$A$1:$E$1,),)</f>
        <v/>
      </c>
      <c r="C106" s="8">
        <f>(B106-B105)/B105</f>
        <v/>
      </c>
      <c r="D106" s="7">
        <f>(Table5345679103[[#This Row],[Value]]-B94)/B94</f>
        <v/>
      </c>
    </row>
    <row r="107">
      <c r="A107" s="44" t="n">
        <v>24654</v>
      </c>
      <c r="B107" s="45">
        <f>VLOOKUP(Table5345679103[[#This Row],[Date]],Database!A:E,MATCH($A$1,Database!$A$1:$E$1,),)</f>
        <v/>
      </c>
      <c r="C107" s="8">
        <f>(B107-B106)/B106</f>
        <v/>
      </c>
      <c r="D107" s="7">
        <f>(Table5345679103[[#This Row],[Value]]-B95)/B95</f>
        <v/>
      </c>
    </row>
    <row r="108">
      <c r="A108" s="44" t="n">
        <v>24685</v>
      </c>
      <c r="B108" s="45">
        <f>VLOOKUP(Table5345679103[[#This Row],[Date]],Database!A:E,MATCH($A$1,Database!$A$1:$E$1,),)</f>
        <v/>
      </c>
      <c r="C108" s="8">
        <f>(B108-B107)/B107</f>
        <v/>
      </c>
      <c r="D108" s="7">
        <f>(Table5345679103[[#This Row],[Value]]-B96)/B96</f>
        <v/>
      </c>
    </row>
    <row r="109">
      <c r="A109" s="44" t="n">
        <v>24716</v>
      </c>
      <c r="B109" s="45">
        <f>VLOOKUP(Table5345679103[[#This Row],[Date]],Database!A:E,MATCH($A$1,Database!$A$1:$E$1,),)</f>
        <v/>
      </c>
      <c r="C109" s="8">
        <f>(B109-B108)/B108</f>
        <v/>
      </c>
      <c r="D109" s="7">
        <f>(Table5345679103[[#This Row],[Value]]-B97)/B97</f>
        <v/>
      </c>
    </row>
    <row r="110">
      <c r="A110" s="44" t="n">
        <v>24746</v>
      </c>
      <c r="B110" s="45">
        <f>VLOOKUP(Table5345679103[[#This Row],[Date]],Database!A:E,MATCH($A$1,Database!$A$1:$E$1,),)</f>
        <v/>
      </c>
      <c r="C110" s="8">
        <f>(B110-B109)/B109</f>
        <v/>
      </c>
      <c r="D110" s="7">
        <f>(Table5345679103[[#This Row],[Value]]-B98)/B98</f>
        <v/>
      </c>
    </row>
    <row r="111">
      <c r="A111" s="44" t="n">
        <v>24777</v>
      </c>
      <c r="B111" s="45">
        <f>VLOOKUP(Table5345679103[[#This Row],[Date]],Database!A:E,MATCH($A$1,Database!$A$1:$E$1,),)</f>
        <v/>
      </c>
      <c r="C111" s="8">
        <f>(B111-B110)/B110</f>
        <v/>
      </c>
      <c r="D111" s="7">
        <f>(Table5345679103[[#This Row],[Value]]-B99)/B99</f>
        <v/>
      </c>
    </row>
    <row r="112">
      <c r="A112" s="44" t="n">
        <v>24807</v>
      </c>
      <c r="B112" s="45">
        <f>VLOOKUP(Table5345679103[[#This Row],[Date]],Database!A:E,MATCH($A$1,Database!$A$1:$E$1,),)</f>
        <v/>
      </c>
      <c r="C112" s="8">
        <f>(B112-B111)/B111</f>
        <v/>
      </c>
      <c r="D112" s="7">
        <f>(Table5345679103[[#This Row],[Value]]-B100)/B100</f>
        <v/>
      </c>
    </row>
    <row r="113">
      <c r="A113" s="44" t="n">
        <v>24838</v>
      </c>
      <c r="B113" s="45">
        <f>VLOOKUP(Table5345679103[[#This Row],[Date]],Database!A:E,MATCH($A$1,Database!$A$1:$E$1,),)</f>
        <v/>
      </c>
      <c r="C113" s="8">
        <f>(B113-B112)/B112</f>
        <v/>
      </c>
      <c r="D113" s="7">
        <f>(Table5345679103[[#This Row],[Value]]-B101)/B101</f>
        <v/>
      </c>
    </row>
    <row r="114">
      <c r="A114" s="44" t="n">
        <v>24869</v>
      </c>
      <c r="B114" s="45">
        <f>VLOOKUP(Table5345679103[[#This Row],[Date]],Database!A:E,MATCH($A$1,Database!$A$1:$E$1,),)</f>
        <v/>
      </c>
      <c r="C114" s="8">
        <f>(B114-B113)/B113</f>
        <v/>
      </c>
      <c r="D114" s="7">
        <f>(Table5345679103[[#This Row],[Value]]-B102)/B102</f>
        <v/>
      </c>
    </row>
    <row r="115">
      <c r="A115" s="44" t="n">
        <v>24898</v>
      </c>
      <c r="B115" s="45">
        <f>VLOOKUP(Table5345679103[[#This Row],[Date]],Database!A:E,MATCH($A$1,Database!$A$1:$E$1,),)</f>
        <v/>
      </c>
      <c r="C115" s="8">
        <f>(B115-B114)/B114</f>
        <v/>
      </c>
      <c r="D115" s="7">
        <f>(Table5345679103[[#This Row],[Value]]-B103)/B103</f>
        <v/>
      </c>
    </row>
    <row r="116">
      <c r="A116" s="44" t="n">
        <v>24929</v>
      </c>
      <c r="B116" s="45">
        <f>VLOOKUP(Table5345679103[[#This Row],[Date]],Database!A:E,MATCH($A$1,Database!$A$1:$E$1,),)</f>
        <v/>
      </c>
      <c r="C116" s="8">
        <f>(B116-B115)/B115</f>
        <v/>
      </c>
      <c r="D116" s="7">
        <f>(Table5345679103[[#This Row],[Value]]-B104)/B104</f>
        <v/>
      </c>
    </row>
    <row r="117">
      <c r="A117" s="44" t="n">
        <v>24959</v>
      </c>
      <c r="B117" s="45">
        <f>VLOOKUP(Table5345679103[[#This Row],[Date]],Database!A:E,MATCH($A$1,Database!$A$1:$E$1,),)</f>
        <v/>
      </c>
      <c r="C117" s="8">
        <f>(B117-B116)/B116</f>
        <v/>
      </c>
      <c r="D117" s="7">
        <f>(Table5345679103[[#This Row],[Value]]-B105)/B105</f>
        <v/>
      </c>
    </row>
    <row r="118">
      <c r="A118" s="44" t="n">
        <v>24990</v>
      </c>
      <c r="B118" s="45">
        <f>VLOOKUP(Table5345679103[[#This Row],[Date]],Database!A:E,MATCH($A$1,Database!$A$1:$E$1,),)</f>
        <v/>
      </c>
      <c r="C118" s="8">
        <f>(B118-B117)/B117</f>
        <v/>
      </c>
      <c r="D118" s="7">
        <f>(Table5345679103[[#This Row],[Value]]-B106)/B106</f>
        <v/>
      </c>
    </row>
    <row r="119">
      <c r="A119" s="44" t="n">
        <v>25020</v>
      </c>
      <c r="B119" s="45">
        <f>VLOOKUP(Table5345679103[[#This Row],[Date]],Database!A:E,MATCH($A$1,Database!$A$1:$E$1,),)</f>
        <v/>
      </c>
      <c r="C119" s="8">
        <f>(B119-B118)/B118</f>
        <v/>
      </c>
      <c r="D119" s="7">
        <f>(Table5345679103[[#This Row],[Value]]-B107)/B107</f>
        <v/>
      </c>
    </row>
    <row r="120">
      <c r="A120" s="44" t="n">
        <v>25051</v>
      </c>
      <c r="B120" s="45">
        <f>VLOOKUP(Table5345679103[[#This Row],[Date]],Database!A:E,MATCH($A$1,Database!$A$1:$E$1,),)</f>
        <v/>
      </c>
      <c r="C120" s="8">
        <f>(B120-B119)/B119</f>
        <v/>
      </c>
      <c r="D120" s="7">
        <f>(Table5345679103[[#This Row],[Value]]-B108)/B108</f>
        <v/>
      </c>
    </row>
    <row r="121">
      <c r="A121" s="44" t="n">
        <v>25082</v>
      </c>
      <c r="B121" s="45">
        <f>VLOOKUP(Table5345679103[[#This Row],[Date]],Database!A:E,MATCH($A$1,Database!$A$1:$E$1,),)</f>
        <v/>
      </c>
      <c r="C121" s="8">
        <f>(B121-B120)/B120</f>
        <v/>
      </c>
      <c r="D121" s="7">
        <f>(Table5345679103[[#This Row],[Value]]-B109)/B109</f>
        <v/>
      </c>
    </row>
    <row r="122">
      <c r="A122" s="44" t="n">
        <v>25112</v>
      </c>
      <c r="B122" s="45">
        <f>VLOOKUP(Table5345679103[[#This Row],[Date]],Database!A:E,MATCH($A$1,Database!$A$1:$E$1,),)</f>
        <v/>
      </c>
      <c r="C122" s="8">
        <f>(B122-B121)/B121</f>
        <v/>
      </c>
      <c r="D122" s="7">
        <f>(Table5345679103[[#This Row],[Value]]-B110)/B110</f>
        <v/>
      </c>
    </row>
    <row r="123">
      <c r="A123" s="44" t="n">
        <v>25143</v>
      </c>
      <c r="B123" s="45">
        <f>VLOOKUP(Table5345679103[[#This Row],[Date]],Database!A:E,MATCH($A$1,Database!$A$1:$E$1,),)</f>
        <v/>
      </c>
      <c r="C123" s="8">
        <f>(B123-B122)/B122</f>
        <v/>
      </c>
      <c r="D123" s="7">
        <f>(Table5345679103[[#This Row],[Value]]-B111)/B111</f>
        <v/>
      </c>
    </row>
    <row r="124">
      <c r="A124" s="44" t="n">
        <v>25173</v>
      </c>
      <c r="B124" s="45">
        <f>VLOOKUP(Table5345679103[[#This Row],[Date]],Database!A:E,MATCH($A$1,Database!$A$1:$E$1,),)</f>
        <v/>
      </c>
      <c r="C124" s="8">
        <f>(B124-B123)/B123</f>
        <v/>
      </c>
      <c r="D124" s="7">
        <f>(Table5345679103[[#This Row],[Value]]-B112)/B112</f>
        <v/>
      </c>
    </row>
    <row r="125">
      <c r="A125" s="44" t="n">
        <v>25204</v>
      </c>
      <c r="B125" s="45">
        <f>VLOOKUP(Table5345679103[[#This Row],[Date]],Database!A:E,MATCH($A$1,Database!$A$1:$E$1,),)</f>
        <v/>
      </c>
      <c r="C125" s="8">
        <f>(B125-B124)/B124</f>
        <v/>
      </c>
      <c r="D125" s="7">
        <f>(Table5345679103[[#This Row],[Value]]-B113)/B113</f>
        <v/>
      </c>
    </row>
    <row r="126">
      <c r="A126" s="44" t="n">
        <v>25235</v>
      </c>
      <c r="B126" s="45">
        <f>VLOOKUP(Table5345679103[[#This Row],[Date]],Database!A:E,MATCH($A$1,Database!$A$1:$E$1,),)</f>
        <v/>
      </c>
      <c r="C126" s="8">
        <f>(B126-B125)/B125</f>
        <v/>
      </c>
      <c r="D126" s="7">
        <f>(Table5345679103[[#This Row],[Value]]-B114)/B114</f>
        <v/>
      </c>
    </row>
    <row r="127">
      <c r="A127" s="44" t="n">
        <v>25263</v>
      </c>
      <c r="B127" s="45">
        <f>VLOOKUP(Table5345679103[[#This Row],[Date]],Database!A:E,MATCH($A$1,Database!$A$1:$E$1,),)</f>
        <v/>
      </c>
      <c r="C127" s="8">
        <f>(B127-B126)/B126</f>
        <v/>
      </c>
      <c r="D127" s="7">
        <f>(Table5345679103[[#This Row],[Value]]-B115)/B115</f>
        <v/>
      </c>
    </row>
    <row r="128">
      <c r="A128" s="44" t="n">
        <v>25294</v>
      </c>
      <c r="B128" s="45">
        <f>VLOOKUP(Table5345679103[[#This Row],[Date]],Database!A:E,MATCH($A$1,Database!$A$1:$E$1,),)</f>
        <v/>
      </c>
      <c r="C128" s="8">
        <f>(B128-B127)/B127</f>
        <v/>
      </c>
      <c r="D128" s="7">
        <f>(Table5345679103[[#This Row],[Value]]-B116)/B116</f>
        <v/>
      </c>
    </row>
    <row r="129">
      <c r="A129" s="44" t="n">
        <v>25324</v>
      </c>
      <c r="B129" s="45">
        <f>VLOOKUP(Table5345679103[[#This Row],[Date]],Database!A:E,MATCH($A$1,Database!$A$1:$E$1,),)</f>
        <v/>
      </c>
      <c r="C129" s="8">
        <f>(B129-B128)/B128</f>
        <v/>
      </c>
      <c r="D129" s="7">
        <f>(Table5345679103[[#This Row],[Value]]-B117)/B117</f>
        <v/>
      </c>
    </row>
    <row r="130">
      <c r="A130" s="44" t="n">
        <v>25355</v>
      </c>
      <c r="B130" s="45">
        <f>VLOOKUP(Table5345679103[[#This Row],[Date]],Database!A:E,MATCH($A$1,Database!$A$1:$E$1,),)</f>
        <v/>
      </c>
      <c r="C130" s="8">
        <f>(B130-B129)/B129</f>
        <v/>
      </c>
      <c r="D130" s="7">
        <f>(Table5345679103[[#This Row],[Value]]-B118)/B118</f>
        <v/>
      </c>
    </row>
    <row r="131">
      <c r="A131" s="44" t="n">
        <v>25385</v>
      </c>
      <c r="B131" s="45">
        <f>VLOOKUP(Table5345679103[[#This Row],[Date]],Database!A:E,MATCH($A$1,Database!$A$1:$E$1,),)</f>
        <v/>
      </c>
      <c r="C131" s="8">
        <f>(B131-B130)/B130</f>
        <v/>
      </c>
      <c r="D131" s="7">
        <f>(Table5345679103[[#This Row],[Value]]-B119)/B119</f>
        <v/>
      </c>
    </row>
    <row r="132">
      <c r="A132" s="44" t="n">
        <v>25416</v>
      </c>
      <c r="B132" s="45">
        <f>VLOOKUP(Table5345679103[[#This Row],[Date]],Database!A:E,MATCH($A$1,Database!$A$1:$E$1,),)</f>
        <v/>
      </c>
      <c r="C132" s="8">
        <f>(B132-B131)/B131</f>
        <v/>
      </c>
      <c r="D132" s="7">
        <f>(Table5345679103[[#This Row],[Value]]-B120)/B120</f>
        <v/>
      </c>
    </row>
    <row r="133">
      <c r="A133" s="44" t="n">
        <v>25447</v>
      </c>
      <c r="B133" s="45">
        <f>VLOOKUP(Table5345679103[[#This Row],[Date]],Database!A:E,MATCH($A$1,Database!$A$1:$E$1,),)</f>
        <v/>
      </c>
      <c r="C133" s="8">
        <f>(B133-B132)/B132</f>
        <v/>
      </c>
      <c r="D133" s="7">
        <f>(Table5345679103[[#This Row],[Value]]-B121)/B121</f>
        <v/>
      </c>
    </row>
    <row r="134">
      <c r="A134" s="44" t="n">
        <v>25477</v>
      </c>
      <c r="B134" s="45">
        <f>VLOOKUP(Table5345679103[[#This Row],[Date]],Database!A:E,MATCH($A$1,Database!$A$1:$E$1,),)</f>
        <v/>
      </c>
      <c r="C134" s="8">
        <f>(B134-B133)/B133</f>
        <v/>
      </c>
      <c r="D134" s="7">
        <f>(Table5345679103[[#This Row],[Value]]-B122)/B122</f>
        <v/>
      </c>
    </row>
    <row r="135">
      <c r="A135" s="44" t="n">
        <v>25508</v>
      </c>
      <c r="B135" s="45">
        <f>VLOOKUP(Table5345679103[[#This Row],[Date]],Database!A:E,MATCH($A$1,Database!$A$1:$E$1,),)</f>
        <v/>
      </c>
      <c r="C135" s="8">
        <f>(B135-B134)/B134</f>
        <v/>
      </c>
      <c r="D135" s="7">
        <f>(Table5345679103[[#This Row],[Value]]-B123)/B123</f>
        <v/>
      </c>
    </row>
    <row r="136">
      <c r="A136" s="44" t="n">
        <v>25538</v>
      </c>
      <c r="B136" s="45">
        <f>VLOOKUP(Table5345679103[[#This Row],[Date]],Database!A:E,MATCH($A$1,Database!$A$1:$E$1,),)</f>
        <v/>
      </c>
      <c r="C136" s="8">
        <f>(B136-B135)/B135</f>
        <v/>
      </c>
      <c r="D136" s="7">
        <f>(Table5345679103[[#This Row],[Value]]-B124)/B124</f>
        <v/>
      </c>
    </row>
    <row r="137">
      <c r="A137" s="44" t="n">
        <v>25569</v>
      </c>
      <c r="B137" s="45">
        <f>VLOOKUP(Table5345679103[[#This Row],[Date]],Database!A:E,MATCH($A$1,Database!$A$1:$E$1,),)</f>
        <v/>
      </c>
      <c r="C137" s="8">
        <f>(B137-B136)/B136</f>
        <v/>
      </c>
      <c r="D137" s="7">
        <f>(Table5345679103[[#This Row],[Value]]-B125)/B125</f>
        <v/>
      </c>
    </row>
    <row r="138">
      <c r="A138" s="44" t="n">
        <v>25600</v>
      </c>
      <c r="B138" s="45">
        <f>VLOOKUP(Table5345679103[[#This Row],[Date]],Database!A:E,MATCH($A$1,Database!$A$1:$E$1,),)</f>
        <v/>
      </c>
      <c r="C138" s="8">
        <f>(B138-B137)/B137</f>
        <v/>
      </c>
      <c r="D138" s="7">
        <f>(Table5345679103[[#This Row],[Value]]-B126)/B126</f>
        <v/>
      </c>
    </row>
    <row r="139">
      <c r="A139" s="44" t="n">
        <v>25628</v>
      </c>
      <c r="B139" s="45">
        <f>VLOOKUP(Table5345679103[[#This Row],[Date]],Database!A:E,MATCH($A$1,Database!$A$1:$E$1,),)</f>
        <v/>
      </c>
      <c r="C139" s="8">
        <f>(B139-B138)/B138</f>
        <v/>
      </c>
      <c r="D139" s="7">
        <f>(Table5345679103[[#This Row],[Value]]-B127)/B127</f>
        <v/>
      </c>
    </row>
    <row r="140">
      <c r="A140" s="44" t="n">
        <v>25659</v>
      </c>
      <c r="B140" s="45">
        <f>VLOOKUP(Table5345679103[[#This Row],[Date]],Database!A:E,MATCH($A$1,Database!$A$1:$E$1,),)</f>
        <v/>
      </c>
      <c r="C140" s="8">
        <f>(B140-B139)/B139</f>
        <v/>
      </c>
      <c r="D140" s="7">
        <f>(Table5345679103[[#This Row],[Value]]-B128)/B128</f>
        <v/>
      </c>
    </row>
    <row r="141">
      <c r="A141" s="44" t="n">
        <v>25689</v>
      </c>
      <c r="B141" s="45">
        <f>VLOOKUP(Table5345679103[[#This Row],[Date]],Database!A:E,MATCH($A$1,Database!$A$1:$E$1,),)</f>
        <v/>
      </c>
      <c r="C141" s="8">
        <f>(B141-B140)/B140</f>
        <v/>
      </c>
      <c r="D141" s="7">
        <f>(Table5345679103[[#This Row],[Value]]-B129)/B129</f>
        <v/>
      </c>
    </row>
    <row r="142">
      <c r="A142" s="44" t="n">
        <v>25720</v>
      </c>
      <c r="B142" s="45">
        <f>VLOOKUP(Table5345679103[[#This Row],[Date]],Database!A:E,MATCH($A$1,Database!$A$1:$E$1,),)</f>
        <v/>
      </c>
      <c r="C142" s="8">
        <f>(B142-B141)/B141</f>
        <v/>
      </c>
      <c r="D142" s="7">
        <f>(Table5345679103[[#This Row],[Value]]-B130)/B130</f>
        <v/>
      </c>
    </row>
    <row r="143">
      <c r="A143" s="44" t="n">
        <v>25750</v>
      </c>
      <c r="B143" s="45">
        <f>VLOOKUP(Table5345679103[[#This Row],[Date]],Database!A:E,MATCH($A$1,Database!$A$1:$E$1,),)</f>
        <v/>
      </c>
      <c r="C143" s="8">
        <f>(B143-B142)/B142</f>
        <v/>
      </c>
      <c r="D143" s="7">
        <f>(Table5345679103[[#This Row],[Value]]-B131)/B131</f>
        <v/>
      </c>
    </row>
    <row r="144">
      <c r="A144" s="44" t="n">
        <v>25781</v>
      </c>
      <c r="B144" s="45">
        <f>VLOOKUP(Table5345679103[[#This Row],[Date]],Database!A:E,MATCH($A$1,Database!$A$1:$E$1,),)</f>
        <v/>
      </c>
      <c r="C144" s="8">
        <f>(B144-B143)/B143</f>
        <v/>
      </c>
      <c r="D144" s="7">
        <f>(Table5345679103[[#This Row],[Value]]-B132)/B132</f>
        <v/>
      </c>
    </row>
    <row r="145">
      <c r="A145" s="44" t="n">
        <v>25812</v>
      </c>
      <c r="B145" s="45">
        <f>VLOOKUP(Table5345679103[[#This Row],[Date]],Database!A:E,MATCH($A$1,Database!$A$1:$E$1,),)</f>
        <v/>
      </c>
      <c r="C145" s="8">
        <f>(B145-B144)/B144</f>
        <v/>
      </c>
      <c r="D145" s="7">
        <f>(Table5345679103[[#This Row],[Value]]-B133)/B133</f>
        <v/>
      </c>
    </row>
    <row r="146">
      <c r="A146" s="44" t="n">
        <v>25842</v>
      </c>
      <c r="B146" s="45">
        <f>VLOOKUP(Table5345679103[[#This Row],[Date]],Database!A:E,MATCH($A$1,Database!$A$1:$E$1,),)</f>
        <v/>
      </c>
      <c r="C146" s="8">
        <f>(B146-B145)/B145</f>
        <v/>
      </c>
      <c r="D146" s="7">
        <f>(Table5345679103[[#This Row],[Value]]-B134)/B134</f>
        <v/>
      </c>
    </row>
    <row r="147">
      <c r="A147" s="44" t="n">
        <v>25873</v>
      </c>
      <c r="B147" s="45">
        <f>VLOOKUP(Table5345679103[[#This Row],[Date]],Database!A:E,MATCH($A$1,Database!$A$1:$E$1,),)</f>
        <v/>
      </c>
      <c r="C147" s="8">
        <f>(B147-B146)/B146</f>
        <v/>
      </c>
      <c r="D147" s="7">
        <f>(Table5345679103[[#This Row],[Value]]-B135)/B135</f>
        <v/>
      </c>
    </row>
    <row r="148">
      <c r="A148" s="44" t="n">
        <v>25903</v>
      </c>
      <c r="B148" s="45">
        <f>VLOOKUP(Table5345679103[[#This Row],[Date]],Database!A:E,MATCH($A$1,Database!$A$1:$E$1,),)</f>
        <v/>
      </c>
      <c r="C148" s="8">
        <f>(B148-B147)/B147</f>
        <v/>
      </c>
      <c r="D148" s="7">
        <f>(Table5345679103[[#This Row],[Value]]-B136)/B136</f>
        <v/>
      </c>
    </row>
    <row r="149">
      <c r="A149" s="44" t="n">
        <v>25934</v>
      </c>
      <c r="B149" s="45">
        <f>VLOOKUP(Table5345679103[[#This Row],[Date]],Database!A:E,MATCH($A$1,Database!$A$1:$E$1,),)</f>
        <v/>
      </c>
      <c r="C149" s="8">
        <f>(B149-B148)/B148</f>
        <v/>
      </c>
      <c r="D149" s="7">
        <f>(Table5345679103[[#This Row],[Value]]-B137)/B137</f>
        <v/>
      </c>
    </row>
    <row r="150">
      <c r="A150" s="44" t="n">
        <v>25965</v>
      </c>
      <c r="B150" s="45">
        <f>VLOOKUP(Table5345679103[[#This Row],[Date]],Database!A:E,MATCH($A$1,Database!$A$1:$E$1,),)</f>
        <v/>
      </c>
      <c r="C150" s="8">
        <f>(B150-B149)/B149</f>
        <v/>
      </c>
      <c r="D150" s="7">
        <f>(Table5345679103[[#This Row],[Value]]-B138)/B138</f>
        <v/>
      </c>
    </row>
    <row r="151">
      <c r="A151" s="44" t="n">
        <v>25993</v>
      </c>
      <c r="B151" s="45">
        <f>VLOOKUP(Table5345679103[[#This Row],[Date]],Database!A:E,MATCH($A$1,Database!$A$1:$E$1,),)</f>
        <v/>
      </c>
      <c r="C151" s="8">
        <f>(B151-B150)/B150</f>
        <v/>
      </c>
      <c r="D151" s="7">
        <f>(Table5345679103[[#This Row],[Value]]-B139)/B139</f>
        <v/>
      </c>
    </row>
    <row r="152">
      <c r="A152" s="44" t="n">
        <v>26024</v>
      </c>
      <c r="B152" s="45">
        <f>VLOOKUP(Table5345679103[[#This Row],[Date]],Database!A:E,MATCH($A$1,Database!$A$1:$E$1,),)</f>
        <v/>
      </c>
      <c r="C152" s="8">
        <f>(B152-B151)/B151</f>
        <v/>
      </c>
      <c r="D152" s="7">
        <f>(Table5345679103[[#This Row],[Value]]-B140)/B140</f>
        <v/>
      </c>
    </row>
    <row r="153">
      <c r="A153" s="44" t="n">
        <v>26054</v>
      </c>
      <c r="B153" s="45">
        <f>VLOOKUP(Table5345679103[[#This Row],[Date]],Database!A:E,MATCH($A$1,Database!$A$1:$E$1,),)</f>
        <v/>
      </c>
      <c r="C153" s="8">
        <f>(B153-B152)/B152</f>
        <v/>
      </c>
      <c r="D153" s="7">
        <f>(Table5345679103[[#This Row],[Value]]-B141)/B141</f>
        <v/>
      </c>
    </row>
    <row r="154">
      <c r="A154" s="44" t="n">
        <v>26085</v>
      </c>
      <c r="B154" s="45">
        <f>VLOOKUP(Table5345679103[[#This Row],[Date]],Database!A:E,MATCH($A$1,Database!$A$1:$E$1,),)</f>
        <v/>
      </c>
      <c r="C154" s="8">
        <f>(B154-B153)/B153</f>
        <v/>
      </c>
      <c r="D154" s="7">
        <f>(Table5345679103[[#This Row],[Value]]-B142)/B142</f>
        <v/>
      </c>
    </row>
    <row r="155">
      <c r="A155" s="44" t="n">
        <v>26115</v>
      </c>
      <c r="B155" s="45">
        <f>VLOOKUP(Table5345679103[[#This Row],[Date]],Database!A:E,MATCH($A$1,Database!$A$1:$E$1,),)</f>
        <v/>
      </c>
      <c r="C155" s="8">
        <f>(B155-B154)/B154</f>
        <v/>
      </c>
      <c r="D155" s="7">
        <f>(Table5345679103[[#This Row],[Value]]-B143)/B143</f>
        <v/>
      </c>
    </row>
    <row r="156">
      <c r="A156" s="44" t="n">
        <v>26146</v>
      </c>
      <c r="B156" s="45">
        <f>VLOOKUP(Table5345679103[[#This Row],[Date]],Database!A:E,MATCH($A$1,Database!$A$1:$E$1,),)</f>
        <v/>
      </c>
      <c r="C156" s="8">
        <f>(B156-B155)/B155</f>
        <v/>
      </c>
      <c r="D156" s="7">
        <f>(Table5345679103[[#This Row],[Value]]-B144)/B144</f>
        <v/>
      </c>
    </row>
    <row r="157">
      <c r="A157" s="44" t="n">
        <v>26177</v>
      </c>
      <c r="B157" s="45">
        <f>VLOOKUP(Table5345679103[[#This Row],[Date]],Database!A:E,MATCH($A$1,Database!$A$1:$E$1,),)</f>
        <v/>
      </c>
      <c r="C157" s="8">
        <f>(B157-B156)/B156</f>
        <v/>
      </c>
      <c r="D157" s="7">
        <f>(Table5345679103[[#This Row],[Value]]-B145)/B145</f>
        <v/>
      </c>
    </row>
    <row r="158">
      <c r="A158" s="44" t="n">
        <v>26207</v>
      </c>
      <c r="B158" s="45">
        <f>VLOOKUP(Table5345679103[[#This Row],[Date]],Database!A:E,MATCH($A$1,Database!$A$1:$E$1,),)</f>
        <v/>
      </c>
      <c r="C158" s="8">
        <f>(B158-B157)/B157</f>
        <v/>
      </c>
      <c r="D158" s="7">
        <f>(Table5345679103[[#This Row],[Value]]-B146)/B146</f>
        <v/>
      </c>
    </row>
    <row r="159">
      <c r="A159" s="44" t="n">
        <v>26238</v>
      </c>
      <c r="B159" s="45">
        <f>VLOOKUP(Table5345679103[[#This Row],[Date]],Database!A:E,MATCH($A$1,Database!$A$1:$E$1,),)</f>
        <v/>
      </c>
      <c r="C159" s="8">
        <f>(B159-B158)/B158</f>
        <v/>
      </c>
      <c r="D159" s="7">
        <f>(Table5345679103[[#This Row],[Value]]-B147)/B147</f>
        <v/>
      </c>
    </row>
    <row r="160">
      <c r="A160" s="44" t="n">
        <v>26268</v>
      </c>
      <c r="B160" s="45">
        <f>VLOOKUP(Table5345679103[[#This Row],[Date]],Database!A:E,MATCH($A$1,Database!$A$1:$E$1,),)</f>
        <v/>
      </c>
      <c r="C160" s="8">
        <f>(B160-B159)/B159</f>
        <v/>
      </c>
      <c r="D160" s="7">
        <f>(Table5345679103[[#This Row],[Value]]-B148)/B148</f>
        <v/>
      </c>
    </row>
    <row r="161">
      <c r="A161" s="44" t="n">
        <v>26299</v>
      </c>
      <c r="B161" s="45">
        <f>VLOOKUP(Table5345679103[[#This Row],[Date]],Database!A:E,MATCH($A$1,Database!$A$1:$E$1,),)</f>
        <v/>
      </c>
      <c r="C161" s="8">
        <f>(B161-B160)/B160</f>
        <v/>
      </c>
      <c r="D161" s="7">
        <f>(Table5345679103[[#This Row],[Value]]-B149)/B149</f>
        <v/>
      </c>
    </row>
    <row r="162">
      <c r="A162" s="44" t="n">
        <v>26330</v>
      </c>
      <c r="B162" s="45">
        <f>VLOOKUP(Table5345679103[[#This Row],[Date]],Database!A:E,MATCH($A$1,Database!$A$1:$E$1,),)</f>
        <v/>
      </c>
      <c r="C162" s="8">
        <f>(B162-B161)/B161</f>
        <v/>
      </c>
      <c r="D162" s="7">
        <f>(Table5345679103[[#This Row],[Value]]-B150)/B150</f>
        <v/>
      </c>
    </row>
    <row r="163">
      <c r="A163" s="44" t="n">
        <v>26359</v>
      </c>
      <c r="B163" s="45">
        <f>VLOOKUP(Table5345679103[[#This Row],[Date]],Database!A:E,MATCH($A$1,Database!$A$1:$E$1,),)</f>
        <v/>
      </c>
      <c r="C163" s="8">
        <f>(B163-B162)/B162</f>
        <v/>
      </c>
      <c r="D163" s="7">
        <f>(Table5345679103[[#This Row],[Value]]-B151)/B151</f>
        <v/>
      </c>
    </row>
    <row r="164">
      <c r="A164" s="44" t="n">
        <v>26390</v>
      </c>
      <c r="B164" s="45">
        <f>VLOOKUP(Table5345679103[[#This Row],[Date]],Database!A:E,MATCH($A$1,Database!$A$1:$E$1,),)</f>
        <v/>
      </c>
      <c r="C164" s="8">
        <f>(B164-B163)/B163</f>
        <v/>
      </c>
      <c r="D164" s="7">
        <f>(Table5345679103[[#This Row],[Value]]-B152)/B152</f>
        <v/>
      </c>
    </row>
    <row r="165">
      <c r="A165" s="44" t="n">
        <v>26420</v>
      </c>
      <c r="B165" s="45">
        <f>VLOOKUP(Table5345679103[[#This Row],[Date]],Database!A:E,MATCH($A$1,Database!$A$1:$E$1,),)</f>
        <v/>
      </c>
      <c r="C165" s="8">
        <f>(B165-B164)/B164</f>
        <v/>
      </c>
      <c r="D165" s="7">
        <f>(Table5345679103[[#This Row],[Value]]-B153)/B153</f>
        <v/>
      </c>
    </row>
    <row r="166">
      <c r="A166" s="44" t="n">
        <v>26451</v>
      </c>
      <c r="B166" s="45">
        <f>VLOOKUP(Table5345679103[[#This Row],[Date]],Database!A:E,MATCH($A$1,Database!$A$1:$E$1,),)</f>
        <v/>
      </c>
      <c r="C166" s="8">
        <f>(B166-B165)/B165</f>
        <v/>
      </c>
      <c r="D166" s="7">
        <f>(Table5345679103[[#This Row],[Value]]-B154)/B154</f>
        <v/>
      </c>
    </row>
    <row r="167">
      <c r="A167" s="44" t="n">
        <v>26481</v>
      </c>
      <c r="B167" s="45">
        <f>VLOOKUP(Table5345679103[[#This Row],[Date]],Database!A:E,MATCH($A$1,Database!$A$1:$E$1,),)</f>
        <v/>
      </c>
      <c r="C167" s="8">
        <f>(B167-B166)/B166</f>
        <v/>
      </c>
      <c r="D167" s="7">
        <f>(Table5345679103[[#This Row],[Value]]-B155)/B155</f>
        <v/>
      </c>
    </row>
    <row r="168">
      <c r="A168" s="44" t="n">
        <v>26512</v>
      </c>
      <c r="B168" s="45">
        <f>VLOOKUP(Table5345679103[[#This Row],[Date]],Database!A:E,MATCH($A$1,Database!$A$1:$E$1,),)</f>
        <v/>
      </c>
      <c r="C168" s="8">
        <f>(B168-B167)/B167</f>
        <v/>
      </c>
      <c r="D168" s="7">
        <f>(Table5345679103[[#This Row],[Value]]-B156)/B156</f>
        <v/>
      </c>
    </row>
    <row r="169">
      <c r="A169" s="44" t="n">
        <v>26543</v>
      </c>
      <c r="B169" s="45">
        <f>VLOOKUP(Table5345679103[[#This Row],[Date]],Database!A:E,MATCH($A$1,Database!$A$1:$E$1,),)</f>
        <v/>
      </c>
      <c r="C169" s="8">
        <f>(B169-B168)/B168</f>
        <v/>
      </c>
      <c r="D169" s="7">
        <f>(Table5345679103[[#This Row],[Value]]-B157)/B157</f>
        <v/>
      </c>
    </row>
    <row r="170">
      <c r="A170" s="44" t="n">
        <v>26573</v>
      </c>
      <c r="B170" s="45">
        <f>VLOOKUP(Table5345679103[[#This Row],[Date]],Database!A:E,MATCH($A$1,Database!$A$1:$E$1,),)</f>
        <v/>
      </c>
      <c r="C170" s="8">
        <f>(B170-B169)/B169</f>
        <v/>
      </c>
      <c r="D170" s="7">
        <f>(Table5345679103[[#This Row],[Value]]-B158)/B158</f>
        <v/>
      </c>
    </row>
    <row r="171">
      <c r="A171" s="44" t="n">
        <v>26604</v>
      </c>
      <c r="B171" s="45">
        <f>VLOOKUP(Table5345679103[[#This Row],[Date]],Database!A:E,MATCH($A$1,Database!$A$1:$E$1,),)</f>
        <v/>
      </c>
      <c r="C171" s="8">
        <f>(B171-B170)/B170</f>
        <v/>
      </c>
      <c r="D171" s="7">
        <f>(Table5345679103[[#This Row],[Value]]-B159)/B159</f>
        <v/>
      </c>
    </row>
    <row r="172">
      <c r="A172" s="44" t="n">
        <v>26634</v>
      </c>
      <c r="B172" s="45">
        <f>VLOOKUP(Table5345679103[[#This Row],[Date]],Database!A:E,MATCH($A$1,Database!$A$1:$E$1,),)</f>
        <v/>
      </c>
      <c r="C172" s="8">
        <f>(B172-B171)/B171</f>
        <v/>
      </c>
      <c r="D172" s="7">
        <f>(Table5345679103[[#This Row],[Value]]-B160)/B160</f>
        <v/>
      </c>
    </row>
    <row r="173">
      <c r="A173" s="44" t="n">
        <v>26665</v>
      </c>
      <c r="B173" s="45">
        <f>VLOOKUP(Table5345679103[[#This Row],[Date]],Database!A:E,MATCH($A$1,Database!$A$1:$E$1,),)</f>
        <v/>
      </c>
      <c r="C173" s="8">
        <f>(B173-B172)/B172</f>
        <v/>
      </c>
      <c r="D173" s="7">
        <f>(Table5345679103[[#This Row],[Value]]-B161)/B161</f>
        <v/>
      </c>
    </row>
    <row r="174">
      <c r="A174" s="44" t="n">
        <v>26696</v>
      </c>
      <c r="B174" s="45">
        <f>VLOOKUP(Table5345679103[[#This Row],[Date]],Database!A:E,MATCH($A$1,Database!$A$1:$E$1,),)</f>
        <v/>
      </c>
      <c r="C174" s="8">
        <f>(B174-B173)/B173</f>
        <v/>
      </c>
      <c r="D174" s="7">
        <f>(Table5345679103[[#This Row],[Value]]-B162)/B162</f>
        <v/>
      </c>
    </row>
    <row r="175">
      <c r="A175" s="44" t="n">
        <v>26724</v>
      </c>
      <c r="B175" s="45">
        <f>VLOOKUP(Table5345679103[[#This Row],[Date]],Database!A:E,MATCH($A$1,Database!$A$1:$E$1,),)</f>
        <v/>
      </c>
      <c r="C175" s="8">
        <f>(B175-B174)/B174</f>
        <v/>
      </c>
      <c r="D175" s="7">
        <f>(Table5345679103[[#This Row],[Value]]-B163)/B163</f>
        <v/>
      </c>
    </row>
    <row r="176">
      <c r="A176" s="44" t="n">
        <v>26755</v>
      </c>
      <c r="B176" s="45">
        <f>VLOOKUP(Table5345679103[[#This Row],[Date]],Database!A:E,MATCH($A$1,Database!$A$1:$E$1,),)</f>
        <v/>
      </c>
      <c r="C176" s="8">
        <f>(B176-B175)/B175</f>
        <v/>
      </c>
      <c r="D176" s="7">
        <f>(Table5345679103[[#This Row],[Value]]-B164)/B164</f>
        <v/>
      </c>
    </row>
    <row r="177">
      <c r="A177" s="44" t="n">
        <v>26785</v>
      </c>
      <c r="B177" s="45">
        <f>VLOOKUP(Table5345679103[[#This Row],[Date]],Database!A:E,MATCH($A$1,Database!$A$1:$E$1,),)</f>
        <v/>
      </c>
      <c r="C177" s="8">
        <f>(B177-B176)/B176</f>
        <v/>
      </c>
      <c r="D177" s="7">
        <f>(Table5345679103[[#This Row],[Value]]-B165)/B165</f>
        <v/>
      </c>
    </row>
    <row r="178">
      <c r="A178" s="44" t="n">
        <v>26816</v>
      </c>
      <c r="B178" s="45">
        <f>VLOOKUP(Table5345679103[[#This Row],[Date]],Database!A:E,MATCH($A$1,Database!$A$1:$E$1,),)</f>
        <v/>
      </c>
      <c r="C178" s="8">
        <f>(B178-B177)/B177</f>
        <v/>
      </c>
      <c r="D178" s="7">
        <f>(Table5345679103[[#This Row],[Value]]-B166)/B166</f>
        <v/>
      </c>
    </row>
    <row r="179">
      <c r="A179" s="44" t="n">
        <v>26846</v>
      </c>
      <c r="B179" s="45">
        <f>VLOOKUP(Table5345679103[[#This Row],[Date]],Database!A:E,MATCH($A$1,Database!$A$1:$E$1,),)</f>
        <v/>
      </c>
      <c r="C179" s="8">
        <f>(B179-B178)/B178</f>
        <v/>
      </c>
      <c r="D179" s="7">
        <f>(Table5345679103[[#This Row],[Value]]-B167)/B167</f>
        <v/>
      </c>
    </row>
    <row r="180">
      <c r="A180" s="44" t="n">
        <v>26877</v>
      </c>
      <c r="B180" s="45">
        <f>VLOOKUP(Table5345679103[[#This Row],[Date]],Database!A:E,MATCH($A$1,Database!$A$1:$E$1,),)</f>
        <v/>
      </c>
      <c r="C180" s="8">
        <f>(B180-B179)/B179</f>
        <v/>
      </c>
      <c r="D180" s="7">
        <f>(Table5345679103[[#This Row],[Value]]-B168)/B168</f>
        <v/>
      </c>
    </row>
    <row r="181">
      <c r="A181" s="44" t="n">
        <v>26908</v>
      </c>
      <c r="B181" s="45">
        <f>VLOOKUP(Table5345679103[[#This Row],[Date]],Database!A:E,MATCH($A$1,Database!$A$1:$E$1,),)</f>
        <v/>
      </c>
      <c r="C181" s="8">
        <f>(B181-B180)/B180</f>
        <v/>
      </c>
      <c r="D181" s="7">
        <f>(Table5345679103[[#This Row],[Value]]-B169)/B169</f>
        <v/>
      </c>
    </row>
    <row r="182">
      <c r="A182" s="44" t="n">
        <v>26938</v>
      </c>
      <c r="B182" s="45">
        <f>VLOOKUP(Table5345679103[[#This Row],[Date]],Database!A:E,MATCH($A$1,Database!$A$1:$E$1,),)</f>
        <v/>
      </c>
      <c r="C182" s="8">
        <f>(B182-B181)/B181</f>
        <v/>
      </c>
      <c r="D182" s="7">
        <f>(Table5345679103[[#This Row],[Value]]-B170)/B170</f>
        <v/>
      </c>
    </row>
    <row r="183">
      <c r="A183" s="44" t="n">
        <v>26969</v>
      </c>
      <c r="B183" s="45">
        <f>VLOOKUP(Table5345679103[[#This Row],[Date]],Database!A:E,MATCH($A$1,Database!$A$1:$E$1,),)</f>
        <v/>
      </c>
      <c r="C183" s="8">
        <f>(B183-B182)/B182</f>
        <v/>
      </c>
      <c r="D183" s="7">
        <f>(Table5345679103[[#This Row],[Value]]-B171)/B171</f>
        <v/>
      </c>
    </row>
    <row r="184">
      <c r="A184" s="44" t="n">
        <v>26999</v>
      </c>
      <c r="B184" s="45">
        <f>VLOOKUP(Table5345679103[[#This Row],[Date]],Database!A:E,MATCH($A$1,Database!$A$1:$E$1,),)</f>
        <v/>
      </c>
      <c r="C184" s="8">
        <f>(B184-B183)/B183</f>
        <v/>
      </c>
      <c r="D184" s="7">
        <f>(Table5345679103[[#This Row],[Value]]-B172)/B172</f>
        <v/>
      </c>
    </row>
    <row r="185">
      <c r="A185" s="44" t="n">
        <v>27030</v>
      </c>
      <c r="B185" s="45">
        <f>VLOOKUP(Table5345679103[[#This Row],[Date]],Database!A:E,MATCH($A$1,Database!$A$1:$E$1,),)</f>
        <v/>
      </c>
      <c r="C185" s="8">
        <f>(B185-B184)/B184</f>
        <v/>
      </c>
      <c r="D185" s="7">
        <f>(Table5345679103[[#This Row],[Value]]-B173)/B173</f>
        <v/>
      </c>
    </row>
    <row r="186">
      <c r="A186" s="44" t="n">
        <v>27061</v>
      </c>
      <c r="B186" s="45">
        <f>VLOOKUP(Table5345679103[[#This Row],[Date]],Database!A:E,MATCH($A$1,Database!$A$1:$E$1,),)</f>
        <v/>
      </c>
      <c r="C186" s="8">
        <f>(B186-B185)/B185</f>
        <v/>
      </c>
      <c r="D186" s="7">
        <f>(Table5345679103[[#This Row],[Value]]-B174)/B174</f>
        <v/>
      </c>
    </row>
    <row r="187">
      <c r="A187" s="44" t="n">
        <v>27089</v>
      </c>
      <c r="B187" s="45">
        <f>VLOOKUP(Table5345679103[[#This Row],[Date]],Database!A:E,MATCH($A$1,Database!$A$1:$E$1,),)</f>
        <v/>
      </c>
      <c r="C187" s="8">
        <f>(B187-B186)/B186</f>
        <v/>
      </c>
      <c r="D187" s="7">
        <f>(Table5345679103[[#This Row],[Value]]-B175)/B175</f>
        <v/>
      </c>
    </row>
    <row r="188">
      <c r="A188" s="44" t="n">
        <v>27120</v>
      </c>
      <c r="B188" s="45">
        <f>VLOOKUP(Table5345679103[[#This Row],[Date]],Database!A:E,MATCH($A$1,Database!$A$1:$E$1,),)</f>
        <v/>
      </c>
      <c r="C188" s="8">
        <f>(B188-B187)/B187</f>
        <v/>
      </c>
      <c r="D188" s="7">
        <f>(Table5345679103[[#This Row],[Value]]-B176)/B176</f>
        <v/>
      </c>
    </row>
    <row r="189">
      <c r="A189" s="44" t="n">
        <v>27150</v>
      </c>
      <c r="B189" s="45">
        <f>VLOOKUP(Table5345679103[[#This Row],[Date]],Database!A:E,MATCH($A$1,Database!$A$1:$E$1,),)</f>
        <v/>
      </c>
      <c r="C189" s="8">
        <f>(B189-B188)/B188</f>
        <v/>
      </c>
      <c r="D189" s="7">
        <f>(Table5345679103[[#This Row],[Value]]-B177)/B177</f>
        <v/>
      </c>
    </row>
    <row r="190">
      <c r="A190" s="44" t="n">
        <v>27181</v>
      </c>
      <c r="B190" s="45">
        <f>VLOOKUP(Table5345679103[[#This Row],[Date]],Database!A:E,MATCH($A$1,Database!$A$1:$E$1,),)</f>
        <v/>
      </c>
      <c r="C190" s="8">
        <f>(B190-B189)/B189</f>
        <v/>
      </c>
      <c r="D190" s="7">
        <f>(Table5345679103[[#This Row],[Value]]-B178)/B178</f>
        <v/>
      </c>
    </row>
    <row r="191">
      <c r="A191" s="44" t="n">
        <v>27211</v>
      </c>
      <c r="B191" s="45">
        <f>VLOOKUP(Table5345679103[[#This Row],[Date]],Database!A:E,MATCH($A$1,Database!$A$1:$E$1,),)</f>
        <v/>
      </c>
      <c r="C191" s="8">
        <f>(B191-B190)/B190</f>
        <v/>
      </c>
      <c r="D191" s="7">
        <f>(Table5345679103[[#This Row],[Value]]-B179)/B179</f>
        <v/>
      </c>
    </row>
    <row r="192">
      <c r="A192" s="44" t="n">
        <v>27242</v>
      </c>
      <c r="B192" s="45">
        <f>VLOOKUP(Table5345679103[[#This Row],[Date]],Database!A:E,MATCH($A$1,Database!$A$1:$E$1,),)</f>
        <v/>
      </c>
      <c r="C192" s="8">
        <f>(B192-B191)/B191</f>
        <v/>
      </c>
      <c r="D192" s="7">
        <f>(Table5345679103[[#This Row],[Value]]-B180)/B180</f>
        <v/>
      </c>
    </row>
    <row r="193">
      <c r="A193" s="44" t="n">
        <v>27273</v>
      </c>
      <c r="B193" s="45">
        <f>VLOOKUP(Table5345679103[[#This Row],[Date]],Database!A:E,MATCH($A$1,Database!$A$1:$E$1,),)</f>
        <v/>
      </c>
      <c r="C193" s="8">
        <f>(B193-B192)/B192</f>
        <v/>
      </c>
      <c r="D193" s="7">
        <f>(Table5345679103[[#This Row],[Value]]-B181)/B181</f>
        <v/>
      </c>
    </row>
    <row r="194">
      <c r="A194" s="44" t="n">
        <v>27303</v>
      </c>
      <c r="B194" s="45">
        <f>VLOOKUP(Table5345679103[[#This Row],[Date]],Database!A:E,MATCH($A$1,Database!$A$1:$E$1,),)</f>
        <v/>
      </c>
      <c r="C194" s="8">
        <f>(B194-B193)/B193</f>
        <v/>
      </c>
      <c r="D194" s="7">
        <f>(Table5345679103[[#This Row],[Value]]-B182)/B182</f>
        <v/>
      </c>
    </row>
    <row r="195">
      <c r="A195" s="44" t="n">
        <v>27334</v>
      </c>
      <c r="B195" s="45">
        <f>VLOOKUP(Table5345679103[[#This Row],[Date]],Database!A:E,MATCH($A$1,Database!$A$1:$E$1,),)</f>
        <v/>
      </c>
      <c r="C195" s="8">
        <f>(B195-B194)/B194</f>
        <v/>
      </c>
      <c r="D195" s="7">
        <f>(Table5345679103[[#This Row],[Value]]-B183)/B183</f>
        <v/>
      </c>
    </row>
    <row r="196">
      <c r="A196" s="44" t="n">
        <v>27364</v>
      </c>
      <c r="B196" s="45">
        <f>VLOOKUP(Table5345679103[[#This Row],[Date]],Database!A:E,MATCH($A$1,Database!$A$1:$E$1,),)</f>
        <v/>
      </c>
      <c r="C196" s="8">
        <f>(B196-B195)/B195</f>
        <v/>
      </c>
      <c r="D196" s="7">
        <f>(Table5345679103[[#This Row],[Value]]-B184)/B184</f>
        <v/>
      </c>
    </row>
    <row r="197">
      <c r="A197" s="44" t="n">
        <v>27395</v>
      </c>
      <c r="B197" s="45">
        <f>VLOOKUP(Table5345679103[[#This Row],[Date]],Database!A:E,MATCH($A$1,Database!$A$1:$E$1,),)</f>
        <v/>
      </c>
      <c r="C197" s="8">
        <f>(B197-B196)/B196</f>
        <v/>
      </c>
      <c r="D197" s="7">
        <f>(Table5345679103[[#This Row],[Value]]-B185)/B185</f>
        <v/>
      </c>
    </row>
    <row r="198">
      <c r="A198" s="44" t="n">
        <v>27426</v>
      </c>
      <c r="B198" s="45">
        <f>VLOOKUP(Table5345679103[[#This Row],[Date]],Database!A:E,MATCH($A$1,Database!$A$1:$E$1,),)</f>
        <v/>
      </c>
      <c r="C198" s="8">
        <f>(B198-B197)/B197</f>
        <v/>
      </c>
      <c r="D198" s="7">
        <f>(Table5345679103[[#This Row],[Value]]-B186)/B186</f>
        <v/>
      </c>
    </row>
    <row r="199">
      <c r="A199" s="44" t="n">
        <v>27454</v>
      </c>
      <c r="B199" s="45">
        <f>VLOOKUP(Table5345679103[[#This Row],[Date]],Database!A:E,MATCH($A$1,Database!$A$1:$E$1,),)</f>
        <v/>
      </c>
      <c r="C199" s="8">
        <f>(B199-B198)/B198</f>
        <v/>
      </c>
      <c r="D199" s="7">
        <f>(Table5345679103[[#This Row],[Value]]-B187)/B187</f>
        <v/>
      </c>
    </row>
    <row r="200">
      <c r="A200" s="44" t="n">
        <v>27485</v>
      </c>
      <c r="B200" s="45">
        <f>VLOOKUP(Table5345679103[[#This Row],[Date]],Database!A:E,MATCH($A$1,Database!$A$1:$E$1,),)</f>
        <v/>
      </c>
      <c r="C200" s="8">
        <f>(B200-B199)/B199</f>
        <v/>
      </c>
      <c r="D200" s="7">
        <f>(Table5345679103[[#This Row],[Value]]-B188)/B188</f>
        <v/>
      </c>
    </row>
    <row r="201">
      <c r="A201" s="44" t="n">
        <v>27515</v>
      </c>
      <c r="B201" s="45">
        <f>VLOOKUP(Table5345679103[[#This Row],[Date]],Database!A:E,MATCH($A$1,Database!$A$1:$E$1,),)</f>
        <v/>
      </c>
      <c r="C201" s="8">
        <f>(B201-B200)/B200</f>
        <v/>
      </c>
      <c r="D201" s="7">
        <f>(Table5345679103[[#This Row],[Value]]-B189)/B189</f>
        <v/>
      </c>
    </row>
    <row r="202">
      <c r="A202" s="44" t="n">
        <v>27546</v>
      </c>
      <c r="B202" s="45">
        <f>VLOOKUP(Table5345679103[[#This Row],[Date]],Database!A:E,MATCH($A$1,Database!$A$1:$E$1,),)</f>
        <v/>
      </c>
      <c r="C202" s="8">
        <f>(B202-B201)/B201</f>
        <v/>
      </c>
      <c r="D202" s="7">
        <f>(Table5345679103[[#This Row],[Value]]-B190)/B190</f>
        <v/>
      </c>
    </row>
    <row r="203">
      <c r="A203" s="44" t="n">
        <v>27576</v>
      </c>
      <c r="B203" s="45">
        <f>VLOOKUP(Table5345679103[[#This Row],[Date]],Database!A:E,MATCH($A$1,Database!$A$1:$E$1,),)</f>
        <v/>
      </c>
      <c r="C203" s="8">
        <f>(B203-B202)/B202</f>
        <v/>
      </c>
      <c r="D203" s="7">
        <f>(Table5345679103[[#This Row],[Value]]-B191)/B191</f>
        <v/>
      </c>
    </row>
    <row r="204">
      <c r="A204" s="44" t="n">
        <v>27607</v>
      </c>
      <c r="B204" s="45">
        <f>VLOOKUP(Table5345679103[[#This Row],[Date]],Database!A:E,MATCH($A$1,Database!$A$1:$E$1,),)</f>
        <v/>
      </c>
      <c r="C204" s="8">
        <f>(B204-B203)/B203</f>
        <v/>
      </c>
      <c r="D204" s="7">
        <f>(Table5345679103[[#This Row],[Value]]-B192)/B192</f>
        <v/>
      </c>
    </row>
    <row r="205">
      <c r="A205" s="44" t="n">
        <v>27638</v>
      </c>
      <c r="B205" s="45">
        <f>VLOOKUP(Table5345679103[[#This Row],[Date]],Database!A:E,MATCH($A$1,Database!$A$1:$E$1,),)</f>
        <v/>
      </c>
      <c r="C205" s="8">
        <f>(B205-B204)/B204</f>
        <v/>
      </c>
      <c r="D205" s="7">
        <f>(Table5345679103[[#This Row],[Value]]-B193)/B193</f>
        <v/>
      </c>
    </row>
    <row r="206">
      <c r="A206" s="44" t="n">
        <v>27668</v>
      </c>
      <c r="B206" s="45">
        <f>VLOOKUP(Table5345679103[[#This Row],[Date]],Database!A:E,MATCH($A$1,Database!$A$1:$E$1,),)</f>
        <v/>
      </c>
      <c r="C206" s="8">
        <f>(B206-B205)/B205</f>
        <v/>
      </c>
      <c r="D206" s="7">
        <f>(Table5345679103[[#This Row],[Value]]-B194)/B194</f>
        <v/>
      </c>
    </row>
    <row r="207">
      <c r="A207" s="44" t="n">
        <v>27699</v>
      </c>
      <c r="B207" s="45">
        <f>VLOOKUP(Table5345679103[[#This Row],[Date]],Database!A:E,MATCH($A$1,Database!$A$1:$E$1,),)</f>
        <v/>
      </c>
      <c r="C207" s="8">
        <f>(B207-B206)/B206</f>
        <v/>
      </c>
      <c r="D207" s="7">
        <f>(Table5345679103[[#This Row],[Value]]-B195)/B195</f>
        <v/>
      </c>
    </row>
    <row r="208">
      <c r="A208" s="44" t="n">
        <v>27729</v>
      </c>
      <c r="B208" s="45">
        <f>VLOOKUP(Table5345679103[[#This Row],[Date]],Database!A:E,MATCH($A$1,Database!$A$1:$E$1,),)</f>
        <v/>
      </c>
      <c r="C208" s="8">
        <f>(B208-B207)/B207</f>
        <v/>
      </c>
      <c r="D208" s="7">
        <f>(Table5345679103[[#This Row],[Value]]-B196)/B196</f>
        <v/>
      </c>
    </row>
    <row r="209">
      <c r="A209" s="44" t="n">
        <v>27760</v>
      </c>
      <c r="B209" s="45">
        <f>VLOOKUP(Table5345679103[[#This Row],[Date]],Database!A:E,MATCH($A$1,Database!$A$1:$E$1,),)</f>
        <v/>
      </c>
      <c r="C209" s="8">
        <f>(B209-B208)/B208</f>
        <v/>
      </c>
      <c r="D209" s="7">
        <f>(Table5345679103[[#This Row],[Value]]-B197)/B197</f>
        <v/>
      </c>
    </row>
    <row r="210">
      <c r="A210" s="44" t="n">
        <v>27791</v>
      </c>
      <c r="B210" s="45">
        <f>VLOOKUP(Table5345679103[[#This Row],[Date]],Database!A:E,MATCH($A$1,Database!$A$1:$E$1,),)</f>
        <v/>
      </c>
      <c r="C210" s="8">
        <f>(B210-B209)/B209</f>
        <v/>
      </c>
      <c r="D210" s="7">
        <f>(Table5345679103[[#This Row],[Value]]-B198)/B198</f>
        <v/>
      </c>
    </row>
    <row r="211">
      <c r="A211" s="44" t="n">
        <v>27820</v>
      </c>
      <c r="B211" s="45">
        <f>VLOOKUP(Table5345679103[[#This Row],[Date]],Database!A:E,MATCH($A$1,Database!$A$1:$E$1,),)</f>
        <v/>
      </c>
      <c r="C211" s="8">
        <f>(B211-B210)/B210</f>
        <v/>
      </c>
      <c r="D211" s="7">
        <f>(Table5345679103[[#This Row],[Value]]-B199)/B199</f>
        <v/>
      </c>
    </row>
    <row r="212">
      <c r="A212" s="44" t="n">
        <v>27851</v>
      </c>
      <c r="B212" s="45">
        <f>VLOOKUP(Table5345679103[[#This Row],[Date]],Database!A:E,MATCH($A$1,Database!$A$1:$E$1,),)</f>
        <v/>
      </c>
      <c r="C212" s="8">
        <f>(B212-B211)/B211</f>
        <v/>
      </c>
      <c r="D212" s="7">
        <f>(Table5345679103[[#This Row],[Value]]-B200)/B200</f>
        <v/>
      </c>
    </row>
    <row r="213">
      <c r="A213" s="44" t="n">
        <v>27881</v>
      </c>
      <c r="B213" s="45">
        <f>VLOOKUP(Table5345679103[[#This Row],[Date]],Database!A:E,MATCH($A$1,Database!$A$1:$E$1,),)</f>
        <v/>
      </c>
      <c r="C213" s="8">
        <f>(B213-B212)/B212</f>
        <v/>
      </c>
      <c r="D213" s="7">
        <f>(Table5345679103[[#This Row],[Value]]-B201)/B201</f>
        <v/>
      </c>
    </row>
    <row r="214">
      <c r="A214" s="44" t="n">
        <v>27912</v>
      </c>
      <c r="B214" s="45">
        <f>VLOOKUP(Table5345679103[[#This Row],[Date]],Database!A:E,MATCH($A$1,Database!$A$1:$E$1,),)</f>
        <v/>
      </c>
      <c r="C214" s="8">
        <f>(B214-B213)/B213</f>
        <v/>
      </c>
      <c r="D214" s="7">
        <f>(Table5345679103[[#This Row],[Value]]-B202)/B202</f>
        <v/>
      </c>
    </row>
    <row r="215">
      <c r="A215" s="44" t="n">
        <v>27942</v>
      </c>
      <c r="B215" s="45">
        <f>VLOOKUP(Table5345679103[[#This Row],[Date]],Database!A:E,MATCH($A$1,Database!$A$1:$E$1,),)</f>
        <v/>
      </c>
      <c r="C215" s="8">
        <f>(B215-B214)/B214</f>
        <v/>
      </c>
      <c r="D215" s="7">
        <f>(Table5345679103[[#This Row],[Value]]-B203)/B203</f>
        <v/>
      </c>
    </row>
    <row r="216">
      <c r="A216" s="44" t="n">
        <v>27973</v>
      </c>
      <c r="B216" s="45">
        <f>VLOOKUP(Table5345679103[[#This Row],[Date]],Database!A:E,MATCH($A$1,Database!$A$1:$E$1,),)</f>
        <v/>
      </c>
      <c r="C216" s="8">
        <f>(B216-B215)/B215</f>
        <v/>
      </c>
      <c r="D216" s="7">
        <f>(Table5345679103[[#This Row],[Value]]-B204)/B204</f>
        <v/>
      </c>
    </row>
    <row r="217">
      <c r="A217" s="44" t="n">
        <v>28004</v>
      </c>
      <c r="B217" s="45">
        <f>VLOOKUP(Table5345679103[[#This Row],[Date]],Database!A:E,MATCH($A$1,Database!$A$1:$E$1,),)</f>
        <v/>
      </c>
      <c r="C217" s="8">
        <f>(B217-B216)/B216</f>
        <v/>
      </c>
      <c r="D217" s="7">
        <f>(Table5345679103[[#This Row],[Value]]-B205)/B205</f>
        <v/>
      </c>
    </row>
    <row r="218">
      <c r="A218" s="44" t="n">
        <v>28034</v>
      </c>
      <c r="B218" s="45">
        <f>VLOOKUP(Table5345679103[[#This Row],[Date]],Database!A:E,MATCH($A$1,Database!$A$1:$E$1,),)</f>
        <v/>
      </c>
      <c r="C218" s="8">
        <f>(B218-B217)/B217</f>
        <v/>
      </c>
      <c r="D218" s="7">
        <f>(Table5345679103[[#This Row],[Value]]-B206)/B206</f>
        <v/>
      </c>
    </row>
    <row r="219">
      <c r="A219" s="44" t="n">
        <v>28065</v>
      </c>
      <c r="B219" s="45">
        <f>VLOOKUP(Table5345679103[[#This Row],[Date]],Database!A:E,MATCH($A$1,Database!$A$1:$E$1,),)</f>
        <v/>
      </c>
      <c r="C219" s="8">
        <f>(B219-B218)/B218</f>
        <v/>
      </c>
      <c r="D219" s="7">
        <f>(Table5345679103[[#This Row],[Value]]-B207)/B207</f>
        <v/>
      </c>
    </row>
    <row r="220">
      <c r="A220" s="44" t="n">
        <v>28095</v>
      </c>
      <c r="B220" s="45">
        <f>VLOOKUP(Table5345679103[[#This Row],[Date]],Database!A:E,MATCH($A$1,Database!$A$1:$E$1,),)</f>
        <v/>
      </c>
      <c r="C220" s="8">
        <f>(B220-B219)/B219</f>
        <v/>
      </c>
      <c r="D220" s="7">
        <f>(Table5345679103[[#This Row],[Value]]-B208)/B208</f>
        <v/>
      </c>
    </row>
    <row r="221">
      <c r="A221" s="44" t="n">
        <v>28126</v>
      </c>
      <c r="B221" s="45">
        <f>VLOOKUP(Table5345679103[[#This Row],[Date]],Database!A:E,MATCH($A$1,Database!$A$1:$E$1,),)</f>
        <v/>
      </c>
      <c r="C221" s="8">
        <f>(B221-B220)/B220</f>
        <v/>
      </c>
      <c r="D221" s="7">
        <f>(Table5345679103[[#This Row],[Value]]-B209)/B209</f>
        <v/>
      </c>
    </row>
    <row r="222">
      <c r="A222" s="44" t="n">
        <v>28157</v>
      </c>
      <c r="B222" s="45">
        <f>VLOOKUP(Table5345679103[[#This Row],[Date]],Database!A:E,MATCH($A$1,Database!$A$1:$E$1,),)</f>
        <v/>
      </c>
      <c r="C222" s="8">
        <f>(B222-B221)/B221</f>
        <v/>
      </c>
      <c r="D222" s="7">
        <f>(Table5345679103[[#This Row],[Value]]-B210)/B210</f>
        <v/>
      </c>
    </row>
    <row r="223">
      <c r="A223" s="44" t="n">
        <v>28185</v>
      </c>
      <c r="B223" s="45">
        <f>VLOOKUP(Table5345679103[[#This Row],[Date]],Database!A:E,MATCH($A$1,Database!$A$1:$E$1,),)</f>
        <v/>
      </c>
      <c r="C223" s="8">
        <f>(B223-B222)/B222</f>
        <v/>
      </c>
      <c r="D223" s="7">
        <f>(Table5345679103[[#This Row],[Value]]-B211)/B211</f>
        <v/>
      </c>
    </row>
    <row r="224">
      <c r="A224" s="44" t="n">
        <v>28216</v>
      </c>
      <c r="B224" s="45">
        <f>VLOOKUP(Table5345679103[[#This Row],[Date]],Database!A:E,MATCH($A$1,Database!$A$1:$E$1,),)</f>
        <v/>
      </c>
      <c r="C224" s="8">
        <f>(B224-B223)/B223</f>
        <v/>
      </c>
      <c r="D224" s="7">
        <f>(Table5345679103[[#This Row],[Value]]-B212)/B212</f>
        <v/>
      </c>
    </row>
    <row r="225">
      <c r="A225" s="44" t="n">
        <v>28246</v>
      </c>
      <c r="B225" s="45">
        <f>VLOOKUP(Table5345679103[[#This Row],[Date]],Database!A:E,MATCH($A$1,Database!$A$1:$E$1,),)</f>
        <v/>
      </c>
      <c r="C225" s="8">
        <f>(B225-B224)/B224</f>
        <v/>
      </c>
      <c r="D225" s="7">
        <f>(Table5345679103[[#This Row],[Value]]-B213)/B213</f>
        <v/>
      </c>
    </row>
    <row r="226">
      <c r="A226" s="44" t="n">
        <v>28277</v>
      </c>
      <c r="B226" s="45">
        <f>VLOOKUP(Table5345679103[[#This Row],[Date]],Database!A:E,MATCH($A$1,Database!$A$1:$E$1,),)</f>
        <v/>
      </c>
      <c r="C226" s="8">
        <f>(B226-B225)/B225</f>
        <v/>
      </c>
      <c r="D226" s="7">
        <f>(Table5345679103[[#This Row],[Value]]-B214)/B214</f>
        <v/>
      </c>
    </row>
    <row r="227">
      <c r="A227" s="44" t="n">
        <v>28307</v>
      </c>
      <c r="B227" s="45">
        <f>VLOOKUP(Table5345679103[[#This Row],[Date]],Database!A:E,MATCH($A$1,Database!$A$1:$E$1,),)</f>
        <v/>
      </c>
      <c r="C227" s="8">
        <f>(B227-B226)/B226</f>
        <v/>
      </c>
      <c r="D227" s="7">
        <f>(Table5345679103[[#This Row],[Value]]-B215)/B215</f>
        <v/>
      </c>
    </row>
    <row r="228">
      <c r="A228" s="44" t="n">
        <v>28338</v>
      </c>
      <c r="B228" s="45">
        <f>VLOOKUP(Table5345679103[[#This Row],[Date]],Database!A:E,MATCH($A$1,Database!$A$1:$E$1,),)</f>
        <v/>
      </c>
      <c r="C228" s="8">
        <f>(B228-B227)/B227</f>
        <v/>
      </c>
      <c r="D228" s="7">
        <f>(Table5345679103[[#This Row],[Value]]-B216)/B216</f>
        <v/>
      </c>
    </row>
    <row r="229">
      <c r="A229" s="44" t="n">
        <v>28369</v>
      </c>
      <c r="B229" s="45">
        <f>VLOOKUP(Table5345679103[[#This Row],[Date]],Database!A:E,MATCH($A$1,Database!$A$1:$E$1,),)</f>
        <v/>
      </c>
      <c r="C229" s="8">
        <f>(B229-B228)/B228</f>
        <v/>
      </c>
      <c r="D229" s="7">
        <f>(Table5345679103[[#This Row],[Value]]-B217)/B217</f>
        <v/>
      </c>
    </row>
    <row r="230">
      <c r="A230" s="44" t="n">
        <v>28399</v>
      </c>
      <c r="B230" s="45">
        <f>VLOOKUP(Table5345679103[[#This Row],[Date]],Database!A:E,MATCH($A$1,Database!$A$1:$E$1,),)</f>
        <v/>
      </c>
      <c r="C230" s="8">
        <f>(B230-B229)/B229</f>
        <v/>
      </c>
      <c r="D230" s="7">
        <f>(Table5345679103[[#This Row],[Value]]-B218)/B218</f>
        <v/>
      </c>
    </row>
    <row r="231">
      <c r="A231" s="44" t="n">
        <v>28430</v>
      </c>
      <c r="B231" s="45">
        <f>VLOOKUP(Table5345679103[[#This Row],[Date]],Database!A:E,MATCH($A$1,Database!$A$1:$E$1,),)</f>
        <v/>
      </c>
      <c r="C231" s="8">
        <f>(B231-B230)/B230</f>
        <v/>
      </c>
      <c r="D231" s="7">
        <f>(Table5345679103[[#This Row],[Value]]-B219)/B219</f>
        <v/>
      </c>
    </row>
    <row r="232">
      <c r="A232" s="44" t="n">
        <v>28460</v>
      </c>
      <c r="B232" s="45">
        <f>VLOOKUP(Table5345679103[[#This Row],[Date]],Database!A:E,MATCH($A$1,Database!$A$1:$E$1,),)</f>
        <v/>
      </c>
      <c r="C232" s="8">
        <f>(B232-B231)/B231</f>
        <v/>
      </c>
      <c r="D232" s="7">
        <f>(Table5345679103[[#This Row],[Value]]-B220)/B220</f>
        <v/>
      </c>
    </row>
    <row r="233">
      <c r="A233" s="44" t="n">
        <v>28491</v>
      </c>
      <c r="B233" s="45">
        <f>VLOOKUP(Table5345679103[[#This Row],[Date]],Database!A:E,MATCH($A$1,Database!$A$1:$E$1,),)</f>
        <v/>
      </c>
      <c r="C233" s="8">
        <f>(B233-B232)/B232</f>
        <v/>
      </c>
      <c r="D233" s="7">
        <f>(Table5345679103[[#This Row],[Value]]-B221)/B221</f>
        <v/>
      </c>
    </row>
    <row r="234">
      <c r="A234" s="44" t="n">
        <v>28522</v>
      </c>
      <c r="B234" s="45">
        <f>VLOOKUP(Table5345679103[[#This Row],[Date]],Database!A:E,MATCH($A$1,Database!$A$1:$E$1,),)</f>
        <v/>
      </c>
      <c r="C234" s="8">
        <f>(B234-B233)/B233</f>
        <v/>
      </c>
      <c r="D234" s="7">
        <f>(Table5345679103[[#This Row],[Value]]-B222)/B222</f>
        <v/>
      </c>
    </row>
    <row r="235">
      <c r="A235" s="44" t="n">
        <v>28550</v>
      </c>
      <c r="B235" s="45">
        <f>VLOOKUP(Table5345679103[[#This Row],[Date]],Database!A:E,MATCH($A$1,Database!$A$1:$E$1,),)</f>
        <v/>
      </c>
      <c r="C235" s="8">
        <f>(B235-B234)/B234</f>
        <v/>
      </c>
      <c r="D235" s="7">
        <f>(Table5345679103[[#This Row],[Value]]-B223)/B223</f>
        <v/>
      </c>
    </row>
    <row r="236">
      <c r="A236" s="44" t="n">
        <v>28581</v>
      </c>
      <c r="B236" s="45">
        <f>VLOOKUP(Table5345679103[[#This Row],[Date]],Database!A:E,MATCH($A$1,Database!$A$1:$E$1,),)</f>
        <v/>
      </c>
      <c r="C236" s="8">
        <f>(B236-B235)/B235</f>
        <v/>
      </c>
      <c r="D236" s="7">
        <f>(Table5345679103[[#This Row],[Value]]-B224)/B224</f>
        <v/>
      </c>
    </row>
    <row r="237">
      <c r="A237" s="44" t="n">
        <v>28611</v>
      </c>
      <c r="B237" s="45">
        <f>VLOOKUP(Table5345679103[[#This Row],[Date]],Database!A:E,MATCH($A$1,Database!$A$1:$E$1,),)</f>
        <v/>
      </c>
      <c r="C237" s="8">
        <f>(B237-B236)/B236</f>
        <v/>
      </c>
      <c r="D237" s="7">
        <f>(Table5345679103[[#This Row],[Value]]-B225)/B225</f>
        <v/>
      </c>
    </row>
    <row r="238">
      <c r="A238" s="44" t="n">
        <v>28642</v>
      </c>
      <c r="B238" s="45">
        <f>VLOOKUP(Table5345679103[[#This Row],[Date]],Database!A:E,MATCH($A$1,Database!$A$1:$E$1,),)</f>
        <v/>
      </c>
      <c r="C238" s="8">
        <f>(B238-B237)/B237</f>
        <v/>
      </c>
      <c r="D238" s="7">
        <f>(Table5345679103[[#This Row],[Value]]-B226)/B226</f>
        <v/>
      </c>
    </row>
    <row r="239">
      <c r="A239" s="44" t="n">
        <v>28672</v>
      </c>
      <c r="B239" s="45">
        <f>VLOOKUP(Table5345679103[[#This Row],[Date]],Database!A:E,MATCH($A$1,Database!$A$1:$E$1,),)</f>
        <v/>
      </c>
      <c r="C239" s="8">
        <f>(B239-B238)/B238</f>
        <v/>
      </c>
      <c r="D239" s="7">
        <f>(Table5345679103[[#This Row],[Value]]-B227)/B227</f>
        <v/>
      </c>
    </row>
    <row r="240">
      <c r="A240" s="44" t="n">
        <v>28703</v>
      </c>
      <c r="B240" s="45">
        <f>VLOOKUP(Table5345679103[[#This Row],[Date]],Database!A:E,MATCH($A$1,Database!$A$1:$E$1,),)</f>
        <v/>
      </c>
      <c r="C240" s="8">
        <f>(B240-B239)/B239</f>
        <v/>
      </c>
      <c r="D240" s="7">
        <f>(Table5345679103[[#This Row],[Value]]-B228)/B228</f>
        <v/>
      </c>
    </row>
    <row r="241">
      <c r="A241" s="44" t="n">
        <v>28734</v>
      </c>
      <c r="B241" s="45">
        <f>VLOOKUP(Table5345679103[[#This Row],[Date]],Database!A:E,MATCH($A$1,Database!$A$1:$E$1,),)</f>
        <v/>
      </c>
      <c r="C241" s="8">
        <f>(B241-B240)/B240</f>
        <v/>
      </c>
      <c r="D241" s="7">
        <f>(Table5345679103[[#This Row],[Value]]-B229)/B229</f>
        <v/>
      </c>
    </row>
    <row r="242">
      <c r="A242" s="44" t="n">
        <v>28764</v>
      </c>
      <c r="B242" s="45">
        <f>VLOOKUP(Table5345679103[[#This Row],[Date]],Database!A:E,MATCH($A$1,Database!$A$1:$E$1,),)</f>
        <v/>
      </c>
      <c r="C242" s="8">
        <f>(B242-B241)/B241</f>
        <v/>
      </c>
      <c r="D242" s="7">
        <f>(Table5345679103[[#This Row],[Value]]-B230)/B230</f>
        <v/>
      </c>
    </row>
    <row r="243">
      <c r="A243" s="44" t="n">
        <v>28795</v>
      </c>
      <c r="B243" s="45">
        <f>VLOOKUP(Table5345679103[[#This Row],[Date]],Database!A:E,MATCH($A$1,Database!$A$1:$E$1,),)</f>
        <v/>
      </c>
      <c r="C243" s="8">
        <f>(B243-B242)/B242</f>
        <v/>
      </c>
      <c r="D243" s="7">
        <f>(Table5345679103[[#This Row],[Value]]-B231)/B231</f>
        <v/>
      </c>
    </row>
    <row r="244">
      <c r="A244" s="44" t="n">
        <v>28825</v>
      </c>
      <c r="B244" s="45">
        <f>VLOOKUP(Table5345679103[[#This Row],[Date]],Database!A:E,MATCH($A$1,Database!$A$1:$E$1,),)</f>
        <v/>
      </c>
      <c r="C244" s="8">
        <f>(B244-B243)/B243</f>
        <v/>
      </c>
      <c r="D244" s="7">
        <f>(Table5345679103[[#This Row],[Value]]-B232)/B232</f>
        <v/>
      </c>
    </row>
    <row r="245">
      <c r="A245" s="44" t="n">
        <v>28856</v>
      </c>
      <c r="B245" s="45">
        <f>VLOOKUP(Table5345679103[[#This Row],[Date]],Database!A:E,MATCH($A$1,Database!$A$1:$E$1,),)</f>
        <v/>
      </c>
      <c r="C245" s="8">
        <f>(B245-B244)/B244</f>
        <v/>
      </c>
      <c r="D245" s="7">
        <f>(Table5345679103[[#This Row],[Value]]-B233)/B233</f>
        <v/>
      </c>
    </row>
    <row r="246">
      <c r="A246" s="44" t="n">
        <v>28887</v>
      </c>
      <c r="B246" s="45">
        <f>VLOOKUP(Table5345679103[[#This Row],[Date]],Database!A:E,MATCH($A$1,Database!$A$1:$E$1,),)</f>
        <v/>
      </c>
      <c r="C246" s="8">
        <f>(B246-B245)/B245</f>
        <v/>
      </c>
      <c r="D246" s="7">
        <f>(Table5345679103[[#This Row],[Value]]-B234)/B234</f>
        <v/>
      </c>
    </row>
    <row r="247">
      <c r="A247" s="44" t="n">
        <v>28915</v>
      </c>
      <c r="B247" s="45">
        <f>VLOOKUP(Table5345679103[[#This Row],[Date]],Database!A:E,MATCH($A$1,Database!$A$1:$E$1,),)</f>
        <v/>
      </c>
      <c r="C247" s="8">
        <f>(B247-B246)/B246</f>
        <v/>
      </c>
      <c r="D247" s="7">
        <f>(Table5345679103[[#This Row],[Value]]-B235)/B235</f>
        <v/>
      </c>
    </row>
    <row r="248">
      <c r="A248" s="44" t="n">
        <v>28946</v>
      </c>
      <c r="B248" s="45">
        <f>VLOOKUP(Table5345679103[[#This Row],[Date]],Database!A:E,MATCH($A$1,Database!$A$1:$E$1,),)</f>
        <v/>
      </c>
      <c r="C248" s="8">
        <f>(B248-B247)/B247</f>
        <v/>
      </c>
      <c r="D248" s="7">
        <f>(Table5345679103[[#This Row],[Value]]-B236)/B236</f>
        <v/>
      </c>
    </row>
    <row r="249">
      <c r="A249" s="44" t="n">
        <v>28976</v>
      </c>
      <c r="B249" s="45">
        <f>VLOOKUP(Table5345679103[[#This Row],[Date]],Database!A:E,MATCH($A$1,Database!$A$1:$E$1,),)</f>
        <v/>
      </c>
      <c r="C249" s="8">
        <f>(B249-B248)/B248</f>
        <v/>
      </c>
      <c r="D249" s="7">
        <f>(Table5345679103[[#This Row],[Value]]-B237)/B237</f>
        <v/>
      </c>
    </row>
    <row r="250">
      <c r="A250" s="44" t="n">
        <v>29007</v>
      </c>
      <c r="B250" s="45">
        <f>VLOOKUP(Table5345679103[[#This Row],[Date]],Database!A:E,MATCH($A$1,Database!$A$1:$E$1,),)</f>
        <v/>
      </c>
      <c r="C250" s="8">
        <f>(B250-B249)/B249</f>
        <v/>
      </c>
      <c r="D250" s="7">
        <f>(Table5345679103[[#This Row],[Value]]-B238)/B238</f>
        <v/>
      </c>
    </row>
    <row r="251">
      <c r="A251" s="44" t="n">
        <v>29037</v>
      </c>
      <c r="B251" s="45">
        <f>VLOOKUP(Table5345679103[[#This Row],[Date]],Database!A:E,MATCH($A$1,Database!$A$1:$E$1,),)</f>
        <v/>
      </c>
      <c r="C251" s="8">
        <f>(B251-B250)/B250</f>
        <v/>
      </c>
      <c r="D251" s="7">
        <f>(Table5345679103[[#This Row],[Value]]-B239)/B239</f>
        <v/>
      </c>
    </row>
    <row r="252">
      <c r="A252" s="44" t="n">
        <v>29068</v>
      </c>
      <c r="B252" s="45">
        <f>VLOOKUP(Table5345679103[[#This Row],[Date]],Database!A:E,MATCH($A$1,Database!$A$1:$E$1,),)</f>
        <v/>
      </c>
      <c r="C252" s="8">
        <f>(B252-B251)/B251</f>
        <v/>
      </c>
      <c r="D252" s="7">
        <f>(Table5345679103[[#This Row],[Value]]-B240)/B240</f>
        <v/>
      </c>
    </row>
    <row r="253">
      <c r="A253" s="44" t="n">
        <v>29099</v>
      </c>
      <c r="B253" s="45">
        <f>VLOOKUP(Table5345679103[[#This Row],[Date]],Database!A:E,MATCH($A$1,Database!$A$1:$E$1,),)</f>
        <v/>
      </c>
      <c r="C253" s="8">
        <f>(B253-B252)/B252</f>
        <v/>
      </c>
      <c r="D253" s="7">
        <f>(Table5345679103[[#This Row],[Value]]-B241)/B241</f>
        <v/>
      </c>
    </row>
    <row r="254">
      <c r="A254" s="44" t="n">
        <v>29129</v>
      </c>
      <c r="B254" s="45">
        <f>VLOOKUP(Table5345679103[[#This Row],[Date]],Database!A:E,MATCH($A$1,Database!$A$1:$E$1,),)</f>
        <v/>
      </c>
      <c r="C254" s="8">
        <f>(B254-B253)/B253</f>
        <v/>
      </c>
      <c r="D254" s="7">
        <f>(Table5345679103[[#This Row],[Value]]-B242)/B242</f>
        <v/>
      </c>
    </row>
    <row r="255">
      <c r="A255" s="44" t="n">
        <v>29160</v>
      </c>
      <c r="B255" s="45">
        <f>VLOOKUP(Table5345679103[[#This Row],[Date]],Database!A:E,MATCH($A$1,Database!$A$1:$E$1,),)</f>
        <v/>
      </c>
      <c r="C255" s="8">
        <f>(B255-B254)/B254</f>
        <v/>
      </c>
      <c r="D255" s="7">
        <f>(Table5345679103[[#This Row],[Value]]-B243)/B243</f>
        <v/>
      </c>
    </row>
    <row r="256">
      <c r="A256" s="44" t="n">
        <v>29190</v>
      </c>
      <c r="B256" s="45">
        <f>VLOOKUP(Table5345679103[[#This Row],[Date]],Database!A:E,MATCH($A$1,Database!$A$1:$E$1,),)</f>
        <v/>
      </c>
      <c r="C256" s="8">
        <f>(B256-B255)/B255</f>
        <v/>
      </c>
      <c r="D256" s="7">
        <f>(Table5345679103[[#This Row],[Value]]-B244)/B244</f>
        <v/>
      </c>
    </row>
    <row r="257">
      <c r="A257" s="44" t="n">
        <v>29221</v>
      </c>
      <c r="B257" s="45">
        <f>VLOOKUP(Table5345679103[[#This Row],[Date]],Database!A:E,MATCH($A$1,Database!$A$1:$E$1,),)</f>
        <v/>
      </c>
      <c r="C257" s="8">
        <f>(B257-B256)/B256</f>
        <v/>
      </c>
      <c r="D257" s="7">
        <f>(Table5345679103[[#This Row],[Value]]-B245)/B245</f>
        <v/>
      </c>
    </row>
    <row r="258">
      <c r="A258" s="44" t="n">
        <v>29252</v>
      </c>
      <c r="B258" s="45">
        <f>VLOOKUP(Table5345679103[[#This Row],[Date]],Database!A:E,MATCH($A$1,Database!$A$1:$E$1,),)</f>
        <v/>
      </c>
      <c r="C258" s="8">
        <f>(B258-B257)/B257</f>
        <v/>
      </c>
      <c r="D258" s="7">
        <f>(Table5345679103[[#This Row],[Value]]-B246)/B246</f>
        <v/>
      </c>
    </row>
    <row r="259">
      <c r="A259" s="44" t="n">
        <v>29281</v>
      </c>
      <c r="B259" s="45">
        <f>VLOOKUP(Table5345679103[[#This Row],[Date]],Database!A:E,MATCH($A$1,Database!$A$1:$E$1,),)</f>
        <v/>
      </c>
      <c r="C259" s="8">
        <f>(B259-B258)/B258</f>
        <v/>
      </c>
      <c r="D259" s="7">
        <f>(Table5345679103[[#This Row],[Value]]-B247)/B247</f>
        <v/>
      </c>
    </row>
    <row r="260">
      <c r="A260" s="44" t="n">
        <v>29312</v>
      </c>
      <c r="B260" s="45">
        <f>VLOOKUP(Table5345679103[[#This Row],[Date]],Database!A:E,MATCH($A$1,Database!$A$1:$E$1,),)</f>
        <v/>
      </c>
      <c r="C260" s="8">
        <f>(B260-B259)/B259</f>
        <v/>
      </c>
      <c r="D260" s="7">
        <f>(Table5345679103[[#This Row],[Value]]-B248)/B248</f>
        <v/>
      </c>
    </row>
    <row r="261">
      <c r="A261" s="44" t="n">
        <v>29342</v>
      </c>
      <c r="B261" s="45">
        <f>VLOOKUP(Table5345679103[[#This Row],[Date]],Database!A:E,MATCH($A$1,Database!$A$1:$E$1,),)</f>
        <v/>
      </c>
      <c r="C261" s="8">
        <f>(B261-B260)/B260</f>
        <v/>
      </c>
      <c r="D261" s="7">
        <f>(Table5345679103[[#This Row],[Value]]-B249)/B249</f>
        <v/>
      </c>
    </row>
    <row r="262">
      <c r="A262" s="44" t="n">
        <v>29373</v>
      </c>
      <c r="B262" s="45">
        <f>VLOOKUP(Table5345679103[[#This Row],[Date]],Database!A:E,MATCH($A$1,Database!$A$1:$E$1,),)</f>
        <v/>
      </c>
      <c r="C262" s="8">
        <f>(B262-B261)/B261</f>
        <v/>
      </c>
      <c r="D262" s="7">
        <f>(Table5345679103[[#This Row],[Value]]-B250)/B250</f>
        <v/>
      </c>
    </row>
    <row r="263">
      <c r="A263" s="44" t="n">
        <v>29403</v>
      </c>
      <c r="B263" s="45">
        <f>VLOOKUP(Table5345679103[[#This Row],[Date]],Database!A:E,MATCH($A$1,Database!$A$1:$E$1,),)</f>
        <v/>
      </c>
      <c r="C263" s="8">
        <f>(B263-B262)/B262</f>
        <v/>
      </c>
      <c r="D263" s="7">
        <f>(Table5345679103[[#This Row],[Value]]-B251)/B251</f>
        <v/>
      </c>
    </row>
    <row r="264">
      <c r="A264" s="44" t="n">
        <v>29434</v>
      </c>
      <c r="B264" s="45">
        <f>VLOOKUP(Table5345679103[[#This Row],[Date]],Database!A:E,MATCH($A$1,Database!$A$1:$E$1,),)</f>
        <v/>
      </c>
      <c r="C264" s="8">
        <f>(B264-B263)/B263</f>
        <v/>
      </c>
      <c r="D264" s="7">
        <f>(Table5345679103[[#This Row],[Value]]-B252)/B252</f>
        <v/>
      </c>
    </row>
    <row r="265">
      <c r="A265" s="44" t="n">
        <v>29465</v>
      </c>
      <c r="B265" s="45">
        <f>VLOOKUP(Table5345679103[[#This Row],[Date]],Database!A:E,MATCH($A$1,Database!$A$1:$E$1,),)</f>
        <v/>
      </c>
      <c r="C265" s="8">
        <f>(B265-B264)/B264</f>
        <v/>
      </c>
      <c r="D265" s="7">
        <f>(Table5345679103[[#This Row],[Value]]-B253)/B253</f>
        <v/>
      </c>
    </row>
    <row r="266">
      <c r="A266" s="44" t="n">
        <v>29495</v>
      </c>
      <c r="B266" s="45">
        <f>VLOOKUP(Table5345679103[[#This Row],[Date]],Database!A:E,MATCH($A$1,Database!$A$1:$E$1,),)</f>
        <v/>
      </c>
      <c r="C266" s="8">
        <f>(B266-B265)/B265</f>
        <v/>
      </c>
      <c r="D266" s="7">
        <f>(Table5345679103[[#This Row],[Value]]-B254)/B254</f>
        <v/>
      </c>
    </row>
    <row r="267">
      <c r="A267" s="44" t="n">
        <v>29526</v>
      </c>
      <c r="B267" s="45">
        <f>VLOOKUP(Table5345679103[[#This Row],[Date]],Database!A:E,MATCH($A$1,Database!$A$1:$E$1,),)</f>
        <v/>
      </c>
      <c r="C267" s="8">
        <f>(B267-B266)/B266</f>
        <v/>
      </c>
      <c r="D267" s="7">
        <f>(Table5345679103[[#This Row],[Value]]-B255)/B255</f>
        <v/>
      </c>
    </row>
    <row r="268">
      <c r="A268" s="44" t="n">
        <v>29556</v>
      </c>
      <c r="B268" s="45">
        <f>VLOOKUP(Table5345679103[[#This Row],[Date]],Database!A:E,MATCH($A$1,Database!$A$1:$E$1,),)</f>
        <v/>
      </c>
      <c r="C268" s="8">
        <f>(B268-B267)/B267</f>
        <v/>
      </c>
      <c r="D268" s="7">
        <f>(Table5345679103[[#This Row],[Value]]-B256)/B256</f>
        <v/>
      </c>
    </row>
    <row r="269">
      <c r="A269" s="44" t="n">
        <v>29587</v>
      </c>
      <c r="B269" s="45">
        <f>VLOOKUP(Table5345679103[[#This Row],[Date]],Database!A:E,MATCH($A$1,Database!$A$1:$E$1,),)</f>
        <v/>
      </c>
      <c r="C269" s="8">
        <f>(B269-B268)/B268</f>
        <v/>
      </c>
      <c r="D269" s="7">
        <f>(Table5345679103[[#This Row],[Value]]-B257)/B257</f>
        <v/>
      </c>
    </row>
    <row r="270">
      <c r="A270" s="44" t="n">
        <v>29618</v>
      </c>
      <c r="B270" s="45">
        <f>VLOOKUP(Table5345679103[[#This Row],[Date]],Database!A:E,MATCH($A$1,Database!$A$1:$E$1,),)</f>
        <v/>
      </c>
      <c r="C270" s="8">
        <f>(B270-B269)/B269</f>
        <v/>
      </c>
      <c r="D270" s="7">
        <f>(Table5345679103[[#This Row],[Value]]-B258)/B258</f>
        <v/>
      </c>
    </row>
    <row r="271">
      <c r="A271" s="44" t="n">
        <v>29646</v>
      </c>
      <c r="B271" s="45">
        <f>VLOOKUP(Table5345679103[[#This Row],[Date]],Database!A:E,MATCH($A$1,Database!$A$1:$E$1,),)</f>
        <v/>
      </c>
      <c r="C271" s="8">
        <f>(B271-B270)/B270</f>
        <v/>
      </c>
      <c r="D271" s="7">
        <f>(Table5345679103[[#This Row],[Value]]-B259)/B259</f>
        <v/>
      </c>
    </row>
    <row r="272">
      <c r="A272" s="44" t="n">
        <v>29677</v>
      </c>
      <c r="B272" s="45">
        <f>VLOOKUP(Table5345679103[[#This Row],[Date]],Database!A:E,MATCH($A$1,Database!$A$1:$E$1,),)</f>
        <v/>
      </c>
      <c r="C272" s="8">
        <f>(B272-B271)/B271</f>
        <v/>
      </c>
      <c r="D272" s="7">
        <f>(Table5345679103[[#This Row],[Value]]-B260)/B260</f>
        <v/>
      </c>
    </row>
    <row r="273">
      <c r="A273" s="44" t="n">
        <v>29707</v>
      </c>
      <c r="B273" s="45">
        <f>VLOOKUP(Table5345679103[[#This Row],[Date]],Database!A:E,MATCH($A$1,Database!$A$1:$E$1,),)</f>
        <v/>
      </c>
      <c r="C273" s="8">
        <f>(B273-B272)/B272</f>
        <v/>
      </c>
      <c r="D273" s="7">
        <f>(Table5345679103[[#This Row],[Value]]-B261)/B261</f>
        <v/>
      </c>
    </row>
    <row r="274">
      <c r="A274" s="44" t="n">
        <v>29738</v>
      </c>
      <c r="B274" s="45">
        <f>VLOOKUP(Table5345679103[[#This Row],[Date]],Database!A:E,MATCH($A$1,Database!$A$1:$E$1,),)</f>
        <v/>
      </c>
      <c r="C274" s="8">
        <f>(B274-B273)/B273</f>
        <v/>
      </c>
      <c r="D274" s="7">
        <f>(Table5345679103[[#This Row],[Value]]-B262)/B262</f>
        <v/>
      </c>
    </row>
    <row r="275">
      <c r="A275" s="44" t="n">
        <v>29768</v>
      </c>
      <c r="B275" s="45">
        <f>VLOOKUP(Table5345679103[[#This Row],[Date]],Database!A:E,MATCH($A$1,Database!$A$1:$E$1,),)</f>
        <v/>
      </c>
      <c r="C275" s="8">
        <f>(B275-B274)/B274</f>
        <v/>
      </c>
      <c r="D275" s="7">
        <f>(Table5345679103[[#This Row],[Value]]-B263)/B263</f>
        <v/>
      </c>
    </row>
    <row r="276">
      <c r="A276" s="44" t="n">
        <v>29799</v>
      </c>
      <c r="B276" s="45">
        <f>VLOOKUP(Table5345679103[[#This Row],[Date]],Database!A:E,MATCH($A$1,Database!$A$1:$E$1,),)</f>
        <v/>
      </c>
      <c r="C276" s="8">
        <f>(B276-B275)/B275</f>
        <v/>
      </c>
      <c r="D276" s="7">
        <f>(Table5345679103[[#This Row],[Value]]-B264)/B264</f>
        <v/>
      </c>
    </row>
    <row r="277">
      <c r="A277" s="44" t="n">
        <v>29830</v>
      </c>
      <c r="B277" s="45">
        <f>VLOOKUP(Table5345679103[[#This Row],[Date]],Database!A:E,MATCH($A$1,Database!$A$1:$E$1,),)</f>
        <v/>
      </c>
      <c r="C277" s="8">
        <f>(B277-B276)/B276</f>
        <v/>
      </c>
      <c r="D277" s="7">
        <f>(Table5345679103[[#This Row],[Value]]-B265)/B265</f>
        <v/>
      </c>
    </row>
    <row r="278">
      <c r="A278" s="44" t="n">
        <v>29860</v>
      </c>
      <c r="B278" s="45">
        <f>VLOOKUP(Table5345679103[[#This Row],[Date]],Database!A:E,MATCH($A$1,Database!$A$1:$E$1,),)</f>
        <v/>
      </c>
      <c r="C278" s="8">
        <f>(B278-B277)/B277</f>
        <v/>
      </c>
      <c r="D278" s="7">
        <f>(Table5345679103[[#This Row],[Value]]-B266)/B266</f>
        <v/>
      </c>
    </row>
    <row r="279">
      <c r="A279" s="44" t="n">
        <v>29891</v>
      </c>
      <c r="B279" s="45">
        <f>VLOOKUP(Table5345679103[[#This Row],[Date]],Database!A:E,MATCH($A$1,Database!$A$1:$E$1,),)</f>
        <v/>
      </c>
      <c r="C279" s="8">
        <f>(B279-B278)/B278</f>
        <v/>
      </c>
      <c r="D279" s="7">
        <f>(Table5345679103[[#This Row],[Value]]-B267)/B267</f>
        <v/>
      </c>
    </row>
    <row r="280">
      <c r="A280" s="44" t="n">
        <v>29921</v>
      </c>
      <c r="B280" s="45">
        <f>VLOOKUP(Table5345679103[[#This Row],[Date]],Database!A:E,MATCH($A$1,Database!$A$1:$E$1,),)</f>
        <v/>
      </c>
      <c r="C280" s="8">
        <f>(B280-B279)/B279</f>
        <v/>
      </c>
      <c r="D280" s="7">
        <f>(Table5345679103[[#This Row],[Value]]-B268)/B268</f>
        <v/>
      </c>
    </row>
    <row r="281">
      <c r="A281" s="44" t="n">
        <v>29952</v>
      </c>
      <c r="B281" s="45">
        <f>VLOOKUP(Table5345679103[[#This Row],[Date]],Database!A:E,MATCH($A$1,Database!$A$1:$E$1,),)</f>
        <v/>
      </c>
      <c r="C281" s="8">
        <f>(B281-B280)/B280</f>
        <v/>
      </c>
      <c r="D281" s="7">
        <f>(Table5345679103[[#This Row],[Value]]-B269)/B269</f>
        <v/>
      </c>
    </row>
    <row r="282">
      <c r="A282" s="44" t="n">
        <v>29983</v>
      </c>
      <c r="B282" s="45">
        <f>VLOOKUP(Table5345679103[[#This Row],[Date]],Database!A:E,MATCH($A$1,Database!$A$1:$E$1,),)</f>
        <v/>
      </c>
      <c r="C282" s="8">
        <f>(B282-B281)/B281</f>
        <v/>
      </c>
      <c r="D282" s="7">
        <f>(Table5345679103[[#This Row],[Value]]-B270)/B270</f>
        <v/>
      </c>
    </row>
    <row r="283">
      <c r="A283" s="44" t="n">
        <v>30011</v>
      </c>
      <c r="B283" s="45">
        <f>VLOOKUP(Table5345679103[[#This Row],[Date]],Database!A:E,MATCH($A$1,Database!$A$1:$E$1,),)</f>
        <v/>
      </c>
      <c r="C283" s="8">
        <f>(B283-B282)/B282</f>
        <v/>
      </c>
      <c r="D283" s="7">
        <f>(Table5345679103[[#This Row],[Value]]-B271)/B271</f>
        <v/>
      </c>
    </row>
    <row r="284">
      <c r="A284" s="44" t="n">
        <v>30042</v>
      </c>
      <c r="B284" s="45">
        <f>VLOOKUP(Table5345679103[[#This Row],[Date]],Database!A:E,MATCH($A$1,Database!$A$1:$E$1,),)</f>
        <v/>
      </c>
      <c r="C284" s="8">
        <f>(B284-B283)/B283</f>
        <v/>
      </c>
      <c r="D284" s="7">
        <f>(Table5345679103[[#This Row],[Value]]-B272)/B272</f>
        <v/>
      </c>
    </row>
    <row r="285">
      <c r="A285" s="44" t="n">
        <v>30072</v>
      </c>
      <c r="B285" s="45">
        <f>VLOOKUP(Table5345679103[[#This Row],[Date]],Database!A:E,MATCH($A$1,Database!$A$1:$E$1,),)</f>
        <v/>
      </c>
      <c r="C285" s="8">
        <f>(B285-B284)/B284</f>
        <v/>
      </c>
      <c r="D285" s="7">
        <f>(Table5345679103[[#This Row],[Value]]-B273)/B273</f>
        <v/>
      </c>
    </row>
    <row r="286">
      <c r="A286" s="44" t="n">
        <v>30103</v>
      </c>
      <c r="B286" s="45">
        <f>VLOOKUP(Table5345679103[[#This Row],[Date]],Database!A:E,MATCH($A$1,Database!$A$1:$E$1,),)</f>
        <v/>
      </c>
      <c r="C286" s="8">
        <f>(B286-B285)/B285</f>
        <v/>
      </c>
      <c r="D286" s="7">
        <f>(Table5345679103[[#This Row],[Value]]-B274)/B274</f>
        <v/>
      </c>
    </row>
    <row r="287">
      <c r="A287" s="44" t="n">
        <v>30133</v>
      </c>
      <c r="B287" s="45">
        <f>VLOOKUP(Table5345679103[[#This Row],[Date]],Database!A:E,MATCH($A$1,Database!$A$1:$E$1,),)</f>
        <v/>
      </c>
      <c r="C287" s="8">
        <f>(B287-B286)/B286</f>
        <v/>
      </c>
      <c r="D287" s="7">
        <f>(Table5345679103[[#This Row],[Value]]-B275)/B275</f>
        <v/>
      </c>
    </row>
    <row r="288">
      <c r="A288" s="44" t="n">
        <v>30164</v>
      </c>
      <c r="B288" s="45">
        <f>VLOOKUP(Table5345679103[[#This Row],[Date]],Database!A:E,MATCH($A$1,Database!$A$1:$E$1,),)</f>
        <v/>
      </c>
      <c r="C288" s="8">
        <f>(B288-B287)/B287</f>
        <v/>
      </c>
      <c r="D288" s="7">
        <f>(Table5345679103[[#This Row],[Value]]-B276)/B276</f>
        <v/>
      </c>
    </row>
    <row r="289">
      <c r="A289" s="44" t="n">
        <v>30195</v>
      </c>
      <c r="B289" s="45">
        <f>VLOOKUP(Table5345679103[[#This Row],[Date]],Database!A:E,MATCH($A$1,Database!$A$1:$E$1,),)</f>
        <v/>
      </c>
      <c r="C289" s="8">
        <f>(B289-B288)/B288</f>
        <v/>
      </c>
      <c r="D289" s="7">
        <f>(Table5345679103[[#This Row],[Value]]-B277)/B277</f>
        <v/>
      </c>
    </row>
    <row r="290">
      <c r="A290" s="44" t="n">
        <v>30225</v>
      </c>
      <c r="B290" s="45">
        <f>VLOOKUP(Table5345679103[[#This Row],[Date]],Database!A:E,MATCH($A$1,Database!$A$1:$E$1,),)</f>
        <v/>
      </c>
      <c r="C290" s="9">
        <f>(B290-B289)/B289</f>
        <v/>
      </c>
      <c r="D290" s="7">
        <f>(Table5345679103[[#This Row],[Value]]-B278)/B278</f>
        <v/>
      </c>
    </row>
    <row r="291">
      <c r="A291" s="44" t="n">
        <v>30256</v>
      </c>
      <c r="B291" s="45">
        <f>VLOOKUP(Table5345679103[[#This Row],[Date]],Database!A:E,MATCH($A$1,Database!$A$1:$E$1,),)</f>
        <v/>
      </c>
      <c r="C291" s="9">
        <f>(B291-B290)/B290</f>
        <v/>
      </c>
      <c r="D291" s="7">
        <f>(Table5345679103[[#This Row],[Value]]-B279)/B279</f>
        <v/>
      </c>
    </row>
    <row r="292">
      <c r="A292" s="44" t="n">
        <v>30286</v>
      </c>
      <c r="B292" s="45">
        <f>VLOOKUP(Table5345679103[[#This Row],[Date]],Database!A:E,MATCH($A$1,Database!$A$1:$E$1,),)</f>
        <v/>
      </c>
      <c r="C292" s="9">
        <f>(B292-B291)/B291</f>
        <v/>
      </c>
      <c r="D292" s="7">
        <f>(Table5345679103[[#This Row],[Value]]-B280)/B280</f>
        <v/>
      </c>
    </row>
    <row r="293">
      <c r="A293" s="44" t="n">
        <v>30317</v>
      </c>
      <c r="B293" s="45">
        <f>VLOOKUP(Table5345679103[[#This Row],[Date]],Database!A:E,MATCH($A$1,Database!$A$1:$E$1,),)</f>
        <v/>
      </c>
      <c r="C293" s="9">
        <f>(B293-B292)/B292</f>
        <v/>
      </c>
      <c r="D293" s="7">
        <f>(Table5345679103[[#This Row],[Value]]-B281)/B281</f>
        <v/>
      </c>
    </row>
    <row r="294">
      <c r="A294" s="44" t="n">
        <v>30348</v>
      </c>
      <c r="B294" s="45">
        <f>VLOOKUP(Table5345679103[[#This Row],[Date]],Database!A:E,MATCH($A$1,Database!$A$1:$E$1,),)</f>
        <v/>
      </c>
      <c r="C294" s="9">
        <f>(B294-B293)/B293</f>
        <v/>
      </c>
      <c r="D294" s="7">
        <f>(Table5345679103[[#This Row],[Value]]-B282)/B282</f>
        <v/>
      </c>
    </row>
    <row r="295">
      <c r="A295" s="44" t="n">
        <v>30376</v>
      </c>
      <c r="B295" s="45">
        <f>VLOOKUP(Table5345679103[[#This Row],[Date]],Database!A:E,MATCH($A$1,Database!$A$1:$E$1,),)</f>
        <v/>
      </c>
      <c r="C295" s="9">
        <f>(B295-B294)/B294</f>
        <v/>
      </c>
      <c r="D295" s="7">
        <f>(Table5345679103[[#This Row],[Value]]-B283)/B283</f>
        <v/>
      </c>
    </row>
    <row r="296">
      <c r="A296" s="44" t="n">
        <v>30407</v>
      </c>
      <c r="B296" s="45">
        <f>VLOOKUP(Table5345679103[[#This Row],[Date]],Database!A:E,MATCH($A$1,Database!$A$1:$E$1,),)</f>
        <v/>
      </c>
      <c r="C296" s="9">
        <f>(B296-B295)/B295</f>
        <v/>
      </c>
      <c r="D296" s="7">
        <f>(Table5345679103[[#This Row],[Value]]-B284)/B284</f>
        <v/>
      </c>
    </row>
    <row r="297">
      <c r="A297" s="44" t="n">
        <v>30437</v>
      </c>
      <c r="B297" s="45">
        <f>VLOOKUP(Table5345679103[[#This Row],[Date]],Database!A:E,MATCH($A$1,Database!$A$1:$E$1,),)</f>
        <v/>
      </c>
      <c r="C297" s="9">
        <f>(B297-B296)/B296</f>
        <v/>
      </c>
      <c r="D297" s="7">
        <f>(Table5345679103[[#This Row],[Value]]-B285)/B285</f>
        <v/>
      </c>
    </row>
    <row r="298">
      <c r="A298" s="44" t="n">
        <v>30468</v>
      </c>
      <c r="B298" s="45">
        <f>VLOOKUP(Table5345679103[[#This Row],[Date]],Database!A:E,MATCH($A$1,Database!$A$1:$E$1,),)</f>
        <v/>
      </c>
      <c r="C298" s="9">
        <f>(B298-B297)/B297</f>
        <v/>
      </c>
      <c r="D298" s="7">
        <f>(Table5345679103[[#This Row],[Value]]-B286)/B286</f>
        <v/>
      </c>
    </row>
    <row r="299">
      <c r="A299" s="44" t="n">
        <v>30498</v>
      </c>
      <c r="B299" s="45">
        <f>VLOOKUP(Table5345679103[[#This Row],[Date]],Database!A:E,MATCH($A$1,Database!$A$1:$E$1,),)</f>
        <v/>
      </c>
      <c r="C299" s="9">
        <f>(B299-B298)/B298</f>
        <v/>
      </c>
      <c r="D299" s="7">
        <f>(Table5345679103[[#This Row],[Value]]-B287)/B287</f>
        <v/>
      </c>
    </row>
    <row r="300">
      <c r="A300" s="44" t="n">
        <v>30529</v>
      </c>
      <c r="B300" s="45">
        <f>VLOOKUP(Table5345679103[[#This Row],[Date]],Database!A:E,MATCH($A$1,Database!$A$1:$E$1,),)</f>
        <v/>
      </c>
      <c r="C300" s="9">
        <f>(B300-B299)/B299</f>
        <v/>
      </c>
      <c r="D300" s="7">
        <f>(Table5345679103[[#This Row],[Value]]-B288)/B288</f>
        <v/>
      </c>
    </row>
    <row r="301">
      <c r="A301" s="44" t="n">
        <v>30560</v>
      </c>
      <c r="B301" s="45">
        <f>VLOOKUP(Table5345679103[[#This Row],[Date]],Database!A:E,MATCH($A$1,Database!$A$1:$E$1,),)</f>
        <v/>
      </c>
      <c r="C301" s="9">
        <f>(B301-B300)/B300</f>
        <v/>
      </c>
      <c r="D301" s="7">
        <f>(Table5345679103[[#This Row],[Value]]-B289)/B289</f>
        <v/>
      </c>
    </row>
    <row r="302">
      <c r="A302" s="44" t="n">
        <v>30590</v>
      </c>
      <c r="B302" s="45">
        <f>VLOOKUP(Table5345679103[[#This Row],[Date]],Database!A:E,MATCH($A$1,Database!$A$1:$E$1,),)</f>
        <v/>
      </c>
      <c r="C302" s="9">
        <f>(B302-B301)/B301</f>
        <v/>
      </c>
      <c r="D302" s="7">
        <f>(Table5345679103[[#This Row],[Value]]-B290)/B290</f>
        <v/>
      </c>
    </row>
    <row r="303">
      <c r="A303" s="44" t="n">
        <v>30621</v>
      </c>
      <c r="B303" s="45">
        <f>VLOOKUP(Table5345679103[[#This Row],[Date]],Database!A:E,MATCH($A$1,Database!$A$1:$E$1,),)</f>
        <v/>
      </c>
      <c r="C303" s="9">
        <f>(B303-B302)/B302</f>
        <v/>
      </c>
      <c r="D303" s="7">
        <f>(Table5345679103[[#This Row],[Value]]-B291)/B291</f>
        <v/>
      </c>
    </row>
    <row r="304">
      <c r="A304" s="44" t="n">
        <v>30651</v>
      </c>
      <c r="B304" s="45">
        <f>VLOOKUP(Table5345679103[[#This Row],[Date]],Database!A:E,MATCH($A$1,Database!$A$1:$E$1,),)</f>
        <v/>
      </c>
      <c r="C304" s="9">
        <f>(B304-B303)/B303</f>
        <v/>
      </c>
      <c r="D304" s="7">
        <f>(Table5345679103[[#This Row],[Value]]-B292)/B292</f>
        <v/>
      </c>
    </row>
    <row r="305">
      <c r="A305" s="44" t="n">
        <v>30682</v>
      </c>
      <c r="B305" s="45">
        <f>VLOOKUP(Table5345679103[[#This Row],[Date]],Database!A:E,MATCH($A$1,Database!$A$1:$E$1,),)</f>
        <v/>
      </c>
      <c r="C305" s="9">
        <f>(B305-B304)/B304</f>
        <v/>
      </c>
      <c r="D305" s="7">
        <f>(Table5345679103[[#This Row],[Value]]-B293)/B293</f>
        <v/>
      </c>
    </row>
    <row r="306">
      <c r="A306" s="44" t="n">
        <v>30713</v>
      </c>
      <c r="B306" s="45">
        <f>VLOOKUP(Table5345679103[[#This Row],[Date]],Database!A:E,MATCH($A$1,Database!$A$1:$E$1,),)</f>
        <v/>
      </c>
      <c r="C306" s="9">
        <f>(B306-B305)/B305</f>
        <v/>
      </c>
      <c r="D306" s="7">
        <f>(Table5345679103[[#This Row],[Value]]-B294)/B294</f>
        <v/>
      </c>
    </row>
    <row r="307">
      <c r="A307" s="44" t="n">
        <v>30742</v>
      </c>
      <c r="B307" s="45">
        <f>VLOOKUP(Table5345679103[[#This Row],[Date]],Database!A:E,MATCH($A$1,Database!$A$1:$E$1,),)</f>
        <v/>
      </c>
      <c r="C307" s="9">
        <f>(B307-B306)/B306</f>
        <v/>
      </c>
      <c r="D307" s="7">
        <f>(Table5345679103[[#This Row],[Value]]-B295)/B295</f>
        <v/>
      </c>
    </row>
    <row r="308">
      <c r="A308" s="44" t="n">
        <v>30773</v>
      </c>
      <c r="B308" s="45">
        <f>VLOOKUP(Table5345679103[[#This Row],[Date]],Database!A:E,MATCH($A$1,Database!$A$1:$E$1,),)</f>
        <v/>
      </c>
      <c r="C308" s="9">
        <f>(B308-B307)/B307</f>
        <v/>
      </c>
      <c r="D308" s="7">
        <f>(Table5345679103[[#This Row],[Value]]-B296)/B296</f>
        <v/>
      </c>
    </row>
    <row r="309">
      <c r="A309" s="44" t="n">
        <v>30803</v>
      </c>
      <c r="B309" s="45">
        <f>VLOOKUP(Table5345679103[[#This Row],[Date]],Database!A:E,MATCH($A$1,Database!$A$1:$E$1,),)</f>
        <v/>
      </c>
      <c r="C309" s="9">
        <f>(B309-B308)/B308</f>
        <v/>
      </c>
      <c r="D309" s="7">
        <f>(Table5345679103[[#This Row],[Value]]-B297)/B297</f>
        <v/>
      </c>
    </row>
    <row r="310">
      <c r="A310" s="44" t="n">
        <v>30834</v>
      </c>
      <c r="B310" s="45">
        <f>VLOOKUP(Table5345679103[[#This Row],[Date]],Database!A:E,MATCH($A$1,Database!$A$1:$E$1,),)</f>
        <v/>
      </c>
      <c r="C310" s="9">
        <f>(B310-B309)/B309</f>
        <v/>
      </c>
      <c r="D310" s="7">
        <f>(Table5345679103[[#This Row],[Value]]-B298)/B298</f>
        <v/>
      </c>
    </row>
    <row r="311">
      <c r="A311" s="44" t="n">
        <v>30864</v>
      </c>
      <c r="B311" s="45">
        <f>VLOOKUP(Table5345679103[[#This Row],[Date]],Database!A:E,MATCH($A$1,Database!$A$1:$E$1,),)</f>
        <v/>
      </c>
      <c r="C311" s="9">
        <f>(B311-B310)/B310</f>
        <v/>
      </c>
      <c r="D311" s="7">
        <f>(Table5345679103[[#This Row],[Value]]-B299)/B299</f>
        <v/>
      </c>
    </row>
    <row r="312">
      <c r="A312" s="44" t="n">
        <v>30895</v>
      </c>
      <c r="B312" s="45">
        <f>VLOOKUP(Table5345679103[[#This Row],[Date]],Database!A:E,MATCH($A$1,Database!$A$1:$E$1,),)</f>
        <v/>
      </c>
      <c r="C312" s="9">
        <f>(B312-B311)/B311</f>
        <v/>
      </c>
      <c r="D312" s="7">
        <f>(Table5345679103[[#This Row],[Value]]-B300)/B300</f>
        <v/>
      </c>
    </row>
    <row r="313">
      <c r="A313" s="44" t="n">
        <v>30926</v>
      </c>
      <c r="B313" s="45">
        <f>VLOOKUP(Table5345679103[[#This Row],[Date]],Database!A:E,MATCH($A$1,Database!$A$1:$E$1,),)</f>
        <v/>
      </c>
      <c r="C313" s="9">
        <f>(B313-B312)/B312</f>
        <v/>
      </c>
      <c r="D313" s="7">
        <f>(Table5345679103[[#This Row],[Value]]-B301)/B301</f>
        <v/>
      </c>
    </row>
    <row r="314">
      <c r="A314" s="44" t="n">
        <v>30956</v>
      </c>
      <c r="B314" s="45">
        <f>VLOOKUP(Table5345679103[[#This Row],[Date]],Database!A:E,MATCH($A$1,Database!$A$1:$E$1,),)</f>
        <v/>
      </c>
      <c r="C314" s="9">
        <f>(B314-B313)/B313</f>
        <v/>
      </c>
      <c r="D314" s="7">
        <f>(Table5345679103[[#This Row],[Value]]-B302)/B302</f>
        <v/>
      </c>
    </row>
    <row r="315">
      <c r="A315" s="44" t="n">
        <v>30987</v>
      </c>
      <c r="B315" s="45">
        <f>VLOOKUP(Table5345679103[[#This Row],[Date]],Database!A:E,MATCH($A$1,Database!$A$1:$E$1,),)</f>
        <v/>
      </c>
      <c r="C315" s="9">
        <f>(B315-B314)/B314</f>
        <v/>
      </c>
      <c r="D315" s="7">
        <f>(Table5345679103[[#This Row],[Value]]-B303)/B303</f>
        <v/>
      </c>
    </row>
    <row r="316">
      <c r="A316" s="44" t="n">
        <v>31017</v>
      </c>
      <c r="B316" s="45">
        <f>VLOOKUP(Table5345679103[[#This Row],[Date]],Database!A:E,MATCH($A$1,Database!$A$1:$E$1,),)</f>
        <v/>
      </c>
      <c r="C316" s="9">
        <f>(B316-B315)/B315</f>
        <v/>
      </c>
      <c r="D316" s="7">
        <f>(Table5345679103[[#This Row],[Value]]-B304)/B304</f>
        <v/>
      </c>
    </row>
    <row r="317">
      <c r="A317" s="44" t="n">
        <v>31048</v>
      </c>
      <c r="B317" s="45">
        <f>VLOOKUP(Table5345679103[[#This Row],[Date]],Database!A:E,MATCH($A$1,Database!$A$1:$E$1,),)</f>
        <v/>
      </c>
      <c r="C317" s="9">
        <f>(B317-B316)/B316</f>
        <v/>
      </c>
      <c r="D317" s="7">
        <f>(Table5345679103[[#This Row],[Value]]-B305)/B305</f>
        <v/>
      </c>
    </row>
    <row r="318">
      <c r="A318" s="44" t="n">
        <v>31079</v>
      </c>
      <c r="B318" s="45">
        <f>VLOOKUP(Table5345679103[[#This Row],[Date]],Database!A:E,MATCH($A$1,Database!$A$1:$E$1,),)</f>
        <v/>
      </c>
      <c r="C318" s="9">
        <f>(B318-B317)/B317</f>
        <v/>
      </c>
      <c r="D318" s="7">
        <f>(Table5345679103[[#This Row],[Value]]-B306)/B306</f>
        <v/>
      </c>
    </row>
    <row r="319">
      <c r="A319" s="44" t="n">
        <v>31107</v>
      </c>
      <c r="B319" s="45">
        <f>VLOOKUP(Table5345679103[[#This Row],[Date]],Database!A:E,MATCH($A$1,Database!$A$1:$E$1,),)</f>
        <v/>
      </c>
      <c r="C319" s="9">
        <f>(B319-B318)/B318</f>
        <v/>
      </c>
      <c r="D319" s="7">
        <f>(Table5345679103[[#This Row],[Value]]-B307)/B307</f>
        <v/>
      </c>
    </row>
    <row r="320">
      <c r="A320" s="44" t="n">
        <v>31138</v>
      </c>
      <c r="B320" s="45">
        <f>VLOOKUP(Table5345679103[[#This Row],[Date]],Database!A:E,MATCH($A$1,Database!$A$1:$E$1,),)</f>
        <v/>
      </c>
      <c r="C320" s="9">
        <f>(B320-B319)/B319</f>
        <v/>
      </c>
      <c r="D320" s="7">
        <f>(Table5345679103[[#This Row],[Value]]-B308)/B308</f>
        <v/>
      </c>
    </row>
    <row r="321">
      <c r="A321" s="44" t="n">
        <v>31168</v>
      </c>
      <c r="B321" s="45">
        <f>VLOOKUP(Table5345679103[[#This Row],[Date]],Database!A:E,MATCH($A$1,Database!$A$1:$E$1,),)</f>
        <v/>
      </c>
      <c r="C321" s="9">
        <f>(B321-B320)/B320</f>
        <v/>
      </c>
      <c r="D321" s="7">
        <f>(Table5345679103[[#This Row],[Value]]-B309)/B309</f>
        <v/>
      </c>
    </row>
    <row r="322">
      <c r="A322" s="44" t="n">
        <v>31199</v>
      </c>
      <c r="B322" s="45">
        <f>VLOOKUP(Table5345679103[[#This Row],[Date]],Database!A:E,MATCH($A$1,Database!$A$1:$E$1,),)</f>
        <v/>
      </c>
      <c r="C322" s="9">
        <f>(B322-B321)/B321</f>
        <v/>
      </c>
      <c r="D322" s="7">
        <f>(Table5345679103[[#This Row],[Value]]-B310)/B310</f>
        <v/>
      </c>
    </row>
    <row r="323">
      <c r="A323" s="44" t="n">
        <v>31229</v>
      </c>
      <c r="B323" s="45">
        <f>VLOOKUP(Table5345679103[[#This Row],[Date]],Database!A:E,MATCH($A$1,Database!$A$1:$E$1,),)</f>
        <v/>
      </c>
      <c r="C323" s="9">
        <f>(B323-B322)/B322</f>
        <v/>
      </c>
      <c r="D323" s="7">
        <f>(Table5345679103[[#This Row],[Value]]-B311)/B311</f>
        <v/>
      </c>
    </row>
    <row r="324">
      <c r="A324" s="44" t="n">
        <v>31260</v>
      </c>
      <c r="B324" s="45">
        <f>VLOOKUP(Table5345679103[[#This Row],[Date]],Database!A:E,MATCH($A$1,Database!$A$1:$E$1,),)</f>
        <v/>
      </c>
      <c r="C324" s="9">
        <f>(B324-B323)/B323</f>
        <v/>
      </c>
      <c r="D324" s="7">
        <f>(Table5345679103[[#This Row],[Value]]-B312)/B312</f>
        <v/>
      </c>
    </row>
    <row r="325">
      <c r="A325" s="44" t="n">
        <v>31291</v>
      </c>
      <c r="B325" s="45">
        <f>VLOOKUP(Table5345679103[[#This Row],[Date]],Database!A:E,MATCH($A$1,Database!$A$1:$E$1,),)</f>
        <v/>
      </c>
      <c r="C325" s="9">
        <f>(B325-B324)/B324</f>
        <v/>
      </c>
      <c r="D325" s="7">
        <f>(Table5345679103[[#This Row],[Value]]-B313)/B313</f>
        <v/>
      </c>
    </row>
    <row r="326">
      <c r="A326" s="44" t="n">
        <v>31321</v>
      </c>
      <c r="B326" s="45">
        <f>VLOOKUP(Table5345679103[[#This Row],[Date]],Database!A:E,MATCH($A$1,Database!$A$1:$E$1,),)</f>
        <v/>
      </c>
      <c r="C326" s="9">
        <f>(B326-B325)/B325</f>
        <v/>
      </c>
      <c r="D326" s="7">
        <f>(Table5345679103[[#This Row],[Value]]-B314)/B314</f>
        <v/>
      </c>
    </row>
    <row r="327">
      <c r="A327" s="44" t="n">
        <v>31352</v>
      </c>
      <c r="B327" s="45">
        <f>VLOOKUP(Table5345679103[[#This Row],[Date]],Database!A:E,MATCH($A$1,Database!$A$1:$E$1,),)</f>
        <v/>
      </c>
      <c r="C327" s="9">
        <f>(B327-B326)/B326</f>
        <v/>
      </c>
      <c r="D327" s="7">
        <f>(Table5345679103[[#This Row],[Value]]-B315)/B315</f>
        <v/>
      </c>
    </row>
    <row r="328">
      <c r="A328" s="44" t="n">
        <v>31382</v>
      </c>
      <c r="B328" s="45">
        <f>VLOOKUP(Table5345679103[[#This Row],[Date]],Database!A:E,MATCH($A$1,Database!$A$1:$E$1,),)</f>
        <v/>
      </c>
      <c r="C328" s="9">
        <f>(B328-B327)/B327</f>
        <v/>
      </c>
      <c r="D328" s="7">
        <f>(Table5345679103[[#This Row],[Value]]-B316)/B316</f>
        <v/>
      </c>
    </row>
    <row r="329">
      <c r="A329" s="44" t="n">
        <v>31413</v>
      </c>
      <c r="B329" s="45">
        <f>VLOOKUP(Table5345679103[[#This Row],[Date]],Database!A:E,MATCH($A$1,Database!$A$1:$E$1,),)</f>
        <v/>
      </c>
      <c r="C329" s="9">
        <f>(B329-B328)/B328</f>
        <v/>
      </c>
      <c r="D329" s="7">
        <f>(Table5345679103[[#This Row],[Value]]-B317)/B317</f>
        <v/>
      </c>
    </row>
    <row r="330">
      <c r="A330" s="44" t="n">
        <v>31444</v>
      </c>
      <c r="B330" s="45">
        <f>VLOOKUP(Table5345679103[[#This Row],[Date]],Database!A:E,MATCH($A$1,Database!$A$1:$E$1,),)</f>
        <v/>
      </c>
      <c r="C330" s="9">
        <f>(B330-B329)/B329</f>
        <v/>
      </c>
      <c r="D330" s="7">
        <f>(Table5345679103[[#This Row],[Value]]-B318)/B318</f>
        <v/>
      </c>
    </row>
    <row r="331">
      <c r="A331" s="44" t="n">
        <v>31472</v>
      </c>
      <c r="B331" s="45">
        <f>VLOOKUP(Table5345679103[[#This Row],[Date]],Database!A:E,MATCH($A$1,Database!$A$1:$E$1,),)</f>
        <v/>
      </c>
      <c r="C331" s="9">
        <f>(B331-B330)/B330</f>
        <v/>
      </c>
      <c r="D331" s="7">
        <f>(Table5345679103[[#This Row],[Value]]-B319)/B319</f>
        <v/>
      </c>
    </row>
    <row r="332">
      <c r="A332" s="44" t="n">
        <v>31503</v>
      </c>
      <c r="B332" s="45">
        <f>VLOOKUP(Table5345679103[[#This Row],[Date]],Database!A:E,MATCH($A$1,Database!$A$1:$E$1,),)</f>
        <v/>
      </c>
      <c r="C332" s="9">
        <f>(B332-B331)/B331</f>
        <v/>
      </c>
      <c r="D332" s="7">
        <f>(Table5345679103[[#This Row],[Value]]-B320)/B320</f>
        <v/>
      </c>
    </row>
    <row r="333">
      <c r="A333" s="44" t="n">
        <v>31533</v>
      </c>
      <c r="B333" s="45">
        <f>VLOOKUP(Table5345679103[[#This Row],[Date]],Database!A:E,MATCH($A$1,Database!$A$1:$E$1,),)</f>
        <v/>
      </c>
      <c r="C333" s="9">
        <f>(B333-B332)/B332</f>
        <v/>
      </c>
      <c r="D333" s="7">
        <f>(Table5345679103[[#This Row],[Value]]-B321)/B321</f>
        <v/>
      </c>
    </row>
    <row r="334">
      <c r="A334" s="44" t="n">
        <v>31564</v>
      </c>
      <c r="B334" s="45">
        <f>VLOOKUP(Table5345679103[[#This Row],[Date]],Database!A:E,MATCH($A$1,Database!$A$1:$E$1,),)</f>
        <v/>
      </c>
      <c r="C334" s="9">
        <f>(B334-B333)/B333</f>
        <v/>
      </c>
      <c r="D334" s="7">
        <f>(Table5345679103[[#This Row],[Value]]-B322)/B322</f>
        <v/>
      </c>
    </row>
    <row r="335">
      <c r="A335" s="44" t="n">
        <v>31594</v>
      </c>
      <c r="B335" s="45">
        <f>VLOOKUP(Table5345679103[[#This Row],[Date]],Database!A:E,MATCH($A$1,Database!$A$1:$E$1,),)</f>
        <v/>
      </c>
      <c r="C335" s="9">
        <f>(B335-B334)/B334</f>
        <v/>
      </c>
      <c r="D335" s="7">
        <f>(Table5345679103[[#This Row],[Value]]-B323)/B323</f>
        <v/>
      </c>
    </row>
    <row r="336">
      <c r="A336" s="44" t="n">
        <v>31625</v>
      </c>
      <c r="B336" s="45">
        <f>VLOOKUP(Table5345679103[[#This Row],[Date]],Database!A:E,MATCH($A$1,Database!$A$1:$E$1,),)</f>
        <v/>
      </c>
      <c r="C336" s="9">
        <f>(B336-B335)/B335</f>
        <v/>
      </c>
      <c r="D336" s="7">
        <f>(Table5345679103[[#This Row],[Value]]-B324)/B324</f>
        <v/>
      </c>
    </row>
    <row r="337">
      <c r="A337" s="44" t="n">
        <v>31656</v>
      </c>
      <c r="B337" s="45">
        <f>VLOOKUP(Table5345679103[[#This Row],[Date]],Database!A:E,MATCH($A$1,Database!$A$1:$E$1,),)</f>
        <v/>
      </c>
      <c r="C337" s="9">
        <f>(B337-B336)/B336</f>
        <v/>
      </c>
      <c r="D337" s="7">
        <f>(Table5345679103[[#This Row],[Value]]-B325)/B325</f>
        <v/>
      </c>
    </row>
    <row r="338">
      <c r="A338" s="44" t="n">
        <v>31686</v>
      </c>
      <c r="B338" s="45">
        <f>VLOOKUP(Table5345679103[[#This Row],[Date]],Database!A:E,MATCH($A$1,Database!$A$1:$E$1,),)</f>
        <v/>
      </c>
      <c r="C338" s="9">
        <f>(B338-B337)/B337</f>
        <v/>
      </c>
      <c r="D338" s="7">
        <f>(Table5345679103[[#This Row],[Value]]-B326)/B326</f>
        <v/>
      </c>
    </row>
    <row r="339">
      <c r="A339" s="44" t="n">
        <v>31717</v>
      </c>
      <c r="B339" s="45">
        <f>VLOOKUP(Table5345679103[[#This Row],[Date]],Database!A:E,MATCH($A$1,Database!$A$1:$E$1,),)</f>
        <v/>
      </c>
      <c r="C339" s="9">
        <f>(B339-B338)/B338</f>
        <v/>
      </c>
      <c r="D339" s="7">
        <f>(Table5345679103[[#This Row],[Value]]-B327)/B327</f>
        <v/>
      </c>
    </row>
    <row r="340">
      <c r="A340" s="44" t="n">
        <v>31747</v>
      </c>
      <c r="B340" s="45">
        <f>VLOOKUP(Table5345679103[[#This Row],[Date]],Database!A:E,MATCH($A$1,Database!$A$1:$E$1,),)</f>
        <v/>
      </c>
      <c r="C340" s="9">
        <f>(B340-B339)/B339</f>
        <v/>
      </c>
      <c r="D340" s="7">
        <f>(Table5345679103[[#This Row],[Value]]-B328)/B328</f>
        <v/>
      </c>
    </row>
    <row r="341">
      <c r="A341" s="44" t="n">
        <v>31778</v>
      </c>
      <c r="B341" s="45">
        <f>VLOOKUP(Table5345679103[[#This Row],[Date]],Database!A:E,MATCH($A$1,Database!$A$1:$E$1,),)</f>
        <v/>
      </c>
      <c r="C341" s="9">
        <f>(B341-B340)/B340</f>
        <v/>
      </c>
      <c r="D341" s="7">
        <f>(Table5345679103[[#This Row],[Value]]-B329)/B329</f>
        <v/>
      </c>
    </row>
    <row r="342">
      <c r="A342" s="44" t="n">
        <v>31809</v>
      </c>
      <c r="B342" s="45">
        <f>VLOOKUP(Table5345679103[[#This Row],[Date]],Database!A:E,MATCH($A$1,Database!$A$1:$E$1,),)</f>
        <v/>
      </c>
      <c r="C342" s="9">
        <f>(B342-B341)/B341</f>
        <v/>
      </c>
      <c r="D342" s="7">
        <f>(Table5345679103[[#This Row],[Value]]-B330)/B330</f>
        <v/>
      </c>
    </row>
    <row r="343">
      <c r="A343" s="44" t="n">
        <v>31837</v>
      </c>
      <c r="B343" s="45">
        <f>VLOOKUP(Table5345679103[[#This Row],[Date]],Database!A:E,MATCH($A$1,Database!$A$1:$E$1,),)</f>
        <v/>
      </c>
      <c r="C343" s="9">
        <f>(B343-B342)/B342</f>
        <v/>
      </c>
      <c r="D343" s="7">
        <f>(Table5345679103[[#This Row],[Value]]-B331)/B331</f>
        <v/>
      </c>
    </row>
    <row r="344">
      <c r="A344" s="44" t="n">
        <v>31868</v>
      </c>
      <c r="B344" s="45">
        <f>VLOOKUP(Table5345679103[[#This Row],[Date]],Database!A:E,MATCH($A$1,Database!$A$1:$E$1,),)</f>
        <v/>
      </c>
      <c r="C344" s="9">
        <f>(B344-B343)/B343</f>
        <v/>
      </c>
      <c r="D344" s="7">
        <f>(Table5345679103[[#This Row],[Value]]-B332)/B332</f>
        <v/>
      </c>
    </row>
    <row r="345">
      <c r="A345" s="44" t="n">
        <v>31898</v>
      </c>
      <c r="B345" s="45">
        <f>VLOOKUP(Table5345679103[[#This Row],[Date]],Database!A:E,MATCH($A$1,Database!$A$1:$E$1,),)</f>
        <v/>
      </c>
      <c r="C345" s="9">
        <f>(B345-B344)/B344</f>
        <v/>
      </c>
      <c r="D345" s="7">
        <f>(Table5345679103[[#This Row],[Value]]-B333)/B333</f>
        <v/>
      </c>
    </row>
    <row r="346">
      <c r="A346" s="44" t="n">
        <v>31929</v>
      </c>
      <c r="B346" s="45">
        <f>VLOOKUP(Table5345679103[[#This Row],[Date]],Database!A:E,MATCH($A$1,Database!$A$1:$E$1,),)</f>
        <v/>
      </c>
      <c r="C346" s="9">
        <f>(B346-B345)/B345</f>
        <v/>
      </c>
      <c r="D346" s="7">
        <f>(Table5345679103[[#This Row],[Value]]-B334)/B334</f>
        <v/>
      </c>
    </row>
    <row r="347">
      <c r="A347" s="44" t="n">
        <v>31959</v>
      </c>
      <c r="B347" s="45">
        <f>VLOOKUP(Table5345679103[[#This Row],[Date]],Database!A:E,MATCH($A$1,Database!$A$1:$E$1,),)</f>
        <v/>
      </c>
      <c r="C347" s="9">
        <f>(B347-B346)/B346</f>
        <v/>
      </c>
      <c r="D347" s="7">
        <f>(Table5345679103[[#This Row],[Value]]-B335)/B335</f>
        <v/>
      </c>
    </row>
    <row r="348">
      <c r="A348" s="44" t="n">
        <v>31990</v>
      </c>
      <c r="B348" s="45">
        <f>VLOOKUP(Table5345679103[[#This Row],[Date]],Database!A:E,MATCH($A$1,Database!$A$1:$E$1,),)</f>
        <v/>
      </c>
      <c r="C348" s="9">
        <f>(B348-B347)/B347</f>
        <v/>
      </c>
      <c r="D348" s="7">
        <f>(Table5345679103[[#This Row],[Value]]-B336)/B336</f>
        <v/>
      </c>
    </row>
    <row r="349">
      <c r="A349" s="44" t="n">
        <v>32021</v>
      </c>
      <c r="B349" s="45">
        <f>VLOOKUP(Table5345679103[[#This Row],[Date]],Database!A:E,MATCH($A$1,Database!$A$1:$E$1,),)</f>
        <v/>
      </c>
      <c r="C349" s="9">
        <f>(B349-B348)/B348</f>
        <v/>
      </c>
      <c r="D349" s="7">
        <f>(Table5345679103[[#This Row],[Value]]-B337)/B337</f>
        <v/>
      </c>
    </row>
    <row r="350">
      <c r="A350" s="44" t="n">
        <v>32051</v>
      </c>
      <c r="B350" s="45">
        <f>VLOOKUP(Table5345679103[[#This Row],[Date]],Database!A:E,MATCH($A$1,Database!$A$1:$E$1,),)</f>
        <v/>
      </c>
      <c r="C350" s="9">
        <f>(B350-B349)/B349</f>
        <v/>
      </c>
      <c r="D350" s="7">
        <f>(Table5345679103[[#This Row],[Value]]-B338)/B338</f>
        <v/>
      </c>
    </row>
    <row r="351">
      <c r="A351" s="44" t="n">
        <v>32082</v>
      </c>
      <c r="B351" s="45">
        <f>VLOOKUP(Table5345679103[[#This Row],[Date]],Database!A:E,MATCH($A$1,Database!$A$1:$E$1,),)</f>
        <v/>
      </c>
      <c r="C351" s="9">
        <f>(B351-B350)/B350</f>
        <v/>
      </c>
      <c r="D351" s="7">
        <f>(Table5345679103[[#This Row],[Value]]-B339)/B339</f>
        <v/>
      </c>
    </row>
    <row r="352">
      <c r="A352" s="44" t="n">
        <v>32112</v>
      </c>
      <c r="B352" s="45">
        <f>VLOOKUP(Table5345679103[[#This Row],[Date]],Database!A:E,MATCH($A$1,Database!$A$1:$E$1,),)</f>
        <v/>
      </c>
      <c r="C352" s="9">
        <f>(B352-B351)/B351</f>
        <v/>
      </c>
      <c r="D352" s="7">
        <f>(Table5345679103[[#This Row],[Value]]-B340)/B340</f>
        <v/>
      </c>
    </row>
    <row r="353">
      <c r="A353" s="44" t="n">
        <v>32143</v>
      </c>
      <c r="B353" s="45">
        <f>VLOOKUP(Table5345679103[[#This Row],[Date]],Database!A:E,MATCH($A$1,Database!$A$1:$E$1,),)</f>
        <v/>
      </c>
      <c r="C353" s="9">
        <f>(B353-B352)/B352</f>
        <v/>
      </c>
      <c r="D353" s="7">
        <f>(Table5345679103[[#This Row],[Value]]-B341)/B341</f>
        <v/>
      </c>
    </row>
    <row r="354">
      <c r="A354" s="44" t="n">
        <v>32174</v>
      </c>
      <c r="B354" s="45">
        <f>VLOOKUP(Table5345679103[[#This Row],[Date]],Database!A:E,MATCH($A$1,Database!$A$1:$E$1,),)</f>
        <v/>
      </c>
      <c r="C354" s="9">
        <f>(B354-B353)/B353</f>
        <v/>
      </c>
      <c r="D354" s="7">
        <f>(Table5345679103[[#This Row],[Value]]-B342)/B342</f>
        <v/>
      </c>
    </row>
    <row r="355">
      <c r="A355" s="44" t="n">
        <v>32203</v>
      </c>
      <c r="B355" s="45">
        <f>VLOOKUP(Table5345679103[[#This Row],[Date]],Database!A:E,MATCH($A$1,Database!$A$1:$E$1,),)</f>
        <v/>
      </c>
      <c r="C355" s="9">
        <f>(B355-B354)/B354</f>
        <v/>
      </c>
      <c r="D355" s="7">
        <f>(Table5345679103[[#This Row],[Value]]-B343)/B343</f>
        <v/>
      </c>
    </row>
    <row r="356">
      <c r="A356" s="44" t="n">
        <v>32234</v>
      </c>
      <c r="B356" s="45">
        <f>VLOOKUP(Table5345679103[[#This Row],[Date]],Database!A:E,MATCH($A$1,Database!$A$1:$E$1,),)</f>
        <v/>
      </c>
      <c r="C356" s="9">
        <f>(B356-B355)/B355</f>
        <v/>
      </c>
      <c r="D356" s="7">
        <f>(Table5345679103[[#This Row],[Value]]-B344)/B344</f>
        <v/>
      </c>
    </row>
    <row r="357">
      <c r="A357" s="44" t="n">
        <v>32264</v>
      </c>
      <c r="B357" s="45">
        <f>VLOOKUP(Table5345679103[[#This Row],[Date]],Database!A:E,MATCH($A$1,Database!$A$1:$E$1,),)</f>
        <v/>
      </c>
      <c r="C357" s="9">
        <f>(B357-B356)/B356</f>
        <v/>
      </c>
      <c r="D357" s="7">
        <f>(Table5345679103[[#This Row],[Value]]-B345)/B345</f>
        <v/>
      </c>
    </row>
    <row r="358">
      <c r="A358" s="44" t="n">
        <v>32295</v>
      </c>
      <c r="B358" s="45">
        <f>VLOOKUP(Table5345679103[[#This Row],[Date]],Database!A:E,MATCH($A$1,Database!$A$1:$E$1,),)</f>
        <v/>
      </c>
      <c r="C358" s="9">
        <f>(B358-B357)/B357</f>
        <v/>
      </c>
      <c r="D358" s="7">
        <f>(Table5345679103[[#This Row],[Value]]-B346)/B346</f>
        <v/>
      </c>
    </row>
    <row r="359">
      <c r="A359" s="44" t="n">
        <v>32325</v>
      </c>
      <c r="B359" s="45">
        <f>VLOOKUP(Table5345679103[[#This Row],[Date]],Database!A:E,MATCH($A$1,Database!$A$1:$E$1,),)</f>
        <v/>
      </c>
      <c r="C359" s="9">
        <f>(B359-B358)/B358</f>
        <v/>
      </c>
      <c r="D359" s="7">
        <f>(Table5345679103[[#This Row],[Value]]-B347)/B347</f>
        <v/>
      </c>
    </row>
    <row r="360">
      <c r="A360" s="44" t="n">
        <v>32356</v>
      </c>
      <c r="B360" s="45">
        <f>VLOOKUP(Table5345679103[[#This Row],[Date]],Database!A:E,MATCH($A$1,Database!$A$1:$E$1,),)</f>
        <v/>
      </c>
      <c r="C360" s="9">
        <f>(B360-B359)/B359</f>
        <v/>
      </c>
      <c r="D360" s="7">
        <f>(Table5345679103[[#This Row],[Value]]-B348)/B348</f>
        <v/>
      </c>
    </row>
    <row r="361">
      <c r="A361" s="44" t="n">
        <v>32387</v>
      </c>
      <c r="B361" s="45">
        <f>VLOOKUP(Table5345679103[[#This Row],[Date]],Database!A:E,MATCH($A$1,Database!$A$1:$E$1,),)</f>
        <v/>
      </c>
      <c r="C361" s="9">
        <f>(B361-B360)/B360</f>
        <v/>
      </c>
      <c r="D361" s="7">
        <f>(Table5345679103[[#This Row],[Value]]-B349)/B349</f>
        <v/>
      </c>
    </row>
    <row r="362">
      <c r="A362" s="44" t="n">
        <v>32417</v>
      </c>
      <c r="B362" s="45">
        <f>VLOOKUP(Table5345679103[[#This Row],[Date]],Database!A:E,MATCH($A$1,Database!$A$1:$E$1,),)</f>
        <v/>
      </c>
      <c r="C362" s="9">
        <f>(B362-B361)/B361</f>
        <v/>
      </c>
      <c r="D362" s="7">
        <f>(Table5345679103[[#This Row],[Value]]-B350)/B350</f>
        <v/>
      </c>
    </row>
    <row r="363">
      <c r="A363" s="44" t="n">
        <v>32448</v>
      </c>
      <c r="B363" s="45">
        <f>VLOOKUP(Table5345679103[[#This Row],[Date]],Database!A:E,MATCH($A$1,Database!$A$1:$E$1,),)</f>
        <v/>
      </c>
      <c r="C363" s="9">
        <f>(B363-B362)/B362</f>
        <v/>
      </c>
      <c r="D363" s="7">
        <f>(Table5345679103[[#This Row],[Value]]-B351)/B351</f>
        <v/>
      </c>
    </row>
    <row r="364">
      <c r="A364" s="44" t="n">
        <v>32478</v>
      </c>
      <c r="B364" s="45">
        <f>VLOOKUP(Table5345679103[[#This Row],[Date]],Database!A:E,MATCH($A$1,Database!$A$1:$E$1,),)</f>
        <v/>
      </c>
      <c r="C364" s="9">
        <f>(B364-B363)/B363</f>
        <v/>
      </c>
      <c r="D364" s="7">
        <f>(Table5345679103[[#This Row],[Value]]-B352)/B352</f>
        <v/>
      </c>
    </row>
    <row r="365">
      <c r="A365" s="44" t="n">
        <v>32509</v>
      </c>
      <c r="B365" s="45">
        <f>VLOOKUP(Table5345679103[[#This Row],[Date]],Database!A:E,MATCH($A$1,Database!$A$1:$E$1,),)</f>
        <v/>
      </c>
      <c r="C365" s="9">
        <f>(B365-B364)/B364</f>
        <v/>
      </c>
      <c r="D365" s="7">
        <f>(Table5345679103[[#This Row],[Value]]-B353)/B353</f>
        <v/>
      </c>
    </row>
    <row r="366">
      <c r="A366" s="44" t="n">
        <v>32540</v>
      </c>
      <c r="B366" s="45">
        <f>VLOOKUP(Table5345679103[[#This Row],[Date]],Database!A:E,MATCH($A$1,Database!$A$1:$E$1,),)</f>
        <v/>
      </c>
      <c r="C366" s="9">
        <f>(B366-B365)/B365</f>
        <v/>
      </c>
      <c r="D366" s="7">
        <f>(Table5345679103[[#This Row],[Value]]-B354)/B354</f>
        <v/>
      </c>
    </row>
    <row r="367">
      <c r="A367" s="44" t="n">
        <v>32568</v>
      </c>
      <c r="B367" s="45">
        <f>VLOOKUP(Table5345679103[[#This Row],[Date]],Database!A:E,MATCH($A$1,Database!$A$1:$E$1,),)</f>
        <v/>
      </c>
      <c r="C367" s="9">
        <f>(B367-B366)/B366</f>
        <v/>
      </c>
      <c r="D367" s="7">
        <f>(Table5345679103[[#This Row],[Value]]-B355)/B355</f>
        <v/>
      </c>
    </row>
    <row r="368">
      <c r="A368" s="44" t="n">
        <v>32599</v>
      </c>
      <c r="B368" s="45">
        <f>VLOOKUP(Table5345679103[[#This Row],[Date]],Database!A:E,MATCH($A$1,Database!$A$1:$E$1,),)</f>
        <v/>
      </c>
      <c r="C368" s="9">
        <f>(B368-B367)/B367</f>
        <v/>
      </c>
      <c r="D368" s="7">
        <f>(Table5345679103[[#This Row],[Value]]-B356)/B356</f>
        <v/>
      </c>
    </row>
    <row r="369">
      <c r="A369" s="44" t="n">
        <v>32629</v>
      </c>
      <c r="B369" s="45">
        <f>VLOOKUP(Table5345679103[[#This Row],[Date]],Database!A:E,MATCH($A$1,Database!$A$1:$E$1,),)</f>
        <v/>
      </c>
      <c r="C369" s="9">
        <f>(B369-B368)/B368</f>
        <v/>
      </c>
      <c r="D369" s="7">
        <f>(Table5345679103[[#This Row],[Value]]-B357)/B357</f>
        <v/>
      </c>
    </row>
    <row r="370">
      <c r="A370" s="44" t="n">
        <v>32660</v>
      </c>
      <c r="B370" s="45">
        <f>VLOOKUP(Table5345679103[[#This Row],[Date]],Database!A:E,MATCH($A$1,Database!$A$1:$E$1,),)</f>
        <v/>
      </c>
      <c r="C370" s="9">
        <f>(B370-B369)/B369</f>
        <v/>
      </c>
      <c r="D370" s="7">
        <f>(Table5345679103[[#This Row],[Value]]-B358)/B358</f>
        <v/>
      </c>
    </row>
    <row r="371">
      <c r="A371" s="44" t="n">
        <v>32690</v>
      </c>
      <c r="B371" s="45">
        <f>VLOOKUP(Table5345679103[[#This Row],[Date]],Database!A:E,MATCH($A$1,Database!$A$1:$E$1,),)</f>
        <v/>
      </c>
      <c r="C371" s="9">
        <f>(B371-B370)/B370</f>
        <v/>
      </c>
      <c r="D371" s="7">
        <f>(Table5345679103[[#This Row],[Value]]-B359)/B359</f>
        <v/>
      </c>
    </row>
    <row r="372">
      <c r="A372" s="44" t="n">
        <v>32721</v>
      </c>
      <c r="B372" s="45">
        <f>VLOOKUP(Table5345679103[[#This Row],[Date]],Database!A:E,MATCH($A$1,Database!$A$1:$E$1,),)</f>
        <v/>
      </c>
      <c r="C372" s="9">
        <f>(B372-B371)/B371</f>
        <v/>
      </c>
      <c r="D372" s="7">
        <f>(Table5345679103[[#This Row],[Value]]-B360)/B360</f>
        <v/>
      </c>
    </row>
    <row r="373">
      <c r="A373" s="44" t="n">
        <v>32752</v>
      </c>
      <c r="B373" s="45">
        <f>VLOOKUP(Table5345679103[[#This Row],[Date]],Database!A:E,MATCH($A$1,Database!$A$1:$E$1,),)</f>
        <v/>
      </c>
      <c r="C373" s="9">
        <f>(B373-B372)/B372</f>
        <v/>
      </c>
      <c r="D373" s="7">
        <f>(Table5345679103[[#This Row],[Value]]-B361)/B361</f>
        <v/>
      </c>
    </row>
    <row r="374">
      <c r="A374" s="44" t="n">
        <v>32782</v>
      </c>
      <c r="B374" s="45">
        <f>VLOOKUP(Table5345679103[[#This Row],[Date]],Database!A:E,MATCH($A$1,Database!$A$1:$E$1,),)</f>
        <v/>
      </c>
      <c r="C374" s="9">
        <f>(B374-B373)/B373</f>
        <v/>
      </c>
      <c r="D374" s="7">
        <f>(Table5345679103[[#This Row],[Value]]-B362)/B362</f>
        <v/>
      </c>
    </row>
    <row r="375">
      <c r="A375" s="44" t="n">
        <v>32813</v>
      </c>
      <c r="B375" s="45">
        <f>VLOOKUP(Table5345679103[[#This Row],[Date]],Database!A:E,MATCH($A$1,Database!$A$1:$E$1,),)</f>
        <v/>
      </c>
      <c r="C375" s="9">
        <f>(B375-B374)/B374</f>
        <v/>
      </c>
      <c r="D375" s="7">
        <f>(Table5345679103[[#This Row],[Value]]-B363)/B363</f>
        <v/>
      </c>
    </row>
    <row r="376">
      <c r="A376" s="44" t="n">
        <v>32843</v>
      </c>
      <c r="B376" s="45">
        <f>VLOOKUP(Table5345679103[[#This Row],[Date]],Database!A:E,MATCH($A$1,Database!$A$1:$E$1,),)</f>
        <v/>
      </c>
      <c r="C376" s="9">
        <f>(B376-B375)/B375</f>
        <v/>
      </c>
      <c r="D376" s="7">
        <f>(Table5345679103[[#This Row],[Value]]-B364)/B364</f>
        <v/>
      </c>
    </row>
    <row r="377">
      <c r="A377" s="44" t="n">
        <v>32874</v>
      </c>
      <c r="B377" s="45">
        <f>VLOOKUP(Table5345679103[[#This Row],[Date]],Database!A:E,MATCH($A$1,Database!$A$1:$E$1,),)</f>
        <v/>
      </c>
      <c r="C377" s="9">
        <f>(B377-B376)/B376</f>
        <v/>
      </c>
      <c r="D377" s="7">
        <f>(Table5345679103[[#This Row],[Value]]-B365)/B365</f>
        <v/>
      </c>
    </row>
    <row r="378">
      <c r="A378" s="44" t="n">
        <v>32905</v>
      </c>
      <c r="B378" s="45">
        <f>VLOOKUP(Table5345679103[[#This Row],[Date]],Database!A:E,MATCH($A$1,Database!$A$1:$E$1,),)</f>
        <v/>
      </c>
      <c r="C378" s="9">
        <f>(B378-B377)/B377</f>
        <v/>
      </c>
      <c r="D378" s="7">
        <f>(Table5345679103[[#This Row],[Value]]-B366)/B366</f>
        <v/>
      </c>
    </row>
    <row r="379">
      <c r="A379" s="44" t="n">
        <v>32933</v>
      </c>
      <c r="B379" s="45">
        <f>VLOOKUP(Table5345679103[[#This Row],[Date]],Database!A:E,MATCH($A$1,Database!$A$1:$E$1,),)</f>
        <v/>
      </c>
      <c r="C379" s="9">
        <f>(B379-B378)/B378</f>
        <v/>
      </c>
      <c r="D379" s="7">
        <f>(Table5345679103[[#This Row],[Value]]-B367)/B367</f>
        <v/>
      </c>
    </row>
    <row r="380">
      <c r="A380" s="44" t="n">
        <v>32964</v>
      </c>
      <c r="B380" s="45">
        <f>VLOOKUP(Table5345679103[[#This Row],[Date]],Database!A:E,MATCH($A$1,Database!$A$1:$E$1,),)</f>
        <v/>
      </c>
      <c r="C380" s="9">
        <f>(B380-B379)/B379</f>
        <v/>
      </c>
      <c r="D380" s="7">
        <f>(Table5345679103[[#This Row],[Value]]-B368)/B368</f>
        <v/>
      </c>
    </row>
    <row r="381">
      <c r="A381" s="44" t="n">
        <v>32994</v>
      </c>
      <c r="B381" s="45">
        <f>VLOOKUP(Table5345679103[[#This Row],[Date]],Database!A:E,MATCH($A$1,Database!$A$1:$E$1,),)</f>
        <v/>
      </c>
      <c r="C381" s="9">
        <f>(B381-B380)/B380</f>
        <v/>
      </c>
      <c r="D381" s="7">
        <f>(Table5345679103[[#This Row],[Value]]-B369)/B369</f>
        <v/>
      </c>
    </row>
    <row r="382">
      <c r="A382" s="44" t="n">
        <v>33025</v>
      </c>
      <c r="B382" s="45">
        <f>VLOOKUP(Table5345679103[[#This Row],[Date]],Database!A:E,MATCH($A$1,Database!$A$1:$E$1,),)</f>
        <v/>
      </c>
      <c r="C382" s="9">
        <f>(B382-B381)/B381</f>
        <v/>
      </c>
      <c r="D382" s="7">
        <f>(Table5345679103[[#This Row],[Value]]-B370)/B370</f>
        <v/>
      </c>
    </row>
    <row r="383">
      <c r="A383" s="44" t="n">
        <v>33055</v>
      </c>
      <c r="B383" s="45">
        <f>VLOOKUP(Table5345679103[[#This Row],[Date]],Database!A:E,MATCH($A$1,Database!$A$1:$E$1,),)</f>
        <v/>
      </c>
      <c r="C383" s="9">
        <f>(B383-B382)/B382</f>
        <v/>
      </c>
      <c r="D383" s="7">
        <f>(Table5345679103[[#This Row],[Value]]-B371)/B371</f>
        <v/>
      </c>
    </row>
    <row r="384">
      <c r="A384" s="44" t="n">
        <v>33086</v>
      </c>
      <c r="B384" s="45">
        <f>VLOOKUP(Table5345679103[[#This Row],[Date]],Database!A:E,MATCH($A$1,Database!$A$1:$E$1,),)</f>
        <v/>
      </c>
      <c r="C384" s="9">
        <f>(B384-B383)/B383</f>
        <v/>
      </c>
      <c r="D384" s="7">
        <f>(Table5345679103[[#This Row],[Value]]-B372)/B372</f>
        <v/>
      </c>
    </row>
    <row r="385">
      <c r="A385" s="44" t="n">
        <v>33117</v>
      </c>
      <c r="B385" s="45">
        <f>VLOOKUP(Table5345679103[[#This Row],[Date]],Database!A:E,MATCH($A$1,Database!$A$1:$E$1,),)</f>
        <v/>
      </c>
      <c r="C385" s="9">
        <f>(B385-B384)/B384</f>
        <v/>
      </c>
      <c r="D385" s="7">
        <f>(Table5345679103[[#This Row],[Value]]-B373)/B373</f>
        <v/>
      </c>
    </row>
    <row r="386">
      <c r="A386" s="44" t="n">
        <v>33147</v>
      </c>
      <c r="B386" s="45">
        <f>VLOOKUP(Table5345679103[[#This Row],[Date]],Database!A:E,MATCH($A$1,Database!$A$1:$E$1,),)</f>
        <v/>
      </c>
      <c r="C386" s="9">
        <f>(B386-B385)/B385</f>
        <v/>
      </c>
      <c r="D386" s="7">
        <f>(Table5345679103[[#This Row],[Value]]-B374)/B374</f>
        <v/>
      </c>
    </row>
    <row r="387">
      <c r="A387" s="44" t="n">
        <v>33178</v>
      </c>
      <c r="B387" s="45">
        <f>VLOOKUP(Table5345679103[[#This Row],[Date]],Database!A:E,MATCH($A$1,Database!$A$1:$E$1,),)</f>
        <v/>
      </c>
      <c r="C387" s="9">
        <f>(B387-B386)/B386</f>
        <v/>
      </c>
      <c r="D387" s="7">
        <f>(Table5345679103[[#This Row],[Value]]-B375)/B375</f>
        <v/>
      </c>
    </row>
    <row r="388">
      <c r="A388" s="44" t="n">
        <v>33208</v>
      </c>
      <c r="B388" s="45">
        <f>VLOOKUP(Table5345679103[[#This Row],[Date]],Database!A:E,MATCH($A$1,Database!$A$1:$E$1,),)</f>
        <v/>
      </c>
      <c r="C388" s="9">
        <f>(B388-B387)/B387</f>
        <v/>
      </c>
      <c r="D388" s="7">
        <f>(Table5345679103[[#This Row],[Value]]-B376)/B376</f>
        <v/>
      </c>
    </row>
    <row r="389">
      <c r="A389" s="44" t="n">
        <v>33239</v>
      </c>
      <c r="B389" s="45">
        <f>VLOOKUP(Table5345679103[[#This Row],[Date]],Database!A:E,MATCH($A$1,Database!$A$1:$E$1,),)</f>
        <v/>
      </c>
      <c r="C389" s="9">
        <f>(B389-B388)/B388</f>
        <v/>
      </c>
      <c r="D389" s="7">
        <f>(Table5345679103[[#This Row],[Value]]-B377)/B377</f>
        <v/>
      </c>
    </row>
    <row r="390">
      <c r="A390" s="44" t="n">
        <v>33270</v>
      </c>
      <c r="B390" s="45">
        <f>VLOOKUP(Table5345679103[[#This Row],[Date]],Database!A:E,MATCH($A$1,Database!$A$1:$E$1,),)</f>
        <v/>
      </c>
      <c r="C390" s="9">
        <f>(B390-B389)/B389</f>
        <v/>
      </c>
      <c r="D390" s="7">
        <f>(Table5345679103[[#This Row],[Value]]-B378)/B378</f>
        <v/>
      </c>
    </row>
    <row r="391">
      <c r="A391" s="44" t="n">
        <v>33298</v>
      </c>
      <c r="B391" s="45">
        <f>VLOOKUP(Table5345679103[[#This Row],[Date]],Database!A:E,MATCH($A$1,Database!$A$1:$E$1,),)</f>
        <v/>
      </c>
      <c r="C391" s="9">
        <f>(B391-B390)/B390</f>
        <v/>
      </c>
      <c r="D391" s="7">
        <f>(Table5345679103[[#This Row],[Value]]-B379)/B379</f>
        <v/>
      </c>
    </row>
    <row r="392">
      <c r="A392" s="44" t="n">
        <v>33329</v>
      </c>
      <c r="B392" s="45">
        <f>VLOOKUP(Table5345679103[[#This Row],[Date]],Database!A:E,MATCH($A$1,Database!$A$1:$E$1,),)</f>
        <v/>
      </c>
      <c r="C392" s="9">
        <f>(B392-B391)/B391</f>
        <v/>
      </c>
      <c r="D392" s="7">
        <f>(Table5345679103[[#This Row],[Value]]-B380)/B380</f>
        <v/>
      </c>
    </row>
    <row r="393">
      <c r="A393" s="44" t="n">
        <v>33359</v>
      </c>
      <c r="B393" s="45">
        <f>VLOOKUP(Table5345679103[[#This Row],[Date]],Database!A:E,MATCH($A$1,Database!$A$1:$E$1,),)</f>
        <v/>
      </c>
      <c r="C393" s="9">
        <f>(B393-B392)/B392</f>
        <v/>
      </c>
      <c r="D393" s="7">
        <f>(Table5345679103[[#This Row],[Value]]-B381)/B381</f>
        <v/>
      </c>
    </row>
    <row r="394">
      <c r="A394" s="44" t="n">
        <v>33390</v>
      </c>
      <c r="B394" s="45">
        <f>VLOOKUP(Table5345679103[[#This Row],[Date]],Database!A:E,MATCH($A$1,Database!$A$1:$E$1,),)</f>
        <v/>
      </c>
      <c r="C394" s="9">
        <f>(B394-B393)/B393</f>
        <v/>
      </c>
      <c r="D394" s="7">
        <f>(Table5345679103[[#This Row],[Value]]-B382)/B382</f>
        <v/>
      </c>
    </row>
    <row r="395">
      <c r="A395" s="44" t="n">
        <v>33420</v>
      </c>
      <c r="B395" s="45">
        <f>VLOOKUP(Table5345679103[[#This Row],[Date]],Database!A:E,MATCH($A$1,Database!$A$1:$E$1,),)</f>
        <v/>
      </c>
      <c r="C395" s="9">
        <f>(B395-B394)/B394</f>
        <v/>
      </c>
      <c r="D395" s="7">
        <f>(Table5345679103[[#This Row],[Value]]-B383)/B383</f>
        <v/>
      </c>
    </row>
    <row r="396">
      <c r="A396" s="44" t="n">
        <v>33451</v>
      </c>
      <c r="B396" s="45">
        <f>VLOOKUP(Table5345679103[[#This Row],[Date]],Database!A:E,MATCH($A$1,Database!$A$1:$E$1,),)</f>
        <v/>
      </c>
      <c r="C396" s="9">
        <f>(B396-B395)/B395</f>
        <v/>
      </c>
      <c r="D396" s="7">
        <f>(Table5345679103[[#This Row],[Value]]-B384)/B384</f>
        <v/>
      </c>
    </row>
    <row r="397">
      <c r="A397" s="44" t="n">
        <v>33482</v>
      </c>
      <c r="B397" s="45">
        <f>VLOOKUP(Table5345679103[[#This Row],[Date]],Database!A:E,MATCH($A$1,Database!$A$1:$E$1,),)</f>
        <v/>
      </c>
      <c r="C397" s="9">
        <f>(B397-B396)/B396</f>
        <v/>
      </c>
      <c r="D397" s="7">
        <f>(Table5345679103[[#This Row],[Value]]-B385)/B385</f>
        <v/>
      </c>
    </row>
    <row r="398">
      <c r="A398" s="44" t="n">
        <v>33512</v>
      </c>
      <c r="B398" s="45">
        <f>VLOOKUP(Table5345679103[[#This Row],[Date]],Database!A:E,MATCH($A$1,Database!$A$1:$E$1,),)</f>
        <v/>
      </c>
      <c r="C398" s="9">
        <f>(B398-B397)/B397</f>
        <v/>
      </c>
      <c r="D398" s="7">
        <f>(Table5345679103[[#This Row],[Value]]-B386)/B386</f>
        <v/>
      </c>
    </row>
    <row r="399">
      <c r="A399" s="44" t="n">
        <v>33543</v>
      </c>
      <c r="B399" s="45">
        <f>VLOOKUP(Table5345679103[[#This Row],[Date]],Database!A:E,MATCH($A$1,Database!$A$1:$E$1,),)</f>
        <v/>
      </c>
      <c r="C399" s="9">
        <f>(B399-B398)/B398</f>
        <v/>
      </c>
      <c r="D399" s="7">
        <f>(Table5345679103[[#This Row],[Value]]-B387)/B387</f>
        <v/>
      </c>
    </row>
    <row r="400">
      <c r="A400" s="44" t="n">
        <v>33573</v>
      </c>
      <c r="B400" s="45">
        <f>VLOOKUP(Table5345679103[[#This Row],[Date]],Database!A:E,MATCH($A$1,Database!$A$1:$E$1,),)</f>
        <v/>
      </c>
      <c r="C400" s="9">
        <f>(B400-B399)/B399</f>
        <v/>
      </c>
      <c r="D400" s="7">
        <f>(Table5345679103[[#This Row],[Value]]-B388)/B388</f>
        <v/>
      </c>
    </row>
    <row r="401">
      <c r="A401" s="44" t="n">
        <v>33604</v>
      </c>
      <c r="B401" s="45">
        <f>VLOOKUP(Table5345679103[[#This Row],[Date]],Database!A:E,MATCH($A$1,Database!$A$1:$E$1,),)</f>
        <v/>
      </c>
      <c r="C401" s="9">
        <f>(B401-B400)/B400</f>
        <v/>
      </c>
      <c r="D401" s="7">
        <f>(Table5345679103[[#This Row],[Value]]-B389)/B389</f>
        <v/>
      </c>
    </row>
    <row r="402">
      <c r="A402" s="44" t="n">
        <v>33635</v>
      </c>
      <c r="B402" s="45">
        <f>VLOOKUP(Table5345679103[[#This Row],[Date]],Database!A:E,MATCH($A$1,Database!$A$1:$E$1,),)</f>
        <v/>
      </c>
      <c r="C402" s="9">
        <f>(B402-B401)/B401</f>
        <v/>
      </c>
      <c r="D402" s="7">
        <f>(Table5345679103[[#This Row],[Value]]-B390)/B390</f>
        <v/>
      </c>
    </row>
    <row r="403">
      <c r="A403" s="44" t="n">
        <v>33664</v>
      </c>
      <c r="B403" s="45">
        <f>VLOOKUP(Table5345679103[[#This Row],[Date]],Database!A:E,MATCH($A$1,Database!$A$1:$E$1,),)</f>
        <v/>
      </c>
      <c r="C403" s="9">
        <f>(B403-B402)/B402</f>
        <v/>
      </c>
      <c r="D403" s="7">
        <f>(Table5345679103[[#This Row],[Value]]-B391)/B391</f>
        <v/>
      </c>
    </row>
    <row r="404">
      <c r="A404" s="44" t="n">
        <v>33695</v>
      </c>
      <c r="B404" s="45">
        <f>VLOOKUP(Table5345679103[[#This Row],[Date]],Database!A:E,MATCH($A$1,Database!$A$1:$E$1,),)</f>
        <v/>
      </c>
      <c r="C404" s="9">
        <f>(B404-B403)/B403</f>
        <v/>
      </c>
      <c r="D404" s="7">
        <f>(Table5345679103[[#This Row],[Value]]-B392)/B392</f>
        <v/>
      </c>
    </row>
    <row r="405">
      <c r="A405" s="44" t="n">
        <v>33725</v>
      </c>
      <c r="B405" s="45">
        <f>VLOOKUP(Table5345679103[[#This Row],[Date]],Database!A:E,MATCH($A$1,Database!$A$1:$E$1,),)</f>
        <v/>
      </c>
      <c r="C405" s="9">
        <f>(B405-B404)/B404</f>
        <v/>
      </c>
      <c r="D405" s="7">
        <f>(Table5345679103[[#This Row],[Value]]-B393)/B393</f>
        <v/>
      </c>
    </row>
    <row r="406">
      <c r="A406" s="44" t="n">
        <v>33756</v>
      </c>
      <c r="B406" s="45">
        <f>VLOOKUP(Table5345679103[[#This Row],[Date]],Database!A:E,MATCH($A$1,Database!$A$1:$E$1,),)</f>
        <v/>
      </c>
      <c r="C406" s="9">
        <f>(B406-B405)/B405</f>
        <v/>
      </c>
      <c r="D406" s="7">
        <f>(Table5345679103[[#This Row],[Value]]-B394)/B394</f>
        <v/>
      </c>
    </row>
    <row r="407">
      <c r="A407" s="44" t="n">
        <v>33786</v>
      </c>
      <c r="B407" s="45">
        <f>VLOOKUP(Table5345679103[[#This Row],[Date]],Database!A:E,MATCH($A$1,Database!$A$1:$E$1,),)</f>
        <v/>
      </c>
      <c r="C407" s="9">
        <f>(B407-B406)/B406</f>
        <v/>
      </c>
      <c r="D407" s="7">
        <f>(Table5345679103[[#This Row],[Value]]-B395)/B395</f>
        <v/>
      </c>
    </row>
    <row r="408">
      <c r="A408" s="44" t="n">
        <v>33817</v>
      </c>
      <c r="B408" s="45">
        <f>VLOOKUP(Table5345679103[[#This Row],[Date]],Database!A:E,MATCH($A$1,Database!$A$1:$E$1,),)</f>
        <v/>
      </c>
      <c r="C408" s="9">
        <f>(B408-B407)/B407</f>
        <v/>
      </c>
      <c r="D408" s="7">
        <f>(Table5345679103[[#This Row],[Value]]-B396)/B396</f>
        <v/>
      </c>
    </row>
    <row r="409">
      <c r="A409" s="44" t="n">
        <v>33848</v>
      </c>
      <c r="B409" s="45">
        <f>VLOOKUP(Table5345679103[[#This Row],[Date]],Database!A:E,MATCH($A$1,Database!$A$1:$E$1,),)</f>
        <v/>
      </c>
      <c r="C409" s="9">
        <f>(B409-B408)/B408</f>
        <v/>
      </c>
      <c r="D409" s="7">
        <f>(Table5345679103[[#This Row],[Value]]-B397)/B397</f>
        <v/>
      </c>
    </row>
    <row r="410">
      <c r="A410" s="44" t="n">
        <v>33878</v>
      </c>
      <c r="B410" s="45">
        <f>VLOOKUP(Table5345679103[[#This Row],[Date]],Database!A:E,MATCH($A$1,Database!$A$1:$E$1,),)</f>
        <v/>
      </c>
      <c r="C410" s="9">
        <f>(B410-B409)/B409</f>
        <v/>
      </c>
      <c r="D410" s="7">
        <f>(Table5345679103[[#This Row],[Value]]-B398)/B398</f>
        <v/>
      </c>
    </row>
    <row r="411">
      <c r="A411" s="44" t="n">
        <v>33909</v>
      </c>
      <c r="B411" s="45">
        <f>VLOOKUP(Table5345679103[[#This Row],[Date]],Database!A:E,MATCH($A$1,Database!$A$1:$E$1,),)</f>
        <v/>
      </c>
      <c r="C411" s="9">
        <f>(B411-B410)/B410</f>
        <v/>
      </c>
      <c r="D411" s="7">
        <f>(Table5345679103[[#This Row],[Value]]-B399)/B399</f>
        <v/>
      </c>
    </row>
    <row r="412">
      <c r="A412" s="44" t="n">
        <v>33939</v>
      </c>
      <c r="B412" s="45">
        <f>VLOOKUP(Table5345679103[[#This Row],[Date]],Database!A:E,MATCH($A$1,Database!$A$1:$E$1,),)</f>
        <v/>
      </c>
      <c r="C412" s="9">
        <f>(B412-B411)/B411</f>
        <v/>
      </c>
      <c r="D412" s="7">
        <f>(Table5345679103[[#This Row],[Value]]-B400)/B400</f>
        <v/>
      </c>
    </row>
    <row r="413">
      <c r="A413" s="44" t="n">
        <v>33970</v>
      </c>
      <c r="B413" s="45">
        <f>VLOOKUP(Table5345679103[[#This Row],[Date]],Database!A:E,MATCH($A$1,Database!$A$1:$E$1,),)</f>
        <v/>
      </c>
      <c r="C413" s="9">
        <f>(B413-B412)/B412</f>
        <v/>
      </c>
      <c r="D413" s="7">
        <f>(Table5345679103[[#This Row],[Value]]-B401)/B401</f>
        <v/>
      </c>
    </row>
    <row r="414">
      <c r="A414" s="44" t="n">
        <v>34001</v>
      </c>
      <c r="B414" s="45">
        <f>VLOOKUP(Table5345679103[[#This Row],[Date]],Database!A:E,MATCH($A$1,Database!$A$1:$E$1,),)</f>
        <v/>
      </c>
      <c r="C414" s="9">
        <f>(B414-B413)/B413</f>
        <v/>
      </c>
      <c r="D414" s="7">
        <f>(Table5345679103[[#This Row],[Value]]-B402)/B402</f>
        <v/>
      </c>
    </row>
    <row r="415">
      <c r="A415" s="44" t="n">
        <v>34029</v>
      </c>
      <c r="B415" s="45">
        <f>VLOOKUP(Table5345679103[[#This Row],[Date]],Database!A:E,MATCH($A$1,Database!$A$1:$E$1,),)</f>
        <v/>
      </c>
      <c r="C415" s="9">
        <f>(B415-B414)/B414</f>
        <v/>
      </c>
      <c r="D415" s="7">
        <f>(Table5345679103[[#This Row],[Value]]-B403)/B403</f>
        <v/>
      </c>
    </row>
    <row r="416">
      <c r="A416" s="44" t="n">
        <v>34060</v>
      </c>
      <c r="B416" s="45">
        <f>VLOOKUP(Table5345679103[[#This Row],[Date]],Database!A:E,MATCH($A$1,Database!$A$1:$E$1,),)</f>
        <v/>
      </c>
      <c r="C416" s="9">
        <f>(B416-B415)/B415</f>
        <v/>
      </c>
      <c r="D416" s="7">
        <f>(Table5345679103[[#This Row],[Value]]-B404)/B404</f>
        <v/>
      </c>
    </row>
    <row r="417">
      <c r="A417" s="44" t="n">
        <v>34090</v>
      </c>
      <c r="B417" s="45">
        <f>VLOOKUP(Table5345679103[[#This Row],[Date]],Database!A:E,MATCH($A$1,Database!$A$1:$E$1,),)</f>
        <v/>
      </c>
      <c r="C417" s="9">
        <f>(B417-B416)/B416</f>
        <v/>
      </c>
      <c r="D417" s="7">
        <f>(Table5345679103[[#This Row],[Value]]-B405)/B405</f>
        <v/>
      </c>
    </row>
    <row r="418">
      <c r="A418" s="44" t="n">
        <v>34121</v>
      </c>
      <c r="B418" s="45">
        <f>VLOOKUP(Table5345679103[[#This Row],[Date]],Database!A:E,MATCH($A$1,Database!$A$1:$E$1,),)</f>
        <v/>
      </c>
      <c r="C418" s="9">
        <f>(B418-B417)/B417</f>
        <v/>
      </c>
      <c r="D418" s="7">
        <f>(Table5345679103[[#This Row],[Value]]-B406)/B406</f>
        <v/>
      </c>
    </row>
    <row r="419">
      <c r="A419" s="44" t="n">
        <v>34151</v>
      </c>
      <c r="B419" s="45">
        <f>VLOOKUP(Table5345679103[[#This Row],[Date]],Database!A:E,MATCH($A$1,Database!$A$1:$E$1,),)</f>
        <v/>
      </c>
      <c r="C419" s="9">
        <f>(B419-B418)/B418</f>
        <v/>
      </c>
      <c r="D419" s="7">
        <f>(Table5345679103[[#This Row],[Value]]-B407)/B407</f>
        <v/>
      </c>
    </row>
    <row r="420">
      <c r="A420" s="44" t="n">
        <v>34182</v>
      </c>
      <c r="B420" s="45">
        <f>VLOOKUP(Table5345679103[[#This Row],[Date]],Database!A:E,MATCH($A$1,Database!$A$1:$E$1,),)</f>
        <v/>
      </c>
      <c r="C420" s="9">
        <f>(B420-B419)/B419</f>
        <v/>
      </c>
      <c r="D420" s="7">
        <f>(Table5345679103[[#This Row],[Value]]-B408)/B408</f>
        <v/>
      </c>
    </row>
    <row r="421">
      <c r="A421" s="44" t="n">
        <v>34213</v>
      </c>
      <c r="B421" s="45">
        <f>VLOOKUP(Table5345679103[[#This Row],[Date]],Database!A:E,MATCH($A$1,Database!$A$1:$E$1,),)</f>
        <v/>
      </c>
      <c r="C421" s="9">
        <f>(B421-B420)/B420</f>
        <v/>
      </c>
      <c r="D421" s="7">
        <f>(Table5345679103[[#This Row],[Value]]-B409)/B409</f>
        <v/>
      </c>
    </row>
    <row r="422">
      <c r="A422" s="44" t="n">
        <v>34243</v>
      </c>
      <c r="B422" s="45">
        <f>VLOOKUP(Table5345679103[[#This Row],[Date]],Database!A:E,MATCH($A$1,Database!$A$1:$E$1,),)</f>
        <v/>
      </c>
      <c r="C422" s="9">
        <f>(B422-B421)/B421</f>
        <v/>
      </c>
      <c r="D422" s="7">
        <f>(Table5345679103[[#This Row],[Value]]-B410)/B410</f>
        <v/>
      </c>
    </row>
    <row r="423">
      <c r="A423" s="44" t="n">
        <v>34274</v>
      </c>
      <c r="B423" s="45">
        <f>VLOOKUP(Table5345679103[[#This Row],[Date]],Database!A:E,MATCH($A$1,Database!$A$1:$E$1,),)</f>
        <v/>
      </c>
      <c r="C423" s="9">
        <f>(B423-B422)/B422</f>
        <v/>
      </c>
      <c r="D423" s="7">
        <f>(Table5345679103[[#This Row],[Value]]-B411)/B411</f>
        <v/>
      </c>
    </row>
    <row r="424">
      <c r="A424" s="44" t="n">
        <v>34304</v>
      </c>
      <c r="B424" s="45">
        <f>VLOOKUP(Table5345679103[[#This Row],[Date]],Database!A:E,MATCH($A$1,Database!$A$1:$E$1,),)</f>
        <v/>
      </c>
      <c r="C424" s="9">
        <f>(B424-B423)/B423</f>
        <v/>
      </c>
      <c r="D424" s="7">
        <f>(Table5345679103[[#This Row],[Value]]-B412)/B412</f>
        <v/>
      </c>
    </row>
    <row r="425">
      <c r="A425" s="44" t="n">
        <v>34335</v>
      </c>
      <c r="B425" s="45">
        <f>VLOOKUP(Table5345679103[[#This Row],[Date]],Database!A:E,MATCH($A$1,Database!$A$1:$E$1,),)</f>
        <v/>
      </c>
      <c r="C425" s="9">
        <f>(B425-B424)/B424</f>
        <v/>
      </c>
      <c r="D425" s="7">
        <f>(Table5345679103[[#This Row],[Value]]-B413)/B413</f>
        <v/>
      </c>
    </row>
    <row r="426">
      <c r="A426" s="44" t="n">
        <v>34366</v>
      </c>
      <c r="B426" s="45">
        <f>VLOOKUP(Table5345679103[[#This Row],[Date]],Database!A:E,MATCH($A$1,Database!$A$1:$E$1,),)</f>
        <v/>
      </c>
      <c r="C426" s="9">
        <f>(B426-B425)/B425</f>
        <v/>
      </c>
      <c r="D426" s="7">
        <f>(Table5345679103[[#This Row],[Value]]-B414)/B414</f>
        <v/>
      </c>
    </row>
    <row r="427">
      <c r="A427" s="44" t="n">
        <v>34394</v>
      </c>
      <c r="B427" s="45">
        <f>VLOOKUP(Table5345679103[[#This Row],[Date]],Database!A:E,MATCH($A$1,Database!$A$1:$E$1,),)</f>
        <v/>
      </c>
      <c r="C427" s="9">
        <f>(B427-B426)/B426</f>
        <v/>
      </c>
      <c r="D427" s="7">
        <f>(Table5345679103[[#This Row],[Value]]-B415)/B415</f>
        <v/>
      </c>
    </row>
    <row r="428">
      <c r="A428" s="44" t="n">
        <v>34425</v>
      </c>
      <c r="B428" s="45">
        <f>VLOOKUP(Table5345679103[[#This Row],[Date]],Database!A:E,MATCH($A$1,Database!$A$1:$E$1,),)</f>
        <v/>
      </c>
      <c r="C428" s="9">
        <f>(B428-B427)/B427</f>
        <v/>
      </c>
      <c r="D428" s="7">
        <f>(Table5345679103[[#This Row],[Value]]-B416)/B416</f>
        <v/>
      </c>
    </row>
    <row r="429">
      <c r="A429" s="44" t="n">
        <v>34455</v>
      </c>
      <c r="B429" s="45">
        <f>VLOOKUP(Table5345679103[[#This Row],[Date]],Database!A:E,MATCH($A$1,Database!$A$1:$E$1,),)</f>
        <v/>
      </c>
      <c r="C429" s="9">
        <f>(B429-B428)/B428</f>
        <v/>
      </c>
      <c r="D429" s="7">
        <f>(Table5345679103[[#This Row],[Value]]-B417)/B417</f>
        <v/>
      </c>
    </row>
    <row r="430">
      <c r="A430" s="44" t="n">
        <v>34486</v>
      </c>
      <c r="B430" s="45">
        <f>VLOOKUP(Table5345679103[[#This Row],[Date]],Database!A:E,MATCH($A$1,Database!$A$1:$E$1,),)</f>
        <v/>
      </c>
      <c r="C430" s="9">
        <f>(B430-B429)/B429</f>
        <v/>
      </c>
      <c r="D430" s="7">
        <f>(Table5345679103[[#This Row],[Value]]-B418)/B418</f>
        <v/>
      </c>
    </row>
    <row r="431">
      <c r="A431" s="44" t="n">
        <v>34516</v>
      </c>
      <c r="B431" s="45">
        <f>VLOOKUP(Table5345679103[[#This Row],[Date]],Database!A:E,MATCH($A$1,Database!$A$1:$E$1,),)</f>
        <v/>
      </c>
      <c r="C431" s="9">
        <f>(B431-B430)/B430</f>
        <v/>
      </c>
      <c r="D431" s="7">
        <f>(Table5345679103[[#This Row],[Value]]-B419)/B419</f>
        <v/>
      </c>
    </row>
    <row r="432">
      <c r="A432" s="44" t="n">
        <v>34547</v>
      </c>
      <c r="B432" s="45">
        <f>VLOOKUP(Table5345679103[[#This Row],[Date]],Database!A:E,MATCH($A$1,Database!$A$1:$E$1,),)</f>
        <v/>
      </c>
      <c r="C432" s="9">
        <f>(B432-B431)/B431</f>
        <v/>
      </c>
      <c r="D432" s="7">
        <f>(Table5345679103[[#This Row],[Value]]-B420)/B420</f>
        <v/>
      </c>
    </row>
    <row r="433">
      <c r="A433" s="44" t="n">
        <v>34578</v>
      </c>
      <c r="B433" s="45">
        <f>VLOOKUP(Table5345679103[[#This Row],[Date]],Database!A:E,MATCH($A$1,Database!$A$1:$E$1,),)</f>
        <v/>
      </c>
      <c r="C433" s="9">
        <f>(B433-B432)/B432</f>
        <v/>
      </c>
      <c r="D433" s="7">
        <f>(Table5345679103[[#This Row],[Value]]-B421)/B421</f>
        <v/>
      </c>
    </row>
    <row r="434">
      <c r="A434" s="44" t="n">
        <v>34608</v>
      </c>
      <c r="B434" s="45">
        <f>VLOOKUP(Table5345679103[[#This Row],[Date]],Database!A:E,MATCH($A$1,Database!$A$1:$E$1,),)</f>
        <v/>
      </c>
      <c r="C434" s="9">
        <f>(B434-B433)/B433</f>
        <v/>
      </c>
      <c r="D434" s="7">
        <f>(Table5345679103[[#This Row],[Value]]-B422)/B422</f>
        <v/>
      </c>
    </row>
    <row r="435">
      <c r="A435" s="44" t="n">
        <v>34639</v>
      </c>
      <c r="B435" s="45">
        <f>VLOOKUP(Table5345679103[[#This Row],[Date]],Database!A:E,MATCH($A$1,Database!$A$1:$E$1,),)</f>
        <v/>
      </c>
      <c r="C435" s="9">
        <f>(B435-B434)/B434</f>
        <v/>
      </c>
      <c r="D435" s="7">
        <f>(Table5345679103[[#This Row],[Value]]-B423)/B423</f>
        <v/>
      </c>
    </row>
    <row r="436">
      <c r="A436" s="44" t="n">
        <v>34669</v>
      </c>
      <c r="B436" s="45">
        <f>VLOOKUP(Table5345679103[[#This Row],[Date]],Database!A:E,MATCH($A$1,Database!$A$1:$E$1,),)</f>
        <v/>
      </c>
      <c r="C436" s="9">
        <f>(B436-B435)/B435</f>
        <v/>
      </c>
      <c r="D436" s="7">
        <f>(Table5345679103[[#This Row],[Value]]-B424)/B424</f>
        <v/>
      </c>
    </row>
    <row r="437">
      <c r="A437" s="44" t="n">
        <v>34700</v>
      </c>
      <c r="B437" s="45">
        <f>VLOOKUP(Table5345679103[[#This Row],[Date]],Database!A:E,MATCH($A$1,Database!$A$1:$E$1,),)</f>
        <v/>
      </c>
      <c r="C437" s="9">
        <f>(B437-B436)/B436</f>
        <v/>
      </c>
      <c r="D437" s="7">
        <f>(Table5345679103[[#This Row],[Value]]-B425)/B425</f>
        <v/>
      </c>
    </row>
    <row r="438">
      <c r="A438" s="44" t="n">
        <v>34731</v>
      </c>
      <c r="B438" s="45">
        <f>VLOOKUP(Table5345679103[[#This Row],[Date]],Database!A:E,MATCH($A$1,Database!$A$1:$E$1,),)</f>
        <v/>
      </c>
      <c r="C438" s="9">
        <f>(B438-B437)/B437</f>
        <v/>
      </c>
      <c r="D438" s="7">
        <f>(Table5345679103[[#This Row],[Value]]-B426)/B426</f>
        <v/>
      </c>
    </row>
    <row r="439">
      <c r="A439" s="44" t="n">
        <v>34759</v>
      </c>
      <c r="B439" s="45">
        <f>VLOOKUP(Table5345679103[[#This Row],[Date]],Database!A:E,MATCH($A$1,Database!$A$1:$E$1,),)</f>
        <v/>
      </c>
      <c r="C439" s="9">
        <f>(B439-B438)/B438</f>
        <v/>
      </c>
      <c r="D439" s="7">
        <f>(Table5345679103[[#This Row],[Value]]-B427)/B427</f>
        <v/>
      </c>
    </row>
    <row r="440">
      <c r="A440" s="44" t="n">
        <v>34790</v>
      </c>
      <c r="B440" s="45">
        <f>VLOOKUP(Table5345679103[[#This Row],[Date]],Database!A:E,MATCH($A$1,Database!$A$1:$E$1,),)</f>
        <v/>
      </c>
      <c r="C440" s="9">
        <f>(B440-B439)/B439</f>
        <v/>
      </c>
      <c r="D440" s="7">
        <f>(Table5345679103[[#This Row],[Value]]-B428)/B428</f>
        <v/>
      </c>
    </row>
    <row r="441">
      <c r="A441" s="44" t="n">
        <v>34820</v>
      </c>
      <c r="B441" s="45">
        <f>VLOOKUP(Table5345679103[[#This Row],[Date]],Database!A:E,MATCH($A$1,Database!$A$1:$E$1,),)</f>
        <v/>
      </c>
      <c r="C441" s="9">
        <f>(B441-B440)/B440</f>
        <v/>
      </c>
      <c r="D441" s="7">
        <f>(Table5345679103[[#This Row],[Value]]-B429)/B429</f>
        <v/>
      </c>
    </row>
    <row r="442">
      <c r="A442" s="44" t="n">
        <v>34851</v>
      </c>
      <c r="B442" s="45">
        <f>VLOOKUP(Table5345679103[[#This Row],[Date]],Database!A:E,MATCH($A$1,Database!$A$1:$E$1,),)</f>
        <v/>
      </c>
      <c r="C442" s="9">
        <f>(B442-B441)/B441</f>
        <v/>
      </c>
      <c r="D442" s="7">
        <f>(Table5345679103[[#This Row],[Value]]-B430)/B430</f>
        <v/>
      </c>
    </row>
    <row r="443">
      <c r="A443" s="44" t="n">
        <v>34881</v>
      </c>
      <c r="B443" s="45">
        <f>VLOOKUP(Table5345679103[[#This Row],[Date]],Database!A:E,MATCH($A$1,Database!$A$1:$E$1,),)</f>
        <v/>
      </c>
      <c r="C443" s="9">
        <f>(B443-B442)/B442</f>
        <v/>
      </c>
      <c r="D443" s="7">
        <f>(Table5345679103[[#This Row],[Value]]-B431)/B431</f>
        <v/>
      </c>
    </row>
    <row r="444">
      <c r="A444" s="44" t="n">
        <v>34912</v>
      </c>
      <c r="B444" s="45">
        <f>VLOOKUP(Table5345679103[[#This Row],[Date]],Database!A:E,MATCH($A$1,Database!$A$1:$E$1,),)</f>
        <v/>
      </c>
      <c r="C444" s="9">
        <f>(B444-B443)/B443</f>
        <v/>
      </c>
      <c r="D444" s="7">
        <f>(Table5345679103[[#This Row],[Value]]-B432)/B432</f>
        <v/>
      </c>
    </row>
    <row r="445">
      <c r="A445" s="44" t="n">
        <v>34943</v>
      </c>
      <c r="B445" s="45">
        <f>VLOOKUP(Table5345679103[[#This Row],[Date]],Database!A:E,MATCH($A$1,Database!$A$1:$E$1,),)</f>
        <v/>
      </c>
      <c r="C445" s="9">
        <f>(B445-B444)/B444</f>
        <v/>
      </c>
      <c r="D445" s="7">
        <f>(Table5345679103[[#This Row],[Value]]-B433)/B433</f>
        <v/>
      </c>
    </row>
    <row r="446">
      <c r="A446" s="44" t="n">
        <v>34973</v>
      </c>
      <c r="B446" s="45">
        <f>VLOOKUP(Table5345679103[[#This Row],[Date]],Database!A:E,MATCH($A$1,Database!$A$1:$E$1,),)</f>
        <v/>
      </c>
      <c r="C446" s="9">
        <f>(B446-B445)/B445</f>
        <v/>
      </c>
      <c r="D446" s="7">
        <f>(Table5345679103[[#This Row],[Value]]-B434)/B434</f>
        <v/>
      </c>
    </row>
    <row r="447">
      <c r="A447" s="44" t="n">
        <v>35004</v>
      </c>
      <c r="B447" s="45">
        <f>VLOOKUP(Table5345679103[[#This Row],[Date]],Database!A:E,MATCH($A$1,Database!$A$1:$E$1,),)</f>
        <v/>
      </c>
      <c r="C447" s="9">
        <f>(B447-B446)/B446</f>
        <v/>
      </c>
      <c r="D447" s="7">
        <f>(Table5345679103[[#This Row],[Value]]-B435)/B435</f>
        <v/>
      </c>
    </row>
    <row r="448">
      <c r="A448" s="44" t="n">
        <v>35034</v>
      </c>
      <c r="B448" s="45">
        <f>VLOOKUP(Table5345679103[[#This Row],[Date]],Database!A:E,MATCH($A$1,Database!$A$1:$E$1,),)</f>
        <v/>
      </c>
      <c r="C448" s="9">
        <f>(B448-B447)/B447</f>
        <v/>
      </c>
      <c r="D448" s="7">
        <f>(Table5345679103[[#This Row],[Value]]-B436)/B436</f>
        <v/>
      </c>
    </row>
    <row r="449">
      <c r="A449" s="44" t="n">
        <v>35065</v>
      </c>
      <c r="B449" s="45">
        <f>VLOOKUP(Table5345679103[[#This Row],[Date]],Database!A:E,MATCH($A$1,Database!$A$1:$E$1,),)</f>
        <v/>
      </c>
      <c r="C449" s="9">
        <f>(B449-B448)/B448</f>
        <v/>
      </c>
      <c r="D449" s="7">
        <f>(Table5345679103[[#This Row],[Value]]-B437)/B437</f>
        <v/>
      </c>
    </row>
    <row r="450">
      <c r="A450" s="44" t="n">
        <v>35096</v>
      </c>
      <c r="B450" s="45">
        <f>VLOOKUP(Table5345679103[[#This Row],[Date]],Database!A:E,MATCH($A$1,Database!$A$1:$E$1,),)</f>
        <v/>
      </c>
      <c r="C450" s="9">
        <f>(B450-B449)/B449</f>
        <v/>
      </c>
      <c r="D450" s="7">
        <f>(Table5345679103[[#This Row],[Value]]-B438)/B438</f>
        <v/>
      </c>
    </row>
    <row r="451">
      <c r="A451" s="44" t="n">
        <v>35125</v>
      </c>
      <c r="B451" s="45">
        <f>VLOOKUP(Table5345679103[[#This Row],[Date]],Database!A:E,MATCH($A$1,Database!$A$1:$E$1,),)</f>
        <v/>
      </c>
      <c r="C451" s="9">
        <f>(B451-B450)/B450</f>
        <v/>
      </c>
      <c r="D451" s="7">
        <f>(Table5345679103[[#This Row],[Value]]-B439)/B439</f>
        <v/>
      </c>
    </row>
    <row r="452">
      <c r="A452" s="44" t="n">
        <v>35156</v>
      </c>
      <c r="B452" s="45">
        <f>VLOOKUP(Table5345679103[[#This Row],[Date]],Database!A:E,MATCH($A$1,Database!$A$1:$E$1,),)</f>
        <v/>
      </c>
      <c r="C452" s="9">
        <f>(B452-B451)/B451</f>
        <v/>
      </c>
      <c r="D452" s="7">
        <f>(Table5345679103[[#This Row],[Value]]-B440)/B440</f>
        <v/>
      </c>
    </row>
    <row r="453">
      <c r="A453" s="44" t="n">
        <v>35186</v>
      </c>
      <c r="B453" s="45">
        <f>VLOOKUP(Table5345679103[[#This Row],[Date]],Database!A:E,MATCH($A$1,Database!$A$1:$E$1,),)</f>
        <v/>
      </c>
      <c r="C453" s="9">
        <f>(B453-B452)/B452</f>
        <v/>
      </c>
      <c r="D453" s="7">
        <f>(Table5345679103[[#This Row],[Value]]-B441)/B441</f>
        <v/>
      </c>
    </row>
    <row r="454">
      <c r="A454" s="44" t="n">
        <v>35217</v>
      </c>
      <c r="B454" s="45">
        <f>VLOOKUP(Table5345679103[[#This Row],[Date]],Database!A:E,MATCH($A$1,Database!$A$1:$E$1,),)</f>
        <v/>
      </c>
      <c r="C454" s="9">
        <f>(B454-B453)/B453</f>
        <v/>
      </c>
      <c r="D454" s="7">
        <f>(Table5345679103[[#This Row],[Value]]-B442)/B442</f>
        <v/>
      </c>
    </row>
    <row r="455">
      <c r="A455" s="44" t="n">
        <v>35247</v>
      </c>
      <c r="B455" s="45">
        <f>VLOOKUP(Table5345679103[[#This Row],[Date]],Database!A:E,MATCH($A$1,Database!$A$1:$E$1,),)</f>
        <v/>
      </c>
      <c r="C455" s="9">
        <f>(B455-B454)/B454</f>
        <v/>
      </c>
      <c r="D455" s="7">
        <f>(Table5345679103[[#This Row],[Value]]-B443)/B443</f>
        <v/>
      </c>
    </row>
    <row r="456">
      <c r="A456" s="44" t="n">
        <v>35278</v>
      </c>
      <c r="B456" s="45">
        <f>VLOOKUP(Table5345679103[[#This Row],[Date]],Database!A:E,MATCH($A$1,Database!$A$1:$E$1,),)</f>
        <v/>
      </c>
      <c r="C456" s="9">
        <f>(B456-B455)/B455</f>
        <v/>
      </c>
      <c r="D456" s="7">
        <f>(Table5345679103[[#This Row],[Value]]-B444)/B444</f>
        <v/>
      </c>
    </row>
    <row r="457">
      <c r="A457" s="44" t="n">
        <v>35309</v>
      </c>
      <c r="B457" s="45">
        <f>VLOOKUP(Table5345679103[[#This Row],[Date]],Database!A:E,MATCH($A$1,Database!$A$1:$E$1,),)</f>
        <v/>
      </c>
      <c r="C457" s="9">
        <f>(B457-B456)/B456</f>
        <v/>
      </c>
      <c r="D457" s="7">
        <f>(Table5345679103[[#This Row],[Value]]-B445)/B445</f>
        <v/>
      </c>
    </row>
    <row r="458">
      <c r="A458" s="44" t="n">
        <v>35339</v>
      </c>
      <c r="B458" s="45">
        <f>VLOOKUP(Table5345679103[[#This Row],[Date]],Database!A:E,MATCH($A$1,Database!$A$1:$E$1,),)</f>
        <v/>
      </c>
      <c r="C458" s="9">
        <f>(B458-B457)/B457</f>
        <v/>
      </c>
      <c r="D458" s="7">
        <f>(Table5345679103[[#This Row],[Value]]-B446)/B446</f>
        <v/>
      </c>
    </row>
    <row r="459">
      <c r="A459" s="44" t="n">
        <v>35370</v>
      </c>
      <c r="B459" s="45">
        <f>VLOOKUP(Table5345679103[[#This Row],[Date]],Database!A:E,MATCH($A$1,Database!$A$1:$E$1,),)</f>
        <v/>
      </c>
      <c r="C459" s="9">
        <f>(B459-B458)/B458</f>
        <v/>
      </c>
      <c r="D459" s="7">
        <f>(Table5345679103[[#This Row],[Value]]-B447)/B447</f>
        <v/>
      </c>
    </row>
    <row r="460">
      <c r="A460" s="44" t="n">
        <v>35400</v>
      </c>
      <c r="B460" s="45">
        <f>VLOOKUP(Table5345679103[[#This Row],[Date]],Database!A:E,MATCH($A$1,Database!$A$1:$E$1,),)</f>
        <v/>
      </c>
      <c r="C460" s="9">
        <f>(B460-B459)/B459</f>
        <v/>
      </c>
      <c r="D460" s="7">
        <f>(Table5345679103[[#This Row],[Value]]-B448)/B448</f>
        <v/>
      </c>
    </row>
    <row r="461">
      <c r="A461" s="44" t="n">
        <v>35431</v>
      </c>
      <c r="B461" s="45">
        <f>VLOOKUP(Table5345679103[[#This Row],[Date]],Database!A:E,MATCH($A$1,Database!$A$1:$E$1,),)</f>
        <v/>
      </c>
      <c r="C461" s="9">
        <f>(B461-B460)/B460</f>
        <v/>
      </c>
      <c r="D461" s="7">
        <f>(Table5345679103[[#This Row],[Value]]-B449)/B449</f>
        <v/>
      </c>
    </row>
    <row r="462">
      <c r="A462" s="44" t="n">
        <v>35462</v>
      </c>
      <c r="B462" s="45">
        <f>VLOOKUP(Table5345679103[[#This Row],[Date]],Database!A:E,MATCH($A$1,Database!$A$1:$E$1,),)</f>
        <v/>
      </c>
      <c r="C462" s="9">
        <f>(B462-B461)/B461</f>
        <v/>
      </c>
      <c r="D462" s="7">
        <f>(Table5345679103[[#This Row],[Value]]-B450)/B450</f>
        <v/>
      </c>
    </row>
    <row r="463">
      <c r="A463" s="44" t="n">
        <v>35490</v>
      </c>
      <c r="B463" s="45">
        <f>VLOOKUP(Table5345679103[[#This Row],[Date]],Database!A:E,MATCH($A$1,Database!$A$1:$E$1,),)</f>
        <v/>
      </c>
      <c r="C463" s="9">
        <f>(B463-B462)/B462</f>
        <v/>
      </c>
      <c r="D463" s="7">
        <f>(Table5345679103[[#This Row],[Value]]-B451)/B451</f>
        <v/>
      </c>
    </row>
    <row r="464">
      <c r="A464" s="44" t="n">
        <v>35521</v>
      </c>
      <c r="B464" s="45">
        <f>VLOOKUP(Table5345679103[[#This Row],[Date]],Database!A:E,MATCH($A$1,Database!$A$1:$E$1,),)</f>
        <v/>
      </c>
      <c r="C464" s="9">
        <f>(B464-B463)/B463</f>
        <v/>
      </c>
      <c r="D464" s="7">
        <f>(Table5345679103[[#This Row],[Value]]-B452)/B452</f>
        <v/>
      </c>
    </row>
    <row r="465">
      <c r="A465" s="44" t="n">
        <v>35551</v>
      </c>
      <c r="B465" s="45">
        <f>VLOOKUP(Table5345679103[[#This Row],[Date]],Database!A:E,MATCH($A$1,Database!$A$1:$E$1,),)</f>
        <v/>
      </c>
      <c r="C465" s="9">
        <f>(B465-B464)/B464</f>
        <v/>
      </c>
      <c r="D465" s="7">
        <f>(Table5345679103[[#This Row],[Value]]-B453)/B453</f>
        <v/>
      </c>
    </row>
    <row r="466">
      <c r="A466" s="44" t="n">
        <v>35582</v>
      </c>
      <c r="B466" s="45">
        <f>VLOOKUP(Table5345679103[[#This Row],[Date]],Database!A:E,MATCH($A$1,Database!$A$1:$E$1,),)</f>
        <v/>
      </c>
      <c r="C466" s="9">
        <f>(B466-B465)/B465</f>
        <v/>
      </c>
      <c r="D466" s="7">
        <f>(Table5345679103[[#This Row],[Value]]-B454)/B454</f>
        <v/>
      </c>
    </row>
    <row r="467">
      <c r="A467" s="44" t="n">
        <v>35612</v>
      </c>
      <c r="B467" s="45">
        <f>VLOOKUP(Table5345679103[[#This Row],[Date]],Database!A:E,MATCH($A$1,Database!$A$1:$E$1,),)</f>
        <v/>
      </c>
      <c r="C467" s="9">
        <f>(B467-B466)/B466</f>
        <v/>
      </c>
      <c r="D467" s="7">
        <f>(Table5345679103[[#This Row],[Value]]-B455)/B455</f>
        <v/>
      </c>
    </row>
    <row r="468">
      <c r="A468" s="44" t="n">
        <v>35643</v>
      </c>
      <c r="B468" s="45">
        <f>VLOOKUP(Table5345679103[[#This Row],[Date]],Database!A:E,MATCH($A$1,Database!$A$1:$E$1,),)</f>
        <v/>
      </c>
      <c r="C468" s="9">
        <f>(B468-B467)/B467</f>
        <v/>
      </c>
      <c r="D468" s="7">
        <f>(Table5345679103[[#This Row],[Value]]-B456)/B456</f>
        <v/>
      </c>
    </row>
    <row r="469">
      <c r="A469" s="44" t="n">
        <v>35674</v>
      </c>
      <c r="B469" s="45">
        <f>VLOOKUP(Table5345679103[[#This Row],[Date]],Database!A:E,MATCH($A$1,Database!$A$1:$E$1,),)</f>
        <v/>
      </c>
      <c r="C469" s="9">
        <f>(B469-B468)/B468</f>
        <v/>
      </c>
      <c r="D469" s="7">
        <f>(Table5345679103[[#This Row],[Value]]-B457)/B457</f>
        <v/>
      </c>
    </row>
    <row r="470">
      <c r="A470" s="44" t="n">
        <v>35704</v>
      </c>
      <c r="B470" s="45">
        <f>VLOOKUP(Table5345679103[[#This Row],[Date]],Database!A:E,MATCH($A$1,Database!$A$1:$E$1,),)</f>
        <v/>
      </c>
      <c r="C470" s="9">
        <f>(B470-B469)/B469</f>
        <v/>
      </c>
      <c r="D470" s="7">
        <f>(Table5345679103[[#This Row],[Value]]-B458)/B458</f>
        <v/>
      </c>
    </row>
    <row r="471">
      <c r="A471" s="44" t="n">
        <v>35735</v>
      </c>
      <c r="B471" s="45">
        <f>VLOOKUP(Table5345679103[[#This Row],[Date]],Database!A:E,MATCH($A$1,Database!$A$1:$E$1,),)</f>
        <v/>
      </c>
      <c r="C471" s="9">
        <f>(B471-B470)/B470</f>
        <v/>
      </c>
      <c r="D471" s="7">
        <f>(Table5345679103[[#This Row],[Value]]-B459)/B459</f>
        <v/>
      </c>
    </row>
    <row r="472">
      <c r="A472" s="44" t="n">
        <v>35765</v>
      </c>
      <c r="B472" s="45">
        <f>VLOOKUP(Table5345679103[[#This Row],[Date]],Database!A:E,MATCH($A$1,Database!$A$1:$E$1,),)</f>
        <v/>
      </c>
      <c r="C472" s="9">
        <f>(B472-B471)/B471</f>
        <v/>
      </c>
      <c r="D472" s="7">
        <f>(Table5345679103[[#This Row],[Value]]-B460)/B460</f>
        <v/>
      </c>
    </row>
    <row r="473">
      <c r="A473" s="44" t="n">
        <v>35796</v>
      </c>
      <c r="B473" s="45">
        <f>VLOOKUP(Table5345679103[[#This Row],[Date]],Database!A:E,MATCH($A$1,Database!$A$1:$E$1,),)</f>
        <v/>
      </c>
      <c r="C473" s="9">
        <f>(B473-B472)/B472</f>
        <v/>
      </c>
      <c r="D473" s="7">
        <f>(Table5345679103[[#This Row],[Value]]-B461)/B461</f>
        <v/>
      </c>
    </row>
    <row r="474">
      <c r="A474" s="44" t="n">
        <v>35827</v>
      </c>
      <c r="B474" s="45">
        <f>VLOOKUP(Table5345679103[[#This Row],[Date]],Database!A:E,MATCH($A$1,Database!$A$1:$E$1,),)</f>
        <v/>
      </c>
      <c r="C474" s="9">
        <f>(B474-B473)/B473</f>
        <v/>
      </c>
      <c r="D474" s="7">
        <f>(Table5345679103[[#This Row],[Value]]-B462)/B462</f>
        <v/>
      </c>
    </row>
    <row r="475">
      <c r="A475" s="44" t="n">
        <v>35855</v>
      </c>
      <c r="B475" s="45">
        <f>VLOOKUP(Table5345679103[[#This Row],[Date]],Database!A:E,MATCH($A$1,Database!$A$1:$E$1,),)</f>
        <v/>
      </c>
      <c r="C475" s="9">
        <f>(B475-B474)/B474</f>
        <v/>
      </c>
      <c r="D475" s="7">
        <f>(Table5345679103[[#This Row],[Value]]-B463)/B463</f>
        <v/>
      </c>
    </row>
    <row r="476">
      <c r="A476" s="44" t="n">
        <v>35886</v>
      </c>
      <c r="B476" s="45">
        <f>VLOOKUP(Table5345679103[[#This Row],[Date]],Database!A:E,MATCH($A$1,Database!$A$1:$E$1,),)</f>
        <v/>
      </c>
      <c r="C476" s="9">
        <f>(B476-B475)/B475</f>
        <v/>
      </c>
      <c r="D476" s="7">
        <f>(Table5345679103[[#This Row],[Value]]-B464)/B464</f>
        <v/>
      </c>
    </row>
    <row r="477">
      <c r="A477" s="44" t="n">
        <v>35916</v>
      </c>
      <c r="B477" s="45">
        <f>VLOOKUP(Table5345679103[[#This Row],[Date]],Database!A:E,MATCH($A$1,Database!$A$1:$E$1,),)</f>
        <v/>
      </c>
      <c r="C477" s="9">
        <f>(B477-B476)/B476</f>
        <v/>
      </c>
      <c r="D477" s="7">
        <f>(Table5345679103[[#This Row],[Value]]-B465)/B465</f>
        <v/>
      </c>
    </row>
    <row r="478">
      <c r="A478" s="44" t="n">
        <v>35947</v>
      </c>
      <c r="B478" s="45">
        <f>VLOOKUP(Table5345679103[[#This Row],[Date]],Database!A:E,MATCH($A$1,Database!$A$1:$E$1,),)</f>
        <v/>
      </c>
      <c r="C478" s="9">
        <f>(B478-B477)/B477</f>
        <v/>
      </c>
      <c r="D478" s="7">
        <f>(Table5345679103[[#This Row],[Value]]-B466)/B466</f>
        <v/>
      </c>
    </row>
    <row r="479">
      <c r="A479" s="44" t="n">
        <v>35977</v>
      </c>
      <c r="B479" s="45">
        <f>VLOOKUP(Table5345679103[[#This Row],[Date]],Database!A:E,MATCH($A$1,Database!$A$1:$E$1,),)</f>
        <v/>
      </c>
      <c r="C479" s="9">
        <f>(B479-B478)/B478</f>
        <v/>
      </c>
      <c r="D479" s="7">
        <f>(Table5345679103[[#This Row],[Value]]-B467)/B467</f>
        <v/>
      </c>
    </row>
    <row r="480">
      <c r="A480" s="44" t="n">
        <v>36008</v>
      </c>
      <c r="B480" s="45">
        <f>VLOOKUP(Table5345679103[[#This Row],[Date]],Database!A:E,MATCH($A$1,Database!$A$1:$E$1,),)</f>
        <v/>
      </c>
      <c r="C480" s="9">
        <f>(B480-B479)/B479</f>
        <v/>
      </c>
      <c r="D480" s="7">
        <f>(Table5345679103[[#This Row],[Value]]-B468)/B468</f>
        <v/>
      </c>
    </row>
    <row r="481">
      <c r="A481" s="44" t="n">
        <v>36039</v>
      </c>
      <c r="B481" s="45">
        <f>VLOOKUP(Table5345679103[[#This Row],[Date]],Database!A:E,MATCH($A$1,Database!$A$1:$E$1,),)</f>
        <v/>
      </c>
      <c r="C481" s="9">
        <f>(B481-B480)/B480</f>
        <v/>
      </c>
      <c r="D481" s="7">
        <f>(Table5345679103[[#This Row],[Value]]-B469)/B469</f>
        <v/>
      </c>
    </row>
    <row r="482">
      <c r="A482" s="44" t="n">
        <v>36069</v>
      </c>
      <c r="B482" s="45">
        <f>VLOOKUP(Table5345679103[[#This Row],[Date]],Database!A:E,MATCH($A$1,Database!$A$1:$E$1,),)</f>
        <v/>
      </c>
      <c r="C482" s="9">
        <f>(B482-B481)/B481</f>
        <v/>
      </c>
      <c r="D482" s="7">
        <f>(Table5345679103[[#This Row],[Value]]-B470)/B470</f>
        <v/>
      </c>
    </row>
    <row r="483">
      <c r="A483" s="44" t="n">
        <v>36100</v>
      </c>
      <c r="B483" s="45">
        <f>VLOOKUP(Table5345679103[[#This Row],[Date]],Database!A:E,MATCH($A$1,Database!$A$1:$E$1,),)</f>
        <v/>
      </c>
      <c r="C483" s="9">
        <f>(B483-B482)/B482</f>
        <v/>
      </c>
      <c r="D483" s="7">
        <f>(Table5345679103[[#This Row],[Value]]-B471)/B471</f>
        <v/>
      </c>
    </row>
    <row r="484">
      <c r="A484" s="44" t="n">
        <v>36130</v>
      </c>
      <c r="B484" s="45">
        <f>VLOOKUP(Table5345679103[[#This Row],[Date]],Database!A:E,MATCH($A$1,Database!$A$1:$E$1,),)</f>
        <v/>
      </c>
      <c r="C484" s="9">
        <f>(B484-B483)/B483</f>
        <v/>
      </c>
      <c r="D484" s="7">
        <f>(Table5345679103[[#This Row],[Value]]-B472)/B472</f>
        <v/>
      </c>
    </row>
    <row r="485">
      <c r="A485" s="44" t="n">
        <v>36161</v>
      </c>
      <c r="B485" s="45">
        <f>VLOOKUP(Table5345679103[[#This Row],[Date]],Database!A:E,MATCH($A$1,Database!$A$1:$E$1,),)</f>
        <v/>
      </c>
      <c r="C485" s="9">
        <f>(B485-B484)/B484</f>
        <v/>
      </c>
      <c r="D485" s="7">
        <f>(Table5345679103[[#This Row],[Value]]-B473)/B473</f>
        <v/>
      </c>
    </row>
    <row r="486">
      <c r="A486" s="44" t="n">
        <v>36192</v>
      </c>
      <c r="B486" s="45">
        <f>VLOOKUP(Table5345679103[[#This Row],[Date]],Database!A:E,MATCH($A$1,Database!$A$1:$E$1,),)</f>
        <v/>
      </c>
      <c r="C486" s="9">
        <f>(B486-B485)/B485</f>
        <v/>
      </c>
      <c r="D486" s="7">
        <f>(Table5345679103[[#This Row],[Value]]-B474)/B474</f>
        <v/>
      </c>
    </row>
    <row r="487">
      <c r="A487" s="44" t="n">
        <v>36220</v>
      </c>
      <c r="B487" s="45">
        <f>VLOOKUP(Table5345679103[[#This Row],[Date]],Database!A:E,MATCH($A$1,Database!$A$1:$E$1,),)</f>
        <v/>
      </c>
      <c r="C487" s="9">
        <f>(B487-B486)/B486</f>
        <v/>
      </c>
      <c r="D487" s="7">
        <f>(Table5345679103[[#This Row],[Value]]-B475)/B475</f>
        <v/>
      </c>
    </row>
    <row r="488">
      <c r="A488" s="44" t="n">
        <v>36251</v>
      </c>
      <c r="B488" s="45">
        <f>VLOOKUP(Table5345679103[[#This Row],[Date]],Database!A:E,MATCH($A$1,Database!$A$1:$E$1,),)</f>
        <v/>
      </c>
      <c r="C488" s="9">
        <f>(B488-B487)/B487</f>
        <v/>
      </c>
      <c r="D488" s="7">
        <f>(Table5345679103[[#This Row],[Value]]-B476)/B476</f>
        <v/>
      </c>
    </row>
    <row r="489">
      <c r="A489" s="44" t="n">
        <v>36281</v>
      </c>
      <c r="B489" s="45">
        <f>VLOOKUP(Table5345679103[[#This Row],[Date]],Database!A:E,MATCH($A$1,Database!$A$1:$E$1,),)</f>
        <v/>
      </c>
      <c r="C489" s="9">
        <f>(B489-B488)/B488</f>
        <v/>
      </c>
      <c r="D489" s="7">
        <f>(Table5345679103[[#This Row],[Value]]-B477)/B477</f>
        <v/>
      </c>
    </row>
    <row r="490">
      <c r="A490" s="44" t="n">
        <v>36312</v>
      </c>
      <c r="B490" s="45">
        <f>VLOOKUP(Table5345679103[[#This Row],[Date]],Database!A:E,MATCH($A$1,Database!$A$1:$E$1,),)</f>
        <v/>
      </c>
      <c r="C490" s="9">
        <f>(B490-B489)/B489</f>
        <v/>
      </c>
      <c r="D490" s="7">
        <f>(Table5345679103[[#This Row],[Value]]-B478)/B478</f>
        <v/>
      </c>
    </row>
    <row r="491">
      <c r="A491" s="44" t="n">
        <v>36342</v>
      </c>
      <c r="B491" s="45">
        <f>VLOOKUP(Table5345679103[[#This Row],[Date]],Database!A:E,MATCH($A$1,Database!$A$1:$E$1,),)</f>
        <v/>
      </c>
      <c r="C491" s="9">
        <f>(B491-B490)/B490</f>
        <v/>
      </c>
      <c r="D491" s="7">
        <f>(Table5345679103[[#This Row],[Value]]-B479)/B479</f>
        <v/>
      </c>
    </row>
    <row r="492">
      <c r="A492" s="44" t="n">
        <v>36373</v>
      </c>
      <c r="B492" s="45">
        <f>VLOOKUP(Table5345679103[[#This Row],[Date]],Database!A:E,MATCH($A$1,Database!$A$1:$E$1,),)</f>
        <v/>
      </c>
      <c r="C492" s="9">
        <f>(B492-B491)/B491</f>
        <v/>
      </c>
      <c r="D492" s="7">
        <f>(Table5345679103[[#This Row],[Value]]-B480)/B480</f>
        <v/>
      </c>
    </row>
    <row r="493">
      <c r="A493" s="44" t="n">
        <v>36404</v>
      </c>
      <c r="B493" s="45">
        <f>VLOOKUP(Table5345679103[[#This Row],[Date]],Database!A:E,MATCH($A$1,Database!$A$1:$E$1,),)</f>
        <v/>
      </c>
      <c r="C493" s="9">
        <f>(B493-B492)/B492</f>
        <v/>
      </c>
      <c r="D493" s="7">
        <f>(Table5345679103[[#This Row],[Value]]-B481)/B481</f>
        <v/>
      </c>
    </row>
    <row r="494">
      <c r="A494" s="44" t="n">
        <v>36434</v>
      </c>
      <c r="B494" s="45">
        <f>VLOOKUP(Table5345679103[[#This Row],[Date]],Database!A:E,MATCH($A$1,Database!$A$1:$E$1,),)</f>
        <v/>
      </c>
      <c r="C494" s="9">
        <f>(B494-B493)/B493</f>
        <v/>
      </c>
      <c r="D494" s="7">
        <f>(Table5345679103[[#This Row],[Value]]-B482)/B482</f>
        <v/>
      </c>
    </row>
    <row r="495">
      <c r="A495" s="44" t="n">
        <v>36465</v>
      </c>
      <c r="B495" s="45">
        <f>VLOOKUP(Table5345679103[[#This Row],[Date]],Database!A:E,MATCH($A$1,Database!$A$1:$E$1,),)</f>
        <v/>
      </c>
      <c r="C495" s="9">
        <f>(B495-B494)/B494</f>
        <v/>
      </c>
      <c r="D495" s="7">
        <f>(Table5345679103[[#This Row],[Value]]-B483)/B483</f>
        <v/>
      </c>
    </row>
    <row r="496">
      <c r="A496" s="44" t="n">
        <v>36495</v>
      </c>
      <c r="B496" s="45">
        <f>VLOOKUP(Table5345679103[[#This Row],[Date]],Database!A:E,MATCH($A$1,Database!$A$1:$E$1,),)</f>
        <v/>
      </c>
      <c r="C496" s="9">
        <f>(B496-B495)/B495</f>
        <v/>
      </c>
      <c r="D496" s="7">
        <f>(Table5345679103[[#This Row],[Value]]-B484)/B484</f>
        <v/>
      </c>
    </row>
    <row r="497">
      <c r="A497" s="44" t="n">
        <v>36526</v>
      </c>
      <c r="B497" s="45">
        <f>VLOOKUP(Table5345679103[[#This Row],[Date]],Database!A:E,MATCH($A$1,Database!$A$1:$E$1,),)</f>
        <v/>
      </c>
      <c r="C497" s="9">
        <f>(B497-B496)/B496</f>
        <v/>
      </c>
      <c r="D497" s="7">
        <f>(Table5345679103[[#This Row],[Value]]-B485)/B485</f>
        <v/>
      </c>
    </row>
    <row r="498">
      <c r="A498" s="44" t="n">
        <v>36557</v>
      </c>
      <c r="B498" s="45">
        <f>VLOOKUP(Table5345679103[[#This Row],[Date]],Database!A:E,MATCH($A$1,Database!$A$1:$E$1,),)</f>
        <v/>
      </c>
      <c r="C498" s="9">
        <f>(B498-B497)/B497</f>
        <v/>
      </c>
      <c r="D498" s="7">
        <f>(Table5345679103[[#This Row],[Value]]-B486)/B486</f>
        <v/>
      </c>
    </row>
    <row r="499">
      <c r="A499" s="44" t="n">
        <v>36586</v>
      </c>
      <c r="B499" s="45">
        <f>VLOOKUP(Table5345679103[[#This Row],[Date]],Database!A:E,MATCH($A$1,Database!$A$1:$E$1,),)</f>
        <v/>
      </c>
      <c r="C499" s="9">
        <f>(B499-B498)/B498</f>
        <v/>
      </c>
      <c r="D499" s="7">
        <f>(Table5345679103[[#This Row],[Value]]-B487)/B487</f>
        <v/>
      </c>
    </row>
    <row r="500">
      <c r="A500" s="44" t="n">
        <v>36617</v>
      </c>
      <c r="B500" s="45">
        <f>VLOOKUP(Table5345679103[[#This Row],[Date]],Database!A:E,MATCH($A$1,Database!$A$1:$E$1,),)</f>
        <v/>
      </c>
      <c r="C500" s="9">
        <f>(B500-B499)/B499</f>
        <v/>
      </c>
      <c r="D500" s="7">
        <f>(Table5345679103[[#This Row],[Value]]-B488)/B488</f>
        <v/>
      </c>
    </row>
    <row r="501">
      <c r="A501" s="44" t="n">
        <v>36647</v>
      </c>
      <c r="B501" s="45">
        <f>VLOOKUP(Table5345679103[[#This Row],[Date]],Database!A:E,MATCH($A$1,Database!$A$1:$E$1,),)</f>
        <v/>
      </c>
      <c r="C501" s="9">
        <f>(B501-B500)/B500</f>
        <v/>
      </c>
      <c r="D501" s="7">
        <f>(Table5345679103[[#This Row],[Value]]-B489)/B489</f>
        <v/>
      </c>
    </row>
    <row r="502">
      <c r="A502" s="44" t="n">
        <v>36678</v>
      </c>
      <c r="B502" s="45">
        <f>VLOOKUP(Table5345679103[[#This Row],[Date]],Database!A:E,MATCH($A$1,Database!$A$1:$E$1,),)</f>
        <v/>
      </c>
      <c r="C502" s="9">
        <f>(B502-B501)/B501</f>
        <v/>
      </c>
      <c r="D502" s="7">
        <f>(Table5345679103[[#This Row],[Value]]-B490)/B490</f>
        <v/>
      </c>
    </row>
    <row r="503">
      <c r="A503" s="44" t="n">
        <v>36708</v>
      </c>
      <c r="B503" s="45">
        <f>VLOOKUP(Table5345679103[[#This Row],[Date]],Database!A:E,MATCH($A$1,Database!$A$1:$E$1,),)</f>
        <v/>
      </c>
      <c r="C503" s="9">
        <f>(B503-B502)/B502</f>
        <v/>
      </c>
      <c r="D503" s="7">
        <f>(Table5345679103[[#This Row],[Value]]-B491)/B491</f>
        <v/>
      </c>
    </row>
    <row r="504">
      <c r="A504" s="44" t="n">
        <v>36739</v>
      </c>
      <c r="B504" s="45">
        <f>VLOOKUP(Table5345679103[[#This Row],[Date]],Database!A:E,MATCH($A$1,Database!$A$1:$E$1,),)</f>
        <v/>
      </c>
      <c r="C504" s="9">
        <f>(B504-B503)/B503</f>
        <v/>
      </c>
      <c r="D504" s="7">
        <f>(Table5345679103[[#This Row],[Value]]-B492)/B492</f>
        <v/>
      </c>
    </row>
    <row r="505">
      <c r="A505" s="44" t="n">
        <v>36770</v>
      </c>
      <c r="B505" s="45">
        <f>VLOOKUP(Table5345679103[[#This Row],[Date]],Database!A:E,MATCH($A$1,Database!$A$1:$E$1,),)</f>
        <v/>
      </c>
      <c r="C505" s="9">
        <f>(B505-B504)/B504</f>
        <v/>
      </c>
      <c r="D505" s="7">
        <f>(Table5345679103[[#This Row],[Value]]-B493)/B493</f>
        <v/>
      </c>
    </row>
    <row r="506">
      <c r="A506" s="44" t="n">
        <v>36800</v>
      </c>
      <c r="B506" s="45">
        <f>VLOOKUP(Table5345679103[[#This Row],[Date]],Database!A:E,MATCH($A$1,Database!$A$1:$E$1,),)</f>
        <v/>
      </c>
      <c r="C506" s="9">
        <f>(B506-B505)/B505</f>
        <v/>
      </c>
      <c r="D506" s="7">
        <f>(Table5345679103[[#This Row],[Value]]-B494)/B494</f>
        <v/>
      </c>
    </row>
    <row r="507">
      <c r="A507" s="44" t="n">
        <v>36831</v>
      </c>
      <c r="B507" s="45">
        <f>VLOOKUP(Table5345679103[[#This Row],[Date]],Database!A:E,MATCH($A$1,Database!$A$1:$E$1,),)</f>
        <v/>
      </c>
      <c r="C507" s="9">
        <f>(B507-B506)/B506</f>
        <v/>
      </c>
      <c r="D507" s="7">
        <f>(Table5345679103[[#This Row],[Value]]-B495)/B495</f>
        <v/>
      </c>
    </row>
    <row r="508">
      <c r="A508" s="44" t="n">
        <v>36861</v>
      </c>
      <c r="B508" s="45">
        <f>VLOOKUP(Table5345679103[[#This Row],[Date]],Database!A:E,MATCH($A$1,Database!$A$1:$E$1,),)</f>
        <v/>
      </c>
      <c r="C508" s="9">
        <f>(B508-B507)/B507</f>
        <v/>
      </c>
      <c r="D508" s="7">
        <f>(Table5345679103[[#This Row],[Value]]-B496)/B496</f>
        <v/>
      </c>
    </row>
    <row r="509">
      <c r="A509" s="44" t="n">
        <v>36892</v>
      </c>
      <c r="B509" s="45">
        <f>VLOOKUP(Table5345679103[[#This Row],[Date]],Database!A:E,MATCH($A$1,Database!$A$1:$E$1,),)</f>
        <v/>
      </c>
      <c r="C509" s="9">
        <f>(B509-B508)/B508</f>
        <v/>
      </c>
      <c r="D509" s="7">
        <f>(Table5345679103[[#This Row],[Value]]-B497)/B497</f>
        <v/>
      </c>
    </row>
    <row r="510">
      <c r="A510" s="44" t="n">
        <v>36923</v>
      </c>
      <c r="B510" s="45">
        <f>VLOOKUP(Table5345679103[[#This Row],[Date]],Database!A:E,MATCH($A$1,Database!$A$1:$E$1,),)</f>
        <v/>
      </c>
      <c r="C510" s="9">
        <f>(B510-B509)/B509</f>
        <v/>
      </c>
      <c r="D510" s="7">
        <f>(Table5345679103[[#This Row],[Value]]-B498)/B498</f>
        <v/>
      </c>
    </row>
    <row r="511">
      <c r="A511" s="44" t="n">
        <v>36951</v>
      </c>
      <c r="B511" s="45">
        <f>VLOOKUP(Table5345679103[[#This Row],[Date]],Database!A:E,MATCH($A$1,Database!$A$1:$E$1,),)</f>
        <v/>
      </c>
      <c r="C511" s="9">
        <f>(B511-B510)/B510</f>
        <v/>
      </c>
      <c r="D511" s="7">
        <f>(Table5345679103[[#This Row],[Value]]-B499)/B499</f>
        <v/>
      </c>
    </row>
    <row r="512">
      <c r="A512" s="44" t="n">
        <v>36982</v>
      </c>
      <c r="B512" s="45">
        <f>VLOOKUP(Table5345679103[[#This Row],[Date]],Database!A:E,MATCH($A$1,Database!$A$1:$E$1,),)</f>
        <v/>
      </c>
      <c r="C512" s="9">
        <f>(B512-B511)/B511</f>
        <v/>
      </c>
      <c r="D512" s="7">
        <f>(Table5345679103[[#This Row],[Value]]-B500)/B500</f>
        <v/>
      </c>
    </row>
    <row r="513">
      <c r="A513" s="44" t="n">
        <v>37012</v>
      </c>
      <c r="B513" s="45">
        <f>VLOOKUP(Table5345679103[[#This Row],[Date]],Database!A:E,MATCH($A$1,Database!$A$1:$E$1,),)</f>
        <v/>
      </c>
      <c r="C513" s="9">
        <f>(B513-B512)/B512</f>
        <v/>
      </c>
      <c r="D513" s="7">
        <f>(Table5345679103[[#This Row],[Value]]-B501)/B501</f>
        <v/>
      </c>
    </row>
    <row r="514">
      <c r="A514" s="44" t="n">
        <v>37043</v>
      </c>
      <c r="B514" s="45">
        <f>VLOOKUP(Table5345679103[[#This Row],[Date]],Database!A:E,MATCH($A$1,Database!$A$1:$E$1,),)</f>
        <v/>
      </c>
      <c r="C514" s="9">
        <f>(B514-B513)/B513</f>
        <v/>
      </c>
      <c r="D514" s="7">
        <f>(Table5345679103[[#This Row],[Value]]-B502)/B502</f>
        <v/>
      </c>
    </row>
    <row r="515">
      <c r="A515" s="44" t="n">
        <v>37073</v>
      </c>
      <c r="B515" s="45">
        <f>VLOOKUP(Table5345679103[[#This Row],[Date]],Database!A:E,MATCH($A$1,Database!$A$1:$E$1,),)</f>
        <v/>
      </c>
      <c r="C515" s="9">
        <f>(B515-B514)/B514</f>
        <v/>
      </c>
      <c r="D515" s="7">
        <f>(Table5345679103[[#This Row],[Value]]-B503)/B503</f>
        <v/>
      </c>
    </row>
    <row r="516">
      <c r="A516" s="44" t="n">
        <v>37104</v>
      </c>
      <c r="B516" s="45">
        <f>VLOOKUP(Table5345679103[[#This Row],[Date]],Database!A:E,MATCH($A$1,Database!$A$1:$E$1,),)</f>
        <v/>
      </c>
      <c r="C516" s="9">
        <f>(B516-B515)/B515</f>
        <v/>
      </c>
      <c r="D516" s="7">
        <f>(Table5345679103[[#This Row],[Value]]-B504)/B504</f>
        <v/>
      </c>
    </row>
    <row r="517">
      <c r="A517" s="44" t="n">
        <v>37135</v>
      </c>
      <c r="B517" s="45">
        <f>VLOOKUP(Table5345679103[[#This Row],[Date]],Database!A:E,MATCH($A$1,Database!$A$1:$E$1,),)</f>
        <v/>
      </c>
      <c r="C517" s="9">
        <f>(B517-B516)/B516</f>
        <v/>
      </c>
      <c r="D517" s="7">
        <f>(Table5345679103[[#This Row],[Value]]-B505)/B505</f>
        <v/>
      </c>
    </row>
    <row r="518">
      <c r="A518" s="44" t="n">
        <v>37165</v>
      </c>
      <c r="B518" s="45">
        <f>VLOOKUP(Table5345679103[[#This Row],[Date]],Database!A:E,MATCH($A$1,Database!$A$1:$E$1,),)</f>
        <v/>
      </c>
      <c r="C518" s="9">
        <f>(B518-B517)/B517</f>
        <v/>
      </c>
      <c r="D518" s="7">
        <f>(Table5345679103[[#This Row],[Value]]-B506)/B506</f>
        <v/>
      </c>
    </row>
    <row r="519">
      <c r="A519" s="44" t="n">
        <v>37196</v>
      </c>
      <c r="B519" s="45">
        <f>VLOOKUP(Table5345679103[[#This Row],[Date]],Database!A:E,MATCH($A$1,Database!$A$1:$E$1,),)</f>
        <v/>
      </c>
      <c r="C519" s="9">
        <f>(B519-B518)/B518</f>
        <v/>
      </c>
      <c r="D519" s="7">
        <f>(Table5345679103[[#This Row],[Value]]-B507)/B507</f>
        <v/>
      </c>
    </row>
    <row r="520">
      <c r="A520" s="44" t="n">
        <v>37226</v>
      </c>
      <c r="B520" s="45">
        <f>VLOOKUP(Table5345679103[[#This Row],[Date]],Database!A:E,MATCH($A$1,Database!$A$1:$E$1,),)</f>
        <v/>
      </c>
      <c r="C520" s="9">
        <f>(B520-B519)/B519</f>
        <v/>
      </c>
      <c r="D520" s="7">
        <f>(Table5345679103[[#This Row],[Value]]-B508)/B508</f>
        <v/>
      </c>
    </row>
    <row r="521">
      <c r="A521" s="44" t="n">
        <v>37257</v>
      </c>
      <c r="B521" s="45">
        <f>VLOOKUP(Table5345679103[[#This Row],[Date]],Database!A:E,MATCH($A$1,Database!$A$1:$E$1,),)</f>
        <v/>
      </c>
      <c r="C521" s="9">
        <f>(B521-B520)/B520</f>
        <v/>
      </c>
      <c r="D521" s="7">
        <f>(Table5345679103[[#This Row],[Value]]-B509)/B509</f>
        <v/>
      </c>
    </row>
    <row r="522">
      <c r="A522" s="44" t="n">
        <v>37288</v>
      </c>
      <c r="B522" s="45">
        <f>VLOOKUP(Table5345679103[[#This Row],[Date]],Database!A:E,MATCH($A$1,Database!$A$1:$E$1,),)</f>
        <v/>
      </c>
      <c r="C522" s="9">
        <f>(B522-B521)/B521</f>
        <v/>
      </c>
      <c r="D522" s="7">
        <f>(Table5345679103[[#This Row],[Value]]-B510)/B510</f>
        <v/>
      </c>
    </row>
    <row r="523">
      <c r="A523" s="44" t="n">
        <v>37316</v>
      </c>
      <c r="B523" s="45">
        <f>VLOOKUP(Table5345679103[[#This Row],[Date]],Database!A:E,MATCH($A$1,Database!$A$1:$E$1,),)</f>
        <v/>
      </c>
      <c r="C523" s="9">
        <f>(B523-B522)/B522</f>
        <v/>
      </c>
      <c r="D523" s="7">
        <f>(Table5345679103[[#This Row],[Value]]-B511)/B511</f>
        <v/>
      </c>
    </row>
    <row r="524">
      <c r="A524" s="44" t="n">
        <v>37347</v>
      </c>
      <c r="B524" s="45">
        <f>VLOOKUP(Table5345679103[[#This Row],[Date]],Database!A:E,MATCH($A$1,Database!$A$1:$E$1,),)</f>
        <v/>
      </c>
      <c r="C524" s="9">
        <f>(B524-B523)/B523</f>
        <v/>
      </c>
      <c r="D524" s="7">
        <f>(Table5345679103[[#This Row],[Value]]-B512)/B512</f>
        <v/>
      </c>
    </row>
    <row r="525">
      <c r="A525" s="44" t="n">
        <v>37377</v>
      </c>
      <c r="B525" s="45">
        <f>VLOOKUP(Table5345679103[[#This Row],[Date]],Database!A:E,MATCH($A$1,Database!$A$1:$E$1,),)</f>
        <v/>
      </c>
      <c r="C525" s="9">
        <f>(B525-B524)/B524</f>
        <v/>
      </c>
      <c r="D525" s="7">
        <f>(Table5345679103[[#This Row],[Value]]-B513)/B513</f>
        <v/>
      </c>
    </row>
    <row r="526">
      <c r="A526" s="44" t="n">
        <v>37408</v>
      </c>
      <c r="B526" s="45">
        <f>VLOOKUP(Table5345679103[[#This Row],[Date]],Database!A:E,MATCH($A$1,Database!$A$1:$E$1,),)</f>
        <v/>
      </c>
      <c r="C526" s="9">
        <f>(B526-B525)/B525</f>
        <v/>
      </c>
      <c r="D526" s="7">
        <f>(Table5345679103[[#This Row],[Value]]-B514)/B514</f>
        <v/>
      </c>
    </row>
    <row r="527">
      <c r="A527" s="44" t="n">
        <v>37438</v>
      </c>
      <c r="B527" s="45">
        <f>VLOOKUP(Table5345679103[[#This Row],[Date]],Database!A:E,MATCH($A$1,Database!$A$1:$E$1,),)</f>
        <v/>
      </c>
      <c r="C527" s="9">
        <f>(B527-B526)/B526</f>
        <v/>
      </c>
      <c r="D527" s="7">
        <f>(Table5345679103[[#This Row],[Value]]-B515)/B515</f>
        <v/>
      </c>
    </row>
    <row r="528">
      <c r="A528" s="44" t="n">
        <v>37469</v>
      </c>
      <c r="B528" s="45">
        <f>VLOOKUP(Table5345679103[[#This Row],[Date]],Database!A:E,MATCH($A$1,Database!$A$1:$E$1,),)</f>
        <v/>
      </c>
      <c r="C528" s="9">
        <f>(B528-B527)/B527</f>
        <v/>
      </c>
      <c r="D528" s="7">
        <f>(Table5345679103[[#This Row],[Value]]-B516)/B516</f>
        <v/>
      </c>
    </row>
    <row r="529">
      <c r="A529" s="44" t="n">
        <v>37500</v>
      </c>
      <c r="B529" s="45">
        <f>VLOOKUP(Table5345679103[[#This Row],[Date]],Database!A:E,MATCH($A$1,Database!$A$1:$E$1,),)</f>
        <v/>
      </c>
      <c r="C529" s="9">
        <f>(B529-B528)/B528</f>
        <v/>
      </c>
      <c r="D529" s="7">
        <f>(Table5345679103[[#This Row],[Value]]-B517)/B517</f>
        <v/>
      </c>
    </row>
    <row r="530">
      <c r="A530" s="44" t="n">
        <v>37530</v>
      </c>
      <c r="B530" s="45">
        <f>VLOOKUP(Table5345679103[[#This Row],[Date]],Database!A:E,MATCH($A$1,Database!$A$1:$E$1,),)</f>
        <v/>
      </c>
      <c r="C530" s="9">
        <f>(B530-B529)/B529</f>
        <v/>
      </c>
      <c r="D530" s="7">
        <f>(Table5345679103[[#This Row],[Value]]-B518)/B518</f>
        <v/>
      </c>
    </row>
    <row r="531">
      <c r="A531" s="44" t="n">
        <v>37561</v>
      </c>
      <c r="B531" s="45">
        <f>VLOOKUP(Table5345679103[[#This Row],[Date]],Database!A:E,MATCH($A$1,Database!$A$1:$E$1,),)</f>
        <v/>
      </c>
      <c r="C531" s="9">
        <f>(B531-B530)/B530</f>
        <v/>
      </c>
      <c r="D531" s="7">
        <f>(Table5345679103[[#This Row],[Value]]-B519)/B519</f>
        <v/>
      </c>
    </row>
    <row r="532">
      <c r="A532" s="44" t="n">
        <v>37591</v>
      </c>
      <c r="B532" s="45">
        <f>VLOOKUP(Table5345679103[[#This Row],[Date]],Database!A:E,MATCH($A$1,Database!$A$1:$E$1,),)</f>
        <v/>
      </c>
      <c r="C532" s="9">
        <f>(B532-B531)/B531</f>
        <v/>
      </c>
      <c r="D532" s="7">
        <f>(Table5345679103[[#This Row],[Value]]-B520)/B520</f>
        <v/>
      </c>
    </row>
    <row r="533">
      <c r="A533" s="44" t="n">
        <v>37622</v>
      </c>
      <c r="B533" s="45">
        <f>VLOOKUP(Table5345679103[[#This Row],[Date]],Database!A:E,MATCH($A$1,Database!$A$1:$E$1,),)</f>
        <v/>
      </c>
      <c r="C533" s="9">
        <f>(B533-B532)/B532</f>
        <v/>
      </c>
      <c r="D533" s="7">
        <f>(Table5345679103[[#This Row],[Value]]-B521)/B521</f>
        <v/>
      </c>
    </row>
    <row r="534">
      <c r="A534" s="44" t="n">
        <v>37653</v>
      </c>
      <c r="B534" s="45">
        <f>VLOOKUP(Table5345679103[[#This Row],[Date]],Database!A:E,MATCH($A$1,Database!$A$1:$E$1,),)</f>
        <v/>
      </c>
      <c r="C534" s="9">
        <f>(B534-B533)/B533</f>
        <v/>
      </c>
      <c r="D534" s="7">
        <f>(Table5345679103[[#This Row],[Value]]-B522)/B522</f>
        <v/>
      </c>
    </row>
    <row r="535">
      <c r="A535" s="44" t="n">
        <v>37681</v>
      </c>
      <c r="B535" s="45">
        <f>VLOOKUP(Table5345679103[[#This Row],[Date]],Database!A:E,MATCH($A$1,Database!$A$1:$E$1,),)</f>
        <v/>
      </c>
      <c r="C535" s="9">
        <f>(B535-B534)/B534</f>
        <v/>
      </c>
      <c r="D535" s="7">
        <f>(Table5345679103[[#This Row],[Value]]-B523)/B523</f>
        <v/>
      </c>
    </row>
    <row r="536">
      <c r="A536" s="44" t="n">
        <v>37712</v>
      </c>
      <c r="B536" s="45">
        <f>VLOOKUP(Table5345679103[[#This Row],[Date]],Database!A:E,MATCH($A$1,Database!$A$1:$E$1,),)</f>
        <v/>
      </c>
      <c r="C536" s="9">
        <f>(B536-B535)/B535</f>
        <v/>
      </c>
      <c r="D536" s="7">
        <f>(Table5345679103[[#This Row],[Value]]-B524)/B524</f>
        <v/>
      </c>
    </row>
    <row r="537">
      <c r="A537" s="44" t="n">
        <v>37742</v>
      </c>
      <c r="B537" s="45">
        <f>VLOOKUP(Table5345679103[[#This Row],[Date]],Database!A:E,MATCH($A$1,Database!$A$1:$E$1,),)</f>
        <v/>
      </c>
      <c r="C537" s="9">
        <f>(B537-B536)/B536</f>
        <v/>
      </c>
      <c r="D537" s="7">
        <f>(Table5345679103[[#This Row],[Value]]-B525)/B525</f>
        <v/>
      </c>
    </row>
    <row r="538">
      <c r="A538" s="44" t="n">
        <v>37773</v>
      </c>
      <c r="B538" s="45">
        <f>VLOOKUP(Table5345679103[[#This Row],[Date]],Database!A:E,MATCH($A$1,Database!$A$1:$E$1,),)</f>
        <v/>
      </c>
      <c r="C538" s="9">
        <f>(B538-B537)/B537</f>
        <v/>
      </c>
      <c r="D538" s="7">
        <f>(Table5345679103[[#This Row],[Value]]-B526)/B526</f>
        <v/>
      </c>
    </row>
    <row r="539">
      <c r="A539" s="44" t="n">
        <v>37803</v>
      </c>
      <c r="B539" s="45">
        <f>VLOOKUP(Table5345679103[[#This Row],[Date]],Database!A:E,MATCH($A$1,Database!$A$1:$E$1,),)</f>
        <v/>
      </c>
      <c r="C539" s="9">
        <f>(B539-B538)/B538</f>
        <v/>
      </c>
      <c r="D539" s="7">
        <f>(Table5345679103[[#This Row],[Value]]-B527)/B527</f>
        <v/>
      </c>
    </row>
    <row r="540">
      <c r="A540" s="44" t="n">
        <v>37834</v>
      </c>
      <c r="B540" s="45">
        <f>VLOOKUP(Table5345679103[[#This Row],[Date]],Database!A:E,MATCH($A$1,Database!$A$1:$E$1,),)</f>
        <v/>
      </c>
      <c r="C540" s="9">
        <f>(B540-B539)/B539</f>
        <v/>
      </c>
      <c r="D540" s="7">
        <f>(Table5345679103[[#This Row],[Value]]-B528)/B528</f>
        <v/>
      </c>
    </row>
    <row r="541">
      <c r="A541" s="44" t="n">
        <v>37865</v>
      </c>
      <c r="B541" s="45">
        <f>VLOOKUP(Table5345679103[[#This Row],[Date]],Database!A:E,MATCH($A$1,Database!$A$1:$E$1,),)</f>
        <v/>
      </c>
      <c r="C541" s="9">
        <f>(B541-B540)/B540</f>
        <v/>
      </c>
      <c r="D541" s="7">
        <f>(Table5345679103[[#This Row],[Value]]-B529)/B529</f>
        <v/>
      </c>
    </row>
    <row r="542">
      <c r="A542" s="44" t="n">
        <v>37895</v>
      </c>
      <c r="B542" s="45">
        <f>VLOOKUP(Table5345679103[[#This Row],[Date]],Database!A:E,MATCH($A$1,Database!$A$1:$E$1,),)</f>
        <v/>
      </c>
      <c r="C542" s="9">
        <f>(B542-B541)/B541</f>
        <v/>
      </c>
      <c r="D542" s="7">
        <f>(Table5345679103[[#This Row],[Value]]-B530)/B530</f>
        <v/>
      </c>
    </row>
    <row r="543">
      <c r="A543" s="44" t="n">
        <v>37926</v>
      </c>
      <c r="B543" s="45">
        <f>VLOOKUP(Table5345679103[[#This Row],[Date]],Database!A:E,MATCH($A$1,Database!$A$1:$E$1,),)</f>
        <v/>
      </c>
      <c r="C543" s="9">
        <f>(B543-B542)/B542</f>
        <v/>
      </c>
      <c r="D543" s="7">
        <f>(Table5345679103[[#This Row],[Value]]-B531)/B531</f>
        <v/>
      </c>
    </row>
    <row r="544">
      <c r="A544" s="44" t="n">
        <v>37956</v>
      </c>
      <c r="B544" s="45">
        <f>VLOOKUP(Table5345679103[[#This Row],[Date]],Database!A:E,MATCH($A$1,Database!$A$1:$E$1,),)</f>
        <v/>
      </c>
      <c r="C544" s="9">
        <f>(B544-B543)/B543</f>
        <v/>
      </c>
      <c r="D544" s="7">
        <f>(Table5345679103[[#This Row],[Value]]-B532)/B532</f>
        <v/>
      </c>
    </row>
    <row r="545">
      <c r="A545" s="44" t="n">
        <v>37987</v>
      </c>
      <c r="B545" s="45">
        <f>VLOOKUP(Table5345679103[[#This Row],[Date]],Database!A:E,MATCH($A$1,Database!$A$1:$E$1,),)</f>
        <v/>
      </c>
      <c r="C545" s="9">
        <f>(B545-B544)/B544</f>
        <v/>
      </c>
      <c r="D545" s="7">
        <f>(Table5345679103[[#This Row],[Value]]-B533)/B533</f>
        <v/>
      </c>
    </row>
    <row r="546">
      <c r="A546" s="44" t="n">
        <v>38018</v>
      </c>
      <c r="B546" s="45">
        <f>VLOOKUP(Table5345679103[[#This Row],[Date]],Database!A:E,MATCH($A$1,Database!$A$1:$E$1,),)</f>
        <v/>
      </c>
      <c r="C546" s="9">
        <f>(B546-B545)/B545</f>
        <v/>
      </c>
      <c r="D546" s="7">
        <f>(Table5345679103[[#This Row],[Value]]-B534)/B534</f>
        <v/>
      </c>
    </row>
    <row r="547">
      <c r="A547" s="44" t="n">
        <v>38047</v>
      </c>
      <c r="B547" s="45">
        <f>VLOOKUP(Table5345679103[[#This Row],[Date]],Database!A:E,MATCH($A$1,Database!$A$1:$E$1,),)</f>
        <v/>
      </c>
      <c r="C547" s="9">
        <f>(B547-B546)/B546</f>
        <v/>
      </c>
      <c r="D547" s="7">
        <f>(Table5345679103[[#This Row],[Value]]-B535)/B535</f>
        <v/>
      </c>
    </row>
    <row r="548">
      <c r="A548" s="44" t="n">
        <v>38078</v>
      </c>
      <c r="B548" s="45">
        <f>VLOOKUP(Table5345679103[[#This Row],[Date]],Database!A:E,MATCH($A$1,Database!$A$1:$E$1,),)</f>
        <v/>
      </c>
      <c r="C548" s="9">
        <f>(B548-B547)/B547</f>
        <v/>
      </c>
      <c r="D548" s="7">
        <f>(Table5345679103[[#This Row],[Value]]-B536)/B536</f>
        <v/>
      </c>
    </row>
    <row r="549">
      <c r="A549" s="44" t="n">
        <v>38108</v>
      </c>
      <c r="B549" s="45">
        <f>VLOOKUP(Table5345679103[[#This Row],[Date]],Database!A:E,MATCH($A$1,Database!$A$1:$E$1,),)</f>
        <v/>
      </c>
      <c r="C549" s="9">
        <f>(B549-B548)/B548</f>
        <v/>
      </c>
      <c r="D549" s="7">
        <f>(Table5345679103[[#This Row],[Value]]-B537)/B537</f>
        <v/>
      </c>
    </row>
    <row r="550">
      <c r="A550" s="44" t="n">
        <v>38139</v>
      </c>
      <c r="B550" s="45">
        <f>VLOOKUP(Table5345679103[[#This Row],[Date]],Database!A:E,MATCH($A$1,Database!$A$1:$E$1,),)</f>
        <v/>
      </c>
      <c r="C550" s="9">
        <f>(B550-B549)/B549</f>
        <v/>
      </c>
      <c r="D550" s="7">
        <f>(Table5345679103[[#This Row],[Value]]-B538)/B538</f>
        <v/>
      </c>
    </row>
    <row r="551">
      <c r="A551" s="44" t="n">
        <v>38169</v>
      </c>
      <c r="B551" s="45">
        <f>VLOOKUP(Table5345679103[[#This Row],[Date]],Database!A:E,MATCH($A$1,Database!$A$1:$E$1,),)</f>
        <v/>
      </c>
      <c r="C551" s="9">
        <f>(B551-B550)/B550</f>
        <v/>
      </c>
      <c r="D551" s="7">
        <f>(Table5345679103[[#This Row],[Value]]-B539)/B539</f>
        <v/>
      </c>
    </row>
    <row r="552">
      <c r="A552" s="44" t="n">
        <v>38200</v>
      </c>
      <c r="B552" s="45">
        <f>VLOOKUP(Table5345679103[[#This Row],[Date]],Database!A:E,MATCH($A$1,Database!$A$1:$E$1,),)</f>
        <v/>
      </c>
      <c r="C552" s="9">
        <f>(B552-B551)/B551</f>
        <v/>
      </c>
      <c r="D552" s="7">
        <f>(Table5345679103[[#This Row],[Value]]-B540)/B540</f>
        <v/>
      </c>
    </row>
    <row r="553">
      <c r="A553" s="44" t="n">
        <v>38231</v>
      </c>
      <c r="B553" s="45">
        <f>VLOOKUP(Table5345679103[[#This Row],[Date]],Database!A:E,MATCH($A$1,Database!$A$1:$E$1,),)</f>
        <v/>
      </c>
      <c r="C553" s="9">
        <f>(B553-B552)/B552</f>
        <v/>
      </c>
      <c r="D553" s="7">
        <f>(Table5345679103[[#This Row],[Value]]-B541)/B541</f>
        <v/>
      </c>
    </row>
    <row r="554">
      <c r="A554" s="44" t="n">
        <v>38261</v>
      </c>
      <c r="B554" s="45">
        <f>VLOOKUP(Table5345679103[[#This Row],[Date]],Database!A:E,MATCH($A$1,Database!$A$1:$E$1,),)</f>
        <v/>
      </c>
      <c r="C554" s="9">
        <f>(B554-B553)/B553</f>
        <v/>
      </c>
      <c r="D554" s="7">
        <f>(Table5345679103[[#This Row],[Value]]-B542)/B542</f>
        <v/>
      </c>
    </row>
    <row r="555">
      <c r="A555" s="44" t="n">
        <v>38292</v>
      </c>
      <c r="B555" s="45">
        <f>VLOOKUP(Table5345679103[[#This Row],[Date]],Database!A:E,MATCH($A$1,Database!$A$1:$E$1,),)</f>
        <v/>
      </c>
      <c r="C555" s="9">
        <f>(B555-B554)/B554</f>
        <v/>
      </c>
      <c r="D555" s="7">
        <f>(Table5345679103[[#This Row],[Value]]-B543)/B543</f>
        <v/>
      </c>
    </row>
    <row r="556">
      <c r="A556" s="44" t="n">
        <v>38322</v>
      </c>
      <c r="B556" s="45">
        <f>VLOOKUP(Table5345679103[[#This Row],[Date]],Database!A:E,MATCH($A$1,Database!$A$1:$E$1,),)</f>
        <v/>
      </c>
      <c r="C556" s="9">
        <f>(B556-B555)/B555</f>
        <v/>
      </c>
      <c r="D556" s="7">
        <f>(Table5345679103[[#This Row],[Value]]-B544)/B544</f>
        <v/>
      </c>
    </row>
    <row r="557">
      <c r="A557" s="44" t="n">
        <v>38353</v>
      </c>
      <c r="B557" s="45">
        <f>VLOOKUP(Table5345679103[[#This Row],[Date]],Database!A:E,MATCH($A$1,Database!$A$1:$E$1,),)</f>
        <v/>
      </c>
      <c r="C557" s="9">
        <f>(B557-B556)/B556</f>
        <v/>
      </c>
      <c r="D557" s="7">
        <f>(Table5345679103[[#This Row],[Value]]-B545)/B545</f>
        <v/>
      </c>
    </row>
    <row r="558">
      <c r="A558" s="44" t="n">
        <v>38384</v>
      </c>
      <c r="B558" s="45">
        <f>VLOOKUP(Table5345679103[[#This Row],[Date]],Database!A:E,MATCH($A$1,Database!$A$1:$E$1,),)</f>
        <v/>
      </c>
      <c r="C558" s="9">
        <f>(B558-B557)/B557</f>
        <v/>
      </c>
      <c r="D558" s="7">
        <f>(Table5345679103[[#This Row],[Value]]-B546)/B546</f>
        <v/>
      </c>
    </row>
    <row r="559">
      <c r="A559" s="44" t="n">
        <v>38412</v>
      </c>
      <c r="B559" s="45">
        <f>VLOOKUP(Table5345679103[[#This Row],[Date]],Database!A:E,MATCH($A$1,Database!$A$1:$E$1,),)</f>
        <v/>
      </c>
      <c r="C559" s="9">
        <f>(B559-B558)/B558</f>
        <v/>
      </c>
      <c r="D559" s="7">
        <f>(Table5345679103[[#This Row],[Value]]-B547)/B547</f>
        <v/>
      </c>
    </row>
    <row r="560">
      <c r="A560" s="44" t="n">
        <v>38443</v>
      </c>
      <c r="B560" s="45">
        <f>VLOOKUP(Table5345679103[[#This Row],[Date]],Database!A:E,MATCH($A$1,Database!$A$1:$E$1,),)</f>
        <v/>
      </c>
      <c r="C560" s="9">
        <f>(B560-B559)/B559</f>
        <v/>
      </c>
      <c r="D560" s="7">
        <f>(Table5345679103[[#This Row],[Value]]-B548)/B548</f>
        <v/>
      </c>
    </row>
    <row r="561">
      <c r="A561" s="44" t="n">
        <v>38473</v>
      </c>
      <c r="B561" s="45">
        <f>VLOOKUP(Table5345679103[[#This Row],[Date]],Database!A:E,MATCH($A$1,Database!$A$1:$E$1,),)</f>
        <v/>
      </c>
      <c r="C561" s="9">
        <f>(B561-B560)/B560</f>
        <v/>
      </c>
      <c r="D561" s="7">
        <f>(Table5345679103[[#This Row],[Value]]-B549)/B549</f>
        <v/>
      </c>
    </row>
    <row r="562">
      <c r="A562" s="44" t="n">
        <v>38504</v>
      </c>
      <c r="B562" s="45">
        <f>VLOOKUP(Table5345679103[[#This Row],[Date]],Database!A:E,MATCH($A$1,Database!$A$1:$E$1,),)</f>
        <v/>
      </c>
      <c r="C562" s="9">
        <f>(B562-B561)/B561</f>
        <v/>
      </c>
      <c r="D562" s="7">
        <f>(Table5345679103[[#This Row],[Value]]-B550)/B550</f>
        <v/>
      </c>
    </row>
    <row r="563">
      <c r="A563" s="44" t="n">
        <v>38534</v>
      </c>
      <c r="B563" s="45">
        <f>VLOOKUP(Table5345679103[[#This Row],[Date]],Database!A:E,MATCH($A$1,Database!$A$1:$E$1,),)</f>
        <v/>
      </c>
      <c r="C563" s="9">
        <f>(B563-B562)/B562</f>
        <v/>
      </c>
      <c r="D563" s="7">
        <f>(Table5345679103[[#This Row],[Value]]-B551)/B551</f>
        <v/>
      </c>
    </row>
    <row r="564">
      <c r="A564" s="44" t="n">
        <v>38565</v>
      </c>
      <c r="B564" s="45">
        <f>VLOOKUP(Table5345679103[[#This Row],[Date]],Database!A:E,MATCH($A$1,Database!$A$1:$E$1,),)</f>
        <v/>
      </c>
      <c r="C564" s="9">
        <f>(B564-B563)/B563</f>
        <v/>
      </c>
      <c r="D564" s="7">
        <f>(Table5345679103[[#This Row],[Value]]-B552)/B552</f>
        <v/>
      </c>
    </row>
    <row r="565">
      <c r="A565" s="44" t="n">
        <v>38596</v>
      </c>
      <c r="B565" s="45">
        <f>VLOOKUP(Table5345679103[[#This Row],[Date]],Database!A:E,MATCH($A$1,Database!$A$1:$E$1,),)</f>
        <v/>
      </c>
      <c r="C565" s="9">
        <f>(B565-B564)/B564</f>
        <v/>
      </c>
      <c r="D565" s="7">
        <f>(Table5345679103[[#This Row],[Value]]-B553)/B553</f>
        <v/>
      </c>
    </row>
    <row r="566">
      <c r="A566" s="44" t="n">
        <v>38626</v>
      </c>
      <c r="B566" s="45">
        <f>VLOOKUP(Table5345679103[[#This Row],[Date]],Database!A:E,MATCH($A$1,Database!$A$1:$E$1,),)</f>
        <v/>
      </c>
      <c r="C566" s="9">
        <f>(B566-B565)/B565</f>
        <v/>
      </c>
      <c r="D566" s="7">
        <f>(Table5345679103[[#This Row],[Value]]-B554)/B554</f>
        <v/>
      </c>
    </row>
    <row r="567">
      <c r="A567" s="44" t="n">
        <v>38657</v>
      </c>
      <c r="B567" s="45">
        <f>VLOOKUP(Table5345679103[[#This Row],[Date]],Database!A:E,MATCH($A$1,Database!$A$1:$E$1,),)</f>
        <v/>
      </c>
      <c r="C567" s="9">
        <f>(B567-B566)/B566</f>
        <v/>
      </c>
      <c r="D567" s="7">
        <f>(Table5345679103[[#This Row],[Value]]-B555)/B555</f>
        <v/>
      </c>
    </row>
    <row r="568">
      <c r="A568" s="44" t="n">
        <v>38687</v>
      </c>
      <c r="B568" s="45">
        <f>VLOOKUP(Table5345679103[[#This Row],[Date]],Database!A:E,MATCH($A$1,Database!$A$1:$E$1,),)</f>
        <v/>
      </c>
      <c r="C568" s="9">
        <f>(B568-B567)/B567</f>
        <v/>
      </c>
      <c r="D568" s="7">
        <f>(Table5345679103[[#This Row],[Value]]-B556)/B556</f>
        <v/>
      </c>
    </row>
    <row r="569">
      <c r="A569" s="44" t="n">
        <v>38718</v>
      </c>
      <c r="B569" s="45">
        <f>VLOOKUP(Table5345679103[[#This Row],[Date]],Database!A:E,MATCH($A$1,Database!$A$1:$E$1,),)</f>
        <v/>
      </c>
      <c r="C569" s="9">
        <f>(B569-B568)/B568</f>
        <v/>
      </c>
      <c r="D569" s="7">
        <f>(Table5345679103[[#This Row],[Value]]-B557)/B557</f>
        <v/>
      </c>
    </row>
    <row r="570">
      <c r="A570" s="44" t="n">
        <v>38749</v>
      </c>
      <c r="B570" s="45">
        <f>VLOOKUP(Table5345679103[[#This Row],[Date]],Database!A:E,MATCH($A$1,Database!$A$1:$E$1,),)</f>
        <v/>
      </c>
      <c r="C570" s="9">
        <f>(B570-B569)/B569</f>
        <v/>
      </c>
      <c r="D570" s="7">
        <f>(Table5345679103[[#This Row],[Value]]-B558)/B558</f>
        <v/>
      </c>
    </row>
    <row r="571">
      <c r="A571" s="44" t="n">
        <v>38777</v>
      </c>
      <c r="B571" s="45">
        <f>VLOOKUP(Table5345679103[[#This Row],[Date]],Database!A:E,MATCH($A$1,Database!$A$1:$E$1,),)</f>
        <v/>
      </c>
      <c r="C571" s="9">
        <f>(B571-B570)/B570</f>
        <v/>
      </c>
      <c r="D571" s="7">
        <f>(Table5345679103[[#This Row],[Value]]-B559)/B559</f>
        <v/>
      </c>
    </row>
    <row r="572">
      <c r="A572" s="44" t="n">
        <v>38808</v>
      </c>
      <c r="B572" s="45">
        <f>VLOOKUP(Table5345679103[[#This Row],[Date]],Database!A:E,MATCH($A$1,Database!$A$1:$E$1,),)</f>
        <v/>
      </c>
      <c r="C572" s="9">
        <f>(B572-B571)/B571</f>
        <v/>
      </c>
      <c r="D572" s="7">
        <f>(Table5345679103[[#This Row],[Value]]-B560)/B560</f>
        <v/>
      </c>
    </row>
    <row r="573">
      <c r="A573" s="44" t="n">
        <v>38838</v>
      </c>
      <c r="B573" s="45">
        <f>VLOOKUP(Table5345679103[[#This Row],[Date]],Database!A:E,MATCH($A$1,Database!$A$1:$E$1,),)</f>
        <v/>
      </c>
      <c r="C573" s="9">
        <f>(B573-B572)/B572</f>
        <v/>
      </c>
      <c r="D573" s="7">
        <f>(Table5345679103[[#This Row],[Value]]-B561)/B561</f>
        <v/>
      </c>
    </row>
    <row r="574">
      <c r="A574" s="44" t="n">
        <v>38869</v>
      </c>
      <c r="B574" s="45">
        <f>VLOOKUP(Table5345679103[[#This Row],[Date]],Database!A:E,MATCH($A$1,Database!$A$1:$E$1,),)</f>
        <v/>
      </c>
      <c r="C574" s="9">
        <f>(B574-B573)/B573</f>
        <v/>
      </c>
      <c r="D574" s="7">
        <f>(Table5345679103[[#This Row],[Value]]-B562)/B562</f>
        <v/>
      </c>
    </row>
    <row r="575">
      <c r="A575" s="44" t="n">
        <v>38899</v>
      </c>
      <c r="B575" s="45">
        <f>VLOOKUP(Table5345679103[[#This Row],[Date]],Database!A:E,MATCH($A$1,Database!$A$1:$E$1,),)</f>
        <v/>
      </c>
      <c r="C575" s="9">
        <f>(B575-B574)/B574</f>
        <v/>
      </c>
      <c r="D575" s="7">
        <f>(Table5345679103[[#This Row],[Value]]-B563)/B563</f>
        <v/>
      </c>
    </row>
    <row r="576">
      <c r="A576" s="44" t="n">
        <v>38930</v>
      </c>
      <c r="B576" s="45">
        <f>VLOOKUP(Table5345679103[[#This Row],[Date]],Database!A:E,MATCH($A$1,Database!$A$1:$E$1,),)</f>
        <v/>
      </c>
      <c r="C576" s="9">
        <f>(B576-B575)/B575</f>
        <v/>
      </c>
      <c r="D576" s="7">
        <f>(Table5345679103[[#This Row],[Value]]-B564)/B564</f>
        <v/>
      </c>
    </row>
    <row r="577">
      <c r="A577" s="44" t="n">
        <v>38961</v>
      </c>
      <c r="B577" s="45">
        <f>VLOOKUP(Table5345679103[[#This Row],[Date]],Database!A:E,MATCH($A$1,Database!$A$1:$E$1,),)</f>
        <v/>
      </c>
      <c r="C577" s="9">
        <f>(B577-B576)/B576</f>
        <v/>
      </c>
      <c r="D577" s="7">
        <f>(Table5345679103[[#This Row],[Value]]-B565)/B565</f>
        <v/>
      </c>
    </row>
    <row r="578">
      <c r="A578" s="44" t="n">
        <v>38991</v>
      </c>
      <c r="B578" s="45">
        <f>VLOOKUP(Table5345679103[[#This Row],[Date]],Database!A:E,MATCH($A$1,Database!$A$1:$E$1,),)</f>
        <v/>
      </c>
      <c r="C578" s="9">
        <f>(B578-B577)/B577</f>
        <v/>
      </c>
      <c r="D578" s="7">
        <f>(Table5345679103[[#This Row],[Value]]-B566)/B566</f>
        <v/>
      </c>
    </row>
    <row r="579">
      <c r="A579" s="44" t="n">
        <v>39022</v>
      </c>
      <c r="B579" s="45">
        <f>VLOOKUP(Table5345679103[[#This Row],[Date]],Database!A:E,MATCH($A$1,Database!$A$1:$E$1,),)</f>
        <v/>
      </c>
      <c r="C579" s="9">
        <f>(B579-B578)/B578</f>
        <v/>
      </c>
      <c r="D579" s="7">
        <f>(Table5345679103[[#This Row],[Value]]-B567)/B567</f>
        <v/>
      </c>
    </row>
    <row r="580">
      <c r="A580" s="44" t="n">
        <v>39052</v>
      </c>
      <c r="B580" s="45">
        <f>VLOOKUP(Table5345679103[[#This Row],[Date]],Database!A:E,MATCH($A$1,Database!$A$1:$E$1,),)</f>
        <v/>
      </c>
      <c r="C580" s="9">
        <f>(B580-B579)/B579</f>
        <v/>
      </c>
      <c r="D580" s="7">
        <f>(Table5345679103[[#This Row],[Value]]-B568)/B568</f>
        <v/>
      </c>
    </row>
    <row r="581">
      <c r="A581" s="44" t="n">
        <v>39083</v>
      </c>
      <c r="B581" s="45">
        <f>VLOOKUP(Table5345679103[[#This Row],[Date]],Database!A:E,MATCH($A$1,Database!$A$1:$E$1,),)</f>
        <v/>
      </c>
      <c r="C581" s="9">
        <f>(B581-B580)/B580</f>
        <v/>
      </c>
      <c r="D581" s="7">
        <f>(Table5345679103[[#This Row],[Value]]-B569)/B569</f>
        <v/>
      </c>
    </row>
    <row r="582">
      <c r="A582" s="44" t="n">
        <v>39114</v>
      </c>
      <c r="B582" s="45">
        <f>VLOOKUP(Table5345679103[[#This Row],[Date]],Database!A:E,MATCH($A$1,Database!$A$1:$E$1,),)</f>
        <v/>
      </c>
      <c r="C582" s="9">
        <f>(B582-B581)/B581</f>
        <v/>
      </c>
      <c r="D582" s="7">
        <f>(Table5345679103[[#This Row],[Value]]-B570)/B570</f>
        <v/>
      </c>
    </row>
    <row r="583">
      <c r="A583" s="44" t="n">
        <v>39142</v>
      </c>
      <c r="B583" s="45">
        <f>VLOOKUP(Table5345679103[[#This Row],[Date]],Database!A:E,MATCH($A$1,Database!$A$1:$E$1,),)</f>
        <v/>
      </c>
      <c r="C583" s="9">
        <f>(B583-B582)/B582</f>
        <v/>
      </c>
      <c r="D583" s="7">
        <f>(Table5345679103[[#This Row],[Value]]-B571)/B571</f>
        <v/>
      </c>
    </row>
    <row r="584">
      <c r="A584" s="44" t="n">
        <v>39173</v>
      </c>
      <c r="B584" s="45">
        <f>VLOOKUP(Table5345679103[[#This Row],[Date]],Database!A:E,MATCH($A$1,Database!$A$1:$E$1,),)</f>
        <v/>
      </c>
      <c r="C584" s="9">
        <f>(B584-B583)/B583</f>
        <v/>
      </c>
      <c r="D584" s="7">
        <f>(Table5345679103[[#This Row],[Value]]-B572)/B572</f>
        <v/>
      </c>
    </row>
    <row r="585">
      <c r="A585" s="44" t="n">
        <v>39203</v>
      </c>
      <c r="B585" s="45">
        <f>VLOOKUP(Table5345679103[[#This Row],[Date]],Database!A:E,MATCH($A$1,Database!$A$1:$E$1,),)</f>
        <v/>
      </c>
      <c r="C585" s="9">
        <f>(B585-B584)/B584</f>
        <v/>
      </c>
      <c r="D585" s="7">
        <f>(Table5345679103[[#This Row],[Value]]-B573)/B573</f>
        <v/>
      </c>
    </row>
    <row r="586">
      <c r="A586" s="44" t="n">
        <v>39234</v>
      </c>
      <c r="B586" s="45">
        <f>VLOOKUP(Table5345679103[[#This Row],[Date]],Database!A:E,MATCH($A$1,Database!$A$1:$E$1,),)</f>
        <v/>
      </c>
      <c r="C586" s="9">
        <f>(B586-B585)/B585</f>
        <v/>
      </c>
      <c r="D586" s="7">
        <f>(Table5345679103[[#This Row],[Value]]-B574)/B574</f>
        <v/>
      </c>
    </row>
    <row r="587">
      <c r="A587" s="44" t="n">
        <v>39264</v>
      </c>
      <c r="B587" s="45">
        <f>VLOOKUP(Table5345679103[[#This Row],[Date]],Database!A:E,MATCH($A$1,Database!$A$1:$E$1,),)</f>
        <v/>
      </c>
      <c r="C587" s="9">
        <f>(B587-B586)/B586</f>
        <v/>
      </c>
      <c r="D587" s="7">
        <f>(Table5345679103[[#This Row],[Value]]-B575)/B575</f>
        <v/>
      </c>
    </row>
    <row r="588">
      <c r="A588" s="44" t="n">
        <v>39295</v>
      </c>
      <c r="B588" s="45">
        <f>VLOOKUP(Table5345679103[[#This Row],[Date]],Database!A:E,MATCH($A$1,Database!$A$1:$E$1,),)</f>
        <v/>
      </c>
      <c r="C588" s="9">
        <f>(B588-B587)/B587</f>
        <v/>
      </c>
      <c r="D588" s="7">
        <f>(Table5345679103[[#This Row],[Value]]-B576)/B576</f>
        <v/>
      </c>
    </row>
    <row r="589">
      <c r="A589" s="44" t="n">
        <v>39326</v>
      </c>
      <c r="B589" s="45">
        <f>VLOOKUP(Table5345679103[[#This Row],[Date]],Database!A:E,MATCH($A$1,Database!$A$1:$E$1,),)</f>
        <v/>
      </c>
      <c r="C589" s="9">
        <f>(B589-B588)/B588</f>
        <v/>
      </c>
      <c r="D589" s="7">
        <f>(Table5345679103[[#This Row],[Value]]-B577)/B577</f>
        <v/>
      </c>
    </row>
    <row r="590">
      <c r="A590" s="44" t="n">
        <v>39356</v>
      </c>
      <c r="B590" s="45">
        <f>VLOOKUP(Table5345679103[[#This Row],[Date]],Database!A:E,MATCH($A$1,Database!$A$1:$E$1,),)</f>
        <v/>
      </c>
      <c r="C590" s="9">
        <f>(B590-B589)/B589</f>
        <v/>
      </c>
      <c r="D590" s="7">
        <f>(Table5345679103[[#This Row],[Value]]-B578)/B578</f>
        <v/>
      </c>
    </row>
    <row r="591">
      <c r="A591" s="44" t="n">
        <v>39387</v>
      </c>
      <c r="B591" s="45">
        <f>VLOOKUP(Table5345679103[[#This Row],[Date]],Database!A:E,MATCH($A$1,Database!$A$1:$E$1,),)</f>
        <v/>
      </c>
      <c r="C591" s="9">
        <f>(B591-B590)/B590</f>
        <v/>
      </c>
      <c r="D591" s="7">
        <f>(Table5345679103[[#This Row],[Value]]-B579)/B579</f>
        <v/>
      </c>
    </row>
    <row r="592">
      <c r="A592" s="44" t="n">
        <v>39417</v>
      </c>
      <c r="B592" s="45">
        <f>VLOOKUP(Table5345679103[[#This Row],[Date]],Database!A:E,MATCH($A$1,Database!$A$1:$E$1,),)</f>
        <v/>
      </c>
      <c r="C592" s="9">
        <f>(B592-B591)/B591</f>
        <v/>
      </c>
      <c r="D592" s="7">
        <f>(Table5345679103[[#This Row],[Value]]-B580)/B580</f>
        <v/>
      </c>
    </row>
    <row r="593">
      <c r="A593" s="44" t="n">
        <v>39448</v>
      </c>
      <c r="B593" s="45">
        <f>VLOOKUP(Table5345679103[[#This Row],[Date]],Database!A:E,MATCH($A$1,Database!$A$1:$E$1,),)</f>
        <v/>
      </c>
      <c r="C593" s="9">
        <f>(B593-B592)/B592</f>
        <v/>
      </c>
      <c r="D593" s="7">
        <f>(Table5345679103[[#This Row],[Value]]-B581)/B581</f>
        <v/>
      </c>
    </row>
    <row r="594">
      <c r="A594" s="44" t="n">
        <v>39479</v>
      </c>
      <c r="B594" s="45">
        <f>VLOOKUP(Table5345679103[[#This Row],[Date]],Database!A:E,MATCH($A$1,Database!$A$1:$E$1,),)</f>
        <v/>
      </c>
      <c r="C594" s="9">
        <f>(B594-B593)/B593</f>
        <v/>
      </c>
      <c r="D594" s="7">
        <f>(Table5345679103[[#This Row],[Value]]-B582)/B582</f>
        <v/>
      </c>
    </row>
    <row r="595">
      <c r="A595" s="44" t="n">
        <v>39508</v>
      </c>
      <c r="B595" s="45">
        <f>VLOOKUP(Table5345679103[[#This Row],[Date]],Database!A:E,MATCH($A$1,Database!$A$1:$E$1,),)</f>
        <v/>
      </c>
      <c r="C595" s="9">
        <f>(B595-B594)/B594</f>
        <v/>
      </c>
      <c r="D595" s="7">
        <f>(Table5345679103[[#This Row],[Value]]-B583)/B583</f>
        <v/>
      </c>
    </row>
    <row r="596">
      <c r="A596" s="44" t="n">
        <v>39539</v>
      </c>
      <c r="B596" s="45">
        <f>VLOOKUP(Table5345679103[[#This Row],[Date]],Database!A:E,MATCH($A$1,Database!$A$1:$E$1,),)</f>
        <v/>
      </c>
      <c r="C596" s="9">
        <f>(B596-B595)/B595</f>
        <v/>
      </c>
      <c r="D596" s="7">
        <f>(Table5345679103[[#This Row],[Value]]-B584)/B584</f>
        <v/>
      </c>
    </row>
    <row r="597">
      <c r="A597" s="44" t="n">
        <v>39569</v>
      </c>
      <c r="B597" s="45">
        <f>VLOOKUP(Table5345679103[[#This Row],[Date]],Database!A:E,MATCH($A$1,Database!$A$1:$E$1,),)</f>
        <v/>
      </c>
      <c r="C597" s="9">
        <f>(B597-B596)/B596</f>
        <v/>
      </c>
      <c r="D597" s="7">
        <f>(Table5345679103[[#This Row],[Value]]-B585)/B585</f>
        <v/>
      </c>
    </row>
    <row r="598">
      <c r="A598" s="44" t="n">
        <v>39600</v>
      </c>
      <c r="B598" s="45">
        <f>VLOOKUP(Table5345679103[[#This Row],[Date]],Database!A:E,MATCH($A$1,Database!$A$1:$E$1,),)</f>
        <v/>
      </c>
      <c r="C598" s="9">
        <f>(B598-B597)/B597</f>
        <v/>
      </c>
      <c r="D598" s="7">
        <f>(Table5345679103[[#This Row],[Value]]-B586)/B586</f>
        <v/>
      </c>
    </row>
    <row r="599">
      <c r="A599" s="44" t="n">
        <v>39630</v>
      </c>
      <c r="B599" s="45">
        <f>VLOOKUP(Table5345679103[[#This Row],[Date]],Database!A:E,MATCH($A$1,Database!$A$1:$E$1,),)</f>
        <v/>
      </c>
      <c r="C599" s="9">
        <f>(B599-B598)/B598</f>
        <v/>
      </c>
      <c r="D599" s="7">
        <f>(Table5345679103[[#This Row],[Value]]-B587)/B587</f>
        <v/>
      </c>
    </row>
    <row r="600">
      <c r="A600" s="44" t="n">
        <v>39661</v>
      </c>
      <c r="B600" s="45">
        <f>VLOOKUP(Table5345679103[[#This Row],[Date]],Database!A:E,MATCH($A$1,Database!$A$1:$E$1,),)</f>
        <v/>
      </c>
      <c r="C600" s="9">
        <f>(B600-B599)/B599</f>
        <v/>
      </c>
      <c r="D600" s="7">
        <f>(Table5345679103[[#This Row],[Value]]-B588)/B588</f>
        <v/>
      </c>
    </row>
    <row r="601">
      <c r="A601" s="44" t="n">
        <v>39692</v>
      </c>
      <c r="B601" s="45">
        <f>VLOOKUP(Table5345679103[[#This Row],[Date]],Database!A:E,MATCH($A$1,Database!$A$1:$E$1,),)</f>
        <v/>
      </c>
      <c r="C601" s="9">
        <f>(B601-B600)/B600</f>
        <v/>
      </c>
      <c r="D601" s="7">
        <f>(Table5345679103[[#This Row],[Value]]-B589)/B589</f>
        <v/>
      </c>
    </row>
    <row r="602">
      <c r="A602" s="44" t="n">
        <v>39722</v>
      </c>
      <c r="B602" s="45">
        <f>VLOOKUP(Table5345679103[[#This Row],[Date]],Database!A:E,MATCH($A$1,Database!$A$1:$E$1,),)</f>
        <v/>
      </c>
      <c r="C602" s="9">
        <f>(B602-B601)/B601</f>
        <v/>
      </c>
      <c r="D602" s="7">
        <f>(Table5345679103[[#This Row],[Value]]-B590)/B590</f>
        <v/>
      </c>
    </row>
    <row r="603">
      <c r="A603" s="44" t="n">
        <v>39753</v>
      </c>
      <c r="B603" s="45">
        <f>VLOOKUP(Table5345679103[[#This Row],[Date]],Database!A:E,MATCH($A$1,Database!$A$1:$E$1,),)</f>
        <v/>
      </c>
      <c r="C603" s="9">
        <f>(B603-B602)/B602</f>
        <v/>
      </c>
      <c r="D603" s="7">
        <f>(Table5345679103[[#This Row],[Value]]-B591)/B591</f>
        <v/>
      </c>
    </row>
    <row r="604">
      <c r="A604" s="44" t="n">
        <v>39783</v>
      </c>
      <c r="B604" s="45">
        <f>VLOOKUP(Table5345679103[[#This Row],[Date]],Database!A:E,MATCH($A$1,Database!$A$1:$E$1,),)</f>
        <v/>
      </c>
      <c r="C604" s="9">
        <f>(B604-B603)/B603</f>
        <v/>
      </c>
      <c r="D604" s="7">
        <f>(Table5345679103[[#This Row],[Value]]-B592)/B592</f>
        <v/>
      </c>
    </row>
    <row r="605">
      <c r="A605" s="44" t="n">
        <v>39814</v>
      </c>
      <c r="B605" s="45">
        <f>VLOOKUP(Table5345679103[[#This Row],[Date]],Database!A:E,MATCH($A$1,Database!$A$1:$E$1,),)</f>
        <v/>
      </c>
      <c r="C605" s="9">
        <f>(B605-B604)/B604</f>
        <v/>
      </c>
      <c r="D605" s="7">
        <f>(Table5345679103[[#This Row],[Value]]-B593)/B593</f>
        <v/>
      </c>
    </row>
    <row r="606">
      <c r="A606" s="44" t="n">
        <v>39845</v>
      </c>
      <c r="B606" s="45">
        <f>VLOOKUP(Table5345679103[[#This Row],[Date]],Database!A:E,MATCH($A$1,Database!$A$1:$E$1,),)</f>
        <v/>
      </c>
      <c r="C606" s="9">
        <f>(B606-B605)/B605</f>
        <v/>
      </c>
      <c r="D606" s="7">
        <f>(Table5345679103[[#This Row],[Value]]-B594)/B594</f>
        <v/>
      </c>
    </row>
    <row r="607">
      <c r="A607" s="44" t="n">
        <v>39873</v>
      </c>
      <c r="B607" s="45">
        <f>VLOOKUP(Table5345679103[[#This Row],[Date]],Database!A:E,MATCH($A$1,Database!$A$1:$E$1,),)</f>
        <v/>
      </c>
      <c r="C607" s="9">
        <f>(B607-B606)/B606</f>
        <v/>
      </c>
      <c r="D607" s="7">
        <f>(Table5345679103[[#This Row],[Value]]-B595)/B595</f>
        <v/>
      </c>
    </row>
    <row r="608">
      <c r="A608" s="44" t="n">
        <v>39904</v>
      </c>
      <c r="B608" s="45">
        <f>VLOOKUP(Table5345679103[[#This Row],[Date]],Database!A:E,MATCH($A$1,Database!$A$1:$E$1,),)</f>
        <v/>
      </c>
      <c r="C608" s="9">
        <f>(B608-B607)/B607</f>
        <v/>
      </c>
      <c r="D608" s="7">
        <f>(Table5345679103[[#This Row],[Value]]-B596)/B596</f>
        <v/>
      </c>
    </row>
    <row r="609">
      <c r="A609" s="44" t="n">
        <v>39934</v>
      </c>
      <c r="B609" s="45">
        <f>VLOOKUP(Table5345679103[[#This Row],[Date]],Database!A:E,MATCH($A$1,Database!$A$1:$E$1,),)</f>
        <v/>
      </c>
      <c r="C609" s="9">
        <f>(B609-B608)/B608</f>
        <v/>
      </c>
      <c r="D609" s="7">
        <f>(Table5345679103[[#This Row],[Value]]-B597)/B597</f>
        <v/>
      </c>
    </row>
    <row r="610">
      <c r="A610" s="44" t="n">
        <v>39965</v>
      </c>
      <c r="B610" s="45">
        <f>VLOOKUP(Table5345679103[[#This Row],[Date]],Database!A:E,MATCH($A$1,Database!$A$1:$E$1,),)</f>
        <v/>
      </c>
      <c r="C610" s="9">
        <f>(B610-B609)/B609</f>
        <v/>
      </c>
      <c r="D610" s="7">
        <f>(Table5345679103[[#This Row],[Value]]-B598)/B598</f>
        <v/>
      </c>
    </row>
    <row r="611">
      <c r="A611" s="44" t="n">
        <v>39995</v>
      </c>
      <c r="B611" s="45">
        <f>VLOOKUP(Table5345679103[[#This Row],[Date]],Database!A:E,MATCH($A$1,Database!$A$1:$E$1,),)</f>
        <v/>
      </c>
      <c r="C611" s="9">
        <f>(B611-B610)/B610</f>
        <v/>
      </c>
      <c r="D611" s="7">
        <f>(Table5345679103[[#This Row],[Value]]-B599)/B599</f>
        <v/>
      </c>
    </row>
    <row r="612">
      <c r="A612" s="44" t="n">
        <v>40026</v>
      </c>
      <c r="B612" s="45">
        <f>VLOOKUP(Table5345679103[[#This Row],[Date]],Database!A:E,MATCH($A$1,Database!$A$1:$E$1,),)</f>
        <v/>
      </c>
      <c r="C612" s="9">
        <f>(B612-B611)/B611</f>
        <v/>
      </c>
      <c r="D612" s="7">
        <f>(Table5345679103[[#This Row],[Value]]-B600)/B600</f>
        <v/>
      </c>
    </row>
    <row r="613">
      <c r="A613" s="44" t="n">
        <v>40057</v>
      </c>
      <c r="B613" s="45">
        <f>VLOOKUP(Table5345679103[[#This Row],[Date]],Database!A:E,MATCH($A$1,Database!$A$1:$E$1,),)</f>
        <v/>
      </c>
      <c r="C613" s="9">
        <f>(B613-B612)/B612</f>
        <v/>
      </c>
      <c r="D613" s="7">
        <f>(Table5345679103[[#This Row],[Value]]-B601)/B601</f>
        <v/>
      </c>
    </row>
    <row r="614">
      <c r="A614" s="44" t="n">
        <v>40087</v>
      </c>
      <c r="B614" s="45">
        <f>VLOOKUP(Table5345679103[[#This Row],[Date]],Database!A:E,MATCH($A$1,Database!$A$1:$E$1,),)</f>
        <v/>
      </c>
      <c r="C614" s="9">
        <f>(B614-B613)/B613</f>
        <v/>
      </c>
      <c r="D614" s="7">
        <f>(Table5345679103[[#This Row],[Value]]-B602)/B602</f>
        <v/>
      </c>
    </row>
    <row r="615">
      <c r="A615" s="44" t="n">
        <v>40118</v>
      </c>
      <c r="B615" s="45">
        <f>VLOOKUP(Table5345679103[[#This Row],[Date]],Database!A:E,MATCH($A$1,Database!$A$1:$E$1,),)</f>
        <v/>
      </c>
      <c r="C615" s="9">
        <f>(B615-B614)/B614</f>
        <v/>
      </c>
      <c r="D615" s="7">
        <f>(Table5345679103[[#This Row],[Value]]-B603)/B603</f>
        <v/>
      </c>
    </row>
    <row r="616">
      <c r="A616" s="44" t="n">
        <v>40148</v>
      </c>
      <c r="B616" s="45">
        <f>VLOOKUP(Table5345679103[[#This Row],[Date]],Database!A:E,MATCH($A$1,Database!$A$1:$E$1,),)</f>
        <v/>
      </c>
      <c r="C616" s="9">
        <f>(B616-B615)/B615</f>
        <v/>
      </c>
      <c r="D616" s="7">
        <f>(Table5345679103[[#This Row],[Value]]-B604)/B604</f>
        <v/>
      </c>
    </row>
    <row r="617">
      <c r="A617" s="44" t="n">
        <v>40179</v>
      </c>
      <c r="B617" s="45">
        <f>VLOOKUP(Table5345679103[[#This Row],[Date]],Database!A:E,MATCH($A$1,Database!$A$1:$E$1,),)</f>
        <v/>
      </c>
      <c r="C617" s="9">
        <f>(B617-B616)/B616</f>
        <v/>
      </c>
      <c r="D617" s="7">
        <f>(Table5345679103[[#This Row],[Value]]-B605)/B605</f>
        <v/>
      </c>
    </row>
    <row r="618">
      <c r="A618" s="44" t="n">
        <v>40210</v>
      </c>
      <c r="B618" s="45">
        <f>VLOOKUP(Table5345679103[[#This Row],[Date]],Database!A:E,MATCH($A$1,Database!$A$1:$E$1,),)</f>
        <v/>
      </c>
      <c r="C618" s="9">
        <f>(B618-B617)/B617</f>
        <v/>
      </c>
      <c r="D618" s="7">
        <f>(Table5345679103[[#This Row],[Value]]-B606)/B606</f>
        <v/>
      </c>
    </row>
    <row r="619">
      <c r="A619" s="44" t="n">
        <v>40238</v>
      </c>
      <c r="B619" s="45">
        <f>VLOOKUP(Table5345679103[[#This Row],[Date]],Database!A:E,MATCH($A$1,Database!$A$1:$E$1,),)</f>
        <v/>
      </c>
      <c r="C619" s="9">
        <f>(B619-B618)/B618</f>
        <v/>
      </c>
      <c r="D619" s="7">
        <f>(Table5345679103[[#This Row],[Value]]-B607)/B607</f>
        <v/>
      </c>
    </row>
    <row r="620">
      <c r="A620" s="44" t="n">
        <v>40269</v>
      </c>
      <c r="B620" s="45">
        <f>VLOOKUP(Table5345679103[[#This Row],[Date]],Database!A:E,MATCH($A$1,Database!$A$1:$E$1,),)</f>
        <v/>
      </c>
      <c r="C620" s="9">
        <f>(B620-B619)/B619</f>
        <v/>
      </c>
      <c r="D620" s="7">
        <f>(Table5345679103[[#This Row],[Value]]-B608)/B608</f>
        <v/>
      </c>
    </row>
    <row r="621">
      <c r="A621" s="44" t="n">
        <v>40299</v>
      </c>
      <c r="B621" s="45">
        <f>VLOOKUP(Table5345679103[[#This Row],[Date]],Database!A:E,MATCH($A$1,Database!$A$1:$E$1,),)</f>
        <v/>
      </c>
      <c r="C621" s="9">
        <f>(B621-B620)/B620</f>
        <v/>
      </c>
      <c r="D621" s="7">
        <f>(Table5345679103[[#This Row],[Value]]-B609)/B609</f>
        <v/>
      </c>
    </row>
    <row r="622">
      <c r="A622" s="44" t="n">
        <v>40330</v>
      </c>
      <c r="B622" s="45">
        <f>VLOOKUP(Table5345679103[[#This Row],[Date]],Database!A:E,MATCH($A$1,Database!$A$1:$E$1,),)</f>
        <v/>
      </c>
      <c r="C622" s="9">
        <f>(B622-B621)/B621</f>
        <v/>
      </c>
      <c r="D622" s="7">
        <f>(Table5345679103[[#This Row],[Value]]-B610)/B610</f>
        <v/>
      </c>
    </row>
    <row r="623">
      <c r="A623" s="44" t="n">
        <v>40360</v>
      </c>
      <c r="B623" s="45">
        <f>VLOOKUP(Table5345679103[[#This Row],[Date]],Database!A:E,MATCH($A$1,Database!$A$1:$E$1,),)</f>
        <v/>
      </c>
      <c r="C623" s="9">
        <f>(B623-B622)/B622</f>
        <v/>
      </c>
      <c r="D623" s="7">
        <f>(Table5345679103[[#This Row],[Value]]-B611)/B611</f>
        <v/>
      </c>
    </row>
    <row r="624">
      <c r="A624" s="44" t="n">
        <v>40391</v>
      </c>
      <c r="B624" s="45">
        <f>VLOOKUP(Table5345679103[[#This Row],[Date]],Database!A:E,MATCH($A$1,Database!$A$1:$E$1,),)</f>
        <v/>
      </c>
      <c r="C624" s="9">
        <f>(B624-B623)/B623</f>
        <v/>
      </c>
      <c r="D624" s="7">
        <f>(Table5345679103[[#This Row],[Value]]-B612)/B612</f>
        <v/>
      </c>
    </row>
    <row r="625">
      <c r="A625" s="44" t="n">
        <v>40422</v>
      </c>
      <c r="B625" s="45">
        <f>VLOOKUP(Table5345679103[[#This Row],[Date]],Database!A:E,MATCH($A$1,Database!$A$1:$E$1,),)</f>
        <v/>
      </c>
      <c r="C625" s="9">
        <f>(B625-B624)/B624</f>
        <v/>
      </c>
      <c r="D625" s="7">
        <f>(Table5345679103[[#This Row],[Value]]-B613)/B613</f>
        <v/>
      </c>
    </row>
    <row r="626">
      <c r="A626" s="44" t="n">
        <v>40452</v>
      </c>
      <c r="B626" s="45">
        <f>VLOOKUP(Table5345679103[[#This Row],[Date]],Database!A:E,MATCH($A$1,Database!$A$1:$E$1,),)</f>
        <v/>
      </c>
      <c r="C626" s="9">
        <f>(B626-B625)/B625</f>
        <v/>
      </c>
      <c r="D626" s="7">
        <f>(Table5345679103[[#This Row],[Value]]-B614)/B614</f>
        <v/>
      </c>
    </row>
    <row r="627">
      <c r="A627" s="44" t="n">
        <v>40483</v>
      </c>
      <c r="B627" s="45">
        <f>VLOOKUP(Table5345679103[[#This Row],[Date]],Database!A:E,MATCH($A$1,Database!$A$1:$E$1,),)</f>
        <v/>
      </c>
      <c r="C627" s="9">
        <f>(B627-B626)/B626</f>
        <v/>
      </c>
      <c r="D627" s="7">
        <f>(Table5345679103[[#This Row],[Value]]-B615)/B615</f>
        <v/>
      </c>
    </row>
    <row r="628">
      <c r="A628" s="44" t="n">
        <v>40513</v>
      </c>
      <c r="B628" s="45">
        <f>VLOOKUP(Table5345679103[[#This Row],[Date]],Database!A:E,MATCH($A$1,Database!$A$1:$E$1,),)</f>
        <v/>
      </c>
      <c r="C628" s="9">
        <f>(B628-B627)/B627</f>
        <v/>
      </c>
      <c r="D628" s="7">
        <f>(Table5345679103[[#This Row],[Value]]-B616)/B616</f>
        <v/>
      </c>
    </row>
    <row r="629">
      <c r="A629" s="44" t="n">
        <v>40544</v>
      </c>
      <c r="B629" s="45">
        <f>VLOOKUP(Table5345679103[[#This Row],[Date]],Database!A:E,MATCH($A$1,Database!$A$1:$E$1,),)</f>
        <v/>
      </c>
      <c r="C629" s="9">
        <f>(B629-B628)/B628</f>
        <v/>
      </c>
      <c r="D629" s="7">
        <f>(Table5345679103[[#This Row],[Value]]-B617)/B617</f>
        <v/>
      </c>
    </row>
    <row r="630">
      <c r="A630" s="44" t="n">
        <v>40575</v>
      </c>
      <c r="B630" s="45">
        <f>VLOOKUP(Table5345679103[[#This Row],[Date]],Database!A:E,MATCH($A$1,Database!$A$1:$E$1,),)</f>
        <v/>
      </c>
      <c r="C630" s="9">
        <f>(B630-B629)/B629</f>
        <v/>
      </c>
      <c r="D630" s="7">
        <f>(Table5345679103[[#This Row],[Value]]-B618)/B618</f>
        <v/>
      </c>
    </row>
    <row r="631">
      <c r="A631" s="44" t="n">
        <v>40603</v>
      </c>
      <c r="B631" s="45">
        <f>VLOOKUP(Table5345679103[[#This Row],[Date]],Database!A:E,MATCH($A$1,Database!$A$1:$E$1,),)</f>
        <v/>
      </c>
      <c r="C631" s="9">
        <f>(B631-B630)/B630</f>
        <v/>
      </c>
      <c r="D631" s="7">
        <f>(Table5345679103[[#This Row],[Value]]-B619)/B619</f>
        <v/>
      </c>
    </row>
    <row r="632">
      <c r="A632" s="44" t="n">
        <v>40634</v>
      </c>
      <c r="B632" s="45">
        <f>VLOOKUP(Table5345679103[[#This Row],[Date]],Database!A:E,MATCH($A$1,Database!$A$1:$E$1,),)</f>
        <v/>
      </c>
      <c r="C632" s="9">
        <f>(B632-B631)/B631</f>
        <v/>
      </c>
      <c r="D632" s="7">
        <f>(Table5345679103[[#This Row],[Value]]-B620)/B620</f>
        <v/>
      </c>
    </row>
    <row r="633">
      <c r="A633" s="44" t="n">
        <v>40664</v>
      </c>
      <c r="B633" s="45">
        <f>VLOOKUP(Table5345679103[[#This Row],[Date]],Database!A:E,MATCH($A$1,Database!$A$1:$E$1,),)</f>
        <v/>
      </c>
      <c r="C633" s="9">
        <f>(B633-B632)/B632</f>
        <v/>
      </c>
      <c r="D633" s="7">
        <f>(Table5345679103[[#This Row],[Value]]-B621)/B621</f>
        <v/>
      </c>
    </row>
    <row r="634">
      <c r="A634" s="44" t="n">
        <v>40695</v>
      </c>
      <c r="B634" s="45">
        <f>VLOOKUP(Table5345679103[[#This Row],[Date]],Database!A:E,MATCH($A$1,Database!$A$1:$E$1,),)</f>
        <v/>
      </c>
      <c r="C634" s="9">
        <f>(B634-B633)/B633</f>
        <v/>
      </c>
      <c r="D634" s="7">
        <f>(Table5345679103[[#This Row],[Value]]-B622)/B622</f>
        <v/>
      </c>
    </row>
    <row r="635">
      <c r="A635" s="44" t="n">
        <v>40725</v>
      </c>
      <c r="B635" s="45">
        <f>VLOOKUP(Table5345679103[[#This Row],[Date]],Database!A:E,MATCH($A$1,Database!$A$1:$E$1,),)</f>
        <v/>
      </c>
      <c r="C635" s="9">
        <f>(B635-B634)/B634</f>
        <v/>
      </c>
      <c r="D635" s="7">
        <f>(Table5345679103[[#This Row],[Value]]-B623)/B623</f>
        <v/>
      </c>
    </row>
    <row r="636">
      <c r="A636" s="44" t="n">
        <v>40756</v>
      </c>
      <c r="B636" s="45">
        <f>VLOOKUP(Table5345679103[[#This Row],[Date]],Database!A:E,MATCH($A$1,Database!$A$1:$E$1,),)</f>
        <v/>
      </c>
      <c r="C636" s="9">
        <f>(B636-B635)/B635</f>
        <v/>
      </c>
      <c r="D636" s="7">
        <f>(Table5345679103[[#This Row],[Value]]-B624)/B624</f>
        <v/>
      </c>
    </row>
    <row r="637">
      <c r="A637" s="44" t="n">
        <v>40787</v>
      </c>
      <c r="B637" s="45">
        <f>VLOOKUP(Table5345679103[[#This Row],[Date]],Database!A:E,MATCH($A$1,Database!$A$1:$E$1,),)</f>
        <v/>
      </c>
      <c r="C637" s="9">
        <f>(B637-B636)/B636</f>
        <v/>
      </c>
      <c r="D637" s="7">
        <f>(Table5345679103[[#This Row],[Value]]-B625)/B625</f>
        <v/>
      </c>
    </row>
    <row r="638">
      <c r="A638" s="44" t="n">
        <v>40817</v>
      </c>
      <c r="B638" s="45">
        <f>VLOOKUP(Table5345679103[[#This Row],[Date]],Database!A:E,MATCH($A$1,Database!$A$1:$E$1,),)</f>
        <v/>
      </c>
      <c r="C638" s="9">
        <f>(B638-B637)/B637</f>
        <v/>
      </c>
      <c r="D638" s="7">
        <f>(Table5345679103[[#This Row],[Value]]-B626)/B626</f>
        <v/>
      </c>
    </row>
    <row r="639">
      <c r="A639" s="44" t="n">
        <v>40848</v>
      </c>
      <c r="B639" s="45">
        <f>VLOOKUP(Table5345679103[[#This Row],[Date]],Database!A:E,MATCH($A$1,Database!$A$1:$E$1,),)</f>
        <v/>
      </c>
      <c r="C639" s="9">
        <f>(B639-B638)/B638</f>
        <v/>
      </c>
      <c r="D639" s="7">
        <f>(Table5345679103[[#This Row],[Value]]-B627)/B627</f>
        <v/>
      </c>
    </row>
    <row r="640">
      <c r="A640" s="44" t="n">
        <v>40878</v>
      </c>
      <c r="B640" s="45">
        <f>VLOOKUP(Table5345679103[[#This Row],[Date]],Database!A:E,MATCH($A$1,Database!$A$1:$E$1,),)</f>
        <v/>
      </c>
      <c r="C640" s="9">
        <f>(B640-B639)/B639</f>
        <v/>
      </c>
      <c r="D640" s="7">
        <f>(Table5345679103[[#This Row],[Value]]-B628)/B628</f>
        <v/>
      </c>
    </row>
    <row r="641">
      <c r="A641" s="44" t="n">
        <v>40909</v>
      </c>
      <c r="B641" s="45">
        <f>VLOOKUP(Table5345679103[[#This Row],[Date]],Database!A:E,MATCH($A$1,Database!$A$1:$E$1,),)</f>
        <v/>
      </c>
      <c r="C641" s="9">
        <f>(B641-B640)/B640</f>
        <v/>
      </c>
      <c r="D641" s="7">
        <f>(Table5345679103[[#This Row],[Value]]-B629)/B629</f>
        <v/>
      </c>
    </row>
    <row r="642">
      <c r="A642" s="44" t="n">
        <v>40940</v>
      </c>
      <c r="B642" s="45">
        <f>VLOOKUP(Table5345679103[[#This Row],[Date]],Database!A:E,MATCH($A$1,Database!$A$1:$E$1,),)</f>
        <v/>
      </c>
      <c r="C642" s="9">
        <f>(B642-B641)/B641</f>
        <v/>
      </c>
      <c r="D642" s="7">
        <f>(Table5345679103[[#This Row],[Value]]-B630)/B630</f>
        <v/>
      </c>
    </row>
    <row r="643">
      <c r="A643" s="44" t="n">
        <v>40969</v>
      </c>
      <c r="B643" s="45">
        <f>VLOOKUP(Table5345679103[[#This Row],[Date]],Database!A:E,MATCH($A$1,Database!$A$1:$E$1,),)</f>
        <v/>
      </c>
      <c r="C643" s="9">
        <f>(B643-B642)/B642</f>
        <v/>
      </c>
      <c r="D643" s="7">
        <f>(Table5345679103[[#This Row],[Value]]-B631)/B631</f>
        <v/>
      </c>
    </row>
    <row r="644">
      <c r="A644" s="44" t="n">
        <v>41000</v>
      </c>
      <c r="B644" s="45">
        <f>VLOOKUP(Table5345679103[[#This Row],[Date]],Database!A:E,MATCH($A$1,Database!$A$1:$E$1,),)</f>
        <v/>
      </c>
      <c r="C644" s="9">
        <f>(B644-B643)/B643</f>
        <v/>
      </c>
      <c r="D644" s="7">
        <f>(Table5345679103[[#This Row],[Value]]-B632)/B632</f>
        <v/>
      </c>
    </row>
    <row r="645">
      <c r="A645" s="44" t="n">
        <v>41030</v>
      </c>
      <c r="B645" s="45">
        <f>VLOOKUP(Table5345679103[[#This Row],[Date]],Database!A:E,MATCH($A$1,Database!$A$1:$E$1,),)</f>
        <v/>
      </c>
      <c r="C645" s="9">
        <f>(B645-B644)/B644</f>
        <v/>
      </c>
      <c r="D645" s="7">
        <f>(Table5345679103[[#This Row],[Value]]-B633)/B633</f>
        <v/>
      </c>
    </row>
    <row r="646">
      <c r="A646" s="44" t="n">
        <v>41061</v>
      </c>
      <c r="B646" s="45">
        <f>VLOOKUP(Table5345679103[[#This Row],[Date]],Database!A:E,MATCH($A$1,Database!$A$1:$E$1,),)</f>
        <v/>
      </c>
      <c r="C646" s="9">
        <f>(B646-B645)/B645</f>
        <v/>
      </c>
      <c r="D646" s="7">
        <f>(Table5345679103[[#This Row],[Value]]-B634)/B634</f>
        <v/>
      </c>
    </row>
    <row r="647">
      <c r="A647" s="44" t="n">
        <v>41091</v>
      </c>
      <c r="B647" s="45">
        <f>VLOOKUP(Table5345679103[[#This Row],[Date]],Database!A:E,MATCH($A$1,Database!$A$1:$E$1,),)</f>
        <v/>
      </c>
      <c r="C647" s="9">
        <f>(B647-B646)/B646</f>
        <v/>
      </c>
      <c r="D647" s="7">
        <f>(Table5345679103[[#This Row],[Value]]-B635)/B635</f>
        <v/>
      </c>
    </row>
    <row r="648">
      <c r="A648" s="44" t="n">
        <v>41122</v>
      </c>
      <c r="B648" s="45">
        <f>VLOOKUP(Table5345679103[[#This Row],[Date]],Database!A:E,MATCH($A$1,Database!$A$1:$E$1,),)</f>
        <v/>
      </c>
      <c r="C648" s="9">
        <f>(B648-B647)/B647</f>
        <v/>
      </c>
      <c r="D648" s="7">
        <f>(Table5345679103[[#This Row],[Value]]-B636)/B636</f>
        <v/>
      </c>
    </row>
    <row r="649">
      <c r="A649" s="44" t="n">
        <v>41153</v>
      </c>
      <c r="B649" s="45">
        <f>VLOOKUP(Table5345679103[[#This Row],[Date]],Database!A:E,MATCH($A$1,Database!$A$1:$E$1,),)</f>
        <v/>
      </c>
      <c r="C649" s="9">
        <f>(B649-B648)/B648</f>
        <v/>
      </c>
      <c r="D649" s="7">
        <f>(Table5345679103[[#This Row],[Value]]-B637)/B637</f>
        <v/>
      </c>
    </row>
    <row r="650">
      <c r="A650" s="44" t="n">
        <v>41183</v>
      </c>
      <c r="B650" s="45">
        <f>VLOOKUP(Table5345679103[[#This Row],[Date]],Database!A:E,MATCH($A$1,Database!$A$1:$E$1,),)</f>
        <v/>
      </c>
      <c r="C650" s="9">
        <f>(B650-B649)/B649</f>
        <v/>
      </c>
      <c r="D650" s="7">
        <f>(Table5345679103[[#This Row],[Value]]-B638)/B638</f>
        <v/>
      </c>
    </row>
    <row r="651">
      <c r="A651" s="44" t="n">
        <v>41214</v>
      </c>
      <c r="B651" s="45">
        <f>VLOOKUP(Table5345679103[[#This Row],[Date]],Database!A:E,MATCH($A$1,Database!$A$1:$E$1,),)</f>
        <v/>
      </c>
      <c r="C651" s="9">
        <f>(B651-B650)/B650</f>
        <v/>
      </c>
      <c r="D651" s="7">
        <f>(Table5345679103[[#This Row],[Value]]-B639)/B639</f>
        <v/>
      </c>
    </row>
    <row r="652">
      <c r="A652" s="44" t="n">
        <v>41244</v>
      </c>
      <c r="B652" s="45">
        <f>VLOOKUP(Table5345679103[[#This Row],[Date]],Database!A:E,MATCH($A$1,Database!$A$1:$E$1,),)</f>
        <v/>
      </c>
      <c r="C652" s="9">
        <f>(B652-B651)/B651</f>
        <v/>
      </c>
      <c r="D652" s="7">
        <f>(Table5345679103[[#This Row],[Value]]-B640)/B640</f>
        <v/>
      </c>
    </row>
    <row r="653">
      <c r="A653" s="44" t="n">
        <v>41275</v>
      </c>
      <c r="B653" s="45">
        <f>VLOOKUP(Table5345679103[[#This Row],[Date]],Database!A:E,MATCH($A$1,Database!$A$1:$E$1,),)</f>
        <v/>
      </c>
      <c r="C653" s="9">
        <f>(B653-B652)/B652</f>
        <v/>
      </c>
      <c r="D653" s="7">
        <f>(Table5345679103[[#This Row],[Value]]-B641)/B641</f>
        <v/>
      </c>
    </row>
    <row r="654">
      <c r="A654" s="44" t="n">
        <v>41306</v>
      </c>
      <c r="B654" s="45">
        <f>VLOOKUP(Table5345679103[[#This Row],[Date]],Database!A:E,MATCH($A$1,Database!$A$1:$E$1,),)</f>
        <v/>
      </c>
      <c r="C654" s="9">
        <f>(B654-B653)/B653</f>
        <v/>
      </c>
      <c r="D654" s="7">
        <f>(Table5345679103[[#This Row],[Value]]-B642)/B642</f>
        <v/>
      </c>
    </row>
    <row r="655">
      <c r="A655" s="44" t="n">
        <v>41334</v>
      </c>
      <c r="B655" s="45">
        <f>VLOOKUP(Table5345679103[[#This Row],[Date]],Database!A:E,MATCH($A$1,Database!$A$1:$E$1,),)</f>
        <v/>
      </c>
      <c r="C655" s="9">
        <f>(B655-B654)/B654</f>
        <v/>
      </c>
      <c r="D655" s="7">
        <f>(Table5345679103[[#This Row],[Value]]-B643)/B643</f>
        <v/>
      </c>
    </row>
    <row r="656">
      <c r="A656" s="44" t="n">
        <v>41365</v>
      </c>
      <c r="B656" s="45">
        <f>VLOOKUP(Table5345679103[[#This Row],[Date]],Database!A:E,MATCH($A$1,Database!$A$1:$E$1,),)</f>
        <v/>
      </c>
      <c r="C656" s="9">
        <f>(B656-B655)/B655</f>
        <v/>
      </c>
      <c r="D656" s="7">
        <f>(Table5345679103[[#This Row],[Value]]-B644)/B644</f>
        <v/>
      </c>
    </row>
    <row r="657">
      <c r="A657" s="44" t="n">
        <v>41395</v>
      </c>
      <c r="B657" s="45">
        <f>VLOOKUP(Table5345679103[[#This Row],[Date]],Database!A:E,MATCH($A$1,Database!$A$1:$E$1,),)</f>
        <v/>
      </c>
      <c r="C657" s="9">
        <f>(B657-B656)/B656</f>
        <v/>
      </c>
      <c r="D657" s="7">
        <f>(Table5345679103[[#This Row],[Value]]-B645)/B645</f>
        <v/>
      </c>
    </row>
    <row r="658">
      <c r="A658" s="44" t="n">
        <v>41426</v>
      </c>
      <c r="B658" s="45">
        <f>VLOOKUP(Table5345679103[[#This Row],[Date]],Database!A:E,MATCH($A$1,Database!$A$1:$E$1,),)</f>
        <v/>
      </c>
      <c r="C658" s="9">
        <f>(B658-B657)/B657</f>
        <v/>
      </c>
      <c r="D658" s="7">
        <f>(Table5345679103[[#This Row],[Value]]-B646)/B646</f>
        <v/>
      </c>
    </row>
    <row r="659">
      <c r="A659" s="44" t="n">
        <v>41456</v>
      </c>
      <c r="B659" s="45">
        <f>VLOOKUP(Table5345679103[[#This Row],[Date]],Database!A:E,MATCH($A$1,Database!$A$1:$E$1,),)</f>
        <v/>
      </c>
      <c r="C659" s="9">
        <f>(B659-B658)/B658</f>
        <v/>
      </c>
      <c r="D659" s="7">
        <f>(Table5345679103[[#This Row],[Value]]-B647)/B647</f>
        <v/>
      </c>
    </row>
    <row r="660">
      <c r="A660" s="44" t="n">
        <v>41487</v>
      </c>
      <c r="B660" s="45">
        <f>VLOOKUP(Table5345679103[[#This Row],[Date]],Database!A:E,MATCH($A$1,Database!$A$1:$E$1,),)</f>
        <v/>
      </c>
      <c r="C660" s="9">
        <f>(B660-B659)/B659</f>
        <v/>
      </c>
      <c r="D660" s="7">
        <f>(Table5345679103[[#This Row],[Value]]-B648)/B648</f>
        <v/>
      </c>
    </row>
    <row r="661">
      <c r="A661" s="44" t="n">
        <v>41518</v>
      </c>
      <c r="B661" s="45">
        <f>VLOOKUP(Table5345679103[[#This Row],[Date]],Database!A:E,MATCH($A$1,Database!$A$1:$E$1,),)</f>
        <v/>
      </c>
      <c r="C661" s="9">
        <f>(B661-B660)/B660</f>
        <v/>
      </c>
      <c r="D661" s="7">
        <f>(Table5345679103[[#This Row],[Value]]-B649)/B649</f>
        <v/>
      </c>
    </row>
    <row r="662">
      <c r="A662" s="44" t="n">
        <v>41548</v>
      </c>
      <c r="B662" s="45">
        <f>VLOOKUP(Table5345679103[[#This Row],[Date]],Database!A:E,MATCH($A$1,Database!$A$1:$E$1,),)</f>
        <v/>
      </c>
      <c r="C662" s="9">
        <f>(B662-B661)/B661</f>
        <v/>
      </c>
      <c r="D662" s="7">
        <f>(Table5345679103[[#This Row],[Value]]-B650)/B650</f>
        <v/>
      </c>
    </row>
    <row r="663">
      <c r="A663" s="44" t="n">
        <v>41579</v>
      </c>
      <c r="B663" s="45">
        <f>VLOOKUP(Table5345679103[[#This Row],[Date]],Database!A:E,MATCH($A$1,Database!$A$1:$E$1,),)</f>
        <v/>
      </c>
      <c r="C663" s="9">
        <f>(B663-B662)/B662</f>
        <v/>
      </c>
      <c r="D663" s="7">
        <f>(Table5345679103[[#This Row],[Value]]-B651)/B651</f>
        <v/>
      </c>
    </row>
    <row r="664">
      <c r="A664" s="44" t="n">
        <v>41609</v>
      </c>
      <c r="B664" s="45">
        <f>VLOOKUP(Table5345679103[[#This Row],[Date]],Database!A:E,MATCH($A$1,Database!$A$1:$E$1,),)</f>
        <v/>
      </c>
      <c r="C664" s="9">
        <f>(B664-B663)/B663</f>
        <v/>
      </c>
      <c r="D664" s="7">
        <f>(Table5345679103[[#This Row],[Value]]-B652)/B652</f>
        <v/>
      </c>
    </row>
    <row r="665">
      <c r="A665" s="44" t="n">
        <v>41640</v>
      </c>
      <c r="B665" s="45">
        <f>VLOOKUP(Table5345679103[[#This Row],[Date]],Database!A:E,MATCH($A$1,Database!$A$1:$E$1,),)</f>
        <v/>
      </c>
      <c r="C665" s="9">
        <f>(B665-B664)/B664</f>
        <v/>
      </c>
      <c r="D665" s="7">
        <f>(Table5345679103[[#This Row],[Value]]-B653)/B653</f>
        <v/>
      </c>
    </row>
    <row r="666">
      <c r="A666" s="44" t="n">
        <v>41671</v>
      </c>
      <c r="B666" s="45">
        <f>VLOOKUP(Table5345679103[[#This Row],[Date]],Database!A:E,MATCH($A$1,Database!$A$1:$E$1,),)</f>
        <v/>
      </c>
      <c r="C666" s="9">
        <f>(B666-B665)/B665</f>
        <v/>
      </c>
      <c r="D666" s="7">
        <f>(Table5345679103[[#This Row],[Value]]-B654)/B654</f>
        <v/>
      </c>
    </row>
    <row r="667">
      <c r="A667" s="44" t="n">
        <v>41699</v>
      </c>
      <c r="B667" s="45">
        <f>VLOOKUP(Table5345679103[[#This Row],[Date]],Database!A:E,MATCH($A$1,Database!$A$1:$E$1,),)</f>
        <v/>
      </c>
      <c r="C667" s="9">
        <f>(B667-B666)/B666</f>
        <v/>
      </c>
      <c r="D667" s="7">
        <f>(Table5345679103[[#This Row],[Value]]-B655)/B655</f>
        <v/>
      </c>
    </row>
    <row r="668">
      <c r="A668" s="44" t="n">
        <v>41730</v>
      </c>
      <c r="B668" s="45">
        <f>VLOOKUP(Table5345679103[[#This Row],[Date]],Database!A:E,MATCH($A$1,Database!$A$1:$E$1,),)</f>
        <v/>
      </c>
      <c r="C668" s="9">
        <f>(B668-B667)/B667</f>
        <v/>
      </c>
      <c r="D668" s="7">
        <f>(Table5345679103[[#This Row],[Value]]-B656)/B656</f>
        <v/>
      </c>
    </row>
    <row r="669">
      <c r="A669" s="44" t="n">
        <v>41760</v>
      </c>
      <c r="B669" s="45">
        <f>VLOOKUP(Table5345679103[[#This Row],[Date]],Database!A:E,MATCH($A$1,Database!$A$1:$E$1,),)</f>
        <v/>
      </c>
      <c r="C669" s="9">
        <f>(B669-B668)/B668</f>
        <v/>
      </c>
      <c r="D669" s="7">
        <f>(Table5345679103[[#This Row],[Value]]-B657)/B657</f>
        <v/>
      </c>
    </row>
    <row r="670">
      <c r="A670" s="44" t="n">
        <v>41791</v>
      </c>
      <c r="B670" s="45">
        <f>VLOOKUP(Table5345679103[[#This Row],[Date]],Database!A:E,MATCH($A$1,Database!$A$1:$E$1,),)</f>
        <v/>
      </c>
      <c r="C670" s="9">
        <f>(B670-B669)/B669</f>
        <v/>
      </c>
      <c r="D670" s="7">
        <f>(Table5345679103[[#This Row],[Value]]-B658)/B658</f>
        <v/>
      </c>
    </row>
    <row r="671">
      <c r="A671" s="44" t="n">
        <v>41821</v>
      </c>
      <c r="B671" s="45">
        <f>VLOOKUP(Table5345679103[[#This Row],[Date]],Database!A:E,MATCH($A$1,Database!$A$1:$E$1,),)</f>
        <v/>
      </c>
      <c r="C671" s="9">
        <f>(B671-B670)/B670</f>
        <v/>
      </c>
      <c r="D671" s="7">
        <f>(Table5345679103[[#This Row],[Value]]-B659)/B659</f>
        <v/>
      </c>
    </row>
    <row r="672">
      <c r="A672" s="44" t="n">
        <v>41852</v>
      </c>
      <c r="B672" s="45">
        <f>VLOOKUP(Table5345679103[[#This Row],[Date]],Database!A:E,MATCH($A$1,Database!$A$1:$E$1,),)</f>
        <v/>
      </c>
      <c r="C672" s="9">
        <f>(B672-B671)/B671</f>
        <v/>
      </c>
      <c r="D672" s="7">
        <f>(Table5345679103[[#This Row],[Value]]-B660)/B660</f>
        <v/>
      </c>
    </row>
    <row r="673">
      <c r="A673" s="44" t="n">
        <v>41883</v>
      </c>
      <c r="B673" s="45">
        <f>VLOOKUP(Table5345679103[[#This Row],[Date]],Database!A:E,MATCH($A$1,Database!$A$1:$E$1,),)</f>
        <v/>
      </c>
      <c r="C673" s="9">
        <f>(B673-B672)/B672</f>
        <v/>
      </c>
      <c r="D673" s="7">
        <f>(Table5345679103[[#This Row],[Value]]-B661)/B661</f>
        <v/>
      </c>
    </row>
    <row r="674">
      <c r="A674" s="44" t="n">
        <v>41913</v>
      </c>
      <c r="B674" s="45">
        <f>VLOOKUP(Table5345679103[[#This Row],[Date]],Database!A:E,MATCH($A$1,Database!$A$1:$E$1,),)</f>
        <v/>
      </c>
      <c r="C674" s="9">
        <f>(B674-B673)/B673</f>
        <v/>
      </c>
      <c r="D674" s="7">
        <f>(Table5345679103[[#This Row],[Value]]-B662)/B662</f>
        <v/>
      </c>
    </row>
    <row r="675">
      <c r="A675" s="44" t="n">
        <v>41944</v>
      </c>
      <c r="B675" s="45">
        <f>VLOOKUP(Table5345679103[[#This Row],[Date]],Database!A:E,MATCH($A$1,Database!$A$1:$E$1,),)</f>
        <v/>
      </c>
      <c r="C675" s="9">
        <f>(B675-B674)/B674</f>
        <v/>
      </c>
      <c r="D675" s="7">
        <f>(Table5345679103[[#This Row],[Value]]-B663)/B663</f>
        <v/>
      </c>
    </row>
    <row r="676">
      <c r="A676" s="44" t="n">
        <v>41974</v>
      </c>
      <c r="B676" s="45">
        <f>VLOOKUP(Table5345679103[[#This Row],[Date]],Database!A:E,MATCH($A$1,Database!$A$1:$E$1,),)</f>
        <v/>
      </c>
      <c r="C676" s="9">
        <f>(B676-B675)/B675</f>
        <v/>
      </c>
      <c r="D676" s="7">
        <f>(Table5345679103[[#This Row],[Value]]-B664)/B664</f>
        <v/>
      </c>
    </row>
    <row r="677">
      <c r="A677" s="44" t="n">
        <v>42005</v>
      </c>
      <c r="B677" s="45">
        <f>VLOOKUP(Table5345679103[[#This Row],[Date]],Database!A:E,MATCH($A$1,Database!$A$1:$E$1,),)</f>
        <v/>
      </c>
      <c r="C677" s="9">
        <f>(B677-B676)/B676</f>
        <v/>
      </c>
      <c r="D677" s="7">
        <f>(Table5345679103[[#This Row],[Value]]-B665)/B665</f>
        <v/>
      </c>
    </row>
    <row r="678">
      <c r="A678" s="44" t="n">
        <v>42036</v>
      </c>
      <c r="B678" s="45">
        <f>VLOOKUP(Table5345679103[[#This Row],[Date]],Database!A:E,MATCH($A$1,Database!$A$1:$E$1,),)</f>
        <v/>
      </c>
      <c r="C678" s="9">
        <f>(B678-B677)/B677</f>
        <v/>
      </c>
      <c r="D678" s="7">
        <f>(Table5345679103[[#This Row],[Value]]-B666)/B666</f>
        <v/>
      </c>
    </row>
    <row r="679">
      <c r="A679" s="44" t="n">
        <v>42064</v>
      </c>
      <c r="B679" s="45">
        <f>VLOOKUP(Table5345679103[[#This Row],[Date]],Database!A:E,MATCH($A$1,Database!$A$1:$E$1,),)</f>
        <v/>
      </c>
      <c r="C679" s="9">
        <f>(B679-B678)/B678</f>
        <v/>
      </c>
      <c r="D679" s="7">
        <f>(Table5345679103[[#This Row],[Value]]-B667)/B667</f>
        <v/>
      </c>
    </row>
    <row r="680">
      <c r="A680" s="44" t="n">
        <v>42095</v>
      </c>
      <c r="B680" s="45">
        <f>VLOOKUP(Table5345679103[[#This Row],[Date]],Database!A:E,MATCH($A$1,Database!$A$1:$E$1,),)</f>
        <v/>
      </c>
      <c r="C680" s="9">
        <f>(B680-B679)/B679</f>
        <v/>
      </c>
      <c r="D680" s="7">
        <f>(Table5345679103[[#This Row],[Value]]-B668)/B668</f>
        <v/>
      </c>
    </row>
    <row r="681">
      <c r="A681" s="44" t="n">
        <v>42125</v>
      </c>
      <c r="B681" s="45">
        <f>VLOOKUP(Table5345679103[[#This Row],[Date]],Database!A:E,MATCH($A$1,Database!$A$1:$E$1,),)</f>
        <v/>
      </c>
      <c r="C681" s="9">
        <f>(B681-B680)/B680</f>
        <v/>
      </c>
      <c r="D681" s="7">
        <f>(Table5345679103[[#This Row],[Value]]-B669)/B669</f>
        <v/>
      </c>
    </row>
    <row r="682">
      <c r="A682" s="44" t="n">
        <v>42156</v>
      </c>
      <c r="B682" s="45">
        <f>VLOOKUP(Table5345679103[[#This Row],[Date]],Database!A:E,MATCH($A$1,Database!$A$1:$E$1,),)</f>
        <v/>
      </c>
      <c r="C682" s="9">
        <f>(B682-B681)/B681</f>
        <v/>
      </c>
      <c r="D682" s="7">
        <f>(Table5345679103[[#This Row],[Value]]-B670)/B670</f>
        <v/>
      </c>
    </row>
    <row r="683">
      <c r="A683" s="44" t="n">
        <v>42186</v>
      </c>
      <c r="B683" s="45">
        <f>VLOOKUP(Table5345679103[[#This Row],[Date]],Database!A:E,MATCH($A$1,Database!$A$1:$E$1,),)</f>
        <v/>
      </c>
      <c r="C683" s="9">
        <f>(B683-B682)/B682</f>
        <v/>
      </c>
      <c r="D683" s="7">
        <f>(Table5345679103[[#This Row],[Value]]-B671)/B671</f>
        <v/>
      </c>
    </row>
    <row r="684">
      <c r="A684" s="44" t="n">
        <v>42217</v>
      </c>
      <c r="B684" s="45">
        <f>VLOOKUP(Table5345679103[[#This Row],[Date]],Database!A:E,MATCH($A$1,Database!$A$1:$E$1,),)</f>
        <v/>
      </c>
      <c r="C684" s="9">
        <f>(B684-B683)/B683</f>
        <v/>
      </c>
      <c r="D684" s="7">
        <f>(Table5345679103[[#This Row],[Value]]-B672)/B672</f>
        <v/>
      </c>
    </row>
    <row r="685">
      <c r="A685" s="44" t="n">
        <v>42248</v>
      </c>
      <c r="B685" s="45">
        <f>VLOOKUP(Table5345679103[[#This Row],[Date]],Database!A:E,MATCH($A$1,Database!$A$1:$E$1,),)</f>
        <v/>
      </c>
      <c r="C685" s="9">
        <f>(B685-B684)/B684</f>
        <v/>
      </c>
      <c r="D685" s="7">
        <f>(Table5345679103[[#This Row],[Value]]-B673)/B673</f>
        <v/>
      </c>
    </row>
    <row r="686">
      <c r="A686" s="44" t="n">
        <v>42278</v>
      </c>
      <c r="B686" s="45">
        <f>VLOOKUP(Table5345679103[[#This Row],[Date]],Database!A:E,MATCH($A$1,Database!$A$1:$E$1,),)</f>
        <v/>
      </c>
      <c r="C686" s="9">
        <f>(B686-B685)/B685</f>
        <v/>
      </c>
      <c r="D686" s="7">
        <f>(Table5345679103[[#This Row],[Value]]-B674)/B674</f>
        <v/>
      </c>
    </row>
    <row r="687">
      <c r="A687" s="44" t="n">
        <v>42309</v>
      </c>
      <c r="B687" s="45">
        <f>VLOOKUP(Table5345679103[[#This Row],[Date]],Database!A:E,MATCH($A$1,Database!$A$1:$E$1,),)</f>
        <v/>
      </c>
      <c r="C687" s="9">
        <f>(B687-B686)/B686</f>
        <v/>
      </c>
      <c r="D687" s="7">
        <f>(Table5345679103[[#This Row],[Value]]-B675)/B675</f>
        <v/>
      </c>
    </row>
    <row r="688">
      <c r="A688" s="44" t="n">
        <v>42339</v>
      </c>
      <c r="B688" s="45">
        <f>VLOOKUP(Table5345679103[[#This Row],[Date]],Database!A:E,MATCH($A$1,Database!$A$1:$E$1,),)</f>
        <v/>
      </c>
      <c r="C688" s="9">
        <f>(B688-B687)/B687</f>
        <v/>
      </c>
      <c r="D688" s="7">
        <f>(Table5345679103[[#This Row],[Value]]-B676)/B676</f>
        <v/>
      </c>
    </row>
    <row r="689">
      <c r="A689" s="44" t="n">
        <v>42370</v>
      </c>
      <c r="B689" s="45">
        <f>VLOOKUP(Table5345679103[[#This Row],[Date]],Database!A:E,MATCH($A$1,Database!$A$1:$E$1,),)</f>
        <v/>
      </c>
      <c r="C689" s="9">
        <f>(B689-B688)/B688</f>
        <v/>
      </c>
      <c r="D689" s="7">
        <f>(Table5345679103[[#This Row],[Value]]-B677)/B677</f>
        <v/>
      </c>
    </row>
    <row r="690">
      <c r="A690" s="44" t="n">
        <v>42401</v>
      </c>
      <c r="B690" s="45">
        <f>VLOOKUP(Table5345679103[[#This Row],[Date]],Database!A:E,MATCH($A$1,Database!$A$1:$E$1,),)</f>
        <v/>
      </c>
      <c r="C690" s="9">
        <f>(B690-B689)/B689</f>
        <v/>
      </c>
      <c r="D690" s="7">
        <f>(Table5345679103[[#This Row],[Value]]-B678)/B678</f>
        <v/>
      </c>
    </row>
    <row r="691">
      <c r="A691" s="44" t="n">
        <v>42430</v>
      </c>
      <c r="B691" s="45">
        <f>VLOOKUP(Table5345679103[[#This Row],[Date]],Database!A:E,MATCH($A$1,Database!$A$1:$E$1,),)</f>
        <v/>
      </c>
      <c r="C691" s="9">
        <f>(B691-B690)/B690</f>
        <v/>
      </c>
      <c r="D691" s="7">
        <f>(Table5345679103[[#This Row],[Value]]-B679)/B679</f>
        <v/>
      </c>
    </row>
    <row r="692">
      <c r="A692" s="44" t="n">
        <v>42461</v>
      </c>
      <c r="B692" s="45">
        <f>VLOOKUP(Table5345679103[[#This Row],[Date]],Database!A:E,MATCH($A$1,Database!$A$1:$E$1,),)</f>
        <v/>
      </c>
      <c r="C692" s="9">
        <f>(B692-B691)/B691</f>
        <v/>
      </c>
      <c r="D692" s="7">
        <f>(Table5345679103[[#This Row],[Value]]-B680)/B680</f>
        <v/>
      </c>
    </row>
    <row r="693">
      <c r="A693" s="44" t="n">
        <v>42491</v>
      </c>
      <c r="B693" s="45">
        <f>VLOOKUP(Table5345679103[[#This Row],[Date]],Database!A:E,MATCH($A$1,Database!$A$1:$E$1,),)</f>
        <v/>
      </c>
      <c r="C693" s="9">
        <f>(B693-B692)/B692</f>
        <v/>
      </c>
      <c r="D693" s="7">
        <f>(Table5345679103[[#This Row],[Value]]-B681)/B681</f>
        <v/>
      </c>
    </row>
    <row r="694">
      <c r="A694" s="44" t="n">
        <v>42522</v>
      </c>
      <c r="B694" s="45">
        <f>VLOOKUP(Table5345679103[[#This Row],[Date]],Database!A:E,MATCH($A$1,Database!$A$1:$E$1,),)</f>
        <v/>
      </c>
      <c r="C694" s="9">
        <f>(B694-B693)/B693</f>
        <v/>
      </c>
      <c r="D694" s="7">
        <f>(Table5345679103[[#This Row],[Value]]-B682)/B682</f>
        <v/>
      </c>
    </row>
    <row r="695">
      <c r="A695" s="44" t="n">
        <v>42552</v>
      </c>
      <c r="B695" s="45">
        <f>VLOOKUP(Table5345679103[[#This Row],[Date]],Database!A:E,MATCH($A$1,Database!$A$1:$E$1,),)</f>
        <v/>
      </c>
      <c r="C695" s="9">
        <f>(B695-B694)/B694</f>
        <v/>
      </c>
      <c r="D695" s="7">
        <f>(Table5345679103[[#This Row],[Value]]-B683)/B683</f>
        <v/>
      </c>
    </row>
    <row r="696">
      <c r="A696" s="44" t="n">
        <v>42583</v>
      </c>
      <c r="B696" s="45">
        <f>VLOOKUP(Table5345679103[[#This Row],[Date]],Database!A:E,MATCH($A$1,Database!$A$1:$E$1,),)</f>
        <v/>
      </c>
      <c r="C696" s="9">
        <f>(B696-B695)/B695</f>
        <v/>
      </c>
      <c r="D696" s="7">
        <f>(Table5345679103[[#This Row],[Value]]-B684)/B684</f>
        <v/>
      </c>
    </row>
    <row r="697">
      <c r="A697" s="44" t="n">
        <v>42614</v>
      </c>
      <c r="B697" s="45">
        <f>VLOOKUP(Table5345679103[[#This Row],[Date]],Database!A:E,MATCH($A$1,Database!$A$1:$E$1,),)</f>
        <v/>
      </c>
      <c r="C697" s="9">
        <f>(B697-B696)/B696</f>
        <v/>
      </c>
      <c r="D697" s="7">
        <f>(Table5345679103[[#This Row],[Value]]-B685)/B685</f>
        <v/>
      </c>
    </row>
    <row r="698">
      <c r="A698" s="44" t="n">
        <v>42644</v>
      </c>
      <c r="B698" s="45">
        <f>VLOOKUP(Table5345679103[[#This Row],[Date]],Database!A:E,MATCH($A$1,Database!$A$1:$E$1,),)</f>
        <v/>
      </c>
      <c r="C698" s="9">
        <f>(B698-B697)/B697</f>
        <v/>
      </c>
      <c r="D698" s="7">
        <f>(Table5345679103[[#This Row],[Value]]-B686)/B686</f>
        <v/>
      </c>
    </row>
    <row r="699">
      <c r="A699" s="44" t="n">
        <v>42675</v>
      </c>
      <c r="B699" s="45">
        <f>VLOOKUP(Table5345679103[[#This Row],[Date]],Database!A:E,MATCH($A$1,Database!$A$1:$E$1,),)</f>
        <v/>
      </c>
      <c r="C699" s="9">
        <f>(B699-B698)/B698</f>
        <v/>
      </c>
      <c r="D699" s="7">
        <f>(Table5345679103[[#This Row],[Value]]-B687)/B687</f>
        <v/>
      </c>
    </row>
    <row r="700">
      <c r="A700" s="44" t="n">
        <v>42705</v>
      </c>
      <c r="B700" s="45">
        <f>VLOOKUP(Table5345679103[[#This Row],[Date]],Database!A:E,MATCH($A$1,Database!$A$1:$E$1,),)</f>
        <v/>
      </c>
      <c r="C700" s="9">
        <f>(B700-B699)/B699</f>
        <v/>
      </c>
      <c r="D700" s="7">
        <f>(Table5345679103[[#This Row],[Value]]-B688)/B688</f>
        <v/>
      </c>
    </row>
    <row r="701">
      <c r="A701" s="44" t="n">
        <v>42736</v>
      </c>
      <c r="B701" s="45">
        <f>VLOOKUP(Table5345679103[[#This Row],[Date]],Database!A:E,MATCH($A$1,Database!$A$1:$E$1,),)</f>
        <v/>
      </c>
      <c r="C701" s="9">
        <f>(B701-B700)/B700</f>
        <v/>
      </c>
      <c r="D701" s="7">
        <f>(Table5345679103[[#This Row],[Value]]-B689)/B689</f>
        <v/>
      </c>
    </row>
    <row r="702">
      <c r="A702" s="44" t="n">
        <v>42767</v>
      </c>
      <c r="B702" s="45">
        <f>VLOOKUP(Table5345679103[[#This Row],[Date]],Database!A:E,MATCH($A$1,Database!$A$1:$E$1,),)</f>
        <v/>
      </c>
      <c r="C702" s="9">
        <f>(B702-B701)/B701</f>
        <v/>
      </c>
      <c r="D702" s="7">
        <f>(Table5345679103[[#This Row],[Value]]-B690)/B690</f>
        <v/>
      </c>
    </row>
    <row r="703">
      <c r="A703" s="44" t="n">
        <v>42795</v>
      </c>
      <c r="B703" s="45">
        <f>VLOOKUP(Table5345679103[[#This Row],[Date]],Database!A:E,MATCH($A$1,Database!$A$1:$E$1,),)</f>
        <v/>
      </c>
      <c r="C703" s="9">
        <f>(B703-B702)/B702</f>
        <v/>
      </c>
      <c r="D703" s="7">
        <f>(Table5345679103[[#This Row],[Value]]-B691)/B691</f>
        <v/>
      </c>
    </row>
    <row r="704">
      <c r="A704" s="44" t="n">
        <v>42826</v>
      </c>
      <c r="B704" s="45">
        <f>VLOOKUP(Table5345679103[[#This Row],[Date]],Database!A:E,MATCH($A$1,Database!$A$1:$E$1,),)</f>
        <v/>
      </c>
      <c r="C704" s="9">
        <f>(B704-B703)/B703</f>
        <v/>
      </c>
      <c r="D704" s="7">
        <f>(Table5345679103[[#This Row],[Value]]-B692)/B692</f>
        <v/>
      </c>
    </row>
    <row r="705">
      <c r="A705" s="44" t="n">
        <v>42856</v>
      </c>
      <c r="B705" s="45">
        <f>VLOOKUP(Table5345679103[[#This Row],[Date]],Database!A:E,MATCH($A$1,Database!$A$1:$E$1,),)</f>
        <v/>
      </c>
      <c r="C705" s="9">
        <f>(B705-B704)/B704</f>
        <v/>
      </c>
      <c r="D705" s="7">
        <f>(Table5345679103[[#This Row],[Value]]-B693)/B693</f>
        <v/>
      </c>
    </row>
    <row r="706">
      <c r="A706" s="44" t="n">
        <v>42887</v>
      </c>
      <c r="B706" s="45">
        <f>VLOOKUP(Table5345679103[[#This Row],[Date]],Database!A:E,MATCH($A$1,Database!$A$1:$E$1,),)</f>
        <v/>
      </c>
      <c r="C706" s="9">
        <f>(B706-B705)/B705</f>
        <v/>
      </c>
      <c r="D706" s="7">
        <f>(Table5345679103[[#This Row],[Value]]-B694)/B694</f>
        <v/>
      </c>
    </row>
    <row r="707">
      <c r="A707" s="44" t="n">
        <v>42917</v>
      </c>
      <c r="B707" s="45">
        <f>VLOOKUP(Table5345679103[[#This Row],[Date]],Database!A:E,MATCH($A$1,Database!$A$1:$E$1,),)</f>
        <v/>
      </c>
      <c r="C707" s="9">
        <f>(B707-B706)/B706</f>
        <v/>
      </c>
      <c r="D707" s="7">
        <f>(Table5345679103[[#This Row],[Value]]-B695)/B695</f>
        <v/>
      </c>
    </row>
    <row r="708">
      <c r="A708" s="44" t="n">
        <v>42948</v>
      </c>
      <c r="B708" s="45">
        <f>VLOOKUP(Table5345679103[[#This Row],[Date]],Database!A:E,MATCH($A$1,Database!$A$1:$E$1,),)</f>
        <v/>
      </c>
      <c r="C708" s="9">
        <f>(B708-B707)/B707</f>
        <v/>
      </c>
      <c r="D708" s="7">
        <f>(Table5345679103[[#This Row],[Value]]-B696)/B696</f>
        <v/>
      </c>
    </row>
    <row r="709">
      <c r="A709" s="44" t="n">
        <v>42979</v>
      </c>
      <c r="B709" s="45">
        <f>VLOOKUP(Table5345679103[[#This Row],[Date]],Database!A:E,MATCH($A$1,Database!$A$1:$E$1,),)</f>
        <v/>
      </c>
      <c r="C709" s="9">
        <f>(B709-B708)/B708</f>
        <v/>
      </c>
      <c r="D709" s="7">
        <f>(Table5345679103[[#This Row],[Value]]-B697)/B697</f>
        <v/>
      </c>
    </row>
    <row r="710">
      <c r="A710" s="44" t="n">
        <v>43009</v>
      </c>
      <c r="B710" s="45">
        <f>VLOOKUP(Table5345679103[[#This Row],[Date]],Database!A:E,MATCH($A$1,Database!$A$1:$E$1,),)</f>
        <v/>
      </c>
      <c r="C710" s="9">
        <f>(B710-B709)/B709</f>
        <v/>
      </c>
      <c r="D710" s="7">
        <f>(Table5345679103[[#This Row],[Value]]-B698)/B698</f>
        <v/>
      </c>
    </row>
    <row r="711">
      <c r="A711" s="44" t="n">
        <v>43040</v>
      </c>
      <c r="B711" s="45">
        <f>VLOOKUP(Table5345679103[[#This Row],[Date]],Database!A:E,MATCH($A$1,Database!$A$1:$E$1,),)</f>
        <v/>
      </c>
      <c r="C711" s="9">
        <f>(B711-B710)/B710</f>
        <v/>
      </c>
      <c r="D711" s="7">
        <f>(Table5345679103[[#This Row],[Value]]-B699)/B699</f>
        <v/>
      </c>
    </row>
    <row r="712">
      <c r="A712" s="44" t="n">
        <v>43070</v>
      </c>
      <c r="B712" s="45">
        <f>VLOOKUP(Table5345679103[[#This Row],[Date]],Database!A:E,MATCH($A$1,Database!$A$1:$E$1,),)</f>
        <v/>
      </c>
      <c r="C712" s="9">
        <f>(B712-B711)/B711</f>
        <v/>
      </c>
      <c r="D712" s="7">
        <f>(Table5345679103[[#This Row],[Value]]-B700)/B700</f>
        <v/>
      </c>
    </row>
    <row r="713">
      <c r="A713" s="44" t="n">
        <v>43101</v>
      </c>
      <c r="B713" s="45">
        <f>VLOOKUP(Table5345679103[[#This Row],[Date]],Database!A:E,MATCH($A$1,Database!$A$1:$E$1,),)</f>
        <v/>
      </c>
      <c r="C713" s="9">
        <f>(B713-B712)/B712</f>
        <v/>
      </c>
      <c r="D713" s="7">
        <f>(Table5345679103[[#This Row],[Value]]-B701)/B701</f>
        <v/>
      </c>
    </row>
    <row r="714">
      <c r="A714" s="44" t="n">
        <v>43132</v>
      </c>
      <c r="B714" s="45">
        <f>VLOOKUP(Table5345679103[[#This Row],[Date]],Database!A:E,MATCH($A$1,Database!$A$1:$E$1,),)</f>
        <v/>
      </c>
      <c r="C714" s="9">
        <f>(B714-B713)/B713</f>
        <v/>
      </c>
      <c r="D714" s="7">
        <f>(Table5345679103[[#This Row],[Value]]-B702)/B702</f>
        <v/>
      </c>
    </row>
    <row r="715">
      <c r="A715" s="44" t="n">
        <v>43160</v>
      </c>
      <c r="B715" s="45">
        <f>VLOOKUP(Table5345679103[[#This Row],[Date]],Database!A:E,MATCH($A$1,Database!$A$1:$E$1,),)</f>
        <v/>
      </c>
      <c r="C715" s="9">
        <f>(B715-B714)/B714</f>
        <v/>
      </c>
      <c r="D715" s="7">
        <f>(Table5345679103[[#This Row],[Value]]-B703)/B703</f>
        <v/>
      </c>
    </row>
    <row r="716">
      <c r="A716" s="44" t="n">
        <v>43191</v>
      </c>
      <c r="B716" s="45">
        <f>VLOOKUP(Table5345679103[[#This Row],[Date]],Database!A:E,MATCH($A$1,Database!$A$1:$E$1,),)</f>
        <v/>
      </c>
      <c r="C716" s="9">
        <f>(B716-B715)/B715</f>
        <v/>
      </c>
      <c r="D716" s="7">
        <f>(Table5345679103[[#This Row],[Value]]-B704)/B704</f>
        <v/>
      </c>
    </row>
    <row r="717">
      <c r="A717" s="44" t="n">
        <v>43221</v>
      </c>
      <c r="B717" s="45">
        <f>VLOOKUP(Table5345679103[[#This Row],[Date]],Database!A:E,MATCH($A$1,Database!$A$1:$E$1,),)</f>
        <v/>
      </c>
      <c r="C717" s="9">
        <f>(B717-B716)/B716</f>
        <v/>
      </c>
      <c r="D717" s="7">
        <f>(Table5345679103[[#This Row],[Value]]-B705)/B705</f>
        <v/>
      </c>
    </row>
    <row r="718">
      <c r="A718" s="44" t="n">
        <v>43252</v>
      </c>
      <c r="B718" s="45">
        <f>VLOOKUP(Table5345679103[[#This Row],[Date]],Database!A:E,MATCH($A$1,Database!$A$1:$E$1,),)</f>
        <v/>
      </c>
      <c r="C718" s="9">
        <f>(B718-B717)/B717</f>
        <v/>
      </c>
      <c r="D718" s="7">
        <f>(Table5345679103[[#This Row],[Value]]-B706)/B706</f>
        <v/>
      </c>
    </row>
    <row r="719">
      <c r="A719" s="44" t="n">
        <v>43282</v>
      </c>
      <c r="B719" s="45">
        <f>VLOOKUP(Table5345679103[[#This Row],[Date]],Database!A:E,MATCH($A$1,Database!$A$1:$E$1,),)</f>
        <v/>
      </c>
      <c r="C719" s="9">
        <f>(B719-B718)/B718</f>
        <v/>
      </c>
      <c r="D719" s="7">
        <f>(Table5345679103[[#This Row],[Value]]-B707)/B707</f>
        <v/>
      </c>
    </row>
    <row r="720">
      <c r="A720" s="44" t="n">
        <v>43313</v>
      </c>
      <c r="B720" s="45">
        <f>VLOOKUP(Table5345679103[[#This Row],[Date]],Database!A:E,MATCH($A$1,Database!$A$1:$E$1,),)</f>
        <v/>
      </c>
      <c r="C720" s="9">
        <f>(B720-B719)/B719</f>
        <v/>
      </c>
      <c r="D720" s="7">
        <f>(Table5345679103[[#This Row],[Value]]-B708)/B708</f>
        <v/>
      </c>
    </row>
    <row r="721">
      <c r="A721" s="44" t="n">
        <v>43344</v>
      </c>
      <c r="B721" s="45">
        <f>VLOOKUP(Table5345679103[[#This Row],[Date]],Database!A:E,MATCH($A$1,Database!$A$1:$E$1,),)</f>
        <v/>
      </c>
      <c r="C721" s="9">
        <f>(B721-B720)/B720</f>
        <v/>
      </c>
      <c r="D721" s="7">
        <f>(Table5345679103[[#This Row],[Value]]-B709)/B709</f>
        <v/>
      </c>
    </row>
    <row r="722">
      <c r="A722" s="44" t="n">
        <v>43374</v>
      </c>
      <c r="B722" s="45">
        <f>VLOOKUP(Table5345679103[[#This Row],[Date]],Database!A:E,MATCH($A$1,Database!$A$1:$E$1,),)</f>
        <v/>
      </c>
      <c r="C722" s="9">
        <f>(B722-B721)/B721</f>
        <v/>
      </c>
      <c r="D722" s="7">
        <f>(Table5345679103[[#This Row],[Value]]-B710)/B710</f>
        <v/>
      </c>
    </row>
    <row r="723">
      <c r="A723" s="44" t="n">
        <v>43405</v>
      </c>
      <c r="B723" s="45">
        <f>VLOOKUP(Table5345679103[[#This Row],[Date]],Database!A:E,MATCH($A$1,Database!$A$1:$E$1,),)</f>
        <v/>
      </c>
      <c r="C723" s="9">
        <f>(B723-B722)/B722</f>
        <v/>
      </c>
      <c r="D723" s="7">
        <f>(Table5345679103[[#This Row],[Value]]-B711)/B711</f>
        <v/>
      </c>
    </row>
    <row r="724">
      <c r="A724" s="44" t="n">
        <v>43435</v>
      </c>
      <c r="B724" s="45">
        <f>VLOOKUP(Table5345679103[[#This Row],[Date]],Database!A:E,MATCH($A$1,Database!$A$1:$E$1,),)</f>
        <v/>
      </c>
      <c r="C724" s="9">
        <f>(B724-B723)/B723</f>
        <v/>
      </c>
      <c r="D724" s="7">
        <f>(Table5345679103[[#This Row],[Value]]-B712)/B712</f>
        <v/>
      </c>
    </row>
    <row r="725">
      <c r="A725" s="44" t="n">
        <v>43466</v>
      </c>
      <c r="B725" s="45">
        <f>VLOOKUP(Table5345679103[[#This Row],[Date]],Database!A:E,MATCH($A$1,Database!$A$1:$E$1,),)</f>
        <v/>
      </c>
      <c r="C725" s="9">
        <f>(B725-B724)/B724</f>
        <v/>
      </c>
      <c r="D725" s="7">
        <f>(Table5345679103[[#This Row],[Value]]-B713)/B713</f>
        <v/>
      </c>
    </row>
    <row r="726">
      <c r="A726" s="44" t="n">
        <v>43497</v>
      </c>
      <c r="B726" s="45">
        <f>VLOOKUP(Table5345679103[[#This Row],[Date]],Database!A:E,MATCH($A$1,Database!$A$1:$E$1,),)</f>
        <v/>
      </c>
      <c r="C726" s="9">
        <f>(B726-B725)/B725</f>
        <v/>
      </c>
      <c r="D726" s="7">
        <f>(Table5345679103[[#This Row],[Value]]-B714)/B714</f>
        <v/>
      </c>
    </row>
    <row r="727">
      <c r="A727" s="44" t="n">
        <v>43525</v>
      </c>
      <c r="B727" s="45">
        <f>VLOOKUP(Table5345679103[[#This Row],[Date]],Database!A:E,MATCH($A$1,Database!$A$1:$E$1,),)</f>
        <v/>
      </c>
      <c r="C727" s="9">
        <f>(B727-B726)/B726</f>
        <v/>
      </c>
      <c r="D727" s="7">
        <f>(Table5345679103[[#This Row],[Value]]-B715)/B715</f>
        <v/>
      </c>
    </row>
    <row r="728">
      <c r="A728" s="44" t="n">
        <v>43556</v>
      </c>
      <c r="B728" s="45">
        <f>VLOOKUP(Table5345679103[[#This Row],[Date]],Database!A:E,MATCH($A$1,Database!$A$1:$E$1,),)</f>
        <v/>
      </c>
      <c r="C728" s="9">
        <f>(B728-B727)/B727</f>
        <v/>
      </c>
      <c r="D728" s="7">
        <f>(Table5345679103[[#This Row],[Value]]-B716)/B716</f>
        <v/>
      </c>
    </row>
    <row r="729">
      <c r="A729" s="44" t="n">
        <v>43586</v>
      </c>
      <c r="B729" s="45">
        <f>VLOOKUP(Table5345679103[[#This Row],[Date]],Database!A:E,MATCH($A$1,Database!$A$1:$E$1,),)</f>
        <v/>
      </c>
      <c r="C729" s="9">
        <f>(B729-B728)/B728</f>
        <v/>
      </c>
      <c r="D729" s="7">
        <f>(Table5345679103[[#This Row],[Value]]-B717)/B717</f>
        <v/>
      </c>
    </row>
    <row r="730">
      <c r="A730" s="44" t="n">
        <v>43617</v>
      </c>
      <c r="B730" s="45">
        <f>VLOOKUP(Table5345679103[[#This Row],[Date]],Database!A:E,MATCH($A$1,Database!$A$1:$E$1,),)</f>
        <v/>
      </c>
      <c r="C730" s="9">
        <f>(B730-B729)/B729</f>
        <v/>
      </c>
      <c r="D730" s="7">
        <f>(Table5345679103[[#This Row],[Value]]-B718)/B718</f>
        <v/>
      </c>
    </row>
    <row r="731">
      <c r="A731" s="44" t="n">
        <v>43647</v>
      </c>
      <c r="B731" s="45">
        <f>VLOOKUP(Table5345679103[[#This Row],[Date]],Database!A:E,MATCH($A$1,Database!$A$1:$E$1,),)</f>
        <v/>
      </c>
      <c r="C731" s="9">
        <f>(B731-B730)/B730</f>
        <v/>
      </c>
      <c r="D731" s="7">
        <f>(Table5345679103[[#This Row],[Value]]-B719)/B719</f>
        <v/>
      </c>
    </row>
    <row r="732" customFormat="1" s="51">
      <c r="A732" s="44" t="n">
        <v>43678</v>
      </c>
      <c r="B732" s="45">
        <f>VLOOKUP(Table5345679103[[#This Row],[Date]],Database!A:E,MATCH($A$1,Database!$A$1:$E$1,),)</f>
        <v/>
      </c>
      <c r="C732" s="9">
        <f>(B732-B731)/B731</f>
        <v/>
      </c>
      <c r="D732" s="7">
        <f>(Table5345679103[[#This Row],[Value]]-B720)/B720</f>
        <v/>
      </c>
    </row>
    <row r="733" customFormat="1" s="51">
      <c r="A733" s="44" t="n">
        <v>43709</v>
      </c>
      <c r="B733" s="45">
        <f>VLOOKUP(Table5345679103[[#This Row],[Date]],Database!A:E,MATCH($A$1,Database!$A$1:$E$1,),)</f>
        <v/>
      </c>
      <c r="C733" s="9">
        <f>(B733-B732)/B732</f>
        <v/>
      </c>
      <c r="D733" s="7">
        <f>(Table5345679103[[#This Row],[Value]]-B721)/B721</f>
        <v/>
      </c>
    </row>
    <row r="734" customFormat="1" s="51">
      <c r="A734" s="44" t="n">
        <v>43739</v>
      </c>
      <c r="B734" s="45">
        <f>VLOOKUP(Table5345679103[[#This Row],[Date]],Database!A:E,MATCH($A$1,Database!$A$1:$E$1,),)</f>
        <v/>
      </c>
      <c r="C734" s="9">
        <f>(B734-B733)/B733</f>
        <v/>
      </c>
      <c r="D734" s="7">
        <f>(Table5345679103[[#This Row],[Value]]-B722)/B722</f>
        <v/>
      </c>
    </row>
    <row r="735" customFormat="1" s="51">
      <c r="A735" s="44" t="n">
        <v>43770</v>
      </c>
      <c r="B735" s="45">
        <f>VLOOKUP(Table5345679103[[#This Row],[Date]],Database!A:E,MATCH($A$1,Database!$A$1:$E$1,),)</f>
        <v/>
      </c>
      <c r="C735" s="9">
        <f>(B735-B734)/B734</f>
        <v/>
      </c>
      <c r="D735" s="7">
        <f>(Table5345679103[[#This Row],[Value]]-B723)/B723</f>
        <v/>
      </c>
    </row>
    <row r="736" customFormat="1" s="51">
      <c r="A736" s="44" t="n">
        <v>43800</v>
      </c>
      <c r="B736" s="45">
        <f>VLOOKUP(Table5345679103[[#This Row],[Date]],Database!A:E,MATCH($A$1,Database!$A$1:$E$1,),)</f>
        <v/>
      </c>
      <c r="C736" s="9">
        <f>(B736-B735)/B735</f>
        <v/>
      </c>
      <c r="D736" s="7">
        <f>(Table5345679103[[#This Row],[Value]]-B724)/B724</f>
        <v/>
      </c>
    </row>
    <row r="737" customFormat="1" s="51">
      <c r="A737" s="44" t="n">
        <v>43831</v>
      </c>
      <c r="B737" s="45">
        <f>VLOOKUP(Table5345679103[[#This Row],[Date]],Database!A:E,MATCH($A$1,Database!$A$1:$E$1,),)</f>
        <v/>
      </c>
      <c r="C737" s="9">
        <f>(B737-B736)/B736</f>
        <v/>
      </c>
      <c r="D737" s="7">
        <f>(Table5345679103[[#This Row],[Value]]-B725)/B725</f>
        <v/>
      </c>
    </row>
    <row r="738" customFormat="1" s="51">
      <c r="A738" s="44" t="n">
        <v>43862</v>
      </c>
      <c r="B738" s="45">
        <f>VLOOKUP(Table5345679103[[#This Row],[Date]],Database!A:E,MATCH($A$1,Database!$A$1:$E$1,),)</f>
        <v/>
      </c>
      <c r="C738" s="9">
        <f>(B738-B737)/B737</f>
        <v/>
      </c>
      <c r="D738" s="7">
        <f>(Table5345679103[[#This Row],[Value]]-B726)/B726</f>
        <v/>
      </c>
    </row>
    <row r="739" customFormat="1" s="51">
      <c r="A739" s="44" t="n">
        <v>43891</v>
      </c>
      <c r="B739" s="45">
        <f>VLOOKUP(Table5345679103[[#This Row],[Date]],Database!A:E,MATCH($A$1,Database!$A$1:$E$1,),)</f>
        <v/>
      </c>
      <c r="C739" s="9">
        <f>(B739-B738)/B738</f>
        <v/>
      </c>
      <c r="D739" s="7">
        <f>(Table5345679103[[#This Row],[Value]]-B727)/B727</f>
        <v/>
      </c>
    </row>
    <row r="740" customFormat="1" s="51">
      <c r="A740" s="44" t="n">
        <v>43922</v>
      </c>
      <c r="B740" s="45">
        <f>VLOOKUP(Table5345679103[[#This Row],[Date]],Database!A:E,MATCH($A$1,Database!$A$1:$E$1,),)</f>
        <v/>
      </c>
      <c r="C740" s="9">
        <f>(B740-B739)/B739</f>
        <v/>
      </c>
      <c r="D740" s="7">
        <f>(Table5345679103[[#This Row],[Value]]-B728)/B728</f>
        <v/>
      </c>
    </row>
    <row r="741" customFormat="1" s="51">
      <c r="A741" s="44" t="n">
        <v>43952</v>
      </c>
      <c r="B741" s="45">
        <f>VLOOKUP(Table5345679103[[#This Row],[Date]],Database!A:E,MATCH($A$1,Database!$A$1:$E$1,),)</f>
        <v/>
      </c>
      <c r="C741" s="9">
        <f>(B741-B740)/B740</f>
        <v/>
      </c>
      <c r="D741" s="7">
        <f>(Table5345679103[[#This Row],[Value]]-B729)/B729</f>
        <v/>
      </c>
    </row>
    <row r="742" customFormat="1" s="51">
      <c r="A742" s="44" t="n">
        <v>43983</v>
      </c>
      <c r="B742" s="45">
        <f>VLOOKUP(Table5345679103[[#This Row],[Date]],Database!A:E,MATCH($A$1,Database!$A$1:$E$1,),)</f>
        <v/>
      </c>
      <c r="C742" s="9">
        <f>(B742-B741)/B741</f>
        <v/>
      </c>
      <c r="D742" s="7">
        <f>(Table5345679103[[#This Row],[Value]]-B730)/B730</f>
        <v/>
      </c>
    </row>
    <row r="743" customFormat="1" s="51">
      <c r="A743" s="44" t="n">
        <v>44013</v>
      </c>
      <c r="B743" s="45">
        <f>VLOOKUP(Table5345679103[[#This Row],[Date]],Database!A:E,MATCH($A$1,Database!$A$1:$E$1,),)</f>
        <v/>
      </c>
      <c r="C743" s="9">
        <f>(B743-B742)/B742</f>
        <v/>
      </c>
      <c r="D743" s="7">
        <f>(Table5345679103[[#This Row],[Value]]-B731)/B731</f>
        <v/>
      </c>
    </row>
    <row r="744" customFormat="1" s="51">
      <c r="A744" s="44" t="n">
        <v>44044</v>
      </c>
      <c r="B744" s="45">
        <f>VLOOKUP(Table5345679103[[#This Row],[Date]],Database!A:E,MATCH($A$1,Database!$A$1:$E$1,),)</f>
        <v/>
      </c>
      <c r="C744" s="9">
        <f>(B744-B743)/B743</f>
        <v/>
      </c>
      <c r="D744" s="7">
        <f>(Table5345679103[[#This Row],[Value]]-B732)/B732</f>
        <v/>
      </c>
    </row>
    <row r="745" customFormat="1" s="51">
      <c r="A745" s="44" t="n">
        <v>44075</v>
      </c>
      <c r="B745" s="45">
        <f>VLOOKUP(Table5345679103[[#This Row],[Date]],Database!A:E,MATCH($A$1,Database!$A$1:$E$1,),)</f>
        <v/>
      </c>
      <c r="C745" s="9">
        <f>(B745-B744)/B744</f>
        <v/>
      </c>
      <c r="D745" s="7">
        <f>(Table5345679103[[#This Row],[Value]]-B733)/B733</f>
        <v/>
      </c>
    </row>
    <row r="746" customFormat="1" s="51">
      <c r="A746" s="44" t="n">
        <v>44105</v>
      </c>
      <c r="B746" s="45">
        <f>VLOOKUP(Table5345679103[[#This Row],[Date]],Database!A:E,MATCH($A$1,Database!$A$1:$E$1,),)</f>
        <v/>
      </c>
      <c r="C746" s="9">
        <f>(B746-B745)/B745</f>
        <v/>
      </c>
      <c r="D746" s="7">
        <f>(Table5345679103[[#This Row],[Value]]-B734)/B734</f>
        <v/>
      </c>
    </row>
    <row r="747" customFormat="1" s="51">
      <c r="A747" s="44" t="n">
        <v>44136</v>
      </c>
      <c r="B747" s="45">
        <f>VLOOKUP(Table5345679103[[#This Row],[Date]],Database!A:E,MATCH($A$1,Database!$A$1:$E$1,),)</f>
        <v/>
      </c>
      <c r="C747" s="9">
        <f>(B747-B746)/B746</f>
        <v/>
      </c>
      <c r="D747" s="7">
        <f>(Table5345679103[[#This Row],[Value]]-B735)/B735</f>
        <v/>
      </c>
    </row>
    <row r="748" customFormat="1" s="51">
      <c r="A748" s="44" t="n">
        <v>44166</v>
      </c>
      <c r="B748" s="45">
        <f>VLOOKUP(Table5345679103[[#This Row],[Date]],Database!A:E,MATCH($A$1,Database!$A$1:$E$1,),)</f>
        <v/>
      </c>
      <c r="C748" s="9">
        <f>(B748-B747)/B747</f>
        <v/>
      </c>
      <c r="D748" s="7">
        <f>(Table5345679103[[#This Row],[Value]]-B736)/B736</f>
        <v/>
      </c>
    </row>
    <row r="749" customFormat="1" s="51">
      <c r="A749" s="44" t="n">
        <v>44197</v>
      </c>
      <c r="B749" s="45">
        <f>VLOOKUP(Table5345679103[[#This Row],[Date]],Database!A:E,MATCH($A$1,Database!$A$1:$E$1,),)</f>
        <v/>
      </c>
      <c r="C749" s="9">
        <f>(B749-B748)/B748</f>
        <v/>
      </c>
      <c r="D749" s="7">
        <f>(Table5345679103[[#This Row],[Value]]-B737)/B737</f>
        <v/>
      </c>
    </row>
    <row r="750" customFormat="1" s="51">
      <c r="A750" s="44" t="n">
        <v>44228</v>
      </c>
      <c r="B750" s="45">
        <f>VLOOKUP(Table5345679103[[#This Row],[Date]],Database!A:E,MATCH($A$1,Database!$A$1:$E$1,),)</f>
        <v/>
      </c>
      <c r="C750" s="9">
        <f>(B750-B749)/B749</f>
        <v/>
      </c>
      <c r="D750" s="7">
        <f>(Table5345679103[[#This Row],[Value]]-B738)/B738</f>
        <v/>
      </c>
    </row>
    <row r="751" customFormat="1" s="51">
      <c r="A751" s="44" t="n">
        <v>44256</v>
      </c>
      <c r="B751" s="45">
        <f>VLOOKUP(Table5345679103[[#This Row],[Date]],Database!A:E,MATCH($A$1,Database!$A$1:$E$1,),)</f>
        <v/>
      </c>
      <c r="C751" s="9">
        <f>(B751-B750)/B750</f>
        <v/>
      </c>
      <c r="D751" s="7">
        <f>(Table5345679103[[#This Row],[Value]]-B739)/B739</f>
        <v/>
      </c>
    </row>
    <row r="752" customFormat="1" s="51">
      <c r="A752" s="44" t="n">
        <v>44287</v>
      </c>
      <c r="B752" s="45">
        <f>VLOOKUP(Table5345679103[[#This Row],[Date]],Database!A:E,MATCH($A$1,Database!$A$1:$E$1,),)</f>
        <v/>
      </c>
      <c r="C752" s="9">
        <f>(B752-B751)/B751</f>
        <v/>
      </c>
      <c r="D752" s="7">
        <f>(Table5345679103[[#This Row],[Value]]-B740)/B740</f>
        <v/>
      </c>
    </row>
    <row r="753" customFormat="1" s="51">
      <c r="A753" s="44" t="n">
        <v>44317</v>
      </c>
      <c r="B753" s="45">
        <f>VLOOKUP(Table5345679103[[#This Row],[Date]],Database!A:E,MATCH($A$1,Database!$A$1:$E$1,),)</f>
        <v/>
      </c>
      <c r="C753" s="9">
        <f>(B753-B752)/B752</f>
        <v/>
      </c>
      <c r="D753" s="7">
        <f>(Table5345679103[[#This Row],[Value]]-B741)/B741</f>
        <v/>
      </c>
    </row>
    <row r="754" customFormat="1" s="51">
      <c r="A754" s="44" t="n">
        <v>44348</v>
      </c>
      <c r="B754" s="45">
        <f>VLOOKUP(Table5345679103[[#This Row],[Date]],Database!A:E,MATCH($A$1,Database!$A$1:$E$1,),)</f>
        <v/>
      </c>
      <c r="C754" s="9">
        <f>(B754-B753)/B753</f>
        <v/>
      </c>
      <c r="D754" s="7">
        <f>(Table5345679103[[#This Row],[Value]]-B742)/B742</f>
        <v/>
      </c>
    </row>
    <row r="755" customFormat="1" s="51">
      <c r="A755" s="44" t="n">
        <v>44378</v>
      </c>
      <c r="B755" s="45">
        <f>VLOOKUP(Table5345679103[[#This Row],[Date]],Database!A:E,MATCH($A$1,Database!$A$1:$E$1,),)</f>
        <v/>
      </c>
      <c r="C755" s="9">
        <f>(B755-B754)/B754</f>
        <v/>
      </c>
      <c r="D755" s="7">
        <f>(Table5345679103[[#This Row],[Value]]-B743)/B743</f>
        <v/>
      </c>
    </row>
    <row r="756" customFormat="1" s="51">
      <c r="A756" s="44" t="n">
        <v>44409</v>
      </c>
      <c r="B756" s="45">
        <f>VLOOKUP(Table5345679103[[#This Row],[Date]],Database!A:E,MATCH($A$1,Database!$A$1:$E$1,),)</f>
        <v/>
      </c>
      <c r="C756" s="9">
        <f>(B756-B755)/B755</f>
        <v/>
      </c>
      <c r="D756" s="7">
        <f>(Table5345679103[[#This Row],[Value]]-B744)/B744</f>
        <v/>
      </c>
    </row>
    <row r="757" customFormat="1" s="51">
      <c r="A757" s="44" t="n">
        <v>44440</v>
      </c>
      <c r="B757" s="45">
        <f>VLOOKUP(Table5345679103[[#This Row],[Date]],Database!A:E,MATCH($A$1,Database!$A$1:$E$1,),)</f>
        <v/>
      </c>
      <c r="C757" s="9">
        <f>(B757-B756)/B756</f>
        <v/>
      </c>
      <c r="D757" s="7">
        <f>(Table5345679103[[#This Row],[Value]]-B745)/B745</f>
        <v/>
      </c>
    </row>
    <row r="758" customFormat="1" s="51">
      <c r="A758" s="44" t="n">
        <v>44470</v>
      </c>
      <c r="B758" s="45">
        <f>VLOOKUP(Table5345679103[[#This Row],[Date]],Database!A:E,MATCH($A$1,Database!$A$1:$E$1,),)</f>
        <v/>
      </c>
      <c r="C758" s="9">
        <f>(B758-B757)/B757</f>
        <v/>
      </c>
      <c r="D758" s="7">
        <f>(Table5345679103[[#This Row],[Value]]-B746)/B746</f>
        <v/>
      </c>
    </row>
    <row r="759" customFormat="1" s="51">
      <c r="A759" s="44" t="n">
        <v>44501</v>
      </c>
      <c r="B759" s="45">
        <f>VLOOKUP(Table5345679103[[#This Row],[Date]],Database!A:E,MATCH($A$1,Database!$A$1:$E$1,),)</f>
        <v/>
      </c>
      <c r="C759" s="9">
        <f>(B759-B758)/B758</f>
        <v/>
      </c>
      <c r="D759" s="7">
        <f>(Table5345679103[[#This Row],[Value]]-B747)/B747</f>
        <v/>
      </c>
    </row>
    <row r="760" customFormat="1" s="51">
      <c r="A760" s="44" t="n">
        <v>44531</v>
      </c>
      <c r="B760" s="45">
        <f>VLOOKUP(Table5345679103[[#This Row],[Date]],Database!A:E,MATCH($A$1,Database!$A$1:$E$1,),)</f>
        <v/>
      </c>
      <c r="C760" s="9">
        <f>(B760-B759)/B759</f>
        <v/>
      </c>
      <c r="D760" s="7">
        <f>(Table5345679103[[#This Row],[Value]]-B748)/B748</f>
        <v/>
      </c>
    </row>
    <row r="761" customFormat="1" s="51">
      <c r="A761" s="6" t="n"/>
      <c r="B761" s="40" t="n"/>
      <c r="C761" s="4" t="n"/>
      <c r="D761" s="5" t="n"/>
    </row>
    <row r="762" customFormat="1" s="51">
      <c r="A762" s="6" t="n"/>
      <c r="B762" s="40" t="n"/>
      <c r="C762" s="4" t="n"/>
      <c r="D762" s="5" t="n"/>
    </row>
    <row r="763" customFormat="1" s="51">
      <c r="A763" s="6" t="n"/>
      <c r="B763" s="40" t="n"/>
      <c r="C763" s="4" t="n"/>
      <c r="D763" s="5" t="n"/>
    </row>
    <row r="764" customFormat="1" s="51">
      <c r="A764" s="6" t="n"/>
      <c r="B764" s="40" t="n"/>
      <c r="C764" s="4" t="n"/>
      <c r="D764" s="5" t="n"/>
    </row>
    <row r="765" customFormat="1" s="51">
      <c r="A765" s="6" t="n"/>
      <c r="B765" s="40" t="n"/>
      <c r="C765" s="4" t="n"/>
      <c r="D765" s="5" t="n"/>
    </row>
    <row r="766" customFormat="1" s="51">
      <c r="A766" s="6" t="n"/>
      <c r="B766" s="40" t="n"/>
      <c r="C766" s="4" t="n"/>
      <c r="D766" s="5" t="n"/>
    </row>
    <row r="767" customFormat="1" s="51">
      <c r="A767" s="6" t="n"/>
      <c r="B767" s="40" t="n"/>
      <c r="C767" s="4" t="n"/>
      <c r="D767" s="5" t="n"/>
    </row>
    <row r="768" customFormat="1" s="51">
      <c r="A768" s="6" t="n"/>
      <c r="B768" s="40" t="n"/>
      <c r="C768" s="4" t="n"/>
      <c r="D768" s="5" t="n"/>
    </row>
    <row r="769" customFormat="1" s="51">
      <c r="A769" s="6" t="n"/>
      <c r="B769" s="40" t="n"/>
      <c r="C769" s="4" t="n"/>
      <c r="D769" s="5" t="n"/>
    </row>
    <row r="770" customFormat="1" s="51">
      <c r="A770" s="6" t="n"/>
      <c r="B770" s="40" t="n"/>
      <c r="C770" s="4" t="n"/>
      <c r="D770" s="5" t="n"/>
    </row>
    <row r="771" customFormat="1" s="51">
      <c r="A771" s="6" t="n"/>
      <c r="B771" s="40" t="n"/>
      <c r="C771" s="4" t="n"/>
      <c r="D771" s="5" t="n"/>
    </row>
    <row r="772" customFormat="1" s="51">
      <c r="A772" s="6" t="n"/>
      <c r="B772" s="40" t="n"/>
      <c r="C772" s="4" t="n"/>
      <c r="D772" s="5" t="n"/>
    </row>
    <row r="773" customFormat="1" s="51">
      <c r="A773" s="6" t="n"/>
      <c r="B773" s="40" t="n"/>
      <c r="C773" s="4" t="n"/>
      <c r="D773" s="5" t="n"/>
    </row>
    <row r="774" customFormat="1" s="51">
      <c r="A774" s="6" t="n"/>
      <c r="B774" s="40" t="n"/>
      <c r="C774" s="4" t="n"/>
      <c r="D774" s="5" t="n"/>
    </row>
    <row r="775" customFormat="1" s="51">
      <c r="A775" s="6" t="n"/>
      <c r="B775" s="40" t="n"/>
      <c r="C775" s="4" t="n"/>
      <c r="D775" s="5" t="n"/>
    </row>
    <row r="776" customFormat="1" s="51">
      <c r="A776" s="6" t="n"/>
      <c r="B776" s="40" t="n"/>
      <c r="C776" s="4" t="n"/>
      <c r="D776" s="5" t="n"/>
    </row>
    <row r="777" customFormat="1" s="51">
      <c r="A777" s="6" t="n"/>
      <c r="B777" s="40" t="n"/>
      <c r="C777" s="4" t="n"/>
      <c r="D777" s="5" t="n"/>
    </row>
    <row r="778" customFormat="1" s="51">
      <c r="A778" s="6" t="n"/>
      <c r="B778" s="40" t="n"/>
      <c r="C778" s="4" t="n"/>
      <c r="D778" s="5" t="n"/>
    </row>
    <row r="779" customFormat="1" s="51">
      <c r="A779" s="6" t="n"/>
      <c r="B779" s="40" t="n"/>
      <c r="C779" s="4" t="n"/>
      <c r="D779" s="5" t="n"/>
    </row>
    <row r="780" customFormat="1" s="51">
      <c r="A780" s="6" t="n"/>
      <c r="B780" s="40" t="n"/>
      <c r="C780" s="4" t="n"/>
      <c r="D780" s="5" t="n"/>
    </row>
    <row r="781" customFormat="1" s="51">
      <c r="A781" s="6" t="n"/>
      <c r="B781" s="40" t="n"/>
      <c r="C781" s="4" t="n"/>
      <c r="D781" s="5" t="n"/>
    </row>
    <row r="782" customFormat="1" s="51">
      <c r="A782" s="6" t="n"/>
      <c r="B782" s="40" t="n"/>
      <c r="C782" s="4" t="n"/>
      <c r="D782" s="5" t="n"/>
    </row>
    <row r="783" customFormat="1" s="51">
      <c r="A783" s="6" t="n"/>
      <c r="B783" s="40" t="n"/>
      <c r="C783" s="4" t="n"/>
      <c r="D783" s="5" t="n"/>
    </row>
    <row r="784" customFormat="1" s="51">
      <c r="A784" s="6" t="n"/>
      <c r="B784" s="40" t="n"/>
      <c r="C784" s="4" t="n"/>
      <c r="D784" s="5" t="n"/>
    </row>
    <row r="785" customFormat="1" s="51">
      <c r="A785" s="6" t="n"/>
      <c r="B785" s="40" t="n"/>
      <c r="C785" s="4" t="n"/>
      <c r="D785" s="5" t="n"/>
    </row>
    <row r="786" customFormat="1" s="51">
      <c r="A786" s="6" t="n"/>
      <c r="B786" s="40" t="n"/>
      <c r="C786" s="4" t="n"/>
      <c r="D786" s="5" t="n"/>
    </row>
    <row r="787" customFormat="1" s="51">
      <c r="A787" s="6" t="n"/>
      <c r="B787" s="40" t="n"/>
      <c r="C787" s="4" t="n"/>
      <c r="D787" s="5" t="n"/>
    </row>
    <row r="788" customFormat="1" s="51">
      <c r="A788" s="6" t="n"/>
      <c r="B788" s="40" t="n"/>
      <c r="C788" s="4" t="n"/>
      <c r="D788" s="5" t="n"/>
    </row>
    <row r="789" customFormat="1" s="51">
      <c r="A789" s="6" t="n"/>
      <c r="B789" s="40" t="n"/>
      <c r="C789" s="4" t="n"/>
      <c r="D789" s="5" t="n"/>
    </row>
    <row r="790" customFormat="1" s="51">
      <c r="A790" s="6" t="n"/>
      <c r="B790" s="40" t="n"/>
      <c r="C790" s="4" t="n"/>
      <c r="D790" s="5" t="n"/>
    </row>
    <row r="791" customFormat="1" s="51">
      <c r="A791" s="6" t="n"/>
      <c r="B791" s="40" t="n"/>
      <c r="C791" s="4" t="n"/>
      <c r="D791" s="5" t="n"/>
    </row>
    <row r="792" customFormat="1" s="51">
      <c r="A792" s="6" t="n"/>
      <c r="B792" s="40" t="n"/>
      <c r="C792" s="4" t="n"/>
      <c r="D792" s="5" t="n"/>
    </row>
    <row r="793" customFormat="1" s="51">
      <c r="A793" s="6" t="n"/>
      <c r="B793" s="40" t="n"/>
      <c r="C793" s="4" t="n"/>
      <c r="D793" s="5" t="n"/>
    </row>
    <row r="794" customFormat="1" s="51">
      <c r="A794" s="6" t="n"/>
      <c r="B794" s="40" t="n"/>
      <c r="C794" s="4" t="n"/>
      <c r="D794" s="5" t="n"/>
    </row>
    <row r="795" customFormat="1" s="51">
      <c r="A795" s="6" t="n"/>
      <c r="B795" s="40" t="n"/>
      <c r="C795" s="4" t="n"/>
      <c r="D795" s="5" t="n"/>
    </row>
    <row r="796" customFormat="1" s="51">
      <c r="A796" s="6" t="n"/>
      <c r="B796" s="40" t="n"/>
      <c r="C796" s="4" t="n"/>
      <c r="D796" s="5" t="n"/>
    </row>
    <row r="797" customFormat="1" s="51">
      <c r="A797" s="6" t="n"/>
      <c r="B797" s="40" t="n"/>
      <c r="C797" s="4" t="n"/>
      <c r="D797" s="5" t="n"/>
    </row>
    <row r="798" customFormat="1" s="51">
      <c r="A798" s="6" t="n"/>
      <c r="B798" s="40" t="n"/>
      <c r="C798" s="4" t="n"/>
      <c r="D798" s="5" t="n"/>
    </row>
    <row r="799" customFormat="1" s="51">
      <c r="A799" s="6" t="n"/>
      <c r="B799" s="40" t="n"/>
      <c r="C799" s="4" t="n"/>
      <c r="D799" s="5" t="n"/>
    </row>
    <row r="800" customFormat="1" s="51">
      <c r="A800" s="6" t="n"/>
      <c r="B800" s="40" t="n"/>
      <c r="C800" s="4" t="n"/>
      <c r="D800" s="5" t="n"/>
    </row>
    <row r="801" customFormat="1" s="51">
      <c r="A801" s="6" t="n"/>
      <c r="B801" s="40" t="n"/>
      <c r="C801" s="4" t="n"/>
      <c r="D801" s="5" t="n"/>
    </row>
    <row r="802" customFormat="1" s="51">
      <c r="A802" s="6" t="n"/>
      <c r="B802" s="40" t="n"/>
      <c r="C802" s="4" t="n"/>
      <c r="D802" s="5" t="n"/>
    </row>
    <row r="803" customFormat="1" s="51">
      <c r="A803" s="6" t="n"/>
      <c r="B803" s="40" t="n"/>
      <c r="C803" s="4" t="n"/>
      <c r="D803" s="5" t="n"/>
    </row>
    <row r="804" customFormat="1" s="51">
      <c r="A804" s="6" t="n"/>
      <c r="B804" s="40" t="n"/>
      <c r="C804" s="4" t="n"/>
      <c r="D804" s="5" t="n"/>
    </row>
    <row r="805" customFormat="1" s="51">
      <c r="A805" s="6" t="n"/>
      <c r="B805" s="40" t="n"/>
      <c r="C805" s="4" t="n"/>
      <c r="D805" s="5" t="n"/>
    </row>
    <row r="806" customFormat="1" s="51">
      <c r="A806" s="6" t="n"/>
      <c r="B806" s="40" t="n"/>
      <c r="C806" s="4" t="n"/>
      <c r="D806" s="5" t="n"/>
    </row>
    <row r="807" customFormat="1" s="51">
      <c r="A807" s="6" t="n"/>
      <c r="B807" s="40" t="n"/>
      <c r="C807" s="4" t="n"/>
      <c r="D807" s="5" t="n"/>
    </row>
    <row r="808" customFormat="1" s="51">
      <c r="A808" s="6" t="n"/>
      <c r="B808" s="40" t="n"/>
      <c r="C808" s="4" t="n"/>
      <c r="D808" s="5" t="n"/>
    </row>
    <row r="809" customFormat="1" s="51">
      <c r="A809" s="6" t="n"/>
      <c r="B809" s="40" t="n"/>
      <c r="C809" s="4" t="n"/>
      <c r="D809" s="5" t="n"/>
    </row>
    <row r="810" customFormat="1" s="51">
      <c r="A810" s="6" t="n"/>
      <c r="B810" s="40" t="n"/>
      <c r="C810" s="4" t="n"/>
      <c r="D810" s="5" t="n"/>
    </row>
    <row r="811" customFormat="1" s="51">
      <c r="A811" s="6" t="n"/>
      <c r="B811" s="40" t="n"/>
      <c r="C811" s="4" t="n"/>
      <c r="D811" s="5" t="n"/>
    </row>
    <row r="812" customFormat="1" s="51">
      <c r="A812" s="6" t="n"/>
      <c r="B812" s="40" t="n"/>
      <c r="C812" s="4" t="n"/>
      <c r="D812" s="5" t="n"/>
    </row>
    <row r="813" customFormat="1" s="51">
      <c r="A813" s="6" t="n"/>
      <c r="B813" s="40" t="n"/>
      <c r="C813" s="4" t="n"/>
      <c r="D813" s="5" t="n"/>
    </row>
    <row r="814" customFormat="1" s="51">
      <c r="A814" s="6" t="n"/>
      <c r="B814" s="40" t="n"/>
      <c r="C814" s="4" t="n"/>
      <c r="D814" s="5" t="n"/>
    </row>
    <row r="815" customFormat="1" s="51">
      <c r="A815" s="6" t="n"/>
      <c r="B815" s="40" t="n"/>
      <c r="C815" s="4" t="n"/>
      <c r="D815" s="5" t="n"/>
    </row>
    <row r="816" customFormat="1" s="51">
      <c r="A816" s="6" t="n"/>
      <c r="B816" s="40" t="n"/>
      <c r="C816" s="4" t="n"/>
      <c r="D816" s="5" t="n"/>
    </row>
    <row r="817" customFormat="1" s="51">
      <c r="A817" s="6" t="n"/>
      <c r="B817" s="40" t="n"/>
      <c r="C817" s="4" t="n"/>
      <c r="D817" s="5" t="n"/>
    </row>
    <row r="818" customFormat="1" s="51">
      <c r="A818" s="6" t="n"/>
      <c r="B818" s="40" t="n"/>
      <c r="C818" s="4" t="n"/>
      <c r="D818" s="5" t="n"/>
    </row>
    <row r="819" customFormat="1" s="51">
      <c r="A819" s="6" t="n"/>
      <c r="B819" s="40" t="n"/>
      <c r="C819" s="4" t="n"/>
      <c r="D819" s="5" t="n"/>
    </row>
    <row r="820" customFormat="1" s="51">
      <c r="A820" s="6" t="n"/>
      <c r="B820" s="40" t="n"/>
      <c r="C820" s="4" t="n"/>
      <c r="D820" s="5" t="n"/>
    </row>
    <row r="821" customFormat="1" s="51">
      <c r="A821" s="6" t="n"/>
      <c r="B821" s="40" t="n"/>
      <c r="C821" s="4" t="n"/>
      <c r="D821" s="5" t="n"/>
    </row>
    <row r="822" customFormat="1" s="51">
      <c r="A822" s="6" t="n"/>
      <c r="B822" s="40" t="n"/>
      <c r="C822" s="4" t="n"/>
      <c r="D822" s="5" t="n"/>
    </row>
    <row r="823" customFormat="1" s="51">
      <c r="A823" s="6" t="n"/>
      <c r="B823" s="40" t="n"/>
      <c r="C823" s="4" t="n"/>
      <c r="D823" s="5" t="n"/>
    </row>
    <row r="824" customFormat="1" s="51">
      <c r="A824" s="6" t="n"/>
      <c r="B824" s="40" t="n"/>
      <c r="C824" s="4" t="n"/>
      <c r="D824" s="5" t="n"/>
    </row>
    <row r="825" customFormat="1" s="51">
      <c r="A825" s="6" t="n"/>
      <c r="B825" s="40" t="n"/>
      <c r="C825" s="4" t="n"/>
      <c r="D825" s="5" t="n"/>
    </row>
    <row r="826" customFormat="1" s="51">
      <c r="A826" s="6" t="n"/>
      <c r="B826" s="40" t="n"/>
      <c r="C826" s="4" t="n"/>
      <c r="D826" s="5" t="n"/>
    </row>
    <row r="827" customFormat="1" s="51">
      <c r="A827" s="6" t="n"/>
      <c r="B827" s="40" t="n"/>
      <c r="C827" s="4" t="n"/>
      <c r="D827" s="5" t="n"/>
    </row>
    <row r="828" customFormat="1" s="51">
      <c r="A828" s="6" t="n"/>
      <c r="B828" s="40" t="n"/>
      <c r="C828" s="4" t="n"/>
      <c r="D828" s="5" t="n"/>
    </row>
    <row r="829" customFormat="1" s="51">
      <c r="A829" s="6" t="n"/>
      <c r="B829" s="40" t="n"/>
      <c r="C829" s="4" t="n"/>
      <c r="D829" s="5" t="n"/>
    </row>
    <row r="830" customFormat="1" s="51">
      <c r="A830" s="6" t="n"/>
      <c r="B830" s="40" t="n"/>
      <c r="C830" s="4" t="n"/>
      <c r="D830" s="5" t="n"/>
    </row>
    <row r="831" customFormat="1" s="51">
      <c r="A831" s="6" t="n"/>
      <c r="B831" s="40" t="n"/>
      <c r="C831" s="4" t="n"/>
      <c r="D831" s="5" t="n"/>
    </row>
    <row r="832" customFormat="1" s="51">
      <c r="A832" s="6" t="n"/>
      <c r="B832" s="40" t="n"/>
      <c r="C832" s="4" t="n"/>
      <c r="D832" s="5" t="n"/>
    </row>
    <row r="833" customFormat="1" s="51">
      <c r="A833" s="6" t="n"/>
      <c r="B833" s="40" t="n"/>
      <c r="C833" s="4" t="n"/>
      <c r="D833" s="5" t="n"/>
    </row>
    <row r="834" customFormat="1" s="51">
      <c r="A834" s="6" t="n"/>
      <c r="B834" s="40" t="n"/>
      <c r="C834" s="4" t="n"/>
      <c r="D834" s="5" t="n"/>
    </row>
    <row r="835" customFormat="1" s="51">
      <c r="A835" s="6" t="n"/>
      <c r="B835" s="40" t="n"/>
      <c r="C835" s="4" t="n"/>
      <c r="D835" s="5" t="n"/>
    </row>
    <row r="836" customFormat="1" s="51">
      <c r="A836" s="6" t="n"/>
      <c r="B836" s="40" t="n"/>
      <c r="C836" s="4" t="n"/>
      <c r="D836" s="5" t="n"/>
    </row>
    <row r="837" customFormat="1" s="51">
      <c r="A837" s="6" t="n"/>
      <c r="B837" s="40" t="n"/>
      <c r="C837" s="4" t="n"/>
      <c r="D837" s="5" t="n"/>
    </row>
    <row r="838" customFormat="1" s="51">
      <c r="A838" s="6" t="n"/>
      <c r="B838" s="40" t="n"/>
      <c r="C838" s="4" t="n"/>
      <c r="D838" s="5" t="n"/>
    </row>
    <row r="839" customFormat="1" s="51">
      <c r="A839" s="6" t="n"/>
      <c r="B839" s="40" t="n"/>
      <c r="C839" s="4" t="n"/>
      <c r="D839" s="5" t="n"/>
    </row>
    <row r="840" customFormat="1" s="51">
      <c r="A840" s="6" t="n"/>
      <c r="B840" s="40" t="n"/>
      <c r="C840" s="4" t="n"/>
      <c r="D840" s="5" t="n"/>
    </row>
    <row r="841" customFormat="1" s="51">
      <c r="A841" s="6" t="n"/>
      <c r="B841" s="40" t="n"/>
      <c r="C841" s="4" t="n"/>
      <c r="D841" s="5" t="n"/>
    </row>
    <row r="842" customFormat="1" s="51">
      <c r="A842" s="6" t="n"/>
      <c r="B842" s="40" t="n"/>
      <c r="C842" s="4" t="n"/>
      <c r="D842" s="5" t="n"/>
    </row>
    <row r="843" customFormat="1" s="51">
      <c r="A843" s="6" t="n"/>
      <c r="B843" s="40" t="n"/>
      <c r="C843" s="4" t="n"/>
      <c r="D843" s="5" t="n"/>
    </row>
    <row r="844" customFormat="1" s="51">
      <c r="A844" s="6" t="n"/>
      <c r="B844" s="40" t="n"/>
      <c r="C844" s="4" t="n"/>
      <c r="D844" s="5" t="n"/>
    </row>
    <row r="845" customFormat="1" s="51">
      <c r="A845" s="6" t="n"/>
      <c r="B845" s="40" t="n"/>
      <c r="C845" s="4" t="n"/>
      <c r="D845" s="5" t="n"/>
    </row>
    <row r="846" customFormat="1" s="51">
      <c r="A846" s="6" t="n"/>
      <c r="B846" s="40" t="n"/>
      <c r="C846" s="4" t="n"/>
      <c r="D846" s="5" t="n"/>
    </row>
    <row r="847" customFormat="1" s="51">
      <c r="A847" s="6" t="n"/>
      <c r="B847" s="40" t="n"/>
      <c r="C847" s="4" t="n"/>
      <c r="D847" s="5" t="n"/>
    </row>
    <row r="848" customFormat="1" s="51">
      <c r="A848" s="6" t="n"/>
      <c r="B848" s="40" t="n"/>
      <c r="C848" s="4" t="n"/>
      <c r="D848" s="5" t="n"/>
    </row>
    <row r="849" customFormat="1" s="51">
      <c r="A849" s="6" t="n"/>
      <c r="B849" s="40" t="n"/>
      <c r="C849" s="4" t="n"/>
      <c r="D849" s="5" t="n"/>
    </row>
    <row r="850" customFormat="1" s="51">
      <c r="A850" s="6" t="n"/>
      <c r="B850" s="40" t="n"/>
      <c r="C850" s="4" t="n"/>
      <c r="D850" s="5" t="n"/>
    </row>
    <row r="851" customFormat="1" s="51">
      <c r="A851" s="6" t="n"/>
      <c r="B851" s="40" t="n"/>
      <c r="C851" s="4" t="n"/>
      <c r="D851" s="5" t="n"/>
    </row>
    <row r="852" customFormat="1" s="51">
      <c r="A852" s="6" t="n"/>
      <c r="B852" s="40" t="n"/>
      <c r="C852" s="4" t="n"/>
      <c r="D852" s="5" t="n"/>
    </row>
    <row r="853" customFormat="1" s="51">
      <c r="A853" s="6" t="n"/>
      <c r="B853" s="40" t="n"/>
      <c r="C853" s="4" t="n"/>
      <c r="D853" s="5" t="n"/>
    </row>
    <row r="854" customFormat="1" s="51">
      <c r="A854" s="6" t="n"/>
      <c r="B854" s="40" t="n"/>
      <c r="C854" s="4" t="n"/>
      <c r="D854" s="5" t="n"/>
    </row>
    <row r="855" customFormat="1" s="51">
      <c r="A855" s="6" t="n"/>
      <c r="B855" s="40" t="n"/>
      <c r="C855" s="4" t="n"/>
      <c r="D855" s="5" t="n"/>
    </row>
    <row r="856" customFormat="1" s="51">
      <c r="A856" s="6" t="n"/>
      <c r="B856" s="40" t="n"/>
      <c r="C856" s="4" t="n"/>
      <c r="D856" s="5" t="n"/>
    </row>
    <row r="857" customFormat="1" s="51">
      <c r="A857" s="6" t="n"/>
      <c r="B857" s="40" t="n"/>
      <c r="C857" s="4" t="n"/>
      <c r="D857" s="5" t="n"/>
    </row>
    <row r="858" customFormat="1" s="51">
      <c r="A858" s="6" t="n"/>
      <c r="B858" s="40" t="n"/>
      <c r="C858" s="4" t="n"/>
      <c r="D858" s="5" t="n"/>
    </row>
    <row r="859" customFormat="1" s="51">
      <c r="A859" s="6" t="n"/>
      <c r="B859" s="40" t="n"/>
      <c r="C859" s="4" t="n"/>
      <c r="D859" s="5" t="n"/>
    </row>
    <row r="860" customFormat="1" s="51">
      <c r="A860" s="6" t="n"/>
      <c r="B860" s="40" t="n"/>
      <c r="C860" s="4" t="n"/>
      <c r="D860" s="5" t="n"/>
    </row>
    <row r="861" customFormat="1" s="51">
      <c r="A861" s="6" t="n"/>
      <c r="B861" s="40" t="n"/>
      <c r="C861" s="4" t="n"/>
      <c r="D861" s="5" t="n"/>
    </row>
    <row r="862" customFormat="1" s="51">
      <c r="A862" s="6" t="n"/>
      <c r="B862" s="40" t="n"/>
      <c r="C862" s="4" t="n"/>
      <c r="D862" s="5" t="n"/>
    </row>
    <row r="863" customFormat="1" s="51">
      <c r="A863" s="6" t="n"/>
      <c r="B863" s="40" t="n"/>
      <c r="C863" s="4" t="n"/>
      <c r="D863" s="5" t="n"/>
    </row>
    <row r="864" customFormat="1" s="51">
      <c r="A864" s="6" t="n"/>
      <c r="B864" s="40" t="n"/>
      <c r="C864" s="4" t="n"/>
      <c r="D864" s="5" t="n"/>
    </row>
    <row r="865" customFormat="1" s="51">
      <c r="A865" s="6" t="n"/>
      <c r="B865" s="40" t="n"/>
      <c r="C865" s="4" t="n"/>
      <c r="D865" s="5" t="n"/>
    </row>
    <row r="866" customFormat="1" s="51">
      <c r="A866" s="6" t="n"/>
      <c r="B866" s="40" t="n"/>
      <c r="C866" s="4" t="n"/>
      <c r="D866" s="5" t="n"/>
    </row>
    <row r="867" customFormat="1" s="51">
      <c r="A867" s="6" t="n"/>
      <c r="B867" s="40" t="n"/>
      <c r="C867" s="4" t="n"/>
      <c r="D867" s="5" t="n"/>
    </row>
    <row r="868" customFormat="1" s="51">
      <c r="A868" s="6" t="n"/>
      <c r="B868" s="40" t="n"/>
      <c r="C868" s="4" t="n"/>
      <c r="D868" s="5" t="n"/>
    </row>
    <row r="869" customFormat="1" s="51">
      <c r="A869" s="6" t="n"/>
      <c r="B869" s="40" t="n"/>
      <c r="C869" s="4" t="n"/>
      <c r="D869" s="5" t="n"/>
    </row>
    <row r="870" customFormat="1" s="51">
      <c r="A870" s="6" t="n"/>
      <c r="B870" s="40" t="n"/>
      <c r="C870" s="4" t="n"/>
      <c r="D870" s="5" t="n"/>
    </row>
    <row r="871" customFormat="1" s="51">
      <c r="A871" s="6" t="n"/>
      <c r="B871" s="40" t="n"/>
      <c r="C871" s="4" t="n"/>
      <c r="D871" s="5" t="n"/>
    </row>
    <row r="872" customFormat="1" s="51">
      <c r="A872" s="6" t="n"/>
      <c r="B872" s="40" t="n"/>
      <c r="C872" s="4" t="n"/>
      <c r="D872" s="5" t="n"/>
    </row>
    <row r="873" customFormat="1" s="51">
      <c r="A873" s="6" t="n"/>
      <c r="B873" s="40" t="n"/>
      <c r="C873" s="4" t="n"/>
      <c r="D873" s="5" t="n"/>
    </row>
    <row r="874" customFormat="1" s="51">
      <c r="A874" s="6" t="n"/>
      <c r="B874" s="40" t="n"/>
      <c r="C874" s="4" t="n"/>
      <c r="D874" s="5" t="n"/>
    </row>
    <row r="875" customFormat="1" s="51">
      <c r="A875" s="6" t="n"/>
      <c r="B875" s="40" t="n"/>
      <c r="C875" s="4" t="n"/>
      <c r="D875" s="5" t="n"/>
    </row>
    <row r="876" customFormat="1" s="51">
      <c r="A876" s="6" t="n"/>
      <c r="B876" s="40" t="n"/>
      <c r="C876" s="4" t="n"/>
      <c r="D876" s="5" t="n"/>
    </row>
    <row r="877" customFormat="1" s="51">
      <c r="A877" s="6" t="n"/>
      <c r="B877" s="40" t="n"/>
      <c r="C877" s="4" t="n"/>
      <c r="D877" s="5" t="n"/>
    </row>
    <row r="878" customFormat="1" s="51">
      <c r="A878" s="6" t="n"/>
      <c r="B878" s="40" t="n"/>
      <c r="C878" s="4" t="n"/>
      <c r="D878" s="5" t="n"/>
    </row>
    <row r="879" customFormat="1" s="51">
      <c r="A879" s="6" t="n"/>
      <c r="B879" s="40" t="n"/>
      <c r="C879" s="4" t="n"/>
      <c r="D879" s="5" t="n"/>
    </row>
    <row r="880" customFormat="1" s="51">
      <c r="A880" s="6" t="n"/>
      <c r="B880" s="40" t="n"/>
      <c r="C880" s="4" t="n"/>
      <c r="D880" s="5" t="n"/>
    </row>
    <row r="881" customFormat="1" s="51">
      <c r="A881" s="6" t="n"/>
      <c r="B881" s="40" t="n"/>
      <c r="C881" s="4" t="n"/>
      <c r="D881" s="5" t="n"/>
    </row>
    <row r="882" customFormat="1" s="51">
      <c r="A882" s="6" t="n"/>
      <c r="B882" s="40" t="n"/>
      <c r="C882" s="4" t="n"/>
      <c r="D882" s="5" t="n"/>
    </row>
    <row r="883" customFormat="1" s="51">
      <c r="A883" s="6" t="n"/>
      <c r="B883" s="40" t="n"/>
      <c r="C883" s="4" t="n"/>
      <c r="D883" s="5" t="n"/>
    </row>
    <row r="884" customFormat="1" s="51">
      <c r="A884" s="6" t="n"/>
      <c r="B884" s="40" t="n"/>
      <c r="C884" s="4" t="n"/>
      <c r="D884" s="5" t="n"/>
    </row>
    <row r="885" customFormat="1" s="51">
      <c r="A885" s="6" t="n"/>
      <c r="B885" s="40" t="n"/>
      <c r="C885" s="4" t="n"/>
      <c r="D885" s="5" t="n"/>
    </row>
    <row r="886" customFormat="1" s="51">
      <c r="A886" s="6" t="n"/>
      <c r="B886" s="40" t="n"/>
      <c r="C886" s="4" t="n"/>
      <c r="D886" s="5" t="n"/>
    </row>
    <row r="887" customFormat="1" s="51">
      <c r="A887" s="6" t="n"/>
      <c r="B887" s="40" t="n"/>
      <c r="C887" s="4" t="n"/>
      <c r="D887" s="5" t="n"/>
    </row>
    <row r="888" customFormat="1" s="51">
      <c r="A888" s="6" t="n"/>
      <c r="B888" s="40" t="n"/>
      <c r="C888" s="4" t="n"/>
      <c r="D888" s="5" t="n"/>
    </row>
    <row r="889" customFormat="1" s="51">
      <c r="A889" s="6" t="n"/>
      <c r="B889" s="40" t="n"/>
      <c r="C889" s="4" t="n"/>
      <c r="D889" s="5" t="n"/>
    </row>
    <row r="890" customFormat="1" s="51">
      <c r="A890" s="6" t="n"/>
      <c r="B890" s="40" t="n"/>
      <c r="C890" s="4" t="n"/>
      <c r="D890" s="5" t="n"/>
    </row>
    <row r="891" customFormat="1" s="51">
      <c r="A891" s="6" t="n"/>
      <c r="B891" s="40" t="n"/>
      <c r="C891" s="4" t="n"/>
      <c r="D891" s="5" t="n"/>
    </row>
    <row r="892" customFormat="1" s="51">
      <c r="A892" s="6" t="n"/>
      <c r="B892" s="40" t="n"/>
      <c r="C892" s="4" t="n"/>
      <c r="D892" s="5" t="n"/>
    </row>
    <row r="893" customFormat="1" s="51">
      <c r="A893" s="6" t="n"/>
      <c r="B893" s="40" t="n"/>
      <c r="C893" s="4" t="n"/>
      <c r="D893" s="5" t="n"/>
    </row>
    <row r="894" customFormat="1" s="51">
      <c r="A894" s="6" t="n"/>
      <c r="B894" s="40" t="n"/>
      <c r="C894" s="4" t="n"/>
      <c r="D894" s="5" t="n"/>
    </row>
    <row r="895" customFormat="1" s="51">
      <c r="A895" s="6" t="n"/>
      <c r="B895" s="40" t="n"/>
      <c r="C895" s="4" t="n"/>
      <c r="D895" s="5" t="n"/>
    </row>
    <row r="896" customFormat="1" s="51">
      <c r="A896" s="6" t="n"/>
      <c r="B896" s="40" t="n"/>
      <c r="C896" s="4" t="n"/>
      <c r="D896" s="5" t="n"/>
    </row>
    <row r="897" customFormat="1" s="51">
      <c r="A897" s="6" t="n"/>
      <c r="B897" s="40" t="n"/>
      <c r="C897" s="4" t="n"/>
      <c r="D897" s="5" t="n"/>
    </row>
    <row r="898" customFormat="1" s="51">
      <c r="A898" s="6" t="n"/>
      <c r="B898" s="40" t="n"/>
      <c r="C898" s="4" t="n"/>
      <c r="D898" s="5" t="n"/>
    </row>
    <row r="899" customFormat="1" s="51">
      <c r="A899" s="6" t="n"/>
      <c r="B899" s="40" t="n"/>
      <c r="C899" s="4" t="n"/>
      <c r="D899" s="5" t="n"/>
    </row>
    <row r="900" customFormat="1" s="51">
      <c r="A900" s="6" t="n"/>
      <c r="B900" s="40" t="n"/>
      <c r="C900" s="4" t="n"/>
      <c r="D900" s="5" t="n"/>
    </row>
    <row r="901" customFormat="1" s="51">
      <c r="A901" s="6" t="n"/>
      <c r="B901" s="40" t="n"/>
      <c r="C901" s="4" t="n"/>
      <c r="D901" s="5" t="n"/>
    </row>
    <row r="902" customFormat="1" s="51">
      <c r="A902" s="6" t="n"/>
      <c r="B902" s="40" t="n"/>
      <c r="C902" s="4" t="n"/>
      <c r="D902" s="5" t="n"/>
    </row>
    <row r="903" customFormat="1" s="51">
      <c r="A903" s="6" t="n"/>
      <c r="B903" s="40" t="n"/>
      <c r="C903" s="4" t="n"/>
      <c r="D903" s="5" t="n"/>
    </row>
    <row r="904" customFormat="1" s="51">
      <c r="A904" s="6" t="n"/>
      <c r="B904" s="40" t="n"/>
      <c r="C904" s="4" t="n"/>
      <c r="D904" s="5" t="n"/>
    </row>
    <row r="905" customFormat="1" s="51">
      <c r="A905" s="6" t="n"/>
      <c r="B905" s="40" t="n"/>
      <c r="C905" s="4" t="n"/>
      <c r="D905" s="5" t="n"/>
    </row>
    <row r="906" customFormat="1" s="51">
      <c r="A906" s="6" t="n"/>
      <c r="B906" s="40" t="n"/>
      <c r="C906" s="4" t="n"/>
      <c r="D906" s="5" t="n"/>
    </row>
    <row r="907" customFormat="1" s="51">
      <c r="A907" s="6" t="n"/>
      <c r="B907" s="40" t="n"/>
      <c r="C907" s="4" t="n"/>
      <c r="D907" s="5" t="n"/>
    </row>
    <row r="908" customFormat="1" s="51">
      <c r="A908" s="6" t="n"/>
      <c r="B908" s="40" t="n"/>
      <c r="C908" s="4" t="n"/>
      <c r="D908" s="5" t="n"/>
    </row>
    <row r="909" customFormat="1" s="51">
      <c r="A909" s="6" t="n"/>
      <c r="B909" s="40" t="n"/>
      <c r="C909" s="4" t="n"/>
      <c r="D909" s="5" t="n"/>
    </row>
    <row r="910" customFormat="1" s="51">
      <c r="A910" s="6" t="n"/>
      <c r="B910" s="40" t="n"/>
      <c r="C910" s="4" t="n"/>
      <c r="D910" s="5" t="n"/>
    </row>
    <row r="911" customFormat="1" s="51">
      <c r="A911" s="6" t="n"/>
      <c r="B911" s="40" t="n"/>
      <c r="C911" s="4" t="n"/>
      <c r="D911" s="5" t="n"/>
    </row>
    <row r="912" customFormat="1" s="51">
      <c r="A912" s="6" t="n"/>
      <c r="B912" s="40" t="n"/>
      <c r="C912" s="4" t="n"/>
      <c r="D912" s="5" t="n"/>
    </row>
    <row r="913" customFormat="1" s="51">
      <c r="A913" s="6" t="n"/>
      <c r="B913" s="40" t="n"/>
      <c r="C913" s="4" t="n"/>
      <c r="D913" s="5" t="n"/>
    </row>
    <row r="914" customFormat="1" s="51">
      <c r="A914" s="6" t="n"/>
      <c r="B914" s="40" t="n"/>
      <c r="C914" s="4" t="n"/>
      <c r="D914" s="5" t="n"/>
    </row>
    <row r="915" customFormat="1" s="51">
      <c r="A915" s="6" t="n"/>
      <c r="B915" s="40" t="n"/>
      <c r="C915" s="4" t="n"/>
      <c r="D915" s="5" t="n"/>
    </row>
    <row r="916" customFormat="1" s="51">
      <c r="A916" s="6" t="n"/>
      <c r="B916" s="40" t="n"/>
      <c r="C916" s="4" t="n"/>
      <c r="D916" s="5" t="n"/>
    </row>
    <row r="917" customFormat="1" s="51">
      <c r="A917" s="6" t="n"/>
      <c r="B917" s="40" t="n"/>
      <c r="C917" s="4" t="n"/>
      <c r="D917" s="5" t="n"/>
    </row>
    <row r="918" customFormat="1" s="51">
      <c r="A918" s="6" t="n"/>
      <c r="B918" s="40" t="n"/>
      <c r="C918" s="4" t="n"/>
      <c r="D918" s="5" t="n"/>
    </row>
    <row r="919" customFormat="1" s="51">
      <c r="A919" s="6" t="n"/>
      <c r="B919" s="40" t="n"/>
      <c r="C919" s="4" t="n"/>
      <c r="D919" s="5" t="n"/>
    </row>
    <row r="920" customFormat="1" s="51">
      <c r="A920" s="6" t="n"/>
      <c r="B920" s="40" t="n"/>
      <c r="C920" s="4" t="n"/>
      <c r="D920" s="5" t="n"/>
    </row>
    <row r="921" customFormat="1" s="51">
      <c r="A921" s="6" t="n"/>
      <c r="B921" s="40" t="n"/>
      <c r="C921" s="4" t="n"/>
      <c r="D921" s="5" t="n"/>
    </row>
    <row r="922" customFormat="1" s="51">
      <c r="A922" s="6" t="n"/>
      <c r="B922" s="40" t="n"/>
      <c r="C922" s="4" t="n"/>
      <c r="D922" s="5" t="n"/>
    </row>
    <row r="923" customFormat="1" s="51">
      <c r="A923" s="6" t="n"/>
      <c r="B923" s="40" t="n"/>
      <c r="C923" s="4" t="n"/>
      <c r="D923" s="5" t="n"/>
    </row>
    <row r="924" customFormat="1" s="51">
      <c r="A924" s="6" t="n"/>
      <c r="B924" s="40" t="n"/>
      <c r="C924" s="4" t="n"/>
      <c r="D924" s="5" t="n"/>
    </row>
    <row r="925" customFormat="1" s="51">
      <c r="A925" s="6" t="n"/>
      <c r="B925" s="40" t="n"/>
      <c r="C925" s="4" t="n"/>
      <c r="D925" s="5" t="n"/>
    </row>
    <row r="926" customFormat="1" s="51">
      <c r="A926" s="6" t="n"/>
      <c r="B926" s="40" t="n"/>
      <c r="C926" s="4" t="n"/>
      <c r="D926" s="5" t="n"/>
    </row>
    <row r="927" customFormat="1" s="51">
      <c r="A927" s="6" t="n"/>
      <c r="B927" s="40" t="n"/>
      <c r="C927" s="4" t="n"/>
      <c r="D927" s="5" t="n"/>
    </row>
    <row r="928" customFormat="1" s="51">
      <c r="A928" s="6" t="n"/>
      <c r="B928" s="40" t="n"/>
      <c r="C928" s="4" t="n"/>
      <c r="D928" s="5" t="n"/>
    </row>
    <row r="929" customFormat="1" s="51">
      <c r="A929" s="6" t="n"/>
      <c r="B929" s="40" t="n"/>
      <c r="C929" s="4" t="n"/>
      <c r="D929" s="5" t="n"/>
    </row>
    <row r="930" customFormat="1" s="51">
      <c r="A930" s="6" t="n"/>
      <c r="B930" s="40" t="n"/>
      <c r="C930" s="4" t="n"/>
      <c r="D930" s="5" t="n"/>
    </row>
    <row r="931" customFormat="1" s="51">
      <c r="A931" s="6" t="n"/>
      <c r="B931" s="40" t="n"/>
      <c r="C931" s="4" t="n"/>
      <c r="D931" s="5" t="n"/>
    </row>
    <row r="932" customFormat="1" s="51">
      <c r="A932" s="6" t="n"/>
      <c r="B932" s="40" t="n"/>
      <c r="C932" s="4" t="n"/>
      <c r="D932" s="5" t="n"/>
    </row>
    <row r="933" customFormat="1" s="51">
      <c r="A933" s="6" t="n"/>
      <c r="B933" s="40" t="n"/>
      <c r="C933" s="4" t="n"/>
      <c r="D933" s="5" t="n"/>
    </row>
    <row r="934" customFormat="1" s="51">
      <c r="A934" s="6" t="n"/>
      <c r="B934" s="40" t="n"/>
      <c r="C934" s="4" t="n"/>
      <c r="D934" s="5" t="n"/>
    </row>
    <row r="935" customFormat="1" s="51">
      <c r="A935" s="6" t="n"/>
      <c r="B935" s="40" t="n"/>
      <c r="C935" s="4" t="n"/>
      <c r="D935" s="5" t="n"/>
    </row>
    <row r="936" customFormat="1" s="51">
      <c r="A936" s="6" t="n"/>
      <c r="B936" s="40" t="n"/>
      <c r="C936" s="4" t="n"/>
      <c r="D936" s="5" t="n"/>
    </row>
    <row r="937" customFormat="1" s="51">
      <c r="A937" s="6" t="n"/>
      <c r="B937" s="40" t="n"/>
      <c r="C937" s="4" t="n"/>
      <c r="D937" s="5" t="n"/>
    </row>
    <row r="938" customFormat="1" s="51">
      <c r="A938" s="6" t="n"/>
      <c r="B938" s="40" t="n"/>
      <c r="C938" s="4" t="n"/>
      <c r="D938" s="5" t="n"/>
    </row>
    <row r="939" customFormat="1" s="51">
      <c r="A939" s="6" t="n"/>
      <c r="B939" s="40" t="n"/>
      <c r="C939" s="4" t="n"/>
      <c r="D939" s="5" t="n"/>
    </row>
    <row r="940" customFormat="1" s="51">
      <c r="A940" s="6" t="n"/>
      <c r="B940" s="40" t="n"/>
      <c r="C940" s="4" t="n"/>
      <c r="D940" s="5" t="n"/>
    </row>
    <row r="941" customFormat="1" s="51">
      <c r="A941" s="6" t="n"/>
      <c r="B941" s="40" t="n"/>
      <c r="C941" s="4" t="n"/>
      <c r="D941" s="5" t="n"/>
    </row>
    <row r="942" customFormat="1" s="51">
      <c r="A942" s="6" t="n"/>
      <c r="B942" s="40" t="n"/>
      <c r="C942" s="4" t="n"/>
      <c r="D942" s="5" t="n"/>
    </row>
    <row r="943" customFormat="1" s="51">
      <c r="A943" s="6" t="n"/>
      <c r="B943" s="40" t="n"/>
      <c r="C943" s="4" t="n"/>
      <c r="D943" s="5" t="n"/>
    </row>
    <row r="944" customFormat="1" s="51">
      <c r="A944" s="6" t="n"/>
      <c r="B944" s="40" t="n"/>
      <c r="C944" s="4" t="n"/>
      <c r="D944" s="5" t="n"/>
    </row>
    <row r="945" customFormat="1" s="51">
      <c r="A945" s="6" t="n"/>
      <c r="B945" s="40" t="n"/>
      <c r="C945" s="4" t="n"/>
      <c r="D945" s="5" t="n"/>
    </row>
    <row r="946" customFormat="1" s="51">
      <c r="A946" s="6" t="n"/>
      <c r="B946" s="40" t="n"/>
      <c r="C946" s="4" t="n"/>
      <c r="D946" s="5" t="n"/>
    </row>
    <row r="947" customFormat="1" s="51">
      <c r="A947" s="6" t="n"/>
      <c r="B947" s="40" t="n"/>
      <c r="C947" s="4" t="n"/>
      <c r="D947" s="5" t="n"/>
    </row>
    <row r="948" customFormat="1" s="51">
      <c r="A948" s="6" t="n"/>
      <c r="B948" s="40" t="n"/>
      <c r="C948" s="4" t="n"/>
      <c r="D948" s="5" t="n"/>
    </row>
    <row r="949" customFormat="1" s="51">
      <c r="A949" s="6" t="n"/>
      <c r="B949" s="40" t="n"/>
      <c r="C949" s="4" t="n"/>
      <c r="D949" s="5" t="n"/>
    </row>
    <row r="950" customFormat="1" s="51">
      <c r="A950" s="6" t="n"/>
      <c r="B950" s="40" t="n"/>
      <c r="C950" s="4" t="n"/>
      <c r="D950" s="5" t="n"/>
    </row>
    <row r="951" customFormat="1" s="51">
      <c r="A951" s="6" t="n"/>
      <c r="B951" s="40" t="n"/>
      <c r="C951" s="4" t="n"/>
      <c r="D951" s="5" t="n"/>
    </row>
    <row r="952" customFormat="1" s="51">
      <c r="A952" s="6" t="n"/>
      <c r="B952" s="40" t="n"/>
      <c r="C952" s="4" t="n"/>
      <c r="D952" s="5" t="n"/>
    </row>
    <row r="953" customFormat="1" s="51">
      <c r="A953" s="6" t="n"/>
      <c r="B953" s="40" t="n"/>
      <c r="C953" s="4" t="n"/>
      <c r="D953" s="5" t="n"/>
    </row>
    <row r="954" customFormat="1" s="51">
      <c r="A954" s="6" t="n"/>
      <c r="B954" s="40" t="n"/>
      <c r="C954" s="4" t="n"/>
      <c r="D954" s="5" t="n"/>
    </row>
    <row r="955" customFormat="1" s="51">
      <c r="A955" s="6" t="n"/>
      <c r="B955" s="40" t="n"/>
      <c r="C955" s="4" t="n"/>
      <c r="D955" s="5" t="n"/>
    </row>
    <row r="956" customFormat="1" s="51">
      <c r="A956" s="6" t="n"/>
      <c r="B956" s="40" t="n"/>
      <c r="C956" s="4" t="n"/>
      <c r="D956" s="5" t="n"/>
    </row>
    <row r="957" customFormat="1" s="51">
      <c r="A957" s="6" t="n"/>
      <c r="B957" s="40" t="n"/>
      <c r="C957" s="4" t="n"/>
      <c r="D957" s="5" t="n"/>
    </row>
    <row r="958" customFormat="1" s="51">
      <c r="A958" s="6" t="n"/>
      <c r="B958" s="40" t="n"/>
      <c r="C958" s="4" t="n"/>
      <c r="D958" s="5" t="n"/>
    </row>
    <row r="959" customFormat="1" s="51">
      <c r="A959" s="6" t="n"/>
      <c r="B959" s="40" t="n"/>
      <c r="C959" s="4" t="n"/>
      <c r="D959" s="5" t="n"/>
    </row>
    <row r="960" customFormat="1" s="51">
      <c r="A960" s="6" t="n"/>
      <c r="B960" s="40" t="n"/>
      <c r="C960" s="4" t="n"/>
      <c r="D960" s="5" t="n"/>
    </row>
    <row r="961" customFormat="1" s="51">
      <c r="A961" s="6" t="n"/>
      <c r="B961" s="40" t="n"/>
      <c r="C961" s="4" t="n"/>
      <c r="D961" s="5" t="n"/>
    </row>
    <row r="962" customFormat="1" s="51">
      <c r="A962" s="6" t="n"/>
      <c r="B962" s="40" t="n"/>
      <c r="C962" s="4" t="n"/>
      <c r="D962" s="5" t="n"/>
    </row>
    <row r="963" customFormat="1" s="51">
      <c r="A963" s="6" t="n"/>
      <c r="B963" s="40" t="n"/>
      <c r="C963" s="4" t="n"/>
      <c r="D963" s="5" t="n"/>
    </row>
    <row r="964" customFormat="1" s="51">
      <c r="A964" s="6" t="n"/>
      <c r="B964" s="40" t="n"/>
      <c r="C964" s="4" t="n"/>
      <c r="D964" s="5" t="n"/>
    </row>
    <row r="965" customFormat="1" s="51">
      <c r="A965" s="6" t="n"/>
      <c r="B965" s="40" t="n"/>
      <c r="C965" s="4" t="n"/>
      <c r="D965" s="5" t="n"/>
    </row>
    <row r="966" customFormat="1" s="51">
      <c r="A966" s="6" t="n"/>
      <c r="B966" s="40" t="n"/>
      <c r="C966" s="4" t="n"/>
      <c r="D966" s="5" t="n"/>
    </row>
    <row r="967" customFormat="1" s="51">
      <c r="A967" s="6" t="n"/>
      <c r="B967" s="40" t="n"/>
      <c r="C967" s="4" t="n"/>
      <c r="D967" s="5" t="n"/>
    </row>
    <row r="968" customFormat="1" s="51">
      <c r="A968" s="6" t="n"/>
      <c r="B968" s="40" t="n"/>
      <c r="C968" s="4" t="n"/>
      <c r="D968" s="5" t="n"/>
    </row>
    <row r="969" customFormat="1" s="51">
      <c r="A969" s="6" t="n"/>
      <c r="B969" s="40" t="n"/>
      <c r="C969" s="4" t="n"/>
      <c r="D969" s="5" t="n"/>
    </row>
    <row r="970" customFormat="1" s="51">
      <c r="A970" s="6" t="n"/>
      <c r="B970" s="40" t="n"/>
      <c r="C970" s="4" t="n"/>
      <c r="D970" s="5" t="n"/>
    </row>
    <row r="971" customFormat="1" s="51">
      <c r="A971" s="6" t="n"/>
      <c r="B971" s="40" t="n"/>
      <c r="C971" s="4" t="n"/>
      <c r="D971" s="5" t="n"/>
    </row>
    <row r="972" customFormat="1" s="51">
      <c r="A972" s="6" t="n"/>
      <c r="B972" s="40" t="n"/>
      <c r="C972" s="4" t="n"/>
      <c r="D972" s="5" t="n"/>
    </row>
    <row r="973" customFormat="1" s="51">
      <c r="A973" s="6" t="n"/>
      <c r="B973" s="40" t="n"/>
      <c r="C973" s="4" t="n"/>
      <c r="D973" s="5" t="n"/>
    </row>
    <row r="974" customFormat="1" s="51">
      <c r="A974" s="6" t="n"/>
      <c r="B974" s="40" t="n"/>
      <c r="C974" s="4" t="n"/>
      <c r="D974" s="5" t="n"/>
    </row>
    <row r="975" customFormat="1" s="51">
      <c r="A975" s="6" t="n"/>
      <c r="B975" s="40" t="n"/>
      <c r="C975" s="4" t="n"/>
      <c r="D975" s="5" t="n"/>
    </row>
    <row r="976" customFormat="1" s="51">
      <c r="A976" s="6" t="n"/>
      <c r="B976" s="40" t="n"/>
      <c r="C976" s="4" t="n"/>
      <c r="D976" s="5" t="n"/>
    </row>
    <row r="977" customFormat="1" s="51">
      <c r="A977" s="6" t="n"/>
      <c r="B977" s="40" t="n"/>
      <c r="C977" s="4" t="n"/>
      <c r="D977" s="5" t="n"/>
    </row>
    <row r="978" customFormat="1" s="51">
      <c r="A978" s="6" t="n"/>
      <c r="B978" s="40" t="n"/>
      <c r="C978" s="4" t="n"/>
      <c r="D978" s="5" t="n"/>
    </row>
    <row r="979" customFormat="1" s="51">
      <c r="A979" s="6" t="n"/>
      <c r="B979" s="40" t="n"/>
      <c r="C979" s="4" t="n"/>
      <c r="D979" s="5" t="n"/>
    </row>
    <row r="980" customFormat="1" s="51">
      <c r="A980" s="6" t="n"/>
      <c r="B980" s="40" t="n"/>
      <c r="C980" s="4" t="n"/>
      <c r="D980" s="5" t="n"/>
    </row>
    <row r="981" customFormat="1" s="51">
      <c r="A981" s="6" t="n"/>
      <c r="B981" s="40" t="n"/>
      <c r="C981" s="4" t="n"/>
      <c r="D981" s="5" t="n"/>
    </row>
    <row r="982" customFormat="1" s="51">
      <c r="A982" s="6" t="n"/>
      <c r="B982" s="40" t="n"/>
      <c r="C982" s="4" t="n"/>
      <c r="D982" s="5" t="n"/>
    </row>
    <row r="983" customFormat="1" s="51">
      <c r="A983" s="6" t="n"/>
      <c r="B983" s="40" t="n"/>
      <c r="C983" s="4" t="n"/>
      <c r="D983" s="5" t="n"/>
    </row>
    <row r="984" customFormat="1" s="51">
      <c r="A984" s="6" t="n"/>
      <c r="B984" s="40" t="n"/>
      <c r="C984" s="4" t="n"/>
      <c r="D984" s="5" t="n"/>
    </row>
    <row r="985" customFormat="1" s="51">
      <c r="A985" s="6" t="n"/>
      <c r="B985" s="40" t="n"/>
      <c r="C985" s="4" t="n"/>
      <c r="D985" s="5" t="n"/>
    </row>
    <row r="986" customFormat="1" s="51">
      <c r="A986" s="6" t="n"/>
      <c r="B986" s="40" t="n"/>
      <c r="C986" s="4" t="n"/>
      <c r="D986" s="5" t="n"/>
    </row>
    <row r="987" customFormat="1" s="51">
      <c r="A987" s="6" t="n"/>
      <c r="B987" s="40" t="n"/>
      <c r="C987" s="4" t="n"/>
      <c r="D987" s="5" t="n"/>
    </row>
    <row r="988" customFormat="1" s="51">
      <c r="A988" s="6" t="n"/>
      <c r="B988" s="40" t="n"/>
      <c r="C988" s="4" t="n"/>
      <c r="D988" s="5" t="n"/>
    </row>
    <row r="989" customFormat="1" s="51">
      <c r="A989" s="6" t="n"/>
      <c r="B989" s="40" t="n"/>
      <c r="C989" s="4" t="n"/>
      <c r="D989" s="5" t="n"/>
    </row>
    <row r="990" customFormat="1" s="51">
      <c r="A990" s="6" t="n"/>
      <c r="B990" s="40" t="n"/>
      <c r="C990" s="4" t="n"/>
      <c r="D990" s="5" t="n"/>
    </row>
    <row r="991" customFormat="1" s="51">
      <c r="A991" s="6" t="n"/>
      <c r="B991" s="40" t="n"/>
      <c r="C991" s="4" t="n"/>
      <c r="D991" s="5" t="n"/>
    </row>
    <row r="992" customFormat="1" s="51">
      <c r="A992" s="6" t="n"/>
      <c r="B992" s="40" t="n"/>
      <c r="C992" s="4" t="n"/>
      <c r="D992" s="5" t="n"/>
    </row>
    <row r="993" customFormat="1" s="51">
      <c r="A993" s="6" t="n"/>
      <c r="B993" s="40" t="n"/>
      <c r="C993" s="4" t="n"/>
      <c r="D993" s="5" t="n"/>
    </row>
    <row r="994" customFormat="1" s="51">
      <c r="A994" s="6" t="n"/>
      <c r="B994" s="40" t="n"/>
      <c r="C994" s="4" t="n"/>
      <c r="D994" s="5" t="n"/>
    </row>
    <row r="995" customFormat="1" s="51">
      <c r="A995" s="6" t="n"/>
      <c r="B995" s="40" t="n"/>
      <c r="C995" s="4" t="n"/>
      <c r="D995" s="5" t="n"/>
    </row>
    <row r="996" customFormat="1" s="51">
      <c r="A996" s="6" t="n"/>
      <c r="B996" s="40" t="n"/>
      <c r="C996" s="4" t="n"/>
      <c r="D996" s="5" t="n"/>
    </row>
    <row r="997" customFormat="1" s="51">
      <c r="A997" s="6" t="n"/>
      <c r="B997" s="40" t="n"/>
      <c r="C997" s="4" t="n"/>
      <c r="D997" s="5" t="n"/>
    </row>
    <row r="998" customFormat="1" s="51">
      <c r="A998" s="6" t="n"/>
      <c r="B998" s="40" t="n"/>
      <c r="C998" s="4" t="n"/>
      <c r="D998" s="5" t="n"/>
    </row>
    <row r="999" customFormat="1" s="51">
      <c r="A999" s="6" t="n"/>
      <c r="B999" s="40" t="n"/>
      <c r="C999" s="4" t="n"/>
      <c r="D999" s="5" t="n"/>
    </row>
    <row r="1000" customFormat="1" s="51">
      <c r="A1000" s="6" t="n"/>
      <c r="B1000" s="40" t="n"/>
      <c r="C1000" s="4" t="n"/>
      <c r="D1000" s="5" t="n"/>
    </row>
    <row r="1001" customFormat="1" s="51">
      <c r="A1001" s="6" t="n"/>
      <c r="B1001" s="40" t="n"/>
      <c r="C1001" s="4" t="n"/>
      <c r="D1001" s="5" t="n"/>
    </row>
    <row r="1002" customFormat="1" s="51">
      <c r="A1002" s="6" t="n"/>
      <c r="B1002" s="40" t="n"/>
      <c r="C1002" s="4" t="n"/>
      <c r="D1002" s="5" t="n"/>
    </row>
    <row r="1003" customFormat="1" s="51">
      <c r="A1003" s="6" t="n"/>
      <c r="B1003" s="40" t="n"/>
      <c r="C1003" s="4" t="n"/>
      <c r="D1003" s="5" t="n"/>
    </row>
    <row r="1004" customFormat="1" s="51">
      <c r="A1004" s="6" t="n"/>
      <c r="B1004" s="40" t="n"/>
      <c r="C1004" s="4" t="n"/>
      <c r="D1004" s="5" t="n"/>
    </row>
    <row r="1005" customFormat="1" s="51">
      <c r="A1005" s="6" t="n"/>
      <c r="B1005" s="40" t="n"/>
      <c r="C1005" s="4" t="n"/>
      <c r="D1005" s="5" t="n"/>
    </row>
    <row r="1006" customFormat="1" s="51">
      <c r="A1006" s="6" t="n"/>
      <c r="B1006" s="40" t="n"/>
      <c r="C1006" s="4" t="n"/>
      <c r="D1006" s="5" t="n"/>
    </row>
    <row r="1007" customFormat="1" s="51">
      <c r="A1007" s="6" t="n"/>
      <c r="B1007" s="40" t="n"/>
      <c r="C1007" s="4" t="n"/>
      <c r="D1007" s="5" t="n"/>
    </row>
    <row r="1008" customFormat="1" s="51">
      <c r="A1008" s="6" t="n"/>
      <c r="B1008" s="40" t="n"/>
      <c r="C1008" s="4" t="n"/>
      <c r="D1008" s="5" t="n"/>
    </row>
    <row r="1009" customFormat="1" s="51">
      <c r="A1009" s="6" t="n"/>
      <c r="B1009" s="40" t="n"/>
      <c r="C1009" s="4" t="n"/>
      <c r="D1009" s="5" t="n"/>
    </row>
    <row r="1010" customFormat="1" s="51">
      <c r="A1010" s="6" t="n"/>
      <c r="B1010" s="40" t="n"/>
      <c r="C1010" s="4" t="n"/>
      <c r="D1010" s="5" t="n"/>
    </row>
    <row r="1011" customFormat="1" s="51">
      <c r="A1011" s="6" t="n"/>
      <c r="B1011" s="40" t="n"/>
      <c r="C1011" s="4" t="n"/>
      <c r="D1011" s="5" t="n"/>
    </row>
    <row r="1012" customFormat="1" s="51">
      <c r="A1012" s="6" t="n"/>
      <c r="B1012" s="40" t="n"/>
      <c r="C1012" s="4" t="n"/>
      <c r="D1012" s="5" t="n"/>
    </row>
    <row r="1013" customFormat="1" s="51">
      <c r="A1013" s="6" t="n"/>
      <c r="B1013" s="40" t="n"/>
      <c r="C1013" s="4" t="n"/>
      <c r="D1013" s="5" t="n"/>
    </row>
    <row r="1014" customFormat="1" s="51">
      <c r="A1014" s="6" t="n"/>
      <c r="B1014" s="40" t="n"/>
      <c r="C1014" s="4" t="n"/>
      <c r="D1014" s="5" t="n"/>
    </row>
    <row r="1015" customFormat="1" s="51">
      <c r="A1015" s="6" t="n"/>
      <c r="B1015" s="40" t="n"/>
      <c r="C1015" s="4" t="n"/>
      <c r="D1015" s="5" t="n"/>
    </row>
    <row r="1016" customFormat="1" s="51">
      <c r="A1016" s="6" t="n"/>
      <c r="B1016" s="40" t="n"/>
      <c r="C1016" s="4" t="n"/>
      <c r="D1016" s="5" t="n"/>
    </row>
    <row r="1017" customFormat="1" s="51">
      <c r="A1017" s="6" t="n"/>
      <c r="B1017" s="40" t="n"/>
      <c r="C1017" s="4" t="n"/>
      <c r="D1017" s="5" t="n"/>
    </row>
    <row r="1018" customFormat="1" s="51">
      <c r="A1018" s="6" t="n"/>
      <c r="B1018" s="40" t="n"/>
      <c r="C1018" s="4" t="n"/>
      <c r="D1018" s="5" t="n"/>
    </row>
    <row r="1019" customFormat="1" s="51">
      <c r="A1019" s="6" t="n"/>
      <c r="B1019" s="40" t="n"/>
      <c r="C1019" s="4" t="n"/>
      <c r="D1019" s="5" t="n"/>
    </row>
    <row r="1020" customFormat="1" s="51">
      <c r="A1020" s="6" t="n"/>
      <c r="B1020" s="40" t="n"/>
      <c r="C1020" s="4" t="n"/>
      <c r="D1020" s="5" t="n"/>
    </row>
    <row r="1021" customFormat="1" s="51">
      <c r="A1021" s="6" t="n"/>
      <c r="B1021" s="40" t="n"/>
      <c r="C1021" s="4" t="n"/>
      <c r="D1021" s="5" t="n"/>
    </row>
    <row r="1022" customFormat="1" s="51">
      <c r="A1022" s="6" t="n"/>
      <c r="B1022" s="40" t="n"/>
      <c r="C1022" s="4" t="n"/>
      <c r="D1022" s="5" t="n"/>
    </row>
    <row r="1023" customFormat="1" s="51">
      <c r="A1023" s="6" t="n"/>
      <c r="B1023" s="40" t="n"/>
      <c r="C1023" s="4" t="n"/>
      <c r="D1023" s="5" t="n"/>
    </row>
    <row r="1024" customFormat="1" s="51">
      <c r="A1024" s="6" t="n"/>
      <c r="B1024" s="40" t="n"/>
      <c r="C1024" s="4" t="n"/>
      <c r="D1024" s="5" t="n"/>
    </row>
    <row r="1025" customFormat="1" s="51">
      <c r="A1025" s="6" t="n"/>
      <c r="B1025" s="40" t="n"/>
      <c r="C1025" s="4" t="n"/>
      <c r="D1025" s="5" t="n"/>
    </row>
    <row r="1026" customFormat="1" s="51">
      <c r="A1026" s="6" t="n"/>
      <c r="B1026" s="40" t="n"/>
      <c r="C1026" s="4" t="n"/>
      <c r="D1026" s="5" t="n"/>
    </row>
    <row r="1027" customFormat="1" s="51">
      <c r="A1027" s="6" t="n"/>
      <c r="B1027" s="40" t="n"/>
      <c r="C1027" s="4" t="n"/>
      <c r="D1027" s="5" t="n"/>
    </row>
    <row r="1028" customFormat="1" s="51">
      <c r="A1028" s="6" t="n"/>
      <c r="B1028" s="40" t="n"/>
      <c r="C1028" s="4" t="n"/>
      <c r="D1028" s="5" t="n"/>
    </row>
    <row r="1029" customFormat="1" s="51">
      <c r="A1029" s="6" t="n"/>
      <c r="B1029" s="40" t="n"/>
      <c r="C1029" s="4" t="n"/>
      <c r="D1029" s="5" t="n"/>
    </row>
    <row r="1030" customFormat="1" s="51">
      <c r="A1030" s="6" t="n"/>
      <c r="B1030" s="40" t="n"/>
      <c r="C1030" s="4" t="n"/>
      <c r="D1030" s="5" t="n"/>
    </row>
    <row r="1031" customFormat="1" s="51">
      <c r="A1031" s="6" t="n"/>
      <c r="B1031" s="40" t="n"/>
      <c r="C1031" s="4" t="n"/>
      <c r="D1031" s="5" t="n"/>
    </row>
    <row r="1032" customFormat="1" s="51">
      <c r="A1032" s="6" t="n"/>
      <c r="B1032" s="40" t="n"/>
      <c r="C1032" s="4" t="n"/>
      <c r="D1032" s="5" t="n"/>
    </row>
    <row r="1033" customFormat="1" s="51">
      <c r="A1033" s="6" t="n"/>
      <c r="B1033" s="40" t="n"/>
      <c r="C1033" s="4" t="n"/>
      <c r="D1033" s="5" t="n"/>
    </row>
    <row r="1034" customFormat="1" s="51">
      <c r="A1034" s="6" t="n"/>
      <c r="B1034" s="40" t="n"/>
      <c r="C1034" s="4" t="n"/>
      <c r="D1034" s="5" t="n"/>
    </row>
    <row r="1035" customFormat="1" s="51">
      <c r="A1035" s="6" t="n"/>
      <c r="B1035" s="40" t="n"/>
      <c r="C1035" s="4" t="n"/>
      <c r="D1035" s="5" t="n"/>
    </row>
    <row r="1036" customFormat="1" s="51">
      <c r="A1036" s="6" t="n"/>
      <c r="B1036" s="40" t="n"/>
      <c r="C1036" s="4" t="n"/>
      <c r="D1036" s="5" t="n"/>
    </row>
    <row r="1037" customFormat="1" s="51">
      <c r="A1037" s="6" t="n"/>
      <c r="B1037" s="40" t="n"/>
      <c r="C1037" s="4" t="n"/>
      <c r="D1037" s="5" t="n"/>
    </row>
    <row r="1038" customFormat="1" s="51">
      <c r="A1038" s="6" t="n"/>
      <c r="B1038" s="40" t="n"/>
      <c r="C1038" s="4" t="n"/>
      <c r="D1038" s="5" t="n"/>
    </row>
    <row r="1039" customFormat="1" s="51">
      <c r="A1039" s="6" t="n"/>
      <c r="B1039" s="40" t="n"/>
      <c r="C1039" s="4" t="n"/>
      <c r="D1039" s="5" t="n"/>
    </row>
    <row r="1040" customFormat="1" s="51">
      <c r="A1040" s="6" t="n"/>
      <c r="B1040" s="40" t="n"/>
      <c r="C1040" s="4" t="n"/>
      <c r="D1040" s="5" t="n"/>
    </row>
    <row r="1041" customFormat="1" s="51">
      <c r="A1041" s="6" t="n"/>
      <c r="B1041" s="40" t="n"/>
      <c r="C1041" s="4" t="n"/>
      <c r="D1041" s="5" t="n"/>
    </row>
    <row r="1042" customFormat="1" s="51">
      <c r="A1042" s="6" t="n"/>
      <c r="B1042" s="40" t="n"/>
      <c r="C1042" s="4" t="n"/>
      <c r="D1042" s="5" t="n"/>
    </row>
    <row r="1043" customFormat="1" s="51">
      <c r="A1043" s="6" t="n"/>
      <c r="B1043" s="40" t="n"/>
      <c r="C1043" s="4" t="n"/>
      <c r="D1043" s="5" t="n"/>
    </row>
    <row r="1044" customFormat="1" s="51">
      <c r="A1044" s="6" t="n"/>
      <c r="B1044" s="40" t="n"/>
      <c r="C1044" s="4" t="n"/>
      <c r="D1044" s="5" t="n"/>
    </row>
    <row r="1045" customFormat="1" s="51">
      <c r="A1045" s="6" t="n"/>
      <c r="B1045" s="40" t="n"/>
      <c r="C1045" s="4" t="n"/>
      <c r="D1045" s="5" t="n"/>
    </row>
    <row r="1046" customFormat="1" s="51">
      <c r="A1046" s="6" t="n"/>
      <c r="B1046" s="40" t="n"/>
      <c r="C1046" s="4" t="n"/>
      <c r="D1046" s="5" t="n"/>
    </row>
    <row r="1047" customFormat="1" s="51">
      <c r="A1047" s="6" t="n"/>
      <c r="B1047" s="40" t="n"/>
      <c r="C1047" s="4" t="n"/>
      <c r="D1047" s="5" t="n"/>
    </row>
    <row r="1048" customFormat="1" s="51">
      <c r="A1048" s="6" t="n"/>
      <c r="B1048" s="40" t="n"/>
      <c r="C1048" s="4" t="n"/>
      <c r="D1048" s="5" t="n"/>
    </row>
    <row r="1049" customFormat="1" s="51">
      <c r="A1049" s="6" t="n"/>
      <c r="B1049" s="40" t="n"/>
      <c r="C1049" s="4" t="n"/>
      <c r="D1049" s="5" t="n"/>
    </row>
    <row r="1050" customFormat="1" s="51">
      <c r="A1050" s="6" t="n"/>
      <c r="B1050" s="40" t="n"/>
      <c r="C1050" s="4" t="n"/>
      <c r="D1050" s="5" t="n"/>
    </row>
    <row r="1051" customFormat="1" s="51">
      <c r="A1051" s="6" t="n"/>
      <c r="B1051" s="40" t="n"/>
      <c r="C1051" s="4" t="n"/>
      <c r="D1051" s="5" t="n"/>
    </row>
    <row r="1052" customFormat="1" s="51">
      <c r="A1052" s="6" t="n"/>
      <c r="B1052" s="40" t="n"/>
      <c r="C1052" s="4" t="n"/>
      <c r="D1052" s="5" t="n"/>
    </row>
    <row r="1053" customFormat="1" s="51">
      <c r="A1053" s="6" t="n"/>
      <c r="B1053" s="40" t="n"/>
      <c r="C1053" s="4" t="n"/>
      <c r="D1053" s="5" t="n"/>
    </row>
    <row r="1054" customFormat="1" s="51">
      <c r="A1054" s="6" t="n"/>
      <c r="B1054" s="40" t="n"/>
      <c r="C1054" s="4" t="n"/>
      <c r="D1054" s="5" t="n"/>
    </row>
    <row r="1055" customFormat="1" s="51">
      <c r="A1055" s="6" t="n"/>
      <c r="B1055" s="40" t="n"/>
      <c r="C1055" s="4" t="n"/>
      <c r="D1055" s="5" t="n"/>
    </row>
    <row r="1056" customFormat="1" s="51">
      <c r="A1056" s="6" t="n"/>
      <c r="B1056" s="40" t="n"/>
      <c r="C1056" s="4" t="n"/>
      <c r="D1056" s="5" t="n"/>
    </row>
    <row r="1057" customFormat="1" s="51">
      <c r="A1057" s="6" t="n"/>
      <c r="B1057" s="40" t="n"/>
      <c r="C1057" s="4" t="n"/>
      <c r="D1057" s="5" t="n"/>
    </row>
    <row r="1058" customFormat="1" s="51">
      <c r="A1058" s="6" t="n"/>
      <c r="B1058" s="40" t="n"/>
      <c r="C1058" s="4" t="n"/>
      <c r="D1058" s="5" t="n"/>
    </row>
    <row r="1059" customFormat="1" s="51">
      <c r="A1059" s="6" t="n"/>
      <c r="B1059" s="40" t="n"/>
      <c r="C1059" s="4" t="n"/>
      <c r="D1059" s="5" t="n"/>
    </row>
    <row r="1060" customFormat="1" s="51">
      <c r="A1060" s="6" t="n"/>
      <c r="B1060" s="40" t="n"/>
      <c r="C1060" s="4" t="n"/>
      <c r="D1060" s="5" t="n"/>
    </row>
    <row r="1061" customFormat="1" s="51">
      <c r="A1061" s="6" t="n"/>
      <c r="B1061" s="40" t="n"/>
      <c r="C1061" s="4" t="n"/>
      <c r="D1061" s="5" t="n"/>
    </row>
    <row r="1062" customFormat="1" s="51">
      <c r="A1062" s="6" t="n"/>
      <c r="B1062" s="40" t="n"/>
      <c r="C1062" s="4" t="n"/>
      <c r="D1062" s="5" t="n"/>
    </row>
    <row r="1063" customFormat="1" s="51">
      <c r="A1063" s="6" t="n"/>
      <c r="B1063" s="40" t="n"/>
      <c r="C1063" s="4" t="n"/>
      <c r="D1063" s="5" t="n"/>
    </row>
    <row r="1064" customFormat="1" s="51">
      <c r="A1064" s="6" t="n"/>
      <c r="B1064" s="40" t="n"/>
      <c r="C1064" s="4" t="n"/>
      <c r="D1064" s="5" t="n"/>
    </row>
    <row r="1065" customFormat="1" s="51">
      <c r="A1065" s="6" t="n"/>
      <c r="B1065" s="40" t="n"/>
      <c r="C1065" s="4" t="n"/>
      <c r="D1065" s="5" t="n"/>
    </row>
    <row r="1066" customFormat="1" s="51">
      <c r="A1066" s="6" t="n"/>
      <c r="B1066" s="40" t="n"/>
      <c r="C1066" s="4" t="n"/>
      <c r="D1066" s="5" t="n"/>
    </row>
    <row r="1067" customFormat="1" s="51">
      <c r="A1067" s="6" t="n"/>
      <c r="B1067" s="40" t="n"/>
      <c r="C1067" s="4" t="n"/>
      <c r="D1067" s="5" t="n"/>
    </row>
    <row r="1068" customFormat="1" s="51">
      <c r="A1068" s="6" t="n"/>
      <c r="B1068" s="40" t="n"/>
      <c r="C1068" s="4" t="n"/>
      <c r="D1068" s="5" t="n"/>
    </row>
    <row r="1069" customFormat="1" s="51">
      <c r="A1069" s="6" t="n"/>
      <c r="B1069" s="40" t="n"/>
      <c r="C1069" s="4" t="n"/>
      <c r="D1069" s="5" t="n"/>
    </row>
    <row r="1070" customFormat="1" s="51">
      <c r="A1070" s="6" t="n"/>
      <c r="B1070" s="40" t="n"/>
      <c r="C1070" s="4" t="n"/>
      <c r="D1070" s="5" t="n"/>
    </row>
    <row r="1071" customFormat="1" s="51">
      <c r="A1071" s="6" t="n"/>
      <c r="B1071" s="40" t="n"/>
      <c r="C1071" s="4" t="n"/>
      <c r="D1071" s="5" t="n"/>
    </row>
    <row r="1072" customFormat="1" s="51">
      <c r="A1072" s="6" t="n"/>
      <c r="B1072" s="40" t="n"/>
      <c r="C1072" s="4" t="n"/>
      <c r="D1072" s="5" t="n"/>
    </row>
    <row r="1073" customFormat="1" s="51">
      <c r="A1073" s="6" t="n"/>
      <c r="B1073" s="40" t="n"/>
      <c r="C1073" s="4" t="n"/>
      <c r="D1073" s="5" t="n"/>
    </row>
    <row r="1074" customFormat="1" s="51">
      <c r="A1074" s="6" t="n"/>
      <c r="B1074" s="40" t="n"/>
      <c r="C1074" s="4" t="n"/>
      <c r="D1074" s="5" t="n"/>
    </row>
    <row r="1075" customFormat="1" s="51">
      <c r="A1075" s="6" t="n"/>
      <c r="B1075" s="40" t="n"/>
      <c r="C1075" s="4" t="n"/>
      <c r="D1075" s="5" t="n"/>
    </row>
    <row r="1076" customFormat="1" s="51">
      <c r="A1076" s="6" t="n"/>
      <c r="B1076" s="40" t="n"/>
      <c r="C1076" s="4" t="n"/>
      <c r="D1076" s="5" t="n"/>
    </row>
    <row r="1077" customFormat="1" s="51">
      <c r="A1077" s="6" t="n"/>
      <c r="B1077" s="40" t="n"/>
      <c r="C1077" s="4" t="n"/>
      <c r="D1077" s="5" t="n"/>
    </row>
    <row r="1078" customFormat="1" s="51">
      <c r="A1078" s="6" t="n"/>
      <c r="B1078" s="40" t="n"/>
      <c r="C1078" s="4" t="n"/>
      <c r="D1078" s="5" t="n"/>
    </row>
    <row r="1079" customFormat="1" s="51">
      <c r="A1079" s="6" t="n"/>
      <c r="B1079" s="40" t="n"/>
      <c r="C1079" s="4" t="n"/>
      <c r="D1079" s="5" t="n"/>
    </row>
    <row r="1080" customFormat="1" s="51">
      <c r="A1080" s="6" t="n"/>
      <c r="B1080" s="40" t="n"/>
      <c r="C1080" s="4" t="n"/>
      <c r="D1080" s="5" t="n"/>
    </row>
    <row r="1081" customFormat="1" s="51">
      <c r="A1081" s="6" t="n"/>
      <c r="B1081" s="40" t="n"/>
      <c r="C1081" s="4" t="n"/>
      <c r="D1081" s="5" t="n"/>
    </row>
    <row r="1082" customFormat="1" s="51">
      <c r="A1082" s="6" t="n"/>
      <c r="B1082" s="40" t="n"/>
      <c r="C1082" s="4" t="n"/>
      <c r="D1082" s="5" t="n"/>
    </row>
    <row r="1083" customFormat="1" s="51">
      <c r="A1083" s="6" t="n"/>
      <c r="B1083" s="40" t="n"/>
      <c r="C1083" s="4" t="n"/>
      <c r="D1083" s="5" t="n"/>
    </row>
    <row r="1084" customFormat="1" s="51">
      <c r="A1084" s="6" t="n"/>
      <c r="B1084" s="40" t="n"/>
      <c r="C1084" s="4" t="n"/>
      <c r="D1084" s="5" t="n"/>
    </row>
    <row r="1085" customFormat="1" s="51">
      <c r="A1085" s="6" t="n"/>
      <c r="B1085" s="40" t="n"/>
      <c r="C1085" s="4" t="n"/>
      <c r="D1085" s="5" t="n"/>
    </row>
    <row r="1086" customFormat="1" s="51">
      <c r="A1086" s="6" t="n"/>
      <c r="B1086" s="40" t="n"/>
      <c r="C1086" s="4" t="n"/>
      <c r="D1086" s="5" t="n"/>
    </row>
    <row r="1087" customFormat="1" s="51">
      <c r="A1087" s="6" t="n"/>
      <c r="B1087" s="40" t="n"/>
      <c r="C1087" s="4" t="n"/>
      <c r="D1087" s="5" t="n"/>
    </row>
    <row r="1088" customFormat="1" s="51">
      <c r="A1088" s="6" t="n"/>
      <c r="B1088" s="40" t="n"/>
      <c r="C1088" s="4" t="n"/>
      <c r="D1088" s="5" t="n"/>
    </row>
    <row r="1089" customFormat="1" s="51">
      <c r="A1089" s="6" t="n"/>
      <c r="B1089" s="40" t="n"/>
      <c r="C1089" s="4" t="n"/>
      <c r="D1089" s="5" t="n"/>
    </row>
    <row r="1090" customFormat="1" s="51">
      <c r="A1090" s="6" t="n"/>
      <c r="B1090" s="40" t="n"/>
      <c r="C1090" s="4" t="n"/>
      <c r="D1090" s="5" t="n"/>
    </row>
    <row r="1091" customFormat="1" s="51">
      <c r="A1091" s="6" t="n"/>
      <c r="B1091" s="40" t="n"/>
      <c r="C1091" s="4" t="n"/>
      <c r="D1091" s="5" t="n"/>
    </row>
    <row r="1092" customFormat="1" s="51">
      <c r="A1092" s="6" t="n"/>
      <c r="B1092" s="40" t="n"/>
      <c r="C1092" s="4" t="n"/>
      <c r="D1092" s="5" t="n"/>
    </row>
    <row r="1093" customFormat="1" s="51">
      <c r="A1093" s="6" t="n"/>
      <c r="B1093" s="40" t="n"/>
      <c r="C1093" s="4" t="n"/>
      <c r="D1093" s="5" t="n"/>
    </row>
    <row r="1094" customFormat="1" s="51">
      <c r="A1094" s="6" t="n"/>
      <c r="B1094" s="40" t="n"/>
      <c r="C1094" s="4" t="n"/>
      <c r="D1094" s="5" t="n"/>
    </row>
    <row r="1095" customFormat="1" s="51">
      <c r="A1095" s="6" t="n"/>
      <c r="B1095" s="40" t="n"/>
      <c r="C1095" s="4" t="n"/>
      <c r="D1095" s="5" t="n"/>
    </row>
    <row r="1096" customFormat="1" s="51">
      <c r="A1096" s="6" t="n"/>
      <c r="B1096" s="40" t="n"/>
      <c r="C1096" s="4" t="n"/>
      <c r="D1096" s="5" t="n"/>
    </row>
    <row r="1097" customFormat="1" s="51">
      <c r="A1097" s="6" t="n"/>
      <c r="B1097" s="40" t="n"/>
      <c r="C1097" s="4" t="n"/>
      <c r="D1097" s="5" t="n"/>
    </row>
    <row r="1098" customFormat="1" s="51">
      <c r="A1098" s="6" t="n"/>
      <c r="B1098" s="40" t="n"/>
      <c r="C1098" s="4" t="n"/>
      <c r="D1098" s="5" t="n"/>
    </row>
    <row r="1099" customFormat="1" s="51">
      <c r="A1099" s="6" t="n"/>
      <c r="B1099" s="40" t="n"/>
      <c r="C1099" s="4" t="n"/>
      <c r="D1099" s="5" t="n"/>
    </row>
    <row r="1100" customFormat="1" s="51">
      <c r="A1100" s="6" t="n"/>
      <c r="B1100" s="40" t="n"/>
      <c r="C1100" s="4" t="n"/>
      <c r="D1100" s="5" t="n"/>
    </row>
    <row r="1101" customFormat="1" s="51">
      <c r="A1101" s="6" t="n"/>
      <c r="B1101" s="40" t="n"/>
      <c r="C1101" s="4" t="n"/>
      <c r="D1101" s="5" t="n"/>
    </row>
    <row r="1102" customFormat="1" s="51">
      <c r="A1102" s="6" t="n"/>
      <c r="B1102" s="40" t="n"/>
      <c r="C1102" s="4" t="n"/>
      <c r="D1102" s="5" t="n"/>
    </row>
    <row r="1103" customFormat="1" s="51">
      <c r="A1103" s="6" t="n"/>
      <c r="B1103" s="40" t="n"/>
      <c r="C1103" s="4" t="n"/>
      <c r="D1103" s="5" t="n"/>
    </row>
    <row r="1104" customFormat="1" s="51">
      <c r="A1104" s="6" t="n"/>
      <c r="B1104" s="40" t="n"/>
      <c r="C1104" s="4" t="n"/>
      <c r="D1104" s="5" t="n"/>
    </row>
    <row r="1105" customFormat="1" s="51">
      <c r="A1105" s="6" t="n"/>
      <c r="B1105" s="40" t="n"/>
      <c r="C1105" s="4" t="n"/>
      <c r="D1105" s="5" t="n"/>
    </row>
    <row r="1106" customFormat="1" s="51">
      <c r="A1106" s="6" t="n"/>
      <c r="B1106" s="40" t="n"/>
      <c r="C1106" s="4" t="n"/>
      <c r="D1106" s="5" t="n"/>
    </row>
    <row r="1107" customFormat="1" s="51">
      <c r="A1107" s="6" t="n"/>
      <c r="B1107" s="40" t="n"/>
      <c r="C1107" s="4" t="n"/>
      <c r="D1107" s="5" t="n"/>
    </row>
    <row r="1108" customFormat="1" s="51">
      <c r="A1108" s="6" t="n"/>
      <c r="B1108" s="40" t="n"/>
      <c r="C1108" s="4" t="n"/>
      <c r="D1108" s="5" t="n"/>
    </row>
    <row r="1109" customFormat="1" s="51">
      <c r="A1109" s="6" t="n"/>
      <c r="B1109" s="40" t="n"/>
      <c r="C1109" s="4" t="n"/>
      <c r="D1109" s="5" t="n"/>
    </row>
    <row r="1110" customFormat="1" s="51">
      <c r="A1110" s="6" t="n"/>
      <c r="B1110" s="40" t="n"/>
      <c r="C1110" s="4" t="n"/>
      <c r="D1110" s="5" t="n"/>
    </row>
    <row r="1111" customFormat="1" s="51">
      <c r="A1111" s="6" t="n"/>
      <c r="B1111" s="40" t="n"/>
      <c r="C1111" s="4" t="n"/>
      <c r="D1111" s="5" t="n"/>
    </row>
    <row r="1112" customFormat="1" s="51">
      <c r="A1112" s="6" t="n"/>
      <c r="B1112" s="40" t="n"/>
      <c r="C1112" s="4" t="n"/>
      <c r="D1112" s="5" t="n"/>
    </row>
    <row r="1113" customFormat="1" s="51">
      <c r="A1113" s="6" t="n"/>
      <c r="B1113" s="40" t="n"/>
      <c r="C1113" s="4" t="n"/>
      <c r="D1113" s="5" t="n"/>
    </row>
    <row r="1114" customFormat="1" s="51">
      <c r="A1114" s="6" t="n"/>
      <c r="B1114" s="40" t="n"/>
      <c r="C1114" s="4" t="n"/>
      <c r="D1114" s="5" t="n"/>
    </row>
    <row r="1115" customFormat="1" s="51">
      <c r="A1115" s="6" t="n"/>
      <c r="B1115" s="40" t="n"/>
      <c r="C1115" s="4" t="n"/>
      <c r="D1115" s="5" t="n"/>
    </row>
    <row r="1116" customFormat="1" s="51">
      <c r="A1116" s="6" t="n"/>
      <c r="B1116" s="40" t="n"/>
      <c r="C1116" s="4" t="n"/>
      <c r="D1116" s="5" t="n"/>
    </row>
    <row r="1117" customFormat="1" s="51">
      <c r="A1117" s="6" t="n"/>
      <c r="B1117" s="40" t="n"/>
      <c r="C1117" s="4" t="n"/>
      <c r="D1117" s="5" t="n"/>
    </row>
    <row r="1118" customFormat="1" s="51">
      <c r="A1118" s="6" t="n"/>
      <c r="B1118" s="40" t="n"/>
      <c r="C1118" s="4" t="n"/>
      <c r="D1118" s="5" t="n"/>
    </row>
    <row r="1119" customFormat="1" s="51">
      <c r="A1119" s="6" t="n"/>
      <c r="B1119" s="40" t="n"/>
      <c r="C1119" s="4" t="n"/>
      <c r="D1119" s="5" t="n"/>
    </row>
    <row r="1120" customFormat="1" s="51">
      <c r="A1120" s="6" t="n"/>
      <c r="B1120" s="40" t="n"/>
      <c r="C1120" s="4" t="n"/>
      <c r="D1120" s="5" t="n"/>
    </row>
    <row r="1121" customFormat="1" s="51">
      <c r="A1121" s="6" t="n"/>
      <c r="B1121" s="40" t="n"/>
      <c r="C1121" s="4" t="n"/>
      <c r="D1121" s="5" t="n"/>
    </row>
    <row r="1122" customFormat="1" s="51">
      <c r="A1122" s="6" t="n"/>
      <c r="B1122" s="40" t="n"/>
      <c r="C1122" s="4" t="n"/>
      <c r="D1122" s="5" t="n"/>
    </row>
    <row r="1123" customFormat="1" s="51">
      <c r="A1123" s="6" t="n"/>
      <c r="B1123" s="40" t="n"/>
      <c r="C1123" s="4" t="n"/>
      <c r="D1123" s="5" t="n"/>
    </row>
    <row r="1124" customFormat="1" s="51">
      <c r="A1124" s="6" t="n"/>
      <c r="B1124" s="40" t="n"/>
      <c r="C1124" s="4" t="n"/>
      <c r="D1124" s="5" t="n"/>
    </row>
    <row r="1125" customFormat="1" s="51">
      <c r="A1125" s="6" t="n"/>
      <c r="B1125" s="40" t="n"/>
      <c r="C1125" s="4" t="n"/>
      <c r="D1125" s="5" t="n"/>
    </row>
    <row r="1126" customFormat="1" s="51">
      <c r="A1126" s="6" t="n"/>
      <c r="B1126" s="40" t="n"/>
      <c r="C1126" s="4" t="n"/>
      <c r="D1126" s="5" t="n"/>
    </row>
    <row r="1127" customFormat="1" s="51">
      <c r="A1127" s="6" t="n"/>
      <c r="B1127" s="40" t="n"/>
      <c r="C1127" s="4" t="n"/>
      <c r="D1127" s="5" t="n"/>
    </row>
    <row r="1128" customFormat="1" s="51">
      <c r="A1128" s="6" t="n"/>
      <c r="B1128" s="40" t="n"/>
      <c r="C1128" s="4" t="n"/>
      <c r="D1128" s="5" t="n"/>
    </row>
    <row r="1129" customFormat="1" s="51">
      <c r="A1129" s="6" t="n"/>
      <c r="B1129" s="40" t="n"/>
      <c r="C1129" s="4" t="n"/>
      <c r="D1129" s="5" t="n"/>
    </row>
    <row r="1130" customFormat="1" s="51">
      <c r="A1130" s="6" t="n"/>
      <c r="B1130" s="40" t="n"/>
      <c r="C1130" s="4" t="n"/>
      <c r="D1130" s="5" t="n"/>
    </row>
    <row r="1131" customFormat="1" s="51">
      <c r="A1131" s="6" t="n"/>
      <c r="B1131" s="40" t="n"/>
      <c r="C1131" s="4" t="n"/>
      <c r="D1131" s="5" t="n"/>
    </row>
    <row r="1132" customFormat="1" s="51">
      <c r="A1132" s="6" t="n"/>
      <c r="B1132" s="40" t="n"/>
      <c r="C1132" s="4" t="n"/>
      <c r="D1132" s="5" t="n"/>
    </row>
    <row r="1133" customFormat="1" s="51">
      <c r="A1133" s="6" t="n"/>
      <c r="B1133" s="40" t="n"/>
      <c r="C1133" s="4" t="n"/>
      <c r="D1133" s="5" t="n"/>
    </row>
    <row r="1134" customFormat="1" s="51">
      <c r="A1134" s="6" t="n"/>
      <c r="B1134" s="40" t="n"/>
      <c r="C1134" s="4" t="n"/>
      <c r="D1134" s="5" t="n"/>
    </row>
    <row r="1135" customFormat="1" s="51">
      <c r="A1135" s="6" t="n"/>
      <c r="B1135" s="40" t="n"/>
      <c r="C1135" s="4" t="n"/>
      <c r="D1135" s="5" t="n"/>
    </row>
    <row r="1136" customFormat="1" s="51">
      <c r="A1136" s="6" t="n"/>
      <c r="B1136" s="40" t="n"/>
      <c r="C1136" s="4" t="n"/>
      <c r="D1136" s="5" t="n"/>
    </row>
    <row r="1137" customFormat="1" s="51">
      <c r="A1137" s="6" t="n"/>
      <c r="B1137" s="40" t="n"/>
      <c r="C1137" s="4" t="n"/>
      <c r="D1137" s="5" t="n"/>
    </row>
    <row r="1138" customFormat="1" s="51">
      <c r="A1138" s="6" t="n"/>
      <c r="B1138" s="40" t="n"/>
      <c r="C1138" s="4" t="n"/>
      <c r="D1138" s="5" t="n"/>
    </row>
    <row r="1139" customFormat="1" s="51">
      <c r="A1139" s="6" t="n"/>
      <c r="B1139" s="40" t="n"/>
      <c r="C1139" s="4" t="n"/>
      <c r="D1139" s="5" t="n"/>
    </row>
    <row r="1140" customFormat="1" s="51">
      <c r="A1140" s="6" t="n"/>
      <c r="B1140" s="40" t="n"/>
      <c r="C1140" s="4" t="n"/>
      <c r="D1140" s="5" t="n"/>
    </row>
    <row r="1141" customFormat="1" s="51">
      <c r="A1141" s="6" t="n"/>
      <c r="B1141" s="40" t="n"/>
      <c r="C1141" s="4" t="n"/>
      <c r="D1141" s="5" t="n"/>
    </row>
    <row r="1142" customFormat="1" s="51">
      <c r="A1142" s="6" t="n"/>
      <c r="B1142" s="40" t="n"/>
      <c r="C1142" s="4" t="n"/>
      <c r="D1142" s="5" t="n"/>
    </row>
    <row r="1143" customFormat="1" s="51">
      <c r="A1143" s="6" t="n"/>
      <c r="B1143" s="40" t="n"/>
      <c r="C1143" s="4" t="n"/>
      <c r="D1143" s="5" t="n"/>
    </row>
    <row r="1144" customFormat="1" s="51">
      <c r="A1144" s="6" t="n"/>
      <c r="B1144" s="40" t="n"/>
      <c r="C1144" s="4" t="n"/>
      <c r="D1144" s="5" t="n"/>
    </row>
    <row r="1145" customFormat="1" s="51">
      <c r="A1145" s="6" t="n"/>
      <c r="B1145" s="40" t="n"/>
      <c r="C1145" s="4" t="n"/>
      <c r="D1145" s="5" t="n"/>
    </row>
    <row r="1146" customFormat="1" s="51">
      <c r="A1146" s="6" t="n"/>
      <c r="B1146" s="40" t="n"/>
      <c r="C1146" s="4" t="n"/>
      <c r="D1146" s="5" t="n"/>
    </row>
    <row r="1147" customFormat="1" s="51">
      <c r="A1147" s="6" t="n"/>
      <c r="B1147" s="40" t="n"/>
      <c r="C1147" s="4" t="n"/>
      <c r="D1147" s="5" t="n"/>
    </row>
    <row r="1148" customFormat="1" s="51">
      <c r="A1148" s="6" t="n"/>
      <c r="B1148" s="40" t="n"/>
      <c r="C1148" s="4" t="n"/>
      <c r="D1148" s="5" t="n"/>
    </row>
    <row r="1149" customFormat="1" s="51">
      <c r="A1149" s="6" t="n"/>
      <c r="B1149" s="40" t="n"/>
      <c r="C1149" s="4" t="n"/>
      <c r="D1149" s="5" t="n"/>
    </row>
    <row r="1150" customFormat="1" s="51">
      <c r="A1150" s="6" t="n"/>
      <c r="B1150" s="40" t="n"/>
      <c r="C1150" s="4" t="n"/>
      <c r="D1150" s="5" t="n"/>
    </row>
    <row r="1151" customFormat="1" s="51">
      <c r="A1151" s="6" t="n"/>
      <c r="B1151" s="40" t="n"/>
      <c r="C1151" s="4" t="n"/>
      <c r="D1151" s="5" t="n"/>
    </row>
    <row r="1152" customFormat="1" s="51">
      <c r="A1152" s="6" t="n"/>
      <c r="B1152" s="40" t="n"/>
      <c r="C1152" s="4" t="n"/>
      <c r="D1152" s="5" t="n"/>
    </row>
    <row r="1153" customFormat="1" s="51">
      <c r="A1153" s="6" t="n"/>
      <c r="B1153" s="40" t="n"/>
      <c r="C1153" s="4" t="n"/>
      <c r="D1153" s="5" t="n"/>
    </row>
    <row r="1154" customFormat="1" s="51">
      <c r="A1154" s="6" t="n"/>
      <c r="B1154" s="40" t="n"/>
      <c r="C1154" s="4" t="n"/>
      <c r="D1154" s="5" t="n"/>
    </row>
    <row r="1155" customFormat="1" s="51">
      <c r="A1155" s="6" t="n"/>
      <c r="B1155" s="40" t="n"/>
      <c r="C1155" s="4" t="n"/>
      <c r="D1155" s="5" t="n"/>
    </row>
    <row r="1156" customFormat="1" s="51">
      <c r="A1156" s="6" t="n"/>
      <c r="B1156" s="40" t="n"/>
      <c r="C1156" s="4" t="n"/>
      <c r="D1156" s="5" t="n"/>
    </row>
    <row r="1157" customFormat="1" s="51">
      <c r="A1157" s="6" t="n"/>
      <c r="B1157" s="40" t="n"/>
      <c r="C1157" s="4" t="n"/>
      <c r="D1157" s="5" t="n"/>
    </row>
    <row r="1158" customFormat="1" s="51">
      <c r="A1158" s="6" t="n"/>
      <c r="B1158" s="40" t="n"/>
      <c r="C1158" s="4" t="n"/>
      <c r="D1158" s="5" t="n"/>
    </row>
    <row r="1159" customFormat="1" s="51">
      <c r="A1159" s="6" t="n"/>
      <c r="B1159" s="40" t="n"/>
      <c r="C1159" s="4" t="n"/>
      <c r="D1159" s="5" t="n"/>
    </row>
    <row r="1160" customFormat="1" s="51">
      <c r="A1160" s="6" t="n"/>
      <c r="B1160" s="40" t="n"/>
      <c r="C1160" s="4" t="n"/>
      <c r="D1160" s="5" t="n"/>
    </row>
    <row r="1161" customFormat="1" s="51">
      <c r="A1161" s="6" t="n"/>
      <c r="B1161" s="40" t="n"/>
      <c r="C1161" s="4" t="n"/>
      <c r="D1161" s="5" t="n"/>
    </row>
    <row r="1162" customFormat="1" s="51">
      <c r="A1162" s="6" t="n"/>
      <c r="B1162" s="40" t="n"/>
      <c r="C1162" s="4" t="n"/>
      <c r="D1162" s="5" t="n"/>
    </row>
    <row r="1163" customFormat="1" s="51">
      <c r="A1163" s="6" t="n"/>
      <c r="B1163" s="40" t="n"/>
      <c r="C1163" s="4" t="n"/>
      <c r="D1163" s="5" t="n"/>
    </row>
    <row r="1164" customFormat="1" s="51">
      <c r="A1164" s="6" t="n"/>
      <c r="B1164" s="40" t="n"/>
      <c r="C1164" s="4" t="n"/>
      <c r="D1164" s="5" t="n"/>
    </row>
    <row r="1165" customFormat="1" s="51">
      <c r="A1165" s="6" t="n"/>
      <c r="B1165" s="40" t="n"/>
      <c r="C1165" s="4" t="n"/>
      <c r="D1165" s="5" t="n"/>
    </row>
    <row r="1166" customFormat="1" s="51">
      <c r="A1166" s="6" t="n"/>
      <c r="B1166" s="40" t="n"/>
      <c r="C1166" s="4" t="n"/>
      <c r="D1166" s="5" t="n"/>
    </row>
    <row r="1167" customFormat="1" s="51">
      <c r="A1167" s="6" t="n"/>
      <c r="B1167" s="40" t="n"/>
      <c r="C1167" s="4" t="n"/>
      <c r="D1167" s="5" t="n"/>
    </row>
    <row r="1168" customFormat="1" s="51">
      <c r="A1168" s="6" t="n"/>
      <c r="B1168" s="40" t="n"/>
      <c r="C1168" s="4" t="n"/>
      <c r="D1168" s="5" t="n"/>
    </row>
    <row r="1169" customFormat="1" s="51">
      <c r="A1169" s="6" t="n"/>
      <c r="B1169" s="40" t="n"/>
      <c r="C1169" s="4" t="n"/>
      <c r="D1169" s="5" t="n"/>
    </row>
    <row r="1170" customFormat="1" s="51">
      <c r="A1170" s="6" t="n"/>
      <c r="B1170" s="40" t="n"/>
      <c r="C1170" s="4" t="n"/>
      <c r="D1170" s="5" t="n"/>
    </row>
    <row r="1171" customFormat="1" s="51">
      <c r="A1171" s="6" t="n"/>
      <c r="B1171" s="40" t="n"/>
      <c r="C1171" s="4" t="n"/>
      <c r="D1171" s="5" t="n"/>
    </row>
    <row r="1172" customFormat="1" s="51">
      <c r="A1172" s="6" t="n"/>
      <c r="B1172" s="40" t="n"/>
      <c r="C1172" s="4" t="n"/>
      <c r="D1172" s="5" t="n"/>
    </row>
    <row r="1173" customFormat="1" s="51">
      <c r="A1173" s="6" t="n"/>
      <c r="B1173" s="40" t="n"/>
      <c r="C1173" s="4" t="n"/>
      <c r="D1173" s="5" t="n"/>
    </row>
    <row r="1174" customFormat="1" s="51">
      <c r="A1174" s="6" t="n"/>
      <c r="B1174" s="40" t="n"/>
      <c r="C1174" s="4" t="n"/>
      <c r="D1174" s="5" t="n"/>
    </row>
    <row r="1175" customFormat="1" s="51">
      <c r="A1175" s="6" t="n"/>
      <c r="B1175" s="40" t="n"/>
      <c r="C1175" s="4" t="n"/>
      <c r="D1175" s="5" t="n"/>
    </row>
    <row r="1176" customFormat="1" s="51">
      <c r="A1176" s="6" t="n"/>
      <c r="B1176" s="40" t="n"/>
      <c r="C1176" s="4" t="n"/>
      <c r="D1176" s="5" t="n"/>
    </row>
    <row r="1177" customFormat="1" s="51">
      <c r="A1177" s="6" t="n"/>
      <c r="B1177" s="40" t="n"/>
      <c r="C1177" s="4" t="n"/>
      <c r="D1177" s="5" t="n"/>
    </row>
    <row r="1178" customFormat="1" s="51">
      <c r="A1178" s="6" t="n"/>
      <c r="B1178" s="40" t="n"/>
      <c r="C1178" s="4" t="n"/>
      <c r="D1178" s="5" t="n"/>
    </row>
    <row r="1179" customFormat="1" s="51">
      <c r="A1179" s="6" t="n"/>
      <c r="B1179" s="40" t="n"/>
      <c r="C1179" s="4" t="n"/>
      <c r="D1179" s="5" t="n"/>
    </row>
    <row r="1180" customFormat="1" s="51">
      <c r="A1180" s="6" t="n"/>
      <c r="B1180" s="40" t="n"/>
      <c r="C1180" s="4" t="n"/>
      <c r="D1180" s="5" t="n"/>
    </row>
    <row r="1181" customFormat="1" s="51">
      <c r="A1181" s="6" t="n"/>
      <c r="B1181" s="40" t="n"/>
      <c r="C1181" s="4" t="n"/>
      <c r="D1181" s="5" t="n"/>
    </row>
    <row r="1182" customFormat="1" s="51">
      <c r="A1182" s="6" t="n"/>
      <c r="B1182" s="40" t="n"/>
      <c r="C1182" s="4" t="n"/>
      <c r="D1182" s="5" t="n"/>
    </row>
    <row r="1183" customFormat="1" s="51">
      <c r="A1183" s="6" t="n"/>
      <c r="B1183" s="40" t="n"/>
      <c r="C1183" s="4" t="n"/>
      <c r="D1183" s="5" t="n"/>
    </row>
    <row r="1184" customFormat="1" s="51">
      <c r="A1184" s="6" t="n"/>
      <c r="B1184" s="40" t="n"/>
      <c r="C1184" s="4" t="n"/>
      <c r="D1184" s="5" t="n"/>
    </row>
    <row r="1185" customFormat="1" s="51">
      <c r="A1185" s="6" t="n"/>
      <c r="B1185" s="40" t="n"/>
      <c r="C1185" s="4" t="n"/>
      <c r="D1185" s="5" t="n"/>
    </row>
    <row r="1186" customFormat="1" s="51">
      <c r="A1186" s="6" t="n"/>
      <c r="B1186" s="40" t="n"/>
      <c r="C1186" s="4" t="n"/>
      <c r="D1186" s="5" t="n"/>
    </row>
    <row r="1187" customFormat="1" s="51">
      <c r="A1187" s="6" t="n"/>
      <c r="B1187" s="40" t="n"/>
      <c r="C1187" s="4" t="n"/>
      <c r="D1187" s="5" t="n"/>
    </row>
    <row r="1188" customFormat="1" s="51">
      <c r="A1188" s="6" t="n"/>
      <c r="B1188" s="40" t="n"/>
      <c r="C1188" s="4" t="n"/>
      <c r="D1188" s="5" t="n"/>
    </row>
    <row r="1189" customFormat="1" s="51">
      <c r="A1189" s="6" t="n"/>
      <c r="B1189" s="40" t="n"/>
      <c r="C1189" s="4" t="n"/>
      <c r="D1189" s="5" t="n"/>
    </row>
    <row r="1190" customFormat="1" s="51">
      <c r="A1190" s="6" t="n"/>
      <c r="B1190" s="40" t="n"/>
      <c r="C1190" s="4" t="n"/>
      <c r="D1190" s="5" t="n"/>
    </row>
    <row r="1191" customFormat="1" s="51">
      <c r="A1191" s="6" t="n"/>
      <c r="B1191" s="40" t="n"/>
      <c r="C1191" s="4" t="n"/>
      <c r="D1191" s="5" t="n"/>
    </row>
    <row r="1192" customFormat="1" s="51">
      <c r="A1192" s="6" t="n"/>
      <c r="B1192" s="40" t="n"/>
      <c r="C1192" s="4" t="n"/>
      <c r="D1192" s="5" t="n"/>
    </row>
    <row r="1193" customFormat="1" s="51">
      <c r="A1193" s="6" t="n"/>
      <c r="B1193" s="40" t="n"/>
      <c r="C1193" s="4" t="n"/>
      <c r="D1193" s="5" t="n"/>
    </row>
    <row r="1194" customFormat="1" s="51">
      <c r="A1194" s="6" t="n"/>
      <c r="B1194" s="40" t="n"/>
      <c r="C1194" s="4" t="n"/>
      <c r="D1194" s="5" t="n"/>
    </row>
    <row r="1195" customFormat="1" s="51">
      <c r="A1195" s="6" t="n"/>
      <c r="B1195" s="40" t="n"/>
      <c r="C1195" s="4" t="n"/>
      <c r="D1195" s="5" t="n"/>
    </row>
    <row r="1196" customFormat="1" s="51">
      <c r="A1196" s="6" t="n"/>
      <c r="B1196" s="40" t="n"/>
      <c r="C1196" s="4" t="n"/>
      <c r="D1196" s="5" t="n"/>
    </row>
    <row r="1197" customFormat="1" s="51">
      <c r="A1197" s="6" t="n"/>
      <c r="B1197" s="40" t="n"/>
      <c r="C1197" s="4" t="n"/>
      <c r="D1197" s="5" t="n"/>
    </row>
    <row r="1198" customFormat="1" s="51">
      <c r="A1198" s="6" t="n"/>
      <c r="B1198" s="40" t="n"/>
      <c r="C1198" s="4" t="n"/>
      <c r="D1198" s="5" t="n"/>
    </row>
    <row r="1199" customFormat="1" s="51">
      <c r="A1199" s="6" t="n"/>
      <c r="B1199" s="40" t="n"/>
      <c r="C1199" s="4" t="n"/>
      <c r="D1199" s="5" t="n"/>
    </row>
    <row r="1200" customFormat="1" s="51">
      <c r="A1200" s="6" t="n"/>
      <c r="B1200" s="40" t="n"/>
      <c r="C1200" s="4" t="n"/>
      <c r="D1200" s="5" t="n"/>
    </row>
    <row r="1201" customFormat="1" s="51">
      <c r="A1201" s="6" t="n"/>
      <c r="B1201" s="40" t="n"/>
      <c r="C1201" s="4" t="n"/>
      <c r="D1201" s="5" t="n"/>
    </row>
    <row r="1202" customFormat="1" s="51">
      <c r="A1202" s="6" t="n"/>
      <c r="B1202" s="40" t="n"/>
      <c r="C1202" s="4" t="n"/>
      <c r="D1202" s="5" t="n"/>
    </row>
    <row r="1203" customFormat="1" s="51">
      <c r="A1203" s="6" t="n"/>
      <c r="B1203" s="40" t="n"/>
      <c r="C1203" s="4" t="n"/>
      <c r="D1203" s="5" t="n"/>
    </row>
  </sheetData>
  <conditionalFormatting sqref="D692:D760">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5"/>
  <sheetViews>
    <sheetView zoomScale="170" zoomScaleNormal="170" workbookViewId="0">
      <pane ySplit="4" topLeftCell="A727" activePane="bottomLeft" state="frozen"/>
      <selection activeCell="I12" sqref="I12"/>
      <selection pane="bottomLeft" activeCell="F767" sqref="F767"/>
    </sheetView>
  </sheetViews>
  <sheetFormatPr baseColWidth="10" defaultColWidth="8.83203125" defaultRowHeight="15"/>
  <cols>
    <col width="10.83203125" customWidth="1" style="3" min="1" max="1"/>
    <col width="18.1640625" customWidth="1" style="38" min="2" max="2"/>
    <col width="15" customWidth="1" style="1" min="3" max="3"/>
    <col width="13" customWidth="1" style="2" min="4" max="4"/>
    <col width="9.1640625" customWidth="1" style="13" min="5" max="6"/>
    <col width="9.1640625" customWidth="1" style="51" min="7" max="122"/>
    <col width="10.83203125" customWidth="1" style="63" min="253" max="253"/>
    <col width="18.1640625" customWidth="1" style="63" min="254" max="254"/>
    <col width="15" customWidth="1" style="63" min="255" max="255"/>
    <col width="13" customWidth="1" style="63" min="256" max="259"/>
    <col width="17.6640625" customWidth="1" style="63" min="260" max="260"/>
    <col width="10.83203125" customWidth="1" style="63" min="509" max="509"/>
    <col width="18.1640625" customWidth="1" style="63" min="510" max="510"/>
    <col width="15" customWidth="1" style="63" min="511" max="511"/>
    <col width="13" customWidth="1" style="63" min="512" max="515"/>
    <col width="17.6640625" customWidth="1" style="63" min="516" max="516"/>
    <col width="10.83203125" customWidth="1" style="63" min="765" max="765"/>
    <col width="18.1640625" customWidth="1" style="63" min="766" max="766"/>
    <col width="15" customWidth="1" style="63" min="767" max="767"/>
    <col width="13" customWidth="1" style="63" min="768" max="771"/>
    <col width="17.6640625" customWidth="1" style="63" min="772" max="772"/>
    <col width="10.83203125" customWidth="1" style="63" min="1021" max="1021"/>
    <col width="18.1640625" customWidth="1" style="63" min="1022" max="1022"/>
    <col width="15" customWidth="1" style="63" min="1023" max="1023"/>
    <col width="13" customWidth="1" style="63" min="1024" max="1027"/>
    <col width="17.6640625" customWidth="1" style="63" min="1028" max="1028"/>
    <col width="10.83203125" customWidth="1" style="63" min="1277" max="1277"/>
    <col width="18.1640625" customWidth="1" style="63" min="1278" max="1278"/>
    <col width="15" customWidth="1" style="63" min="1279" max="1279"/>
    <col width="13" customWidth="1" style="63" min="1280" max="1283"/>
    <col width="17.6640625" customWidth="1" style="63" min="1284" max="1284"/>
    <col width="10.83203125" customWidth="1" style="63" min="1533" max="1533"/>
    <col width="18.1640625" customWidth="1" style="63" min="1534" max="1534"/>
    <col width="15" customWidth="1" style="63" min="1535" max="1535"/>
    <col width="13" customWidth="1" style="63" min="1536" max="1539"/>
    <col width="17.6640625" customWidth="1" style="63" min="1540" max="1540"/>
    <col width="10.83203125" customWidth="1" style="63" min="1789" max="1789"/>
    <col width="18.1640625" customWidth="1" style="63" min="1790" max="1790"/>
    <col width="15" customWidth="1" style="63" min="1791" max="1791"/>
    <col width="13" customWidth="1" style="63" min="1792" max="1795"/>
    <col width="17.6640625" customWidth="1" style="63" min="1796" max="1796"/>
    <col width="10.83203125" customWidth="1" style="63" min="2045" max="2045"/>
    <col width="18.1640625" customWidth="1" style="63" min="2046" max="2046"/>
    <col width="15" customWidth="1" style="63" min="2047" max="2047"/>
    <col width="13" customWidth="1" style="63" min="2048" max="2051"/>
    <col width="17.6640625" customWidth="1" style="63" min="2052" max="2052"/>
    <col width="10.83203125" customWidth="1" style="63" min="2301" max="2301"/>
    <col width="18.1640625" customWidth="1" style="63" min="2302" max="2302"/>
    <col width="15" customWidth="1" style="63" min="2303" max="2303"/>
    <col width="13" customWidth="1" style="63" min="2304" max="2307"/>
    <col width="17.6640625" customWidth="1" style="63" min="2308" max="2308"/>
    <col width="10.83203125" customWidth="1" style="63" min="2557" max="2557"/>
    <col width="18.1640625" customWidth="1" style="63" min="2558" max="2558"/>
    <col width="15" customWidth="1" style="63" min="2559" max="2559"/>
    <col width="13" customWidth="1" style="63" min="2560" max="2563"/>
    <col width="17.6640625" customWidth="1" style="63" min="2564" max="2564"/>
    <col width="10.83203125" customWidth="1" style="63" min="2813" max="2813"/>
    <col width="18.1640625" customWidth="1" style="63" min="2814" max="2814"/>
    <col width="15" customWidth="1" style="63" min="2815" max="2815"/>
    <col width="13" customWidth="1" style="63" min="2816" max="2819"/>
    <col width="17.6640625" customWidth="1" style="63" min="2820" max="2820"/>
    <col width="10.83203125" customWidth="1" style="63" min="3069" max="3069"/>
    <col width="18.1640625" customWidth="1" style="63" min="3070" max="3070"/>
    <col width="15" customWidth="1" style="63" min="3071" max="3071"/>
    <col width="13" customWidth="1" style="63" min="3072" max="3075"/>
    <col width="17.6640625" customWidth="1" style="63" min="3076" max="3076"/>
    <col width="10.83203125" customWidth="1" style="63" min="3325" max="3325"/>
    <col width="18.1640625" customWidth="1" style="63" min="3326" max="3326"/>
    <col width="15" customWidth="1" style="63" min="3327" max="3327"/>
    <col width="13" customWidth="1" style="63" min="3328" max="3331"/>
    <col width="17.6640625" customWidth="1" style="63" min="3332" max="3332"/>
    <col width="10.83203125" customWidth="1" style="63" min="3581" max="3581"/>
    <col width="18.1640625" customWidth="1" style="63" min="3582" max="3582"/>
    <col width="15" customWidth="1" style="63" min="3583" max="3583"/>
    <col width="13" customWidth="1" style="63" min="3584" max="3587"/>
    <col width="17.6640625" customWidth="1" style="63" min="3588" max="3588"/>
    <col width="10.83203125" customWidth="1" style="63" min="3837" max="3837"/>
    <col width="18.1640625" customWidth="1" style="63" min="3838" max="3838"/>
    <col width="15" customWidth="1" style="63" min="3839" max="3839"/>
    <col width="13" customWidth="1" style="63" min="3840" max="3843"/>
    <col width="17.6640625" customWidth="1" style="63" min="3844" max="3844"/>
    <col width="10.83203125" customWidth="1" style="63" min="4093" max="4093"/>
    <col width="18.1640625" customWidth="1" style="63" min="4094" max="4094"/>
    <col width="15" customWidth="1" style="63" min="4095" max="4095"/>
    <col width="13" customWidth="1" style="63" min="4096" max="4099"/>
    <col width="17.6640625" customWidth="1" style="63" min="4100" max="4100"/>
    <col width="10.83203125" customWidth="1" style="63" min="4349" max="4349"/>
    <col width="18.1640625" customWidth="1" style="63" min="4350" max="4350"/>
    <col width="15" customWidth="1" style="63" min="4351" max="4351"/>
    <col width="13" customWidth="1" style="63" min="4352" max="4355"/>
    <col width="17.6640625" customWidth="1" style="63" min="4356" max="4356"/>
    <col width="10.83203125" customWidth="1" style="63" min="4605" max="4605"/>
    <col width="18.1640625" customWidth="1" style="63" min="4606" max="4606"/>
    <col width="15" customWidth="1" style="63" min="4607" max="4607"/>
    <col width="13" customWidth="1" style="63" min="4608" max="4611"/>
    <col width="17.6640625" customWidth="1" style="63" min="4612" max="4612"/>
    <col width="10.83203125" customWidth="1" style="63" min="4861" max="4861"/>
    <col width="18.1640625" customWidth="1" style="63" min="4862" max="4862"/>
    <col width="15" customWidth="1" style="63" min="4863" max="4863"/>
    <col width="13" customWidth="1" style="63" min="4864" max="4867"/>
    <col width="17.6640625" customWidth="1" style="63" min="4868" max="4868"/>
    <col width="10.83203125" customWidth="1" style="63" min="5117" max="5117"/>
    <col width="18.1640625" customWidth="1" style="63" min="5118" max="5118"/>
    <col width="15" customWidth="1" style="63" min="5119" max="5119"/>
    <col width="13" customWidth="1" style="63" min="5120" max="5123"/>
    <col width="17.6640625" customWidth="1" style="63" min="5124" max="5124"/>
    <col width="10.83203125" customWidth="1" style="63" min="5373" max="5373"/>
    <col width="18.1640625" customWidth="1" style="63" min="5374" max="5374"/>
    <col width="15" customWidth="1" style="63" min="5375" max="5375"/>
    <col width="13" customWidth="1" style="63" min="5376" max="5379"/>
    <col width="17.6640625" customWidth="1" style="63" min="5380" max="5380"/>
    <col width="10.83203125" customWidth="1" style="63" min="5629" max="5629"/>
    <col width="18.1640625" customWidth="1" style="63" min="5630" max="5630"/>
    <col width="15" customWidth="1" style="63" min="5631" max="5631"/>
    <col width="13" customWidth="1" style="63" min="5632" max="5635"/>
    <col width="17.6640625" customWidth="1" style="63" min="5636" max="5636"/>
    <col width="10.83203125" customWidth="1" style="63" min="5885" max="5885"/>
    <col width="18.1640625" customWidth="1" style="63" min="5886" max="5886"/>
    <col width="15" customWidth="1" style="63" min="5887" max="5887"/>
    <col width="13" customWidth="1" style="63" min="5888" max="5891"/>
    <col width="17.6640625" customWidth="1" style="63" min="5892" max="5892"/>
    <col width="10.83203125" customWidth="1" style="63" min="6141" max="6141"/>
    <col width="18.1640625" customWidth="1" style="63" min="6142" max="6142"/>
    <col width="15" customWidth="1" style="63" min="6143" max="6143"/>
    <col width="13" customWidth="1" style="63" min="6144" max="6147"/>
    <col width="17.6640625" customWidth="1" style="63" min="6148" max="6148"/>
    <col width="10.83203125" customWidth="1" style="63" min="6397" max="6397"/>
    <col width="18.1640625" customWidth="1" style="63" min="6398" max="6398"/>
    <col width="15" customWidth="1" style="63" min="6399" max="6399"/>
    <col width="13" customWidth="1" style="63" min="6400" max="6403"/>
    <col width="17.6640625" customWidth="1" style="63" min="6404" max="6404"/>
    <col width="10.83203125" customWidth="1" style="63" min="6653" max="6653"/>
    <col width="18.1640625" customWidth="1" style="63" min="6654" max="6654"/>
    <col width="15" customWidth="1" style="63" min="6655" max="6655"/>
    <col width="13" customWidth="1" style="63" min="6656" max="6659"/>
    <col width="17.6640625" customWidth="1" style="63" min="6660" max="6660"/>
    <col width="10.83203125" customWidth="1" style="63" min="6909" max="6909"/>
    <col width="18.1640625" customWidth="1" style="63" min="6910" max="6910"/>
    <col width="15" customWidth="1" style="63" min="6911" max="6911"/>
    <col width="13" customWidth="1" style="63" min="6912" max="6915"/>
    <col width="17.6640625" customWidth="1" style="63" min="6916" max="6916"/>
    <col width="10.83203125" customWidth="1" style="63" min="7165" max="7165"/>
    <col width="18.1640625" customWidth="1" style="63" min="7166" max="7166"/>
    <col width="15" customWidth="1" style="63" min="7167" max="7167"/>
    <col width="13" customWidth="1" style="63" min="7168" max="7171"/>
    <col width="17.6640625" customWidth="1" style="63" min="7172" max="7172"/>
    <col width="10.83203125" customWidth="1" style="63" min="7421" max="7421"/>
    <col width="18.1640625" customWidth="1" style="63" min="7422" max="7422"/>
    <col width="15" customWidth="1" style="63" min="7423" max="7423"/>
    <col width="13" customWidth="1" style="63" min="7424" max="7427"/>
    <col width="17.6640625" customWidth="1" style="63" min="7428" max="7428"/>
    <col width="10.83203125" customWidth="1" style="63" min="7677" max="7677"/>
    <col width="18.1640625" customWidth="1" style="63" min="7678" max="7678"/>
    <col width="15" customWidth="1" style="63" min="7679" max="7679"/>
    <col width="13" customWidth="1" style="63" min="7680" max="7683"/>
    <col width="17.6640625" customWidth="1" style="63" min="7684" max="7684"/>
    <col width="10.83203125" customWidth="1" style="63" min="7933" max="7933"/>
    <col width="18.1640625" customWidth="1" style="63" min="7934" max="7934"/>
    <col width="15" customWidth="1" style="63" min="7935" max="7935"/>
    <col width="13" customWidth="1" style="63" min="7936" max="7939"/>
    <col width="17.6640625" customWidth="1" style="63" min="7940" max="7940"/>
    <col width="10.83203125" customWidth="1" style="63" min="8189" max="8189"/>
    <col width="18.1640625" customWidth="1" style="63" min="8190" max="8190"/>
    <col width="15" customWidth="1" style="63" min="8191" max="8191"/>
    <col width="13" customWidth="1" style="63" min="8192" max="8195"/>
    <col width="17.6640625" customWidth="1" style="63" min="8196" max="8196"/>
    <col width="10.83203125" customWidth="1" style="63" min="8445" max="8445"/>
    <col width="18.1640625" customWidth="1" style="63" min="8446" max="8446"/>
    <col width="15" customWidth="1" style="63" min="8447" max="8447"/>
    <col width="13" customWidth="1" style="63" min="8448" max="8451"/>
    <col width="17.6640625" customWidth="1" style="63" min="8452" max="8452"/>
    <col width="10.83203125" customWidth="1" style="63" min="8701" max="8701"/>
    <col width="18.1640625" customWidth="1" style="63" min="8702" max="8702"/>
    <col width="15" customWidth="1" style="63" min="8703" max="8703"/>
    <col width="13" customWidth="1" style="63" min="8704" max="8707"/>
    <col width="17.6640625" customWidth="1" style="63" min="8708" max="8708"/>
    <col width="10.83203125" customWidth="1" style="63" min="8957" max="8957"/>
    <col width="18.1640625" customWidth="1" style="63" min="8958" max="8958"/>
    <col width="15" customWidth="1" style="63" min="8959" max="8959"/>
    <col width="13" customWidth="1" style="63" min="8960" max="8963"/>
    <col width="17.6640625" customWidth="1" style="63" min="8964" max="8964"/>
    <col width="10.83203125" customWidth="1" style="63" min="9213" max="9213"/>
    <col width="18.1640625" customWidth="1" style="63" min="9214" max="9214"/>
    <col width="15" customWidth="1" style="63" min="9215" max="9215"/>
    <col width="13" customWidth="1" style="63" min="9216" max="9219"/>
    <col width="17.6640625" customWidth="1" style="63" min="9220" max="9220"/>
    <col width="10.83203125" customWidth="1" style="63" min="9469" max="9469"/>
    <col width="18.1640625" customWidth="1" style="63" min="9470" max="9470"/>
    <col width="15" customWidth="1" style="63" min="9471" max="9471"/>
    <col width="13" customWidth="1" style="63" min="9472" max="9475"/>
    <col width="17.6640625" customWidth="1" style="63" min="9476" max="9476"/>
    <col width="10.83203125" customWidth="1" style="63" min="9725" max="9725"/>
    <col width="18.1640625" customWidth="1" style="63" min="9726" max="9726"/>
    <col width="15" customWidth="1" style="63" min="9727" max="9727"/>
    <col width="13" customWidth="1" style="63" min="9728" max="9731"/>
    <col width="17.6640625" customWidth="1" style="63" min="9732" max="9732"/>
    <col width="10.83203125" customWidth="1" style="63" min="9981" max="9981"/>
    <col width="18.1640625" customWidth="1" style="63" min="9982" max="9982"/>
    <col width="15" customWidth="1" style="63" min="9983" max="9983"/>
    <col width="13" customWidth="1" style="63" min="9984" max="9987"/>
    <col width="17.6640625" customWidth="1" style="63" min="9988" max="9988"/>
    <col width="10.83203125" customWidth="1" style="63" min="10237" max="10237"/>
    <col width="18.1640625" customWidth="1" style="63" min="10238" max="10238"/>
    <col width="15" customWidth="1" style="63" min="10239" max="10239"/>
    <col width="13" customWidth="1" style="63" min="10240" max="10243"/>
    <col width="17.6640625" customWidth="1" style="63" min="10244" max="10244"/>
    <col width="10.83203125" customWidth="1" style="63" min="10493" max="10493"/>
    <col width="18.1640625" customWidth="1" style="63" min="10494" max="10494"/>
    <col width="15" customWidth="1" style="63" min="10495" max="10495"/>
    <col width="13" customWidth="1" style="63" min="10496" max="10499"/>
    <col width="17.6640625" customWidth="1" style="63" min="10500" max="10500"/>
    <col width="10.83203125" customWidth="1" style="63" min="10749" max="10749"/>
    <col width="18.1640625" customWidth="1" style="63" min="10750" max="10750"/>
    <col width="15" customWidth="1" style="63" min="10751" max="10751"/>
    <col width="13" customWidth="1" style="63" min="10752" max="10755"/>
    <col width="17.6640625" customWidth="1" style="63" min="10756" max="10756"/>
    <col width="10.83203125" customWidth="1" style="63" min="11005" max="11005"/>
    <col width="18.1640625" customWidth="1" style="63" min="11006" max="11006"/>
    <col width="15" customWidth="1" style="63" min="11007" max="11007"/>
    <col width="13" customWidth="1" style="63" min="11008" max="11011"/>
    <col width="17.6640625" customWidth="1" style="63" min="11012" max="11012"/>
    <col width="10.83203125" customWidth="1" style="63" min="11261" max="11261"/>
    <col width="18.1640625" customWidth="1" style="63" min="11262" max="11262"/>
    <col width="15" customWidth="1" style="63" min="11263" max="11263"/>
    <col width="13" customWidth="1" style="63" min="11264" max="11267"/>
    <col width="17.6640625" customWidth="1" style="63" min="11268" max="11268"/>
    <col width="10.83203125" customWidth="1" style="63" min="11517" max="11517"/>
    <col width="18.1640625" customWidth="1" style="63" min="11518" max="11518"/>
    <col width="15" customWidth="1" style="63" min="11519" max="11519"/>
    <col width="13" customWidth="1" style="63" min="11520" max="11523"/>
    <col width="17.6640625" customWidth="1" style="63" min="11524" max="11524"/>
    <col width="10.83203125" customWidth="1" style="63" min="11773" max="11773"/>
    <col width="18.1640625" customWidth="1" style="63" min="11774" max="11774"/>
    <col width="15" customWidth="1" style="63" min="11775" max="11775"/>
    <col width="13" customWidth="1" style="63" min="11776" max="11779"/>
    <col width="17.6640625" customWidth="1" style="63" min="11780" max="11780"/>
    <col width="10.83203125" customWidth="1" style="63" min="12029" max="12029"/>
    <col width="18.1640625" customWidth="1" style="63" min="12030" max="12030"/>
    <col width="15" customWidth="1" style="63" min="12031" max="12031"/>
    <col width="13" customWidth="1" style="63" min="12032" max="12035"/>
    <col width="17.6640625" customWidth="1" style="63" min="12036" max="12036"/>
    <col width="10.83203125" customWidth="1" style="63" min="12285" max="12285"/>
    <col width="18.1640625" customWidth="1" style="63" min="12286" max="12286"/>
    <col width="15" customWidth="1" style="63" min="12287" max="12287"/>
    <col width="13" customWidth="1" style="63" min="12288" max="12291"/>
    <col width="17.6640625" customWidth="1" style="63" min="12292" max="12292"/>
    <col width="10.83203125" customWidth="1" style="63" min="12541" max="12541"/>
    <col width="18.1640625" customWidth="1" style="63" min="12542" max="12542"/>
    <col width="15" customWidth="1" style="63" min="12543" max="12543"/>
    <col width="13" customWidth="1" style="63" min="12544" max="12547"/>
    <col width="17.6640625" customWidth="1" style="63" min="12548" max="12548"/>
    <col width="10.83203125" customWidth="1" style="63" min="12797" max="12797"/>
    <col width="18.1640625" customWidth="1" style="63" min="12798" max="12798"/>
    <col width="15" customWidth="1" style="63" min="12799" max="12799"/>
    <col width="13" customWidth="1" style="63" min="12800" max="12803"/>
    <col width="17.6640625" customWidth="1" style="63" min="12804" max="12804"/>
    <col width="10.83203125" customWidth="1" style="63" min="13053" max="13053"/>
    <col width="18.1640625" customWidth="1" style="63" min="13054" max="13054"/>
    <col width="15" customWidth="1" style="63" min="13055" max="13055"/>
    <col width="13" customWidth="1" style="63" min="13056" max="13059"/>
    <col width="17.6640625" customWidth="1" style="63" min="13060" max="13060"/>
    <col width="10.83203125" customWidth="1" style="63" min="13309" max="13309"/>
    <col width="18.1640625" customWidth="1" style="63" min="13310" max="13310"/>
    <col width="15" customWidth="1" style="63" min="13311" max="13311"/>
    <col width="13" customWidth="1" style="63" min="13312" max="13315"/>
    <col width="17.6640625" customWidth="1" style="63" min="13316" max="13316"/>
    <col width="10.83203125" customWidth="1" style="63" min="13565" max="13565"/>
    <col width="18.1640625" customWidth="1" style="63" min="13566" max="13566"/>
    <col width="15" customWidth="1" style="63" min="13567" max="13567"/>
    <col width="13" customWidth="1" style="63" min="13568" max="13571"/>
    <col width="17.6640625" customWidth="1" style="63" min="13572" max="13572"/>
    <col width="10.83203125" customWidth="1" style="63" min="13821" max="13821"/>
    <col width="18.1640625" customWidth="1" style="63" min="13822" max="13822"/>
    <col width="15" customWidth="1" style="63" min="13823" max="13823"/>
    <col width="13" customWidth="1" style="63" min="13824" max="13827"/>
    <col width="17.6640625" customWidth="1" style="63" min="13828" max="13828"/>
    <col width="10.83203125" customWidth="1" style="63" min="14077" max="14077"/>
    <col width="18.1640625" customWidth="1" style="63" min="14078" max="14078"/>
    <col width="15" customWidth="1" style="63" min="14079" max="14079"/>
    <col width="13" customWidth="1" style="63" min="14080" max="14083"/>
    <col width="17.6640625" customWidth="1" style="63" min="14084" max="14084"/>
    <col width="10.83203125" customWidth="1" style="63" min="14333" max="14333"/>
    <col width="18.1640625" customWidth="1" style="63" min="14334" max="14334"/>
    <col width="15" customWidth="1" style="63" min="14335" max="14335"/>
    <col width="13" customWidth="1" style="63" min="14336" max="14339"/>
    <col width="17.6640625" customWidth="1" style="63" min="14340" max="14340"/>
    <col width="10.83203125" customWidth="1" style="63" min="14589" max="14589"/>
    <col width="18.1640625" customWidth="1" style="63" min="14590" max="14590"/>
    <col width="15" customWidth="1" style="63" min="14591" max="14591"/>
    <col width="13" customWidth="1" style="63" min="14592" max="14595"/>
    <col width="17.6640625" customWidth="1" style="63" min="14596" max="14596"/>
    <col width="10.83203125" customWidth="1" style="63" min="14845" max="14845"/>
    <col width="18.1640625" customWidth="1" style="63" min="14846" max="14846"/>
    <col width="15" customWidth="1" style="63" min="14847" max="14847"/>
    <col width="13" customWidth="1" style="63" min="14848" max="14851"/>
    <col width="17.6640625" customWidth="1" style="63" min="14852" max="14852"/>
    <col width="10.83203125" customWidth="1" style="63" min="15101" max="15101"/>
    <col width="18.1640625" customWidth="1" style="63" min="15102" max="15102"/>
    <col width="15" customWidth="1" style="63" min="15103" max="15103"/>
    <col width="13" customWidth="1" style="63" min="15104" max="15107"/>
    <col width="17.6640625" customWidth="1" style="63" min="15108" max="15108"/>
    <col width="10.83203125" customWidth="1" style="63" min="15357" max="15357"/>
    <col width="18.1640625" customWidth="1" style="63" min="15358" max="15358"/>
    <col width="15" customWidth="1" style="63" min="15359" max="15359"/>
    <col width="13" customWidth="1" style="63" min="15360" max="15363"/>
    <col width="17.6640625" customWidth="1" style="63" min="15364" max="15364"/>
    <col width="10.83203125" customWidth="1" style="63" min="15613" max="15613"/>
    <col width="18.1640625" customWidth="1" style="63" min="15614" max="15614"/>
    <col width="15" customWidth="1" style="63" min="15615" max="15615"/>
    <col width="13" customWidth="1" style="63" min="15616" max="15619"/>
    <col width="17.6640625" customWidth="1" style="63" min="15620" max="15620"/>
    <col width="10.83203125" customWidth="1" style="63" min="15869" max="15869"/>
    <col width="18.1640625" customWidth="1" style="63" min="15870" max="15870"/>
    <col width="15" customWidth="1" style="63" min="15871" max="15871"/>
    <col width="13" customWidth="1" style="63" min="15872" max="15875"/>
    <col width="17.6640625" customWidth="1" style="63" min="15876" max="15876"/>
    <col width="10.83203125" customWidth="1" style="63" min="16125" max="16125"/>
    <col width="18.1640625" customWidth="1" style="63" min="16126" max="16126"/>
    <col width="15" customWidth="1" style="63" min="16127" max="16127"/>
    <col width="13" customWidth="1" style="63" min="16128" max="16131"/>
    <col width="17.6640625" customWidth="1" style="63" min="16132" max="16132"/>
  </cols>
  <sheetData>
    <row r="1" customFormat="1" s="51">
      <c r="A1" s="39" t="inlineStr">
        <is>
          <t>PCEPILFE</t>
        </is>
      </c>
      <c r="B1" s="40" t="n"/>
      <c r="C1" s="4" t="n"/>
      <c r="D1" s="5" t="n"/>
      <c r="E1" s="12" t="n"/>
      <c r="F1" s="12" t="n"/>
    </row>
    <row r="2" customFormat="1" s="51">
      <c r="A2" s="14" t="inlineStr">
        <is>
          <t>Personal Consumption Expenditures Excluding Food and Energy (Chain-Type Price Index)</t>
        </is>
      </c>
      <c r="B2" s="41" t="n"/>
      <c r="C2" s="4" t="n"/>
      <c r="D2" s="5" t="n"/>
      <c r="E2" s="12" t="n"/>
      <c r="F2" s="12" t="n"/>
      <c r="H2" s="42" t="n"/>
      <c r="J2" s="11" t="n"/>
    </row>
    <row r="3" ht="16" customFormat="1" customHeight="1" s="51" thickBot="1">
      <c r="A3" s="6" t="n"/>
      <c r="B3" s="40" t="n"/>
      <c r="C3" s="4" t="n"/>
      <c r="D3" s="5" t="n"/>
      <c r="E3" s="12" t="n"/>
      <c r="F3" s="12" t="inlineStr">
        <is>
          <t>https://fred.stlouisfed.org/series/DFEDTARU</t>
        </is>
      </c>
      <c r="K3" s="62" t="n"/>
    </row>
    <row r="4" ht="30.75" customHeight="1" s="63">
      <c r="A4" s="18" t="inlineStr">
        <is>
          <t>Date</t>
        </is>
      </c>
      <c r="B4" s="46" t="inlineStr">
        <is>
          <t>Value</t>
        </is>
      </c>
      <c r="C4" s="19" t="inlineStr">
        <is>
          <t>PCE Core MoM</t>
        </is>
      </c>
      <c r="D4" s="20" t="inlineStr">
        <is>
          <t>PCE Core YoY</t>
        </is>
      </c>
      <c r="E4" s="21" t="inlineStr">
        <is>
          <t>Fed Target</t>
        </is>
      </c>
      <c r="F4" s="22" t="inlineStr">
        <is>
          <t>Fed Fund Target</t>
        </is>
      </c>
    </row>
    <row r="5">
      <c r="A5" s="47" t="n">
        <v>21551</v>
      </c>
      <c r="B5" s="45">
        <f>VLOOKUP(Table534567910[[#This Row],[Date]],Database!A:E,MATCH($A$1,Database!$A$1:$E$1,),)</f>
        <v/>
      </c>
      <c r="C5" s="7" t="n"/>
      <c r="D5" s="7" t="n"/>
      <c r="E5" s="15" t="n"/>
      <c r="F5" s="15" t="n"/>
    </row>
    <row r="6">
      <c r="A6" s="47" t="n">
        <v>21582</v>
      </c>
      <c r="B6" s="45">
        <f>VLOOKUP(Table534567910[[#This Row],[Date]],Database!A:E,MATCH($A$1,Database!$A$1:$E$1,),)</f>
        <v/>
      </c>
      <c r="C6" s="8">
        <f>(B6-B5)/B5</f>
        <v/>
      </c>
      <c r="D6" s="7" t="n"/>
      <c r="E6" s="15" t="n"/>
      <c r="F6" s="15" t="n"/>
    </row>
    <row r="7">
      <c r="A7" s="47" t="n">
        <v>21610</v>
      </c>
      <c r="B7" s="45">
        <f>VLOOKUP(Table534567910[[#This Row],[Date]],Database!A:E,MATCH($A$1,Database!$A$1:$E$1,),)</f>
        <v/>
      </c>
      <c r="C7" s="8">
        <f>(B7-B6)/B6</f>
        <v/>
      </c>
      <c r="D7" s="7" t="n"/>
      <c r="E7" s="15" t="n"/>
      <c r="F7" s="15" t="n"/>
    </row>
    <row r="8">
      <c r="A8" s="47" t="n">
        <v>21641</v>
      </c>
      <c r="B8" s="45">
        <f>VLOOKUP(Table534567910[[#This Row],[Date]],Database!A:E,MATCH($A$1,Database!$A$1:$E$1,),)</f>
        <v/>
      </c>
      <c r="C8" s="8">
        <f>(B8-B7)/B7</f>
        <v/>
      </c>
      <c r="D8" s="7" t="n"/>
      <c r="E8" s="15" t="n"/>
      <c r="F8" s="15" t="n"/>
    </row>
    <row r="9">
      <c r="A9" s="47" t="n">
        <v>21671</v>
      </c>
      <c r="B9" s="45">
        <f>VLOOKUP(Table534567910[[#This Row],[Date]],Database!A:E,MATCH($A$1,Database!$A$1:$E$1,),)</f>
        <v/>
      </c>
      <c r="C9" s="8">
        <f>(B9-B8)/B8</f>
        <v/>
      </c>
      <c r="D9" s="7" t="n"/>
      <c r="E9" s="15" t="n"/>
      <c r="F9" s="15" t="n"/>
    </row>
    <row r="10">
      <c r="A10" s="47" t="n">
        <v>21702</v>
      </c>
      <c r="B10" s="45">
        <f>VLOOKUP(Table534567910[[#This Row],[Date]],Database!A:E,MATCH($A$1,Database!$A$1:$E$1,),)</f>
        <v/>
      </c>
      <c r="C10" s="8">
        <f>(B10-B9)/B9</f>
        <v/>
      </c>
      <c r="D10" s="7" t="n"/>
      <c r="E10" s="15" t="n"/>
      <c r="F10" s="15" t="n"/>
    </row>
    <row r="11">
      <c r="A11" s="47" t="n">
        <v>21732</v>
      </c>
      <c r="B11" s="45">
        <f>VLOOKUP(Table534567910[[#This Row],[Date]],Database!A:E,MATCH($A$1,Database!$A$1:$E$1,),)</f>
        <v/>
      </c>
      <c r="C11" s="8">
        <f>(B11-B10)/B10</f>
        <v/>
      </c>
      <c r="D11" s="7" t="n"/>
      <c r="E11" s="15" t="n"/>
      <c r="F11" s="15" t="n"/>
    </row>
    <row r="12">
      <c r="A12" s="47" t="n">
        <v>21763</v>
      </c>
      <c r="B12" s="45">
        <f>VLOOKUP(Table534567910[[#This Row],[Date]],Database!A:E,MATCH($A$1,Database!$A$1:$E$1,),)</f>
        <v/>
      </c>
      <c r="C12" s="8">
        <f>(B12-B11)/B11</f>
        <v/>
      </c>
      <c r="D12" s="7" t="n"/>
      <c r="E12" s="15" t="n"/>
      <c r="F12" s="15" t="n"/>
    </row>
    <row r="13">
      <c r="A13" s="47" t="n">
        <v>21794</v>
      </c>
      <c r="B13" s="45">
        <f>VLOOKUP(Table534567910[[#This Row],[Date]],Database!A:E,MATCH($A$1,Database!$A$1:$E$1,),)</f>
        <v/>
      </c>
      <c r="C13" s="8">
        <f>(B13-B12)/B12</f>
        <v/>
      </c>
      <c r="D13" s="7" t="n"/>
      <c r="E13" s="15" t="n"/>
      <c r="F13" s="15" t="n"/>
    </row>
    <row r="14">
      <c r="A14" s="47" t="n">
        <v>21824</v>
      </c>
      <c r="B14" s="45">
        <f>VLOOKUP(Table534567910[[#This Row],[Date]],Database!A:E,MATCH($A$1,Database!$A$1:$E$1,),)</f>
        <v/>
      </c>
      <c r="C14" s="8">
        <f>(B14-B13)/B13</f>
        <v/>
      </c>
      <c r="D14" s="7" t="n"/>
      <c r="E14" s="15" t="n"/>
      <c r="F14" s="15" t="n"/>
    </row>
    <row r="15">
      <c r="A15" s="47" t="n">
        <v>21855</v>
      </c>
      <c r="B15" s="45">
        <f>VLOOKUP(Table534567910[[#This Row],[Date]],Database!A:E,MATCH($A$1,Database!$A$1:$E$1,),)</f>
        <v/>
      </c>
      <c r="C15" s="8">
        <f>(B15-B14)/B14</f>
        <v/>
      </c>
      <c r="D15" s="7" t="n"/>
      <c r="E15" s="15" t="n"/>
      <c r="F15" s="15" t="n"/>
    </row>
    <row r="16">
      <c r="A16" s="47" t="n">
        <v>21885</v>
      </c>
      <c r="B16" s="45">
        <f>VLOOKUP(Table534567910[[#This Row],[Date]],Database!A:E,MATCH($A$1,Database!$A$1:$E$1,),)</f>
        <v/>
      </c>
      <c r="C16" s="8">
        <f>(B16-B15)/B15</f>
        <v/>
      </c>
      <c r="D16" s="7" t="n"/>
      <c r="E16" s="15" t="n"/>
      <c r="F16" s="15" t="n"/>
    </row>
    <row r="17">
      <c r="A17" s="47" t="n">
        <v>21916</v>
      </c>
      <c r="B17" s="45">
        <f>VLOOKUP(Table534567910[[#This Row],[Date]],Database!A:E,MATCH($A$1,Database!$A$1:$E$1,),)</f>
        <v/>
      </c>
      <c r="C17" s="8">
        <f>(B17-B16)/B16</f>
        <v/>
      </c>
      <c r="D17" s="7">
        <f>(Table534567910[[#This Row],[Value]]-B5)/B5</f>
        <v/>
      </c>
      <c r="E17" s="16" t="n">
        <v>0.02</v>
      </c>
      <c r="F17" s="15" t="n"/>
    </row>
    <row r="18">
      <c r="A18" s="47" t="n">
        <v>21947</v>
      </c>
      <c r="B18" s="45">
        <f>VLOOKUP(Table534567910[[#This Row],[Date]],Database!A:E,MATCH($A$1,Database!$A$1:$E$1,),)</f>
        <v/>
      </c>
      <c r="C18" s="8">
        <f>(B18-B17)/B17</f>
        <v/>
      </c>
      <c r="D18" s="7">
        <f>(Table534567910[[#This Row],[Value]]-B6)/B6</f>
        <v/>
      </c>
      <c r="E18" s="16" t="n">
        <v>0.02</v>
      </c>
      <c r="F18" s="15" t="n"/>
    </row>
    <row r="19">
      <c r="A19" s="47" t="n">
        <v>21976</v>
      </c>
      <c r="B19" s="45">
        <f>VLOOKUP(Table534567910[[#This Row],[Date]],Database!A:E,MATCH($A$1,Database!$A$1:$E$1,),)</f>
        <v/>
      </c>
      <c r="C19" s="8">
        <f>(B19-B18)/B18</f>
        <v/>
      </c>
      <c r="D19" s="7">
        <f>(Table534567910[[#This Row],[Value]]-B7)/B7</f>
        <v/>
      </c>
      <c r="E19" s="16" t="n">
        <v>0.02</v>
      </c>
      <c r="F19" s="15" t="n"/>
    </row>
    <row r="20">
      <c r="A20" s="47" t="n">
        <v>22007</v>
      </c>
      <c r="B20" s="45">
        <f>VLOOKUP(Table534567910[[#This Row],[Date]],Database!A:E,MATCH($A$1,Database!$A$1:$E$1,),)</f>
        <v/>
      </c>
      <c r="C20" s="8">
        <f>(B20-B19)/B19</f>
        <v/>
      </c>
      <c r="D20" s="7">
        <f>(Table534567910[[#This Row],[Value]]-B8)/B8</f>
        <v/>
      </c>
      <c r="E20" s="16" t="n">
        <v>0.02</v>
      </c>
      <c r="F20" s="15" t="n"/>
    </row>
    <row r="21">
      <c r="A21" s="47" t="n">
        <v>22037</v>
      </c>
      <c r="B21" s="45">
        <f>VLOOKUP(Table534567910[[#This Row],[Date]],Database!A:E,MATCH($A$1,Database!$A$1:$E$1,),)</f>
        <v/>
      </c>
      <c r="C21" s="8">
        <f>(B21-B20)/B20</f>
        <v/>
      </c>
      <c r="D21" s="7">
        <f>(Table534567910[[#This Row],[Value]]-B9)/B9</f>
        <v/>
      </c>
      <c r="E21" s="16" t="n">
        <v>0.02</v>
      </c>
      <c r="F21" s="15" t="n"/>
    </row>
    <row r="22">
      <c r="A22" s="47" t="n">
        <v>22068</v>
      </c>
      <c r="B22" s="45">
        <f>VLOOKUP(Table534567910[[#This Row],[Date]],Database!A:E,MATCH($A$1,Database!$A$1:$E$1,),)</f>
        <v/>
      </c>
      <c r="C22" s="8">
        <f>(B22-B21)/B21</f>
        <v/>
      </c>
      <c r="D22" s="7">
        <f>(Table534567910[[#This Row],[Value]]-B10)/B10</f>
        <v/>
      </c>
      <c r="E22" s="16" t="n">
        <v>0.02</v>
      </c>
      <c r="F22" s="15" t="n"/>
    </row>
    <row r="23">
      <c r="A23" s="47" t="n">
        <v>22098</v>
      </c>
      <c r="B23" s="45">
        <f>VLOOKUP(Table534567910[[#This Row],[Date]],Database!A:E,MATCH($A$1,Database!$A$1:$E$1,),)</f>
        <v/>
      </c>
      <c r="C23" s="8">
        <f>(B23-B22)/B22</f>
        <v/>
      </c>
      <c r="D23" s="7">
        <f>(Table534567910[[#This Row],[Value]]-B11)/B11</f>
        <v/>
      </c>
      <c r="E23" s="16" t="n">
        <v>0.02</v>
      </c>
      <c r="F23" s="15" t="n"/>
    </row>
    <row r="24">
      <c r="A24" s="47" t="n">
        <v>22129</v>
      </c>
      <c r="B24" s="45">
        <f>VLOOKUP(Table534567910[[#This Row],[Date]],Database!A:E,MATCH($A$1,Database!$A$1:$E$1,),)</f>
        <v/>
      </c>
      <c r="C24" s="8">
        <f>(B24-B23)/B23</f>
        <v/>
      </c>
      <c r="D24" s="7">
        <f>(Table534567910[[#This Row],[Value]]-B12)/B12</f>
        <v/>
      </c>
      <c r="E24" s="16" t="n">
        <v>0.02</v>
      </c>
      <c r="F24" s="15" t="n"/>
    </row>
    <row r="25">
      <c r="A25" s="47" t="n">
        <v>22160</v>
      </c>
      <c r="B25" s="45">
        <f>VLOOKUP(Table534567910[[#This Row],[Date]],Database!A:E,MATCH($A$1,Database!$A$1:$E$1,),)</f>
        <v/>
      </c>
      <c r="C25" s="8">
        <f>(B25-B24)/B24</f>
        <v/>
      </c>
      <c r="D25" s="7">
        <f>(Table534567910[[#This Row],[Value]]-B13)/B13</f>
        <v/>
      </c>
      <c r="E25" s="16" t="n">
        <v>0.02</v>
      </c>
      <c r="F25" s="15" t="n"/>
    </row>
    <row r="26">
      <c r="A26" s="47" t="n">
        <v>22190</v>
      </c>
      <c r="B26" s="45">
        <f>VLOOKUP(Table534567910[[#This Row],[Date]],Database!A:E,MATCH($A$1,Database!$A$1:$E$1,),)</f>
        <v/>
      </c>
      <c r="C26" s="8">
        <f>(B26-B25)/B25</f>
        <v/>
      </c>
      <c r="D26" s="7">
        <f>(Table534567910[[#This Row],[Value]]-B14)/B14</f>
        <v/>
      </c>
      <c r="E26" s="16" t="n">
        <v>0.02</v>
      </c>
      <c r="F26" s="15" t="n"/>
    </row>
    <row r="27">
      <c r="A27" s="47" t="n">
        <v>22221</v>
      </c>
      <c r="B27" s="45">
        <f>VLOOKUP(Table534567910[[#This Row],[Date]],Database!A:E,MATCH($A$1,Database!$A$1:$E$1,),)</f>
        <v/>
      </c>
      <c r="C27" s="8">
        <f>(B27-B26)/B26</f>
        <v/>
      </c>
      <c r="D27" s="7">
        <f>(Table534567910[[#This Row],[Value]]-B15)/B15</f>
        <v/>
      </c>
      <c r="E27" s="16" t="n">
        <v>0.02</v>
      </c>
      <c r="F27" s="15" t="n"/>
    </row>
    <row r="28">
      <c r="A28" s="47" t="n">
        <v>22251</v>
      </c>
      <c r="B28" s="45">
        <f>VLOOKUP(Table534567910[[#This Row],[Date]],Database!A:E,MATCH($A$1,Database!$A$1:$E$1,),)</f>
        <v/>
      </c>
      <c r="C28" s="8">
        <f>(B28-B27)/B27</f>
        <v/>
      </c>
      <c r="D28" s="7">
        <f>(Table534567910[[#This Row],[Value]]-B16)/B16</f>
        <v/>
      </c>
      <c r="E28" s="16" t="n">
        <v>0.02</v>
      </c>
      <c r="F28" s="15" t="n"/>
    </row>
    <row r="29">
      <c r="A29" s="47" t="n">
        <v>22282</v>
      </c>
      <c r="B29" s="45">
        <f>VLOOKUP(Table534567910[[#This Row],[Date]],Database!A:E,MATCH($A$1,Database!$A$1:$E$1,),)</f>
        <v/>
      </c>
      <c r="C29" s="8">
        <f>(B29-B28)/B28</f>
        <v/>
      </c>
      <c r="D29" s="7">
        <f>(Table534567910[[#This Row],[Value]]-B17)/B17</f>
        <v/>
      </c>
      <c r="E29" s="16" t="n">
        <v>0.02</v>
      </c>
      <c r="F29" s="15" t="n"/>
    </row>
    <row r="30">
      <c r="A30" s="47" t="n">
        <v>22313</v>
      </c>
      <c r="B30" s="45">
        <f>VLOOKUP(Table534567910[[#This Row],[Date]],Database!A:E,MATCH($A$1,Database!$A$1:$E$1,),)</f>
        <v/>
      </c>
      <c r="C30" s="8">
        <f>(B30-B29)/B29</f>
        <v/>
      </c>
      <c r="D30" s="7">
        <f>(Table534567910[[#This Row],[Value]]-B18)/B18</f>
        <v/>
      </c>
      <c r="E30" s="16" t="n">
        <v>0.02</v>
      </c>
      <c r="F30" s="15" t="n"/>
    </row>
    <row r="31">
      <c r="A31" s="47" t="n">
        <v>22341</v>
      </c>
      <c r="B31" s="45">
        <f>VLOOKUP(Table534567910[[#This Row],[Date]],Database!A:E,MATCH($A$1,Database!$A$1:$E$1,),)</f>
        <v/>
      </c>
      <c r="C31" s="8">
        <f>(B31-B30)/B30</f>
        <v/>
      </c>
      <c r="D31" s="7">
        <f>(Table534567910[[#This Row],[Value]]-B19)/B19</f>
        <v/>
      </c>
      <c r="E31" s="16" t="n">
        <v>0.02</v>
      </c>
      <c r="F31" s="15" t="n"/>
    </row>
    <row r="32">
      <c r="A32" s="47" t="n">
        <v>22372</v>
      </c>
      <c r="B32" s="45">
        <f>VLOOKUP(Table534567910[[#This Row],[Date]],Database!A:E,MATCH($A$1,Database!$A$1:$E$1,),)</f>
        <v/>
      </c>
      <c r="C32" s="8">
        <f>(B32-B31)/B31</f>
        <v/>
      </c>
      <c r="D32" s="7">
        <f>(Table534567910[[#This Row],[Value]]-B20)/B20</f>
        <v/>
      </c>
      <c r="E32" s="16" t="n">
        <v>0.02</v>
      </c>
      <c r="F32" s="15" t="n"/>
    </row>
    <row r="33">
      <c r="A33" s="47" t="n">
        <v>22402</v>
      </c>
      <c r="B33" s="45">
        <f>VLOOKUP(Table534567910[[#This Row],[Date]],Database!A:E,MATCH($A$1,Database!$A$1:$E$1,),)</f>
        <v/>
      </c>
      <c r="C33" s="8">
        <f>(B33-B32)/B32</f>
        <v/>
      </c>
      <c r="D33" s="7">
        <f>(Table534567910[[#This Row],[Value]]-B21)/B21</f>
        <v/>
      </c>
      <c r="E33" s="16" t="n">
        <v>0.02</v>
      </c>
      <c r="F33" s="15" t="n"/>
    </row>
    <row r="34">
      <c r="A34" s="47" t="n">
        <v>22433</v>
      </c>
      <c r="B34" s="45">
        <f>VLOOKUP(Table534567910[[#This Row],[Date]],Database!A:E,MATCH($A$1,Database!$A$1:$E$1,),)</f>
        <v/>
      </c>
      <c r="C34" s="8">
        <f>(B34-B33)/B33</f>
        <v/>
      </c>
      <c r="D34" s="7">
        <f>(Table534567910[[#This Row],[Value]]-B22)/B22</f>
        <v/>
      </c>
      <c r="E34" s="16" t="n">
        <v>0.02</v>
      </c>
      <c r="F34" s="15" t="n"/>
    </row>
    <row r="35">
      <c r="A35" s="47" t="n">
        <v>22463</v>
      </c>
      <c r="B35" s="45">
        <f>VLOOKUP(Table534567910[[#This Row],[Date]],Database!A:E,MATCH($A$1,Database!$A$1:$E$1,),)</f>
        <v/>
      </c>
      <c r="C35" s="8">
        <f>(B35-B34)/B34</f>
        <v/>
      </c>
      <c r="D35" s="7">
        <f>(Table534567910[[#This Row],[Value]]-B23)/B23</f>
        <v/>
      </c>
      <c r="E35" s="16" t="n">
        <v>0.02</v>
      </c>
      <c r="F35" s="15" t="n"/>
    </row>
    <row r="36">
      <c r="A36" s="47" t="n">
        <v>22494</v>
      </c>
      <c r="B36" s="45">
        <f>VLOOKUP(Table534567910[[#This Row],[Date]],Database!A:E,MATCH($A$1,Database!$A$1:$E$1,),)</f>
        <v/>
      </c>
      <c r="C36" s="8">
        <f>(B36-B35)/B35</f>
        <v/>
      </c>
      <c r="D36" s="7">
        <f>(Table534567910[[#This Row],[Value]]-B24)/B24</f>
        <v/>
      </c>
      <c r="E36" s="16" t="n">
        <v>0.02</v>
      </c>
      <c r="F36" s="15" t="n"/>
    </row>
    <row r="37">
      <c r="A37" s="47" t="n">
        <v>22525</v>
      </c>
      <c r="B37" s="45">
        <f>VLOOKUP(Table534567910[[#This Row],[Date]],Database!A:E,MATCH($A$1,Database!$A$1:$E$1,),)</f>
        <v/>
      </c>
      <c r="C37" s="8">
        <f>(B37-B36)/B36</f>
        <v/>
      </c>
      <c r="D37" s="7">
        <f>(Table534567910[[#This Row],[Value]]-B25)/B25</f>
        <v/>
      </c>
      <c r="E37" s="16" t="n">
        <v>0.02</v>
      </c>
      <c r="F37" s="15" t="n"/>
    </row>
    <row r="38">
      <c r="A38" s="47" t="n">
        <v>22555</v>
      </c>
      <c r="B38" s="45">
        <f>VLOOKUP(Table534567910[[#This Row],[Date]],Database!A:E,MATCH($A$1,Database!$A$1:$E$1,),)</f>
        <v/>
      </c>
      <c r="C38" s="8">
        <f>(B38-B37)/B37</f>
        <v/>
      </c>
      <c r="D38" s="7">
        <f>(Table534567910[[#This Row],[Value]]-B26)/B26</f>
        <v/>
      </c>
      <c r="E38" s="16" t="n">
        <v>0.02</v>
      </c>
      <c r="F38" s="15" t="n"/>
    </row>
    <row r="39">
      <c r="A39" s="47" t="n">
        <v>22586</v>
      </c>
      <c r="B39" s="45">
        <f>VLOOKUP(Table534567910[[#This Row],[Date]],Database!A:E,MATCH($A$1,Database!$A$1:$E$1,),)</f>
        <v/>
      </c>
      <c r="C39" s="8">
        <f>(B39-B38)/B38</f>
        <v/>
      </c>
      <c r="D39" s="7">
        <f>(Table534567910[[#This Row],[Value]]-B27)/B27</f>
        <v/>
      </c>
      <c r="E39" s="16" t="n">
        <v>0.02</v>
      </c>
      <c r="F39" s="15" t="n"/>
    </row>
    <row r="40">
      <c r="A40" s="47" t="n">
        <v>22616</v>
      </c>
      <c r="B40" s="45">
        <f>VLOOKUP(Table534567910[[#This Row],[Date]],Database!A:E,MATCH($A$1,Database!$A$1:$E$1,),)</f>
        <v/>
      </c>
      <c r="C40" s="8">
        <f>(B40-B39)/B39</f>
        <v/>
      </c>
      <c r="D40" s="7">
        <f>(Table534567910[[#This Row],[Value]]-B28)/B28</f>
        <v/>
      </c>
      <c r="E40" s="16" t="n">
        <v>0.02</v>
      </c>
      <c r="F40" s="15" t="n"/>
    </row>
    <row r="41">
      <c r="A41" s="47" t="n">
        <v>22647</v>
      </c>
      <c r="B41" s="45">
        <f>VLOOKUP(Table534567910[[#This Row],[Date]],Database!A:E,MATCH($A$1,Database!$A$1:$E$1,),)</f>
        <v/>
      </c>
      <c r="C41" s="8">
        <f>(B41-B40)/B40</f>
        <v/>
      </c>
      <c r="D41" s="7">
        <f>(Table534567910[[#This Row],[Value]]-B29)/B29</f>
        <v/>
      </c>
      <c r="E41" s="16" t="n">
        <v>0.02</v>
      </c>
      <c r="F41" s="15" t="n"/>
    </row>
    <row r="42">
      <c r="A42" s="47" t="n">
        <v>22678</v>
      </c>
      <c r="B42" s="45">
        <f>VLOOKUP(Table534567910[[#This Row],[Date]],Database!A:E,MATCH($A$1,Database!$A$1:$E$1,),)</f>
        <v/>
      </c>
      <c r="C42" s="8">
        <f>(B42-B41)/B41</f>
        <v/>
      </c>
      <c r="D42" s="7">
        <f>(Table534567910[[#This Row],[Value]]-B30)/B30</f>
        <v/>
      </c>
      <c r="E42" s="16" t="n">
        <v>0.02</v>
      </c>
      <c r="F42" s="15" t="n"/>
    </row>
    <row r="43">
      <c r="A43" s="47" t="n">
        <v>22706</v>
      </c>
      <c r="B43" s="45">
        <f>VLOOKUP(Table534567910[[#This Row],[Date]],Database!A:E,MATCH($A$1,Database!$A$1:$E$1,),)</f>
        <v/>
      </c>
      <c r="C43" s="8">
        <f>(B43-B42)/B42</f>
        <v/>
      </c>
      <c r="D43" s="7">
        <f>(Table534567910[[#This Row],[Value]]-B31)/B31</f>
        <v/>
      </c>
      <c r="E43" s="16" t="n">
        <v>0.02</v>
      </c>
      <c r="F43" s="15" t="n"/>
    </row>
    <row r="44">
      <c r="A44" s="47" t="n">
        <v>22737</v>
      </c>
      <c r="B44" s="45">
        <f>VLOOKUP(Table534567910[[#This Row],[Date]],Database!A:E,MATCH($A$1,Database!$A$1:$E$1,),)</f>
        <v/>
      </c>
      <c r="C44" s="8">
        <f>(B44-B43)/B43</f>
        <v/>
      </c>
      <c r="D44" s="7">
        <f>(Table534567910[[#This Row],[Value]]-B32)/B32</f>
        <v/>
      </c>
      <c r="E44" s="16" t="n">
        <v>0.02</v>
      </c>
      <c r="F44" s="15" t="n"/>
    </row>
    <row r="45">
      <c r="A45" s="47" t="n">
        <v>22767</v>
      </c>
      <c r="B45" s="45">
        <f>VLOOKUP(Table534567910[[#This Row],[Date]],Database!A:E,MATCH($A$1,Database!$A$1:$E$1,),)</f>
        <v/>
      </c>
      <c r="C45" s="8">
        <f>(B45-B44)/B44</f>
        <v/>
      </c>
      <c r="D45" s="7">
        <f>(Table534567910[[#This Row],[Value]]-B33)/B33</f>
        <v/>
      </c>
      <c r="E45" s="16" t="n">
        <v>0.02</v>
      </c>
      <c r="F45" s="15" t="n"/>
    </row>
    <row r="46">
      <c r="A46" s="47" t="n">
        <v>22798</v>
      </c>
      <c r="B46" s="45">
        <f>VLOOKUP(Table534567910[[#This Row],[Date]],Database!A:E,MATCH($A$1,Database!$A$1:$E$1,),)</f>
        <v/>
      </c>
      <c r="C46" s="8">
        <f>(B46-B45)/B45</f>
        <v/>
      </c>
      <c r="D46" s="7">
        <f>(Table534567910[[#This Row],[Value]]-B34)/B34</f>
        <v/>
      </c>
      <c r="E46" s="16" t="n">
        <v>0.02</v>
      </c>
      <c r="F46" s="15" t="n"/>
    </row>
    <row r="47">
      <c r="A47" s="47" t="n">
        <v>22828</v>
      </c>
      <c r="B47" s="45">
        <f>VLOOKUP(Table534567910[[#This Row],[Date]],Database!A:E,MATCH($A$1,Database!$A$1:$E$1,),)</f>
        <v/>
      </c>
      <c r="C47" s="8">
        <f>(B47-B46)/B46</f>
        <v/>
      </c>
      <c r="D47" s="7">
        <f>(Table534567910[[#This Row],[Value]]-B35)/B35</f>
        <v/>
      </c>
      <c r="E47" s="16" t="n">
        <v>0.02</v>
      </c>
      <c r="F47" s="15" t="n"/>
    </row>
    <row r="48">
      <c r="A48" s="47" t="n">
        <v>22859</v>
      </c>
      <c r="B48" s="45">
        <f>VLOOKUP(Table534567910[[#This Row],[Date]],Database!A:E,MATCH($A$1,Database!$A$1:$E$1,),)</f>
        <v/>
      </c>
      <c r="C48" s="8">
        <f>(B48-B47)/B47</f>
        <v/>
      </c>
      <c r="D48" s="7">
        <f>(Table534567910[[#This Row],[Value]]-B36)/B36</f>
        <v/>
      </c>
      <c r="E48" s="16" t="n">
        <v>0.02</v>
      </c>
      <c r="F48" s="15" t="n"/>
    </row>
    <row r="49">
      <c r="A49" s="47" t="n">
        <v>22890</v>
      </c>
      <c r="B49" s="45">
        <f>VLOOKUP(Table534567910[[#This Row],[Date]],Database!A:E,MATCH($A$1,Database!$A$1:$E$1,),)</f>
        <v/>
      </c>
      <c r="C49" s="8">
        <f>(B49-B48)/B48</f>
        <v/>
      </c>
      <c r="D49" s="7">
        <f>(Table534567910[[#This Row],[Value]]-B37)/B37</f>
        <v/>
      </c>
      <c r="E49" s="16" t="n">
        <v>0.02</v>
      </c>
      <c r="F49" s="15" t="n"/>
    </row>
    <row r="50">
      <c r="A50" s="47" t="n">
        <v>22920</v>
      </c>
      <c r="B50" s="45">
        <f>VLOOKUP(Table534567910[[#This Row],[Date]],Database!A:E,MATCH($A$1,Database!$A$1:$E$1,),)</f>
        <v/>
      </c>
      <c r="C50" s="8">
        <f>(B50-B49)/B49</f>
        <v/>
      </c>
      <c r="D50" s="7">
        <f>(Table534567910[[#This Row],[Value]]-B38)/B38</f>
        <v/>
      </c>
      <c r="E50" s="16" t="n">
        <v>0.02</v>
      </c>
      <c r="F50" s="15" t="n"/>
    </row>
    <row r="51">
      <c r="A51" s="47" t="n">
        <v>22951</v>
      </c>
      <c r="B51" s="45">
        <f>VLOOKUP(Table534567910[[#This Row],[Date]],Database!A:E,MATCH($A$1,Database!$A$1:$E$1,),)</f>
        <v/>
      </c>
      <c r="C51" s="8">
        <f>(B51-B50)/B50</f>
        <v/>
      </c>
      <c r="D51" s="7">
        <f>(Table534567910[[#This Row],[Value]]-B39)/B39</f>
        <v/>
      </c>
      <c r="E51" s="16" t="n">
        <v>0.02</v>
      </c>
      <c r="F51" s="15" t="n"/>
    </row>
    <row r="52">
      <c r="A52" s="47" t="n">
        <v>22981</v>
      </c>
      <c r="B52" s="45">
        <f>VLOOKUP(Table534567910[[#This Row],[Date]],Database!A:E,MATCH($A$1,Database!$A$1:$E$1,),)</f>
        <v/>
      </c>
      <c r="C52" s="8">
        <f>(B52-B51)/B51</f>
        <v/>
      </c>
      <c r="D52" s="7">
        <f>(Table534567910[[#This Row],[Value]]-B40)/B40</f>
        <v/>
      </c>
      <c r="E52" s="16" t="n">
        <v>0.02</v>
      </c>
      <c r="F52" s="15" t="n"/>
    </row>
    <row r="53">
      <c r="A53" s="47" t="n">
        <v>23012</v>
      </c>
      <c r="B53" s="45">
        <f>VLOOKUP(Table534567910[[#This Row],[Date]],Database!A:E,MATCH($A$1,Database!$A$1:$E$1,),)</f>
        <v/>
      </c>
      <c r="C53" s="8">
        <f>(B53-B52)/B52</f>
        <v/>
      </c>
      <c r="D53" s="7">
        <f>(Table534567910[[#This Row],[Value]]-B41)/B41</f>
        <v/>
      </c>
      <c r="E53" s="16" t="n">
        <v>0.02</v>
      </c>
      <c r="F53" s="15" t="n"/>
    </row>
    <row r="54">
      <c r="A54" s="47" t="n">
        <v>23043</v>
      </c>
      <c r="B54" s="45">
        <f>VLOOKUP(Table534567910[[#This Row],[Date]],Database!A:E,MATCH($A$1,Database!$A$1:$E$1,),)</f>
        <v/>
      </c>
      <c r="C54" s="8">
        <f>(B54-B53)/B53</f>
        <v/>
      </c>
      <c r="D54" s="7">
        <f>(Table534567910[[#This Row],[Value]]-B42)/B42</f>
        <v/>
      </c>
      <c r="E54" s="16" t="n">
        <v>0.02</v>
      </c>
      <c r="F54" s="15" t="n"/>
    </row>
    <row r="55">
      <c r="A55" s="47" t="n">
        <v>23071</v>
      </c>
      <c r="B55" s="45">
        <f>VLOOKUP(Table534567910[[#This Row],[Date]],Database!A:E,MATCH($A$1,Database!$A$1:$E$1,),)</f>
        <v/>
      </c>
      <c r="C55" s="8">
        <f>(B55-B54)/B54</f>
        <v/>
      </c>
      <c r="D55" s="7">
        <f>(Table534567910[[#This Row],[Value]]-B43)/B43</f>
        <v/>
      </c>
      <c r="E55" s="16" t="n">
        <v>0.02</v>
      </c>
      <c r="F55" s="15" t="n"/>
    </row>
    <row r="56">
      <c r="A56" s="47" t="n">
        <v>23102</v>
      </c>
      <c r="B56" s="45">
        <f>VLOOKUP(Table534567910[[#This Row],[Date]],Database!A:E,MATCH($A$1,Database!$A$1:$E$1,),)</f>
        <v/>
      </c>
      <c r="C56" s="8">
        <f>(B56-B55)/B55</f>
        <v/>
      </c>
      <c r="D56" s="7">
        <f>(Table534567910[[#This Row],[Value]]-B44)/B44</f>
        <v/>
      </c>
      <c r="E56" s="16" t="n">
        <v>0.02</v>
      </c>
      <c r="F56" s="15" t="n"/>
    </row>
    <row r="57">
      <c r="A57" s="47" t="n">
        <v>23132</v>
      </c>
      <c r="B57" s="45">
        <f>VLOOKUP(Table534567910[[#This Row],[Date]],Database!A:E,MATCH($A$1,Database!$A$1:$E$1,),)</f>
        <v/>
      </c>
      <c r="C57" s="8">
        <f>(B57-B56)/B56</f>
        <v/>
      </c>
      <c r="D57" s="7">
        <f>(Table534567910[[#This Row],[Value]]-B45)/B45</f>
        <v/>
      </c>
      <c r="E57" s="16" t="n">
        <v>0.02</v>
      </c>
      <c r="F57" s="15" t="n"/>
    </row>
    <row r="58">
      <c r="A58" s="47" t="n">
        <v>23163</v>
      </c>
      <c r="B58" s="45">
        <f>VLOOKUP(Table534567910[[#This Row],[Date]],Database!A:E,MATCH($A$1,Database!$A$1:$E$1,),)</f>
        <v/>
      </c>
      <c r="C58" s="8">
        <f>(B58-B57)/B57</f>
        <v/>
      </c>
      <c r="D58" s="7">
        <f>(Table534567910[[#This Row],[Value]]-B46)/B46</f>
        <v/>
      </c>
      <c r="E58" s="16" t="n">
        <v>0.02</v>
      </c>
      <c r="F58" s="15" t="n"/>
    </row>
    <row r="59">
      <c r="A59" s="47" t="n">
        <v>23193</v>
      </c>
      <c r="B59" s="45">
        <f>VLOOKUP(Table534567910[[#This Row],[Date]],Database!A:E,MATCH($A$1,Database!$A$1:$E$1,),)</f>
        <v/>
      </c>
      <c r="C59" s="8">
        <f>(B59-B58)/B58</f>
        <v/>
      </c>
      <c r="D59" s="7">
        <f>(Table534567910[[#This Row],[Value]]-B47)/B47</f>
        <v/>
      </c>
      <c r="E59" s="16" t="n">
        <v>0.02</v>
      </c>
      <c r="F59" s="15" t="n"/>
    </row>
    <row r="60">
      <c r="A60" s="47" t="n">
        <v>23224</v>
      </c>
      <c r="B60" s="45">
        <f>VLOOKUP(Table534567910[[#This Row],[Date]],Database!A:E,MATCH($A$1,Database!$A$1:$E$1,),)</f>
        <v/>
      </c>
      <c r="C60" s="8">
        <f>(B60-B59)/B59</f>
        <v/>
      </c>
      <c r="D60" s="7">
        <f>(Table534567910[[#This Row],[Value]]-B48)/B48</f>
        <v/>
      </c>
      <c r="E60" s="16" t="n">
        <v>0.02</v>
      </c>
      <c r="F60" s="15" t="n"/>
    </row>
    <row r="61">
      <c r="A61" s="47" t="n">
        <v>23255</v>
      </c>
      <c r="B61" s="45">
        <f>VLOOKUP(Table534567910[[#This Row],[Date]],Database!A:E,MATCH($A$1,Database!$A$1:$E$1,),)</f>
        <v/>
      </c>
      <c r="C61" s="8">
        <f>(B61-B60)/B60</f>
        <v/>
      </c>
      <c r="D61" s="7">
        <f>(Table534567910[[#This Row],[Value]]-B49)/B49</f>
        <v/>
      </c>
      <c r="E61" s="16" t="n">
        <v>0.02</v>
      </c>
      <c r="F61" s="15" t="n"/>
    </row>
    <row r="62">
      <c r="A62" s="47" t="n">
        <v>23285</v>
      </c>
      <c r="B62" s="45">
        <f>VLOOKUP(Table534567910[[#This Row],[Date]],Database!A:E,MATCH($A$1,Database!$A$1:$E$1,),)</f>
        <v/>
      </c>
      <c r="C62" s="8">
        <f>(B62-B61)/B61</f>
        <v/>
      </c>
      <c r="D62" s="7">
        <f>(Table534567910[[#This Row],[Value]]-B50)/B50</f>
        <v/>
      </c>
      <c r="E62" s="16" t="n">
        <v>0.02</v>
      </c>
      <c r="F62" s="15" t="n"/>
    </row>
    <row r="63">
      <c r="A63" s="47" t="n">
        <v>23316</v>
      </c>
      <c r="B63" s="45">
        <f>VLOOKUP(Table534567910[[#This Row],[Date]],Database!A:E,MATCH($A$1,Database!$A$1:$E$1,),)</f>
        <v/>
      </c>
      <c r="C63" s="8">
        <f>(B63-B62)/B62</f>
        <v/>
      </c>
      <c r="D63" s="7">
        <f>(Table534567910[[#This Row],[Value]]-B51)/B51</f>
        <v/>
      </c>
      <c r="E63" s="16" t="n">
        <v>0.02</v>
      </c>
      <c r="F63" s="15" t="n"/>
    </row>
    <row r="64">
      <c r="A64" s="47" t="n">
        <v>23346</v>
      </c>
      <c r="B64" s="45">
        <f>VLOOKUP(Table534567910[[#This Row],[Date]],Database!A:E,MATCH($A$1,Database!$A$1:$E$1,),)</f>
        <v/>
      </c>
      <c r="C64" s="8">
        <f>(B64-B63)/B63</f>
        <v/>
      </c>
      <c r="D64" s="7">
        <f>(Table534567910[[#This Row],[Value]]-B52)/B52</f>
        <v/>
      </c>
      <c r="E64" s="16" t="n">
        <v>0.02</v>
      </c>
      <c r="F64" s="15" t="n"/>
    </row>
    <row r="65">
      <c r="A65" s="47" t="n">
        <v>23377</v>
      </c>
      <c r="B65" s="45">
        <f>VLOOKUP(Table534567910[[#This Row],[Date]],Database!A:E,MATCH($A$1,Database!$A$1:$E$1,),)</f>
        <v/>
      </c>
      <c r="C65" s="8">
        <f>(B65-B64)/B64</f>
        <v/>
      </c>
      <c r="D65" s="7">
        <f>(Table534567910[[#This Row],[Value]]-B53)/B53</f>
        <v/>
      </c>
      <c r="E65" s="16" t="n">
        <v>0.02</v>
      </c>
      <c r="F65" s="15" t="n"/>
    </row>
    <row r="66">
      <c r="A66" s="47" t="n">
        <v>23408</v>
      </c>
      <c r="B66" s="45">
        <f>VLOOKUP(Table534567910[[#This Row],[Date]],Database!A:E,MATCH($A$1,Database!$A$1:$E$1,),)</f>
        <v/>
      </c>
      <c r="C66" s="8">
        <f>(B66-B65)/B65</f>
        <v/>
      </c>
      <c r="D66" s="7">
        <f>(Table534567910[[#This Row],[Value]]-B54)/B54</f>
        <v/>
      </c>
      <c r="E66" s="16" t="n">
        <v>0.02</v>
      </c>
      <c r="F66" s="15" t="n"/>
    </row>
    <row r="67">
      <c r="A67" s="47" t="n">
        <v>23437</v>
      </c>
      <c r="B67" s="45">
        <f>VLOOKUP(Table534567910[[#This Row],[Date]],Database!A:E,MATCH($A$1,Database!$A$1:$E$1,),)</f>
        <v/>
      </c>
      <c r="C67" s="8">
        <f>(B67-B66)/B66</f>
        <v/>
      </c>
      <c r="D67" s="7">
        <f>(Table534567910[[#This Row],[Value]]-B55)/B55</f>
        <v/>
      </c>
      <c r="E67" s="16" t="n">
        <v>0.02</v>
      </c>
      <c r="F67" s="15" t="n"/>
    </row>
    <row r="68">
      <c r="A68" s="47" t="n">
        <v>23468</v>
      </c>
      <c r="B68" s="45">
        <f>VLOOKUP(Table534567910[[#This Row],[Date]],Database!A:E,MATCH($A$1,Database!$A$1:$E$1,),)</f>
        <v/>
      </c>
      <c r="C68" s="8">
        <f>(B68-B67)/B67</f>
        <v/>
      </c>
      <c r="D68" s="7">
        <f>(Table534567910[[#This Row],[Value]]-B56)/B56</f>
        <v/>
      </c>
      <c r="E68" s="16" t="n">
        <v>0.02</v>
      </c>
      <c r="F68" s="15" t="n"/>
    </row>
    <row r="69">
      <c r="A69" s="47" t="n">
        <v>23498</v>
      </c>
      <c r="B69" s="45">
        <f>VLOOKUP(Table534567910[[#This Row],[Date]],Database!A:E,MATCH($A$1,Database!$A$1:$E$1,),)</f>
        <v/>
      </c>
      <c r="C69" s="8">
        <f>(B69-B68)/B68</f>
        <v/>
      </c>
      <c r="D69" s="7">
        <f>(Table534567910[[#This Row],[Value]]-B57)/B57</f>
        <v/>
      </c>
      <c r="E69" s="16" t="n">
        <v>0.02</v>
      </c>
      <c r="F69" s="15" t="n"/>
    </row>
    <row r="70">
      <c r="A70" s="47" t="n">
        <v>23529</v>
      </c>
      <c r="B70" s="45">
        <f>VLOOKUP(Table534567910[[#This Row],[Date]],Database!A:E,MATCH($A$1,Database!$A$1:$E$1,),)</f>
        <v/>
      </c>
      <c r="C70" s="8">
        <f>(B70-B69)/B69</f>
        <v/>
      </c>
      <c r="D70" s="7">
        <f>(Table534567910[[#This Row],[Value]]-B58)/B58</f>
        <v/>
      </c>
      <c r="E70" s="16" t="n">
        <v>0.02</v>
      </c>
      <c r="F70" s="15" t="n"/>
    </row>
    <row r="71">
      <c r="A71" s="47" t="n">
        <v>23559</v>
      </c>
      <c r="B71" s="45">
        <f>VLOOKUP(Table534567910[[#This Row],[Date]],Database!A:E,MATCH($A$1,Database!$A$1:$E$1,),)</f>
        <v/>
      </c>
      <c r="C71" s="8">
        <f>(B71-B70)/B70</f>
        <v/>
      </c>
      <c r="D71" s="7">
        <f>(Table534567910[[#This Row],[Value]]-B59)/B59</f>
        <v/>
      </c>
      <c r="E71" s="16" t="n">
        <v>0.02</v>
      </c>
      <c r="F71" s="15" t="n"/>
    </row>
    <row r="72">
      <c r="A72" s="47" t="n">
        <v>23590</v>
      </c>
      <c r="B72" s="45">
        <f>VLOOKUP(Table534567910[[#This Row],[Date]],Database!A:E,MATCH($A$1,Database!$A$1:$E$1,),)</f>
        <v/>
      </c>
      <c r="C72" s="8">
        <f>(B72-B71)/B71</f>
        <v/>
      </c>
      <c r="D72" s="7">
        <f>(Table534567910[[#This Row],[Value]]-B60)/B60</f>
        <v/>
      </c>
      <c r="E72" s="16" t="n">
        <v>0.02</v>
      </c>
      <c r="F72" s="15" t="n"/>
    </row>
    <row r="73">
      <c r="A73" s="47" t="n">
        <v>23621</v>
      </c>
      <c r="B73" s="45">
        <f>VLOOKUP(Table534567910[[#This Row],[Date]],Database!A:E,MATCH($A$1,Database!$A$1:$E$1,),)</f>
        <v/>
      </c>
      <c r="C73" s="8">
        <f>(B73-B72)/B72</f>
        <v/>
      </c>
      <c r="D73" s="7">
        <f>(Table534567910[[#This Row],[Value]]-B61)/B61</f>
        <v/>
      </c>
      <c r="E73" s="16" t="n">
        <v>0.02</v>
      </c>
      <c r="F73" s="15" t="n"/>
    </row>
    <row r="74">
      <c r="A74" s="47" t="n">
        <v>23651</v>
      </c>
      <c r="B74" s="45">
        <f>VLOOKUP(Table534567910[[#This Row],[Date]],Database!A:E,MATCH($A$1,Database!$A$1:$E$1,),)</f>
        <v/>
      </c>
      <c r="C74" s="8">
        <f>(B74-B73)/B73</f>
        <v/>
      </c>
      <c r="D74" s="7">
        <f>(Table534567910[[#This Row],[Value]]-B62)/B62</f>
        <v/>
      </c>
      <c r="E74" s="16" t="n">
        <v>0.02</v>
      </c>
      <c r="F74" s="15" t="n"/>
    </row>
    <row r="75">
      <c r="A75" s="47" t="n">
        <v>23682</v>
      </c>
      <c r="B75" s="45">
        <f>VLOOKUP(Table534567910[[#This Row],[Date]],Database!A:E,MATCH($A$1,Database!$A$1:$E$1,),)</f>
        <v/>
      </c>
      <c r="C75" s="8">
        <f>(B75-B74)/B74</f>
        <v/>
      </c>
      <c r="D75" s="7">
        <f>(Table534567910[[#This Row],[Value]]-B63)/B63</f>
        <v/>
      </c>
      <c r="E75" s="16" t="n">
        <v>0.02</v>
      </c>
      <c r="F75" s="15" t="n"/>
    </row>
    <row r="76">
      <c r="A76" s="47" t="n">
        <v>23712</v>
      </c>
      <c r="B76" s="45">
        <f>VLOOKUP(Table534567910[[#This Row],[Date]],Database!A:E,MATCH($A$1,Database!$A$1:$E$1,),)</f>
        <v/>
      </c>
      <c r="C76" s="8">
        <f>(B76-B75)/B75</f>
        <v/>
      </c>
      <c r="D76" s="7">
        <f>(Table534567910[[#This Row],[Value]]-B64)/B64</f>
        <v/>
      </c>
      <c r="E76" s="16" t="n">
        <v>0.02</v>
      </c>
      <c r="F76" s="15" t="n"/>
    </row>
    <row r="77">
      <c r="A77" s="47" t="n">
        <v>23743</v>
      </c>
      <c r="B77" s="45">
        <f>VLOOKUP(Table534567910[[#This Row],[Date]],Database!A:E,MATCH($A$1,Database!$A$1:$E$1,),)</f>
        <v/>
      </c>
      <c r="C77" s="8">
        <f>(B77-B76)/B76</f>
        <v/>
      </c>
      <c r="D77" s="7">
        <f>(Table534567910[[#This Row],[Value]]-B65)/B65</f>
        <v/>
      </c>
      <c r="E77" s="16" t="n">
        <v>0.02</v>
      </c>
      <c r="F77" s="15" t="n"/>
    </row>
    <row r="78">
      <c r="A78" s="47" t="n">
        <v>23774</v>
      </c>
      <c r="B78" s="45">
        <f>VLOOKUP(Table534567910[[#This Row],[Date]],Database!A:E,MATCH($A$1,Database!$A$1:$E$1,),)</f>
        <v/>
      </c>
      <c r="C78" s="8">
        <f>(B78-B77)/B77</f>
        <v/>
      </c>
      <c r="D78" s="7">
        <f>(Table534567910[[#This Row],[Value]]-B66)/B66</f>
        <v/>
      </c>
      <c r="E78" s="16" t="n">
        <v>0.02</v>
      </c>
      <c r="F78" s="15" t="n"/>
    </row>
    <row r="79">
      <c r="A79" s="47" t="n">
        <v>23802</v>
      </c>
      <c r="B79" s="45">
        <f>VLOOKUP(Table534567910[[#This Row],[Date]],Database!A:E,MATCH($A$1,Database!$A$1:$E$1,),)</f>
        <v/>
      </c>
      <c r="C79" s="8">
        <f>(B79-B78)/B78</f>
        <v/>
      </c>
      <c r="D79" s="7">
        <f>(Table534567910[[#This Row],[Value]]-B67)/B67</f>
        <v/>
      </c>
      <c r="E79" s="16" t="n">
        <v>0.02</v>
      </c>
      <c r="F79" s="15" t="n"/>
    </row>
    <row r="80">
      <c r="A80" s="47" t="n">
        <v>23833</v>
      </c>
      <c r="B80" s="45">
        <f>VLOOKUP(Table534567910[[#This Row],[Date]],Database!A:E,MATCH($A$1,Database!$A$1:$E$1,),)</f>
        <v/>
      </c>
      <c r="C80" s="8">
        <f>(B80-B79)/B79</f>
        <v/>
      </c>
      <c r="D80" s="7">
        <f>(Table534567910[[#This Row],[Value]]-B68)/B68</f>
        <v/>
      </c>
      <c r="E80" s="16" t="n">
        <v>0.02</v>
      </c>
      <c r="F80" s="15" t="n"/>
    </row>
    <row r="81">
      <c r="A81" s="47" t="n">
        <v>23863</v>
      </c>
      <c r="B81" s="45">
        <f>VLOOKUP(Table534567910[[#This Row],[Date]],Database!A:E,MATCH($A$1,Database!$A$1:$E$1,),)</f>
        <v/>
      </c>
      <c r="C81" s="8">
        <f>(B81-B80)/B80</f>
        <v/>
      </c>
      <c r="D81" s="7">
        <f>(Table534567910[[#This Row],[Value]]-B69)/B69</f>
        <v/>
      </c>
      <c r="E81" s="16" t="n">
        <v>0.02</v>
      </c>
      <c r="F81" s="15" t="n"/>
    </row>
    <row r="82">
      <c r="A82" s="47" t="n">
        <v>23894</v>
      </c>
      <c r="B82" s="45">
        <f>VLOOKUP(Table534567910[[#This Row],[Date]],Database!A:E,MATCH($A$1,Database!$A$1:$E$1,),)</f>
        <v/>
      </c>
      <c r="C82" s="8">
        <f>(B82-B81)/B81</f>
        <v/>
      </c>
      <c r="D82" s="7">
        <f>(Table534567910[[#This Row],[Value]]-B70)/B70</f>
        <v/>
      </c>
      <c r="E82" s="16" t="n">
        <v>0.02</v>
      </c>
      <c r="F82" s="15" t="n"/>
    </row>
    <row r="83">
      <c r="A83" s="47" t="n">
        <v>23924</v>
      </c>
      <c r="B83" s="45">
        <f>VLOOKUP(Table534567910[[#This Row],[Date]],Database!A:E,MATCH($A$1,Database!$A$1:$E$1,),)</f>
        <v/>
      </c>
      <c r="C83" s="8">
        <f>(B83-B82)/B82</f>
        <v/>
      </c>
      <c r="D83" s="7">
        <f>(Table534567910[[#This Row],[Value]]-B71)/B71</f>
        <v/>
      </c>
      <c r="E83" s="16" t="n">
        <v>0.02</v>
      </c>
      <c r="F83" s="15" t="n"/>
    </row>
    <row r="84">
      <c r="A84" s="47" t="n">
        <v>23955</v>
      </c>
      <c r="B84" s="45">
        <f>VLOOKUP(Table534567910[[#This Row],[Date]],Database!A:E,MATCH($A$1,Database!$A$1:$E$1,),)</f>
        <v/>
      </c>
      <c r="C84" s="8">
        <f>(B84-B83)/B83</f>
        <v/>
      </c>
      <c r="D84" s="7">
        <f>(Table534567910[[#This Row],[Value]]-B72)/B72</f>
        <v/>
      </c>
      <c r="E84" s="16" t="n">
        <v>0.02</v>
      </c>
      <c r="F84" s="15" t="n"/>
    </row>
    <row r="85">
      <c r="A85" s="47" t="n">
        <v>23986</v>
      </c>
      <c r="B85" s="45">
        <f>VLOOKUP(Table534567910[[#This Row],[Date]],Database!A:E,MATCH($A$1,Database!$A$1:$E$1,),)</f>
        <v/>
      </c>
      <c r="C85" s="8">
        <f>(B85-B84)/B84</f>
        <v/>
      </c>
      <c r="D85" s="7">
        <f>(Table534567910[[#This Row],[Value]]-B73)/B73</f>
        <v/>
      </c>
      <c r="E85" s="16" t="n">
        <v>0.02</v>
      </c>
      <c r="F85" s="15" t="n"/>
    </row>
    <row r="86">
      <c r="A86" s="47" t="n">
        <v>24016</v>
      </c>
      <c r="B86" s="45">
        <f>VLOOKUP(Table534567910[[#This Row],[Date]],Database!A:E,MATCH($A$1,Database!$A$1:$E$1,),)</f>
        <v/>
      </c>
      <c r="C86" s="8">
        <f>(B86-B85)/B85</f>
        <v/>
      </c>
      <c r="D86" s="7">
        <f>(Table534567910[[#This Row],[Value]]-B74)/B74</f>
        <v/>
      </c>
      <c r="E86" s="16" t="n">
        <v>0.02</v>
      </c>
      <c r="F86" s="15" t="n"/>
    </row>
    <row r="87">
      <c r="A87" s="47" t="n">
        <v>24047</v>
      </c>
      <c r="B87" s="45">
        <f>VLOOKUP(Table534567910[[#This Row],[Date]],Database!A:E,MATCH($A$1,Database!$A$1:$E$1,),)</f>
        <v/>
      </c>
      <c r="C87" s="8">
        <f>(B87-B86)/B86</f>
        <v/>
      </c>
      <c r="D87" s="7">
        <f>(Table534567910[[#This Row],[Value]]-B75)/B75</f>
        <v/>
      </c>
      <c r="E87" s="16" t="n">
        <v>0.02</v>
      </c>
      <c r="F87" s="15" t="n"/>
    </row>
    <row r="88">
      <c r="A88" s="47" t="n">
        <v>24077</v>
      </c>
      <c r="B88" s="45">
        <f>VLOOKUP(Table534567910[[#This Row],[Date]],Database!A:E,MATCH($A$1,Database!$A$1:$E$1,),)</f>
        <v/>
      </c>
      <c r="C88" s="8">
        <f>(B88-B87)/B87</f>
        <v/>
      </c>
      <c r="D88" s="7">
        <f>(Table534567910[[#This Row],[Value]]-B76)/B76</f>
        <v/>
      </c>
      <c r="E88" s="16" t="n">
        <v>0.02</v>
      </c>
      <c r="F88" s="15" t="n"/>
    </row>
    <row r="89">
      <c r="A89" s="47" t="n">
        <v>24108</v>
      </c>
      <c r="B89" s="45">
        <f>VLOOKUP(Table534567910[[#This Row],[Date]],Database!A:E,MATCH($A$1,Database!$A$1:$E$1,),)</f>
        <v/>
      </c>
      <c r="C89" s="8">
        <f>(B89-B88)/B88</f>
        <v/>
      </c>
      <c r="D89" s="7">
        <f>(Table534567910[[#This Row],[Value]]-B77)/B77</f>
        <v/>
      </c>
      <c r="E89" s="16" t="n">
        <v>0.02</v>
      </c>
      <c r="F89" s="15" t="n"/>
    </row>
    <row r="90">
      <c r="A90" s="47" t="n">
        <v>24139</v>
      </c>
      <c r="B90" s="45">
        <f>VLOOKUP(Table534567910[[#This Row],[Date]],Database!A:E,MATCH($A$1,Database!$A$1:$E$1,),)</f>
        <v/>
      </c>
      <c r="C90" s="8">
        <f>(B90-B89)/B89</f>
        <v/>
      </c>
      <c r="D90" s="7">
        <f>(Table534567910[[#This Row],[Value]]-B78)/B78</f>
        <v/>
      </c>
      <c r="E90" s="16" t="n">
        <v>0.02</v>
      </c>
      <c r="F90" s="15" t="n"/>
    </row>
    <row r="91">
      <c r="A91" s="47" t="n">
        <v>24167</v>
      </c>
      <c r="B91" s="45">
        <f>VLOOKUP(Table534567910[[#This Row],[Date]],Database!A:E,MATCH($A$1,Database!$A$1:$E$1,),)</f>
        <v/>
      </c>
      <c r="C91" s="8">
        <f>(B91-B90)/B90</f>
        <v/>
      </c>
      <c r="D91" s="7">
        <f>(Table534567910[[#This Row],[Value]]-B79)/B79</f>
        <v/>
      </c>
      <c r="E91" s="16" t="n">
        <v>0.02</v>
      </c>
      <c r="F91" s="15" t="n"/>
    </row>
    <row r="92">
      <c r="A92" s="47" t="n">
        <v>24198</v>
      </c>
      <c r="B92" s="45">
        <f>VLOOKUP(Table534567910[[#This Row],[Date]],Database!A:E,MATCH($A$1,Database!$A$1:$E$1,),)</f>
        <v/>
      </c>
      <c r="C92" s="8">
        <f>(B92-B91)/B91</f>
        <v/>
      </c>
      <c r="D92" s="7">
        <f>(Table534567910[[#This Row],[Value]]-B80)/B80</f>
        <v/>
      </c>
      <c r="E92" s="16" t="n">
        <v>0.02</v>
      </c>
      <c r="F92" s="15" t="n"/>
    </row>
    <row r="93">
      <c r="A93" s="47" t="n">
        <v>24228</v>
      </c>
      <c r="B93" s="45">
        <f>VLOOKUP(Table534567910[[#This Row],[Date]],Database!A:E,MATCH($A$1,Database!$A$1:$E$1,),)</f>
        <v/>
      </c>
      <c r="C93" s="8">
        <f>(B93-B92)/B92</f>
        <v/>
      </c>
      <c r="D93" s="7">
        <f>(Table534567910[[#This Row],[Value]]-B81)/B81</f>
        <v/>
      </c>
      <c r="E93" s="16" t="n">
        <v>0.02</v>
      </c>
      <c r="F93" s="15" t="n"/>
    </row>
    <row r="94">
      <c r="A94" s="47" t="n">
        <v>24259</v>
      </c>
      <c r="B94" s="45">
        <f>VLOOKUP(Table534567910[[#This Row],[Date]],Database!A:E,MATCH($A$1,Database!$A$1:$E$1,),)</f>
        <v/>
      </c>
      <c r="C94" s="8">
        <f>(B94-B93)/B93</f>
        <v/>
      </c>
      <c r="D94" s="7">
        <f>(Table534567910[[#This Row],[Value]]-B82)/B82</f>
        <v/>
      </c>
      <c r="E94" s="16" t="n">
        <v>0.02</v>
      </c>
      <c r="F94" s="15" t="n"/>
    </row>
    <row r="95">
      <c r="A95" s="47" t="n">
        <v>24289</v>
      </c>
      <c r="B95" s="45">
        <f>VLOOKUP(Table534567910[[#This Row],[Date]],Database!A:E,MATCH($A$1,Database!$A$1:$E$1,),)</f>
        <v/>
      </c>
      <c r="C95" s="8">
        <f>(B95-B94)/B94</f>
        <v/>
      </c>
      <c r="D95" s="7">
        <f>(Table534567910[[#This Row],[Value]]-B83)/B83</f>
        <v/>
      </c>
      <c r="E95" s="16" t="n">
        <v>0.02</v>
      </c>
      <c r="F95" s="15" t="n"/>
    </row>
    <row r="96">
      <c r="A96" s="47" t="n">
        <v>24320</v>
      </c>
      <c r="B96" s="45">
        <f>VLOOKUP(Table534567910[[#This Row],[Date]],Database!A:E,MATCH($A$1,Database!$A$1:$E$1,),)</f>
        <v/>
      </c>
      <c r="C96" s="8">
        <f>(B96-B95)/B95</f>
        <v/>
      </c>
      <c r="D96" s="7">
        <f>(Table534567910[[#This Row],[Value]]-B84)/B84</f>
        <v/>
      </c>
      <c r="E96" s="16" t="n">
        <v>0.02</v>
      </c>
      <c r="F96" s="15" t="n"/>
    </row>
    <row r="97">
      <c r="A97" s="47" t="n">
        <v>24351</v>
      </c>
      <c r="B97" s="45">
        <f>VLOOKUP(Table534567910[[#This Row],[Date]],Database!A:E,MATCH($A$1,Database!$A$1:$E$1,),)</f>
        <v/>
      </c>
      <c r="C97" s="8">
        <f>(B97-B96)/B96</f>
        <v/>
      </c>
      <c r="D97" s="7">
        <f>(Table534567910[[#This Row],[Value]]-B85)/B85</f>
        <v/>
      </c>
      <c r="E97" s="16" t="n">
        <v>0.02</v>
      </c>
      <c r="F97" s="15" t="n"/>
    </row>
    <row r="98">
      <c r="A98" s="47" t="n">
        <v>24381</v>
      </c>
      <c r="B98" s="45">
        <f>VLOOKUP(Table534567910[[#This Row],[Date]],Database!A:E,MATCH($A$1,Database!$A$1:$E$1,),)</f>
        <v/>
      </c>
      <c r="C98" s="8">
        <f>(B98-B97)/B97</f>
        <v/>
      </c>
      <c r="D98" s="7">
        <f>(Table534567910[[#This Row],[Value]]-B86)/B86</f>
        <v/>
      </c>
      <c r="E98" s="16" t="n">
        <v>0.02</v>
      </c>
      <c r="F98" s="15" t="n"/>
    </row>
    <row r="99">
      <c r="A99" s="47" t="n">
        <v>24412</v>
      </c>
      <c r="B99" s="45">
        <f>VLOOKUP(Table534567910[[#This Row],[Date]],Database!A:E,MATCH($A$1,Database!$A$1:$E$1,),)</f>
        <v/>
      </c>
      <c r="C99" s="8">
        <f>(B99-B98)/B98</f>
        <v/>
      </c>
      <c r="D99" s="7">
        <f>(Table534567910[[#This Row],[Value]]-B87)/B87</f>
        <v/>
      </c>
      <c r="E99" s="16" t="n">
        <v>0.02</v>
      </c>
      <c r="F99" s="15" t="n"/>
    </row>
    <row r="100">
      <c r="A100" s="47" t="n">
        <v>24442</v>
      </c>
      <c r="B100" s="45">
        <f>VLOOKUP(Table534567910[[#This Row],[Date]],Database!A:E,MATCH($A$1,Database!$A$1:$E$1,),)</f>
        <v/>
      </c>
      <c r="C100" s="8">
        <f>(B100-B99)/B99</f>
        <v/>
      </c>
      <c r="D100" s="7">
        <f>(Table534567910[[#This Row],[Value]]-B88)/B88</f>
        <v/>
      </c>
      <c r="E100" s="16" t="n">
        <v>0.02</v>
      </c>
      <c r="F100" s="15" t="n"/>
    </row>
    <row r="101">
      <c r="A101" s="47" t="n">
        <v>24473</v>
      </c>
      <c r="B101" s="45">
        <f>VLOOKUP(Table534567910[[#This Row],[Date]],Database!A:E,MATCH($A$1,Database!$A$1:$E$1,),)</f>
        <v/>
      </c>
      <c r="C101" s="8">
        <f>(B101-B100)/B100</f>
        <v/>
      </c>
      <c r="D101" s="7">
        <f>(Table534567910[[#This Row],[Value]]-B89)/B89</f>
        <v/>
      </c>
      <c r="E101" s="16" t="n">
        <v>0.02</v>
      </c>
      <c r="F101" s="15" t="n"/>
    </row>
    <row r="102">
      <c r="A102" s="47" t="n">
        <v>24504</v>
      </c>
      <c r="B102" s="45">
        <f>VLOOKUP(Table534567910[[#This Row],[Date]],Database!A:E,MATCH($A$1,Database!$A$1:$E$1,),)</f>
        <v/>
      </c>
      <c r="C102" s="8">
        <f>(B102-B101)/B101</f>
        <v/>
      </c>
      <c r="D102" s="7">
        <f>(Table534567910[[#This Row],[Value]]-B90)/B90</f>
        <v/>
      </c>
      <c r="E102" s="16" t="n">
        <v>0.02</v>
      </c>
      <c r="F102" s="15" t="n"/>
    </row>
    <row r="103">
      <c r="A103" s="47" t="n">
        <v>24532</v>
      </c>
      <c r="B103" s="45">
        <f>VLOOKUP(Table534567910[[#This Row],[Date]],Database!A:E,MATCH($A$1,Database!$A$1:$E$1,),)</f>
        <v/>
      </c>
      <c r="C103" s="8">
        <f>(B103-B102)/B102</f>
        <v/>
      </c>
      <c r="D103" s="7">
        <f>(Table534567910[[#This Row],[Value]]-B91)/B91</f>
        <v/>
      </c>
      <c r="E103" s="16" t="n">
        <v>0.02</v>
      </c>
      <c r="F103" s="15" t="n"/>
    </row>
    <row r="104">
      <c r="A104" s="47" t="n">
        <v>24563</v>
      </c>
      <c r="B104" s="45">
        <f>VLOOKUP(Table534567910[[#This Row],[Date]],Database!A:E,MATCH($A$1,Database!$A$1:$E$1,),)</f>
        <v/>
      </c>
      <c r="C104" s="8">
        <f>(B104-B103)/B103</f>
        <v/>
      </c>
      <c r="D104" s="7">
        <f>(Table534567910[[#This Row],[Value]]-B92)/B92</f>
        <v/>
      </c>
      <c r="E104" s="16" t="n">
        <v>0.02</v>
      </c>
      <c r="F104" s="15" t="n"/>
    </row>
    <row r="105">
      <c r="A105" s="47" t="n">
        <v>24593</v>
      </c>
      <c r="B105" s="45">
        <f>VLOOKUP(Table534567910[[#This Row],[Date]],Database!A:E,MATCH($A$1,Database!$A$1:$E$1,),)</f>
        <v/>
      </c>
      <c r="C105" s="8">
        <f>(B105-B104)/B104</f>
        <v/>
      </c>
      <c r="D105" s="7">
        <f>(Table534567910[[#This Row],[Value]]-B93)/B93</f>
        <v/>
      </c>
      <c r="E105" s="16" t="n">
        <v>0.02</v>
      </c>
      <c r="F105" s="15" t="n"/>
    </row>
    <row r="106">
      <c r="A106" s="47" t="n">
        <v>24624</v>
      </c>
      <c r="B106" s="45">
        <f>VLOOKUP(Table534567910[[#This Row],[Date]],Database!A:E,MATCH($A$1,Database!$A$1:$E$1,),)</f>
        <v/>
      </c>
      <c r="C106" s="8">
        <f>(B106-B105)/B105</f>
        <v/>
      </c>
      <c r="D106" s="7">
        <f>(Table534567910[[#This Row],[Value]]-B94)/B94</f>
        <v/>
      </c>
      <c r="E106" s="16" t="n">
        <v>0.02</v>
      </c>
      <c r="F106" s="15" t="n"/>
    </row>
    <row r="107">
      <c r="A107" s="47" t="n">
        <v>24654</v>
      </c>
      <c r="B107" s="45">
        <f>VLOOKUP(Table534567910[[#This Row],[Date]],Database!A:E,MATCH($A$1,Database!$A$1:$E$1,),)</f>
        <v/>
      </c>
      <c r="C107" s="8">
        <f>(B107-B106)/B106</f>
        <v/>
      </c>
      <c r="D107" s="7">
        <f>(Table534567910[[#This Row],[Value]]-B95)/B95</f>
        <v/>
      </c>
      <c r="E107" s="16" t="n">
        <v>0.02</v>
      </c>
      <c r="F107" s="15" t="n"/>
    </row>
    <row r="108">
      <c r="A108" s="47" t="n">
        <v>24685</v>
      </c>
      <c r="B108" s="45">
        <f>VLOOKUP(Table534567910[[#This Row],[Date]],Database!A:E,MATCH($A$1,Database!$A$1:$E$1,),)</f>
        <v/>
      </c>
      <c r="C108" s="8">
        <f>(B108-B107)/B107</f>
        <v/>
      </c>
      <c r="D108" s="7">
        <f>(Table534567910[[#This Row],[Value]]-B96)/B96</f>
        <v/>
      </c>
      <c r="E108" s="16" t="n">
        <v>0.02</v>
      </c>
      <c r="F108" s="15" t="n"/>
    </row>
    <row r="109">
      <c r="A109" s="47" t="n">
        <v>24716</v>
      </c>
      <c r="B109" s="45">
        <f>VLOOKUP(Table534567910[[#This Row],[Date]],Database!A:E,MATCH($A$1,Database!$A$1:$E$1,),)</f>
        <v/>
      </c>
      <c r="C109" s="8">
        <f>(B109-B108)/B108</f>
        <v/>
      </c>
      <c r="D109" s="7">
        <f>(Table534567910[[#This Row],[Value]]-B97)/B97</f>
        <v/>
      </c>
      <c r="E109" s="16" t="n">
        <v>0.02</v>
      </c>
      <c r="F109" s="15" t="n"/>
    </row>
    <row r="110">
      <c r="A110" s="47" t="n">
        <v>24746</v>
      </c>
      <c r="B110" s="45">
        <f>VLOOKUP(Table534567910[[#This Row],[Date]],Database!A:E,MATCH($A$1,Database!$A$1:$E$1,),)</f>
        <v/>
      </c>
      <c r="C110" s="8">
        <f>(B110-B109)/B109</f>
        <v/>
      </c>
      <c r="D110" s="7">
        <f>(Table534567910[[#This Row],[Value]]-B98)/B98</f>
        <v/>
      </c>
      <c r="E110" s="16" t="n">
        <v>0.02</v>
      </c>
      <c r="F110" s="15" t="n"/>
    </row>
    <row r="111">
      <c r="A111" s="47" t="n">
        <v>24777</v>
      </c>
      <c r="B111" s="45">
        <f>VLOOKUP(Table534567910[[#This Row],[Date]],Database!A:E,MATCH($A$1,Database!$A$1:$E$1,),)</f>
        <v/>
      </c>
      <c r="C111" s="8">
        <f>(B111-B110)/B110</f>
        <v/>
      </c>
      <c r="D111" s="7">
        <f>(Table534567910[[#This Row],[Value]]-B99)/B99</f>
        <v/>
      </c>
      <c r="E111" s="16" t="n">
        <v>0.02</v>
      </c>
      <c r="F111" s="15" t="n"/>
    </row>
    <row r="112">
      <c r="A112" s="47" t="n">
        <v>24807</v>
      </c>
      <c r="B112" s="45">
        <f>VLOOKUP(Table534567910[[#This Row],[Date]],Database!A:E,MATCH($A$1,Database!$A$1:$E$1,),)</f>
        <v/>
      </c>
      <c r="C112" s="8">
        <f>(B112-B111)/B111</f>
        <v/>
      </c>
      <c r="D112" s="7">
        <f>(Table534567910[[#This Row],[Value]]-B100)/B100</f>
        <v/>
      </c>
      <c r="E112" s="16" t="n">
        <v>0.02</v>
      </c>
      <c r="F112" s="15" t="n"/>
    </row>
    <row r="113">
      <c r="A113" s="47" t="n">
        <v>24838</v>
      </c>
      <c r="B113" s="45">
        <f>VLOOKUP(Table534567910[[#This Row],[Date]],Database!A:E,MATCH($A$1,Database!$A$1:$E$1,),)</f>
        <v/>
      </c>
      <c r="C113" s="8">
        <f>(B113-B112)/B112</f>
        <v/>
      </c>
      <c r="D113" s="7">
        <f>(Table534567910[[#This Row],[Value]]-B101)/B101</f>
        <v/>
      </c>
      <c r="E113" s="16" t="n">
        <v>0.02</v>
      </c>
      <c r="F113" s="15" t="n"/>
    </row>
    <row r="114">
      <c r="A114" s="47" t="n">
        <v>24869</v>
      </c>
      <c r="B114" s="45">
        <f>VLOOKUP(Table534567910[[#This Row],[Date]],Database!A:E,MATCH($A$1,Database!$A$1:$E$1,),)</f>
        <v/>
      </c>
      <c r="C114" s="8">
        <f>(B114-B113)/B113</f>
        <v/>
      </c>
      <c r="D114" s="7">
        <f>(Table534567910[[#This Row],[Value]]-B102)/B102</f>
        <v/>
      </c>
      <c r="E114" s="16" t="n">
        <v>0.02</v>
      </c>
      <c r="F114" s="15" t="n"/>
    </row>
    <row r="115">
      <c r="A115" s="47" t="n">
        <v>24898</v>
      </c>
      <c r="B115" s="45">
        <f>VLOOKUP(Table534567910[[#This Row],[Date]],Database!A:E,MATCH($A$1,Database!$A$1:$E$1,),)</f>
        <v/>
      </c>
      <c r="C115" s="8">
        <f>(B115-B114)/B114</f>
        <v/>
      </c>
      <c r="D115" s="7">
        <f>(Table534567910[[#This Row],[Value]]-B103)/B103</f>
        <v/>
      </c>
      <c r="E115" s="16" t="n">
        <v>0.02</v>
      </c>
      <c r="F115" s="15" t="n"/>
    </row>
    <row r="116">
      <c r="A116" s="47" t="n">
        <v>24929</v>
      </c>
      <c r="B116" s="45">
        <f>VLOOKUP(Table534567910[[#This Row],[Date]],Database!A:E,MATCH($A$1,Database!$A$1:$E$1,),)</f>
        <v/>
      </c>
      <c r="C116" s="8">
        <f>(B116-B115)/B115</f>
        <v/>
      </c>
      <c r="D116" s="7">
        <f>(Table534567910[[#This Row],[Value]]-B104)/B104</f>
        <v/>
      </c>
      <c r="E116" s="16" t="n">
        <v>0.02</v>
      </c>
      <c r="F116" s="15" t="n"/>
    </row>
    <row r="117">
      <c r="A117" s="47" t="n">
        <v>24959</v>
      </c>
      <c r="B117" s="45">
        <f>VLOOKUP(Table534567910[[#This Row],[Date]],Database!A:E,MATCH($A$1,Database!$A$1:$E$1,),)</f>
        <v/>
      </c>
      <c r="C117" s="8">
        <f>(B117-B116)/B116</f>
        <v/>
      </c>
      <c r="D117" s="7">
        <f>(Table534567910[[#This Row],[Value]]-B105)/B105</f>
        <v/>
      </c>
      <c r="E117" s="16" t="n">
        <v>0.02</v>
      </c>
      <c r="F117" s="15" t="n"/>
    </row>
    <row r="118">
      <c r="A118" s="47" t="n">
        <v>24990</v>
      </c>
      <c r="B118" s="45">
        <f>VLOOKUP(Table534567910[[#This Row],[Date]],Database!A:E,MATCH($A$1,Database!$A$1:$E$1,),)</f>
        <v/>
      </c>
      <c r="C118" s="8">
        <f>(B118-B117)/B117</f>
        <v/>
      </c>
      <c r="D118" s="7">
        <f>(Table534567910[[#This Row],[Value]]-B106)/B106</f>
        <v/>
      </c>
      <c r="E118" s="16" t="n">
        <v>0.02</v>
      </c>
      <c r="F118" s="15" t="n"/>
    </row>
    <row r="119">
      <c r="A119" s="47" t="n">
        <v>25020</v>
      </c>
      <c r="B119" s="45">
        <f>VLOOKUP(Table534567910[[#This Row],[Date]],Database!A:E,MATCH($A$1,Database!$A$1:$E$1,),)</f>
        <v/>
      </c>
      <c r="C119" s="8">
        <f>(B119-B118)/B118</f>
        <v/>
      </c>
      <c r="D119" s="7">
        <f>(Table534567910[[#This Row],[Value]]-B107)/B107</f>
        <v/>
      </c>
      <c r="E119" s="16" t="n">
        <v>0.02</v>
      </c>
      <c r="F119" s="15" t="n"/>
    </row>
    <row r="120">
      <c r="A120" s="47" t="n">
        <v>25051</v>
      </c>
      <c r="B120" s="45">
        <f>VLOOKUP(Table534567910[[#This Row],[Date]],Database!A:E,MATCH($A$1,Database!$A$1:$E$1,),)</f>
        <v/>
      </c>
      <c r="C120" s="8">
        <f>(B120-B119)/B119</f>
        <v/>
      </c>
      <c r="D120" s="7">
        <f>(Table534567910[[#This Row],[Value]]-B108)/B108</f>
        <v/>
      </c>
      <c r="E120" s="16" t="n">
        <v>0.02</v>
      </c>
      <c r="F120" s="15" t="n"/>
    </row>
    <row r="121">
      <c r="A121" s="47" t="n">
        <v>25082</v>
      </c>
      <c r="B121" s="45">
        <f>VLOOKUP(Table534567910[[#This Row],[Date]],Database!A:E,MATCH($A$1,Database!$A$1:$E$1,),)</f>
        <v/>
      </c>
      <c r="C121" s="8">
        <f>(B121-B120)/B120</f>
        <v/>
      </c>
      <c r="D121" s="7">
        <f>(Table534567910[[#This Row],[Value]]-B109)/B109</f>
        <v/>
      </c>
      <c r="E121" s="16" t="n">
        <v>0.02</v>
      </c>
      <c r="F121" s="15" t="n"/>
    </row>
    <row r="122">
      <c r="A122" s="47" t="n">
        <v>25112</v>
      </c>
      <c r="B122" s="45">
        <f>VLOOKUP(Table534567910[[#This Row],[Date]],Database!A:E,MATCH($A$1,Database!$A$1:$E$1,),)</f>
        <v/>
      </c>
      <c r="C122" s="8">
        <f>(B122-B121)/B121</f>
        <v/>
      </c>
      <c r="D122" s="7">
        <f>(Table534567910[[#This Row],[Value]]-B110)/B110</f>
        <v/>
      </c>
      <c r="E122" s="16" t="n">
        <v>0.02</v>
      </c>
      <c r="F122" s="15" t="n"/>
    </row>
    <row r="123">
      <c r="A123" s="47" t="n">
        <v>25143</v>
      </c>
      <c r="B123" s="45">
        <f>VLOOKUP(Table534567910[[#This Row],[Date]],Database!A:E,MATCH($A$1,Database!$A$1:$E$1,),)</f>
        <v/>
      </c>
      <c r="C123" s="8">
        <f>(B123-B122)/B122</f>
        <v/>
      </c>
      <c r="D123" s="7">
        <f>(Table534567910[[#This Row],[Value]]-B111)/B111</f>
        <v/>
      </c>
      <c r="E123" s="16" t="n">
        <v>0.02</v>
      </c>
      <c r="F123" s="15" t="n"/>
    </row>
    <row r="124">
      <c r="A124" s="47" t="n">
        <v>25173</v>
      </c>
      <c r="B124" s="45">
        <f>VLOOKUP(Table534567910[[#This Row],[Date]],Database!A:E,MATCH($A$1,Database!$A$1:$E$1,),)</f>
        <v/>
      </c>
      <c r="C124" s="8">
        <f>(B124-B123)/B123</f>
        <v/>
      </c>
      <c r="D124" s="7">
        <f>(Table534567910[[#This Row],[Value]]-B112)/B112</f>
        <v/>
      </c>
      <c r="E124" s="16" t="n">
        <v>0.02</v>
      </c>
      <c r="F124" s="15" t="n"/>
    </row>
    <row r="125">
      <c r="A125" s="47" t="n">
        <v>25204</v>
      </c>
      <c r="B125" s="45">
        <f>VLOOKUP(Table534567910[[#This Row],[Date]],Database!A:E,MATCH($A$1,Database!$A$1:$E$1,),)</f>
        <v/>
      </c>
      <c r="C125" s="8">
        <f>(B125-B124)/B124</f>
        <v/>
      </c>
      <c r="D125" s="7">
        <f>(Table534567910[[#This Row],[Value]]-B113)/B113</f>
        <v/>
      </c>
      <c r="E125" s="16" t="n">
        <v>0.02</v>
      </c>
      <c r="F125" s="15" t="n"/>
    </row>
    <row r="126">
      <c r="A126" s="47" t="n">
        <v>25235</v>
      </c>
      <c r="B126" s="45">
        <f>VLOOKUP(Table534567910[[#This Row],[Date]],Database!A:E,MATCH($A$1,Database!$A$1:$E$1,),)</f>
        <v/>
      </c>
      <c r="C126" s="8">
        <f>(B126-B125)/B125</f>
        <v/>
      </c>
      <c r="D126" s="7">
        <f>(Table534567910[[#This Row],[Value]]-B114)/B114</f>
        <v/>
      </c>
      <c r="E126" s="16" t="n">
        <v>0.02</v>
      </c>
      <c r="F126" s="15" t="n"/>
    </row>
    <row r="127">
      <c r="A127" s="47" t="n">
        <v>25263</v>
      </c>
      <c r="B127" s="45">
        <f>VLOOKUP(Table534567910[[#This Row],[Date]],Database!A:E,MATCH($A$1,Database!$A$1:$E$1,),)</f>
        <v/>
      </c>
      <c r="C127" s="8">
        <f>(B127-B126)/B126</f>
        <v/>
      </c>
      <c r="D127" s="7">
        <f>(Table534567910[[#This Row],[Value]]-B115)/B115</f>
        <v/>
      </c>
      <c r="E127" s="16" t="n">
        <v>0.02</v>
      </c>
      <c r="F127" s="15" t="n"/>
    </row>
    <row r="128">
      <c r="A128" s="47" t="n">
        <v>25294</v>
      </c>
      <c r="B128" s="45">
        <f>VLOOKUP(Table534567910[[#This Row],[Date]],Database!A:E,MATCH($A$1,Database!$A$1:$E$1,),)</f>
        <v/>
      </c>
      <c r="C128" s="8">
        <f>(B128-B127)/B127</f>
        <v/>
      </c>
      <c r="D128" s="7">
        <f>(Table534567910[[#This Row],[Value]]-B116)/B116</f>
        <v/>
      </c>
      <c r="E128" s="16" t="n">
        <v>0.02</v>
      </c>
      <c r="F128" s="15" t="n"/>
    </row>
    <row r="129">
      <c r="A129" s="47" t="n">
        <v>25324</v>
      </c>
      <c r="B129" s="45">
        <f>VLOOKUP(Table534567910[[#This Row],[Date]],Database!A:E,MATCH($A$1,Database!$A$1:$E$1,),)</f>
        <v/>
      </c>
      <c r="C129" s="8">
        <f>(B129-B128)/B128</f>
        <v/>
      </c>
      <c r="D129" s="7">
        <f>(Table534567910[[#This Row],[Value]]-B117)/B117</f>
        <v/>
      </c>
      <c r="E129" s="16" t="n">
        <v>0.02</v>
      </c>
      <c r="F129" s="15" t="n"/>
    </row>
    <row r="130">
      <c r="A130" s="47" t="n">
        <v>25355</v>
      </c>
      <c r="B130" s="45">
        <f>VLOOKUP(Table534567910[[#This Row],[Date]],Database!A:E,MATCH($A$1,Database!$A$1:$E$1,),)</f>
        <v/>
      </c>
      <c r="C130" s="8">
        <f>(B130-B129)/B129</f>
        <v/>
      </c>
      <c r="D130" s="7">
        <f>(Table534567910[[#This Row],[Value]]-B118)/B118</f>
        <v/>
      </c>
      <c r="E130" s="16" t="n">
        <v>0.02</v>
      </c>
      <c r="F130" s="15" t="n"/>
    </row>
    <row r="131">
      <c r="A131" s="47" t="n">
        <v>25385</v>
      </c>
      <c r="B131" s="45">
        <f>VLOOKUP(Table534567910[[#This Row],[Date]],Database!A:E,MATCH($A$1,Database!$A$1:$E$1,),)</f>
        <v/>
      </c>
      <c r="C131" s="8">
        <f>(B131-B130)/B130</f>
        <v/>
      </c>
      <c r="D131" s="7">
        <f>(Table534567910[[#This Row],[Value]]-B119)/B119</f>
        <v/>
      </c>
      <c r="E131" s="16" t="n">
        <v>0.02</v>
      </c>
      <c r="F131" s="15" t="n"/>
    </row>
    <row r="132">
      <c r="A132" s="47" t="n">
        <v>25416</v>
      </c>
      <c r="B132" s="45">
        <f>VLOOKUP(Table534567910[[#This Row],[Date]],Database!A:E,MATCH($A$1,Database!$A$1:$E$1,),)</f>
        <v/>
      </c>
      <c r="C132" s="8">
        <f>(B132-B131)/B131</f>
        <v/>
      </c>
      <c r="D132" s="7">
        <f>(Table534567910[[#This Row],[Value]]-B120)/B120</f>
        <v/>
      </c>
      <c r="E132" s="16" t="n">
        <v>0.02</v>
      </c>
      <c r="F132" s="15" t="n"/>
    </row>
    <row r="133">
      <c r="A133" s="47" t="n">
        <v>25447</v>
      </c>
      <c r="B133" s="45">
        <f>VLOOKUP(Table534567910[[#This Row],[Date]],Database!A:E,MATCH($A$1,Database!$A$1:$E$1,),)</f>
        <v/>
      </c>
      <c r="C133" s="8">
        <f>(B133-B132)/B132</f>
        <v/>
      </c>
      <c r="D133" s="7">
        <f>(Table534567910[[#This Row],[Value]]-B121)/B121</f>
        <v/>
      </c>
      <c r="E133" s="16" t="n">
        <v>0.02</v>
      </c>
      <c r="F133" s="15" t="n"/>
    </row>
    <row r="134">
      <c r="A134" s="47" t="n">
        <v>25477</v>
      </c>
      <c r="B134" s="45">
        <f>VLOOKUP(Table534567910[[#This Row],[Date]],Database!A:E,MATCH($A$1,Database!$A$1:$E$1,),)</f>
        <v/>
      </c>
      <c r="C134" s="8">
        <f>(B134-B133)/B133</f>
        <v/>
      </c>
      <c r="D134" s="7">
        <f>(Table534567910[[#This Row],[Value]]-B122)/B122</f>
        <v/>
      </c>
      <c r="E134" s="16" t="n">
        <v>0.02</v>
      </c>
      <c r="F134" s="15" t="n"/>
    </row>
    <row r="135">
      <c r="A135" s="47" t="n">
        <v>25508</v>
      </c>
      <c r="B135" s="45">
        <f>VLOOKUP(Table534567910[[#This Row],[Date]],Database!A:E,MATCH($A$1,Database!$A$1:$E$1,),)</f>
        <v/>
      </c>
      <c r="C135" s="8">
        <f>(B135-B134)/B134</f>
        <v/>
      </c>
      <c r="D135" s="7">
        <f>(Table534567910[[#This Row],[Value]]-B123)/B123</f>
        <v/>
      </c>
      <c r="E135" s="16" t="n">
        <v>0.02</v>
      </c>
      <c r="F135" s="15" t="n"/>
    </row>
    <row r="136">
      <c r="A136" s="47" t="n">
        <v>25538</v>
      </c>
      <c r="B136" s="45">
        <f>VLOOKUP(Table534567910[[#This Row],[Date]],Database!A:E,MATCH($A$1,Database!$A$1:$E$1,),)</f>
        <v/>
      </c>
      <c r="C136" s="8">
        <f>(B136-B135)/B135</f>
        <v/>
      </c>
      <c r="D136" s="7">
        <f>(Table534567910[[#This Row],[Value]]-B124)/B124</f>
        <v/>
      </c>
      <c r="E136" s="16" t="n">
        <v>0.02</v>
      </c>
      <c r="F136" s="15" t="n"/>
    </row>
    <row r="137">
      <c r="A137" s="47" t="n">
        <v>25569</v>
      </c>
      <c r="B137" s="45">
        <f>VLOOKUP(Table534567910[[#This Row],[Date]],Database!A:E,MATCH($A$1,Database!$A$1:$E$1,),)</f>
        <v/>
      </c>
      <c r="C137" s="8">
        <f>(B137-B136)/B136</f>
        <v/>
      </c>
      <c r="D137" s="7">
        <f>(Table534567910[[#This Row],[Value]]-B125)/B125</f>
        <v/>
      </c>
      <c r="E137" s="16" t="n">
        <v>0.02</v>
      </c>
      <c r="F137" s="15" t="n"/>
    </row>
    <row r="138">
      <c r="A138" s="47" t="n">
        <v>25600</v>
      </c>
      <c r="B138" s="45">
        <f>VLOOKUP(Table534567910[[#This Row],[Date]],Database!A:E,MATCH($A$1,Database!$A$1:$E$1,),)</f>
        <v/>
      </c>
      <c r="C138" s="8">
        <f>(B138-B137)/B137</f>
        <v/>
      </c>
      <c r="D138" s="7">
        <f>(Table534567910[[#This Row],[Value]]-B126)/B126</f>
        <v/>
      </c>
      <c r="E138" s="16" t="n">
        <v>0.02</v>
      </c>
      <c r="F138" s="15" t="n"/>
    </row>
    <row r="139">
      <c r="A139" s="47" t="n">
        <v>25628</v>
      </c>
      <c r="B139" s="45">
        <f>VLOOKUP(Table534567910[[#This Row],[Date]],Database!A:E,MATCH($A$1,Database!$A$1:$E$1,),)</f>
        <v/>
      </c>
      <c r="C139" s="8">
        <f>(B139-B138)/B138</f>
        <v/>
      </c>
      <c r="D139" s="7">
        <f>(Table534567910[[#This Row],[Value]]-B127)/B127</f>
        <v/>
      </c>
      <c r="E139" s="16" t="n">
        <v>0.02</v>
      </c>
      <c r="F139" s="15" t="n"/>
    </row>
    <row r="140">
      <c r="A140" s="47" t="n">
        <v>25659</v>
      </c>
      <c r="B140" s="45">
        <f>VLOOKUP(Table534567910[[#This Row],[Date]],Database!A:E,MATCH($A$1,Database!$A$1:$E$1,),)</f>
        <v/>
      </c>
      <c r="C140" s="8">
        <f>(B140-B139)/B139</f>
        <v/>
      </c>
      <c r="D140" s="7">
        <f>(Table534567910[[#This Row],[Value]]-B128)/B128</f>
        <v/>
      </c>
      <c r="E140" s="16" t="n">
        <v>0.02</v>
      </c>
      <c r="F140" s="15" t="n"/>
    </row>
    <row r="141">
      <c r="A141" s="47" t="n">
        <v>25689</v>
      </c>
      <c r="B141" s="45">
        <f>VLOOKUP(Table534567910[[#This Row],[Date]],Database!A:E,MATCH($A$1,Database!$A$1:$E$1,),)</f>
        <v/>
      </c>
      <c r="C141" s="8">
        <f>(B141-B140)/B140</f>
        <v/>
      </c>
      <c r="D141" s="7">
        <f>(Table534567910[[#This Row],[Value]]-B129)/B129</f>
        <v/>
      </c>
      <c r="E141" s="16" t="n">
        <v>0.02</v>
      </c>
      <c r="F141" s="15" t="n"/>
    </row>
    <row r="142">
      <c r="A142" s="47" t="n">
        <v>25720</v>
      </c>
      <c r="B142" s="45">
        <f>VLOOKUP(Table534567910[[#This Row],[Date]],Database!A:E,MATCH($A$1,Database!$A$1:$E$1,),)</f>
        <v/>
      </c>
      <c r="C142" s="8">
        <f>(B142-B141)/B141</f>
        <v/>
      </c>
      <c r="D142" s="7">
        <f>(Table534567910[[#This Row],[Value]]-B130)/B130</f>
        <v/>
      </c>
      <c r="E142" s="16" t="n">
        <v>0.02</v>
      </c>
      <c r="F142" s="15" t="n"/>
    </row>
    <row r="143">
      <c r="A143" s="47" t="n">
        <v>25750</v>
      </c>
      <c r="B143" s="45">
        <f>VLOOKUP(Table534567910[[#This Row],[Date]],Database!A:E,MATCH($A$1,Database!$A$1:$E$1,),)</f>
        <v/>
      </c>
      <c r="C143" s="8">
        <f>(B143-B142)/B142</f>
        <v/>
      </c>
      <c r="D143" s="7">
        <f>(Table534567910[[#This Row],[Value]]-B131)/B131</f>
        <v/>
      </c>
      <c r="E143" s="16" t="n">
        <v>0.02</v>
      </c>
      <c r="F143" s="15" t="n"/>
    </row>
    <row r="144">
      <c r="A144" s="47" t="n">
        <v>25781</v>
      </c>
      <c r="B144" s="45">
        <f>VLOOKUP(Table534567910[[#This Row],[Date]],Database!A:E,MATCH($A$1,Database!$A$1:$E$1,),)</f>
        <v/>
      </c>
      <c r="C144" s="8">
        <f>(B144-B143)/B143</f>
        <v/>
      </c>
      <c r="D144" s="7">
        <f>(Table534567910[[#This Row],[Value]]-B132)/B132</f>
        <v/>
      </c>
      <c r="E144" s="16" t="n">
        <v>0.02</v>
      </c>
      <c r="F144" s="15" t="n"/>
    </row>
    <row r="145">
      <c r="A145" s="47" t="n">
        <v>25812</v>
      </c>
      <c r="B145" s="45">
        <f>VLOOKUP(Table534567910[[#This Row],[Date]],Database!A:E,MATCH($A$1,Database!$A$1:$E$1,),)</f>
        <v/>
      </c>
      <c r="C145" s="8">
        <f>(B145-B144)/B144</f>
        <v/>
      </c>
      <c r="D145" s="7">
        <f>(Table534567910[[#This Row],[Value]]-B133)/B133</f>
        <v/>
      </c>
      <c r="E145" s="16" t="n">
        <v>0.02</v>
      </c>
      <c r="F145" s="15" t="n"/>
    </row>
    <row r="146">
      <c r="A146" s="47" t="n">
        <v>25842</v>
      </c>
      <c r="B146" s="45">
        <f>VLOOKUP(Table534567910[[#This Row],[Date]],Database!A:E,MATCH($A$1,Database!$A$1:$E$1,),)</f>
        <v/>
      </c>
      <c r="C146" s="8">
        <f>(B146-B145)/B145</f>
        <v/>
      </c>
      <c r="D146" s="7">
        <f>(Table534567910[[#This Row],[Value]]-B134)/B134</f>
        <v/>
      </c>
      <c r="E146" s="16" t="n">
        <v>0.02</v>
      </c>
      <c r="F146" s="15" t="n"/>
    </row>
    <row r="147">
      <c r="A147" s="47" t="n">
        <v>25873</v>
      </c>
      <c r="B147" s="45">
        <f>VLOOKUP(Table534567910[[#This Row],[Date]],Database!A:E,MATCH($A$1,Database!$A$1:$E$1,),)</f>
        <v/>
      </c>
      <c r="C147" s="8">
        <f>(B147-B146)/B146</f>
        <v/>
      </c>
      <c r="D147" s="7">
        <f>(Table534567910[[#This Row],[Value]]-B135)/B135</f>
        <v/>
      </c>
      <c r="E147" s="16" t="n">
        <v>0.02</v>
      </c>
      <c r="F147" s="15" t="n"/>
    </row>
    <row r="148">
      <c r="A148" s="47" t="n">
        <v>25903</v>
      </c>
      <c r="B148" s="45">
        <f>VLOOKUP(Table534567910[[#This Row],[Date]],Database!A:E,MATCH($A$1,Database!$A$1:$E$1,),)</f>
        <v/>
      </c>
      <c r="C148" s="8">
        <f>(B148-B147)/B147</f>
        <v/>
      </c>
      <c r="D148" s="7">
        <f>(Table534567910[[#This Row],[Value]]-B136)/B136</f>
        <v/>
      </c>
      <c r="E148" s="16" t="n">
        <v>0.02</v>
      </c>
      <c r="F148" s="15" t="n"/>
    </row>
    <row r="149">
      <c r="A149" s="47" t="n">
        <v>25934</v>
      </c>
      <c r="B149" s="45">
        <f>VLOOKUP(Table534567910[[#This Row],[Date]],Database!A:E,MATCH($A$1,Database!$A$1:$E$1,),)</f>
        <v/>
      </c>
      <c r="C149" s="8">
        <f>(B149-B148)/B148</f>
        <v/>
      </c>
      <c r="D149" s="7">
        <f>(Table534567910[[#This Row],[Value]]-B137)/B137</f>
        <v/>
      </c>
      <c r="E149" s="16" t="n">
        <v>0.02</v>
      </c>
      <c r="F149" s="15" t="n">
        <v>4</v>
      </c>
    </row>
    <row r="150">
      <c r="A150" s="47" t="n">
        <v>25965</v>
      </c>
      <c r="B150" s="45">
        <f>VLOOKUP(Table534567910[[#This Row],[Date]],Database!A:E,MATCH($A$1,Database!$A$1:$E$1,),)</f>
        <v/>
      </c>
      <c r="C150" s="8">
        <f>(B150-B149)/B149</f>
        <v/>
      </c>
      <c r="D150" s="7">
        <f>(Table534567910[[#This Row],[Value]]-B138)/B138</f>
        <v/>
      </c>
      <c r="E150" s="16" t="n">
        <v>0.02</v>
      </c>
      <c r="F150" s="15" t="n">
        <v>3.5</v>
      </c>
    </row>
    <row r="151">
      <c r="A151" s="47" t="n">
        <v>25993</v>
      </c>
      <c r="B151" s="45">
        <f>VLOOKUP(Table534567910[[#This Row],[Date]],Database!A:E,MATCH($A$1,Database!$A$1:$E$1,),)</f>
        <v/>
      </c>
      <c r="C151" s="8">
        <f>(B151-B150)/B150</f>
        <v/>
      </c>
      <c r="D151" s="7">
        <f>(Table534567910[[#This Row],[Value]]-B139)/B139</f>
        <v/>
      </c>
      <c r="E151" s="16" t="n">
        <v>0.02</v>
      </c>
      <c r="F151" s="15" t="n">
        <v>5.5</v>
      </c>
    </row>
    <row r="152">
      <c r="A152" s="47" t="n">
        <v>26024</v>
      </c>
      <c r="B152" s="45">
        <f>VLOOKUP(Table534567910[[#This Row],[Date]],Database!A:E,MATCH($A$1,Database!$A$1:$E$1,),)</f>
        <v/>
      </c>
      <c r="C152" s="8">
        <f>(B152-B151)/B151</f>
        <v/>
      </c>
      <c r="D152" s="7">
        <f>(Table534567910[[#This Row],[Value]]-B140)/B140</f>
        <v/>
      </c>
      <c r="E152" s="16" t="n">
        <v>0.02</v>
      </c>
      <c r="F152" s="15" t="n">
        <v>5.5</v>
      </c>
    </row>
    <row r="153">
      <c r="A153" s="47" t="n">
        <v>26054</v>
      </c>
      <c r="B153" s="45">
        <f>VLOOKUP(Table534567910[[#This Row],[Date]],Database!A:E,MATCH($A$1,Database!$A$1:$E$1,),)</f>
        <v/>
      </c>
      <c r="C153" s="8">
        <f>(B153-B152)/B152</f>
        <v/>
      </c>
      <c r="D153" s="7">
        <f>(Table534567910[[#This Row],[Value]]-B141)/B141</f>
        <v/>
      </c>
      <c r="E153" s="16" t="n">
        <v>0.02</v>
      </c>
      <c r="F153" s="15" t="n">
        <v>5.5</v>
      </c>
    </row>
    <row r="154">
      <c r="A154" s="47" t="n">
        <v>26085</v>
      </c>
      <c r="B154" s="45">
        <f>VLOOKUP(Table534567910[[#This Row],[Date]],Database!A:E,MATCH($A$1,Database!$A$1:$E$1,),)</f>
        <v/>
      </c>
      <c r="C154" s="8">
        <f>(B154-B153)/B153</f>
        <v/>
      </c>
      <c r="D154" s="7">
        <f>(Table534567910[[#This Row],[Value]]-B142)/B142</f>
        <v/>
      </c>
      <c r="E154" s="16" t="n">
        <v>0.02</v>
      </c>
      <c r="F154" s="15" t="n">
        <v>5.5</v>
      </c>
    </row>
    <row r="155">
      <c r="A155" s="47" t="n">
        <v>26115</v>
      </c>
      <c r="B155" s="45">
        <f>VLOOKUP(Table534567910[[#This Row],[Date]],Database!A:E,MATCH($A$1,Database!$A$1:$E$1,),)</f>
        <v/>
      </c>
      <c r="C155" s="8">
        <f>(B155-B154)/B154</f>
        <v/>
      </c>
      <c r="D155" s="7">
        <f>(Table534567910[[#This Row],[Value]]-B143)/B143</f>
        <v/>
      </c>
      <c r="E155" s="16" t="n">
        <v>0.02</v>
      </c>
      <c r="F155" s="15" t="n">
        <v>5.5</v>
      </c>
    </row>
    <row r="156">
      <c r="A156" s="47" t="n">
        <v>26146</v>
      </c>
      <c r="B156" s="45">
        <f>VLOOKUP(Table534567910[[#This Row],[Date]],Database!A:E,MATCH($A$1,Database!$A$1:$E$1,),)</f>
        <v/>
      </c>
      <c r="C156" s="8">
        <f>(B156-B155)/B155</f>
        <v/>
      </c>
      <c r="D156" s="7">
        <f>(Table534567910[[#This Row],[Value]]-B144)/B144</f>
        <v/>
      </c>
      <c r="E156" s="16" t="n">
        <v>0.02</v>
      </c>
      <c r="F156" s="15" t="n">
        <v>5.75</v>
      </c>
    </row>
    <row r="157">
      <c r="A157" s="47" t="n">
        <v>26177</v>
      </c>
      <c r="B157" s="45">
        <f>VLOOKUP(Table534567910[[#This Row],[Date]],Database!A:E,MATCH($A$1,Database!$A$1:$E$1,),)</f>
        <v/>
      </c>
      <c r="C157" s="8">
        <f>(B157-B156)/B156</f>
        <v/>
      </c>
      <c r="D157" s="7">
        <f>(Table534567910[[#This Row],[Value]]-B145)/B145</f>
        <v/>
      </c>
      <c r="E157" s="16" t="n">
        <v>0.02</v>
      </c>
      <c r="F157" s="15" t="n">
        <v>5.13</v>
      </c>
    </row>
    <row r="158">
      <c r="A158" s="47" t="n">
        <v>26207</v>
      </c>
      <c r="B158" s="45">
        <f>VLOOKUP(Table534567910[[#This Row],[Date]],Database!A:E,MATCH($A$1,Database!$A$1:$E$1,),)</f>
        <v/>
      </c>
      <c r="C158" s="8">
        <f>(B158-B157)/B157</f>
        <v/>
      </c>
      <c r="D158" s="7">
        <f>(Table534567910[[#This Row],[Value]]-B146)/B146</f>
        <v/>
      </c>
      <c r="E158" s="16" t="n">
        <v>0.02</v>
      </c>
      <c r="F158" s="15" t="n">
        <v>5.13</v>
      </c>
    </row>
    <row r="159">
      <c r="A159" s="47" t="n">
        <v>26238</v>
      </c>
      <c r="B159" s="45">
        <f>VLOOKUP(Table534567910[[#This Row],[Date]],Database!A:E,MATCH($A$1,Database!$A$1:$E$1,),)</f>
        <v/>
      </c>
      <c r="C159" s="8">
        <f>(B159-B158)/B158</f>
        <v/>
      </c>
      <c r="D159" s="7">
        <f>(Table534567910[[#This Row],[Value]]-B147)/B147</f>
        <v/>
      </c>
      <c r="E159" s="16" t="n">
        <v>0.02</v>
      </c>
      <c r="F159" s="15" t="n">
        <v>4.5</v>
      </c>
    </row>
    <row r="160">
      <c r="A160" s="47" t="n">
        <v>26268</v>
      </c>
      <c r="B160" s="45">
        <f>VLOOKUP(Table534567910[[#This Row],[Date]],Database!A:E,MATCH($A$1,Database!$A$1:$E$1,),)</f>
        <v/>
      </c>
      <c r="C160" s="8">
        <f>(B160-B159)/B159</f>
        <v/>
      </c>
      <c r="D160" s="7">
        <f>(Table534567910[[#This Row],[Value]]-B148)/B148</f>
        <v/>
      </c>
      <c r="E160" s="16" t="n">
        <v>0.02</v>
      </c>
      <c r="F160" s="15" t="n">
        <v>3.5</v>
      </c>
    </row>
    <row r="161">
      <c r="A161" s="47" t="n">
        <v>26299</v>
      </c>
      <c r="B161" s="45">
        <f>VLOOKUP(Table534567910[[#This Row],[Date]],Database!A:E,MATCH($A$1,Database!$A$1:$E$1,),)</f>
        <v/>
      </c>
      <c r="C161" s="8">
        <f>(B161-B160)/B160</f>
        <v/>
      </c>
      <c r="D161" s="7">
        <f>(Table534567910[[#This Row],[Value]]-B149)/B149</f>
        <v/>
      </c>
      <c r="E161" s="16" t="n">
        <v>0.02</v>
      </c>
      <c r="F161" s="15" t="n">
        <v>3.5</v>
      </c>
    </row>
    <row r="162">
      <c r="A162" s="47" t="n">
        <v>26330</v>
      </c>
      <c r="B162" s="45">
        <f>VLOOKUP(Table534567910[[#This Row],[Date]],Database!A:E,MATCH($A$1,Database!$A$1:$E$1,),)</f>
        <v/>
      </c>
      <c r="C162" s="8">
        <f>(B162-B161)/B161</f>
        <v/>
      </c>
      <c r="D162" s="7">
        <f>(Table534567910[[#This Row],[Value]]-B150)/B150</f>
        <v/>
      </c>
      <c r="E162" s="16" t="n">
        <v>0.02</v>
      </c>
      <c r="F162" s="15" t="n">
        <v>3.5</v>
      </c>
    </row>
    <row r="163">
      <c r="A163" s="47" t="n">
        <v>26359</v>
      </c>
      <c r="B163" s="45">
        <f>VLOOKUP(Table534567910[[#This Row],[Date]],Database!A:E,MATCH($A$1,Database!$A$1:$E$1,),)</f>
        <v/>
      </c>
      <c r="C163" s="8">
        <f>(B163-B162)/B162</f>
        <v/>
      </c>
      <c r="D163" s="7">
        <f>(Table534567910[[#This Row],[Value]]-B151)/B151</f>
        <v/>
      </c>
      <c r="E163" s="16" t="n">
        <v>0.02</v>
      </c>
      <c r="F163" s="15" t="n">
        <v>5.5</v>
      </c>
    </row>
    <row r="164">
      <c r="A164" s="47" t="n">
        <v>26390</v>
      </c>
      <c r="B164" s="45">
        <f>VLOOKUP(Table534567910[[#This Row],[Date]],Database!A:E,MATCH($A$1,Database!$A$1:$E$1,),)</f>
        <v/>
      </c>
      <c r="C164" s="8">
        <f>(B164-B163)/B163</f>
        <v/>
      </c>
      <c r="D164" s="7">
        <f>(Table534567910[[#This Row],[Value]]-B152)/B152</f>
        <v/>
      </c>
      <c r="E164" s="16" t="n">
        <v>0.02</v>
      </c>
      <c r="F164" s="15" t="n">
        <v>5.5</v>
      </c>
    </row>
    <row r="165">
      <c r="A165" s="47" t="n">
        <v>26420</v>
      </c>
      <c r="B165" s="45">
        <f>VLOOKUP(Table534567910[[#This Row],[Date]],Database!A:E,MATCH($A$1,Database!$A$1:$E$1,),)</f>
        <v/>
      </c>
      <c r="C165" s="8">
        <f>(B165-B164)/B164</f>
        <v/>
      </c>
      <c r="D165" s="7">
        <f>(Table534567910[[#This Row],[Value]]-B153)/B153</f>
        <v/>
      </c>
      <c r="E165" s="16" t="n">
        <v>0.02</v>
      </c>
      <c r="F165" s="15" t="n">
        <v>5.5</v>
      </c>
    </row>
    <row r="166">
      <c r="A166" s="47" t="n">
        <v>26451</v>
      </c>
      <c r="B166" s="45">
        <f>VLOOKUP(Table534567910[[#This Row],[Date]],Database!A:E,MATCH($A$1,Database!$A$1:$E$1,),)</f>
        <v/>
      </c>
      <c r="C166" s="8">
        <f>(B166-B165)/B165</f>
        <v/>
      </c>
      <c r="D166" s="7">
        <f>(Table534567910[[#This Row],[Value]]-B154)/B154</f>
        <v/>
      </c>
      <c r="E166" s="16" t="n">
        <v>0.02</v>
      </c>
      <c r="F166" s="15" t="n">
        <v>5.5</v>
      </c>
    </row>
    <row r="167">
      <c r="A167" s="47" t="n">
        <v>26481</v>
      </c>
      <c r="B167" s="45">
        <f>VLOOKUP(Table534567910[[#This Row],[Date]],Database!A:E,MATCH($A$1,Database!$A$1:$E$1,),)</f>
        <v/>
      </c>
      <c r="C167" s="8">
        <f>(B167-B166)/B166</f>
        <v/>
      </c>
      <c r="D167" s="7">
        <f>(Table534567910[[#This Row],[Value]]-B155)/B155</f>
        <v/>
      </c>
      <c r="E167" s="16" t="n">
        <v>0.02</v>
      </c>
      <c r="F167" s="15" t="n">
        <v>5.5</v>
      </c>
    </row>
    <row r="168">
      <c r="A168" s="47" t="n">
        <v>26512</v>
      </c>
      <c r="B168" s="45">
        <f>VLOOKUP(Table534567910[[#This Row],[Date]],Database!A:E,MATCH($A$1,Database!$A$1:$E$1,),)</f>
        <v/>
      </c>
      <c r="C168" s="8">
        <f>(B168-B167)/B167</f>
        <v/>
      </c>
      <c r="D168" s="7">
        <f>(Table534567910[[#This Row],[Value]]-B156)/B156</f>
        <v/>
      </c>
      <c r="E168" s="16" t="n">
        <v>0.02</v>
      </c>
      <c r="F168" s="15" t="n">
        <v>5.5</v>
      </c>
    </row>
    <row r="169">
      <c r="A169" s="47" t="n">
        <v>26543</v>
      </c>
      <c r="B169" s="45">
        <f>VLOOKUP(Table534567910[[#This Row],[Date]],Database!A:E,MATCH($A$1,Database!$A$1:$E$1,),)</f>
        <v/>
      </c>
      <c r="C169" s="8">
        <f>(B169-B168)/B168</f>
        <v/>
      </c>
      <c r="D169" s="7">
        <f>(Table534567910[[#This Row],[Value]]-B157)/B157</f>
        <v/>
      </c>
      <c r="E169" s="16" t="n">
        <v>0.02</v>
      </c>
      <c r="F169" s="15" t="n">
        <v>5.5</v>
      </c>
    </row>
    <row r="170">
      <c r="A170" s="47" t="n">
        <v>26573</v>
      </c>
      <c r="B170" s="45">
        <f>VLOOKUP(Table534567910[[#This Row],[Date]],Database!A:E,MATCH($A$1,Database!$A$1:$E$1,),)</f>
        <v/>
      </c>
      <c r="C170" s="8">
        <f>(B170-B169)/B169</f>
        <v/>
      </c>
      <c r="D170" s="7">
        <f>(Table534567910[[#This Row],[Value]]-B158)/B158</f>
        <v/>
      </c>
      <c r="E170" s="16" t="n">
        <v>0.02</v>
      </c>
      <c r="F170" s="15" t="n">
        <v>5.5</v>
      </c>
    </row>
    <row r="171">
      <c r="A171" s="47" t="n">
        <v>26604</v>
      </c>
      <c r="B171" s="45">
        <f>VLOOKUP(Table534567910[[#This Row],[Date]],Database!A:E,MATCH($A$1,Database!$A$1:$E$1,),)</f>
        <v/>
      </c>
      <c r="C171" s="8">
        <f>(B171-B170)/B170</f>
        <v/>
      </c>
      <c r="D171" s="7">
        <f>(Table534567910[[#This Row],[Value]]-B159)/B159</f>
        <v/>
      </c>
      <c r="E171" s="16" t="n">
        <v>0.02</v>
      </c>
      <c r="F171" s="15" t="n">
        <v>5.5</v>
      </c>
    </row>
    <row r="172">
      <c r="A172" s="47" t="n">
        <v>26634</v>
      </c>
      <c r="B172" s="45">
        <f>VLOOKUP(Table534567910[[#This Row],[Date]],Database!A:E,MATCH($A$1,Database!$A$1:$E$1,),)</f>
        <v/>
      </c>
      <c r="C172" s="8">
        <f>(B172-B171)/B171</f>
        <v/>
      </c>
      <c r="D172" s="7">
        <f>(Table534567910[[#This Row],[Value]]-B160)/B160</f>
        <v/>
      </c>
      <c r="E172" s="16" t="n">
        <v>0.02</v>
      </c>
      <c r="F172" s="15" t="n">
        <v>5.5</v>
      </c>
    </row>
    <row r="173">
      <c r="A173" s="47" t="n">
        <v>26665</v>
      </c>
      <c r="B173" s="45">
        <f>VLOOKUP(Table534567910[[#This Row],[Date]],Database!A:E,MATCH($A$1,Database!$A$1:$E$1,),)</f>
        <v/>
      </c>
      <c r="C173" s="8">
        <f>(B173-B172)/B172</f>
        <v/>
      </c>
      <c r="D173" s="7">
        <f>(Table534567910[[#This Row],[Value]]-B161)/B161</f>
        <v/>
      </c>
      <c r="E173" s="16" t="n">
        <v>0.02</v>
      </c>
      <c r="F173" s="15" t="n">
        <v>6</v>
      </c>
    </row>
    <row r="174">
      <c r="A174" s="47" t="n">
        <v>26696</v>
      </c>
      <c r="B174" s="45">
        <f>VLOOKUP(Table534567910[[#This Row],[Date]],Database!A:E,MATCH($A$1,Database!$A$1:$E$1,),)</f>
        <v/>
      </c>
      <c r="C174" s="8">
        <f>(B174-B173)/B173</f>
        <v/>
      </c>
      <c r="D174" s="7">
        <f>(Table534567910[[#This Row],[Value]]-B162)/B162</f>
        <v/>
      </c>
      <c r="E174" s="16" t="n">
        <v>0.02</v>
      </c>
      <c r="F174" s="15" t="n">
        <v>6.75</v>
      </c>
    </row>
    <row r="175">
      <c r="A175" s="47" t="n">
        <v>26724</v>
      </c>
      <c r="B175" s="45">
        <f>VLOOKUP(Table534567910[[#This Row],[Date]],Database!A:E,MATCH($A$1,Database!$A$1:$E$1,),)</f>
        <v/>
      </c>
      <c r="C175" s="8">
        <f>(B175-B174)/B174</f>
        <v/>
      </c>
      <c r="D175" s="7">
        <f>(Table534567910[[#This Row],[Value]]-B163)/B163</f>
        <v/>
      </c>
      <c r="E175" s="16" t="n">
        <v>0.02</v>
      </c>
      <c r="F175" s="15" t="n">
        <v>7.25</v>
      </c>
    </row>
    <row r="176">
      <c r="A176" s="47" t="n">
        <v>26755</v>
      </c>
      <c r="B176" s="45">
        <f>VLOOKUP(Table534567910[[#This Row],[Date]],Database!A:E,MATCH($A$1,Database!$A$1:$E$1,),)</f>
        <v/>
      </c>
      <c r="C176" s="8">
        <f>(B176-B175)/B175</f>
        <v/>
      </c>
      <c r="D176" s="7">
        <f>(Table534567910[[#This Row],[Value]]-B164)/B164</f>
        <v/>
      </c>
      <c r="E176" s="16" t="n">
        <v>0.02</v>
      </c>
      <c r="F176" s="15" t="n">
        <v>7.25</v>
      </c>
    </row>
    <row r="177">
      <c r="A177" s="47" t="n">
        <v>26785</v>
      </c>
      <c r="B177" s="45">
        <f>VLOOKUP(Table534567910[[#This Row],[Date]],Database!A:E,MATCH($A$1,Database!$A$1:$E$1,),)</f>
        <v/>
      </c>
      <c r="C177" s="8">
        <f>(B177-B176)/B176</f>
        <v/>
      </c>
      <c r="D177" s="7">
        <f>(Table534567910[[#This Row],[Value]]-B165)/B165</f>
        <v/>
      </c>
      <c r="E177" s="16" t="n">
        <v>0.02</v>
      </c>
      <c r="F177" s="15" t="n">
        <v>8.25</v>
      </c>
    </row>
    <row r="178">
      <c r="A178" s="47" t="n">
        <v>26816</v>
      </c>
      <c r="B178" s="45">
        <f>VLOOKUP(Table534567910[[#This Row],[Date]],Database!A:E,MATCH($A$1,Database!$A$1:$E$1,),)</f>
        <v/>
      </c>
      <c r="C178" s="8">
        <f>(B178-B177)/B177</f>
        <v/>
      </c>
      <c r="D178" s="7">
        <f>(Table534567910[[#This Row],[Value]]-B166)/B166</f>
        <v/>
      </c>
      <c r="E178" s="16" t="n">
        <v>0.02</v>
      </c>
      <c r="F178" s="15" t="n">
        <v>8.5</v>
      </c>
    </row>
    <row r="179">
      <c r="A179" s="47" t="n">
        <v>26846</v>
      </c>
      <c r="B179" s="45">
        <f>VLOOKUP(Table534567910[[#This Row],[Date]],Database!A:E,MATCH($A$1,Database!$A$1:$E$1,),)</f>
        <v/>
      </c>
      <c r="C179" s="8">
        <f>(B179-B178)/B178</f>
        <v/>
      </c>
      <c r="D179" s="7">
        <f>(Table534567910[[#This Row],[Value]]-B167)/B167</f>
        <v/>
      </c>
      <c r="E179" s="16" t="n">
        <v>0.02</v>
      </c>
      <c r="F179" s="15" t="n">
        <v>10.5</v>
      </c>
    </row>
    <row r="180">
      <c r="A180" s="47" t="n">
        <v>26877</v>
      </c>
      <c r="B180" s="45">
        <f>VLOOKUP(Table534567910[[#This Row],[Date]],Database!A:E,MATCH($A$1,Database!$A$1:$E$1,),)</f>
        <v/>
      </c>
      <c r="C180" s="8">
        <f>(B180-B179)/B179</f>
        <v/>
      </c>
      <c r="D180" s="7">
        <f>(Table534567910[[#This Row],[Value]]-B168)/B168</f>
        <v/>
      </c>
      <c r="E180" s="16" t="n">
        <v>0.02</v>
      </c>
      <c r="F180" s="15" t="n">
        <v>11</v>
      </c>
    </row>
    <row r="181">
      <c r="A181" s="47" t="n">
        <v>26908</v>
      </c>
      <c r="B181" s="45">
        <f>VLOOKUP(Table534567910[[#This Row],[Date]],Database!A:E,MATCH($A$1,Database!$A$1:$E$1,),)</f>
        <v/>
      </c>
      <c r="C181" s="8">
        <f>(B181-B180)/B180</f>
        <v/>
      </c>
      <c r="D181" s="7">
        <f>(Table534567910[[#This Row],[Value]]-B169)/B169</f>
        <v/>
      </c>
      <c r="E181" s="16" t="n">
        <v>0.02</v>
      </c>
      <c r="F181" s="15" t="n">
        <v>9</v>
      </c>
    </row>
    <row r="182">
      <c r="A182" s="47" t="n">
        <v>26938</v>
      </c>
      <c r="B182" s="45">
        <f>VLOOKUP(Table534567910[[#This Row],[Date]],Database!A:E,MATCH($A$1,Database!$A$1:$E$1,),)</f>
        <v/>
      </c>
      <c r="C182" s="8">
        <f>(B182-B181)/B181</f>
        <v/>
      </c>
      <c r="D182" s="7">
        <f>(Table534567910[[#This Row],[Value]]-B170)/B170</f>
        <v/>
      </c>
      <c r="E182" s="16" t="n">
        <v>0.02</v>
      </c>
      <c r="F182" s="15" t="n">
        <v>9</v>
      </c>
    </row>
    <row r="183">
      <c r="A183" s="47" t="n">
        <v>26969</v>
      </c>
      <c r="B183" s="45">
        <f>VLOOKUP(Table534567910[[#This Row],[Date]],Database!A:E,MATCH($A$1,Database!$A$1:$E$1,),)</f>
        <v/>
      </c>
      <c r="C183" s="8">
        <f>(B183-B182)/B182</f>
        <v/>
      </c>
      <c r="D183" s="7">
        <f>(Table534567910[[#This Row],[Value]]-B171)/B171</f>
        <v/>
      </c>
      <c r="E183" s="16" t="n">
        <v>0.02</v>
      </c>
      <c r="F183" s="15" t="n">
        <v>9</v>
      </c>
    </row>
    <row r="184">
      <c r="A184" s="47" t="n">
        <v>26999</v>
      </c>
      <c r="B184" s="45">
        <f>VLOOKUP(Table534567910[[#This Row],[Date]],Database!A:E,MATCH($A$1,Database!$A$1:$E$1,),)</f>
        <v/>
      </c>
      <c r="C184" s="8">
        <f>(B184-B183)/B183</f>
        <v/>
      </c>
      <c r="D184" s="7">
        <f>(Table534567910[[#This Row],[Value]]-B172)/B172</f>
        <v/>
      </c>
      <c r="E184" s="16" t="n">
        <v>0.02</v>
      </c>
      <c r="F184" s="15" t="n">
        <v>9</v>
      </c>
    </row>
    <row r="185">
      <c r="A185" s="47" t="n">
        <v>27030</v>
      </c>
      <c r="B185" s="45">
        <f>VLOOKUP(Table534567910[[#This Row],[Date]],Database!A:E,MATCH($A$1,Database!$A$1:$E$1,),)</f>
        <v/>
      </c>
      <c r="C185" s="8">
        <f>(B185-B184)/B184</f>
        <v/>
      </c>
      <c r="D185" s="7">
        <f>(Table534567910[[#This Row],[Value]]-B173)/B173</f>
        <v/>
      </c>
      <c r="E185" s="16" t="n">
        <v>0.02</v>
      </c>
      <c r="F185" s="15" t="n">
        <v>9</v>
      </c>
    </row>
    <row r="186">
      <c r="A186" s="47" t="n">
        <v>27061</v>
      </c>
      <c r="B186" s="45">
        <f>VLOOKUP(Table534567910[[#This Row],[Date]],Database!A:E,MATCH($A$1,Database!$A$1:$E$1,),)</f>
        <v/>
      </c>
      <c r="C186" s="8">
        <f>(B186-B185)/B185</f>
        <v/>
      </c>
      <c r="D186" s="7">
        <f>(Table534567910[[#This Row],[Value]]-B174)/B174</f>
        <v/>
      </c>
      <c r="E186" s="16" t="n">
        <v>0.02</v>
      </c>
      <c r="F186" s="15" t="n">
        <v>9</v>
      </c>
    </row>
    <row r="187">
      <c r="A187" s="47" t="n">
        <v>27089</v>
      </c>
      <c r="B187" s="45">
        <f>VLOOKUP(Table534567910[[#This Row],[Date]],Database!A:E,MATCH($A$1,Database!$A$1:$E$1,),)</f>
        <v/>
      </c>
      <c r="C187" s="8">
        <f>(B187-B186)/B186</f>
        <v/>
      </c>
      <c r="D187" s="7">
        <f>(Table534567910[[#This Row],[Value]]-B175)/B175</f>
        <v/>
      </c>
      <c r="E187" s="16" t="n">
        <v>0.02</v>
      </c>
      <c r="F187" s="15" t="n">
        <v>10</v>
      </c>
    </row>
    <row r="188">
      <c r="A188" s="47" t="n">
        <v>27120</v>
      </c>
      <c r="B188" s="45">
        <f>VLOOKUP(Table534567910[[#This Row],[Date]],Database!A:E,MATCH($A$1,Database!$A$1:$E$1,),)</f>
        <v/>
      </c>
      <c r="C188" s="8">
        <f>(B188-B187)/B187</f>
        <v/>
      </c>
      <c r="D188" s="7">
        <f>(Table534567910[[#This Row],[Value]]-B176)/B176</f>
        <v/>
      </c>
      <c r="E188" s="16" t="n">
        <v>0.02</v>
      </c>
      <c r="F188" s="15" t="n">
        <v>10.75</v>
      </c>
    </row>
    <row r="189">
      <c r="A189" s="47" t="n">
        <v>27150</v>
      </c>
      <c r="B189" s="45">
        <f>VLOOKUP(Table534567910[[#This Row],[Date]],Database!A:E,MATCH($A$1,Database!$A$1:$E$1,),)</f>
        <v/>
      </c>
      <c r="C189" s="8">
        <f>(B189-B188)/B188</f>
        <v/>
      </c>
      <c r="D189" s="7">
        <f>(Table534567910[[#This Row],[Value]]-B177)/B177</f>
        <v/>
      </c>
      <c r="E189" s="16" t="n">
        <v>0.02</v>
      </c>
      <c r="F189" s="15" t="n">
        <v>13</v>
      </c>
    </row>
    <row r="190">
      <c r="A190" s="47" t="n">
        <v>27181</v>
      </c>
      <c r="B190" s="45">
        <f>VLOOKUP(Table534567910[[#This Row],[Date]],Database!A:E,MATCH($A$1,Database!$A$1:$E$1,),)</f>
        <v/>
      </c>
      <c r="C190" s="8">
        <f>(B190-B189)/B189</f>
        <v/>
      </c>
      <c r="D190" s="7">
        <f>(Table534567910[[#This Row],[Value]]-B178)/B178</f>
        <v/>
      </c>
      <c r="E190" s="16" t="n">
        <v>0.02</v>
      </c>
      <c r="F190" s="15" t="n">
        <v>13</v>
      </c>
    </row>
    <row r="191">
      <c r="A191" s="47" t="n">
        <v>27211</v>
      </c>
      <c r="B191" s="45">
        <f>VLOOKUP(Table534567910[[#This Row],[Date]],Database!A:E,MATCH($A$1,Database!$A$1:$E$1,),)</f>
        <v/>
      </c>
      <c r="C191" s="8">
        <f>(B191-B190)/B190</f>
        <v/>
      </c>
      <c r="D191" s="7">
        <f>(Table534567910[[#This Row],[Value]]-B179)/B179</f>
        <v/>
      </c>
      <c r="E191" s="16" t="n">
        <v>0.02</v>
      </c>
      <c r="F191" s="15" t="n">
        <v>9.25</v>
      </c>
    </row>
    <row r="192">
      <c r="A192" s="47" t="n">
        <v>27242</v>
      </c>
      <c r="B192" s="45">
        <f>VLOOKUP(Table534567910[[#This Row],[Date]],Database!A:E,MATCH($A$1,Database!$A$1:$E$1,),)</f>
        <v/>
      </c>
      <c r="C192" s="8">
        <f>(B192-B191)/B191</f>
        <v/>
      </c>
      <c r="D192" s="7">
        <f>(Table534567910[[#This Row],[Value]]-B180)/B180</f>
        <v/>
      </c>
      <c r="E192" s="16" t="n">
        <v>0.02</v>
      </c>
      <c r="F192" s="15" t="n">
        <v>9.25</v>
      </c>
    </row>
    <row r="193">
      <c r="A193" s="47" t="n">
        <v>27273</v>
      </c>
      <c r="B193" s="45">
        <f>VLOOKUP(Table534567910[[#This Row],[Date]],Database!A:E,MATCH($A$1,Database!$A$1:$E$1,),)</f>
        <v/>
      </c>
      <c r="C193" s="8">
        <f>(B193-B192)/B192</f>
        <v/>
      </c>
      <c r="D193" s="7">
        <f>(Table534567910[[#This Row],[Value]]-B181)/B181</f>
        <v/>
      </c>
      <c r="E193" s="16" t="n">
        <v>0.02</v>
      </c>
      <c r="F193" s="15" t="n">
        <v>9.25</v>
      </c>
    </row>
    <row r="194">
      <c r="A194" s="47" t="n">
        <v>27303</v>
      </c>
      <c r="B194" s="45">
        <f>VLOOKUP(Table534567910[[#This Row],[Date]],Database!A:E,MATCH($A$1,Database!$A$1:$E$1,),)</f>
        <v/>
      </c>
      <c r="C194" s="8">
        <f>(B194-B193)/B193</f>
        <v/>
      </c>
      <c r="D194" s="7">
        <f>(Table534567910[[#This Row],[Value]]-B182)/B182</f>
        <v/>
      </c>
      <c r="E194" s="16" t="n">
        <v>0.02</v>
      </c>
      <c r="F194" s="15" t="n">
        <v>9.25</v>
      </c>
    </row>
    <row r="195">
      <c r="A195" s="47" t="n">
        <v>27334</v>
      </c>
      <c r="B195" s="45">
        <f>VLOOKUP(Table534567910[[#This Row],[Date]],Database!A:E,MATCH($A$1,Database!$A$1:$E$1,),)</f>
        <v/>
      </c>
      <c r="C195" s="8">
        <f>(B195-B194)/B194</f>
        <v/>
      </c>
      <c r="D195" s="7">
        <f>(Table534567910[[#This Row],[Value]]-B183)/B183</f>
        <v/>
      </c>
      <c r="E195" s="16" t="n">
        <v>0.02</v>
      </c>
      <c r="F195" s="15" t="n">
        <v>9.25</v>
      </c>
    </row>
    <row r="196">
      <c r="A196" s="47" t="n">
        <v>27364</v>
      </c>
      <c r="B196" s="45">
        <f>VLOOKUP(Table534567910[[#This Row],[Date]],Database!A:E,MATCH($A$1,Database!$A$1:$E$1,),)</f>
        <v/>
      </c>
      <c r="C196" s="8">
        <f>(B196-B195)/B195</f>
        <v/>
      </c>
      <c r="D196" s="7">
        <f>(Table534567910[[#This Row],[Value]]-B184)/B184</f>
        <v/>
      </c>
      <c r="E196" s="16" t="n">
        <v>0.02</v>
      </c>
      <c r="F196" s="15" t="n">
        <v>8</v>
      </c>
    </row>
    <row r="197">
      <c r="A197" s="47" t="n">
        <v>27395</v>
      </c>
      <c r="B197" s="45">
        <f>VLOOKUP(Table534567910[[#This Row],[Date]],Database!A:E,MATCH($A$1,Database!$A$1:$E$1,),)</f>
        <v/>
      </c>
      <c r="C197" s="8">
        <f>(B197-B196)/B196</f>
        <v/>
      </c>
      <c r="D197" s="7">
        <f>(Table534567910[[#This Row],[Value]]-B185)/B185</f>
        <v/>
      </c>
      <c r="E197" s="16" t="n">
        <v>0.02</v>
      </c>
      <c r="F197" s="15" t="n">
        <v>7</v>
      </c>
    </row>
    <row r="198">
      <c r="A198" s="47" t="n">
        <v>27426</v>
      </c>
      <c r="B198" s="45">
        <f>VLOOKUP(Table534567910[[#This Row],[Date]],Database!A:E,MATCH($A$1,Database!$A$1:$E$1,),)</f>
        <v/>
      </c>
      <c r="C198" s="8">
        <f>(B198-B197)/B197</f>
        <v/>
      </c>
      <c r="D198" s="7">
        <f>(Table534567910[[#This Row],[Value]]-B186)/B186</f>
        <v/>
      </c>
      <c r="E198" s="16" t="n">
        <v>0.02</v>
      </c>
      <c r="F198" s="15" t="n">
        <v>6</v>
      </c>
    </row>
    <row r="199">
      <c r="A199" s="47" t="n">
        <v>27454</v>
      </c>
      <c r="B199" s="45">
        <f>VLOOKUP(Table534567910[[#This Row],[Date]],Database!A:E,MATCH($A$1,Database!$A$1:$E$1,),)</f>
        <v/>
      </c>
      <c r="C199" s="8">
        <f>(B199-B198)/B198</f>
        <v/>
      </c>
      <c r="D199" s="7">
        <f>(Table534567910[[#This Row],[Value]]-B187)/B187</f>
        <v/>
      </c>
      <c r="E199" s="16" t="n">
        <v>0.02</v>
      </c>
      <c r="F199" s="15" t="n">
        <v>5.5</v>
      </c>
    </row>
    <row r="200">
      <c r="A200" s="47" t="n">
        <v>27485</v>
      </c>
      <c r="B200" s="45">
        <f>VLOOKUP(Table534567910[[#This Row],[Date]],Database!A:E,MATCH($A$1,Database!$A$1:$E$1,),)</f>
        <v/>
      </c>
      <c r="C200" s="8">
        <f>(B200-B199)/B199</f>
        <v/>
      </c>
      <c r="D200" s="7">
        <f>(Table534567910[[#This Row],[Value]]-B188)/B188</f>
        <v/>
      </c>
      <c r="E200" s="16" t="n">
        <v>0.02</v>
      </c>
      <c r="F200" s="15" t="n">
        <v>5.25</v>
      </c>
    </row>
    <row r="201">
      <c r="A201" s="47" t="n">
        <v>27515</v>
      </c>
      <c r="B201" s="45">
        <f>VLOOKUP(Table534567910[[#This Row],[Date]],Database!A:E,MATCH($A$1,Database!$A$1:$E$1,),)</f>
        <v/>
      </c>
      <c r="C201" s="8">
        <f>(B201-B200)/B200</f>
        <v/>
      </c>
      <c r="D201" s="7">
        <f>(Table534567910[[#This Row],[Value]]-B189)/B189</f>
        <v/>
      </c>
      <c r="E201" s="16" t="n">
        <v>0.02</v>
      </c>
      <c r="F201" s="15" t="n">
        <v>5.25</v>
      </c>
    </row>
    <row r="202">
      <c r="A202" s="47" t="n">
        <v>27546</v>
      </c>
      <c r="B202" s="45">
        <f>VLOOKUP(Table534567910[[#This Row],[Date]],Database!A:E,MATCH($A$1,Database!$A$1:$E$1,),)</f>
        <v/>
      </c>
      <c r="C202" s="8">
        <f>(B202-B201)/B201</f>
        <v/>
      </c>
      <c r="D202" s="7">
        <f>(Table534567910[[#This Row],[Value]]-B190)/B190</f>
        <v/>
      </c>
      <c r="E202" s="16" t="n">
        <v>0.02</v>
      </c>
      <c r="F202" s="15" t="n">
        <v>6.5</v>
      </c>
    </row>
    <row r="203">
      <c r="A203" s="47" t="n">
        <v>27576</v>
      </c>
      <c r="B203" s="45">
        <f>VLOOKUP(Table534567910[[#This Row],[Date]],Database!A:E,MATCH($A$1,Database!$A$1:$E$1,),)</f>
        <v/>
      </c>
      <c r="C203" s="8">
        <f>(B203-B202)/B202</f>
        <v/>
      </c>
      <c r="D203" s="7">
        <f>(Table534567910[[#This Row],[Value]]-B191)/B191</f>
        <v/>
      </c>
      <c r="E203" s="16" t="n">
        <v>0.02</v>
      </c>
      <c r="F203" s="15" t="n">
        <v>6.5</v>
      </c>
    </row>
    <row r="204">
      <c r="A204" s="47" t="n">
        <v>27607</v>
      </c>
      <c r="B204" s="45">
        <f>VLOOKUP(Table534567910[[#This Row],[Date]],Database!A:E,MATCH($A$1,Database!$A$1:$E$1,),)</f>
        <v/>
      </c>
      <c r="C204" s="8">
        <f>(B204-B203)/B203</f>
        <v/>
      </c>
      <c r="D204" s="7">
        <f>(Table534567910[[#This Row],[Value]]-B192)/B192</f>
        <v/>
      </c>
      <c r="E204" s="16" t="n">
        <v>0.02</v>
      </c>
      <c r="F204" s="15" t="n">
        <v>6.5</v>
      </c>
    </row>
    <row r="205">
      <c r="A205" s="47" t="n">
        <v>27638</v>
      </c>
      <c r="B205" s="45">
        <f>VLOOKUP(Table534567910[[#This Row],[Date]],Database!A:E,MATCH($A$1,Database!$A$1:$E$1,),)</f>
        <v/>
      </c>
      <c r="C205" s="8">
        <f>(B205-B204)/B204</f>
        <v/>
      </c>
      <c r="D205" s="7">
        <f>(Table534567910[[#This Row],[Value]]-B193)/B193</f>
        <v/>
      </c>
      <c r="E205" s="16" t="n">
        <v>0.02</v>
      </c>
      <c r="F205" s="15" t="n">
        <v>6.5</v>
      </c>
    </row>
    <row r="206">
      <c r="A206" s="47" t="n">
        <v>27668</v>
      </c>
      <c r="B206" s="45">
        <f>VLOOKUP(Table534567910[[#This Row],[Date]],Database!A:E,MATCH($A$1,Database!$A$1:$E$1,),)</f>
        <v/>
      </c>
      <c r="C206" s="8">
        <f>(B206-B205)/B205</f>
        <v/>
      </c>
      <c r="D206" s="7">
        <f>(Table534567910[[#This Row],[Value]]-B194)/B194</f>
        <v/>
      </c>
      <c r="E206" s="16" t="n">
        <v>0.02</v>
      </c>
      <c r="F206" s="15" t="n">
        <v>4.88</v>
      </c>
    </row>
    <row r="207">
      <c r="A207" s="47" t="n">
        <v>27699</v>
      </c>
      <c r="B207" s="45">
        <f>VLOOKUP(Table534567910[[#This Row],[Date]],Database!A:E,MATCH($A$1,Database!$A$1:$E$1,),)</f>
        <v/>
      </c>
      <c r="C207" s="8">
        <f>(B207-B206)/B206</f>
        <v/>
      </c>
      <c r="D207" s="7">
        <f>(Table534567910[[#This Row],[Value]]-B195)/B195</f>
        <v/>
      </c>
      <c r="E207" s="16" t="n">
        <v>0.02</v>
      </c>
      <c r="F207" s="15" t="n">
        <v>4.88</v>
      </c>
    </row>
    <row r="208">
      <c r="A208" s="47" t="n">
        <v>27729</v>
      </c>
      <c r="B208" s="45">
        <f>VLOOKUP(Table534567910[[#This Row],[Date]],Database!A:E,MATCH($A$1,Database!$A$1:$E$1,),)</f>
        <v/>
      </c>
      <c r="C208" s="8">
        <f>(B208-B207)/B207</f>
        <v/>
      </c>
      <c r="D208" s="7">
        <f>(Table534567910[[#This Row],[Value]]-B196)/B196</f>
        <v/>
      </c>
      <c r="E208" s="16" t="n">
        <v>0.02</v>
      </c>
      <c r="F208" s="15" t="n">
        <v>4.88</v>
      </c>
    </row>
    <row r="209">
      <c r="A209" s="47" t="n">
        <v>27760</v>
      </c>
      <c r="B209" s="45">
        <f>VLOOKUP(Table534567910[[#This Row],[Date]],Database!A:E,MATCH($A$1,Database!$A$1:$E$1,),)</f>
        <v/>
      </c>
      <c r="C209" s="8">
        <f>(B209-B208)/B208</f>
        <v/>
      </c>
      <c r="D209" s="7">
        <f>(Table534567910[[#This Row],[Value]]-B197)/B197</f>
        <v/>
      </c>
      <c r="E209" s="16" t="n">
        <v>0.02</v>
      </c>
      <c r="F209" s="15" t="n">
        <v>4.75</v>
      </c>
    </row>
    <row r="210">
      <c r="A210" s="47" t="n">
        <v>27791</v>
      </c>
      <c r="B210" s="45">
        <f>VLOOKUP(Table534567910[[#This Row],[Date]],Database!A:E,MATCH($A$1,Database!$A$1:$E$1,),)</f>
        <v/>
      </c>
      <c r="C210" s="8">
        <f>(B210-B209)/B209</f>
        <v/>
      </c>
      <c r="D210" s="7">
        <f>(Table534567910[[#This Row],[Value]]-B198)/B198</f>
        <v/>
      </c>
      <c r="E210" s="16" t="n">
        <v>0.02</v>
      </c>
      <c r="F210" s="15" t="n">
        <v>4.75</v>
      </c>
    </row>
    <row r="211">
      <c r="A211" s="47" t="n">
        <v>27820</v>
      </c>
      <c r="B211" s="45">
        <f>VLOOKUP(Table534567910[[#This Row],[Date]],Database!A:E,MATCH($A$1,Database!$A$1:$E$1,),)</f>
        <v/>
      </c>
      <c r="C211" s="8">
        <f>(B211-B210)/B210</f>
        <v/>
      </c>
      <c r="D211" s="7">
        <f>(Table534567910[[#This Row],[Value]]-B199)/B199</f>
        <v/>
      </c>
      <c r="E211" s="16" t="n">
        <v>0.02</v>
      </c>
      <c r="F211" s="15" t="n">
        <v>4.75</v>
      </c>
    </row>
    <row r="212">
      <c r="A212" s="47" t="n">
        <v>27851</v>
      </c>
      <c r="B212" s="45">
        <f>VLOOKUP(Table534567910[[#This Row],[Date]],Database!A:E,MATCH($A$1,Database!$A$1:$E$1,),)</f>
        <v/>
      </c>
      <c r="C212" s="8">
        <f>(B212-B211)/B211</f>
        <v/>
      </c>
      <c r="D212" s="7">
        <f>(Table534567910[[#This Row],[Value]]-B200)/B200</f>
        <v/>
      </c>
      <c r="E212" s="16" t="n">
        <v>0.02</v>
      </c>
      <c r="F212" s="15" t="n">
        <v>4.88</v>
      </c>
    </row>
    <row r="213">
      <c r="A213" s="47" t="n">
        <v>27881</v>
      </c>
      <c r="B213" s="45">
        <f>VLOOKUP(Table534567910[[#This Row],[Date]],Database!A:E,MATCH($A$1,Database!$A$1:$E$1,),)</f>
        <v/>
      </c>
      <c r="C213" s="8">
        <f>(B213-B212)/B212</f>
        <v/>
      </c>
      <c r="D213" s="7">
        <f>(Table534567910[[#This Row],[Value]]-B201)/B201</f>
        <v/>
      </c>
      <c r="E213" s="16" t="n">
        <v>0.02</v>
      </c>
      <c r="F213" s="15" t="n">
        <v>5.5</v>
      </c>
    </row>
    <row r="214">
      <c r="A214" s="47" t="n">
        <v>27912</v>
      </c>
      <c r="B214" s="45">
        <f>VLOOKUP(Table534567910[[#This Row],[Date]],Database!A:E,MATCH($A$1,Database!$A$1:$E$1,),)</f>
        <v/>
      </c>
      <c r="C214" s="8">
        <f>(B214-B213)/B213</f>
        <v/>
      </c>
      <c r="D214" s="7">
        <f>(Table534567910[[#This Row],[Value]]-B202)/B202</f>
        <v/>
      </c>
      <c r="E214" s="16" t="n">
        <v>0.02</v>
      </c>
      <c r="F214" s="15" t="n">
        <v>5.5</v>
      </c>
    </row>
    <row r="215">
      <c r="A215" s="47" t="n">
        <v>27942</v>
      </c>
      <c r="B215" s="45">
        <f>VLOOKUP(Table534567910[[#This Row],[Date]],Database!A:E,MATCH($A$1,Database!$A$1:$E$1,),)</f>
        <v/>
      </c>
      <c r="C215" s="8">
        <f>(B215-B214)/B214</f>
        <v/>
      </c>
      <c r="D215" s="7">
        <f>(Table534567910[[#This Row],[Value]]-B203)/B203</f>
        <v/>
      </c>
      <c r="E215" s="16" t="n">
        <v>0.02</v>
      </c>
      <c r="F215" s="15" t="n">
        <v>5.13</v>
      </c>
    </row>
    <row r="216">
      <c r="A216" s="47" t="n">
        <v>27973</v>
      </c>
      <c r="B216" s="45">
        <f>VLOOKUP(Table534567910[[#This Row],[Date]],Database!A:E,MATCH($A$1,Database!$A$1:$E$1,),)</f>
        <v/>
      </c>
      <c r="C216" s="8">
        <f>(B216-B215)/B215</f>
        <v/>
      </c>
      <c r="D216" s="7">
        <f>(Table534567910[[#This Row],[Value]]-B204)/B204</f>
        <v/>
      </c>
      <c r="E216" s="16" t="n">
        <v>0.02</v>
      </c>
      <c r="F216" s="15" t="n">
        <v>5.13</v>
      </c>
    </row>
    <row r="217">
      <c r="A217" s="47" t="n">
        <v>28004</v>
      </c>
      <c r="B217" s="45">
        <f>VLOOKUP(Table534567910[[#This Row],[Date]],Database!A:E,MATCH($A$1,Database!$A$1:$E$1,),)</f>
        <v/>
      </c>
      <c r="C217" s="8">
        <f>(B217-B216)/B216</f>
        <v/>
      </c>
      <c r="D217" s="7">
        <f>(Table534567910[[#This Row],[Value]]-B205)/B205</f>
        <v/>
      </c>
      <c r="E217" s="16" t="n">
        <v>0.02</v>
      </c>
      <c r="F217" s="15" t="n">
        <v>5.13</v>
      </c>
    </row>
    <row r="218">
      <c r="A218" s="47" t="n">
        <v>28034</v>
      </c>
      <c r="B218" s="45">
        <f>VLOOKUP(Table534567910[[#This Row],[Date]],Database!A:E,MATCH($A$1,Database!$A$1:$E$1,),)</f>
        <v/>
      </c>
      <c r="C218" s="8">
        <f>(B218-B217)/B217</f>
        <v/>
      </c>
      <c r="D218" s="7">
        <f>(Table534567910[[#This Row],[Value]]-B206)/B206</f>
        <v/>
      </c>
      <c r="E218" s="16" t="n">
        <v>0.02</v>
      </c>
      <c r="F218" s="15" t="n">
        <v>5</v>
      </c>
    </row>
    <row r="219">
      <c r="A219" s="47" t="n">
        <v>28065</v>
      </c>
      <c r="B219" s="45">
        <f>VLOOKUP(Table534567910[[#This Row],[Date]],Database!A:E,MATCH($A$1,Database!$A$1:$E$1,),)</f>
        <v/>
      </c>
      <c r="C219" s="8">
        <f>(B219-B218)/B218</f>
        <v/>
      </c>
      <c r="D219" s="7">
        <f>(Table534567910[[#This Row],[Value]]-B207)/B207</f>
        <v/>
      </c>
      <c r="E219" s="16" t="n">
        <v>0.02</v>
      </c>
      <c r="F219" s="15" t="n">
        <v>4.75</v>
      </c>
    </row>
    <row r="220">
      <c r="A220" s="47" t="n">
        <v>28095</v>
      </c>
      <c r="B220" s="45">
        <f>VLOOKUP(Table534567910[[#This Row],[Date]],Database!A:E,MATCH($A$1,Database!$A$1:$E$1,),)</f>
        <v/>
      </c>
      <c r="C220" s="8">
        <f>(B220-B219)/B219</f>
        <v/>
      </c>
      <c r="D220" s="7">
        <f>(Table534567910[[#This Row],[Value]]-B208)/B208</f>
        <v/>
      </c>
      <c r="E220" s="16" t="n">
        <v>0.02</v>
      </c>
      <c r="F220" s="15" t="n">
        <v>5.88</v>
      </c>
    </row>
    <row r="221">
      <c r="A221" s="47" t="n">
        <v>28126</v>
      </c>
      <c r="B221" s="45">
        <f>VLOOKUP(Table534567910[[#This Row],[Date]],Database!A:E,MATCH($A$1,Database!$A$1:$E$1,),)</f>
        <v/>
      </c>
      <c r="C221" s="8">
        <f>(B221-B220)/B220</f>
        <v/>
      </c>
      <c r="D221" s="7">
        <f>(Table534567910[[#This Row],[Value]]-B209)/B209</f>
        <v/>
      </c>
      <c r="E221" s="16" t="n">
        <v>0.02</v>
      </c>
      <c r="F221" s="15" t="n">
        <v>5.88</v>
      </c>
    </row>
    <row r="222">
      <c r="A222" s="47" t="n">
        <v>28157</v>
      </c>
      <c r="B222" s="45">
        <f>VLOOKUP(Table534567910[[#This Row],[Date]],Database!A:E,MATCH($A$1,Database!$A$1:$E$1,),)</f>
        <v/>
      </c>
      <c r="C222" s="8">
        <f>(B222-B221)/B221</f>
        <v/>
      </c>
      <c r="D222" s="7">
        <f>(Table534567910[[#This Row],[Value]]-B210)/B210</f>
        <v/>
      </c>
      <c r="E222" s="16" t="n">
        <v>0.02</v>
      </c>
      <c r="F222" s="15" t="n">
        <v>5.88</v>
      </c>
    </row>
    <row r="223">
      <c r="A223" s="47" t="n">
        <v>28185</v>
      </c>
      <c r="B223" s="45">
        <f>VLOOKUP(Table534567910[[#This Row],[Date]],Database!A:E,MATCH($A$1,Database!$A$1:$E$1,),)</f>
        <v/>
      </c>
      <c r="C223" s="8">
        <f>(B223-B222)/B222</f>
        <v/>
      </c>
      <c r="D223" s="7">
        <f>(Table534567910[[#This Row],[Value]]-B211)/B211</f>
        <v/>
      </c>
      <c r="E223" s="16" t="n">
        <v>0.02</v>
      </c>
      <c r="F223" s="15" t="n">
        <v>5.88</v>
      </c>
    </row>
    <row r="224">
      <c r="A224" s="47" t="n">
        <v>28216</v>
      </c>
      <c r="B224" s="45">
        <f>VLOOKUP(Table534567910[[#This Row],[Date]],Database!A:E,MATCH($A$1,Database!$A$1:$E$1,),)</f>
        <v/>
      </c>
      <c r="C224" s="8">
        <f>(B224-B223)/B223</f>
        <v/>
      </c>
      <c r="D224" s="7">
        <f>(Table534567910[[#This Row],[Value]]-B212)/B212</f>
        <v/>
      </c>
      <c r="E224" s="16" t="n">
        <v>0.02</v>
      </c>
      <c r="F224" s="15" t="n">
        <v>5.88</v>
      </c>
    </row>
    <row r="225">
      <c r="A225" s="47" t="n">
        <v>28246</v>
      </c>
      <c r="B225" s="45">
        <f>VLOOKUP(Table534567910[[#This Row],[Date]],Database!A:E,MATCH($A$1,Database!$A$1:$E$1,),)</f>
        <v/>
      </c>
      <c r="C225" s="8">
        <f>(B225-B224)/B224</f>
        <v/>
      </c>
      <c r="D225" s="7">
        <f>(Table534567910[[#This Row],[Value]]-B213)/B213</f>
        <v/>
      </c>
      <c r="E225" s="16" t="n">
        <v>0.02</v>
      </c>
      <c r="F225" s="15" t="n">
        <v>5.88</v>
      </c>
    </row>
    <row r="226">
      <c r="A226" s="47" t="n">
        <v>28277</v>
      </c>
      <c r="B226" s="45">
        <f>VLOOKUP(Table534567910[[#This Row],[Date]],Database!A:E,MATCH($A$1,Database!$A$1:$E$1,),)</f>
        <v/>
      </c>
      <c r="C226" s="8">
        <f>(B226-B225)/B225</f>
        <v/>
      </c>
      <c r="D226" s="7">
        <f>(Table534567910[[#This Row],[Value]]-B214)/B214</f>
        <v/>
      </c>
      <c r="E226" s="16" t="n">
        <v>0.02</v>
      </c>
      <c r="F226" s="15" t="n">
        <v>5.88</v>
      </c>
    </row>
    <row r="227">
      <c r="A227" s="47" t="n">
        <v>28307</v>
      </c>
      <c r="B227" s="45">
        <f>VLOOKUP(Table534567910[[#This Row],[Date]],Database!A:E,MATCH($A$1,Database!$A$1:$E$1,),)</f>
        <v/>
      </c>
      <c r="C227" s="8">
        <f>(B227-B226)/B226</f>
        <v/>
      </c>
      <c r="D227" s="7">
        <f>(Table534567910[[#This Row],[Value]]-B215)/B215</f>
        <v/>
      </c>
      <c r="E227" s="16" t="n">
        <v>0.02</v>
      </c>
      <c r="F227" s="15" t="n">
        <v>5.88</v>
      </c>
    </row>
    <row r="228">
      <c r="A228" s="47" t="n">
        <v>28338</v>
      </c>
      <c r="B228" s="45">
        <f>VLOOKUP(Table534567910[[#This Row],[Date]],Database!A:E,MATCH($A$1,Database!$A$1:$E$1,),)</f>
        <v/>
      </c>
      <c r="C228" s="8">
        <f>(B228-B227)/B227</f>
        <v/>
      </c>
      <c r="D228" s="7">
        <f>(Table534567910[[#This Row],[Value]]-B216)/B216</f>
        <v/>
      </c>
      <c r="E228" s="16" t="n">
        <v>0.02</v>
      </c>
      <c r="F228" s="15" t="n">
        <v>6</v>
      </c>
    </row>
    <row r="229">
      <c r="A229" s="47" t="n">
        <v>28369</v>
      </c>
      <c r="B229" s="45">
        <f>VLOOKUP(Table534567910[[#This Row],[Date]],Database!A:E,MATCH($A$1,Database!$A$1:$E$1,),)</f>
        <v/>
      </c>
      <c r="C229" s="8">
        <f>(B229-B228)/B228</f>
        <v/>
      </c>
      <c r="D229" s="7">
        <f>(Table534567910[[#This Row],[Value]]-B217)/B217</f>
        <v/>
      </c>
      <c r="E229" s="16" t="n">
        <v>0.02</v>
      </c>
      <c r="F229" s="15" t="n">
        <v>6.25</v>
      </c>
    </row>
    <row r="230">
      <c r="A230" s="47" t="n">
        <v>28399</v>
      </c>
      <c r="B230" s="45">
        <f>VLOOKUP(Table534567910[[#This Row],[Date]],Database!A:E,MATCH($A$1,Database!$A$1:$E$1,),)</f>
        <v/>
      </c>
      <c r="C230" s="8">
        <f>(B230-B229)/B229</f>
        <v/>
      </c>
      <c r="D230" s="7">
        <f>(Table534567910[[#This Row],[Value]]-B218)/B218</f>
        <v/>
      </c>
      <c r="E230" s="16" t="n">
        <v>0.02</v>
      </c>
      <c r="F230" s="15" t="n">
        <v>6.5</v>
      </c>
    </row>
    <row r="231">
      <c r="A231" s="47" t="n">
        <v>28430</v>
      </c>
      <c r="B231" s="45">
        <f>VLOOKUP(Table534567910[[#This Row],[Date]],Database!A:E,MATCH($A$1,Database!$A$1:$E$1,),)</f>
        <v/>
      </c>
      <c r="C231" s="8">
        <f>(B231-B230)/B230</f>
        <v/>
      </c>
      <c r="D231" s="7">
        <f>(Table534567910[[#This Row],[Value]]-B219)/B219</f>
        <v/>
      </c>
      <c r="E231" s="16" t="n">
        <v>0.02</v>
      </c>
      <c r="F231" s="15" t="n">
        <v>6.5</v>
      </c>
    </row>
    <row r="232">
      <c r="A232" s="47" t="n">
        <v>28460</v>
      </c>
      <c r="B232" s="45">
        <f>VLOOKUP(Table534567910[[#This Row],[Date]],Database!A:E,MATCH($A$1,Database!$A$1:$E$1,),)</f>
        <v/>
      </c>
      <c r="C232" s="8">
        <f>(B232-B231)/B231</f>
        <v/>
      </c>
      <c r="D232" s="7">
        <f>(Table534567910[[#This Row],[Value]]-B220)/B220</f>
        <v/>
      </c>
      <c r="E232" s="16" t="n">
        <v>0.02</v>
      </c>
      <c r="F232" s="15" t="n">
        <v>6.5</v>
      </c>
    </row>
    <row r="233">
      <c r="A233" s="47" t="n">
        <v>28491</v>
      </c>
      <c r="B233" s="45">
        <f>VLOOKUP(Table534567910[[#This Row],[Date]],Database!A:E,MATCH($A$1,Database!$A$1:$E$1,),)</f>
        <v/>
      </c>
      <c r="C233" s="8">
        <f>(B233-B232)/B232</f>
        <v/>
      </c>
      <c r="D233" s="7">
        <f>(Table534567910[[#This Row],[Value]]-B221)/B221</f>
        <v/>
      </c>
      <c r="E233" s="16" t="n">
        <v>0.02</v>
      </c>
      <c r="F233" s="15" t="n">
        <v>6.75</v>
      </c>
    </row>
    <row r="234">
      <c r="A234" s="47" t="n">
        <v>28522</v>
      </c>
      <c r="B234" s="45">
        <f>VLOOKUP(Table534567910[[#This Row],[Date]],Database!A:E,MATCH($A$1,Database!$A$1:$E$1,),)</f>
        <v/>
      </c>
      <c r="C234" s="8">
        <f>(B234-B233)/B233</f>
        <v/>
      </c>
      <c r="D234" s="7">
        <f>(Table534567910[[#This Row],[Value]]-B222)/B222</f>
        <v/>
      </c>
      <c r="E234" s="16" t="n">
        <v>0.02</v>
      </c>
      <c r="F234" s="15" t="n">
        <v>6.75</v>
      </c>
    </row>
    <row r="235">
      <c r="A235" s="47" t="n">
        <v>28550</v>
      </c>
      <c r="B235" s="45">
        <f>VLOOKUP(Table534567910[[#This Row],[Date]],Database!A:E,MATCH($A$1,Database!$A$1:$E$1,),)</f>
        <v/>
      </c>
      <c r="C235" s="8">
        <f>(B235-B234)/B234</f>
        <v/>
      </c>
      <c r="D235" s="7">
        <f>(Table534567910[[#This Row],[Value]]-B223)/B223</f>
        <v/>
      </c>
      <c r="E235" s="16" t="n">
        <v>0.02</v>
      </c>
      <c r="F235" s="15" t="n">
        <v>6.75</v>
      </c>
    </row>
    <row r="236">
      <c r="A236" s="47" t="n">
        <v>28581</v>
      </c>
      <c r="B236" s="45">
        <f>VLOOKUP(Table534567910[[#This Row],[Date]],Database!A:E,MATCH($A$1,Database!$A$1:$E$1,),)</f>
        <v/>
      </c>
      <c r="C236" s="8">
        <f>(B236-B235)/B235</f>
        <v/>
      </c>
      <c r="D236" s="7">
        <f>(Table534567910[[#This Row],[Value]]-B224)/B224</f>
        <v/>
      </c>
      <c r="E236" s="16" t="n">
        <v>0.02</v>
      </c>
      <c r="F236" s="15" t="n">
        <v>7.25</v>
      </c>
    </row>
    <row r="237">
      <c r="A237" s="47" t="n">
        <v>28611</v>
      </c>
      <c r="B237" s="45">
        <f>VLOOKUP(Table534567910[[#This Row],[Date]],Database!A:E,MATCH($A$1,Database!$A$1:$E$1,),)</f>
        <v/>
      </c>
      <c r="C237" s="8">
        <f>(B237-B236)/B236</f>
        <v/>
      </c>
      <c r="D237" s="7">
        <f>(Table534567910[[#This Row],[Value]]-B225)/B225</f>
        <v/>
      </c>
      <c r="E237" s="16" t="n">
        <v>0.02</v>
      </c>
      <c r="F237" s="15" t="n">
        <v>7.5</v>
      </c>
    </row>
    <row r="238">
      <c r="A238" s="47" t="n">
        <v>28642</v>
      </c>
      <c r="B238" s="45">
        <f>VLOOKUP(Table534567910[[#This Row],[Date]],Database!A:E,MATCH($A$1,Database!$A$1:$E$1,),)</f>
        <v/>
      </c>
      <c r="C238" s="8">
        <f>(B238-B237)/B237</f>
        <v/>
      </c>
      <c r="D238" s="7">
        <f>(Table534567910[[#This Row],[Value]]-B226)/B226</f>
        <v/>
      </c>
      <c r="E238" s="16" t="n">
        <v>0.02</v>
      </c>
      <c r="F238" s="15" t="n">
        <v>7.75</v>
      </c>
    </row>
    <row r="239">
      <c r="A239" s="47" t="n">
        <v>28672</v>
      </c>
      <c r="B239" s="45">
        <f>VLOOKUP(Table534567910[[#This Row],[Date]],Database!A:E,MATCH($A$1,Database!$A$1:$E$1,),)</f>
        <v/>
      </c>
      <c r="C239" s="8">
        <f>(B239-B238)/B238</f>
        <v/>
      </c>
      <c r="D239" s="7">
        <f>(Table534567910[[#This Row],[Value]]-B227)/B227</f>
        <v/>
      </c>
      <c r="E239" s="16" t="n">
        <v>0.02</v>
      </c>
      <c r="F239" s="15" t="n">
        <v>7.88</v>
      </c>
    </row>
    <row r="240">
      <c r="A240" s="47" t="n">
        <v>28703</v>
      </c>
      <c r="B240" s="45">
        <f>VLOOKUP(Table534567910[[#This Row],[Date]],Database!A:E,MATCH($A$1,Database!$A$1:$E$1,),)</f>
        <v/>
      </c>
      <c r="C240" s="8">
        <f>(B240-B239)/B239</f>
        <v/>
      </c>
      <c r="D240" s="7">
        <f>(Table534567910[[#This Row],[Value]]-B228)/B228</f>
        <v/>
      </c>
      <c r="E240" s="16" t="n">
        <v>0.02</v>
      </c>
      <c r="F240" s="15" t="n">
        <v>8.25</v>
      </c>
    </row>
    <row r="241">
      <c r="A241" s="47" t="n">
        <v>28734</v>
      </c>
      <c r="B241" s="45">
        <f>VLOOKUP(Table534567910[[#This Row],[Date]],Database!A:E,MATCH($A$1,Database!$A$1:$E$1,),)</f>
        <v/>
      </c>
      <c r="C241" s="8">
        <f>(B241-B240)/B240</f>
        <v/>
      </c>
      <c r="D241" s="7">
        <f>(Table534567910[[#This Row],[Value]]-B229)/B229</f>
        <v/>
      </c>
      <c r="E241" s="16" t="n">
        <v>0.02</v>
      </c>
      <c r="F241" s="15" t="n">
        <v>8.75</v>
      </c>
    </row>
    <row r="242">
      <c r="A242" s="47" t="n">
        <v>28764</v>
      </c>
      <c r="B242" s="45">
        <f>VLOOKUP(Table534567910[[#This Row],[Date]],Database!A:E,MATCH($A$1,Database!$A$1:$E$1,),)</f>
        <v/>
      </c>
      <c r="C242" s="8">
        <f>(B242-B241)/B241</f>
        <v/>
      </c>
      <c r="D242" s="7">
        <f>(Table534567910[[#This Row],[Value]]-B230)/B230</f>
        <v/>
      </c>
      <c r="E242" s="16" t="n">
        <v>0.02</v>
      </c>
      <c r="F242" s="15" t="n">
        <v>9</v>
      </c>
    </row>
    <row r="243">
      <c r="A243" s="47" t="n">
        <v>28795</v>
      </c>
      <c r="B243" s="45">
        <f>VLOOKUP(Table534567910[[#This Row],[Date]],Database!A:E,MATCH($A$1,Database!$A$1:$E$1,),)</f>
        <v/>
      </c>
      <c r="C243" s="8">
        <f>(B243-B242)/B242</f>
        <v/>
      </c>
      <c r="D243" s="7">
        <f>(Table534567910[[#This Row],[Value]]-B231)/B231</f>
        <v/>
      </c>
      <c r="E243" s="16" t="n">
        <v>0.02</v>
      </c>
      <c r="F243" s="15" t="n">
        <v>9.880000000000001</v>
      </c>
    </row>
    <row r="244">
      <c r="A244" s="47" t="n">
        <v>28825</v>
      </c>
      <c r="B244" s="45">
        <f>VLOOKUP(Table534567910[[#This Row],[Date]],Database!A:E,MATCH($A$1,Database!$A$1:$E$1,),)</f>
        <v/>
      </c>
      <c r="C244" s="8">
        <f>(B244-B243)/B243</f>
        <v/>
      </c>
      <c r="D244" s="7">
        <f>(Table534567910[[#This Row],[Value]]-B232)/B232</f>
        <v/>
      </c>
      <c r="E244" s="16" t="n">
        <v>0.02</v>
      </c>
      <c r="F244" s="15" t="n">
        <v>10</v>
      </c>
    </row>
    <row r="245">
      <c r="A245" s="47" t="n">
        <v>28856</v>
      </c>
      <c r="B245" s="45">
        <f>VLOOKUP(Table534567910[[#This Row],[Date]],Database!A:E,MATCH($A$1,Database!$A$1:$E$1,),)</f>
        <v/>
      </c>
      <c r="C245" s="8">
        <f>(B245-B244)/B244</f>
        <v/>
      </c>
      <c r="D245" s="7">
        <f>(Table534567910[[#This Row],[Value]]-B233)/B233</f>
        <v/>
      </c>
      <c r="E245" s="16" t="n">
        <v>0.02</v>
      </c>
      <c r="F245" s="15" t="n">
        <v>10</v>
      </c>
    </row>
    <row r="246">
      <c r="A246" s="47" t="n">
        <v>28887</v>
      </c>
      <c r="B246" s="45">
        <f>VLOOKUP(Table534567910[[#This Row],[Date]],Database!A:E,MATCH($A$1,Database!$A$1:$E$1,),)</f>
        <v/>
      </c>
      <c r="C246" s="8">
        <f>(B246-B245)/B245</f>
        <v/>
      </c>
      <c r="D246" s="7">
        <f>(Table534567910[[#This Row],[Value]]-B234)/B234</f>
        <v/>
      </c>
      <c r="E246" s="16" t="n">
        <v>0.02</v>
      </c>
      <c r="F246" s="15" t="n">
        <v>10</v>
      </c>
    </row>
    <row r="247">
      <c r="A247" s="47" t="n">
        <v>28915</v>
      </c>
      <c r="B247" s="45">
        <f>VLOOKUP(Table534567910[[#This Row],[Date]],Database!A:E,MATCH($A$1,Database!$A$1:$E$1,),)</f>
        <v/>
      </c>
      <c r="C247" s="8">
        <f>(B247-B246)/B246</f>
        <v/>
      </c>
      <c r="D247" s="7">
        <f>(Table534567910[[#This Row],[Value]]-B235)/B235</f>
        <v/>
      </c>
      <c r="E247" s="16" t="n">
        <v>0.02</v>
      </c>
      <c r="F247" s="15" t="n">
        <v>10</v>
      </c>
    </row>
    <row r="248">
      <c r="A248" s="47" t="n">
        <v>28946</v>
      </c>
      <c r="B248" s="45">
        <f>VLOOKUP(Table534567910[[#This Row],[Date]],Database!A:E,MATCH($A$1,Database!$A$1:$E$1,),)</f>
        <v/>
      </c>
      <c r="C248" s="8">
        <f>(B248-B247)/B247</f>
        <v/>
      </c>
      <c r="D248" s="7">
        <f>(Table534567910[[#This Row],[Value]]-B236)/B236</f>
        <v/>
      </c>
      <c r="E248" s="16" t="n">
        <v>0.02</v>
      </c>
      <c r="F248" s="15" t="n">
        <v>10.25</v>
      </c>
    </row>
    <row r="249">
      <c r="A249" s="47" t="n">
        <v>28976</v>
      </c>
      <c r="B249" s="45">
        <f>VLOOKUP(Table534567910[[#This Row],[Date]],Database!A:E,MATCH($A$1,Database!$A$1:$E$1,),)</f>
        <v/>
      </c>
      <c r="C249" s="8">
        <f>(B249-B248)/B248</f>
        <v/>
      </c>
      <c r="D249" s="7">
        <f>(Table534567910[[#This Row],[Value]]-B237)/B237</f>
        <v/>
      </c>
      <c r="E249" s="16" t="n">
        <v>0.02</v>
      </c>
      <c r="F249" s="15" t="n">
        <v>10.25</v>
      </c>
    </row>
    <row r="250">
      <c r="A250" s="47" t="n">
        <v>29007</v>
      </c>
      <c r="B250" s="45">
        <f>VLOOKUP(Table534567910[[#This Row],[Date]],Database!A:E,MATCH($A$1,Database!$A$1:$E$1,),)</f>
        <v/>
      </c>
      <c r="C250" s="8">
        <f>(B250-B249)/B249</f>
        <v/>
      </c>
      <c r="D250" s="7">
        <f>(Table534567910[[#This Row],[Value]]-B238)/B238</f>
        <v/>
      </c>
      <c r="E250" s="16" t="n">
        <v>0.02</v>
      </c>
      <c r="F250" s="15" t="n">
        <v>10.25</v>
      </c>
    </row>
    <row r="251">
      <c r="A251" s="47" t="n">
        <v>29037</v>
      </c>
      <c r="B251" s="45">
        <f>VLOOKUP(Table534567910[[#This Row],[Date]],Database!A:E,MATCH($A$1,Database!$A$1:$E$1,),)</f>
        <v/>
      </c>
      <c r="C251" s="8">
        <f>(B251-B250)/B250</f>
        <v/>
      </c>
      <c r="D251" s="7">
        <f>(Table534567910[[#This Row],[Value]]-B239)/B239</f>
        <v/>
      </c>
      <c r="E251" s="16" t="n">
        <v>0.02</v>
      </c>
      <c r="F251" s="15" t="n">
        <v>10.63</v>
      </c>
    </row>
    <row r="252">
      <c r="A252" s="47" t="n">
        <v>29068</v>
      </c>
      <c r="B252" s="45">
        <f>VLOOKUP(Table534567910[[#This Row],[Date]],Database!A:E,MATCH($A$1,Database!$A$1:$E$1,),)</f>
        <v/>
      </c>
      <c r="C252" s="8">
        <f>(B252-B251)/B251</f>
        <v/>
      </c>
      <c r="D252" s="7">
        <f>(Table534567910[[#This Row],[Value]]-B240)/B240</f>
        <v/>
      </c>
      <c r="E252" s="16" t="n">
        <v>0.02</v>
      </c>
      <c r="F252" s="15" t="n">
        <v>11.38</v>
      </c>
    </row>
    <row r="253">
      <c r="A253" s="47" t="n">
        <v>29099</v>
      </c>
      <c r="B253" s="45">
        <f>VLOOKUP(Table534567910[[#This Row],[Date]],Database!A:E,MATCH($A$1,Database!$A$1:$E$1,),)</f>
        <v/>
      </c>
      <c r="C253" s="8">
        <f>(B253-B252)/B252</f>
        <v/>
      </c>
      <c r="D253" s="7">
        <f>(Table534567910[[#This Row],[Value]]-B241)/B241</f>
        <v/>
      </c>
      <c r="E253" s="16" t="n">
        <v>0.02</v>
      </c>
      <c r="F253" s="15" t="n">
        <v>11.5</v>
      </c>
    </row>
    <row r="254">
      <c r="A254" s="47" t="n">
        <v>29129</v>
      </c>
      <c r="B254" s="45">
        <f>VLOOKUP(Table534567910[[#This Row],[Date]],Database!A:E,MATCH($A$1,Database!$A$1:$E$1,),)</f>
        <v/>
      </c>
      <c r="C254" s="8">
        <f>(B254-B253)/B253</f>
        <v/>
      </c>
      <c r="D254" s="7">
        <f>(Table534567910[[#This Row],[Value]]-B242)/B242</f>
        <v/>
      </c>
      <c r="E254" s="16" t="n">
        <v>0.02</v>
      </c>
      <c r="F254" s="15" t="n">
        <v>15.5</v>
      </c>
    </row>
    <row r="255">
      <c r="A255" s="47" t="n">
        <v>29160</v>
      </c>
      <c r="B255" s="45">
        <f>VLOOKUP(Table534567910[[#This Row],[Date]],Database!A:E,MATCH($A$1,Database!$A$1:$E$1,),)</f>
        <v/>
      </c>
      <c r="C255" s="8">
        <f>(B255-B254)/B254</f>
        <v/>
      </c>
      <c r="D255" s="7">
        <f>(Table534567910[[#This Row],[Value]]-B243)/B243</f>
        <v/>
      </c>
      <c r="E255" s="16" t="n">
        <v>0.02</v>
      </c>
      <c r="F255" s="15" t="n">
        <v>15.5</v>
      </c>
    </row>
    <row r="256">
      <c r="A256" s="47" t="n">
        <v>29190</v>
      </c>
      <c r="B256" s="45">
        <f>VLOOKUP(Table534567910[[#This Row],[Date]],Database!A:E,MATCH($A$1,Database!$A$1:$E$1,),)</f>
        <v/>
      </c>
      <c r="C256" s="8">
        <f>(B256-B255)/B255</f>
        <v/>
      </c>
      <c r="D256" s="7">
        <f>(Table534567910[[#This Row],[Value]]-B244)/B244</f>
        <v/>
      </c>
      <c r="E256" s="16" t="n">
        <v>0.02</v>
      </c>
      <c r="F256" s="15" t="n">
        <v>14</v>
      </c>
    </row>
    <row r="257">
      <c r="A257" s="47" t="n">
        <v>29221</v>
      </c>
      <c r="B257" s="45">
        <f>VLOOKUP(Table534567910[[#This Row],[Date]],Database!A:E,MATCH($A$1,Database!$A$1:$E$1,),)</f>
        <v/>
      </c>
      <c r="C257" s="8">
        <f>(B257-B256)/B256</f>
        <v/>
      </c>
      <c r="D257" s="7">
        <f>(Table534567910[[#This Row],[Value]]-B245)/B245</f>
        <v/>
      </c>
      <c r="E257" s="16" t="n">
        <v>0.02</v>
      </c>
      <c r="F257" s="15" t="n">
        <v>14</v>
      </c>
    </row>
    <row r="258">
      <c r="A258" s="47" t="n">
        <v>29252</v>
      </c>
      <c r="B258" s="45">
        <f>VLOOKUP(Table534567910[[#This Row],[Date]],Database!A:E,MATCH($A$1,Database!$A$1:$E$1,),)</f>
        <v/>
      </c>
      <c r="C258" s="8">
        <f>(B258-B257)/B257</f>
        <v/>
      </c>
      <c r="D258" s="7">
        <f>(Table534567910[[#This Row],[Value]]-B246)/B246</f>
        <v/>
      </c>
      <c r="E258" s="16" t="n">
        <v>0.02</v>
      </c>
      <c r="F258" s="15" t="n">
        <v>15</v>
      </c>
    </row>
    <row r="259">
      <c r="A259" s="47" t="n">
        <v>29281</v>
      </c>
      <c r="B259" s="45">
        <f>VLOOKUP(Table534567910[[#This Row],[Date]],Database!A:E,MATCH($A$1,Database!$A$1:$E$1,),)</f>
        <v/>
      </c>
      <c r="C259" s="8">
        <f>(B259-B258)/B258</f>
        <v/>
      </c>
      <c r="D259" s="7">
        <f>(Table534567910[[#This Row],[Value]]-B247)/B247</f>
        <v/>
      </c>
      <c r="E259" s="16" t="n">
        <v>0.02</v>
      </c>
      <c r="F259" s="15" t="n">
        <v>20</v>
      </c>
    </row>
    <row r="260">
      <c r="A260" s="47" t="n">
        <v>29312</v>
      </c>
      <c r="B260" s="45">
        <f>VLOOKUP(Table534567910[[#This Row],[Date]],Database!A:E,MATCH($A$1,Database!$A$1:$E$1,),)</f>
        <v/>
      </c>
      <c r="C260" s="8">
        <f>(B260-B259)/B259</f>
        <v/>
      </c>
      <c r="D260" s="7">
        <f>(Table534567910[[#This Row],[Value]]-B248)/B248</f>
        <v/>
      </c>
      <c r="E260" s="16" t="n">
        <v>0.02</v>
      </c>
      <c r="F260" s="15" t="n">
        <v>11.5</v>
      </c>
    </row>
    <row r="261">
      <c r="A261" s="47" t="n">
        <v>29342</v>
      </c>
      <c r="B261" s="45">
        <f>VLOOKUP(Table534567910[[#This Row],[Date]],Database!A:E,MATCH($A$1,Database!$A$1:$E$1,),)</f>
        <v/>
      </c>
      <c r="C261" s="8">
        <f>(B261-B260)/B260</f>
        <v/>
      </c>
      <c r="D261" s="7">
        <f>(Table534567910[[#This Row],[Value]]-B249)/B249</f>
        <v/>
      </c>
      <c r="E261" s="16" t="n">
        <v>0.02</v>
      </c>
      <c r="F261" s="15" t="n">
        <v>10.75</v>
      </c>
    </row>
    <row r="262">
      <c r="A262" s="47" t="n">
        <v>29373</v>
      </c>
      <c r="B262" s="45">
        <f>VLOOKUP(Table534567910[[#This Row],[Date]],Database!A:E,MATCH($A$1,Database!$A$1:$E$1,),)</f>
        <v/>
      </c>
      <c r="C262" s="8">
        <f>(B262-B261)/B261</f>
        <v/>
      </c>
      <c r="D262" s="7">
        <f>(Table534567910[[#This Row],[Value]]-B250)/B250</f>
        <v/>
      </c>
      <c r="E262" s="16" t="n">
        <v>0.02</v>
      </c>
      <c r="F262" s="15" t="n">
        <v>9.5</v>
      </c>
    </row>
    <row r="263">
      <c r="A263" s="47" t="n">
        <v>29403</v>
      </c>
      <c r="B263" s="45">
        <f>VLOOKUP(Table534567910[[#This Row],[Date]],Database!A:E,MATCH($A$1,Database!$A$1:$E$1,),)</f>
        <v/>
      </c>
      <c r="C263" s="8">
        <f>(B263-B262)/B262</f>
        <v/>
      </c>
      <c r="D263" s="7">
        <f>(Table534567910[[#This Row],[Value]]-B251)/B251</f>
        <v/>
      </c>
      <c r="E263" s="16" t="n">
        <v>0.02</v>
      </c>
      <c r="F263" s="15" t="n">
        <v>9.5</v>
      </c>
    </row>
    <row r="264">
      <c r="A264" s="47" t="n">
        <v>29434</v>
      </c>
      <c r="B264" s="45">
        <f>VLOOKUP(Table534567910[[#This Row],[Date]],Database!A:E,MATCH($A$1,Database!$A$1:$E$1,),)</f>
        <v/>
      </c>
      <c r="C264" s="8">
        <f>(B264-B263)/B263</f>
        <v/>
      </c>
      <c r="D264" s="7">
        <f>(Table534567910[[#This Row],[Value]]-B252)/B252</f>
        <v/>
      </c>
      <c r="E264" s="16" t="n">
        <v>0.02</v>
      </c>
      <c r="F264" s="15" t="n">
        <v>10</v>
      </c>
    </row>
    <row r="265">
      <c r="A265" s="47" t="n">
        <v>29465</v>
      </c>
      <c r="B265" s="45">
        <f>VLOOKUP(Table534567910[[#This Row],[Date]],Database!A:E,MATCH($A$1,Database!$A$1:$E$1,),)</f>
        <v/>
      </c>
      <c r="C265" s="8">
        <f>(B265-B264)/B264</f>
        <v/>
      </c>
      <c r="D265" s="7">
        <f>(Table534567910[[#This Row],[Value]]-B253)/B253</f>
        <v/>
      </c>
      <c r="E265" s="16" t="n">
        <v>0.02</v>
      </c>
      <c r="F265" s="15" t="n">
        <v>12</v>
      </c>
    </row>
    <row r="266">
      <c r="A266" s="47" t="n">
        <v>29495</v>
      </c>
      <c r="B266" s="45">
        <f>VLOOKUP(Table534567910[[#This Row],[Date]],Database!A:E,MATCH($A$1,Database!$A$1:$E$1,),)</f>
        <v/>
      </c>
      <c r="C266" s="8">
        <f>(B266-B265)/B265</f>
        <v/>
      </c>
      <c r="D266" s="7">
        <f>(Table534567910[[#This Row],[Value]]-B254)/B254</f>
        <v/>
      </c>
      <c r="E266" s="16" t="n">
        <v>0.02</v>
      </c>
      <c r="F266" s="15" t="n">
        <v>13.75</v>
      </c>
    </row>
    <row r="267">
      <c r="A267" s="47" t="n">
        <v>29526</v>
      </c>
      <c r="B267" s="45">
        <f>VLOOKUP(Table534567910[[#This Row],[Date]],Database!A:E,MATCH($A$1,Database!$A$1:$E$1,),)</f>
        <v/>
      </c>
      <c r="C267" s="8">
        <f>(B267-B266)/B266</f>
        <v/>
      </c>
      <c r="D267" s="7">
        <f>(Table534567910[[#This Row],[Value]]-B255)/B255</f>
        <v/>
      </c>
      <c r="E267" s="16" t="n">
        <v>0.02</v>
      </c>
      <c r="F267" s="15" t="n">
        <v>18</v>
      </c>
    </row>
    <row r="268">
      <c r="A268" s="47" t="n">
        <v>29556</v>
      </c>
      <c r="B268" s="45">
        <f>VLOOKUP(Table534567910[[#This Row],[Date]],Database!A:E,MATCH($A$1,Database!$A$1:$E$1,),)</f>
        <v/>
      </c>
      <c r="C268" s="8">
        <f>(B268-B267)/B267</f>
        <v/>
      </c>
      <c r="D268" s="7">
        <f>(Table534567910[[#This Row],[Value]]-B256)/B256</f>
        <v/>
      </c>
      <c r="E268" s="16" t="n">
        <v>0.02</v>
      </c>
      <c r="F268" s="15" t="n">
        <v>18</v>
      </c>
    </row>
    <row r="269">
      <c r="A269" s="47" t="n">
        <v>29587</v>
      </c>
      <c r="B269" s="45">
        <f>VLOOKUP(Table534567910[[#This Row],[Date]],Database!A:E,MATCH($A$1,Database!$A$1:$E$1,),)</f>
        <v/>
      </c>
      <c r="C269" s="8">
        <f>(B269-B268)/B268</f>
        <v/>
      </c>
      <c r="D269" s="7">
        <f>(Table534567910[[#This Row],[Value]]-B257)/B257</f>
        <v/>
      </c>
      <c r="E269" s="16" t="n">
        <v>0.02</v>
      </c>
      <c r="F269" s="15" t="n">
        <v>16</v>
      </c>
    </row>
    <row r="270">
      <c r="A270" s="47" t="n">
        <v>29618</v>
      </c>
      <c r="B270" s="45">
        <f>VLOOKUP(Table534567910[[#This Row],[Date]],Database!A:E,MATCH($A$1,Database!$A$1:$E$1,),)</f>
        <v/>
      </c>
      <c r="C270" s="8">
        <f>(B270-B269)/B269</f>
        <v/>
      </c>
      <c r="D270" s="7">
        <f>(Table534567910[[#This Row],[Value]]-B258)/B258</f>
        <v/>
      </c>
      <c r="E270" s="16" t="n">
        <v>0.02</v>
      </c>
      <c r="F270" s="15" t="n">
        <v>16</v>
      </c>
    </row>
    <row r="271">
      <c r="A271" s="47" t="n">
        <v>29646</v>
      </c>
      <c r="B271" s="45">
        <f>VLOOKUP(Table534567910[[#This Row],[Date]],Database!A:E,MATCH($A$1,Database!$A$1:$E$1,),)</f>
        <v/>
      </c>
      <c r="C271" s="8">
        <f>(B271-B270)/B270</f>
        <v/>
      </c>
      <c r="D271" s="7">
        <f>(Table534567910[[#This Row],[Value]]-B259)/B259</f>
        <v/>
      </c>
      <c r="E271" s="16" t="n">
        <v>0.02</v>
      </c>
      <c r="F271" s="15" t="n">
        <v>16</v>
      </c>
    </row>
    <row r="272">
      <c r="A272" s="47" t="n">
        <v>29677</v>
      </c>
      <c r="B272" s="45">
        <f>VLOOKUP(Table534567910[[#This Row],[Date]],Database!A:E,MATCH($A$1,Database!$A$1:$E$1,),)</f>
        <v/>
      </c>
      <c r="C272" s="8">
        <f>(B272-B271)/B271</f>
        <v/>
      </c>
      <c r="D272" s="7">
        <f>(Table534567910[[#This Row],[Value]]-B260)/B260</f>
        <v/>
      </c>
      <c r="E272" s="16" t="n">
        <v>0.02</v>
      </c>
      <c r="F272" s="15" t="n">
        <v>16</v>
      </c>
    </row>
    <row r="273">
      <c r="A273" s="47" t="n">
        <v>29707</v>
      </c>
      <c r="B273" s="45">
        <f>VLOOKUP(Table534567910[[#This Row],[Date]],Database!A:E,MATCH($A$1,Database!$A$1:$E$1,),)</f>
        <v/>
      </c>
      <c r="C273" s="8">
        <f>(B273-B272)/B272</f>
        <v/>
      </c>
      <c r="D273" s="7">
        <f>(Table534567910[[#This Row],[Value]]-B261)/B261</f>
        <v/>
      </c>
      <c r="E273" s="16" t="n">
        <v>0.02</v>
      </c>
      <c r="F273" s="15" t="n">
        <v>20</v>
      </c>
    </row>
    <row r="274">
      <c r="A274" s="47" t="n">
        <v>29738</v>
      </c>
      <c r="B274" s="45">
        <f>VLOOKUP(Table534567910[[#This Row],[Date]],Database!A:E,MATCH($A$1,Database!$A$1:$E$1,),)</f>
        <v/>
      </c>
      <c r="C274" s="8">
        <f>(B274-B273)/B273</f>
        <v/>
      </c>
      <c r="D274" s="7">
        <f>(Table534567910[[#This Row],[Value]]-B262)/B262</f>
        <v/>
      </c>
      <c r="E274" s="16" t="n">
        <v>0.02</v>
      </c>
      <c r="F274" s="15" t="n">
        <v>15.5</v>
      </c>
    </row>
    <row r="275">
      <c r="A275" s="47" t="n">
        <v>29768</v>
      </c>
      <c r="B275" s="45">
        <f>VLOOKUP(Table534567910[[#This Row],[Date]],Database!A:E,MATCH($A$1,Database!$A$1:$E$1,),)</f>
        <v/>
      </c>
      <c r="C275" s="8">
        <f>(B275-B274)/B274</f>
        <v/>
      </c>
      <c r="D275" s="7">
        <f>(Table534567910[[#This Row],[Value]]-B263)/B263</f>
        <v/>
      </c>
      <c r="E275" s="16" t="n">
        <v>0.02</v>
      </c>
      <c r="F275" s="15" t="n">
        <v>15.5</v>
      </c>
    </row>
    <row r="276">
      <c r="A276" s="47" t="n">
        <v>29799</v>
      </c>
      <c r="B276" s="45">
        <f>VLOOKUP(Table534567910[[#This Row],[Date]],Database!A:E,MATCH($A$1,Database!$A$1:$E$1,),)</f>
        <v/>
      </c>
      <c r="C276" s="8">
        <f>(B276-B275)/B275</f>
        <v/>
      </c>
      <c r="D276" s="7">
        <f>(Table534567910[[#This Row],[Value]]-B264)/B264</f>
        <v/>
      </c>
      <c r="E276" s="16" t="n">
        <v>0.02</v>
      </c>
      <c r="F276" s="15" t="n">
        <v>15.5</v>
      </c>
    </row>
    <row r="277">
      <c r="A277" s="47" t="n">
        <v>29830</v>
      </c>
      <c r="B277" s="45">
        <f>VLOOKUP(Table534567910[[#This Row],[Date]],Database!A:E,MATCH($A$1,Database!$A$1:$E$1,),)</f>
        <v/>
      </c>
      <c r="C277" s="8">
        <f>(B277-B276)/B276</f>
        <v/>
      </c>
      <c r="D277" s="7">
        <f>(Table534567910[[#This Row],[Value]]-B265)/B265</f>
        <v/>
      </c>
      <c r="E277" s="16" t="n">
        <v>0.02</v>
      </c>
      <c r="F277" s="15" t="n">
        <v>15.5</v>
      </c>
    </row>
    <row r="278">
      <c r="A278" s="47" t="n">
        <v>29860</v>
      </c>
      <c r="B278" s="45">
        <f>VLOOKUP(Table534567910[[#This Row],[Date]],Database!A:E,MATCH($A$1,Database!$A$1:$E$1,),)</f>
        <v/>
      </c>
      <c r="C278" s="8">
        <f>(B278-B277)/B277</f>
        <v/>
      </c>
      <c r="D278" s="7">
        <f>(Table534567910[[#This Row],[Value]]-B266)/B266</f>
        <v/>
      </c>
      <c r="E278" s="16" t="n">
        <v>0.02</v>
      </c>
      <c r="F278" s="15" t="n">
        <v>15.5</v>
      </c>
    </row>
    <row r="279">
      <c r="A279" s="47" t="n">
        <v>29891</v>
      </c>
      <c r="B279" s="45">
        <f>VLOOKUP(Table534567910[[#This Row],[Date]],Database!A:E,MATCH($A$1,Database!$A$1:$E$1,),)</f>
        <v/>
      </c>
      <c r="C279" s="8">
        <f>(B279-B278)/B278</f>
        <v/>
      </c>
      <c r="D279" s="7">
        <f>(Table534567910[[#This Row],[Value]]-B267)/B267</f>
        <v/>
      </c>
      <c r="E279" s="16" t="n">
        <v>0.02</v>
      </c>
      <c r="F279" s="15" t="n">
        <v>13</v>
      </c>
    </row>
    <row r="280">
      <c r="A280" s="47" t="n">
        <v>29921</v>
      </c>
      <c r="B280" s="45">
        <f>VLOOKUP(Table534567910[[#This Row],[Date]],Database!A:E,MATCH($A$1,Database!$A$1:$E$1,),)</f>
        <v/>
      </c>
      <c r="C280" s="8">
        <f>(B280-B279)/B279</f>
        <v/>
      </c>
      <c r="D280" s="7">
        <f>(Table534567910[[#This Row],[Value]]-B268)/B268</f>
        <v/>
      </c>
      <c r="E280" s="16" t="n">
        <v>0.02</v>
      </c>
      <c r="F280" s="15" t="n">
        <v>12</v>
      </c>
    </row>
    <row r="281">
      <c r="A281" s="47" t="n">
        <v>29952</v>
      </c>
      <c r="B281" s="45">
        <f>VLOOKUP(Table534567910[[#This Row],[Date]],Database!A:E,MATCH($A$1,Database!$A$1:$E$1,),)</f>
        <v/>
      </c>
      <c r="C281" s="8">
        <f>(B281-B280)/B280</f>
        <v/>
      </c>
      <c r="D281" s="7">
        <f>(Table534567910[[#This Row],[Value]]-B269)/B269</f>
        <v/>
      </c>
      <c r="E281" s="16" t="n">
        <v>0.02</v>
      </c>
      <c r="F281" s="15" t="n">
        <v>15</v>
      </c>
    </row>
    <row r="282">
      <c r="A282" s="47" t="n">
        <v>29983</v>
      </c>
      <c r="B282" s="45">
        <f>VLOOKUP(Table534567910[[#This Row],[Date]],Database!A:E,MATCH($A$1,Database!$A$1:$E$1,),)</f>
        <v/>
      </c>
      <c r="C282" s="8">
        <f>(B282-B281)/B281</f>
        <v/>
      </c>
      <c r="D282" s="7">
        <f>(Table534567910[[#This Row],[Value]]-B270)/B270</f>
        <v/>
      </c>
      <c r="E282" s="16" t="n">
        <v>0.02</v>
      </c>
      <c r="F282" s="15" t="n">
        <v>15</v>
      </c>
    </row>
    <row r="283">
      <c r="A283" s="47" t="n">
        <v>30011</v>
      </c>
      <c r="B283" s="45">
        <f>VLOOKUP(Table534567910[[#This Row],[Date]],Database!A:E,MATCH($A$1,Database!$A$1:$E$1,),)</f>
        <v/>
      </c>
      <c r="C283" s="8">
        <f>(B283-B282)/B282</f>
        <v/>
      </c>
      <c r="D283" s="7">
        <f>(Table534567910[[#This Row],[Value]]-B271)/B271</f>
        <v/>
      </c>
      <c r="E283" s="16" t="n">
        <v>0.02</v>
      </c>
      <c r="F283" s="15" t="n">
        <v>15</v>
      </c>
    </row>
    <row r="284">
      <c r="A284" s="47" t="n">
        <v>30042</v>
      </c>
      <c r="B284" s="45">
        <f>VLOOKUP(Table534567910[[#This Row],[Date]],Database!A:E,MATCH($A$1,Database!$A$1:$E$1,),)</f>
        <v/>
      </c>
      <c r="C284" s="8">
        <f>(B284-B283)/B283</f>
        <v/>
      </c>
      <c r="D284" s="7">
        <f>(Table534567910[[#This Row],[Value]]-B272)/B272</f>
        <v/>
      </c>
      <c r="E284" s="16" t="n">
        <v>0.02</v>
      </c>
      <c r="F284" s="15" t="n">
        <v>13</v>
      </c>
    </row>
    <row r="285">
      <c r="A285" s="47" t="n">
        <v>30072</v>
      </c>
      <c r="B285" s="45">
        <f>VLOOKUP(Table534567910[[#This Row],[Date]],Database!A:E,MATCH($A$1,Database!$A$1:$E$1,),)</f>
        <v/>
      </c>
      <c r="C285" s="8">
        <f>(B285-B284)/B284</f>
        <v/>
      </c>
      <c r="D285" s="7">
        <f>(Table534567910[[#This Row],[Value]]-B273)/B273</f>
        <v/>
      </c>
      <c r="E285" s="16" t="n">
        <v>0.02</v>
      </c>
      <c r="F285" s="15" t="n">
        <v>13</v>
      </c>
    </row>
    <row r="286">
      <c r="A286" s="47" t="n">
        <v>30103</v>
      </c>
      <c r="B286" s="45">
        <f>VLOOKUP(Table534567910[[#This Row],[Date]],Database!A:E,MATCH($A$1,Database!$A$1:$E$1,),)</f>
        <v/>
      </c>
      <c r="C286" s="8">
        <f>(B286-B285)/B285</f>
        <v/>
      </c>
      <c r="D286" s="7">
        <f>(Table534567910[[#This Row],[Value]]-B274)/B274</f>
        <v/>
      </c>
      <c r="E286" s="16" t="n">
        <v>0.02</v>
      </c>
      <c r="F286" s="15" t="n">
        <v>13</v>
      </c>
    </row>
    <row r="287">
      <c r="A287" s="47" t="n">
        <v>30133</v>
      </c>
      <c r="B287" s="45">
        <f>VLOOKUP(Table534567910[[#This Row],[Date]],Database!A:E,MATCH($A$1,Database!$A$1:$E$1,),)</f>
        <v/>
      </c>
      <c r="C287" s="8">
        <f>(B287-B286)/B286</f>
        <v/>
      </c>
      <c r="D287" s="7">
        <f>(Table534567910[[#This Row],[Value]]-B275)/B275</f>
        <v/>
      </c>
      <c r="E287" s="16" t="n">
        <v>0.02</v>
      </c>
      <c r="F287" s="15" t="n">
        <v>11.5</v>
      </c>
    </row>
    <row r="288">
      <c r="A288" s="47" t="n">
        <v>30164</v>
      </c>
      <c r="B288" s="45">
        <f>VLOOKUP(Table534567910[[#This Row],[Date]],Database!A:E,MATCH($A$1,Database!$A$1:$E$1,),)</f>
        <v/>
      </c>
      <c r="C288" s="8">
        <f>(B288-B287)/B287</f>
        <v/>
      </c>
      <c r="D288" s="7">
        <f>(Table534567910[[#This Row],[Value]]-B276)/B276</f>
        <v/>
      </c>
      <c r="E288" s="16" t="n">
        <v>0.02</v>
      </c>
      <c r="F288" s="15" t="n">
        <v>9.5</v>
      </c>
    </row>
    <row r="289">
      <c r="A289" s="47" t="n">
        <v>30195</v>
      </c>
      <c r="B289" s="45">
        <f>VLOOKUP(Table534567910[[#This Row],[Date]],Database!A:E,MATCH($A$1,Database!$A$1:$E$1,),)</f>
        <v/>
      </c>
      <c r="C289" s="8">
        <f>(B289-B288)/B288</f>
        <v/>
      </c>
      <c r="D289" s="7">
        <f>(Table534567910[[#This Row],[Value]]-B277)/B277</f>
        <v/>
      </c>
      <c r="E289" s="16" t="n">
        <v>0.02</v>
      </c>
      <c r="F289" s="15" t="n">
        <v>10</v>
      </c>
    </row>
    <row r="290">
      <c r="A290" s="47" t="n">
        <v>30225</v>
      </c>
      <c r="B290" s="45">
        <f>VLOOKUP(Table534567910[[#This Row],[Date]],Database!A:E,MATCH($A$1,Database!$A$1:$E$1,),)</f>
        <v/>
      </c>
      <c r="C290" s="9">
        <f>(B290-B289)/B289</f>
        <v/>
      </c>
      <c r="D290" s="7">
        <f>(Table534567910[[#This Row],[Value]]-B278)/B278</f>
        <v/>
      </c>
      <c r="E290" s="16" t="n">
        <v>0.02</v>
      </c>
      <c r="F290" s="15" t="n">
        <v>9.5</v>
      </c>
    </row>
    <row r="291">
      <c r="A291" s="47" t="n">
        <v>30256</v>
      </c>
      <c r="B291" s="45">
        <f>VLOOKUP(Table534567910[[#This Row],[Date]],Database!A:E,MATCH($A$1,Database!$A$1:$E$1,),)</f>
        <v/>
      </c>
      <c r="C291" s="9">
        <f>(B291-B290)/B290</f>
        <v/>
      </c>
      <c r="D291" s="7">
        <f>(Table534567910[[#This Row],[Value]]-B279)/B279</f>
        <v/>
      </c>
      <c r="E291" s="16" t="n">
        <v>0.02</v>
      </c>
      <c r="F291" s="15" t="n">
        <v>9</v>
      </c>
    </row>
    <row r="292">
      <c r="A292" s="47" t="n">
        <v>30286</v>
      </c>
      <c r="B292" s="45">
        <f>VLOOKUP(Table534567910[[#This Row],[Date]],Database!A:E,MATCH($A$1,Database!$A$1:$E$1,),)</f>
        <v/>
      </c>
      <c r="C292" s="9">
        <f>(B292-B291)/B291</f>
        <v/>
      </c>
      <c r="D292" s="7">
        <f>(Table534567910[[#This Row],[Value]]-B280)/B280</f>
        <v/>
      </c>
      <c r="E292" s="16" t="n">
        <v>0.02</v>
      </c>
      <c r="F292" s="15" t="n">
        <v>8.5</v>
      </c>
    </row>
    <row r="293">
      <c r="A293" s="47" t="n">
        <v>30317</v>
      </c>
      <c r="B293" s="45">
        <f>VLOOKUP(Table534567910[[#This Row],[Date]],Database!A:E,MATCH($A$1,Database!$A$1:$E$1,),)</f>
        <v/>
      </c>
      <c r="C293" s="9">
        <f>(B293-B292)/B292</f>
        <v/>
      </c>
      <c r="D293" s="7">
        <f>(Table534567910[[#This Row],[Value]]-B281)/B281</f>
        <v/>
      </c>
      <c r="E293" s="16" t="n">
        <v>0.02</v>
      </c>
      <c r="F293" s="15" t="n">
        <v>8.5</v>
      </c>
    </row>
    <row r="294">
      <c r="A294" s="47" t="n">
        <v>30348</v>
      </c>
      <c r="B294" s="45">
        <f>VLOOKUP(Table534567910[[#This Row],[Date]],Database!A:E,MATCH($A$1,Database!$A$1:$E$1,),)</f>
        <v/>
      </c>
      <c r="C294" s="9">
        <f>(B294-B293)/B293</f>
        <v/>
      </c>
      <c r="D294" s="7">
        <f>(Table534567910[[#This Row],[Value]]-B282)/B282</f>
        <v/>
      </c>
      <c r="E294" s="16" t="n">
        <v>0.02</v>
      </c>
      <c r="F294" s="15" t="n">
        <v>8.5</v>
      </c>
    </row>
    <row r="295">
      <c r="A295" s="47" t="n">
        <v>30376</v>
      </c>
      <c r="B295" s="45">
        <f>VLOOKUP(Table534567910[[#This Row],[Date]],Database!A:E,MATCH($A$1,Database!$A$1:$E$1,),)</f>
        <v/>
      </c>
      <c r="C295" s="9">
        <f>(B295-B294)/B294</f>
        <v/>
      </c>
      <c r="D295" s="7">
        <f>(Table534567910[[#This Row],[Value]]-B283)/B283</f>
        <v/>
      </c>
      <c r="E295" s="16" t="n">
        <v>0.02</v>
      </c>
      <c r="F295" s="15" t="n">
        <v>8.5</v>
      </c>
    </row>
    <row r="296">
      <c r="A296" s="47" t="n">
        <v>30407</v>
      </c>
      <c r="B296" s="45">
        <f>VLOOKUP(Table534567910[[#This Row],[Date]],Database!A:E,MATCH($A$1,Database!$A$1:$E$1,),)</f>
        <v/>
      </c>
      <c r="C296" s="9">
        <f>(B296-B295)/B295</f>
        <v/>
      </c>
      <c r="D296" s="7">
        <f>(Table534567910[[#This Row],[Value]]-B284)/B284</f>
        <v/>
      </c>
      <c r="E296" s="16" t="n">
        <v>0.02</v>
      </c>
      <c r="F296" s="15" t="n">
        <v>8.5</v>
      </c>
    </row>
    <row r="297">
      <c r="A297" s="47" t="n">
        <v>30437</v>
      </c>
      <c r="B297" s="45">
        <f>VLOOKUP(Table534567910[[#This Row],[Date]],Database!A:E,MATCH($A$1,Database!$A$1:$E$1,),)</f>
        <v/>
      </c>
      <c r="C297" s="9">
        <f>(B297-B296)/B296</f>
        <v/>
      </c>
      <c r="D297" s="7">
        <f>(Table534567910[[#This Row],[Value]]-B285)/B285</f>
        <v/>
      </c>
      <c r="E297" s="16" t="n">
        <v>0.02</v>
      </c>
      <c r="F297" s="15" t="n">
        <v>9.630000000000001</v>
      </c>
    </row>
    <row r="298">
      <c r="A298" s="47" t="n">
        <v>30468</v>
      </c>
      <c r="B298" s="45">
        <f>VLOOKUP(Table534567910[[#This Row],[Date]],Database!A:E,MATCH($A$1,Database!$A$1:$E$1,),)</f>
        <v/>
      </c>
      <c r="C298" s="9">
        <f>(B298-B297)/B297</f>
        <v/>
      </c>
      <c r="D298" s="7">
        <f>(Table534567910[[#This Row],[Value]]-B286)/B286</f>
        <v/>
      </c>
      <c r="E298" s="16" t="n">
        <v>0.02</v>
      </c>
      <c r="F298" s="15" t="n">
        <v>9.630000000000001</v>
      </c>
    </row>
    <row r="299">
      <c r="A299" s="47" t="n">
        <v>30498</v>
      </c>
      <c r="B299" s="45">
        <f>VLOOKUP(Table534567910[[#This Row],[Date]],Database!A:E,MATCH($A$1,Database!$A$1:$E$1,),)</f>
        <v/>
      </c>
      <c r="C299" s="9">
        <f>(B299-B298)/B298</f>
        <v/>
      </c>
      <c r="D299" s="7">
        <f>(Table534567910[[#This Row],[Value]]-B287)/B287</f>
        <v/>
      </c>
      <c r="E299" s="16" t="n">
        <v>0.02</v>
      </c>
      <c r="F299" s="15" t="n">
        <v>9.630000000000001</v>
      </c>
    </row>
    <row r="300">
      <c r="A300" s="47" t="n">
        <v>30529</v>
      </c>
      <c r="B300" s="45">
        <f>VLOOKUP(Table534567910[[#This Row],[Date]],Database!A:E,MATCH($A$1,Database!$A$1:$E$1,),)</f>
        <v/>
      </c>
      <c r="C300" s="9">
        <f>(B300-B299)/B299</f>
        <v/>
      </c>
      <c r="D300" s="7">
        <f>(Table534567910[[#This Row],[Value]]-B288)/B288</f>
        <v/>
      </c>
      <c r="E300" s="16" t="n">
        <v>0.02</v>
      </c>
      <c r="F300" s="15" t="n">
        <v>9.630000000000001</v>
      </c>
    </row>
    <row r="301">
      <c r="A301" s="47" t="n">
        <v>30560</v>
      </c>
      <c r="B301" s="45">
        <f>VLOOKUP(Table534567910[[#This Row],[Date]],Database!A:E,MATCH($A$1,Database!$A$1:$E$1,),)</f>
        <v/>
      </c>
      <c r="C301" s="9">
        <f>(B301-B300)/B300</f>
        <v/>
      </c>
      <c r="D301" s="7">
        <f>(Table534567910[[#This Row],[Value]]-B289)/B289</f>
        <v/>
      </c>
      <c r="E301" s="16" t="n">
        <v>0.02</v>
      </c>
      <c r="F301" s="15" t="n">
        <v>9.5</v>
      </c>
    </row>
    <row r="302">
      <c r="A302" s="47" t="n">
        <v>30590</v>
      </c>
      <c r="B302" s="45">
        <f>VLOOKUP(Table534567910[[#This Row],[Date]],Database!A:E,MATCH($A$1,Database!$A$1:$E$1,),)</f>
        <v/>
      </c>
      <c r="C302" s="9">
        <f>(B302-B301)/B301</f>
        <v/>
      </c>
      <c r="D302" s="7">
        <f>(Table534567910[[#This Row],[Value]]-B290)/B290</f>
        <v/>
      </c>
      <c r="E302" s="16" t="n">
        <v>0.02</v>
      </c>
      <c r="F302" s="15" t="n">
        <v>9.5</v>
      </c>
    </row>
    <row r="303">
      <c r="A303" s="47" t="n">
        <v>30621</v>
      </c>
      <c r="B303" s="45">
        <f>VLOOKUP(Table534567910[[#This Row],[Date]],Database!A:E,MATCH($A$1,Database!$A$1:$E$1,),)</f>
        <v/>
      </c>
      <c r="C303" s="9">
        <f>(B303-B302)/B302</f>
        <v/>
      </c>
      <c r="D303" s="7">
        <f>(Table534567910[[#This Row],[Value]]-B291)/B291</f>
        <v/>
      </c>
      <c r="E303" s="16" t="n">
        <v>0.02</v>
      </c>
      <c r="F303" s="15" t="n">
        <v>9.5</v>
      </c>
    </row>
    <row r="304">
      <c r="A304" s="47" t="n">
        <v>30651</v>
      </c>
      <c r="B304" s="45">
        <f>VLOOKUP(Table534567910[[#This Row],[Date]],Database!A:E,MATCH($A$1,Database!$A$1:$E$1,),)</f>
        <v/>
      </c>
      <c r="C304" s="9">
        <f>(B304-B303)/B303</f>
        <v/>
      </c>
      <c r="D304" s="7">
        <f>(Table534567910[[#This Row],[Value]]-B292)/B292</f>
        <v/>
      </c>
      <c r="E304" s="16" t="n">
        <v>0.02</v>
      </c>
      <c r="F304" s="15" t="n">
        <v>9.5</v>
      </c>
    </row>
    <row r="305">
      <c r="A305" s="47" t="n">
        <v>30682</v>
      </c>
      <c r="B305" s="45">
        <f>VLOOKUP(Table534567910[[#This Row],[Date]],Database!A:E,MATCH($A$1,Database!$A$1:$E$1,),)</f>
        <v/>
      </c>
      <c r="C305" s="9">
        <f>(B305-B304)/B304</f>
        <v/>
      </c>
      <c r="D305" s="7">
        <f>(Table534567910[[#This Row],[Value]]-B293)/B293</f>
        <v/>
      </c>
      <c r="E305" s="16" t="n">
        <v>0.02</v>
      </c>
      <c r="F305" s="15" t="n">
        <v>9.5</v>
      </c>
    </row>
    <row r="306">
      <c r="A306" s="47" t="n">
        <v>30713</v>
      </c>
      <c r="B306" s="45">
        <f>VLOOKUP(Table534567910[[#This Row],[Date]],Database!A:E,MATCH($A$1,Database!$A$1:$E$1,),)</f>
        <v/>
      </c>
      <c r="C306" s="9">
        <f>(B306-B305)/B305</f>
        <v/>
      </c>
      <c r="D306" s="7">
        <f>(Table534567910[[#This Row],[Value]]-B294)/B294</f>
        <v/>
      </c>
      <c r="E306" s="16" t="n">
        <v>0.02</v>
      </c>
      <c r="F306" s="15" t="n">
        <v>9.5</v>
      </c>
    </row>
    <row r="307">
      <c r="A307" s="47" t="n">
        <v>30742</v>
      </c>
      <c r="B307" s="45">
        <f>VLOOKUP(Table534567910[[#This Row],[Date]],Database!A:E,MATCH($A$1,Database!$A$1:$E$1,),)</f>
        <v/>
      </c>
      <c r="C307" s="9">
        <f>(B307-B306)/B306</f>
        <v/>
      </c>
      <c r="D307" s="7">
        <f>(Table534567910[[#This Row],[Value]]-B295)/B295</f>
        <v/>
      </c>
      <c r="E307" s="16" t="n">
        <v>0.02</v>
      </c>
      <c r="F307" s="15" t="n">
        <v>10.5</v>
      </c>
    </row>
    <row r="308">
      <c r="A308" s="47" t="n">
        <v>30773</v>
      </c>
      <c r="B308" s="45">
        <f>VLOOKUP(Table534567910[[#This Row],[Date]],Database!A:E,MATCH($A$1,Database!$A$1:$E$1,),)</f>
        <v/>
      </c>
      <c r="C308" s="9">
        <f>(B308-B307)/B307</f>
        <v/>
      </c>
      <c r="D308" s="7">
        <f>(Table534567910[[#This Row],[Value]]-B296)/B296</f>
        <v/>
      </c>
      <c r="E308" s="16" t="n">
        <v>0.02</v>
      </c>
      <c r="F308" s="15" t="n">
        <v>10.5</v>
      </c>
    </row>
    <row r="309">
      <c r="A309" s="47" t="n">
        <v>30803</v>
      </c>
      <c r="B309" s="45">
        <f>VLOOKUP(Table534567910[[#This Row],[Date]],Database!A:E,MATCH($A$1,Database!$A$1:$E$1,),)</f>
        <v/>
      </c>
      <c r="C309" s="9">
        <f>(B309-B308)/B308</f>
        <v/>
      </c>
      <c r="D309" s="7">
        <f>(Table534567910[[#This Row],[Value]]-B297)/B297</f>
        <v/>
      </c>
      <c r="E309" s="16" t="n">
        <v>0.02</v>
      </c>
      <c r="F309" s="15" t="n">
        <v>10.5</v>
      </c>
    </row>
    <row r="310">
      <c r="A310" s="47" t="n">
        <v>30834</v>
      </c>
      <c r="B310" s="45">
        <f>VLOOKUP(Table534567910[[#This Row],[Date]],Database!A:E,MATCH($A$1,Database!$A$1:$E$1,),)</f>
        <v/>
      </c>
      <c r="C310" s="9">
        <f>(B310-B309)/B309</f>
        <v/>
      </c>
      <c r="D310" s="7">
        <f>(Table534567910[[#This Row],[Value]]-B298)/B298</f>
        <v/>
      </c>
      <c r="E310" s="16" t="n">
        <v>0.02</v>
      </c>
      <c r="F310" s="15" t="n">
        <v>10.5</v>
      </c>
    </row>
    <row r="311">
      <c r="A311" s="47" t="n">
        <v>30864</v>
      </c>
      <c r="B311" s="45">
        <f>VLOOKUP(Table534567910[[#This Row],[Date]],Database!A:E,MATCH($A$1,Database!$A$1:$E$1,),)</f>
        <v/>
      </c>
      <c r="C311" s="9">
        <f>(B311-B310)/B310</f>
        <v/>
      </c>
      <c r="D311" s="7">
        <f>(Table534567910[[#This Row],[Value]]-B299)/B299</f>
        <v/>
      </c>
      <c r="E311" s="16" t="n">
        <v>0.02</v>
      </c>
      <c r="F311" s="15" t="n">
        <v>11</v>
      </c>
    </row>
    <row r="312">
      <c r="A312" s="47" t="n">
        <v>30895</v>
      </c>
      <c r="B312" s="45">
        <f>VLOOKUP(Table534567910[[#This Row],[Date]],Database!A:E,MATCH($A$1,Database!$A$1:$E$1,),)</f>
        <v/>
      </c>
      <c r="C312" s="9">
        <f>(B312-B311)/B311</f>
        <v/>
      </c>
      <c r="D312" s="7">
        <f>(Table534567910[[#This Row],[Value]]-B300)/B300</f>
        <v/>
      </c>
      <c r="E312" s="16" t="n">
        <v>0.02</v>
      </c>
      <c r="F312" s="15" t="n">
        <v>11.75</v>
      </c>
    </row>
    <row r="313">
      <c r="A313" s="47" t="n">
        <v>30926</v>
      </c>
      <c r="B313" s="45">
        <f>VLOOKUP(Table534567910[[#This Row],[Date]],Database!A:E,MATCH($A$1,Database!$A$1:$E$1,),)</f>
        <v/>
      </c>
      <c r="C313" s="9">
        <f>(B313-B312)/B312</f>
        <v/>
      </c>
      <c r="D313" s="7">
        <f>(Table534567910[[#This Row],[Value]]-B301)/B301</f>
        <v/>
      </c>
      <c r="E313" s="16" t="n">
        <v>0.02</v>
      </c>
      <c r="F313" s="15" t="n">
        <v>11.75</v>
      </c>
    </row>
    <row r="314">
      <c r="A314" s="47" t="n">
        <v>30956</v>
      </c>
      <c r="B314" s="45">
        <f>VLOOKUP(Table534567910[[#This Row],[Date]],Database!A:E,MATCH($A$1,Database!$A$1:$E$1,),)</f>
        <v/>
      </c>
      <c r="C314" s="9">
        <f>(B314-B313)/B313</f>
        <v/>
      </c>
      <c r="D314" s="7">
        <f>(Table534567910[[#This Row],[Value]]-B302)/B302</f>
        <v/>
      </c>
      <c r="E314" s="16" t="n">
        <v>0.02</v>
      </c>
      <c r="F314" s="15" t="n">
        <v>10</v>
      </c>
    </row>
    <row r="315">
      <c r="A315" s="47" t="n">
        <v>30987</v>
      </c>
      <c r="B315" s="45">
        <f>VLOOKUP(Table534567910[[#This Row],[Date]],Database!A:E,MATCH($A$1,Database!$A$1:$E$1,),)</f>
        <v/>
      </c>
      <c r="C315" s="9">
        <f>(B315-B314)/B314</f>
        <v/>
      </c>
      <c r="D315" s="7">
        <f>(Table534567910[[#This Row],[Value]]-B303)/B303</f>
        <v/>
      </c>
      <c r="E315" s="16" t="n">
        <v>0.02</v>
      </c>
      <c r="F315" s="15" t="n">
        <v>9</v>
      </c>
    </row>
    <row r="316">
      <c r="A316" s="47" t="n">
        <v>31017</v>
      </c>
      <c r="B316" s="45">
        <f>VLOOKUP(Table534567910[[#This Row],[Date]],Database!A:E,MATCH($A$1,Database!$A$1:$E$1,),)</f>
        <v/>
      </c>
      <c r="C316" s="9">
        <f>(B316-B315)/B315</f>
        <v/>
      </c>
      <c r="D316" s="7">
        <f>(Table534567910[[#This Row],[Value]]-B304)/B304</f>
        <v/>
      </c>
      <c r="E316" s="16" t="n">
        <v>0.02</v>
      </c>
      <c r="F316" s="15" t="n">
        <v>8.25</v>
      </c>
    </row>
    <row r="317">
      <c r="A317" s="47" t="n">
        <v>31048</v>
      </c>
      <c r="B317" s="45">
        <f>VLOOKUP(Table534567910[[#This Row],[Date]],Database!A:E,MATCH($A$1,Database!$A$1:$E$1,),)</f>
        <v/>
      </c>
      <c r="C317" s="9">
        <f>(B317-B316)/B316</f>
        <v/>
      </c>
      <c r="D317" s="7">
        <f>(Table534567910[[#This Row],[Value]]-B305)/B305</f>
        <v/>
      </c>
      <c r="E317" s="16" t="n">
        <v>0.02</v>
      </c>
      <c r="F317" s="15" t="n">
        <v>8.25</v>
      </c>
    </row>
    <row r="318">
      <c r="A318" s="47" t="n">
        <v>31079</v>
      </c>
      <c r="B318" s="45">
        <f>VLOOKUP(Table534567910[[#This Row],[Date]],Database!A:E,MATCH($A$1,Database!$A$1:$E$1,),)</f>
        <v/>
      </c>
      <c r="C318" s="9">
        <f>(B318-B317)/B317</f>
        <v/>
      </c>
      <c r="D318" s="7">
        <f>(Table534567910[[#This Row],[Value]]-B306)/B306</f>
        <v/>
      </c>
      <c r="E318" s="16" t="n">
        <v>0.02</v>
      </c>
      <c r="F318" s="15" t="n">
        <v>9</v>
      </c>
    </row>
    <row r="319">
      <c r="A319" s="47" t="n">
        <v>31107</v>
      </c>
      <c r="B319" s="45">
        <f>VLOOKUP(Table534567910[[#This Row],[Date]],Database!A:E,MATCH($A$1,Database!$A$1:$E$1,),)</f>
        <v/>
      </c>
      <c r="C319" s="9">
        <f>(B319-B318)/B318</f>
        <v/>
      </c>
      <c r="D319" s="7">
        <f>(Table534567910[[#This Row],[Value]]-B307)/B307</f>
        <v/>
      </c>
      <c r="E319" s="16" t="n">
        <v>0.02</v>
      </c>
      <c r="F319" s="15" t="n">
        <v>8.5</v>
      </c>
    </row>
    <row r="320">
      <c r="A320" s="47" t="n">
        <v>31138</v>
      </c>
      <c r="B320" s="45">
        <f>VLOOKUP(Table534567910[[#This Row],[Date]],Database!A:E,MATCH($A$1,Database!$A$1:$E$1,),)</f>
        <v/>
      </c>
      <c r="C320" s="9">
        <f>(B320-B319)/B319</f>
        <v/>
      </c>
      <c r="D320" s="7">
        <f>(Table534567910[[#This Row],[Value]]-B308)/B308</f>
        <v/>
      </c>
      <c r="E320" s="16" t="n">
        <v>0.02</v>
      </c>
      <c r="F320" s="15" t="n">
        <v>8.25</v>
      </c>
    </row>
    <row r="321">
      <c r="A321" s="47" t="n">
        <v>31168</v>
      </c>
      <c r="B321" s="45">
        <f>VLOOKUP(Table534567910[[#This Row],[Date]],Database!A:E,MATCH($A$1,Database!$A$1:$E$1,),)</f>
        <v/>
      </c>
      <c r="C321" s="9">
        <f>(B321-B320)/B320</f>
        <v/>
      </c>
      <c r="D321" s="7">
        <f>(Table534567910[[#This Row],[Value]]-B309)/B309</f>
        <v/>
      </c>
      <c r="E321" s="16" t="n">
        <v>0.02</v>
      </c>
      <c r="F321" s="15" t="n">
        <v>7.75</v>
      </c>
    </row>
    <row r="322">
      <c r="A322" s="47" t="n">
        <v>31199</v>
      </c>
      <c r="B322" s="45">
        <f>VLOOKUP(Table534567910[[#This Row],[Date]],Database!A:E,MATCH($A$1,Database!$A$1:$E$1,),)</f>
        <v/>
      </c>
      <c r="C322" s="9">
        <f>(B322-B321)/B321</f>
        <v/>
      </c>
      <c r="D322" s="7">
        <f>(Table534567910[[#This Row],[Value]]-B310)/B310</f>
        <v/>
      </c>
      <c r="E322" s="16" t="n">
        <v>0.02</v>
      </c>
      <c r="F322" s="15" t="n">
        <v>7.75</v>
      </c>
    </row>
    <row r="323">
      <c r="A323" s="47" t="n">
        <v>31229</v>
      </c>
      <c r="B323" s="45">
        <f>VLOOKUP(Table534567910[[#This Row],[Date]],Database!A:E,MATCH($A$1,Database!$A$1:$E$1,),)</f>
        <v/>
      </c>
      <c r="C323" s="9">
        <f>(B323-B322)/B322</f>
        <v/>
      </c>
      <c r="D323" s="7">
        <f>(Table534567910[[#This Row],[Value]]-B311)/B311</f>
        <v/>
      </c>
      <c r="E323" s="16" t="n">
        <v>0.02</v>
      </c>
      <c r="F323" s="15" t="n">
        <v>7.75</v>
      </c>
    </row>
    <row r="324">
      <c r="A324" s="47" t="n">
        <v>31260</v>
      </c>
      <c r="B324" s="45">
        <f>VLOOKUP(Table534567910[[#This Row],[Date]],Database!A:E,MATCH($A$1,Database!$A$1:$E$1,),)</f>
        <v/>
      </c>
      <c r="C324" s="9">
        <f>(B324-B323)/B323</f>
        <v/>
      </c>
      <c r="D324" s="7">
        <f>(Table534567910[[#This Row],[Value]]-B312)/B312</f>
        <v/>
      </c>
      <c r="E324" s="16" t="n">
        <v>0.02</v>
      </c>
      <c r="F324" s="15" t="n">
        <v>8</v>
      </c>
    </row>
    <row r="325">
      <c r="A325" s="47" t="n">
        <v>31291</v>
      </c>
      <c r="B325" s="45">
        <f>VLOOKUP(Table534567910[[#This Row],[Date]],Database!A:E,MATCH($A$1,Database!$A$1:$E$1,),)</f>
        <v/>
      </c>
      <c r="C325" s="9">
        <f>(B325-B324)/B324</f>
        <v/>
      </c>
      <c r="D325" s="7">
        <f>(Table534567910[[#This Row],[Value]]-B313)/B313</f>
        <v/>
      </c>
      <c r="E325" s="16" t="n">
        <v>0.02</v>
      </c>
      <c r="F325" s="15" t="n">
        <v>8</v>
      </c>
    </row>
    <row r="326">
      <c r="A326" s="47" t="n">
        <v>31321</v>
      </c>
      <c r="B326" s="45">
        <f>VLOOKUP(Table534567910[[#This Row],[Date]],Database!A:E,MATCH($A$1,Database!$A$1:$E$1,),)</f>
        <v/>
      </c>
      <c r="C326" s="9">
        <f>(B326-B325)/B325</f>
        <v/>
      </c>
      <c r="D326" s="7">
        <f>(Table534567910[[#This Row],[Value]]-B314)/B314</f>
        <v/>
      </c>
      <c r="E326" s="16" t="n">
        <v>0.02</v>
      </c>
      <c r="F326" s="15" t="n">
        <v>8</v>
      </c>
    </row>
    <row r="327">
      <c r="A327" s="47" t="n">
        <v>31352</v>
      </c>
      <c r="B327" s="45">
        <f>VLOOKUP(Table534567910[[#This Row],[Date]],Database!A:E,MATCH($A$1,Database!$A$1:$E$1,),)</f>
        <v/>
      </c>
      <c r="C327" s="9">
        <f>(B327-B326)/B326</f>
        <v/>
      </c>
      <c r="D327" s="7">
        <f>(Table534567910[[#This Row],[Value]]-B315)/B315</f>
        <v/>
      </c>
      <c r="E327" s="16" t="n">
        <v>0.02</v>
      </c>
      <c r="F327" s="15" t="n">
        <v>8</v>
      </c>
    </row>
    <row r="328">
      <c r="A328" s="47" t="n">
        <v>31382</v>
      </c>
      <c r="B328" s="45">
        <f>VLOOKUP(Table534567910[[#This Row],[Date]],Database!A:E,MATCH($A$1,Database!$A$1:$E$1,),)</f>
        <v/>
      </c>
      <c r="C328" s="9">
        <f>(B328-B327)/B327</f>
        <v/>
      </c>
      <c r="D328" s="7">
        <f>(Table534567910[[#This Row],[Value]]-B316)/B316</f>
        <v/>
      </c>
      <c r="E328" s="16" t="n">
        <v>0.02</v>
      </c>
      <c r="F328" s="15" t="n">
        <v>7.75</v>
      </c>
    </row>
    <row r="329">
      <c r="A329" s="47" t="n">
        <v>31413</v>
      </c>
      <c r="B329" s="45">
        <f>VLOOKUP(Table534567910[[#This Row],[Date]],Database!A:E,MATCH($A$1,Database!$A$1:$E$1,),)</f>
        <v/>
      </c>
      <c r="C329" s="9">
        <f>(B329-B328)/B328</f>
        <v/>
      </c>
      <c r="D329" s="7">
        <f>(Table534567910[[#This Row],[Value]]-B317)/B317</f>
        <v/>
      </c>
      <c r="E329" s="16" t="n">
        <v>0.02</v>
      </c>
      <c r="F329" s="15" t="n">
        <v>7.75</v>
      </c>
    </row>
    <row r="330">
      <c r="A330" s="47" t="n">
        <v>31444</v>
      </c>
      <c r="B330" s="45">
        <f>VLOOKUP(Table534567910[[#This Row],[Date]],Database!A:E,MATCH($A$1,Database!$A$1:$E$1,),)</f>
        <v/>
      </c>
      <c r="C330" s="9">
        <f>(B330-B329)/B329</f>
        <v/>
      </c>
      <c r="D330" s="7">
        <f>(Table534567910[[#This Row],[Value]]-B318)/B318</f>
        <v/>
      </c>
      <c r="E330" s="16" t="n">
        <v>0.02</v>
      </c>
      <c r="F330" s="15" t="n">
        <v>7.75</v>
      </c>
    </row>
    <row r="331">
      <c r="A331" s="47" t="n">
        <v>31472</v>
      </c>
      <c r="B331" s="45">
        <f>VLOOKUP(Table534567910[[#This Row],[Date]],Database!A:E,MATCH($A$1,Database!$A$1:$E$1,),)</f>
        <v/>
      </c>
      <c r="C331" s="9">
        <f>(B331-B330)/B330</f>
        <v/>
      </c>
      <c r="D331" s="7">
        <f>(Table534567910[[#This Row],[Value]]-B319)/B319</f>
        <v/>
      </c>
      <c r="E331" s="16" t="n">
        <v>0.02</v>
      </c>
      <c r="F331" s="15" t="n">
        <v>7.25</v>
      </c>
    </row>
    <row r="332">
      <c r="A332" s="47" t="n">
        <v>31503</v>
      </c>
      <c r="B332" s="45">
        <f>VLOOKUP(Table534567910[[#This Row],[Date]],Database!A:E,MATCH($A$1,Database!$A$1:$E$1,),)</f>
        <v/>
      </c>
      <c r="C332" s="9">
        <f>(B332-B331)/B331</f>
        <v/>
      </c>
      <c r="D332" s="7">
        <f>(Table534567910[[#This Row],[Value]]-B320)/B320</f>
        <v/>
      </c>
      <c r="E332" s="16" t="n">
        <v>0.02</v>
      </c>
      <c r="F332" s="15" t="n">
        <v>6.75</v>
      </c>
    </row>
    <row r="333">
      <c r="A333" s="47" t="n">
        <v>31533</v>
      </c>
      <c r="B333" s="45">
        <f>VLOOKUP(Table534567910[[#This Row],[Date]],Database!A:E,MATCH($A$1,Database!$A$1:$E$1,),)</f>
        <v/>
      </c>
      <c r="C333" s="9">
        <f>(B333-B332)/B332</f>
        <v/>
      </c>
      <c r="D333" s="7">
        <f>(Table534567910[[#This Row],[Value]]-B321)/B321</f>
        <v/>
      </c>
      <c r="E333" s="16" t="n">
        <v>0.02</v>
      </c>
      <c r="F333" s="15" t="n">
        <v>6.88</v>
      </c>
    </row>
    <row r="334">
      <c r="A334" s="47" t="n">
        <v>31564</v>
      </c>
      <c r="B334" s="45">
        <f>VLOOKUP(Table534567910[[#This Row],[Date]],Database!A:E,MATCH($A$1,Database!$A$1:$E$1,),)</f>
        <v/>
      </c>
      <c r="C334" s="9">
        <f>(B334-B333)/B333</f>
        <v/>
      </c>
      <c r="D334" s="7">
        <f>(Table534567910[[#This Row],[Value]]-B322)/B322</f>
        <v/>
      </c>
      <c r="E334" s="16" t="n">
        <v>0.02</v>
      </c>
      <c r="F334" s="15" t="n">
        <v>6.88</v>
      </c>
    </row>
    <row r="335">
      <c r="A335" s="47" t="n">
        <v>31594</v>
      </c>
      <c r="B335" s="45">
        <f>VLOOKUP(Table534567910[[#This Row],[Date]],Database!A:E,MATCH($A$1,Database!$A$1:$E$1,),)</f>
        <v/>
      </c>
      <c r="C335" s="9">
        <f>(B335-B334)/B334</f>
        <v/>
      </c>
      <c r="D335" s="7">
        <f>(Table534567910[[#This Row],[Value]]-B323)/B323</f>
        <v/>
      </c>
      <c r="E335" s="16" t="n">
        <v>0.02</v>
      </c>
      <c r="F335" s="15" t="n">
        <v>6.38</v>
      </c>
    </row>
    <row r="336">
      <c r="A336" s="47" t="n">
        <v>31625</v>
      </c>
      <c r="B336" s="45">
        <f>VLOOKUP(Table534567910[[#This Row],[Date]],Database!A:E,MATCH($A$1,Database!$A$1:$E$1,),)</f>
        <v/>
      </c>
      <c r="C336" s="9">
        <f>(B336-B335)/B335</f>
        <v/>
      </c>
      <c r="D336" s="7">
        <f>(Table534567910[[#This Row],[Value]]-B324)/B324</f>
        <v/>
      </c>
      <c r="E336" s="16" t="n">
        <v>0.02</v>
      </c>
      <c r="F336" s="15" t="n">
        <v>5.88</v>
      </c>
    </row>
    <row r="337">
      <c r="A337" s="47" t="n">
        <v>31656</v>
      </c>
      <c r="B337" s="45">
        <f>VLOOKUP(Table534567910[[#This Row],[Date]],Database!A:E,MATCH($A$1,Database!$A$1:$E$1,),)</f>
        <v/>
      </c>
      <c r="C337" s="9">
        <f>(B337-B336)/B336</f>
        <v/>
      </c>
      <c r="D337" s="7">
        <f>(Table534567910[[#This Row],[Value]]-B325)/B325</f>
        <v/>
      </c>
      <c r="E337" s="16" t="n">
        <v>0.02</v>
      </c>
      <c r="F337" s="15" t="n">
        <v>5.88</v>
      </c>
    </row>
    <row r="338">
      <c r="A338" s="47" t="n">
        <v>31686</v>
      </c>
      <c r="B338" s="45">
        <f>VLOOKUP(Table534567910[[#This Row],[Date]],Database!A:E,MATCH($A$1,Database!$A$1:$E$1,),)</f>
        <v/>
      </c>
      <c r="C338" s="9">
        <f>(B338-B337)/B337</f>
        <v/>
      </c>
      <c r="D338" s="7">
        <f>(Table534567910[[#This Row],[Value]]-B326)/B326</f>
        <v/>
      </c>
      <c r="E338" s="16" t="n">
        <v>0.02</v>
      </c>
      <c r="F338" s="15" t="n">
        <v>5.88</v>
      </c>
    </row>
    <row r="339">
      <c r="A339" s="47" t="n">
        <v>31717</v>
      </c>
      <c r="B339" s="45">
        <f>VLOOKUP(Table534567910[[#This Row],[Date]],Database!A:E,MATCH($A$1,Database!$A$1:$E$1,),)</f>
        <v/>
      </c>
      <c r="C339" s="9">
        <f>(B339-B338)/B338</f>
        <v/>
      </c>
      <c r="D339" s="7">
        <f>(Table534567910[[#This Row],[Value]]-B327)/B327</f>
        <v/>
      </c>
      <c r="E339" s="16" t="n">
        <v>0.02</v>
      </c>
      <c r="F339" s="15" t="n">
        <v>5.88</v>
      </c>
    </row>
    <row r="340">
      <c r="A340" s="47" t="n">
        <v>31747</v>
      </c>
      <c r="B340" s="45">
        <f>VLOOKUP(Table534567910[[#This Row],[Date]],Database!A:E,MATCH($A$1,Database!$A$1:$E$1,),)</f>
        <v/>
      </c>
      <c r="C340" s="9">
        <f>(B340-B339)/B339</f>
        <v/>
      </c>
      <c r="D340" s="7">
        <f>(Table534567910[[#This Row],[Value]]-B328)/B328</f>
        <v/>
      </c>
      <c r="E340" s="16" t="n">
        <v>0.02</v>
      </c>
      <c r="F340" s="15" t="n">
        <v>6</v>
      </c>
    </row>
    <row r="341">
      <c r="A341" s="47" t="n">
        <v>31778</v>
      </c>
      <c r="B341" s="45">
        <f>VLOOKUP(Table534567910[[#This Row],[Date]],Database!A:E,MATCH($A$1,Database!$A$1:$E$1,),)</f>
        <v/>
      </c>
      <c r="C341" s="9">
        <f>(B341-B340)/B340</f>
        <v/>
      </c>
      <c r="D341" s="7">
        <f>(Table534567910[[#This Row],[Value]]-B329)/B329</f>
        <v/>
      </c>
      <c r="E341" s="16" t="n">
        <v>0.02</v>
      </c>
      <c r="F341" s="15" t="n">
        <v>6</v>
      </c>
    </row>
    <row r="342">
      <c r="A342" s="47" t="n">
        <v>31809</v>
      </c>
      <c r="B342" s="45">
        <f>VLOOKUP(Table534567910[[#This Row],[Date]],Database!A:E,MATCH($A$1,Database!$A$1:$E$1,),)</f>
        <v/>
      </c>
      <c r="C342" s="9">
        <f>(B342-B341)/B341</f>
        <v/>
      </c>
      <c r="D342" s="7">
        <f>(Table534567910[[#This Row],[Value]]-B330)/B330</f>
        <v/>
      </c>
      <c r="E342" s="16" t="n">
        <v>0.02</v>
      </c>
      <c r="F342" s="15" t="n">
        <v>6</v>
      </c>
    </row>
    <row r="343">
      <c r="A343" s="47" t="n">
        <v>31837</v>
      </c>
      <c r="B343" s="45">
        <f>VLOOKUP(Table534567910[[#This Row],[Date]],Database!A:E,MATCH($A$1,Database!$A$1:$E$1,),)</f>
        <v/>
      </c>
      <c r="C343" s="9">
        <f>(B343-B342)/B342</f>
        <v/>
      </c>
      <c r="D343" s="7">
        <f>(Table534567910[[#This Row],[Value]]-B331)/B331</f>
        <v/>
      </c>
      <c r="E343" s="16" t="n">
        <v>0.02</v>
      </c>
      <c r="F343" s="15" t="n">
        <v>6</v>
      </c>
    </row>
    <row r="344">
      <c r="A344" s="47" t="n">
        <v>31868</v>
      </c>
      <c r="B344" s="45">
        <f>VLOOKUP(Table534567910[[#This Row],[Date]],Database!A:E,MATCH($A$1,Database!$A$1:$E$1,),)</f>
        <v/>
      </c>
      <c r="C344" s="9">
        <f>(B344-B343)/B343</f>
        <v/>
      </c>
      <c r="D344" s="7">
        <f>(Table534567910[[#This Row],[Value]]-B332)/B332</f>
        <v/>
      </c>
      <c r="E344" s="16" t="n">
        <v>0.02</v>
      </c>
      <c r="F344" s="15" t="n">
        <v>6.5</v>
      </c>
    </row>
    <row r="345">
      <c r="A345" s="47" t="n">
        <v>31898</v>
      </c>
      <c r="B345" s="45">
        <f>VLOOKUP(Table534567910[[#This Row],[Date]],Database!A:E,MATCH($A$1,Database!$A$1:$E$1,),)</f>
        <v/>
      </c>
      <c r="C345" s="9">
        <f>(B345-B344)/B344</f>
        <v/>
      </c>
      <c r="D345" s="7">
        <f>(Table534567910[[#This Row],[Value]]-B333)/B333</f>
        <v/>
      </c>
      <c r="E345" s="16" t="n">
        <v>0.02</v>
      </c>
      <c r="F345" s="15" t="n">
        <v>6.75</v>
      </c>
    </row>
    <row r="346">
      <c r="A346" s="47" t="n">
        <v>31929</v>
      </c>
      <c r="B346" s="45">
        <f>VLOOKUP(Table534567910[[#This Row],[Date]],Database!A:E,MATCH($A$1,Database!$A$1:$E$1,),)</f>
        <v/>
      </c>
      <c r="C346" s="9">
        <f>(B346-B345)/B345</f>
        <v/>
      </c>
      <c r="D346" s="7">
        <f>(Table534567910[[#This Row],[Value]]-B334)/B334</f>
        <v/>
      </c>
      <c r="E346" s="16" t="n">
        <v>0.02</v>
      </c>
      <c r="F346" s="15" t="n">
        <v>6.75</v>
      </c>
    </row>
    <row r="347">
      <c r="A347" s="47" t="n">
        <v>31959</v>
      </c>
      <c r="B347" s="45">
        <f>VLOOKUP(Table534567910[[#This Row],[Date]],Database!A:E,MATCH($A$1,Database!$A$1:$E$1,),)</f>
        <v/>
      </c>
      <c r="C347" s="9">
        <f>(B347-B346)/B346</f>
        <v/>
      </c>
      <c r="D347" s="7">
        <f>(Table534567910[[#This Row],[Value]]-B335)/B335</f>
        <v/>
      </c>
      <c r="E347" s="16" t="n">
        <v>0.02</v>
      </c>
      <c r="F347" s="15" t="n">
        <v>6.75</v>
      </c>
    </row>
    <row r="348">
      <c r="A348" s="47" t="n">
        <v>31990</v>
      </c>
      <c r="B348" s="45">
        <f>VLOOKUP(Table534567910[[#This Row],[Date]],Database!A:E,MATCH($A$1,Database!$A$1:$E$1,),)</f>
        <v/>
      </c>
      <c r="C348" s="9">
        <f>(B348-B347)/B347</f>
        <v/>
      </c>
      <c r="D348" s="7">
        <f>(Table534567910[[#This Row],[Value]]-B336)/B336</f>
        <v/>
      </c>
      <c r="E348" s="16" t="n">
        <v>0.02</v>
      </c>
      <c r="F348" s="15" t="n">
        <v>6.75</v>
      </c>
    </row>
    <row r="349">
      <c r="A349" s="47" t="n">
        <v>32021</v>
      </c>
      <c r="B349" s="45">
        <f>VLOOKUP(Table534567910[[#This Row],[Date]],Database!A:E,MATCH($A$1,Database!$A$1:$E$1,),)</f>
        <v/>
      </c>
      <c r="C349" s="9">
        <f>(B349-B348)/B348</f>
        <v/>
      </c>
      <c r="D349" s="7">
        <f>(Table534567910[[#This Row],[Value]]-B337)/B337</f>
        <v/>
      </c>
      <c r="E349" s="16" t="n">
        <v>0.02</v>
      </c>
      <c r="F349" s="15" t="n">
        <v>7.25</v>
      </c>
    </row>
    <row r="350">
      <c r="A350" s="47" t="n">
        <v>32051</v>
      </c>
      <c r="B350" s="45">
        <f>VLOOKUP(Table534567910[[#This Row],[Date]],Database!A:E,MATCH($A$1,Database!$A$1:$E$1,),)</f>
        <v/>
      </c>
      <c r="C350" s="9">
        <f>(B350-B349)/B349</f>
        <v/>
      </c>
      <c r="D350" s="7">
        <f>(Table534567910[[#This Row],[Value]]-B338)/B338</f>
        <v/>
      </c>
      <c r="E350" s="16" t="n">
        <v>0.02</v>
      </c>
      <c r="F350" s="15" t="n">
        <v>6.88</v>
      </c>
    </row>
    <row r="351">
      <c r="A351" s="47" t="n">
        <v>32082</v>
      </c>
      <c r="B351" s="45">
        <f>VLOOKUP(Table534567910[[#This Row],[Date]],Database!A:E,MATCH($A$1,Database!$A$1:$E$1,),)</f>
        <v/>
      </c>
      <c r="C351" s="9">
        <f>(B351-B350)/B350</f>
        <v/>
      </c>
      <c r="D351" s="7">
        <f>(Table534567910[[#This Row],[Value]]-B339)/B339</f>
        <v/>
      </c>
      <c r="E351" s="16" t="n">
        <v>0.02</v>
      </c>
      <c r="F351" s="15" t="n">
        <v>6.88</v>
      </c>
    </row>
    <row r="352">
      <c r="A352" s="47" t="n">
        <v>32112</v>
      </c>
      <c r="B352" s="45">
        <f>VLOOKUP(Table534567910[[#This Row],[Date]],Database!A:E,MATCH($A$1,Database!$A$1:$E$1,),)</f>
        <v/>
      </c>
      <c r="C352" s="9">
        <f>(B352-B351)/B351</f>
        <v/>
      </c>
      <c r="D352" s="7">
        <f>(Table534567910[[#This Row],[Value]]-B340)/B340</f>
        <v/>
      </c>
      <c r="E352" s="16" t="n">
        <v>0.02</v>
      </c>
      <c r="F352" s="15" t="n">
        <v>6.88</v>
      </c>
    </row>
    <row r="353">
      <c r="A353" s="47" t="n">
        <v>32143</v>
      </c>
      <c r="B353" s="45">
        <f>VLOOKUP(Table534567910[[#This Row],[Date]],Database!A:E,MATCH($A$1,Database!$A$1:$E$1,),)</f>
        <v/>
      </c>
      <c r="C353" s="9">
        <f>(B353-B352)/B352</f>
        <v/>
      </c>
      <c r="D353" s="7">
        <f>(Table534567910[[#This Row],[Value]]-B341)/B341</f>
        <v/>
      </c>
      <c r="E353" s="16" t="n">
        <v>0.02</v>
      </c>
      <c r="F353" s="15" t="n">
        <v>6.63</v>
      </c>
    </row>
    <row r="354">
      <c r="A354" s="47" t="n">
        <v>32174</v>
      </c>
      <c r="B354" s="45">
        <f>VLOOKUP(Table534567910[[#This Row],[Date]],Database!A:E,MATCH($A$1,Database!$A$1:$E$1,),)</f>
        <v/>
      </c>
      <c r="C354" s="9">
        <f>(B354-B353)/B353</f>
        <v/>
      </c>
      <c r="D354" s="7">
        <f>(Table534567910[[#This Row],[Value]]-B342)/B342</f>
        <v/>
      </c>
      <c r="E354" s="16" t="n">
        <v>0.02</v>
      </c>
      <c r="F354" s="15" t="n">
        <v>6.5</v>
      </c>
    </row>
    <row r="355">
      <c r="A355" s="47" t="n">
        <v>32203</v>
      </c>
      <c r="B355" s="45">
        <f>VLOOKUP(Table534567910[[#This Row],[Date]],Database!A:E,MATCH($A$1,Database!$A$1:$E$1,),)</f>
        <v/>
      </c>
      <c r="C355" s="9">
        <f>(B355-B354)/B354</f>
        <v/>
      </c>
      <c r="D355" s="7">
        <f>(Table534567910[[#This Row],[Value]]-B343)/B343</f>
        <v/>
      </c>
      <c r="E355" s="16" t="n">
        <v>0.02</v>
      </c>
      <c r="F355" s="15" t="n">
        <v>6.75</v>
      </c>
    </row>
    <row r="356">
      <c r="A356" s="47" t="n">
        <v>32234</v>
      </c>
      <c r="B356" s="45">
        <f>VLOOKUP(Table534567910[[#This Row],[Date]],Database!A:E,MATCH($A$1,Database!$A$1:$E$1,),)</f>
        <v/>
      </c>
      <c r="C356" s="9">
        <f>(B356-B355)/B355</f>
        <v/>
      </c>
      <c r="D356" s="7">
        <f>(Table534567910[[#This Row],[Value]]-B344)/B344</f>
        <v/>
      </c>
      <c r="E356" s="16" t="n">
        <v>0.02</v>
      </c>
      <c r="F356" s="15" t="n">
        <v>6.75</v>
      </c>
    </row>
    <row r="357">
      <c r="A357" s="47" t="n">
        <v>32264</v>
      </c>
      <c r="B357" s="45">
        <f>VLOOKUP(Table534567910[[#This Row],[Date]],Database!A:E,MATCH($A$1,Database!$A$1:$E$1,),)</f>
        <v/>
      </c>
      <c r="C357" s="9">
        <f>(B357-B356)/B356</f>
        <v/>
      </c>
      <c r="D357" s="7">
        <f>(Table534567910[[#This Row],[Value]]-B345)/B345</f>
        <v/>
      </c>
      <c r="E357" s="16" t="n">
        <v>0.02</v>
      </c>
      <c r="F357" s="15" t="n">
        <v>7.25</v>
      </c>
    </row>
    <row r="358">
      <c r="A358" s="47" t="n">
        <v>32295</v>
      </c>
      <c r="B358" s="45">
        <f>VLOOKUP(Table534567910[[#This Row],[Date]],Database!A:E,MATCH($A$1,Database!$A$1:$E$1,),)</f>
        <v/>
      </c>
      <c r="C358" s="9">
        <f>(B358-B357)/B357</f>
        <v/>
      </c>
      <c r="D358" s="7">
        <f>(Table534567910[[#This Row],[Value]]-B346)/B346</f>
        <v/>
      </c>
      <c r="E358" s="16" t="n">
        <v>0.02</v>
      </c>
      <c r="F358" s="15" t="n">
        <v>7.5</v>
      </c>
    </row>
    <row r="359">
      <c r="A359" s="47" t="n">
        <v>32325</v>
      </c>
      <c r="B359" s="45">
        <f>VLOOKUP(Table534567910[[#This Row],[Date]],Database!A:E,MATCH($A$1,Database!$A$1:$E$1,),)</f>
        <v/>
      </c>
      <c r="C359" s="9">
        <f>(B359-B358)/B358</f>
        <v/>
      </c>
      <c r="D359" s="7">
        <f>(Table534567910[[#This Row],[Value]]-B347)/B347</f>
        <v/>
      </c>
      <c r="E359" s="16" t="n">
        <v>0.02</v>
      </c>
      <c r="F359" s="15" t="n">
        <v>7.75</v>
      </c>
    </row>
    <row r="360">
      <c r="A360" s="47" t="n">
        <v>32356</v>
      </c>
      <c r="B360" s="45">
        <f>VLOOKUP(Table534567910[[#This Row],[Date]],Database!A:E,MATCH($A$1,Database!$A$1:$E$1,),)</f>
        <v/>
      </c>
      <c r="C360" s="9">
        <f>(B360-B359)/B359</f>
        <v/>
      </c>
      <c r="D360" s="7">
        <f>(Table534567910[[#This Row],[Value]]-B348)/B348</f>
        <v/>
      </c>
      <c r="E360" s="16" t="n">
        <v>0.02</v>
      </c>
      <c r="F360" s="15" t="n">
        <v>8.25</v>
      </c>
    </row>
    <row r="361">
      <c r="A361" s="47" t="n">
        <v>32387</v>
      </c>
      <c r="B361" s="45">
        <f>VLOOKUP(Table534567910[[#This Row],[Date]],Database!A:E,MATCH($A$1,Database!$A$1:$E$1,),)</f>
        <v/>
      </c>
      <c r="C361" s="9">
        <f>(B361-B360)/B360</f>
        <v/>
      </c>
      <c r="D361" s="7">
        <f>(Table534567910[[#This Row],[Value]]-B349)/B349</f>
        <v/>
      </c>
      <c r="E361" s="16" t="n">
        <v>0.02</v>
      </c>
      <c r="F361" s="15" t="n">
        <v>8.25</v>
      </c>
    </row>
    <row r="362">
      <c r="A362" s="47" t="n">
        <v>32417</v>
      </c>
      <c r="B362" s="45">
        <f>VLOOKUP(Table534567910[[#This Row],[Date]],Database!A:E,MATCH($A$1,Database!$A$1:$E$1,),)</f>
        <v/>
      </c>
      <c r="C362" s="9">
        <f>(B362-B361)/B361</f>
        <v/>
      </c>
      <c r="D362" s="7">
        <f>(Table534567910[[#This Row],[Value]]-B350)/B350</f>
        <v/>
      </c>
      <c r="E362" s="16" t="n">
        <v>0.02</v>
      </c>
      <c r="F362" s="15" t="n">
        <v>8.25</v>
      </c>
    </row>
    <row r="363">
      <c r="A363" s="47" t="n">
        <v>32448</v>
      </c>
      <c r="B363" s="45">
        <f>VLOOKUP(Table534567910[[#This Row],[Date]],Database!A:E,MATCH($A$1,Database!$A$1:$E$1,),)</f>
        <v/>
      </c>
      <c r="C363" s="9">
        <f>(B363-B362)/B362</f>
        <v/>
      </c>
      <c r="D363" s="7">
        <f>(Table534567910[[#This Row],[Value]]-B351)/B351</f>
        <v/>
      </c>
      <c r="E363" s="16" t="n">
        <v>0.02</v>
      </c>
      <c r="F363" s="15" t="n">
        <v>8.380000000000001</v>
      </c>
    </row>
    <row r="364">
      <c r="A364" s="47" t="n">
        <v>32478</v>
      </c>
      <c r="B364" s="45">
        <f>VLOOKUP(Table534567910[[#This Row],[Date]],Database!A:E,MATCH($A$1,Database!$A$1:$E$1,),)</f>
        <v/>
      </c>
      <c r="C364" s="9">
        <f>(B364-B363)/B363</f>
        <v/>
      </c>
      <c r="D364" s="7">
        <f>(Table534567910[[#This Row],[Value]]-B352)/B352</f>
        <v/>
      </c>
      <c r="E364" s="16" t="n">
        <v>0.02</v>
      </c>
      <c r="F364" s="15" t="n">
        <v>8.75</v>
      </c>
    </row>
    <row r="365">
      <c r="A365" s="47" t="n">
        <v>32509</v>
      </c>
      <c r="B365" s="45">
        <f>VLOOKUP(Table534567910[[#This Row],[Date]],Database!A:E,MATCH($A$1,Database!$A$1:$E$1,),)</f>
        <v/>
      </c>
      <c r="C365" s="9">
        <f>(B365-B364)/B364</f>
        <v/>
      </c>
      <c r="D365" s="7">
        <f>(Table534567910[[#This Row],[Value]]-B353)/B353</f>
        <v/>
      </c>
      <c r="E365" s="16" t="n">
        <v>0.02</v>
      </c>
      <c r="F365" s="15" t="n">
        <v>8.75</v>
      </c>
    </row>
    <row r="366">
      <c r="A366" s="47" t="n">
        <v>32540</v>
      </c>
      <c r="B366" s="45">
        <f>VLOOKUP(Table534567910[[#This Row],[Date]],Database!A:E,MATCH($A$1,Database!$A$1:$E$1,),)</f>
        <v/>
      </c>
      <c r="C366" s="9">
        <f>(B366-B365)/B365</f>
        <v/>
      </c>
      <c r="D366" s="7">
        <f>(Table534567910[[#This Row],[Value]]-B354)/B354</f>
        <v/>
      </c>
      <c r="E366" s="16" t="n">
        <v>0.02</v>
      </c>
      <c r="F366" s="15" t="n">
        <v>9.75</v>
      </c>
    </row>
    <row r="367">
      <c r="A367" s="47" t="n">
        <v>32568</v>
      </c>
      <c r="B367" s="45">
        <f>VLOOKUP(Table534567910[[#This Row],[Date]],Database!A:E,MATCH($A$1,Database!$A$1:$E$1,),)</f>
        <v/>
      </c>
      <c r="C367" s="9">
        <f>(B367-B366)/B366</f>
        <v/>
      </c>
      <c r="D367" s="7">
        <f>(Table534567910[[#This Row],[Value]]-B355)/B355</f>
        <v/>
      </c>
      <c r="E367" s="16" t="n">
        <v>0.02</v>
      </c>
      <c r="F367" s="15" t="n">
        <v>9.75</v>
      </c>
    </row>
    <row r="368">
      <c r="A368" s="47" t="n">
        <v>32599</v>
      </c>
      <c r="B368" s="45">
        <f>VLOOKUP(Table534567910[[#This Row],[Date]],Database!A:E,MATCH($A$1,Database!$A$1:$E$1,),)</f>
        <v/>
      </c>
      <c r="C368" s="9">
        <f>(B368-B367)/B367</f>
        <v/>
      </c>
      <c r="D368" s="7">
        <f>(Table534567910[[#This Row],[Value]]-B356)/B356</f>
        <v/>
      </c>
      <c r="E368" s="16" t="n">
        <v>0.02</v>
      </c>
      <c r="F368" s="15" t="n">
        <v>9.75</v>
      </c>
    </row>
    <row r="369">
      <c r="A369" s="47" t="n">
        <v>32629</v>
      </c>
      <c r="B369" s="45">
        <f>VLOOKUP(Table534567910[[#This Row],[Date]],Database!A:E,MATCH($A$1,Database!$A$1:$E$1,),)</f>
        <v/>
      </c>
      <c r="C369" s="9">
        <f>(B369-B368)/B368</f>
        <v/>
      </c>
      <c r="D369" s="7">
        <f>(Table534567910[[#This Row],[Value]]-B357)/B357</f>
        <v/>
      </c>
      <c r="E369" s="16" t="n">
        <v>0.02</v>
      </c>
      <c r="F369" s="15" t="n">
        <v>9.75</v>
      </c>
    </row>
    <row r="370">
      <c r="A370" s="47" t="n">
        <v>32660</v>
      </c>
      <c r="B370" s="45">
        <f>VLOOKUP(Table534567910[[#This Row],[Date]],Database!A:E,MATCH($A$1,Database!$A$1:$E$1,),)</f>
        <v/>
      </c>
      <c r="C370" s="9">
        <f>(B370-B369)/B369</f>
        <v/>
      </c>
      <c r="D370" s="7">
        <f>(Table534567910[[#This Row],[Value]]-B358)/B358</f>
        <v/>
      </c>
      <c r="E370" s="16" t="n">
        <v>0.02</v>
      </c>
      <c r="F370" s="15" t="n">
        <v>9.630000000000001</v>
      </c>
    </row>
    <row r="371">
      <c r="A371" s="47" t="n">
        <v>32690</v>
      </c>
      <c r="B371" s="45">
        <f>VLOOKUP(Table534567910[[#This Row],[Date]],Database!A:E,MATCH($A$1,Database!$A$1:$E$1,),)</f>
        <v/>
      </c>
      <c r="C371" s="9">
        <f>(B371-B370)/B370</f>
        <v/>
      </c>
      <c r="D371" s="7">
        <f>(Table534567910[[#This Row],[Value]]-B359)/B359</f>
        <v/>
      </c>
      <c r="E371" s="16" t="n">
        <v>0.02</v>
      </c>
      <c r="F371" s="15" t="n">
        <v>9</v>
      </c>
    </row>
    <row r="372">
      <c r="A372" s="47" t="n">
        <v>32721</v>
      </c>
      <c r="B372" s="45">
        <f>VLOOKUP(Table534567910[[#This Row],[Date]],Database!A:E,MATCH($A$1,Database!$A$1:$E$1,),)</f>
        <v/>
      </c>
      <c r="C372" s="9">
        <f>(B372-B371)/B371</f>
        <v/>
      </c>
      <c r="D372" s="7">
        <f>(Table534567910[[#This Row],[Value]]-B360)/B360</f>
        <v/>
      </c>
      <c r="E372" s="16" t="n">
        <v>0.02</v>
      </c>
      <c r="F372" s="15" t="n">
        <v>9</v>
      </c>
    </row>
    <row r="373">
      <c r="A373" s="47" t="n">
        <v>32752</v>
      </c>
      <c r="B373" s="45">
        <f>VLOOKUP(Table534567910[[#This Row],[Date]],Database!A:E,MATCH($A$1,Database!$A$1:$E$1,),)</f>
        <v/>
      </c>
      <c r="C373" s="9">
        <f>(B373-B372)/B372</f>
        <v/>
      </c>
      <c r="D373" s="7">
        <f>(Table534567910[[#This Row],[Value]]-B361)/B361</f>
        <v/>
      </c>
      <c r="E373" s="16" t="n">
        <v>0.02</v>
      </c>
      <c r="F373" s="15" t="n">
        <v>9</v>
      </c>
    </row>
    <row r="374">
      <c r="A374" s="47" t="n">
        <v>32782</v>
      </c>
      <c r="B374" s="45">
        <f>VLOOKUP(Table534567910[[#This Row],[Date]],Database!A:E,MATCH($A$1,Database!$A$1:$E$1,),)</f>
        <v/>
      </c>
      <c r="C374" s="9">
        <f>(B374-B373)/B373</f>
        <v/>
      </c>
      <c r="D374" s="7">
        <f>(Table534567910[[#This Row],[Value]]-B362)/B362</f>
        <v/>
      </c>
      <c r="E374" s="16" t="n">
        <v>0.02</v>
      </c>
      <c r="F374" s="15" t="n">
        <v>8.5</v>
      </c>
    </row>
    <row r="375">
      <c r="A375" s="47" t="n">
        <v>32813</v>
      </c>
      <c r="B375" s="45">
        <f>VLOOKUP(Table534567910[[#This Row],[Date]],Database!A:E,MATCH($A$1,Database!$A$1:$E$1,),)</f>
        <v/>
      </c>
      <c r="C375" s="9">
        <f>(B375-B374)/B374</f>
        <v/>
      </c>
      <c r="D375" s="7">
        <f>(Table534567910[[#This Row],[Value]]-B363)/B363</f>
        <v/>
      </c>
      <c r="E375" s="16" t="n">
        <v>0.02</v>
      </c>
      <c r="F375" s="15" t="n">
        <v>8.5</v>
      </c>
    </row>
    <row r="376">
      <c r="A376" s="47" t="n">
        <v>32843</v>
      </c>
      <c r="B376" s="45">
        <f>VLOOKUP(Table534567910[[#This Row],[Date]],Database!A:E,MATCH($A$1,Database!$A$1:$E$1,),)</f>
        <v/>
      </c>
      <c r="C376" s="9">
        <f>(B376-B375)/B375</f>
        <v/>
      </c>
      <c r="D376" s="7">
        <f>(Table534567910[[#This Row],[Value]]-B364)/B364</f>
        <v/>
      </c>
      <c r="E376" s="16" t="n">
        <v>0.02</v>
      </c>
      <c r="F376" s="15" t="n">
        <v>8.25</v>
      </c>
    </row>
    <row r="377">
      <c r="A377" s="47" t="n">
        <v>32874</v>
      </c>
      <c r="B377" s="45">
        <f>VLOOKUP(Table534567910[[#This Row],[Date]],Database!A:E,MATCH($A$1,Database!$A$1:$E$1,),)</f>
        <v/>
      </c>
      <c r="C377" s="9">
        <f>(B377-B376)/B376</f>
        <v/>
      </c>
      <c r="D377" s="7">
        <f>(Table534567910[[#This Row],[Value]]-B365)/B365</f>
        <v/>
      </c>
      <c r="E377" s="16" t="n">
        <v>0.02</v>
      </c>
      <c r="F377" s="15" t="n">
        <v>8.25</v>
      </c>
    </row>
    <row r="378">
      <c r="A378" s="47" t="n">
        <v>32905</v>
      </c>
      <c r="B378" s="45">
        <f>VLOOKUP(Table534567910[[#This Row],[Date]],Database!A:E,MATCH($A$1,Database!$A$1:$E$1,),)</f>
        <v/>
      </c>
      <c r="C378" s="9">
        <f>(B378-B377)/B377</f>
        <v/>
      </c>
      <c r="D378" s="7">
        <f>(Table534567910[[#This Row],[Value]]-B366)/B366</f>
        <v/>
      </c>
      <c r="E378" s="16" t="n">
        <v>0.02</v>
      </c>
      <c r="F378" s="15" t="n">
        <v>8.25</v>
      </c>
    </row>
    <row r="379">
      <c r="A379" s="47" t="n">
        <v>32933</v>
      </c>
      <c r="B379" s="45">
        <f>VLOOKUP(Table534567910[[#This Row],[Date]],Database!A:E,MATCH($A$1,Database!$A$1:$E$1,),)</f>
        <v/>
      </c>
      <c r="C379" s="9">
        <f>(B379-B378)/B378</f>
        <v/>
      </c>
      <c r="D379" s="7">
        <f>(Table534567910[[#This Row],[Value]]-B367)/B367</f>
        <v/>
      </c>
      <c r="E379" s="16" t="n">
        <v>0.02</v>
      </c>
      <c r="F379" s="15" t="n">
        <v>8.25</v>
      </c>
    </row>
    <row r="380">
      <c r="A380" s="47" t="n">
        <v>32964</v>
      </c>
      <c r="B380" s="45">
        <f>VLOOKUP(Table534567910[[#This Row],[Date]],Database!A:E,MATCH($A$1,Database!$A$1:$E$1,),)</f>
        <v/>
      </c>
      <c r="C380" s="9">
        <f>(B380-B379)/B379</f>
        <v/>
      </c>
      <c r="D380" s="7">
        <f>(Table534567910[[#This Row],[Value]]-B368)/B368</f>
        <v/>
      </c>
      <c r="E380" s="16" t="n">
        <v>0.02</v>
      </c>
      <c r="F380" s="15" t="n">
        <v>8.25</v>
      </c>
    </row>
    <row r="381">
      <c r="A381" s="47" t="n">
        <v>32994</v>
      </c>
      <c r="B381" s="45">
        <f>VLOOKUP(Table534567910[[#This Row],[Date]],Database!A:E,MATCH($A$1,Database!$A$1:$E$1,),)</f>
        <v/>
      </c>
      <c r="C381" s="9">
        <f>(B381-B380)/B380</f>
        <v/>
      </c>
      <c r="D381" s="7">
        <f>(Table534567910[[#This Row],[Value]]-B369)/B369</f>
        <v/>
      </c>
      <c r="E381" s="16" t="n">
        <v>0.02</v>
      </c>
      <c r="F381" s="15" t="n">
        <v>8.25</v>
      </c>
    </row>
    <row r="382">
      <c r="A382" s="47" t="n">
        <v>33025</v>
      </c>
      <c r="B382" s="45">
        <f>VLOOKUP(Table534567910[[#This Row],[Date]],Database!A:E,MATCH($A$1,Database!$A$1:$E$1,),)</f>
        <v/>
      </c>
      <c r="C382" s="9">
        <f>(B382-B381)/B381</f>
        <v/>
      </c>
      <c r="D382" s="7">
        <f>(Table534567910[[#This Row],[Value]]-B370)/B370</f>
        <v/>
      </c>
      <c r="E382" s="16" t="n">
        <v>0.02</v>
      </c>
      <c r="F382" s="15" t="n">
        <v>8.25</v>
      </c>
    </row>
    <row r="383">
      <c r="A383" s="47" t="n">
        <v>33055</v>
      </c>
      <c r="B383" s="45">
        <f>VLOOKUP(Table534567910[[#This Row],[Date]],Database!A:E,MATCH($A$1,Database!$A$1:$E$1,),)</f>
        <v/>
      </c>
      <c r="C383" s="9">
        <f>(B383-B382)/B382</f>
        <v/>
      </c>
      <c r="D383" s="7">
        <f>(Table534567910[[#This Row],[Value]]-B371)/B371</f>
        <v/>
      </c>
      <c r="E383" s="16" t="n">
        <v>0.02</v>
      </c>
      <c r="F383" s="15" t="n">
        <v>8</v>
      </c>
    </row>
    <row r="384">
      <c r="A384" s="47" t="n">
        <v>33086</v>
      </c>
      <c r="B384" s="45">
        <f>VLOOKUP(Table534567910[[#This Row],[Date]],Database!A:E,MATCH($A$1,Database!$A$1:$E$1,),)</f>
        <v/>
      </c>
      <c r="C384" s="9">
        <f>(B384-B383)/B383</f>
        <v/>
      </c>
      <c r="D384" s="7">
        <f>(Table534567910[[#This Row],[Value]]-B372)/B372</f>
        <v/>
      </c>
      <c r="E384" s="16" t="n">
        <v>0.02</v>
      </c>
      <c r="F384" s="15" t="n">
        <v>8</v>
      </c>
    </row>
    <row r="385">
      <c r="A385" s="47" t="n">
        <v>33117</v>
      </c>
      <c r="B385" s="45">
        <f>VLOOKUP(Table534567910[[#This Row],[Date]],Database!A:E,MATCH($A$1,Database!$A$1:$E$1,),)</f>
        <v/>
      </c>
      <c r="C385" s="9">
        <f>(B385-B384)/B384</f>
        <v/>
      </c>
      <c r="D385" s="7">
        <f>(Table534567910[[#This Row],[Value]]-B373)/B373</f>
        <v/>
      </c>
      <c r="E385" s="16" t="n">
        <v>0.02</v>
      </c>
      <c r="F385" s="15" t="n">
        <v>8</v>
      </c>
    </row>
    <row r="386">
      <c r="A386" s="47" t="n">
        <v>33147</v>
      </c>
      <c r="B386" s="45">
        <f>VLOOKUP(Table534567910[[#This Row],[Date]],Database!A:E,MATCH($A$1,Database!$A$1:$E$1,),)</f>
        <v/>
      </c>
      <c r="C386" s="9">
        <f>(B386-B385)/B385</f>
        <v/>
      </c>
      <c r="D386" s="7">
        <f>(Table534567910[[#This Row],[Value]]-B374)/B374</f>
        <v/>
      </c>
      <c r="E386" s="16" t="n">
        <v>0.02</v>
      </c>
      <c r="F386" s="15" t="n">
        <v>7.75</v>
      </c>
    </row>
    <row r="387">
      <c r="A387" s="47" t="n">
        <v>33178</v>
      </c>
      <c r="B387" s="45">
        <f>VLOOKUP(Table534567910[[#This Row],[Date]],Database!A:E,MATCH($A$1,Database!$A$1:$E$1,),)</f>
        <v/>
      </c>
      <c r="C387" s="9">
        <f>(B387-B386)/B386</f>
        <v/>
      </c>
      <c r="D387" s="7">
        <f>(Table534567910[[#This Row],[Value]]-B375)/B375</f>
        <v/>
      </c>
      <c r="E387" s="16" t="n">
        <v>0.02</v>
      </c>
      <c r="F387" s="15" t="n">
        <v>7.5</v>
      </c>
    </row>
    <row r="388">
      <c r="A388" s="47" t="n">
        <v>33208</v>
      </c>
      <c r="B388" s="45">
        <f>VLOOKUP(Table534567910[[#This Row],[Date]],Database!A:E,MATCH($A$1,Database!$A$1:$E$1,),)</f>
        <v/>
      </c>
      <c r="C388" s="9">
        <f>(B388-B387)/B387</f>
        <v/>
      </c>
      <c r="D388" s="7">
        <f>(Table534567910[[#This Row],[Value]]-B376)/B376</f>
        <v/>
      </c>
      <c r="E388" s="16" t="n">
        <v>0.02</v>
      </c>
      <c r="F388" s="15" t="n">
        <v>7</v>
      </c>
    </row>
    <row r="389">
      <c r="A389" s="47" t="n">
        <v>33239</v>
      </c>
      <c r="B389" s="45">
        <f>VLOOKUP(Table534567910[[#This Row],[Date]],Database!A:E,MATCH($A$1,Database!$A$1:$E$1,),)</f>
        <v/>
      </c>
      <c r="C389" s="9">
        <f>(B389-B388)/B388</f>
        <v/>
      </c>
      <c r="D389" s="7">
        <f>(Table534567910[[#This Row],[Value]]-B377)/B377</f>
        <v/>
      </c>
      <c r="E389" s="16" t="n">
        <v>0.02</v>
      </c>
      <c r="F389" s="15" t="n">
        <v>6.75</v>
      </c>
    </row>
    <row r="390">
      <c r="A390" s="47" t="n">
        <v>33270</v>
      </c>
      <c r="B390" s="45">
        <f>VLOOKUP(Table534567910[[#This Row],[Date]],Database!A:E,MATCH($A$1,Database!$A$1:$E$1,),)</f>
        <v/>
      </c>
      <c r="C390" s="9">
        <f>(B390-B389)/B389</f>
        <v/>
      </c>
      <c r="D390" s="7">
        <f>(Table534567910[[#This Row],[Value]]-B378)/B378</f>
        <v/>
      </c>
      <c r="E390" s="16" t="n">
        <v>0.02</v>
      </c>
      <c r="F390" s="15" t="n">
        <v>6.25</v>
      </c>
    </row>
    <row r="391">
      <c r="A391" s="47" t="n">
        <v>33298</v>
      </c>
      <c r="B391" s="45">
        <f>VLOOKUP(Table534567910[[#This Row],[Date]],Database!A:E,MATCH($A$1,Database!$A$1:$E$1,),)</f>
        <v/>
      </c>
      <c r="C391" s="9">
        <f>(B391-B390)/B390</f>
        <v/>
      </c>
      <c r="D391" s="7">
        <f>(Table534567910[[#This Row],[Value]]-B379)/B379</f>
        <v/>
      </c>
      <c r="E391" s="16" t="n">
        <v>0.02</v>
      </c>
      <c r="F391" s="15" t="n">
        <v>6</v>
      </c>
    </row>
    <row r="392">
      <c r="A392" s="47" t="n">
        <v>33329</v>
      </c>
      <c r="B392" s="45">
        <f>VLOOKUP(Table534567910[[#This Row],[Date]],Database!A:E,MATCH($A$1,Database!$A$1:$E$1,),)</f>
        <v/>
      </c>
      <c r="C392" s="9">
        <f>(B392-B391)/B391</f>
        <v/>
      </c>
      <c r="D392" s="7">
        <f>(Table534567910[[#This Row],[Value]]-B380)/B380</f>
        <v/>
      </c>
      <c r="E392" s="16" t="n">
        <v>0.02</v>
      </c>
      <c r="F392" s="15" t="n">
        <v>5.75</v>
      </c>
    </row>
    <row r="393">
      <c r="A393" s="47" t="n">
        <v>33359</v>
      </c>
      <c r="B393" s="45">
        <f>VLOOKUP(Table534567910[[#This Row],[Date]],Database!A:E,MATCH($A$1,Database!$A$1:$E$1,),)</f>
        <v/>
      </c>
      <c r="C393" s="9">
        <f>(B393-B392)/B392</f>
        <v/>
      </c>
      <c r="D393" s="7">
        <f>(Table534567910[[#This Row],[Value]]-B381)/B381</f>
        <v/>
      </c>
      <c r="E393" s="16" t="n">
        <v>0.02</v>
      </c>
      <c r="F393" s="15" t="n">
        <v>5.75</v>
      </c>
    </row>
    <row r="394">
      <c r="A394" s="47" t="n">
        <v>33390</v>
      </c>
      <c r="B394" s="45">
        <f>VLOOKUP(Table534567910[[#This Row],[Date]],Database!A:E,MATCH($A$1,Database!$A$1:$E$1,),)</f>
        <v/>
      </c>
      <c r="C394" s="9">
        <f>(B394-B393)/B393</f>
        <v/>
      </c>
      <c r="D394" s="7">
        <f>(Table534567910[[#This Row],[Value]]-B382)/B382</f>
        <v/>
      </c>
      <c r="E394" s="16" t="n">
        <v>0.02</v>
      </c>
      <c r="F394" s="15" t="n">
        <v>5.75</v>
      </c>
    </row>
    <row r="395">
      <c r="A395" s="47" t="n">
        <v>33420</v>
      </c>
      <c r="B395" s="45">
        <f>VLOOKUP(Table534567910[[#This Row],[Date]],Database!A:E,MATCH($A$1,Database!$A$1:$E$1,),)</f>
        <v/>
      </c>
      <c r="C395" s="9">
        <f>(B395-B394)/B394</f>
        <v/>
      </c>
      <c r="D395" s="7">
        <f>(Table534567910[[#This Row],[Value]]-B383)/B383</f>
        <v/>
      </c>
      <c r="E395" s="16" t="n">
        <v>0.02</v>
      </c>
      <c r="F395" s="15" t="n">
        <v>5.75</v>
      </c>
    </row>
    <row r="396">
      <c r="A396" s="47" t="n">
        <v>33451</v>
      </c>
      <c r="B396" s="45">
        <f>VLOOKUP(Table534567910[[#This Row],[Date]],Database!A:E,MATCH($A$1,Database!$A$1:$E$1,),)</f>
        <v/>
      </c>
      <c r="C396" s="9">
        <f>(B396-B395)/B395</f>
        <v/>
      </c>
      <c r="D396" s="7">
        <f>(Table534567910[[#This Row],[Value]]-B384)/B384</f>
        <v/>
      </c>
      <c r="E396" s="16" t="n">
        <v>0.02</v>
      </c>
      <c r="F396" s="15" t="n">
        <v>5.5</v>
      </c>
    </row>
    <row r="397">
      <c r="A397" s="47" t="n">
        <v>33482</v>
      </c>
      <c r="B397" s="45">
        <f>VLOOKUP(Table534567910[[#This Row],[Date]],Database!A:E,MATCH($A$1,Database!$A$1:$E$1,),)</f>
        <v/>
      </c>
      <c r="C397" s="9">
        <f>(B397-B396)/B396</f>
        <v/>
      </c>
      <c r="D397" s="7">
        <f>(Table534567910[[#This Row],[Value]]-B385)/B385</f>
        <v/>
      </c>
      <c r="E397" s="16" t="n">
        <v>0.02</v>
      </c>
      <c r="F397" s="15" t="n">
        <v>5.25</v>
      </c>
    </row>
    <row r="398">
      <c r="A398" s="47" t="n">
        <v>33512</v>
      </c>
      <c r="B398" s="45">
        <f>VLOOKUP(Table534567910[[#This Row],[Date]],Database!A:E,MATCH($A$1,Database!$A$1:$E$1,),)</f>
        <v/>
      </c>
      <c r="C398" s="9">
        <f>(B398-B397)/B397</f>
        <v/>
      </c>
      <c r="D398" s="7">
        <f>(Table534567910[[#This Row],[Value]]-B386)/B386</f>
        <v/>
      </c>
      <c r="E398" s="16" t="n">
        <v>0.02</v>
      </c>
      <c r="F398" s="15" t="n">
        <v>5</v>
      </c>
    </row>
    <row r="399">
      <c r="A399" s="47" t="n">
        <v>33543</v>
      </c>
      <c r="B399" s="45">
        <f>VLOOKUP(Table534567910[[#This Row],[Date]],Database!A:E,MATCH($A$1,Database!$A$1:$E$1,),)</f>
        <v/>
      </c>
      <c r="C399" s="9">
        <f>(B399-B398)/B398</f>
        <v/>
      </c>
      <c r="D399" s="7">
        <f>(Table534567910[[#This Row],[Value]]-B387)/B387</f>
        <v/>
      </c>
      <c r="E399" s="16" t="n">
        <v>0.02</v>
      </c>
      <c r="F399" s="15" t="n">
        <v>4.75</v>
      </c>
    </row>
    <row r="400">
      <c r="A400" s="47" t="n">
        <v>33573</v>
      </c>
      <c r="B400" s="45">
        <f>VLOOKUP(Table534567910[[#This Row],[Date]],Database!A:E,MATCH($A$1,Database!$A$1:$E$1,),)</f>
        <v/>
      </c>
      <c r="C400" s="9">
        <f>(B400-B399)/B399</f>
        <v/>
      </c>
      <c r="D400" s="7">
        <f>(Table534567910[[#This Row],[Value]]-B388)/B388</f>
        <v/>
      </c>
      <c r="E400" s="16" t="n">
        <v>0.02</v>
      </c>
      <c r="F400" s="15" t="n">
        <v>4</v>
      </c>
    </row>
    <row r="401">
      <c r="A401" s="47" t="n">
        <v>33604</v>
      </c>
      <c r="B401" s="45">
        <f>VLOOKUP(Table534567910[[#This Row],[Date]],Database!A:E,MATCH($A$1,Database!$A$1:$E$1,),)</f>
        <v/>
      </c>
      <c r="C401" s="9">
        <f>(B401-B400)/B400</f>
        <v/>
      </c>
      <c r="D401" s="7">
        <f>(Table534567910[[#This Row],[Value]]-B389)/B389</f>
        <v/>
      </c>
      <c r="E401" s="16" t="n">
        <v>0.02</v>
      </c>
      <c r="F401" s="15" t="n">
        <v>4</v>
      </c>
    </row>
    <row r="402">
      <c r="A402" s="47" t="n">
        <v>33635</v>
      </c>
      <c r="B402" s="45">
        <f>VLOOKUP(Table534567910[[#This Row],[Date]],Database!A:E,MATCH($A$1,Database!$A$1:$E$1,),)</f>
        <v/>
      </c>
      <c r="C402" s="9">
        <f>(B402-B401)/B401</f>
        <v/>
      </c>
      <c r="D402" s="7">
        <f>(Table534567910[[#This Row],[Value]]-B390)/B390</f>
        <v/>
      </c>
      <c r="E402" s="16" t="n">
        <v>0.02</v>
      </c>
      <c r="F402" s="15" t="n">
        <v>4</v>
      </c>
    </row>
    <row r="403">
      <c r="A403" s="47" t="n">
        <v>33664</v>
      </c>
      <c r="B403" s="45">
        <f>VLOOKUP(Table534567910[[#This Row],[Date]],Database!A:E,MATCH($A$1,Database!$A$1:$E$1,),)</f>
        <v/>
      </c>
      <c r="C403" s="9">
        <f>(B403-B402)/B402</f>
        <v/>
      </c>
      <c r="D403" s="7">
        <f>(Table534567910[[#This Row],[Value]]-B391)/B391</f>
        <v/>
      </c>
      <c r="E403" s="16" t="n">
        <v>0.02</v>
      </c>
      <c r="F403" s="15" t="n">
        <v>4</v>
      </c>
    </row>
    <row r="404">
      <c r="A404" s="47" t="n">
        <v>33695</v>
      </c>
      <c r="B404" s="45">
        <f>VLOOKUP(Table534567910[[#This Row],[Date]],Database!A:E,MATCH($A$1,Database!$A$1:$E$1,),)</f>
        <v/>
      </c>
      <c r="C404" s="9">
        <f>(B404-B403)/B403</f>
        <v/>
      </c>
      <c r="D404" s="7">
        <f>(Table534567910[[#This Row],[Value]]-B392)/B392</f>
        <v/>
      </c>
      <c r="E404" s="16" t="n">
        <v>0.02</v>
      </c>
      <c r="F404" s="15" t="n">
        <v>3.75</v>
      </c>
    </row>
    <row r="405">
      <c r="A405" s="47" t="n">
        <v>33725</v>
      </c>
      <c r="B405" s="45">
        <f>VLOOKUP(Table534567910[[#This Row],[Date]],Database!A:E,MATCH($A$1,Database!$A$1:$E$1,),)</f>
        <v/>
      </c>
      <c r="C405" s="9">
        <f>(B405-B404)/B404</f>
        <v/>
      </c>
      <c r="D405" s="7">
        <f>(Table534567910[[#This Row],[Value]]-B393)/B393</f>
        <v/>
      </c>
      <c r="E405" s="16" t="n">
        <v>0.02</v>
      </c>
      <c r="F405" s="15" t="n">
        <v>3.75</v>
      </c>
    </row>
    <row r="406">
      <c r="A406" s="47" t="n">
        <v>33756</v>
      </c>
      <c r="B406" s="45">
        <f>VLOOKUP(Table534567910[[#This Row],[Date]],Database!A:E,MATCH($A$1,Database!$A$1:$E$1,),)</f>
        <v/>
      </c>
      <c r="C406" s="9">
        <f>(B406-B405)/B405</f>
        <v/>
      </c>
      <c r="D406" s="7">
        <f>(Table534567910[[#This Row],[Value]]-B394)/B394</f>
        <v/>
      </c>
      <c r="E406" s="16" t="n">
        <v>0.02</v>
      </c>
      <c r="F406" s="15" t="n">
        <v>3.75</v>
      </c>
    </row>
    <row r="407">
      <c r="A407" s="47" t="n">
        <v>33786</v>
      </c>
      <c r="B407" s="45">
        <f>VLOOKUP(Table534567910[[#This Row],[Date]],Database!A:E,MATCH($A$1,Database!$A$1:$E$1,),)</f>
        <v/>
      </c>
      <c r="C407" s="9">
        <f>(B407-B406)/B406</f>
        <v/>
      </c>
      <c r="D407" s="7">
        <f>(Table534567910[[#This Row],[Value]]-B395)/B395</f>
        <v/>
      </c>
      <c r="E407" s="16" t="n">
        <v>0.02</v>
      </c>
      <c r="F407" s="15" t="n">
        <v>3.25</v>
      </c>
    </row>
    <row r="408">
      <c r="A408" s="47" t="n">
        <v>33817</v>
      </c>
      <c r="B408" s="45">
        <f>VLOOKUP(Table534567910[[#This Row],[Date]],Database!A:E,MATCH($A$1,Database!$A$1:$E$1,),)</f>
        <v/>
      </c>
      <c r="C408" s="9">
        <f>(B408-B407)/B407</f>
        <v/>
      </c>
      <c r="D408" s="7">
        <f>(Table534567910[[#This Row],[Value]]-B396)/B396</f>
        <v/>
      </c>
      <c r="E408" s="16" t="n">
        <v>0.02</v>
      </c>
      <c r="F408" s="15" t="n">
        <v>3.25</v>
      </c>
    </row>
    <row r="409">
      <c r="A409" s="47" t="n">
        <v>33848</v>
      </c>
      <c r="B409" s="45">
        <f>VLOOKUP(Table534567910[[#This Row],[Date]],Database!A:E,MATCH($A$1,Database!$A$1:$E$1,),)</f>
        <v/>
      </c>
      <c r="C409" s="9">
        <f>(B409-B408)/B408</f>
        <v/>
      </c>
      <c r="D409" s="7">
        <f>(Table534567910[[#This Row],[Value]]-B397)/B397</f>
        <v/>
      </c>
      <c r="E409" s="16" t="n">
        <v>0.02</v>
      </c>
      <c r="F409" s="15" t="n">
        <v>3</v>
      </c>
    </row>
    <row r="410">
      <c r="A410" s="47" t="n">
        <v>33878</v>
      </c>
      <c r="B410" s="45">
        <f>VLOOKUP(Table534567910[[#This Row],[Date]],Database!A:E,MATCH($A$1,Database!$A$1:$E$1,),)</f>
        <v/>
      </c>
      <c r="C410" s="9">
        <f>(B410-B409)/B409</f>
        <v/>
      </c>
      <c r="D410" s="7">
        <f>(Table534567910[[#This Row],[Value]]-B398)/B398</f>
        <v/>
      </c>
      <c r="E410" s="16" t="n">
        <v>0.02</v>
      </c>
      <c r="F410" s="15" t="n">
        <v>3</v>
      </c>
    </row>
    <row r="411">
      <c r="A411" s="47" t="n">
        <v>33909</v>
      </c>
      <c r="B411" s="45">
        <f>VLOOKUP(Table534567910[[#This Row],[Date]],Database!A:E,MATCH($A$1,Database!$A$1:$E$1,),)</f>
        <v/>
      </c>
      <c r="C411" s="9">
        <f>(B411-B410)/B410</f>
        <v/>
      </c>
      <c r="D411" s="7">
        <f>(Table534567910[[#This Row],[Value]]-B399)/B399</f>
        <v/>
      </c>
      <c r="E411" s="16" t="n">
        <v>0.02</v>
      </c>
      <c r="F411" s="15" t="n">
        <v>3</v>
      </c>
    </row>
    <row r="412">
      <c r="A412" s="47" t="n">
        <v>33939</v>
      </c>
      <c r="B412" s="45">
        <f>VLOOKUP(Table534567910[[#This Row],[Date]],Database!A:E,MATCH($A$1,Database!$A$1:$E$1,),)</f>
        <v/>
      </c>
      <c r="C412" s="9">
        <f>(B412-B411)/B411</f>
        <v/>
      </c>
      <c r="D412" s="7">
        <f>(Table534567910[[#This Row],[Value]]-B400)/B400</f>
        <v/>
      </c>
      <c r="E412" s="16" t="n">
        <v>0.02</v>
      </c>
      <c r="F412" s="15" t="n">
        <v>3</v>
      </c>
    </row>
    <row r="413">
      <c r="A413" s="47" t="n">
        <v>33970</v>
      </c>
      <c r="B413" s="45">
        <f>VLOOKUP(Table534567910[[#This Row],[Date]],Database!A:E,MATCH($A$1,Database!$A$1:$E$1,),)</f>
        <v/>
      </c>
      <c r="C413" s="9">
        <f>(B413-B412)/B412</f>
        <v/>
      </c>
      <c r="D413" s="7">
        <f>(Table534567910[[#This Row],[Value]]-B401)/B401</f>
        <v/>
      </c>
      <c r="E413" s="16" t="n">
        <v>0.02</v>
      </c>
      <c r="F413" s="15" t="n">
        <v>3</v>
      </c>
    </row>
    <row r="414">
      <c r="A414" s="47" t="n">
        <v>34001</v>
      </c>
      <c r="B414" s="45">
        <f>VLOOKUP(Table534567910[[#This Row],[Date]],Database!A:E,MATCH($A$1,Database!$A$1:$E$1,),)</f>
        <v/>
      </c>
      <c r="C414" s="9">
        <f>(B414-B413)/B413</f>
        <v/>
      </c>
      <c r="D414" s="7">
        <f>(Table534567910[[#This Row],[Value]]-B402)/B402</f>
        <v/>
      </c>
      <c r="E414" s="16" t="n">
        <v>0.02</v>
      </c>
      <c r="F414" s="15" t="n">
        <v>3</v>
      </c>
    </row>
    <row r="415">
      <c r="A415" s="47" t="n">
        <v>34029</v>
      </c>
      <c r="B415" s="45">
        <f>VLOOKUP(Table534567910[[#This Row],[Date]],Database!A:E,MATCH($A$1,Database!$A$1:$E$1,),)</f>
        <v/>
      </c>
      <c r="C415" s="9">
        <f>(B415-B414)/B414</f>
        <v/>
      </c>
      <c r="D415" s="7">
        <f>(Table534567910[[#This Row],[Value]]-B403)/B403</f>
        <v/>
      </c>
      <c r="E415" s="16" t="n">
        <v>0.02</v>
      </c>
      <c r="F415" s="15" t="n">
        <v>3</v>
      </c>
    </row>
    <row r="416">
      <c r="A416" s="47" t="n">
        <v>34060</v>
      </c>
      <c r="B416" s="45">
        <f>VLOOKUP(Table534567910[[#This Row],[Date]],Database!A:E,MATCH($A$1,Database!$A$1:$E$1,),)</f>
        <v/>
      </c>
      <c r="C416" s="9">
        <f>(B416-B415)/B415</f>
        <v/>
      </c>
      <c r="D416" s="7">
        <f>(Table534567910[[#This Row],[Value]]-B404)/B404</f>
        <v/>
      </c>
      <c r="E416" s="16" t="n">
        <v>0.02</v>
      </c>
      <c r="F416" s="15" t="n">
        <v>3</v>
      </c>
    </row>
    <row r="417">
      <c r="A417" s="47" t="n">
        <v>34090</v>
      </c>
      <c r="B417" s="45">
        <f>VLOOKUP(Table534567910[[#This Row],[Date]],Database!A:E,MATCH($A$1,Database!$A$1:$E$1,),)</f>
        <v/>
      </c>
      <c r="C417" s="9">
        <f>(B417-B416)/B416</f>
        <v/>
      </c>
      <c r="D417" s="7">
        <f>(Table534567910[[#This Row],[Value]]-B405)/B405</f>
        <v/>
      </c>
      <c r="E417" s="16" t="n">
        <v>0.02</v>
      </c>
      <c r="F417" s="15" t="n">
        <v>3</v>
      </c>
    </row>
    <row r="418">
      <c r="A418" s="47" t="n">
        <v>34121</v>
      </c>
      <c r="B418" s="45">
        <f>VLOOKUP(Table534567910[[#This Row],[Date]],Database!A:E,MATCH($A$1,Database!$A$1:$E$1,),)</f>
        <v/>
      </c>
      <c r="C418" s="9">
        <f>(B418-B417)/B417</f>
        <v/>
      </c>
      <c r="D418" s="7">
        <f>(Table534567910[[#This Row],[Value]]-B406)/B406</f>
        <v/>
      </c>
      <c r="E418" s="16" t="n">
        <v>0.02</v>
      </c>
      <c r="F418" s="15" t="n">
        <v>3</v>
      </c>
    </row>
    <row r="419">
      <c r="A419" s="47" t="n">
        <v>34151</v>
      </c>
      <c r="B419" s="45">
        <f>VLOOKUP(Table534567910[[#This Row],[Date]],Database!A:E,MATCH($A$1,Database!$A$1:$E$1,),)</f>
        <v/>
      </c>
      <c r="C419" s="9">
        <f>(B419-B418)/B418</f>
        <v/>
      </c>
      <c r="D419" s="7">
        <f>(Table534567910[[#This Row],[Value]]-B407)/B407</f>
        <v/>
      </c>
      <c r="E419" s="16" t="n">
        <v>0.02</v>
      </c>
      <c r="F419" s="15" t="n">
        <v>3</v>
      </c>
    </row>
    <row r="420">
      <c r="A420" s="47" t="n">
        <v>34182</v>
      </c>
      <c r="B420" s="45">
        <f>VLOOKUP(Table534567910[[#This Row],[Date]],Database!A:E,MATCH($A$1,Database!$A$1:$E$1,),)</f>
        <v/>
      </c>
      <c r="C420" s="9">
        <f>(B420-B419)/B419</f>
        <v/>
      </c>
      <c r="D420" s="7">
        <f>(Table534567910[[#This Row],[Value]]-B408)/B408</f>
        <v/>
      </c>
      <c r="E420" s="16" t="n">
        <v>0.02</v>
      </c>
      <c r="F420" s="15" t="n">
        <v>3</v>
      </c>
    </row>
    <row r="421">
      <c r="A421" s="47" t="n">
        <v>34213</v>
      </c>
      <c r="B421" s="45">
        <f>VLOOKUP(Table534567910[[#This Row],[Date]],Database!A:E,MATCH($A$1,Database!$A$1:$E$1,),)</f>
        <v/>
      </c>
      <c r="C421" s="9">
        <f>(B421-B420)/B420</f>
        <v/>
      </c>
      <c r="D421" s="7">
        <f>(Table534567910[[#This Row],[Value]]-B409)/B409</f>
        <v/>
      </c>
      <c r="E421" s="16" t="n">
        <v>0.02</v>
      </c>
      <c r="F421" s="15" t="n">
        <v>3</v>
      </c>
    </row>
    <row r="422">
      <c r="A422" s="47" t="n">
        <v>34243</v>
      </c>
      <c r="B422" s="45">
        <f>VLOOKUP(Table534567910[[#This Row],[Date]],Database!A:E,MATCH($A$1,Database!$A$1:$E$1,),)</f>
        <v/>
      </c>
      <c r="C422" s="9">
        <f>(B422-B421)/B421</f>
        <v/>
      </c>
      <c r="D422" s="7">
        <f>(Table534567910[[#This Row],[Value]]-B410)/B410</f>
        <v/>
      </c>
      <c r="E422" s="16" t="n">
        <v>0.02</v>
      </c>
      <c r="F422" s="15" t="n">
        <v>3</v>
      </c>
    </row>
    <row r="423">
      <c r="A423" s="47" t="n">
        <v>34274</v>
      </c>
      <c r="B423" s="45">
        <f>VLOOKUP(Table534567910[[#This Row],[Date]],Database!A:E,MATCH($A$1,Database!$A$1:$E$1,),)</f>
        <v/>
      </c>
      <c r="C423" s="9">
        <f>(B423-B422)/B422</f>
        <v/>
      </c>
      <c r="D423" s="7">
        <f>(Table534567910[[#This Row],[Value]]-B411)/B411</f>
        <v/>
      </c>
      <c r="E423" s="16" t="n">
        <v>0.02</v>
      </c>
      <c r="F423" s="15" t="n">
        <v>3</v>
      </c>
    </row>
    <row r="424">
      <c r="A424" s="47" t="n">
        <v>34304</v>
      </c>
      <c r="B424" s="45">
        <f>VLOOKUP(Table534567910[[#This Row],[Date]],Database!A:E,MATCH($A$1,Database!$A$1:$E$1,),)</f>
        <v/>
      </c>
      <c r="C424" s="9">
        <f>(B424-B423)/B423</f>
        <v/>
      </c>
      <c r="D424" s="7">
        <f>(Table534567910[[#This Row],[Value]]-B412)/B412</f>
        <v/>
      </c>
      <c r="E424" s="16" t="n">
        <v>0.02</v>
      </c>
      <c r="F424" s="15" t="n">
        <v>3</v>
      </c>
    </row>
    <row r="425">
      <c r="A425" s="47" t="n">
        <v>34335</v>
      </c>
      <c r="B425" s="45">
        <f>VLOOKUP(Table534567910[[#This Row],[Date]],Database!A:E,MATCH($A$1,Database!$A$1:$E$1,),)</f>
        <v/>
      </c>
      <c r="C425" s="9">
        <f>(B425-B424)/B424</f>
        <v/>
      </c>
      <c r="D425" s="7">
        <f>(Table534567910[[#This Row],[Value]]-B413)/B413</f>
        <v/>
      </c>
      <c r="E425" s="16" t="n">
        <v>0.02</v>
      </c>
      <c r="F425" s="15" t="n">
        <v>3</v>
      </c>
    </row>
    <row r="426">
      <c r="A426" s="47" t="n">
        <v>34366</v>
      </c>
      <c r="B426" s="45">
        <f>VLOOKUP(Table534567910[[#This Row],[Date]],Database!A:E,MATCH($A$1,Database!$A$1:$E$1,),)</f>
        <v/>
      </c>
      <c r="C426" s="9">
        <f>(B426-B425)/B425</f>
        <v/>
      </c>
      <c r="D426" s="7">
        <f>(Table534567910[[#This Row],[Value]]-B414)/B414</f>
        <v/>
      </c>
      <c r="E426" s="16" t="n">
        <v>0.02</v>
      </c>
      <c r="F426" s="15" t="n">
        <v>3.25</v>
      </c>
    </row>
    <row r="427">
      <c r="A427" s="47" t="n">
        <v>34394</v>
      </c>
      <c r="B427" s="45">
        <f>VLOOKUP(Table534567910[[#This Row],[Date]],Database!A:E,MATCH($A$1,Database!$A$1:$E$1,),)</f>
        <v/>
      </c>
      <c r="C427" s="9">
        <f>(B427-B426)/B426</f>
        <v/>
      </c>
      <c r="D427" s="7">
        <f>(Table534567910[[#This Row],[Value]]-B415)/B415</f>
        <v/>
      </c>
      <c r="E427" s="16" t="n">
        <v>0.02</v>
      </c>
      <c r="F427" s="15" t="n">
        <v>3.5</v>
      </c>
    </row>
    <row r="428">
      <c r="A428" s="47" t="n">
        <v>34425</v>
      </c>
      <c r="B428" s="45">
        <f>VLOOKUP(Table534567910[[#This Row],[Date]],Database!A:E,MATCH($A$1,Database!$A$1:$E$1,),)</f>
        <v/>
      </c>
      <c r="C428" s="9">
        <f>(B428-B427)/B427</f>
        <v/>
      </c>
      <c r="D428" s="7">
        <f>(Table534567910[[#This Row],[Value]]-B416)/B416</f>
        <v/>
      </c>
      <c r="E428" s="16" t="n">
        <v>0.02</v>
      </c>
      <c r="F428" s="15" t="n">
        <v>3.75</v>
      </c>
    </row>
    <row r="429">
      <c r="A429" s="47" t="n">
        <v>34455</v>
      </c>
      <c r="B429" s="45">
        <f>VLOOKUP(Table534567910[[#This Row],[Date]],Database!A:E,MATCH($A$1,Database!$A$1:$E$1,),)</f>
        <v/>
      </c>
      <c r="C429" s="9">
        <f>(B429-B428)/B428</f>
        <v/>
      </c>
      <c r="D429" s="7">
        <f>(Table534567910[[#This Row],[Value]]-B417)/B417</f>
        <v/>
      </c>
      <c r="E429" s="16" t="n">
        <v>0.02</v>
      </c>
      <c r="F429" s="15" t="n">
        <v>4.25</v>
      </c>
    </row>
    <row r="430">
      <c r="A430" s="47" t="n">
        <v>34486</v>
      </c>
      <c r="B430" s="45">
        <f>VLOOKUP(Table534567910[[#This Row],[Date]],Database!A:E,MATCH($A$1,Database!$A$1:$E$1,),)</f>
        <v/>
      </c>
      <c r="C430" s="9">
        <f>(B430-B429)/B429</f>
        <v/>
      </c>
      <c r="D430" s="7">
        <f>(Table534567910[[#This Row],[Value]]-B418)/B418</f>
        <v/>
      </c>
      <c r="E430" s="16" t="n">
        <v>0.02</v>
      </c>
      <c r="F430" s="15" t="n">
        <v>4.25</v>
      </c>
    </row>
    <row r="431">
      <c r="A431" s="47" t="n">
        <v>34516</v>
      </c>
      <c r="B431" s="45">
        <f>VLOOKUP(Table534567910[[#This Row],[Date]],Database!A:E,MATCH($A$1,Database!$A$1:$E$1,),)</f>
        <v/>
      </c>
      <c r="C431" s="9">
        <f>(B431-B430)/B430</f>
        <v/>
      </c>
      <c r="D431" s="7">
        <f>(Table534567910[[#This Row],[Value]]-B419)/B419</f>
        <v/>
      </c>
      <c r="E431" s="16" t="n">
        <v>0.02</v>
      </c>
      <c r="F431" s="15" t="n">
        <v>4.25</v>
      </c>
    </row>
    <row r="432">
      <c r="A432" s="47" t="n">
        <v>34547</v>
      </c>
      <c r="B432" s="45">
        <f>VLOOKUP(Table534567910[[#This Row],[Date]],Database!A:E,MATCH($A$1,Database!$A$1:$E$1,),)</f>
        <v/>
      </c>
      <c r="C432" s="9">
        <f>(B432-B431)/B431</f>
        <v/>
      </c>
      <c r="D432" s="7">
        <f>(Table534567910[[#This Row],[Value]]-B420)/B420</f>
        <v/>
      </c>
      <c r="E432" s="16" t="n">
        <v>0.02</v>
      </c>
      <c r="F432" s="15" t="n">
        <v>4.75</v>
      </c>
    </row>
    <row r="433">
      <c r="A433" s="47" t="n">
        <v>34578</v>
      </c>
      <c r="B433" s="45">
        <f>VLOOKUP(Table534567910[[#This Row],[Date]],Database!A:E,MATCH($A$1,Database!$A$1:$E$1,),)</f>
        <v/>
      </c>
      <c r="C433" s="9">
        <f>(B433-B432)/B432</f>
        <v/>
      </c>
      <c r="D433" s="7">
        <f>(Table534567910[[#This Row],[Value]]-B421)/B421</f>
        <v/>
      </c>
      <c r="E433" s="16" t="n">
        <v>0.02</v>
      </c>
      <c r="F433" s="15" t="n">
        <v>4.75</v>
      </c>
    </row>
    <row r="434">
      <c r="A434" s="47" t="n">
        <v>34608</v>
      </c>
      <c r="B434" s="45">
        <f>VLOOKUP(Table534567910[[#This Row],[Date]],Database!A:E,MATCH($A$1,Database!$A$1:$E$1,),)</f>
        <v/>
      </c>
      <c r="C434" s="9">
        <f>(B434-B433)/B433</f>
        <v/>
      </c>
      <c r="D434" s="7">
        <f>(Table534567910[[#This Row],[Value]]-B422)/B422</f>
        <v/>
      </c>
      <c r="E434" s="16" t="n">
        <v>0.02</v>
      </c>
      <c r="F434" s="15" t="n">
        <v>4.75</v>
      </c>
    </row>
    <row r="435">
      <c r="A435" s="47" t="n">
        <v>34639</v>
      </c>
      <c r="B435" s="45">
        <f>VLOOKUP(Table534567910[[#This Row],[Date]],Database!A:E,MATCH($A$1,Database!$A$1:$E$1,),)</f>
        <v/>
      </c>
      <c r="C435" s="9">
        <f>(B435-B434)/B434</f>
        <v/>
      </c>
      <c r="D435" s="7">
        <f>(Table534567910[[#This Row],[Value]]-B423)/B423</f>
        <v/>
      </c>
      <c r="E435" s="16" t="n">
        <v>0.02</v>
      </c>
      <c r="F435" s="15" t="n">
        <v>5.5</v>
      </c>
    </row>
    <row r="436">
      <c r="A436" s="47" t="n">
        <v>34669</v>
      </c>
      <c r="B436" s="45">
        <f>VLOOKUP(Table534567910[[#This Row],[Date]],Database!A:E,MATCH($A$1,Database!$A$1:$E$1,),)</f>
        <v/>
      </c>
      <c r="C436" s="9">
        <f>(B436-B435)/B435</f>
        <v/>
      </c>
      <c r="D436" s="7">
        <f>(Table534567910[[#This Row],[Value]]-B424)/B424</f>
        <v/>
      </c>
      <c r="E436" s="16" t="n">
        <v>0.02</v>
      </c>
      <c r="F436" s="15" t="n">
        <v>5.5</v>
      </c>
    </row>
    <row r="437">
      <c r="A437" s="47" t="n">
        <v>34700</v>
      </c>
      <c r="B437" s="45">
        <f>VLOOKUP(Table534567910[[#This Row],[Date]],Database!A:E,MATCH($A$1,Database!$A$1:$E$1,),)</f>
        <v/>
      </c>
      <c r="C437" s="9">
        <f>(B437-B436)/B436</f>
        <v/>
      </c>
      <c r="D437" s="7">
        <f>(Table534567910[[#This Row],[Value]]-B425)/B425</f>
        <v/>
      </c>
      <c r="E437" s="16" t="n">
        <v>0.02</v>
      </c>
      <c r="F437" s="15" t="n">
        <v>5.5</v>
      </c>
    </row>
    <row r="438">
      <c r="A438" s="47" t="n">
        <v>34731</v>
      </c>
      <c r="B438" s="45">
        <f>VLOOKUP(Table534567910[[#This Row],[Date]],Database!A:E,MATCH($A$1,Database!$A$1:$E$1,),)</f>
        <v/>
      </c>
      <c r="C438" s="9">
        <f>(B438-B437)/B437</f>
        <v/>
      </c>
      <c r="D438" s="7">
        <f>(Table534567910[[#This Row],[Value]]-B426)/B426</f>
        <v/>
      </c>
      <c r="E438" s="16" t="n">
        <v>0.02</v>
      </c>
      <c r="F438" s="15" t="n">
        <v>6</v>
      </c>
    </row>
    <row r="439">
      <c r="A439" s="47" t="n">
        <v>34759</v>
      </c>
      <c r="B439" s="45">
        <f>VLOOKUP(Table534567910[[#This Row],[Date]],Database!A:E,MATCH($A$1,Database!$A$1:$E$1,),)</f>
        <v/>
      </c>
      <c r="C439" s="9">
        <f>(B439-B438)/B438</f>
        <v/>
      </c>
      <c r="D439" s="7">
        <f>(Table534567910[[#This Row],[Value]]-B427)/B427</f>
        <v/>
      </c>
      <c r="E439" s="16" t="n">
        <v>0.02</v>
      </c>
      <c r="F439" s="15" t="n">
        <v>6</v>
      </c>
    </row>
    <row r="440">
      <c r="A440" s="47" t="n">
        <v>34790</v>
      </c>
      <c r="B440" s="45">
        <f>VLOOKUP(Table534567910[[#This Row],[Date]],Database!A:E,MATCH($A$1,Database!$A$1:$E$1,),)</f>
        <v/>
      </c>
      <c r="C440" s="9">
        <f>(B440-B439)/B439</f>
        <v/>
      </c>
      <c r="D440" s="7">
        <f>(Table534567910[[#This Row],[Value]]-B428)/B428</f>
        <v/>
      </c>
      <c r="E440" s="16" t="n">
        <v>0.02</v>
      </c>
      <c r="F440" s="15" t="n">
        <v>6</v>
      </c>
    </row>
    <row r="441">
      <c r="A441" s="47" t="n">
        <v>34820</v>
      </c>
      <c r="B441" s="45">
        <f>VLOOKUP(Table534567910[[#This Row],[Date]],Database!A:E,MATCH($A$1,Database!$A$1:$E$1,),)</f>
        <v/>
      </c>
      <c r="C441" s="9">
        <f>(B441-B440)/B440</f>
        <v/>
      </c>
      <c r="D441" s="7">
        <f>(Table534567910[[#This Row],[Value]]-B429)/B429</f>
        <v/>
      </c>
      <c r="E441" s="16" t="n">
        <v>0.02</v>
      </c>
      <c r="F441" s="15" t="n">
        <v>6</v>
      </c>
    </row>
    <row r="442">
      <c r="A442" s="47" t="n">
        <v>34851</v>
      </c>
      <c r="B442" s="45">
        <f>VLOOKUP(Table534567910[[#This Row],[Date]],Database!A:E,MATCH($A$1,Database!$A$1:$E$1,),)</f>
        <v/>
      </c>
      <c r="C442" s="9">
        <f>(B442-B441)/B441</f>
        <v/>
      </c>
      <c r="D442" s="7">
        <f>(Table534567910[[#This Row],[Value]]-B430)/B430</f>
        <v/>
      </c>
      <c r="E442" s="16" t="n">
        <v>0.02</v>
      </c>
      <c r="F442" s="15" t="n">
        <v>6</v>
      </c>
    </row>
    <row r="443">
      <c r="A443" s="47" t="n">
        <v>34881</v>
      </c>
      <c r="B443" s="45">
        <f>VLOOKUP(Table534567910[[#This Row],[Date]],Database!A:E,MATCH($A$1,Database!$A$1:$E$1,),)</f>
        <v/>
      </c>
      <c r="C443" s="9">
        <f>(B443-B442)/B442</f>
        <v/>
      </c>
      <c r="D443" s="7">
        <f>(Table534567910[[#This Row],[Value]]-B431)/B431</f>
        <v/>
      </c>
      <c r="E443" s="16" t="n">
        <v>0.02</v>
      </c>
      <c r="F443" s="15" t="n">
        <v>5.75</v>
      </c>
    </row>
    <row r="444">
      <c r="A444" s="47" t="n">
        <v>34912</v>
      </c>
      <c r="B444" s="45">
        <f>VLOOKUP(Table534567910[[#This Row],[Date]],Database!A:E,MATCH($A$1,Database!$A$1:$E$1,),)</f>
        <v/>
      </c>
      <c r="C444" s="9">
        <f>(B444-B443)/B443</f>
        <v/>
      </c>
      <c r="D444" s="7">
        <f>(Table534567910[[#This Row],[Value]]-B432)/B432</f>
        <v/>
      </c>
      <c r="E444" s="16" t="n">
        <v>0.02</v>
      </c>
      <c r="F444" s="15" t="n">
        <v>5.75</v>
      </c>
    </row>
    <row r="445">
      <c r="A445" s="47" t="n">
        <v>34943</v>
      </c>
      <c r="B445" s="45">
        <f>VLOOKUP(Table534567910[[#This Row],[Date]],Database!A:E,MATCH($A$1,Database!$A$1:$E$1,),)</f>
        <v/>
      </c>
      <c r="C445" s="9">
        <f>(B445-B444)/B444</f>
        <v/>
      </c>
      <c r="D445" s="7">
        <f>(Table534567910[[#This Row],[Value]]-B433)/B433</f>
        <v/>
      </c>
      <c r="E445" s="16" t="n">
        <v>0.02</v>
      </c>
      <c r="F445" s="15" t="n">
        <v>5.75</v>
      </c>
    </row>
    <row r="446">
      <c r="A446" s="47" t="n">
        <v>34973</v>
      </c>
      <c r="B446" s="45">
        <f>VLOOKUP(Table534567910[[#This Row],[Date]],Database!A:E,MATCH($A$1,Database!$A$1:$E$1,),)</f>
        <v/>
      </c>
      <c r="C446" s="9">
        <f>(B446-B445)/B445</f>
        <v/>
      </c>
      <c r="D446" s="7">
        <f>(Table534567910[[#This Row],[Value]]-B434)/B434</f>
        <v/>
      </c>
      <c r="E446" s="16" t="n">
        <v>0.02</v>
      </c>
      <c r="F446" s="15" t="n">
        <v>5.75</v>
      </c>
    </row>
    <row r="447">
      <c r="A447" s="47" t="n">
        <v>35004</v>
      </c>
      <c r="B447" s="45">
        <f>VLOOKUP(Table534567910[[#This Row],[Date]],Database!A:E,MATCH($A$1,Database!$A$1:$E$1,),)</f>
        <v/>
      </c>
      <c r="C447" s="9">
        <f>(B447-B446)/B446</f>
        <v/>
      </c>
      <c r="D447" s="7">
        <f>(Table534567910[[#This Row],[Value]]-B435)/B435</f>
        <v/>
      </c>
      <c r="E447" s="16" t="n">
        <v>0.02</v>
      </c>
      <c r="F447" s="15" t="n">
        <v>5.75</v>
      </c>
    </row>
    <row r="448">
      <c r="A448" s="47" t="n">
        <v>35034</v>
      </c>
      <c r="B448" s="45">
        <f>VLOOKUP(Table534567910[[#This Row],[Date]],Database!A:E,MATCH($A$1,Database!$A$1:$E$1,),)</f>
        <v/>
      </c>
      <c r="C448" s="9">
        <f>(B448-B447)/B447</f>
        <v/>
      </c>
      <c r="D448" s="7">
        <f>(Table534567910[[#This Row],[Value]]-B436)/B436</f>
        <v/>
      </c>
      <c r="E448" s="16" t="n">
        <v>0.02</v>
      </c>
      <c r="F448" s="15" t="n">
        <v>5.5</v>
      </c>
    </row>
    <row r="449">
      <c r="A449" s="47" t="n">
        <v>35065</v>
      </c>
      <c r="B449" s="45">
        <f>VLOOKUP(Table534567910[[#This Row],[Date]],Database!A:E,MATCH($A$1,Database!$A$1:$E$1,),)</f>
        <v/>
      </c>
      <c r="C449" s="9">
        <f>(B449-B448)/B448</f>
        <v/>
      </c>
      <c r="D449" s="7">
        <f>(Table534567910[[#This Row],[Value]]-B437)/B437</f>
        <v/>
      </c>
      <c r="E449" s="16" t="n">
        <v>0.02</v>
      </c>
      <c r="F449" s="15" t="n">
        <v>5.25</v>
      </c>
    </row>
    <row r="450">
      <c r="A450" s="47" t="n">
        <v>35096</v>
      </c>
      <c r="B450" s="45">
        <f>VLOOKUP(Table534567910[[#This Row],[Date]],Database!A:E,MATCH($A$1,Database!$A$1:$E$1,),)</f>
        <v/>
      </c>
      <c r="C450" s="9">
        <f>(B450-B449)/B449</f>
        <v/>
      </c>
      <c r="D450" s="7">
        <f>(Table534567910[[#This Row],[Value]]-B438)/B438</f>
        <v/>
      </c>
      <c r="E450" s="16" t="n">
        <v>0.02</v>
      </c>
      <c r="F450" s="15" t="n">
        <v>5.25</v>
      </c>
    </row>
    <row r="451">
      <c r="A451" s="47" t="n">
        <v>35125</v>
      </c>
      <c r="B451" s="45">
        <f>VLOOKUP(Table534567910[[#This Row],[Date]],Database!A:E,MATCH($A$1,Database!$A$1:$E$1,),)</f>
        <v/>
      </c>
      <c r="C451" s="9">
        <f>(B451-B450)/B450</f>
        <v/>
      </c>
      <c r="D451" s="7">
        <f>(Table534567910[[#This Row],[Value]]-B439)/B439</f>
        <v/>
      </c>
      <c r="E451" s="16" t="n">
        <v>0.02</v>
      </c>
      <c r="F451" s="15" t="n">
        <v>5.25</v>
      </c>
    </row>
    <row r="452">
      <c r="A452" s="47" t="n">
        <v>35156</v>
      </c>
      <c r="B452" s="45">
        <f>VLOOKUP(Table534567910[[#This Row],[Date]],Database!A:E,MATCH($A$1,Database!$A$1:$E$1,),)</f>
        <v/>
      </c>
      <c r="C452" s="9">
        <f>(B452-B451)/B451</f>
        <v/>
      </c>
      <c r="D452" s="7">
        <f>(Table534567910[[#This Row],[Value]]-B440)/B440</f>
        <v/>
      </c>
      <c r="E452" s="16" t="n">
        <v>0.02</v>
      </c>
      <c r="F452" s="15" t="n">
        <v>5.25</v>
      </c>
    </row>
    <row r="453">
      <c r="A453" s="47" t="n">
        <v>35186</v>
      </c>
      <c r="B453" s="45">
        <f>VLOOKUP(Table534567910[[#This Row],[Date]],Database!A:E,MATCH($A$1,Database!$A$1:$E$1,),)</f>
        <v/>
      </c>
      <c r="C453" s="9">
        <f>(B453-B452)/B452</f>
        <v/>
      </c>
      <c r="D453" s="7">
        <f>(Table534567910[[#This Row],[Value]]-B441)/B441</f>
        <v/>
      </c>
      <c r="E453" s="16" t="n">
        <v>0.02</v>
      </c>
      <c r="F453" s="15" t="n">
        <v>5.25</v>
      </c>
    </row>
    <row r="454">
      <c r="A454" s="47" t="n">
        <v>35217</v>
      </c>
      <c r="B454" s="45">
        <f>VLOOKUP(Table534567910[[#This Row],[Date]],Database!A:E,MATCH($A$1,Database!$A$1:$E$1,),)</f>
        <v/>
      </c>
      <c r="C454" s="9">
        <f>(B454-B453)/B453</f>
        <v/>
      </c>
      <c r="D454" s="7">
        <f>(Table534567910[[#This Row],[Value]]-B442)/B442</f>
        <v/>
      </c>
      <c r="E454" s="16" t="n">
        <v>0.02</v>
      </c>
      <c r="F454" s="15" t="n">
        <v>5.25</v>
      </c>
    </row>
    <row r="455">
      <c r="A455" s="47" t="n">
        <v>35247</v>
      </c>
      <c r="B455" s="45">
        <f>VLOOKUP(Table534567910[[#This Row],[Date]],Database!A:E,MATCH($A$1,Database!$A$1:$E$1,),)</f>
        <v/>
      </c>
      <c r="C455" s="9">
        <f>(B455-B454)/B454</f>
        <v/>
      </c>
      <c r="D455" s="7">
        <f>(Table534567910[[#This Row],[Value]]-B443)/B443</f>
        <v/>
      </c>
      <c r="E455" s="16" t="n">
        <v>0.02</v>
      </c>
      <c r="F455" s="15" t="n">
        <v>5.25</v>
      </c>
    </row>
    <row r="456">
      <c r="A456" s="47" t="n">
        <v>35278</v>
      </c>
      <c r="B456" s="45">
        <f>VLOOKUP(Table534567910[[#This Row],[Date]],Database!A:E,MATCH($A$1,Database!$A$1:$E$1,),)</f>
        <v/>
      </c>
      <c r="C456" s="9">
        <f>(B456-B455)/B455</f>
        <v/>
      </c>
      <c r="D456" s="7">
        <f>(Table534567910[[#This Row],[Value]]-B444)/B444</f>
        <v/>
      </c>
      <c r="E456" s="16" t="n">
        <v>0.02</v>
      </c>
      <c r="F456" s="15" t="n">
        <v>5.25</v>
      </c>
    </row>
    <row r="457">
      <c r="A457" s="47" t="n">
        <v>35309</v>
      </c>
      <c r="B457" s="45">
        <f>VLOOKUP(Table534567910[[#This Row],[Date]],Database!A:E,MATCH($A$1,Database!$A$1:$E$1,),)</f>
        <v/>
      </c>
      <c r="C457" s="9">
        <f>(B457-B456)/B456</f>
        <v/>
      </c>
      <c r="D457" s="7">
        <f>(Table534567910[[#This Row],[Value]]-B445)/B445</f>
        <v/>
      </c>
      <c r="E457" s="16" t="n">
        <v>0.02</v>
      </c>
      <c r="F457" s="15" t="n">
        <v>5.25</v>
      </c>
    </row>
    <row r="458">
      <c r="A458" s="47" t="n">
        <v>35339</v>
      </c>
      <c r="B458" s="45">
        <f>VLOOKUP(Table534567910[[#This Row],[Date]],Database!A:E,MATCH($A$1,Database!$A$1:$E$1,),)</f>
        <v/>
      </c>
      <c r="C458" s="9">
        <f>(B458-B457)/B457</f>
        <v/>
      </c>
      <c r="D458" s="7">
        <f>(Table534567910[[#This Row],[Value]]-B446)/B446</f>
        <v/>
      </c>
      <c r="E458" s="16" t="n">
        <v>0.02</v>
      </c>
      <c r="F458" s="15" t="n">
        <v>5.25</v>
      </c>
    </row>
    <row r="459">
      <c r="A459" s="47" t="n">
        <v>35370</v>
      </c>
      <c r="B459" s="45">
        <f>VLOOKUP(Table534567910[[#This Row],[Date]],Database!A:E,MATCH($A$1,Database!$A$1:$E$1,),)</f>
        <v/>
      </c>
      <c r="C459" s="9">
        <f>(B459-B458)/B458</f>
        <v/>
      </c>
      <c r="D459" s="7">
        <f>(Table534567910[[#This Row],[Value]]-B447)/B447</f>
        <v/>
      </c>
      <c r="E459" s="16" t="n">
        <v>0.02</v>
      </c>
      <c r="F459" s="15" t="n">
        <v>5.25</v>
      </c>
    </row>
    <row r="460">
      <c r="A460" s="47" t="n">
        <v>35400</v>
      </c>
      <c r="B460" s="45">
        <f>VLOOKUP(Table534567910[[#This Row],[Date]],Database!A:E,MATCH($A$1,Database!$A$1:$E$1,),)</f>
        <v/>
      </c>
      <c r="C460" s="9">
        <f>(B460-B459)/B459</f>
        <v/>
      </c>
      <c r="D460" s="7">
        <f>(Table534567910[[#This Row],[Value]]-B448)/B448</f>
        <v/>
      </c>
      <c r="E460" s="16" t="n">
        <v>0.02</v>
      </c>
      <c r="F460" s="15" t="n">
        <v>5.25</v>
      </c>
    </row>
    <row r="461">
      <c r="A461" s="47" t="n">
        <v>35431</v>
      </c>
      <c r="B461" s="45">
        <f>VLOOKUP(Table534567910[[#This Row],[Date]],Database!A:E,MATCH($A$1,Database!$A$1:$E$1,),)</f>
        <v/>
      </c>
      <c r="C461" s="9">
        <f>(B461-B460)/B460</f>
        <v/>
      </c>
      <c r="D461" s="7">
        <f>(Table534567910[[#This Row],[Value]]-B449)/B449</f>
        <v/>
      </c>
      <c r="E461" s="16" t="n">
        <v>0.02</v>
      </c>
      <c r="F461" s="15" t="n">
        <v>5.25</v>
      </c>
    </row>
    <row r="462">
      <c r="A462" s="47" t="n">
        <v>35462</v>
      </c>
      <c r="B462" s="45">
        <f>VLOOKUP(Table534567910[[#This Row],[Date]],Database!A:E,MATCH($A$1,Database!$A$1:$E$1,),)</f>
        <v/>
      </c>
      <c r="C462" s="9">
        <f>(B462-B461)/B461</f>
        <v/>
      </c>
      <c r="D462" s="7">
        <f>(Table534567910[[#This Row],[Value]]-B450)/B450</f>
        <v/>
      </c>
      <c r="E462" s="16" t="n">
        <v>0.02</v>
      </c>
      <c r="F462" s="15" t="n">
        <v>5.25</v>
      </c>
    </row>
    <row r="463">
      <c r="A463" s="47" t="n">
        <v>35490</v>
      </c>
      <c r="B463" s="45">
        <f>VLOOKUP(Table534567910[[#This Row],[Date]],Database!A:E,MATCH($A$1,Database!$A$1:$E$1,),)</f>
        <v/>
      </c>
      <c r="C463" s="9">
        <f>(B463-B462)/B462</f>
        <v/>
      </c>
      <c r="D463" s="7">
        <f>(Table534567910[[#This Row],[Value]]-B451)/B451</f>
        <v/>
      </c>
      <c r="E463" s="16" t="n">
        <v>0.02</v>
      </c>
      <c r="F463" s="15" t="n">
        <v>5.5</v>
      </c>
    </row>
    <row r="464">
      <c r="A464" s="47" t="n">
        <v>35521</v>
      </c>
      <c r="B464" s="45">
        <f>VLOOKUP(Table534567910[[#This Row],[Date]],Database!A:E,MATCH($A$1,Database!$A$1:$E$1,),)</f>
        <v/>
      </c>
      <c r="C464" s="9">
        <f>(B464-B463)/B463</f>
        <v/>
      </c>
      <c r="D464" s="7">
        <f>(Table534567910[[#This Row],[Value]]-B452)/B452</f>
        <v/>
      </c>
      <c r="E464" s="16" t="n">
        <v>0.02</v>
      </c>
      <c r="F464" s="15" t="n">
        <v>5.5</v>
      </c>
    </row>
    <row r="465">
      <c r="A465" s="47" t="n">
        <v>35551</v>
      </c>
      <c r="B465" s="45">
        <f>VLOOKUP(Table534567910[[#This Row],[Date]],Database!A:E,MATCH($A$1,Database!$A$1:$E$1,),)</f>
        <v/>
      </c>
      <c r="C465" s="9">
        <f>(B465-B464)/B464</f>
        <v/>
      </c>
      <c r="D465" s="7">
        <f>(Table534567910[[#This Row],[Value]]-B453)/B453</f>
        <v/>
      </c>
      <c r="E465" s="16" t="n">
        <v>0.02</v>
      </c>
      <c r="F465" s="15" t="n">
        <v>5.5</v>
      </c>
    </row>
    <row r="466">
      <c r="A466" s="47" t="n">
        <v>35582</v>
      </c>
      <c r="B466" s="45">
        <f>VLOOKUP(Table534567910[[#This Row],[Date]],Database!A:E,MATCH($A$1,Database!$A$1:$E$1,),)</f>
        <v/>
      </c>
      <c r="C466" s="9">
        <f>(B466-B465)/B465</f>
        <v/>
      </c>
      <c r="D466" s="7">
        <f>(Table534567910[[#This Row],[Value]]-B454)/B454</f>
        <v/>
      </c>
      <c r="E466" s="16" t="n">
        <v>0.02</v>
      </c>
      <c r="F466" s="15" t="n">
        <v>5.5</v>
      </c>
    </row>
    <row r="467">
      <c r="A467" s="47" t="n">
        <v>35612</v>
      </c>
      <c r="B467" s="45">
        <f>VLOOKUP(Table534567910[[#This Row],[Date]],Database!A:E,MATCH($A$1,Database!$A$1:$E$1,),)</f>
        <v/>
      </c>
      <c r="C467" s="9">
        <f>(B467-B466)/B466</f>
        <v/>
      </c>
      <c r="D467" s="7">
        <f>(Table534567910[[#This Row],[Value]]-B455)/B455</f>
        <v/>
      </c>
      <c r="E467" s="16" t="n">
        <v>0.02</v>
      </c>
      <c r="F467" s="15" t="n">
        <v>5.5</v>
      </c>
    </row>
    <row r="468">
      <c r="A468" s="47" t="n">
        <v>35643</v>
      </c>
      <c r="B468" s="45">
        <f>VLOOKUP(Table534567910[[#This Row],[Date]],Database!A:E,MATCH($A$1,Database!$A$1:$E$1,),)</f>
        <v/>
      </c>
      <c r="C468" s="9">
        <f>(B468-B467)/B467</f>
        <v/>
      </c>
      <c r="D468" s="7">
        <f>(Table534567910[[#This Row],[Value]]-B456)/B456</f>
        <v/>
      </c>
      <c r="E468" s="16" t="n">
        <v>0.02</v>
      </c>
      <c r="F468" s="15" t="n">
        <v>5.5</v>
      </c>
    </row>
    <row r="469">
      <c r="A469" s="47" t="n">
        <v>35674</v>
      </c>
      <c r="B469" s="45">
        <f>VLOOKUP(Table534567910[[#This Row],[Date]],Database!A:E,MATCH($A$1,Database!$A$1:$E$1,),)</f>
        <v/>
      </c>
      <c r="C469" s="9">
        <f>(B469-B468)/B468</f>
        <v/>
      </c>
      <c r="D469" s="7">
        <f>(Table534567910[[#This Row],[Value]]-B457)/B457</f>
        <v/>
      </c>
      <c r="E469" s="16" t="n">
        <v>0.02</v>
      </c>
      <c r="F469" s="15" t="n">
        <v>5.5</v>
      </c>
    </row>
    <row r="470">
      <c r="A470" s="47" t="n">
        <v>35704</v>
      </c>
      <c r="B470" s="45">
        <f>VLOOKUP(Table534567910[[#This Row],[Date]],Database!A:E,MATCH($A$1,Database!$A$1:$E$1,),)</f>
        <v/>
      </c>
      <c r="C470" s="9">
        <f>(B470-B469)/B469</f>
        <v/>
      </c>
      <c r="D470" s="7">
        <f>(Table534567910[[#This Row],[Value]]-B458)/B458</f>
        <v/>
      </c>
      <c r="E470" s="16" t="n">
        <v>0.02</v>
      </c>
      <c r="F470" s="15" t="n">
        <v>5.5</v>
      </c>
    </row>
    <row r="471">
      <c r="A471" s="47" t="n">
        <v>35735</v>
      </c>
      <c r="B471" s="45">
        <f>VLOOKUP(Table534567910[[#This Row],[Date]],Database!A:E,MATCH($A$1,Database!$A$1:$E$1,),)</f>
        <v/>
      </c>
      <c r="C471" s="9">
        <f>(B471-B470)/B470</f>
        <v/>
      </c>
      <c r="D471" s="7">
        <f>(Table534567910[[#This Row],[Value]]-B459)/B459</f>
        <v/>
      </c>
      <c r="E471" s="16" t="n">
        <v>0.02</v>
      </c>
      <c r="F471" s="15" t="n">
        <v>5.5</v>
      </c>
    </row>
    <row r="472">
      <c r="A472" s="47" t="n">
        <v>35765</v>
      </c>
      <c r="B472" s="45">
        <f>VLOOKUP(Table534567910[[#This Row],[Date]],Database!A:E,MATCH($A$1,Database!$A$1:$E$1,),)</f>
        <v/>
      </c>
      <c r="C472" s="9">
        <f>(B472-B471)/B471</f>
        <v/>
      </c>
      <c r="D472" s="7">
        <f>(Table534567910[[#This Row],[Value]]-B460)/B460</f>
        <v/>
      </c>
      <c r="E472" s="16" t="n">
        <v>0.02</v>
      </c>
      <c r="F472" s="15" t="n">
        <v>5.5</v>
      </c>
    </row>
    <row r="473">
      <c r="A473" s="47" t="n">
        <v>35796</v>
      </c>
      <c r="B473" s="45">
        <f>VLOOKUP(Table534567910[[#This Row],[Date]],Database!A:E,MATCH($A$1,Database!$A$1:$E$1,),)</f>
        <v/>
      </c>
      <c r="C473" s="9">
        <f>(B473-B472)/B472</f>
        <v/>
      </c>
      <c r="D473" s="7">
        <f>(Table534567910[[#This Row],[Value]]-B461)/B461</f>
        <v/>
      </c>
      <c r="E473" s="16" t="n">
        <v>0.02</v>
      </c>
      <c r="F473" s="15" t="n">
        <v>5.5</v>
      </c>
    </row>
    <row r="474">
      <c r="A474" s="47" t="n">
        <v>35827</v>
      </c>
      <c r="B474" s="45">
        <f>VLOOKUP(Table534567910[[#This Row],[Date]],Database!A:E,MATCH($A$1,Database!$A$1:$E$1,),)</f>
        <v/>
      </c>
      <c r="C474" s="9">
        <f>(B474-B473)/B473</f>
        <v/>
      </c>
      <c r="D474" s="7">
        <f>(Table534567910[[#This Row],[Value]]-B462)/B462</f>
        <v/>
      </c>
      <c r="E474" s="16" t="n">
        <v>0.02</v>
      </c>
      <c r="F474" s="15" t="n">
        <v>5.5</v>
      </c>
    </row>
    <row r="475">
      <c r="A475" s="47" t="n">
        <v>35855</v>
      </c>
      <c r="B475" s="45">
        <f>VLOOKUP(Table534567910[[#This Row],[Date]],Database!A:E,MATCH($A$1,Database!$A$1:$E$1,),)</f>
        <v/>
      </c>
      <c r="C475" s="9">
        <f>(B475-B474)/B474</f>
        <v/>
      </c>
      <c r="D475" s="7">
        <f>(Table534567910[[#This Row],[Value]]-B463)/B463</f>
        <v/>
      </c>
      <c r="E475" s="16" t="n">
        <v>0.02</v>
      </c>
      <c r="F475" s="15" t="n">
        <v>5.5</v>
      </c>
    </row>
    <row r="476">
      <c r="A476" s="47" t="n">
        <v>35886</v>
      </c>
      <c r="B476" s="45">
        <f>VLOOKUP(Table534567910[[#This Row],[Date]],Database!A:E,MATCH($A$1,Database!$A$1:$E$1,),)</f>
        <v/>
      </c>
      <c r="C476" s="9">
        <f>(B476-B475)/B475</f>
        <v/>
      </c>
      <c r="D476" s="7">
        <f>(Table534567910[[#This Row],[Value]]-B464)/B464</f>
        <v/>
      </c>
      <c r="E476" s="16" t="n">
        <v>0.02</v>
      </c>
      <c r="F476" s="15" t="n">
        <v>5.5</v>
      </c>
    </row>
    <row r="477">
      <c r="A477" s="47" t="n">
        <v>35916</v>
      </c>
      <c r="B477" s="45">
        <f>VLOOKUP(Table534567910[[#This Row],[Date]],Database!A:E,MATCH($A$1,Database!$A$1:$E$1,),)</f>
        <v/>
      </c>
      <c r="C477" s="9">
        <f>(B477-B476)/B476</f>
        <v/>
      </c>
      <c r="D477" s="7">
        <f>(Table534567910[[#This Row],[Value]]-B465)/B465</f>
        <v/>
      </c>
      <c r="E477" s="16" t="n">
        <v>0.02</v>
      </c>
      <c r="F477" s="15" t="n">
        <v>5.5</v>
      </c>
    </row>
    <row r="478">
      <c r="A478" s="47" t="n">
        <v>35947</v>
      </c>
      <c r="B478" s="45">
        <f>VLOOKUP(Table534567910[[#This Row],[Date]],Database!A:E,MATCH($A$1,Database!$A$1:$E$1,),)</f>
        <v/>
      </c>
      <c r="C478" s="9">
        <f>(B478-B477)/B477</f>
        <v/>
      </c>
      <c r="D478" s="7">
        <f>(Table534567910[[#This Row],[Value]]-B466)/B466</f>
        <v/>
      </c>
      <c r="E478" s="16" t="n">
        <v>0.02</v>
      </c>
      <c r="F478" s="15" t="n">
        <v>5.5</v>
      </c>
    </row>
    <row r="479">
      <c r="A479" s="47" t="n">
        <v>35977</v>
      </c>
      <c r="B479" s="45">
        <f>VLOOKUP(Table534567910[[#This Row],[Date]],Database!A:E,MATCH($A$1,Database!$A$1:$E$1,),)</f>
        <v/>
      </c>
      <c r="C479" s="9">
        <f>(B479-B478)/B478</f>
        <v/>
      </c>
      <c r="D479" s="7">
        <f>(Table534567910[[#This Row],[Value]]-B467)/B467</f>
        <v/>
      </c>
      <c r="E479" s="16" t="n">
        <v>0.02</v>
      </c>
      <c r="F479" s="15" t="n">
        <v>5.5</v>
      </c>
    </row>
    <row r="480">
      <c r="A480" s="47" t="n">
        <v>36008</v>
      </c>
      <c r="B480" s="45">
        <f>VLOOKUP(Table534567910[[#This Row],[Date]],Database!A:E,MATCH($A$1,Database!$A$1:$E$1,),)</f>
        <v/>
      </c>
      <c r="C480" s="9">
        <f>(B480-B479)/B479</f>
        <v/>
      </c>
      <c r="D480" s="7">
        <f>(Table534567910[[#This Row],[Value]]-B468)/B468</f>
        <v/>
      </c>
      <c r="E480" s="16" t="n">
        <v>0.02</v>
      </c>
      <c r="F480" s="15" t="n">
        <v>5.5</v>
      </c>
    </row>
    <row r="481">
      <c r="A481" s="47" t="n">
        <v>36039</v>
      </c>
      <c r="B481" s="45">
        <f>VLOOKUP(Table534567910[[#This Row],[Date]],Database!A:E,MATCH($A$1,Database!$A$1:$E$1,),)</f>
        <v/>
      </c>
      <c r="C481" s="9">
        <f>(B481-B480)/B480</f>
        <v/>
      </c>
      <c r="D481" s="7">
        <f>(Table534567910[[#This Row],[Value]]-B469)/B469</f>
        <v/>
      </c>
      <c r="E481" s="16" t="n">
        <v>0.02</v>
      </c>
      <c r="F481" s="15" t="n">
        <v>5.25</v>
      </c>
    </row>
    <row r="482">
      <c r="A482" s="47" t="n">
        <v>36069</v>
      </c>
      <c r="B482" s="45">
        <f>VLOOKUP(Table534567910[[#This Row],[Date]],Database!A:E,MATCH($A$1,Database!$A$1:$E$1,),)</f>
        <v/>
      </c>
      <c r="C482" s="9">
        <f>(B482-B481)/B481</f>
        <v/>
      </c>
      <c r="D482" s="7">
        <f>(Table534567910[[#This Row],[Value]]-B470)/B470</f>
        <v/>
      </c>
      <c r="E482" s="16" t="n">
        <v>0.02</v>
      </c>
      <c r="F482" s="15" t="n">
        <v>5</v>
      </c>
    </row>
    <row r="483">
      <c r="A483" s="47" t="n">
        <v>36100</v>
      </c>
      <c r="B483" s="45">
        <f>VLOOKUP(Table534567910[[#This Row],[Date]],Database!A:E,MATCH($A$1,Database!$A$1:$E$1,),)</f>
        <v/>
      </c>
      <c r="C483" s="9">
        <f>(B483-B482)/B482</f>
        <v/>
      </c>
      <c r="D483" s="7">
        <f>(Table534567910[[#This Row],[Value]]-B471)/B471</f>
        <v/>
      </c>
      <c r="E483" s="16" t="n">
        <v>0.02</v>
      </c>
      <c r="F483" s="15" t="n">
        <v>4.75</v>
      </c>
    </row>
    <row r="484">
      <c r="A484" s="47" t="n">
        <v>36130</v>
      </c>
      <c r="B484" s="45">
        <f>VLOOKUP(Table534567910[[#This Row],[Date]],Database!A:E,MATCH($A$1,Database!$A$1:$E$1,),)</f>
        <v/>
      </c>
      <c r="C484" s="9">
        <f>(B484-B483)/B483</f>
        <v/>
      </c>
      <c r="D484" s="7">
        <f>(Table534567910[[#This Row],[Value]]-B472)/B472</f>
        <v/>
      </c>
      <c r="E484" s="16" t="n">
        <v>0.02</v>
      </c>
      <c r="F484" s="15" t="n">
        <v>4.75</v>
      </c>
    </row>
    <row r="485">
      <c r="A485" s="47" t="n">
        <v>36161</v>
      </c>
      <c r="B485" s="45">
        <f>VLOOKUP(Table534567910[[#This Row],[Date]],Database!A:E,MATCH($A$1,Database!$A$1:$E$1,),)</f>
        <v/>
      </c>
      <c r="C485" s="9">
        <f>(B485-B484)/B484</f>
        <v/>
      </c>
      <c r="D485" s="7">
        <f>(Table534567910[[#This Row],[Value]]-B473)/B473</f>
        <v/>
      </c>
      <c r="E485" s="16" t="n">
        <v>0.02</v>
      </c>
      <c r="F485" s="15" t="n">
        <v>4.75</v>
      </c>
    </row>
    <row r="486">
      <c r="A486" s="47" t="n">
        <v>36192</v>
      </c>
      <c r="B486" s="45">
        <f>VLOOKUP(Table534567910[[#This Row],[Date]],Database!A:E,MATCH($A$1,Database!$A$1:$E$1,),)</f>
        <v/>
      </c>
      <c r="C486" s="9">
        <f>(B486-B485)/B485</f>
        <v/>
      </c>
      <c r="D486" s="7">
        <f>(Table534567910[[#This Row],[Value]]-B474)/B474</f>
        <v/>
      </c>
      <c r="E486" s="16" t="n">
        <v>0.02</v>
      </c>
      <c r="F486" s="15" t="n">
        <v>4.75</v>
      </c>
    </row>
    <row r="487">
      <c r="A487" s="47" t="n">
        <v>36220</v>
      </c>
      <c r="B487" s="45">
        <f>VLOOKUP(Table534567910[[#This Row],[Date]],Database!A:E,MATCH($A$1,Database!$A$1:$E$1,),)</f>
        <v/>
      </c>
      <c r="C487" s="9">
        <f>(B487-B486)/B486</f>
        <v/>
      </c>
      <c r="D487" s="7">
        <f>(Table534567910[[#This Row],[Value]]-B475)/B475</f>
        <v/>
      </c>
      <c r="E487" s="16" t="n">
        <v>0.02</v>
      </c>
      <c r="F487" s="15" t="n">
        <v>4.75</v>
      </c>
    </row>
    <row r="488">
      <c r="A488" s="47" t="n">
        <v>36251</v>
      </c>
      <c r="B488" s="45">
        <f>VLOOKUP(Table534567910[[#This Row],[Date]],Database!A:E,MATCH($A$1,Database!$A$1:$E$1,),)</f>
        <v/>
      </c>
      <c r="C488" s="9">
        <f>(B488-B487)/B487</f>
        <v/>
      </c>
      <c r="D488" s="7">
        <f>(Table534567910[[#This Row],[Value]]-B476)/B476</f>
        <v/>
      </c>
      <c r="E488" s="16" t="n">
        <v>0.02</v>
      </c>
      <c r="F488" s="15" t="n">
        <v>4.75</v>
      </c>
    </row>
    <row r="489">
      <c r="A489" s="47" t="n">
        <v>36281</v>
      </c>
      <c r="B489" s="45">
        <f>VLOOKUP(Table534567910[[#This Row],[Date]],Database!A:E,MATCH($A$1,Database!$A$1:$E$1,),)</f>
        <v/>
      </c>
      <c r="C489" s="9">
        <f>(B489-B488)/B488</f>
        <v/>
      </c>
      <c r="D489" s="7">
        <f>(Table534567910[[#This Row],[Value]]-B477)/B477</f>
        <v/>
      </c>
      <c r="E489" s="16" t="n">
        <v>0.02</v>
      </c>
      <c r="F489" s="15" t="n">
        <v>4.75</v>
      </c>
    </row>
    <row r="490">
      <c r="A490" s="47" t="n">
        <v>36312</v>
      </c>
      <c r="B490" s="45">
        <f>VLOOKUP(Table534567910[[#This Row],[Date]],Database!A:E,MATCH($A$1,Database!$A$1:$E$1,),)</f>
        <v/>
      </c>
      <c r="C490" s="9">
        <f>(B490-B489)/B489</f>
        <v/>
      </c>
      <c r="D490" s="7">
        <f>(Table534567910[[#This Row],[Value]]-B478)/B478</f>
        <v/>
      </c>
      <c r="E490" s="16" t="n">
        <v>0.02</v>
      </c>
      <c r="F490" s="15" t="n">
        <v>5</v>
      </c>
    </row>
    <row r="491">
      <c r="A491" s="47" t="n">
        <v>36342</v>
      </c>
      <c r="B491" s="45">
        <f>VLOOKUP(Table534567910[[#This Row],[Date]],Database!A:E,MATCH($A$1,Database!$A$1:$E$1,),)</f>
        <v/>
      </c>
      <c r="C491" s="9">
        <f>(B491-B490)/B490</f>
        <v/>
      </c>
      <c r="D491" s="7">
        <f>(Table534567910[[#This Row],[Value]]-B479)/B479</f>
        <v/>
      </c>
      <c r="E491" s="16" t="n">
        <v>0.02</v>
      </c>
      <c r="F491" s="15" t="n">
        <v>5</v>
      </c>
    </row>
    <row r="492">
      <c r="A492" s="47" t="n">
        <v>36373</v>
      </c>
      <c r="B492" s="45">
        <f>VLOOKUP(Table534567910[[#This Row],[Date]],Database!A:E,MATCH($A$1,Database!$A$1:$E$1,),)</f>
        <v/>
      </c>
      <c r="C492" s="9">
        <f>(B492-B491)/B491</f>
        <v/>
      </c>
      <c r="D492" s="7">
        <f>(Table534567910[[#This Row],[Value]]-B480)/B480</f>
        <v/>
      </c>
      <c r="E492" s="16" t="n">
        <v>0.02</v>
      </c>
      <c r="F492" s="15" t="n">
        <v>5.25</v>
      </c>
    </row>
    <row r="493">
      <c r="A493" s="47" t="n">
        <v>36404</v>
      </c>
      <c r="B493" s="45">
        <f>VLOOKUP(Table534567910[[#This Row],[Date]],Database!A:E,MATCH($A$1,Database!$A$1:$E$1,),)</f>
        <v/>
      </c>
      <c r="C493" s="9">
        <f>(B493-B492)/B492</f>
        <v/>
      </c>
      <c r="D493" s="7">
        <f>(Table534567910[[#This Row],[Value]]-B481)/B481</f>
        <v/>
      </c>
      <c r="E493" s="16" t="n">
        <v>0.02</v>
      </c>
      <c r="F493" s="15" t="n">
        <v>5.25</v>
      </c>
    </row>
    <row r="494">
      <c r="A494" s="47" t="n">
        <v>36434</v>
      </c>
      <c r="B494" s="45">
        <f>VLOOKUP(Table534567910[[#This Row],[Date]],Database!A:E,MATCH($A$1,Database!$A$1:$E$1,),)</f>
        <v/>
      </c>
      <c r="C494" s="9">
        <f>(B494-B493)/B493</f>
        <v/>
      </c>
      <c r="D494" s="7">
        <f>(Table534567910[[#This Row],[Value]]-B482)/B482</f>
        <v/>
      </c>
      <c r="E494" s="16" t="n">
        <v>0.02</v>
      </c>
      <c r="F494" s="15" t="n">
        <v>5.25</v>
      </c>
    </row>
    <row r="495">
      <c r="A495" s="47" t="n">
        <v>36465</v>
      </c>
      <c r="B495" s="45">
        <f>VLOOKUP(Table534567910[[#This Row],[Date]],Database!A:E,MATCH($A$1,Database!$A$1:$E$1,),)</f>
        <v/>
      </c>
      <c r="C495" s="9">
        <f>(B495-B494)/B494</f>
        <v/>
      </c>
      <c r="D495" s="7">
        <f>(Table534567910[[#This Row],[Value]]-B483)/B483</f>
        <v/>
      </c>
      <c r="E495" s="16" t="n">
        <v>0.02</v>
      </c>
      <c r="F495" s="15" t="n">
        <v>5.5</v>
      </c>
    </row>
    <row r="496">
      <c r="A496" s="47" t="n">
        <v>36495</v>
      </c>
      <c r="B496" s="45">
        <f>VLOOKUP(Table534567910[[#This Row],[Date]],Database!A:E,MATCH($A$1,Database!$A$1:$E$1,),)</f>
        <v/>
      </c>
      <c r="C496" s="9">
        <f>(B496-B495)/B495</f>
        <v/>
      </c>
      <c r="D496" s="7">
        <f>(Table534567910[[#This Row],[Value]]-B484)/B484</f>
        <v/>
      </c>
      <c r="E496" s="16" t="n">
        <v>0.02</v>
      </c>
      <c r="F496" s="15" t="n">
        <v>5.5</v>
      </c>
    </row>
    <row r="497">
      <c r="A497" s="47" t="n">
        <v>36526</v>
      </c>
      <c r="B497" s="45">
        <f>VLOOKUP(Table534567910[[#This Row],[Date]],Database!A:E,MATCH($A$1,Database!$A$1:$E$1,),)</f>
        <v/>
      </c>
      <c r="C497" s="9">
        <f>(B497-B496)/B496</f>
        <v/>
      </c>
      <c r="D497" s="7">
        <f>(Table534567910[[#This Row],[Value]]-B485)/B485</f>
        <v/>
      </c>
      <c r="E497" s="16" t="n">
        <v>0.02</v>
      </c>
      <c r="F497" s="15" t="n">
        <v>5.5</v>
      </c>
      <c r="K497" s="33" t="n"/>
    </row>
    <row r="498">
      <c r="A498" s="47" t="n">
        <v>36557</v>
      </c>
      <c r="B498" s="45">
        <f>VLOOKUP(Table534567910[[#This Row],[Date]],Database!A:E,MATCH($A$1,Database!$A$1:$E$1,),)</f>
        <v/>
      </c>
      <c r="C498" s="9">
        <f>(B498-B497)/B497</f>
        <v/>
      </c>
      <c r="D498" s="7">
        <f>(Table534567910[[#This Row],[Value]]-B486)/B486</f>
        <v/>
      </c>
      <c r="E498" s="16" t="n">
        <v>0.02</v>
      </c>
      <c r="F498" s="15" t="n">
        <v>5.75</v>
      </c>
    </row>
    <row r="499">
      <c r="A499" s="47" t="n">
        <v>36586</v>
      </c>
      <c r="B499" s="45">
        <f>VLOOKUP(Table534567910[[#This Row],[Date]],Database!A:E,MATCH($A$1,Database!$A$1:$E$1,),)</f>
        <v/>
      </c>
      <c r="C499" s="9">
        <f>(B499-B498)/B498</f>
        <v/>
      </c>
      <c r="D499" s="7">
        <f>(Table534567910[[#This Row],[Value]]-B487)/B487</f>
        <v/>
      </c>
      <c r="E499" s="16" t="n">
        <v>0.02</v>
      </c>
      <c r="F499" s="15" t="n">
        <v>6</v>
      </c>
    </row>
    <row r="500">
      <c r="A500" s="47" t="n">
        <v>36617</v>
      </c>
      <c r="B500" s="45">
        <f>VLOOKUP(Table534567910[[#This Row],[Date]],Database!A:E,MATCH($A$1,Database!$A$1:$E$1,),)</f>
        <v/>
      </c>
      <c r="C500" s="9">
        <f>(B500-B499)/B499</f>
        <v/>
      </c>
      <c r="D500" s="7">
        <f>(Table534567910[[#This Row],[Value]]-B488)/B488</f>
        <v/>
      </c>
      <c r="E500" s="16" t="n">
        <v>0.02</v>
      </c>
      <c r="F500" s="15" t="n">
        <v>6</v>
      </c>
    </row>
    <row r="501">
      <c r="A501" s="47" t="n">
        <v>36647</v>
      </c>
      <c r="B501" s="45">
        <f>VLOOKUP(Table534567910[[#This Row],[Date]],Database!A:E,MATCH($A$1,Database!$A$1:$E$1,),)</f>
        <v/>
      </c>
      <c r="C501" s="9">
        <f>(B501-B500)/B500</f>
        <v/>
      </c>
      <c r="D501" s="7">
        <f>(Table534567910[[#This Row],[Value]]-B489)/B489</f>
        <v/>
      </c>
      <c r="E501" s="16" t="n">
        <v>0.02</v>
      </c>
      <c r="F501" s="15" t="n">
        <v>6.5</v>
      </c>
    </row>
    <row r="502">
      <c r="A502" s="47" t="n">
        <v>36678</v>
      </c>
      <c r="B502" s="45">
        <f>VLOOKUP(Table534567910[[#This Row],[Date]],Database!A:E,MATCH($A$1,Database!$A$1:$E$1,),)</f>
        <v/>
      </c>
      <c r="C502" s="9">
        <f>(B502-B501)/B501</f>
        <v/>
      </c>
      <c r="D502" s="7">
        <f>(Table534567910[[#This Row],[Value]]-B490)/B490</f>
        <v/>
      </c>
      <c r="E502" s="16" t="n">
        <v>0.02</v>
      </c>
      <c r="F502" s="15" t="n">
        <v>6.5</v>
      </c>
    </row>
    <row r="503">
      <c r="A503" s="47" t="n">
        <v>36708</v>
      </c>
      <c r="B503" s="45">
        <f>VLOOKUP(Table534567910[[#This Row],[Date]],Database!A:E,MATCH($A$1,Database!$A$1:$E$1,),)</f>
        <v/>
      </c>
      <c r="C503" s="9">
        <f>(B503-B502)/B502</f>
        <v/>
      </c>
      <c r="D503" s="7">
        <f>(Table534567910[[#This Row],[Value]]-B491)/B491</f>
        <v/>
      </c>
      <c r="E503" s="16" t="n">
        <v>0.02</v>
      </c>
      <c r="F503" s="15" t="n">
        <v>6.5</v>
      </c>
    </row>
    <row r="504">
      <c r="A504" s="47" t="n">
        <v>36739</v>
      </c>
      <c r="B504" s="45">
        <f>VLOOKUP(Table534567910[[#This Row],[Date]],Database!A:E,MATCH($A$1,Database!$A$1:$E$1,),)</f>
        <v/>
      </c>
      <c r="C504" s="9">
        <f>(B504-B503)/B503</f>
        <v/>
      </c>
      <c r="D504" s="7">
        <f>(Table534567910[[#This Row],[Value]]-B492)/B492</f>
        <v/>
      </c>
      <c r="E504" s="16" t="n">
        <v>0.02</v>
      </c>
      <c r="F504" s="15" t="n">
        <v>6.5</v>
      </c>
    </row>
    <row r="505">
      <c r="A505" s="47" t="n">
        <v>36770</v>
      </c>
      <c r="B505" s="45">
        <f>VLOOKUP(Table534567910[[#This Row],[Date]],Database!A:E,MATCH($A$1,Database!$A$1:$E$1,),)</f>
        <v/>
      </c>
      <c r="C505" s="9">
        <f>(B505-B504)/B504</f>
        <v/>
      </c>
      <c r="D505" s="7">
        <f>(Table534567910[[#This Row],[Value]]-B493)/B493</f>
        <v/>
      </c>
      <c r="E505" s="16" t="n">
        <v>0.02</v>
      </c>
      <c r="F505" s="15" t="n">
        <v>6.5</v>
      </c>
    </row>
    <row r="506">
      <c r="A506" s="47" t="n">
        <v>36800</v>
      </c>
      <c r="B506" s="45">
        <f>VLOOKUP(Table534567910[[#This Row],[Date]],Database!A:E,MATCH($A$1,Database!$A$1:$E$1,),)</f>
        <v/>
      </c>
      <c r="C506" s="9">
        <f>(B506-B505)/B505</f>
        <v/>
      </c>
      <c r="D506" s="7">
        <f>(Table534567910[[#This Row],[Value]]-B494)/B494</f>
        <v/>
      </c>
      <c r="E506" s="16" t="n">
        <v>0.02</v>
      </c>
      <c r="F506" s="15" t="n">
        <v>6.5</v>
      </c>
    </row>
    <row r="507">
      <c r="A507" s="47" t="n">
        <v>36831</v>
      </c>
      <c r="B507" s="45">
        <f>VLOOKUP(Table534567910[[#This Row],[Date]],Database!A:E,MATCH($A$1,Database!$A$1:$E$1,),)</f>
        <v/>
      </c>
      <c r="C507" s="9">
        <f>(B507-B506)/B506</f>
        <v/>
      </c>
      <c r="D507" s="7">
        <f>(Table534567910[[#This Row],[Value]]-B495)/B495</f>
        <v/>
      </c>
      <c r="E507" s="16" t="n">
        <v>0.02</v>
      </c>
      <c r="F507" s="15" t="n">
        <v>6.5</v>
      </c>
    </row>
    <row r="508">
      <c r="A508" s="47" t="n">
        <v>36861</v>
      </c>
      <c r="B508" s="45">
        <f>VLOOKUP(Table534567910[[#This Row],[Date]],Database!A:E,MATCH($A$1,Database!$A$1:$E$1,),)</f>
        <v/>
      </c>
      <c r="C508" s="9">
        <f>(B508-B507)/B507</f>
        <v/>
      </c>
      <c r="D508" s="7">
        <f>(Table534567910[[#This Row],[Value]]-B496)/B496</f>
        <v/>
      </c>
      <c r="E508" s="16" t="n">
        <v>0.02</v>
      </c>
      <c r="F508" s="15" t="n">
        <v>6.5</v>
      </c>
    </row>
    <row r="509">
      <c r="A509" s="47" t="n">
        <v>36892</v>
      </c>
      <c r="B509" s="45">
        <f>VLOOKUP(Table534567910[[#This Row],[Date]],Database!A:E,MATCH($A$1,Database!$A$1:$E$1,),)</f>
        <v/>
      </c>
      <c r="C509" s="9">
        <f>(B509-B508)/B508</f>
        <v/>
      </c>
      <c r="D509" s="7">
        <f>(Table534567910[[#This Row],[Value]]-B497)/B497</f>
        <v/>
      </c>
      <c r="E509" s="16" t="n">
        <v>0.02</v>
      </c>
      <c r="F509" s="15" t="n">
        <v>5.5</v>
      </c>
    </row>
    <row r="510">
      <c r="A510" s="47" t="n">
        <v>36923</v>
      </c>
      <c r="B510" s="45">
        <f>VLOOKUP(Table534567910[[#This Row],[Date]],Database!A:E,MATCH($A$1,Database!$A$1:$E$1,),)</f>
        <v/>
      </c>
      <c r="C510" s="9">
        <f>(B510-B509)/B509</f>
        <v/>
      </c>
      <c r="D510" s="7">
        <f>(Table534567910[[#This Row],[Value]]-B498)/B498</f>
        <v/>
      </c>
      <c r="E510" s="16" t="n">
        <v>0.02</v>
      </c>
      <c r="F510" s="15" t="n">
        <v>5.5</v>
      </c>
    </row>
    <row r="511">
      <c r="A511" s="47" t="n">
        <v>36951</v>
      </c>
      <c r="B511" s="45">
        <f>VLOOKUP(Table534567910[[#This Row],[Date]],Database!A:E,MATCH($A$1,Database!$A$1:$E$1,),)</f>
        <v/>
      </c>
      <c r="C511" s="9">
        <f>(B511-B510)/B510</f>
        <v/>
      </c>
      <c r="D511" s="7">
        <f>(Table534567910[[#This Row],[Value]]-B499)/B499</f>
        <v/>
      </c>
      <c r="E511" s="16" t="n">
        <v>0.02</v>
      </c>
      <c r="F511" s="15" t="n">
        <v>5</v>
      </c>
    </row>
    <row r="512">
      <c r="A512" s="47" t="n">
        <v>36982</v>
      </c>
      <c r="B512" s="45">
        <f>VLOOKUP(Table534567910[[#This Row],[Date]],Database!A:E,MATCH($A$1,Database!$A$1:$E$1,),)</f>
        <v/>
      </c>
      <c r="C512" s="9">
        <f>(B512-B511)/B511</f>
        <v/>
      </c>
      <c r="D512" s="7">
        <f>(Table534567910[[#This Row],[Value]]-B500)/B500</f>
        <v/>
      </c>
      <c r="E512" s="16" t="n">
        <v>0.02</v>
      </c>
      <c r="F512" s="15" t="n">
        <v>4.5</v>
      </c>
    </row>
    <row r="513">
      <c r="A513" s="47" t="n">
        <v>37012</v>
      </c>
      <c r="B513" s="45">
        <f>VLOOKUP(Table534567910[[#This Row],[Date]],Database!A:E,MATCH($A$1,Database!$A$1:$E$1,),)</f>
        <v/>
      </c>
      <c r="C513" s="9">
        <f>(B513-B512)/B512</f>
        <v/>
      </c>
      <c r="D513" s="7">
        <f>(Table534567910[[#This Row],[Value]]-B501)/B501</f>
        <v/>
      </c>
      <c r="E513" s="16" t="n">
        <v>0.02</v>
      </c>
      <c r="F513" s="15" t="n">
        <v>4</v>
      </c>
    </row>
    <row r="514">
      <c r="A514" s="47" t="n">
        <v>37043</v>
      </c>
      <c r="B514" s="45">
        <f>VLOOKUP(Table534567910[[#This Row],[Date]],Database!A:E,MATCH($A$1,Database!$A$1:$E$1,),)</f>
        <v/>
      </c>
      <c r="C514" s="9">
        <f>(B514-B513)/B513</f>
        <v/>
      </c>
      <c r="D514" s="7">
        <f>(Table534567910[[#This Row],[Value]]-B502)/B502</f>
        <v/>
      </c>
      <c r="E514" s="16" t="n">
        <v>0.02</v>
      </c>
      <c r="F514" s="15" t="n">
        <v>3.75</v>
      </c>
    </row>
    <row r="515">
      <c r="A515" s="47" t="n">
        <v>37073</v>
      </c>
      <c r="B515" s="45">
        <f>VLOOKUP(Table534567910[[#This Row],[Date]],Database!A:E,MATCH($A$1,Database!$A$1:$E$1,),)</f>
        <v/>
      </c>
      <c r="C515" s="9">
        <f>(B515-B514)/B514</f>
        <v/>
      </c>
      <c r="D515" s="7">
        <f>(Table534567910[[#This Row],[Value]]-B503)/B503</f>
        <v/>
      </c>
      <c r="E515" s="16" t="n">
        <v>0.02</v>
      </c>
      <c r="F515" s="15" t="n">
        <v>3.75</v>
      </c>
    </row>
    <row r="516">
      <c r="A516" s="47" t="n">
        <v>37104</v>
      </c>
      <c r="B516" s="45">
        <f>VLOOKUP(Table534567910[[#This Row],[Date]],Database!A:E,MATCH($A$1,Database!$A$1:$E$1,),)</f>
        <v/>
      </c>
      <c r="C516" s="9">
        <f>(B516-B515)/B515</f>
        <v/>
      </c>
      <c r="D516" s="7">
        <f>(Table534567910[[#This Row],[Value]]-B504)/B504</f>
        <v/>
      </c>
      <c r="E516" s="16" t="n">
        <v>0.02</v>
      </c>
      <c r="F516" s="15" t="n">
        <v>3.5</v>
      </c>
    </row>
    <row r="517">
      <c r="A517" s="47" t="n">
        <v>37135</v>
      </c>
      <c r="B517" s="45">
        <f>VLOOKUP(Table534567910[[#This Row],[Date]],Database!A:E,MATCH($A$1,Database!$A$1:$E$1,),)</f>
        <v/>
      </c>
      <c r="C517" s="9">
        <f>(B517-B516)/B516</f>
        <v/>
      </c>
      <c r="D517" s="7">
        <f>(Table534567910[[#This Row],[Value]]-B505)/B505</f>
        <v/>
      </c>
      <c r="E517" s="16" t="n">
        <v>0.02</v>
      </c>
      <c r="F517" s="15" t="n">
        <v>3</v>
      </c>
    </row>
    <row r="518">
      <c r="A518" s="47" t="n">
        <v>37165</v>
      </c>
      <c r="B518" s="45">
        <f>VLOOKUP(Table534567910[[#This Row],[Date]],Database!A:E,MATCH($A$1,Database!$A$1:$E$1,),)</f>
        <v/>
      </c>
      <c r="C518" s="9">
        <f>(B518-B517)/B517</f>
        <v/>
      </c>
      <c r="D518" s="7">
        <f>(Table534567910[[#This Row],[Value]]-B506)/B506</f>
        <v/>
      </c>
      <c r="E518" s="16" t="n">
        <v>0.02</v>
      </c>
      <c r="F518" s="15" t="n">
        <v>2.5</v>
      </c>
    </row>
    <row r="519">
      <c r="A519" s="47" t="n">
        <v>37196</v>
      </c>
      <c r="B519" s="45">
        <f>VLOOKUP(Table534567910[[#This Row],[Date]],Database!A:E,MATCH($A$1,Database!$A$1:$E$1,),)</f>
        <v/>
      </c>
      <c r="C519" s="9">
        <f>(B519-B518)/B518</f>
        <v/>
      </c>
      <c r="D519" s="7">
        <f>(Table534567910[[#This Row],[Value]]-B507)/B507</f>
        <v/>
      </c>
      <c r="E519" s="16" t="n">
        <v>0.02</v>
      </c>
      <c r="F519" s="15" t="n">
        <v>2</v>
      </c>
    </row>
    <row r="520">
      <c r="A520" s="47" t="n">
        <v>37226</v>
      </c>
      <c r="B520" s="45">
        <f>VLOOKUP(Table534567910[[#This Row],[Date]],Database!A:E,MATCH($A$1,Database!$A$1:$E$1,),)</f>
        <v/>
      </c>
      <c r="C520" s="9">
        <f>(B520-B519)/B519</f>
        <v/>
      </c>
      <c r="D520" s="7">
        <f>(Table534567910[[#This Row],[Value]]-B508)/B508</f>
        <v/>
      </c>
      <c r="E520" s="16" t="n">
        <v>0.02</v>
      </c>
      <c r="F520" s="15" t="n">
        <v>1.75</v>
      </c>
    </row>
    <row r="521">
      <c r="A521" s="47" t="n">
        <v>37257</v>
      </c>
      <c r="B521" s="45">
        <f>VLOOKUP(Table534567910[[#This Row],[Date]],Database!A:E,MATCH($A$1,Database!$A$1:$E$1,),)</f>
        <v/>
      </c>
      <c r="C521" s="9">
        <f>(B521-B520)/B520</f>
        <v/>
      </c>
      <c r="D521" s="7">
        <f>(Table534567910[[#This Row],[Value]]-B509)/B509</f>
        <v/>
      </c>
      <c r="E521" s="16" t="n">
        <v>0.02</v>
      </c>
      <c r="F521" s="15" t="n">
        <v>1.75</v>
      </c>
    </row>
    <row r="522">
      <c r="A522" s="47" t="n">
        <v>37288</v>
      </c>
      <c r="B522" s="45">
        <f>VLOOKUP(Table534567910[[#This Row],[Date]],Database!A:E,MATCH($A$1,Database!$A$1:$E$1,),)</f>
        <v/>
      </c>
      <c r="C522" s="9">
        <f>(B522-B521)/B521</f>
        <v/>
      </c>
      <c r="D522" s="7">
        <f>(Table534567910[[#This Row],[Value]]-B510)/B510</f>
        <v/>
      </c>
      <c r="E522" s="16" t="n">
        <v>0.02</v>
      </c>
      <c r="F522" s="15" t="n">
        <v>1.75</v>
      </c>
    </row>
    <row r="523">
      <c r="A523" s="47" t="n">
        <v>37316</v>
      </c>
      <c r="B523" s="45">
        <f>VLOOKUP(Table534567910[[#This Row],[Date]],Database!A:E,MATCH($A$1,Database!$A$1:$E$1,),)</f>
        <v/>
      </c>
      <c r="C523" s="9">
        <f>(B523-B522)/B522</f>
        <v/>
      </c>
      <c r="D523" s="7">
        <f>(Table534567910[[#This Row],[Value]]-B511)/B511</f>
        <v/>
      </c>
      <c r="E523" s="16" t="n">
        <v>0.02</v>
      </c>
      <c r="F523" s="15" t="n">
        <v>1.75</v>
      </c>
    </row>
    <row r="524">
      <c r="A524" s="47" t="n">
        <v>37347</v>
      </c>
      <c r="B524" s="45">
        <f>VLOOKUP(Table534567910[[#This Row],[Date]],Database!A:E,MATCH($A$1,Database!$A$1:$E$1,),)</f>
        <v/>
      </c>
      <c r="C524" s="9">
        <f>(B524-B523)/B523</f>
        <v/>
      </c>
      <c r="D524" s="7">
        <f>(Table534567910[[#This Row],[Value]]-B512)/B512</f>
        <v/>
      </c>
      <c r="E524" s="16" t="n">
        <v>0.02</v>
      </c>
      <c r="F524" s="15" t="n">
        <v>1.75</v>
      </c>
    </row>
    <row r="525">
      <c r="A525" s="47" t="n">
        <v>37377</v>
      </c>
      <c r="B525" s="45">
        <f>VLOOKUP(Table534567910[[#This Row],[Date]],Database!A:E,MATCH($A$1,Database!$A$1:$E$1,),)</f>
        <v/>
      </c>
      <c r="C525" s="9">
        <f>(B525-B524)/B524</f>
        <v/>
      </c>
      <c r="D525" s="7">
        <f>(Table534567910[[#This Row],[Value]]-B513)/B513</f>
        <v/>
      </c>
      <c r="E525" s="16" t="n">
        <v>0.02</v>
      </c>
      <c r="F525" s="15" t="n">
        <v>1.75</v>
      </c>
    </row>
    <row r="526">
      <c r="A526" s="47" t="n">
        <v>37408</v>
      </c>
      <c r="B526" s="45">
        <f>VLOOKUP(Table534567910[[#This Row],[Date]],Database!A:E,MATCH($A$1,Database!$A$1:$E$1,),)</f>
        <v/>
      </c>
      <c r="C526" s="9">
        <f>(B526-B525)/B525</f>
        <v/>
      </c>
      <c r="D526" s="7">
        <f>(Table534567910[[#This Row],[Value]]-B514)/B514</f>
        <v/>
      </c>
      <c r="E526" s="16" t="n">
        <v>0.02</v>
      </c>
      <c r="F526" s="15" t="n">
        <v>1.75</v>
      </c>
    </row>
    <row r="527">
      <c r="A527" s="47" t="n">
        <v>37438</v>
      </c>
      <c r="B527" s="45">
        <f>VLOOKUP(Table534567910[[#This Row],[Date]],Database!A:E,MATCH($A$1,Database!$A$1:$E$1,),)</f>
        <v/>
      </c>
      <c r="C527" s="9">
        <f>(B527-B526)/B526</f>
        <v/>
      </c>
      <c r="D527" s="7">
        <f>(Table534567910[[#This Row],[Value]]-B515)/B515</f>
        <v/>
      </c>
      <c r="E527" s="16" t="n">
        <v>0.02</v>
      </c>
      <c r="F527" s="15" t="n">
        <v>1.75</v>
      </c>
    </row>
    <row r="528">
      <c r="A528" s="47" t="n">
        <v>37469</v>
      </c>
      <c r="B528" s="45">
        <f>VLOOKUP(Table534567910[[#This Row],[Date]],Database!A:E,MATCH($A$1,Database!$A$1:$E$1,),)</f>
        <v/>
      </c>
      <c r="C528" s="9">
        <f>(B528-B527)/B527</f>
        <v/>
      </c>
      <c r="D528" s="7">
        <f>(Table534567910[[#This Row],[Value]]-B516)/B516</f>
        <v/>
      </c>
      <c r="E528" s="16" t="n">
        <v>0.02</v>
      </c>
      <c r="F528" s="15" t="n">
        <v>1.75</v>
      </c>
    </row>
    <row r="529">
      <c r="A529" s="47" t="n">
        <v>37500</v>
      </c>
      <c r="B529" s="45">
        <f>VLOOKUP(Table534567910[[#This Row],[Date]],Database!A:E,MATCH($A$1,Database!$A$1:$E$1,),)</f>
        <v/>
      </c>
      <c r="C529" s="9">
        <f>(B529-B528)/B528</f>
        <v/>
      </c>
      <c r="D529" s="7">
        <f>(Table534567910[[#This Row],[Value]]-B517)/B517</f>
        <v/>
      </c>
      <c r="E529" s="16" t="n">
        <v>0.02</v>
      </c>
      <c r="F529" s="15" t="n">
        <v>1.75</v>
      </c>
    </row>
    <row r="530">
      <c r="A530" s="47" t="n">
        <v>37530</v>
      </c>
      <c r="B530" s="45">
        <f>VLOOKUP(Table534567910[[#This Row],[Date]],Database!A:E,MATCH($A$1,Database!$A$1:$E$1,),)</f>
        <v/>
      </c>
      <c r="C530" s="9">
        <f>(B530-B529)/B529</f>
        <v/>
      </c>
      <c r="D530" s="7">
        <f>(Table534567910[[#This Row],[Value]]-B518)/B518</f>
        <v/>
      </c>
      <c r="E530" s="16" t="n">
        <v>0.02</v>
      </c>
      <c r="F530" s="15" t="n">
        <v>1.75</v>
      </c>
    </row>
    <row r="531">
      <c r="A531" s="47" t="n">
        <v>37561</v>
      </c>
      <c r="B531" s="45">
        <f>VLOOKUP(Table534567910[[#This Row],[Date]],Database!A:E,MATCH($A$1,Database!$A$1:$E$1,),)</f>
        <v/>
      </c>
      <c r="C531" s="9">
        <f>(B531-B530)/B530</f>
        <v/>
      </c>
      <c r="D531" s="7">
        <f>(Table534567910[[#This Row],[Value]]-B519)/B519</f>
        <v/>
      </c>
      <c r="E531" s="16" t="n">
        <v>0.02</v>
      </c>
      <c r="F531" s="15" t="n">
        <v>1.25</v>
      </c>
    </row>
    <row r="532">
      <c r="A532" s="47" t="n">
        <v>37591</v>
      </c>
      <c r="B532" s="45">
        <f>VLOOKUP(Table534567910[[#This Row],[Date]],Database!A:E,MATCH($A$1,Database!$A$1:$E$1,),)</f>
        <v/>
      </c>
      <c r="C532" s="9">
        <f>(B532-B531)/B531</f>
        <v/>
      </c>
      <c r="D532" s="7">
        <f>(Table534567910[[#This Row],[Value]]-B520)/B520</f>
        <v/>
      </c>
      <c r="E532" s="16" t="n">
        <v>0.02</v>
      </c>
      <c r="F532" s="15" t="n">
        <v>1.25</v>
      </c>
    </row>
    <row r="533">
      <c r="A533" s="47" t="n">
        <v>37622</v>
      </c>
      <c r="B533" s="45">
        <f>VLOOKUP(Table534567910[[#This Row],[Date]],Database!A:E,MATCH($A$1,Database!$A$1:$E$1,),)</f>
        <v/>
      </c>
      <c r="C533" s="9">
        <f>(B533-B532)/B532</f>
        <v/>
      </c>
      <c r="D533" s="7">
        <f>(Table534567910[[#This Row],[Value]]-B521)/B521</f>
        <v/>
      </c>
      <c r="E533" s="16" t="n">
        <v>0.02</v>
      </c>
      <c r="F533" s="15" t="n">
        <v>1.25</v>
      </c>
    </row>
    <row r="534">
      <c r="A534" s="47" t="n">
        <v>37653</v>
      </c>
      <c r="B534" s="45">
        <f>VLOOKUP(Table534567910[[#This Row],[Date]],Database!A:E,MATCH($A$1,Database!$A$1:$E$1,),)</f>
        <v/>
      </c>
      <c r="C534" s="9">
        <f>(B534-B533)/B533</f>
        <v/>
      </c>
      <c r="D534" s="7">
        <f>(Table534567910[[#This Row],[Value]]-B522)/B522</f>
        <v/>
      </c>
      <c r="E534" s="16" t="n">
        <v>0.02</v>
      </c>
      <c r="F534" s="15" t="n">
        <v>1.25</v>
      </c>
    </row>
    <row r="535">
      <c r="A535" s="47" t="n">
        <v>37681</v>
      </c>
      <c r="B535" s="45">
        <f>VLOOKUP(Table534567910[[#This Row],[Date]],Database!A:E,MATCH($A$1,Database!$A$1:$E$1,),)</f>
        <v/>
      </c>
      <c r="C535" s="9">
        <f>(B535-B534)/B534</f>
        <v/>
      </c>
      <c r="D535" s="7">
        <f>(Table534567910[[#This Row],[Value]]-B523)/B523</f>
        <v/>
      </c>
      <c r="E535" s="16" t="n">
        <v>0.02</v>
      </c>
      <c r="F535" s="15" t="n">
        <v>1.25</v>
      </c>
    </row>
    <row r="536">
      <c r="A536" s="47" t="n">
        <v>37712</v>
      </c>
      <c r="B536" s="45">
        <f>VLOOKUP(Table534567910[[#This Row],[Date]],Database!A:E,MATCH($A$1,Database!$A$1:$E$1,),)</f>
        <v/>
      </c>
      <c r="C536" s="9">
        <f>(B536-B535)/B535</f>
        <v/>
      </c>
      <c r="D536" s="7">
        <f>(Table534567910[[#This Row],[Value]]-B524)/B524</f>
        <v/>
      </c>
      <c r="E536" s="16" t="n">
        <v>0.02</v>
      </c>
      <c r="F536" s="15" t="n">
        <v>1.25</v>
      </c>
    </row>
    <row r="537">
      <c r="A537" s="47" t="n">
        <v>37742</v>
      </c>
      <c r="B537" s="45">
        <f>VLOOKUP(Table534567910[[#This Row],[Date]],Database!A:E,MATCH($A$1,Database!$A$1:$E$1,),)</f>
        <v/>
      </c>
      <c r="C537" s="9">
        <f>(B537-B536)/B536</f>
        <v/>
      </c>
      <c r="D537" s="7">
        <f>(Table534567910[[#This Row],[Value]]-B525)/B525</f>
        <v/>
      </c>
      <c r="E537" s="16" t="n">
        <v>0.02</v>
      </c>
      <c r="F537" s="15" t="n">
        <v>1.25</v>
      </c>
    </row>
    <row r="538">
      <c r="A538" s="47" t="n">
        <v>37773</v>
      </c>
      <c r="B538" s="45">
        <f>VLOOKUP(Table534567910[[#This Row],[Date]],Database!A:E,MATCH($A$1,Database!$A$1:$E$1,),)</f>
        <v/>
      </c>
      <c r="C538" s="9">
        <f>(B538-B537)/B537</f>
        <v/>
      </c>
      <c r="D538" s="7">
        <f>(Table534567910[[#This Row],[Value]]-B526)/B526</f>
        <v/>
      </c>
      <c r="E538" s="16" t="n">
        <v>0.02</v>
      </c>
      <c r="F538" s="15" t="n">
        <v>1</v>
      </c>
    </row>
    <row r="539">
      <c r="A539" s="47" t="n">
        <v>37803</v>
      </c>
      <c r="B539" s="45">
        <f>VLOOKUP(Table534567910[[#This Row],[Date]],Database!A:E,MATCH($A$1,Database!$A$1:$E$1,),)</f>
        <v/>
      </c>
      <c r="C539" s="9">
        <f>(B539-B538)/B538</f>
        <v/>
      </c>
      <c r="D539" s="7">
        <f>(Table534567910[[#This Row],[Value]]-B527)/B527</f>
        <v/>
      </c>
      <c r="E539" s="16" t="n">
        <v>0.02</v>
      </c>
      <c r="F539" s="15" t="n">
        <v>1</v>
      </c>
    </row>
    <row r="540">
      <c r="A540" s="47" t="n">
        <v>37834</v>
      </c>
      <c r="B540" s="45">
        <f>VLOOKUP(Table534567910[[#This Row],[Date]],Database!A:E,MATCH($A$1,Database!$A$1:$E$1,),)</f>
        <v/>
      </c>
      <c r="C540" s="9">
        <f>(B540-B539)/B539</f>
        <v/>
      </c>
      <c r="D540" s="7">
        <f>(Table534567910[[#This Row],[Value]]-B528)/B528</f>
        <v/>
      </c>
      <c r="E540" s="16" t="n">
        <v>0.02</v>
      </c>
      <c r="F540" s="15" t="n">
        <v>1</v>
      </c>
    </row>
    <row r="541">
      <c r="A541" s="47" t="n">
        <v>37865</v>
      </c>
      <c r="B541" s="45">
        <f>VLOOKUP(Table534567910[[#This Row],[Date]],Database!A:E,MATCH($A$1,Database!$A$1:$E$1,),)</f>
        <v/>
      </c>
      <c r="C541" s="9">
        <f>(B541-B540)/B540</f>
        <v/>
      </c>
      <c r="D541" s="7">
        <f>(Table534567910[[#This Row],[Value]]-B529)/B529</f>
        <v/>
      </c>
      <c r="E541" s="16" t="n">
        <v>0.02</v>
      </c>
      <c r="F541" s="15" t="n">
        <v>1</v>
      </c>
    </row>
    <row r="542">
      <c r="A542" s="47" t="n">
        <v>37895</v>
      </c>
      <c r="B542" s="45">
        <f>VLOOKUP(Table534567910[[#This Row],[Date]],Database!A:E,MATCH($A$1,Database!$A$1:$E$1,),)</f>
        <v/>
      </c>
      <c r="C542" s="9">
        <f>(B542-B541)/B541</f>
        <v/>
      </c>
      <c r="D542" s="7">
        <f>(Table534567910[[#This Row],[Value]]-B530)/B530</f>
        <v/>
      </c>
      <c r="E542" s="16" t="n">
        <v>0.02</v>
      </c>
      <c r="F542" s="15" t="n">
        <v>1</v>
      </c>
    </row>
    <row r="543">
      <c r="A543" s="47" t="n">
        <v>37926</v>
      </c>
      <c r="B543" s="45">
        <f>VLOOKUP(Table534567910[[#This Row],[Date]],Database!A:E,MATCH($A$1,Database!$A$1:$E$1,),)</f>
        <v/>
      </c>
      <c r="C543" s="9">
        <f>(B543-B542)/B542</f>
        <v/>
      </c>
      <c r="D543" s="7">
        <f>(Table534567910[[#This Row],[Value]]-B531)/B531</f>
        <v/>
      </c>
      <c r="E543" s="16" t="n">
        <v>0.02</v>
      </c>
      <c r="F543" s="15" t="n">
        <v>1</v>
      </c>
    </row>
    <row r="544">
      <c r="A544" s="47" t="n">
        <v>37956</v>
      </c>
      <c r="B544" s="45">
        <f>VLOOKUP(Table534567910[[#This Row],[Date]],Database!A:E,MATCH($A$1,Database!$A$1:$E$1,),)</f>
        <v/>
      </c>
      <c r="C544" s="9">
        <f>(B544-B543)/B543</f>
        <v/>
      </c>
      <c r="D544" s="7">
        <f>(Table534567910[[#This Row],[Value]]-B532)/B532</f>
        <v/>
      </c>
      <c r="E544" s="16" t="n">
        <v>0.02</v>
      </c>
      <c r="F544" s="15" t="n">
        <v>1</v>
      </c>
    </row>
    <row r="545">
      <c r="A545" s="47" t="n">
        <v>37987</v>
      </c>
      <c r="B545" s="45">
        <f>VLOOKUP(Table534567910[[#This Row],[Date]],Database!A:E,MATCH($A$1,Database!$A$1:$E$1,),)</f>
        <v/>
      </c>
      <c r="C545" s="9">
        <f>(B545-B544)/B544</f>
        <v/>
      </c>
      <c r="D545" s="7">
        <f>(Table534567910[[#This Row],[Value]]-B533)/B533</f>
        <v/>
      </c>
      <c r="E545" s="16" t="n">
        <v>0.02</v>
      </c>
      <c r="F545" s="15" t="n">
        <v>1</v>
      </c>
    </row>
    <row r="546">
      <c r="A546" s="47" t="n">
        <v>38018</v>
      </c>
      <c r="B546" s="45">
        <f>VLOOKUP(Table534567910[[#This Row],[Date]],Database!A:E,MATCH($A$1,Database!$A$1:$E$1,),)</f>
        <v/>
      </c>
      <c r="C546" s="9">
        <f>(B546-B545)/B545</f>
        <v/>
      </c>
      <c r="D546" s="7">
        <f>(Table534567910[[#This Row],[Value]]-B534)/B534</f>
        <v/>
      </c>
      <c r="E546" s="16" t="n">
        <v>0.02</v>
      </c>
      <c r="F546" s="15" t="n">
        <v>1</v>
      </c>
    </row>
    <row r="547">
      <c r="A547" s="47" t="n">
        <v>38047</v>
      </c>
      <c r="B547" s="45">
        <f>VLOOKUP(Table534567910[[#This Row],[Date]],Database!A:E,MATCH($A$1,Database!$A$1:$E$1,),)</f>
        <v/>
      </c>
      <c r="C547" s="9">
        <f>(B547-B546)/B546</f>
        <v/>
      </c>
      <c r="D547" s="7">
        <f>(Table534567910[[#This Row],[Value]]-B535)/B535</f>
        <v/>
      </c>
      <c r="E547" s="16" t="n">
        <v>0.02</v>
      </c>
      <c r="F547" s="15" t="n">
        <v>1</v>
      </c>
    </row>
    <row r="548">
      <c r="A548" s="47" t="n">
        <v>38078</v>
      </c>
      <c r="B548" s="45">
        <f>VLOOKUP(Table534567910[[#This Row],[Date]],Database!A:E,MATCH($A$1,Database!$A$1:$E$1,),)</f>
        <v/>
      </c>
      <c r="C548" s="9">
        <f>(B548-B547)/B547</f>
        <v/>
      </c>
      <c r="D548" s="7">
        <f>(Table534567910[[#This Row],[Value]]-B536)/B536</f>
        <v/>
      </c>
      <c r="E548" s="16" t="n">
        <v>0.02</v>
      </c>
      <c r="F548" s="15" t="n">
        <v>1</v>
      </c>
    </row>
    <row r="549">
      <c r="A549" s="47" t="n">
        <v>38108</v>
      </c>
      <c r="B549" s="45">
        <f>VLOOKUP(Table534567910[[#This Row],[Date]],Database!A:E,MATCH($A$1,Database!$A$1:$E$1,),)</f>
        <v/>
      </c>
      <c r="C549" s="9">
        <f>(B549-B548)/B548</f>
        <v/>
      </c>
      <c r="D549" s="7">
        <f>(Table534567910[[#This Row],[Value]]-B537)/B537</f>
        <v/>
      </c>
      <c r="E549" s="16" t="n">
        <v>0.02</v>
      </c>
      <c r="F549" s="15" t="n">
        <v>1</v>
      </c>
    </row>
    <row r="550">
      <c r="A550" s="47" t="n">
        <v>38139</v>
      </c>
      <c r="B550" s="45">
        <f>VLOOKUP(Table534567910[[#This Row],[Date]],Database!A:E,MATCH($A$1,Database!$A$1:$E$1,),)</f>
        <v/>
      </c>
      <c r="C550" s="9">
        <f>(B550-B549)/B549</f>
        <v/>
      </c>
      <c r="D550" s="7">
        <f>(Table534567910[[#This Row],[Value]]-B538)/B538</f>
        <v/>
      </c>
      <c r="E550" s="16" t="n">
        <v>0.02</v>
      </c>
      <c r="F550" s="15" t="n">
        <v>1.25</v>
      </c>
    </row>
    <row r="551">
      <c r="A551" s="47" t="n">
        <v>38169</v>
      </c>
      <c r="B551" s="45">
        <f>VLOOKUP(Table534567910[[#This Row],[Date]],Database!A:E,MATCH($A$1,Database!$A$1:$E$1,),)</f>
        <v/>
      </c>
      <c r="C551" s="9">
        <f>(B551-B550)/B550</f>
        <v/>
      </c>
      <c r="D551" s="7">
        <f>(Table534567910[[#This Row],[Value]]-B539)/B539</f>
        <v/>
      </c>
      <c r="E551" s="16" t="n">
        <v>0.02</v>
      </c>
      <c r="F551" s="15" t="n">
        <v>1.25</v>
      </c>
    </row>
    <row r="552">
      <c r="A552" s="47" t="n">
        <v>38200</v>
      </c>
      <c r="B552" s="45">
        <f>VLOOKUP(Table534567910[[#This Row],[Date]],Database!A:E,MATCH($A$1,Database!$A$1:$E$1,),)</f>
        <v/>
      </c>
      <c r="C552" s="9">
        <f>(B552-B551)/B551</f>
        <v/>
      </c>
      <c r="D552" s="7">
        <f>(Table534567910[[#This Row],[Value]]-B540)/B540</f>
        <v/>
      </c>
      <c r="E552" s="16" t="n">
        <v>0.02</v>
      </c>
      <c r="F552" s="15" t="n">
        <v>1.5</v>
      </c>
    </row>
    <row r="553">
      <c r="A553" s="47" t="n">
        <v>38231</v>
      </c>
      <c r="B553" s="45">
        <f>VLOOKUP(Table534567910[[#This Row],[Date]],Database!A:E,MATCH($A$1,Database!$A$1:$E$1,),)</f>
        <v/>
      </c>
      <c r="C553" s="9">
        <f>(B553-B552)/B552</f>
        <v/>
      </c>
      <c r="D553" s="7">
        <f>(Table534567910[[#This Row],[Value]]-B541)/B541</f>
        <v/>
      </c>
      <c r="E553" s="16" t="n">
        <v>0.02</v>
      </c>
      <c r="F553" s="15" t="n">
        <v>1.75</v>
      </c>
    </row>
    <row r="554">
      <c r="A554" s="47" t="n">
        <v>38261</v>
      </c>
      <c r="B554" s="45">
        <f>VLOOKUP(Table534567910[[#This Row],[Date]],Database!A:E,MATCH($A$1,Database!$A$1:$E$1,),)</f>
        <v/>
      </c>
      <c r="C554" s="9">
        <f>(B554-B553)/B553</f>
        <v/>
      </c>
      <c r="D554" s="7">
        <f>(Table534567910[[#This Row],[Value]]-B542)/B542</f>
        <v/>
      </c>
      <c r="E554" s="16" t="n">
        <v>0.02</v>
      </c>
      <c r="F554" s="15" t="n">
        <v>1.75</v>
      </c>
    </row>
    <row r="555">
      <c r="A555" s="47" t="n">
        <v>38292</v>
      </c>
      <c r="B555" s="45">
        <f>VLOOKUP(Table534567910[[#This Row],[Date]],Database!A:E,MATCH($A$1,Database!$A$1:$E$1,),)</f>
        <v/>
      </c>
      <c r="C555" s="9">
        <f>(B555-B554)/B554</f>
        <v/>
      </c>
      <c r="D555" s="7">
        <f>(Table534567910[[#This Row],[Value]]-B543)/B543</f>
        <v/>
      </c>
      <c r="E555" s="16" t="n">
        <v>0.02</v>
      </c>
      <c r="F555" s="15" t="n">
        <v>2</v>
      </c>
    </row>
    <row r="556">
      <c r="A556" s="47" t="n">
        <v>38322</v>
      </c>
      <c r="B556" s="45">
        <f>VLOOKUP(Table534567910[[#This Row],[Date]],Database!A:E,MATCH($A$1,Database!$A$1:$E$1,),)</f>
        <v/>
      </c>
      <c r="C556" s="9">
        <f>(B556-B555)/B555</f>
        <v/>
      </c>
      <c r="D556" s="7">
        <f>(Table534567910[[#This Row],[Value]]-B544)/B544</f>
        <v/>
      </c>
      <c r="E556" s="16" t="n">
        <v>0.02</v>
      </c>
      <c r="F556" s="15" t="n">
        <v>2.25</v>
      </c>
    </row>
    <row r="557">
      <c r="A557" s="47" t="n">
        <v>38353</v>
      </c>
      <c r="B557" s="45">
        <f>VLOOKUP(Table534567910[[#This Row],[Date]],Database!A:E,MATCH($A$1,Database!$A$1:$E$1,),)</f>
        <v/>
      </c>
      <c r="C557" s="9">
        <f>(B557-B556)/B556</f>
        <v/>
      </c>
      <c r="D557" s="7">
        <f>(Table534567910[[#This Row],[Value]]-B545)/B545</f>
        <v/>
      </c>
      <c r="E557" s="16" t="n">
        <v>0.02</v>
      </c>
      <c r="F557" s="15" t="n">
        <v>2.25</v>
      </c>
    </row>
    <row r="558">
      <c r="A558" s="47" t="n">
        <v>38384</v>
      </c>
      <c r="B558" s="45">
        <f>VLOOKUP(Table534567910[[#This Row],[Date]],Database!A:E,MATCH($A$1,Database!$A$1:$E$1,),)</f>
        <v/>
      </c>
      <c r="C558" s="9">
        <f>(B558-B557)/B557</f>
        <v/>
      </c>
      <c r="D558" s="7">
        <f>(Table534567910[[#This Row],[Value]]-B546)/B546</f>
        <v/>
      </c>
      <c r="E558" s="16" t="n">
        <v>0.02</v>
      </c>
      <c r="F558" s="15" t="n">
        <v>2.5</v>
      </c>
    </row>
    <row r="559">
      <c r="A559" s="47" t="n">
        <v>38412</v>
      </c>
      <c r="B559" s="45">
        <f>VLOOKUP(Table534567910[[#This Row],[Date]],Database!A:E,MATCH($A$1,Database!$A$1:$E$1,),)</f>
        <v/>
      </c>
      <c r="C559" s="9">
        <f>(B559-B558)/B558</f>
        <v/>
      </c>
      <c r="D559" s="7">
        <f>(Table534567910[[#This Row],[Value]]-B547)/B547</f>
        <v/>
      </c>
      <c r="E559" s="16" t="n">
        <v>0.02</v>
      </c>
      <c r="F559" s="15" t="n">
        <v>2.75</v>
      </c>
    </row>
    <row r="560">
      <c r="A560" s="47" t="n">
        <v>38443</v>
      </c>
      <c r="B560" s="45">
        <f>VLOOKUP(Table534567910[[#This Row],[Date]],Database!A:E,MATCH($A$1,Database!$A$1:$E$1,),)</f>
        <v/>
      </c>
      <c r="C560" s="9">
        <f>(B560-B559)/B559</f>
        <v/>
      </c>
      <c r="D560" s="7">
        <f>(Table534567910[[#This Row],[Value]]-B548)/B548</f>
        <v/>
      </c>
      <c r="E560" s="16" t="n">
        <v>0.02</v>
      </c>
      <c r="F560" s="15" t="n">
        <v>2.75</v>
      </c>
    </row>
    <row r="561">
      <c r="A561" s="47" t="n">
        <v>38473</v>
      </c>
      <c r="B561" s="45">
        <f>VLOOKUP(Table534567910[[#This Row],[Date]],Database!A:E,MATCH($A$1,Database!$A$1:$E$1,),)</f>
        <v/>
      </c>
      <c r="C561" s="9">
        <f>(B561-B560)/B560</f>
        <v/>
      </c>
      <c r="D561" s="7">
        <f>(Table534567910[[#This Row],[Value]]-B549)/B549</f>
        <v/>
      </c>
      <c r="E561" s="16" t="n">
        <v>0.02</v>
      </c>
      <c r="F561" s="15" t="n">
        <v>3</v>
      </c>
    </row>
    <row r="562">
      <c r="A562" s="47" t="n">
        <v>38504</v>
      </c>
      <c r="B562" s="45">
        <f>VLOOKUP(Table534567910[[#This Row],[Date]],Database!A:E,MATCH($A$1,Database!$A$1:$E$1,),)</f>
        <v/>
      </c>
      <c r="C562" s="9">
        <f>(B562-B561)/B561</f>
        <v/>
      </c>
      <c r="D562" s="7">
        <f>(Table534567910[[#This Row],[Value]]-B550)/B550</f>
        <v/>
      </c>
      <c r="E562" s="16" t="n">
        <v>0.02</v>
      </c>
      <c r="F562" s="15" t="n">
        <v>3.25</v>
      </c>
    </row>
    <row r="563">
      <c r="A563" s="47" t="n">
        <v>38534</v>
      </c>
      <c r="B563" s="45">
        <f>VLOOKUP(Table534567910[[#This Row],[Date]],Database!A:E,MATCH($A$1,Database!$A$1:$E$1,),)</f>
        <v/>
      </c>
      <c r="C563" s="9">
        <f>(B563-B562)/B562</f>
        <v/>
      </c>
      <c r="D563" s="7">
        <f>(Table534567910[[#This Row],[Value]]-B551)/B551</f>
        <v/>
      </c>
      <c r="E563" s="16" t="n">
        <v>0.02</v>
      </c>
      <c r="F563" s="15" t="n">
        <v>3.25</v>
      </c>
    </row>
    <row r="564">
      <c r="A564" s="47" t="n">
        <v>38565</v>
      </c>
      <c r="B564" s="45">
        <f>VLOOKUP(Table534567910[[#This Row],[Date]],Database!A:E,MATCH($A$1,Database!$A$1:$E$1,),)</f>
        <v/>
      </c>
      <c r="C564" s="9">
        <f>(B564-B563)/B563</f>
        <v/>
      </c>
      <c r="D564" s="7">
        <f>(Table534567910[[#This Row],[Value]]-B552)/B552</f>
        <v/>
      </c>
      <c r="E564" s="16" t="n">
        <v>0.02</v>
      </c>
      <c r="F564" s="15" t="n">
        <v>3.5</v>
      </c>
    </row>
    <row r="565">
      <c r="A565" s="47" t="n">
        <v>38596</v>
      </c>
      <c r="B565" s="45">
        <f>VLOOKUP(Table534567910[[#This Row],[Date]],Database!A:E,MATCH($A$1,Database!$A$1:$E$1,),)</f>
        <v/>
      </c>
      <c r="C565" s="9">
        <f>(B565-B564)/B564</f>
        <v/>
      </c>
      <c r="D565" s="7">
        <f>(Table534567910[[#This Row],[Value]]-B553)/B553</f>
        <v/>
      </c>
      <c r="E565" s="16" t="n">
        <v>0.02</v>
      </c>
      <c r="F565" s="15" t="n">
        <v>3.75</v>
      </c>
    </row>
    <row r="566">
      <c r="A566" s="47" t="n">
        <v>38626</v>
      </c>
      <c r="B566" s="45">
        <f>VLOOKUP(Table534567910[[#This Row],[Date]],Database!A:E,MATCH($A$1,Database!$A$1:$E$1,),)</f>
        <v/>
      </c>
      <c r="C566" s="9">
        <f>(B566-B565)/B565</f>
        <v/>
      </c>
      <c r="D566" s="7">
        <f>(Table534567910[[#This Row],[Value]]-B554)/B554</f>
        <v/>
      </c>
      <c r="E566" s="16" t="n">
        <v>0.02</v>
      </c>
      <c r="F566" s="15" t="n">
        <v>3.75</v>
      </c>
    </row>
    <row r="567">
      <c r="A567" s="47" t="n">
        <v>38657</v>
      </c>
      <c r="B567" s="45">
        <f>VLOOKUP(Table534567910[[#This Row],[Date]],Database!A:E,MATCH($A$1,Database!$A$1:$E$1,),)</f>
        <v/>
      </c>
      <c r="C567" s="9">
        <f>(B567-B566)/B566</f>
        <v/>
      </c>
      <c r="D567" s="7">
        <f>(Table534567910[[#This Row],[Value]]-B555)/B555</f>
        <v/>
      </c>
      <c r="E567" s="16" t="n">
        <v>0.02</v>
      </c>
      <c r="F567" s="15" t="n">
        <v>4</v>
      </c>
    </row>
    <row r="568">
      <c r="A568" s="47" t="n">
        <v>38687</v>
      </c>
      <c r="B568" s="45">
        <f>VLOOKUP(Table534567910[[#This Row],[Date]],Database!A:E,MATCH($A$1,Database!$A$1:$E$1,),)</f>
        <v/>
      </c>
      <c r="C568" s="9">
        <f>(B568-B567)/B567</f>
        <v/>
      </c>
      <c r="D568" s="7">
        <f>(Table534567910[[#This Row],[Value]]-B556)/B556</f>
        <v/>
      </c>
      <c r="E568" s="16" t="n">
        <v>0.02</v>
      </c>
      <c r="F568" s="15" t="n">
        <v>4.25</v>
      </c>
    </row>
    <row r="569">
      <c r="A569" s="47" t="n">
        <v>38718</v>
      </c>
      <c r="B569" s="45">
        <f>VLOOKUP(Table534567910[[#This Row],[Date]],Database!A:E,MATCH($A$1,Database!$A$1:$E$1,),)</f>
        <v/>
      </c>
      <c r="C569" s="9">
        <f>(B569-B568)/B568</f>
        <v/>
      </c>
      <c r="D569" s="7">
        <f>(Table534567910[[#This Row],[Value]]-B557)/B557</f>
        <v/>
      </c>
      <c r="E569" s="16" t="n">
        <v>0.02</v>
      </c>
      <c r="F569" s="15" t="n">
        <v>4.5</v>
      </c>
    </row>
    <row r="570">
      <c r="A570" s="47" t="n">
        <v>38749</v>
      </c>
      <c r="B570" s="45">
        <f>VLOOKUP(Table534567910[[#This Row],[Date]],Database!A:E,MATCH($A$1,Database!$A$1:$E$1,),)</f>
        <v/>
      </c>
      <c r="C570" s="9">
        <f>(B570-B569)/B569</f>
        <v/>
      </c>
      <c r="D570" s="7">
        <f>(Table534567910[[#This Row],[Value]]-B558)/B558</f>
        <v/>
      </c>
      <c r="E570" s="16" t="n">
        <v>0.02</v>
      </c>
      <c r="F570" s="15" t="n">
        <v>4.5</v>
      </c>
    </row>
    <row r="571">
      <c r="A571" s="47" t="n">
        <v>38777</v>
      </c>
      <c r="B571" s="45">
        <f>VLOOKUP(Table534567910[[#This Row],[Date]],Database!A:E,MATCH($A$1,Database!$A$1:$E$1,),)</f>
        <v/>
      </c>
      <c r="C571" s="9">
        <f>(B571-B570)/B570</f>
        <v/>
      </c>
      <c r="D571" s="7">
        <f>(Table534567910[[#This Row],[Value]]-B559)/B559</f>
        <v/>
      </c>
      <c r="E571" s="16" t="n">
        <v>0.02</v>
      </c>
      <c r="F571" s="15" t="n">
        <v>4.75</v>
      </c>
    </row>
    <row r="572">
      <c r="A572" s="47" t="n">
        <v>38808</v>
      </c>
      <c r="B572" s="45">
        <f>VLOOKUP(Table534567910[[#This Row],[Date]],Database!A:E,MATCH($A$1,Database!$A$1:$E$1,),)</f>
        <v/>
      </c>
      <c r="C572" s="9">
        <f>(B572-B571)/B571</f>
        <v/>
      </c>
      <c r="D572" s="7">
        <f>(Table534567910[[#This Row],[Value]]-B560)/B560</f>
        <v/>
      </c>
      <c r="E572" s="16" t="n">
        <v>0.02</v>
      </c>
      <c r="F572" s="15" t="n">
        <v>4.75</v>
      </c>
    </row>
    <row r="573">
      <c r="A573" s="47" t="n">
        <v>38838</v>
      </c>
      <c r="B573" s="45">
        <f>VLOOKUP(Table534567910[[#This Row],[Date]],Database!A:E,MATCH($A$1,Database!$A$1:$E$1,),)</f>
        <v/>
      </c>
      <c r="C573" s="9">
        <f>(B573-B572)/B572</f>
        <v/>
      </c>
      <c r="D573" s="7">
        <f>(Table534567910[[#This Row],[Value]]-B561)/B561</f>
        <v/>
      </c>
      <c r="E573" s="16" t="n">
        <v>0.02</v>
      </c>
      <c r="F573" s="15" t="n">
        <v>5</v>
      </c>
    </row>
    <row r="574">
      <c r="A574" s="47" t="n">
        <v>38869</v>
      </c>
      <c r="B574" s="45">
        <f>VLOOKUP(Table534567910[[#This Row],[Date]],Database!A:E,MATCH($A$1,Database!$A$1:$E$1,),)</f>
        <v/>
      </c>
      <c r="C574" s="9">
        <f>(B574-B573)/B573</f>
        <v/>
      </c>
      <c r="D574" s="7">
        <f>(Table534567910[[#This Row],[Value]]-B562)/B562</f>
        <v/>
      </c>
      <c r="E574" s="16" t="n">
        <v>0.02</v>
      </c>
      <c r="F574" s="15" t="n">
        <v>5.25</v>
      </c>
    </row>
    <row r="575">
      <c r="A575" s="47" t="n">
        <v>38899</v>
      </c>
      <c r="B575" s="45">
        <f>VLOOKUP(Table534567910[[#This Row],[Date]],Database!A:E,MATCH($A$1,Database!$A$1:$E$1,),)</f>
        <v/>
      </c>
      <c r="C575" s="9">
        <f>(B575-B574)/B574</f>
        <v/>
      </c>
      <c r="D575" s="7">
        <f>(Table534567910[[#This Row],[Value]]-B563)/B563</f>
        <v/>
      </c>
      <c r="E575" s="16" t="n">
        <v>0.02</v>
      </c>
      <c r="F575" s="15" t="n">
        <v>5.25</v>
      </c>
    </row>
    <row r="576">
      <c r="A576" s="47" t="n">
        <v>38930</v>
      </c>
      <c r="B576" s="45">
        <f>VLOOKUP(Table534567910[[#This Row],[Date]],Database!A:E,MATCH($A$1,Database!$A$1:$E$1,),)</f>
        <v/>
      </c>
      <c r="C576" s="9">
        <f>(B576-B575)/B575</f>
        <v/>
      </c>
      <c r="D576" s="7">
        <f>(Table534567910[[#This Row],[Value]]-B564)/B564</f>
        <v/>
      </c>
      <c r="E576" s="16" t="n">
        <v>0.02</v>
      </c>
      <c r="F576" s="15" t="n">
        <v>5.25</v>
      </c>
    </row>
    <row r="577">
      <c r="A577" s="47" t="n">
        <v>38961</v>
      </c>
      <c r="B577" s="45">
        <f>VLOOKUP(Table534567910[[#This Row],[Date]],Database!A:E,MATCH($A$1,Database!$A$1:$E$1,),)</f>
        <v/>
      </c>
      <c r="C577" s="9">
        <f>(B577-B576)/B576</f>
        <v/>
      </c>
      <c r="D577" s="7">
        <f>(Table534567910[[#This Row],[Value]]-B565)/B565</f>
        <v/>
      </c>
      <c r="E577" s="16" t="n">
        <v>0.02</v>
      </c>
      <c r="F577" s="15" t="n">
        <v>5.25</v>
      </c>
    </row>
    <row r="578">
      <c r="A578" s="47" t="n">
        <v>38991</v>
      </c>
      <c r="B578" s="45">
        <f>VLOOKUP(Table534567910[[#This Row],[Date]],Database!A:E,MATCH($A$1,Database!$A$1:$E$1,),)</f>
        <v/>
      </c>
      <c r="C578" s="9">
        <f>(B578-B577)/B577</f>
        <v/>
      </c>
      <c r="D578" s="7">
        <f>(Table534567910[[#This Row],[Value]]-B566)/B566</f>
        <v/>
      </c>
      <c r="E578" s="16" t="n">
        <v>0.02</v>
      </c>
      <c r="F578" s="15" t="n">
        <v>5.25</v>
      </c>
    </row>
    <row r="579">
      <c r="A579" s="47" t="n">
        <v>39022</v>
      </c>
      <c r="B579" s="45">
        <f>VLOOKUP(Table534567910[[#This Row],[Date]],Database!A:E,MATCH($A$1,Database!$A$1:$E$1,),)</f>
        <v/>
      </c>
      <c r="C579" s="9">
        <f>(B579-B578)/B578</f>
        <v/>
      </c>
      <c r="D579" s="7">
        <f>(Table534567910[[#This Row],[Value]]-B567)/B567</f>
        <v/>
      </c>
      <c r="E579" s="16" t="n">
        <v>0.02</v>
      </c>
      <c r="F579" s="15" t="n">
        <v>5.25</v>
      </c>
    </row>
    <row r="580">
      <c r="A580" s="47" t="n">
        <v>39052</v>
      </c>
      <c r="B580" s="45">
        <f>VLOOKUP(Table534567910[[#This Row],[Date]],Database!A:E,MATCH($A$1,Database!$A$1:$E$1,),)</f>
        <v/>
      </c>
      <c r="C580" s="9">
        <f>(B580-B579)/B579</f>
        <v/>
      </c>
      <c r="D580" s="7">
        <f>(Table534567910[[#This Row],[Value]]-B568)/B568</f>
        <v/>
      </c>
      <c r="E580" s="16" t="n">
        <v>0.02</v>
      </c>
      <c r="F580" s="15" t="n">
        <v>5.25</v>
      </c>
    </row>
    <row r="581">
      <c r="A581" s="47" t="n">
        <v>39083</v>
      </c>
      <c r="B581" s="45">
        <f>VLOOKUP(Table534567910[[#This Row],[Date]],Database!A:E,MATCH($A$1,Database!$A$1:$E$1,),)</f>
        <v/>
      </c>
      <c r="C581" s="9">
        <f>(B581-B580)/B580</f>
        <v/>
      </c>
      <c r="D581" s="7">
        <f>(Table534567910[[#This Row],[Value]]-B569)/B569</f>
        <v/>
      </c>
      <c r="E581" s="16" t="n">
        <v>0.02</v>
      </c>
      <c r="F581" s="15" t="n">
        <v>5.25</v>
      </c>
    </row>
    <row r="582">
      <c r="A582" s="47" t="n">
        <v>39114</v>
      </c>
      <c r="B582" s="45">
        <f>VLOOKUP(Table534567910[[#This Row],[Date]],Database!A:E,MATCH($A$1,Database!$A$1:$E$1,),)</f>
        <v/>
      </c>
      <c r="C582" s="9">
        <f>(B582-B581)/B581</f>
        <v/>
      </c>
      <c r="D582" s="7">
        <f>(Table534567910[[#This Row],[Value]]-B570)/B570</f>
        <v/>
      </c>
      <c r="E582" s="16" t="n">
        <v>0.02</v>
      </c>
      <c r="F582" s="15" t="n">
        <v>5.25</v>
      </c>
    </row>
    <row r="583">
      <c r="A583" s="47" t="n">
        <v>39142</v>
      </c>
      <c r="B583" s="45">
        <f>VLOOKUP(Table534567910[[#This Row],[Date]],Database!A:E,MATCH($A$1,Database!$A$1:$E$1,),)</f>
        <v/>
      </c>
      <c r="C583" s="9">
        <f>(B583-B582)/B582</f>
        <v/>
      </c>
      <c r="D583" s="7">
        <f>(Table534567910[[#This Row],[Value]]-B571)/B571</f>
        <v/>
      </c>
      <c r="E583" s="16" t="n">
        <v>0.02</v>
      </c>
      <c r="F583" s="15" t="n">
        <v>5.25</v>
      </c>
    </row>
    <row r="584">
      <c r="A584" s="47" t="n">
        <v>39173</v>
      </c>
      <c r="B584" s="45">
        <f>VLOOKUP(Table534567910[[#This Row],[Date]],Database!A:E,MATCH($A$1,Database!$A$1:$E$1,),)</f>
        <v/>
      </c>
      <c r="C584" s="9">
        <f>(B584-B583)/B583</f>
        <v/>
      </c>
      <c r="D584" s="7">
        <f>(Table534567910[[#This Row],[Value]]-B572)/B572</f>
        <v/>
      </c>
      <c r="E584" s="16" t="n">
        <v>0.02</v>
      </c>
      <c r="F584" s="15" t="n">
        <v>5.25</v>
      </c>
    </row>
    <row r="585">
      <c r="A585" s="47" t="n">
        <v>39203</v>
      </c>
      <c r="B585" s="45">
        <f>VLOOKUP(Table534567910[[#This Row],[Date]],Database!A:E,MATCH($A$1,Database!$A$1:$E$1,),)</f>
        <v/>
      </c>
      <c r="C585" s="9">
        <f>(B585-B584)/B584</f>
        <v/>
      </c>
      <c r="D585" s="7">
        <f>(Table534567910[[#This Row],[Value]]-B573)/B573</f>
        <v/>
      </c>
      <c r="E585" s="16" t="n">
        <v>0.02</v>
      </c>
      <c r="F585" s="15" t="n">
        <v>5.25</v>
      </c>
    </row>
    <row r="586">
      <c r="A586" s="47" t="n">
        <v>39234</v>
      </c>
      <c r="B586" s="45">
        <f>VLOOKUP(Table534567910[[#This Row],[Date]],Database!A:E,MATCH($A$1,Database!$A$1:$E$1,),)</f>
        <v/>
      </c>
      <c r="C586" s="9">
        <f>(B586-B585)/B585</f>
        <v/>
      </c>
      <c r="D586" s="7">
        <f>(Table534567910[[#This Row],[Value]]-B574)/B574</f>
        <v/>
      </c>
      <c r="E586" s="16" t="n">
        <v>0.02</v>
      </c>
      <c r="F586" s="15" t="n">
        <v>5.25</v>
      </c>
    </row>
    <row r="587">
      <c r="A587" s="47" t="n">
        <v>39264</v>
      </c>
      <c r="B587" s="45">
        <f>VLOOKUP(Table534567910[[#This Row],[Date]],Database!A:E,MATCH($A$1,Database!$A$1:$E$1,),)</f>
        <v/>
      </c>
      <c r="C587" s="9">
        <f>(B587-B586)/B586</f>
        <v/>
      </c>
      <c r="D587" s="7">
        <f>(Table534567910[[#This Row],[Value]]-B575)/B575</f>
        <v/>
      </c>
      <c r="E587" s="16" t="n">
        <v>0.02</v>
      </c>
      <c r="F587" s="15" t="n">
        <v>5.25</v>
      </c>
    </row>
    <row r="588">
      <c r="A588" s="47" t="n">
        <v>39295</v>
      </c>
      <c r="B588" s="45">
        <f>VLOOKUP(Table534567910[[#This Row],[Date]],Database!A:E,MATCH($A$1,Database!$A$1:$E$1,),)</f>
        <v/>
      </c>
      <c r="C588" s="9">
        <f>(B588-B587)/B587</f>
        <v/>
      </c>
      <c r="D588" s="7">
        <f>(Table534567910[[#This Row],[Value]]-B576)/B576</f>
        <v/>
      </c>
      <c r="E588" s="16" t="n">
        <v>0.02</v>
      </c>
      <c r="F588" s="15" t="n">
        <v>5.25</v>
      </c>
    </row>
    <row r="589">
      <c r="A589" s="47" t="n">
        <v>39326</v>
      </c>
      <c r="B589" s="45">
        <f>VLOOKUP(Table534567910[[#This Row],[Date]],Database!A:E,MATCH($A$1,Database!$A$1:$E$1,),)</f>
        <v/>
      </c>
      <c r="C589" s="9">
        <f>(B589-B588)/B588</f>
        <v/>
      </c>
      <c r="D589" s="7">
        <f>(Table534567910[[#This Row],[Value]]-B577)/B577</f>
        <v/>
      </c>
      <c r="E589" s="16" t="n">
        <v>0.02</v>
      </c>
      <c r="F589" s="15" t="n">
        <v>4.75</v>
      </c>
    </row>
    <row r="590">
      <c r="A590" s="47" t="n">
        <v>39356</v>
      </c>
      <c r="B590" s="45">
        <f>VLOOKUP(Table534567910[[#This Row],[Date]],Database!A:E,MATCH($A$1,Database!$A$1:$E$1,),)</f>
        <v/>
      </c>
      <c r="C590" s="9">
        <f>(B590-B589)/B589</f>
        <v/>
      </c>
      <c r="D590" s="7">
        <f>(Table534567910[[#This Row],[Value]]-B578)/B578</f>
        <v/>
      </c>
      <c r="E590" s="16" t="n">
        <v>0.02</v>
      </c>
      <c r="F590" s="15" t="n">
        <v>4.5</v>
      </c>
    </row>
    <row r="591">
      <c r="A591" s="47" t="n">
        <v>39387</v>
      </c>
      <c r="B591" s="45">
        <f>VLOOKUP(Table534567910[[#This Row],[Date]],Database!A:E,MATCH($A$1,Database!$A$1:$E$1,),)</f>
        <v/>
      </c>
      <c r="C591" s="9">
        <f>(B591-B590)/B590</f>
        <v/>
      </c>
      <c r="D591" s="7">
        <f>(Table534567910[[#This Row],[Value]]-B579)/B579</f>
        <v/>
      </c>
      <c r="E591" s="16" t="n">
        <v>0.02</v>
      </c>
      <c r="F591" s="15" t="n">
        <v>4.5</v>
      </c>
    </row>
    <row r="592">
      <c r="A592" s="47" t="n">
        <v>39417</v>
      </c>
      <c r="B592" s="45">
        <f>VLOOKUP(Table534567910[[#This Row],[Date]],Database!A:E,MATCH($A$1,Database!$A$1:$E$1,),)</f>
        <v/>
      </c>
      <c r="C592" s="9">
        <f>(B592-B591)/B591</f>
        <v/>
      </c>
      <c r="D592" s="7">
        <f>(Table534567910[[#This Row],[Value]]-B580)/B580</f>
        <v/>
      </c>
      <c r="E592" s="16" t="n">
        <v>0.02</v>
      </c>
      <c r="F592" s="15" t="n">
        <v>4.25</v>
      </c>
    </row>
    <row r="593">
      <c r="A593" s="47" t="n">
        <v>39448</v>
      </c>
      <c r="B593" s="45">
        <f>VLOOKUP(Table534567910[[#This Row],[Date]],Database!A:E,MATCH($A$1,Database!$A$1:$E$1,),)</f>
        <v/>
      </c>
      <c r="C593" s="9">
        <f>(B593-B592)/B592</f>
        <v/>
      </c>
      <c r="D593" s="7">
        <f>(Table534567910[[#This Row],[Value]]-B581)/B581</f>
        <v/>
      </c>
      <c r="E593" s="16" t="n">
        <v>0.02</v>
      </c>
      <c r="F593" s="15" t="n">
        <v>3</v>
      </c>
    </row>
    <row r="594">
      <c r="A594" s="47" t="n">
        <v>39479</v>
      </c>
      <c r="B594" s="45">
        <f>VLOOKUP(Table534567910[[#This Row],[Date]],Database!A:E,MATCH($A$1,Database!$A$1:$E$1,),)</f>
        <v/>
      </c>
      <c r="C594" s="9">
        <f>(B594-B593)/B593</f>
        <v/>
      </c>
      <c r="D594" s="7">
        <f>(Table534567910[[#This Row],[Value]]-B582)/B582</f>
        <v/>
      </c>
      <c r="E594" s="16" t="n">
        <v>0.02</v>
      </c>
      <c r="F594" s="15" t="n">
        <v>3</v>
      </c>
    </row>
    <row r="595">
      <c r="A595" s="47" t="n">
        <v>39508</v>
      </c>
      <c r="B595" s="45">
        <f>VLOOKUP(Table534567910[[#This Row],[Date]],Database!A:E,MATCH($A$1,Database!$A$1:$E$1,),)</f>
        <v/>
      </c>
      <c r="C595" s="9">
        <f>(B595-B594)/B594</f>
        <v/>
      </c>
      <c r="D595" s="7">
        <f>(Table534567910[[#This Row],[Value]]-B583)/B583</f>
        <v/>
      </c>
      <c r="E595" s="16" t="n">
        <v>0.02</v>
      </c>
      <c r="F595" s="15" t="n">
        <v>2.25</v>
      </c>
    </row>
    <row r="596">
      <c r="A596" s="47" t="n">
        <v>39539</v>
      </c>
      <c r="B596" s="45">
        <f>VLOOKUP(Table534567910[[#This Row],[Date]],Database!A:E,MATCH($A$1,Database!$A$1:$E$1,),)</f>
        <v/>
      </c>
      <c r="C596" s="9">
        <f>(B596-B595)/B595</f>
        <v/>
      </c>
      <c r="D596" s="7">
        <f>(Table534567910[[#This Row],[Value]]-B584)/B584</f>
        <v/>
      </c>
      <c r="E596" s="16" t="n">
        <v>0.02</v>
      </c>
      <c r="F596" s="15" t="n">
        <v>2</v>
      </c>
    </row>
    <row r="597">
      <c r="A597" s="47" t="n">
        <v>39569</v>
      </c>
      <c r="B597" s="45">
        <f>VLOOKUP(Table534567910[[#This Row],[Date]],Database!A:E,MATCH($A$1,Database!$A$1:$E$1,),)</f>
        <v/>
      </c>
      <c r="C597" s="9">
        <f>(B597-B596)/B596</f>
        <v/>
      </c>
      <c r="D597" s="7">
        <f>(Table534567910[[#This Row],[Value]]-B585)/B585</f>
        <v/>
      </c>
      <c r="E597" s="16" t="n">
        <v>0.02</v>
      </c>
      <c r="F597" s="15" t="n">
        <v>2</v>
      </c>
    </row>
    <row r="598">
      <c r="A598" s="47" t="n">
        <v>39600</v>
      </c>
      <c r="B598" s="45">
        <f>VLOOKUP(Table534567910[[#This Row],[Date]],Database!A:E,MATCH($A$1,Database!$A$1:$E$1,),)</f>
        <v/>
      </c>
      <c r="C598" s="9">
        <f>(B598-B597)/B597</f>
        <v/>
      </c>
      <c r="D598" s="7">
        <f>(Table534567910[[#This Row],[Value]]-B586)/B586</f>
        <v/>
      </c>
      <c r="E598" s="16" t="n">
        <v>0.02</v>
      </c>
      <c r="F598" s="15" t="n">
        <v>2</v>
      </c>
    </row>
    <row r="599">
      <c r="A599" s="47" t="n">
        <v>39630</v>
      </c>
      <c r="B599" s="45">
        <f>VLOOKUP(Table534567910[[#This Row],[Date]],Database!A:E,MATCH($A$1,Database!$A$1:$E$1,),)</f>
        <v/>
      </c>
      <c r="C599" s="9">
        <f>(B599-B598)/B598</f>
        <v/>
      </c>
      <c r="D599" s="7">
        <f>(Table534567910[[#This Row],[Value]]-B587)/B587</f>
        <v/>
      </c>
      <c r="E599" s="16" t="n">
        <v>0.02</v>
      </c>
      <c r="F599" s="15" t="n">
        <v>2</v>
      </c>
    </row>
    <row r="600">
      <c r="A600" s="47" t="n">
        <v>39661</v>
      </c>
      <c r="B600" s="45">
        <f>VLOOKUP(Table534567910[[#This Row],[Date]],Database!A:E,MATCH($A$1,Database!$A$1:$E$1,),)</f>
        <v/>
      </c>
      <c r="C600" s="9">
        <f>(B600-B599)/B599</f>
        <v/>
      </c>
      <c r="D600" s="7">
        <f>(Table534567910[[#This Row],[Value]]-B588)/B588</f>
        <v/>
      </c>
      <c r="E600" s="16" t="n">
        <v>0.02</v>
      </c>
      <c r="F600" s="15" t="n">
        <v>2</v>
      </c>
    </row>
    <row r="601">
      <c r="A601" s="47" t="n">
        <v>39692</v>
      </c>
      <c r="B601" s="45">
        <f>VLOOKUP(Table534567910[[#This Row],[Date]],Database!A:E,MATCH($A$1,Database!$A$1:$E$1,),)</f>
        <v/>
      </c>
      <c r="C601" s="9">
        <f>(B601-B600)/B600</f>
        <v/>
      </c>
      <c r="D601" s="7">
        <f>(Table534567910[[#This Row],[Value]]-B589)/B589</f>
        <v/>
      </c>
      <c r="E601" s="16" t="n">
        <v>0.02</v>
      </c>
      <c r="F601" s="15" t="n">
        <v>2</v>
      </c>
    </row>
    <row r="602">
      <c r="A602" s="47" t="n">
        <v>39722</v>
      </c>
      <c r="B602" s="45">
        <f>VLOOKUP(Table534567910[[#This Row],[Date]],Database!A:E,MATCH($A$1,Database!$A$1:$E$1,),)</f>
        <v/>
      </c>
      <c r="C602" s="9">
        <f>(B602-B601)/B601</f>
        <v/>
      </c>
      <c r="D602" s="7">
        <f>(Table534567910[[#This Row],[Value]]-B590)/B590</f>
        <v/>
      </c>
      <c r="E602" s="16" t="n">
        <v>0.02</v>
      </c>
      <c r="F602" s="15" t="n">
        <v>1</v>
      </c>
    </row>
    <row r="603">
      <c r="A603" s="47" t="n">
        <v>39753</v>
      </c>
      <c r="B603" s="45">
        <f>VLOOKUP(Table534567910[[#This Row],[Date]],Database!A:E,MATCH($A$1,Database!$A$1:$E$1,),)</f>
        <v/>
      </c>
      <c r="C603" s="9">
        <f>(B603-B602)/B602</f>
        <v/>
      </c>
      <c r="D603" s="7">
        <f>(Table534567910[[#This Row],[Value]]-B591)/B591</f>
        <v/>
      </c>
      <c r="E603" s="16" t="n">
        <v>0.02</v>
      </c>
      <c r="F603" s="15" t="n">
        <v>1</v>
      </c>
    </row>
    <row r="604">
      <c r="A604" s="47" t="n">
        <v>39783</v>
      </c>
      <c r="B604" s="45">
        <f>VLOOKUP(Table534567910[[#This Row],[Date]],Database!A:E,MATCH($A$1,Database!$A$1:$E$1,),)</f>
        <v/>
      </c>
      <c r="C604" s="9">
        <f>(B604-B603)/B603</f>
        <v/>
      </c>
      <c r="D604" s="7">
        <f>(Table534567910[[#This Row],[Value]]-B592)/B592</f>
        <v/>
      </c>
      <c r="E604" s="16" t="n">
        <v>0.02</v>
      </c>
      <c r="F604" s="15" t="n">
        <v>0.25</v>
      </c>
    </row>
    <row r="605">
      <c r="A605" s="47" t="n">
        <v>39814</v>
      </c>
      <c r="B605" s="45">
        <f>VLOOKUP(Table534567910[[#This Row],[Date]],Database!A:E,MATCH($A$1,Database!$A$1:$E$1,),)</f>
        <v/>
      </c>
      <c r="C605" s="9">
        <f>(B605-B604)/B604</f>
        <v/>
      </c>
      <c r="D605" s="7">
        <f>(Table534567910[[#This Row],[Value]]-B593)/B593</f>
        <v/>
      </c>
      <c r="E605" s="16" t="n">
        <v>0.02</v>
      </c>
      <c r="F605" s="15">
        <f>VLOOKUP(Table534567910[[#This Row],[Date]],Database!A:E,4)</f>
        <v/>
      </c>
    </row>
    <row r="606">
      <c r="A606" s="47" t="n">
        <v>39845</v>
      </c>
      <c r="B606" s="45">
        <f>VLOOKUP(Table534567910[[#This Row],[Date]],Database!A:E,MATCH($A$1,Database!$A$1:$E$1,),)</f>
        <v/>
      </c>
      <c r="C606" s="9">
        <f>(B606-B605)/B605</f>
        <v/>
      </c>
      <c r="D606" s="7">
        <f>(Table534567910[[#This Row],[Value]]-B594)/B594</f>
        <v/>
      </c>
      <c r="E606" s="16" t="n">
        <v>0.02</v>
      </c>
      <c r="F606" s="15">
        <f>VLOOKUP(Table534567910[[#This Row],[Date]],Database!A:E,4)</f>
        <v/>
      </c>
    </row>
    <row r="607">
      <c r="A607" s="47" t="n">
        <v>39873</v>
      </c>
      <c r="B607" s="45">
        <f>VLOOKUP(Table534567910[[#This Row],[Date]],Database!A:E,MATCH($A$1,Database!$A$1:$E$1,),)</f>
        <v/>
      </c>
      <c r="C607" s="9">
        <f>(B607-B606)/B606</f>
        <v/>
      </c>
      <c r="D607" s="7">
        <f>(Table534567910[[#This Row],[Value]]-B595)/B595</f>
        <v/>
      </c>
      <c r="E607" s="16" t="n">
        <v>0.02</v>
      </c>
      <c r="F607" s="15">
        <f>VLOOKUP(Table534567910[[#This Row],[Date]],Database!A:E,4)</f>
        <v/>
      </c>
    </row>
    <row r="608">
      <c r="A608" s="47" t="n">
        <v>39904</v>
      </c>
      <c r="B608" s="45">
        <f>VLOOKUP(Table534567910[[#This Row],[Date]],Database!A:E,MATCH($A$1,Database!$A$1:$E$1,),)</f>
        <v/>
      </c>
      <c r="C608" s="9">
        <f>(B608-B607)/B607</f>
        <v/>
      </c>
      <c r="D608" s="7">
        <f>(Table534567910[[#This Row],[Value]]-B596)/B596</f>
        <v/>
      </c>
      <c r="E608" s="16" t="n">
        <v>0.02</v>
      </c>
      <c r="F608" s="15">
        <f>VLOOKUP(Table534567910[[#This Row],[Date]],Database!A:E,4)</f>
        <v/>
      </c>
    </row>
    <row r="609">
      <c r="A609" s="47" t="n">
        <v>39934</v>
      </c>
      <c r="B609" s="45">
        <f>VLOOKUP(Table534567910[[#This Row],[Date]],Database!A:E,MATCH($A$1,Database!$A$1:$E$1,),)</f>
        <v/>
      </c>
      <c r="C609" s="9">
        <f>(B609-B608)/B608</f>
        <v/>
      </c>
      <c r="D609" s="7">
        <f>(Table534567910[[#This Row],[Value]]-B597)/B597</f>
        <v/>
      </c>
      <c r="E609" s="16" t="n">
        <v>0.02</v>
      </c>
      <c r="F609" s="15">
        <f>VLOOKUP(Table534567910[[#This Row],[Date]],Database!A:E,4)</f>
        <v/>
      </c>
    </row>
    <row r="610">
      <c r="A610" s="47" t="n">
        <v>39965</v>
      </c>
      <c r="B610" s="45">
        <f>VLOOKUP(Table534567910[[#This Row],[Date]],Database!A:E,MATCH($A$1,Database!$A$1:$E$1,),)</f>
        <v/>
      </c>
      <c r="C610" s="9">
        <f>(B610-B609)/B609</f>
        <v/>
      </c>
      <c r="D610" s="7">
        <f>(Table534567910[[#This Row],[Value]]-B598)/B598</f>
        <v/>
      </c>
      <c r="E610" s="16" t="n">
        <v>0.02</v>
      </c>
      <c r="F610" s="15">
        <f>VLOOKUP(Table534567910[[#This Row],[Date]],Database!A:E,4)</f>
        <v/>
      </c>
    </row>
    <row r="611">
      <c r="A611" s="47" t="n">
        <v>39995</v>
      </c>
      <c r="B611" s="45">
        <f>VLOOKUP(Table534567910[[#This Row],[Date]],Database!A:E,MATCH($A$1,Database!$A$1:$E$1,),)</f>
        <v/>
      </c>
      <c r="C611" s="9">
        <f>(B611-B610)/B610</f>
        <v/>
      </c>
      <c r="D611" s="7">
        <f>(Table534567910[[#This Row],[Value]]-B599)/B599</f>
        <v/>
      </c>
      <c r="E611" s="16" t="n">
        <v>0.02</v>
      </c>
      <c r="F611" s="15">
        <f>VLOOKUP(Table534567910[[#This Row],[Date]],Database!A:E,4)</f>
        <v/>
      </c>
    </row>
    <row r="612">
      <c r="A612" s="47" t="n">
        <v>40026</v>
      </c>
      <c r="B612" s="45">
        <f>VLOOKUP(Table534567910[[#This Row],[Date]],Database!A:E,MATCH($A$1,Database!$A$1:$E$1,),)</f>
        <v/>
      </c>
      <c r="C612" s="9">
        <f>(B612-B611)/B611</f>
        <v/>
      </c>
      <c r="D612" s="7">
        <f>(Table534567910[[#This Row],[Value]]-B600)/B600</f>
        <v/>
      </c>
      <c r="E612" s="16" t="n">
        <v>0.02</v>
      </c>
      <c r="F612" s="15">
        <f>VLOOKUP(Table534567910[[#This Row],[Date]],Database!A:E,4)</f>
        <v/>
      </c>
    </row>
    <row r="613">
      <c r="A613" s="47" t="n">
        <v>40057</v>
      </c>
      <c r="B613" s="45">
        <f>VLOOKUP(Table534567910[[#This Row],[Date]],Database!A:E,MATCH($A$1,Database!$A$1:$E$1,),)</f>
        <v/>
      </c>
      <c r="C613" s="9">
        <f>(B613-B612)/B612</f>
        <v/>
      </c>
      <c r="D613" s="7">
        <f>(Table534567910[[#This Row],[Value]]-B601)/B601</f>
        <v/>
      </c>
      <c r="E613" s="16" t="n">
        <v>0.02</v>
      </c>
      <c r="F613" s="15">
        <f>VLOOKUP(Table534567910[[#This Row],[Date]],Database!A:E,4)</f>
        <v/>
      </c>
    </row>
    <row r="614">
      <c r="A614" s="47" t="n">
        <v>40087</v>
      </c>
      <c r="B614" s="45">
        <f>VLOOKUP(Table534567910[[#This Row],[Date]],Database!A:E,MATCH($A$1,Database!$A$1:$E$1,),)</f>
        <v/>
      </c>
      <c r="C614" s="9">
        <f>(B614-B613)/B613</f>
        <v/>
      </c>
      <c r="D614" s="7">
        <f>(Table534567910[[#This Row],[Value]]-B602)/B602</f>
        <v/>
      </c>
      <c r="E614" s="16" t="n">
        <v>0.02</v>
      </c>
      <c r="F614" s="15">
        <f>VLOOKUP(Table534567910[[#This Row],[Date]],Database!A:E,4)</f>
        <v/>
      </c>
    </row>
    <row r="615">
      <c r="A615" s="47" t="n">
        <v>40118</v>
      </c>
      <c r="B615" s="45">
        <f>VLOOKUP(Table534567910[[#This Row],[Date]],Database!A:E,MATCH($A$1,Database!$A$1:$E$1,),)</f>
        <v/>
      </c>
      <c r="C615" s="9">
        <f>(B615-B614)/B614</f>
        <v/>
      </c>
      <c r="D615" s="7">
        <f>(Table534567910[[#This Row],[Value]]-B603)/B603</f>
        <v/>
      </c>
      <c r="E615" s="16" t="n">
        <v>0.02</v>
      </c>
      <c r="F615" s="15">
        <f>VLOOKUP(Table534567910[[#This Row],[Date]],Database!A:E,4)</f>
        <v/>
      </c>
    </row>
    <row r="616">
      <c r="A616" s="47" t="n">
        <v>40148</v>
      </c>
      <c r="B616" s="45">
        <f>VLOOKUP(Table534567910[[#This Row],[Date]],Database!A:E,MATCH($A$1,Database!$A$1:$E$1,),)</f>
        <v/>
      </c>
      <c r="C616" s="9">
        <f>(B616-B615)/B615</f>
        <v/>
      </c>
      <c r="D616" s="7">
        <f>(Table534567910[[#This Row],[Value]]-B604)/B604</f>
        <v/>
      </c>
      <c r="E616" s="16" t="n">
        <v>0.02</v>
      </c>
      <c r="F616" s="15">
        <f>VLOOKUP(Table534567910[[#This Row],[Date]],Database!A:E,4)</f>
        <v/>
      </c>
    </row>
    <row r="617">
      <c r="A617" s="47" t="n">
        <v>40179</v>
      </c>
      <c r="B617" s="45">
        <f>VLOOKUP(Table534567910[[#This Row],[Date]],Database!A:E,MATCH($A$1,Database!$A$1:$E$1,),)</f>
        <v/>
      </c>
      <c r="C617" s="9">
        <f>(B617-B616)/B616</f>
        <v/>
      </c>
      <c r="D617" s="7">
        <f>(Table534567910[[#This Row],[Value]]-B605)/B605</f>
        <v/>
      </c>
      <c r="E617" s="16" t="n">
        <v>0.02</v>
      </c>
      <c r="F617" s="15">
        <f>VLOOKUP(Table534567910[[#This Row],[Date]],Database!A:E,4)</f>
        <v/>
      </c>
    </row>
    <row r="618">
      <c r="A618" s="47" t="n">
        <v>40210</v>
      </c>
      <c r="B618" s="45">
        <f>VLOOKUP(Table534567910[[#This Row],[Date]],Database!A:E,MATCH($A$1,Database!$A$1:$E$1,),)</f>
        <v/>
      </c>
      <c r="C618" s="9">
        <f>(B618-B617)/B617</f>
        <v/>
      </c>
      <c r="D618" s="7">
        <f>(Table534567910[[#This Row],[Value]]-B606)/B606</f>
        <v/>
      </c>
      <c r="E618" s="16" t="n">
        <v>0.02</v>
      </c>
      <c r="F618" s="15">
        <f>VLOOKUP(Table534567910[[#This Row],[Date]],Database!A:E,4)</f>
        <v/>
      </c>
    </row>
    <row r="619">
      <c r="A619" s="47" t="n">
        <v>40238</v>
      </c>
      <c r="B619" s="45">
        <f>VLOOKUP(Table534567910[[#This Row],[Date]],Database!A:E,MATCH($A$1,Database!$A$1:$E$1,),)</f>
        <v/>
      </c>
      <c r="C619" s="9">
        <f>(B619-B618)/B618</f>
        <v/>
      </c>
      <c r="D619" s="7">
        <f>(Table534567910[[#This Row],[Value]]-B607)/B607</f>
        <v/>
      </c>
      <c r="E619" s="16" t="n">
        <v>0.02</v>
      </c>
      <c r="F619" s="15">
        <f>VLOOKUP(Table534567910[[#This Row],[Date]],Database!A:E,4)</f>
        <v/>
      </c>
    </row>
    <row r="620">
      <c r="A620" s="47" t="n">
        <v>40269</v>
      </c>
      <c r="B620" s="45">
        <f>VLOOKUP(Table534567910[[#This Row],[Date]],Database!A:E,MATCH($A$1,Database!$A$1:$E$1,),)</f>
        <v/>
      </c>
      <c r="C620" s="9">
        <f>(B620-B619)/B619</f>
        <v/>
      </c>
      <c r="D620" s="7">
        <f>(Table534567910[[#This Row],[Value]]-B608)/B608</f>
        <v/>
      </c>
      <c r="E620" s="16" t="n">
        <v>0.02</v>
      </c>
      <c r="F620" s="15">
        <f>VLOOKUP(Table534567910[[#This Row],[Date]],Database!A:E,4)</f>
        <v/>
      </c>
    </row>
    <row r="621">
      <c r="A621" s="47" t="n">
        <v>40299</v>
      </c>
      <c r="B621" s="45">
        <f>VLOOKUP(Table534567910[[#This Row],[Date]],Database!A:E,MATCH($A$1,Database!$A$1:$E$1,),)</f>
        <v/>
      </c>
      <c r="C621" s="9">
        <f>(B621-B620)/B620</f>
        <v/>
      </c>
      <c r="D621" s="7">
        <f>(Table534567910[[#This Row],[Value]]-B609)/B609</f>
        <v/>
      </c>
      <c r="E621" s="16" t="n">
        <v>0.02</v>
      </c>
      <c r="F621" s="15">
        <f>VLOOKUP(Table534567910[[#This Row],[Date]],Database!A:E,4)</f>
        <v/>
      </c>
    </row>
    <row r="622">
      <c r="A622" s="47" t="n">
        <v>40330</v>
      </c>
      <c r="B622" s="45">
        <f>VLOOKUP(Table534567910[[#This Row],[Date]],Database!A:E,MATCH($A$1,Database!$A$1:$E$1,),)</f>
        <v/>
      </c>
      <c r="C622" s="9">
        <f>(B622-B621)/B621</f>
        <v/>
      </c>
      <c r="D622" s="7">
        <f>(Table534567910[[#This Row],[Value]]-B610)/B610</f>
        <v/>
      </c>
      <c r="E622" s="16" t="n">
        <v>0.02</v>
      </c>
      <c r="F622" s="15">
        <f>VLOOKUP(Table534567910[[#This Row],[Date]],Database!A:E,4)</f>
        <v/>
      </c>
    </row>
    <row r="623">
      <c r="A623" s="47" t="n">
        <v>40360</v>
      </c>
      <c r="B623" s="45">
        <f>VLOOKUP(Table534567910[[#This Row],[Date]],Database!A:E,MATCH($A$1,Database!$A$1:$E$1,),)</f>
        <v/>
      </c>
      <c r="C623" s="9">
        <f>(B623-B622)/B622</f>
        <v/>
      </c>
      <c r="D623" s="7">
        <f>(Table534567910[[#This Row],[Value]]-B611)/B611</f>
        <v/>
      </c>
      <c r="E623" s="16" t="n">
        <v>0.02</v>
      </c>
      <c r="F623" s="15">
        <f>VLOOKUP(Table534567910[[#This Row],[Date]],Database!A:E,4)</f>
        <v/>
      </c>
    </row>
    <row r="624">
      <c r="A624" s="47" t="n">
        <v>40391</v>
      </c>
      <c r="B624" s="45">
        <f>VLOOKUP(Table534567910[[#This Row],[Date]],Database!A:E,MATCH($A$1,Database!$A$1:$E$1,),)</f>
        <v/>
      </c>
      <c r="C624" s="9">
        <f>(B624-B623)/B623</f>
        <v/>
      </c>
      <c r="D624" s="7">
        <f>(Table534567910[[#This Row],[Value]]-B612)/B612</f>
        <v/>
      </c>
      <c r="E624" s="16" t="n">
        <v>0.02</v>
      </c>
      <c r="F624" s="15">
        <f>VLOOKUP(Table534567910[[#This Row],[Date]],Database!A:E,4)</f>
        <v/>
      </c>
    </row>
    <row r="625">
      <c r="A625" s="47" t="n">
        <v>40422</v>
      </c>
      <c r="B625" s="45">
        <f>VLOOKUP(Table534567910[[#This Row],[Date]],Database!A:E,MATCH($A$1,Database!$A$1:$E$1,),)</f>
        <v/>
      </c>
      <c r="C625" s="9">
        <f>(B625-B624)/B624</f>
        <v/>
      </c>
      <c r="D625" s="7">
        <f>(Table534567910[[#This Row],[Value]]-B613)/B613</f>
        <v/>
      </c>
      <c r="E625" s="16" t="n">
        <v>0.02</v>
      </c>
      <c r="F625" s="15">
        <f>VLOOKUP(Table534567910[[#This Row],[Date]],Database!A:E,4)</f>
        <v/>
      </c>
    </row>
    <row r="626">
      <c r="A626" s="47" t="n">
        <v>40452</v>
      </c>
      <c r="B626" s="45">
        <f>VLOOKUP(Table534567910[[#This Row],[Date]],Database!A:E,MATCH($A$1,Database!$A$1:$E$1,),)</f>
        <v/>
      </c>
      <c r="C626" s="9">
        <f>(B626-B625)/B625</f>
        <v/>
      </c>
      <c r="D626" s="7">
        <f>(Table534567910[[#This Row],[Value]]-B614)/B614</f>
        <v/>
      </c>
      <c r="E626" s="16" t="n">
        <v>0.02</v>
      </c>
      <c r="F626" s="15">
        <f>VLOOKUP(Table534567910[[#This Row],[Date]],Database!A:E,4)</f>
        <v/>
      </c>
    </row>
    <row r="627">
      <c r="A627" s="47" t="n">
        <v>40483</v>
      </c>
      <c r="B627" s="45">
        <f>VLOOKUP(Table534567910[[#This Row],[Date]],Database!A:E,MATCH($A$1,Database!$A$1:$E$1,),)</f>
        <v/>
      </c>
      <c r="C627" s="9">
        <f>(B627-B626)/B626</f>
        <v/>
      </c>
      <c r="D627" s="7">
        <f>(Table534567910[[#This Row],[Value]]-B615)/B615</f>
        <v/>
      </c>
      <c r="E627" s="16" t="n">
        <v>0.02</v>
      </c>
      <c r="F627" s="15">
        <f>VLOOKUP(Table534567910[[#This Row],[Date]],Database!A:E,4)</f>
        <v/>
      </c>
    </row>
    <row r="628">
      <c r="A628" s="47" t="n">
        <v>40513</v>
      </c>
      <c r="B628" s="45">
        <f>VLOOKUP(Table534567910[[#This Row],[Date]],Database!A:E,MATCH($A$1,Database!$A$1:$E$1,),)</f>
        <v/>
      </c>
      <c r="C628" s="9">
        <f>(B628-B627)/B627</f>
        <v/>
      </c>
      <c r="D628" s="7">
        <f>(Table534567910[[#This Row],[Value]]-B616)/B616</f>
        <v/>
      </c>
      <c r="E628" s="16" t="n">
        <v>0.02</v>
      </c>
      <c r="F628" s="15">
        <f>VLOOKUP(Table534567910[[#This Row],[Date]],Database!A:E,4)</f>
        <v/>
      </c>
    </row>
    <row r="629">
      <c r="A629" s="47" t="n">
        <v>40544</v>
      </c>
      <c r="B629" s="45">
        <f>VLOOKUP(Table534567910[[#This Row],[Date]],Database!A:E,MATCH($A$1,Database!$A$1:$E$1,),)</f>
        <v/>
      </c>
      <c r="C629" s="9">
        <f>(B629-B628)/B628</f>
        <v/>
      </c>
      <c r="D629" s="7">
        <f>(Table534567910[[#This Row],[Value]]-B617)/B617</f>
        <v/>
      </c>
      <c r="E629" s="16" t="n">
        <v>0.02</v>
      </c>
      <c r="F629" s="15">
        <f>VLOOKUP(Table534567910[[#This Row],[Date]],Database!A:E,4)</f>
        <v/>
      </c>
    </row>
    <row r="630">
      <c r="A630" s="47" t="n">
        <v>40575</v>
      </c>
      <c r="B630" s="45">
        <f>VLOOKUP(Table534567910[[#This Row],[Date]],Database!A:E,MATCH($A$1,Database!$A$1:$E$1,),)</f>
        <v/>
      </c>
      <c r="C630" s="9">
        <f>(B630-B629)/B629</f>
        <v/>
      </c>
      <c r="D630" s="7">
        <f>(Table534567910[[#This Row],[Value]]-B618)/B618</f>
        <v/>
      </c>
      <c r="E630" s="16" t="n">
        <v>0.02</v>
      </c>
      <c r="F630" s="15">
        <f>VLOOKUP(Table534567910[[#This Row],[Date]],Database!A:E,4)</f>
        <v/>
      </c>
    </row>
    <row r="631">
      <c r="A631" s="47" t="n">
        <v>40603</v>
      </c>
      <c r="B631" s="45">
        <f>VLOOKUP(Table534567910[[#This Row],[Date]],Database!A:E,MATCH($A$1,Database!$A$1:$E$1,),)</f>
        <v/>
      </c>
      <c r="C631" s="9">
        <f>(B631-B630)/B630</f>
        <v/>
      </c>
      <c r="D631" s="7">
        <f>(Table534567910[[#This Row],[Value]]-B619)/B619</f>
        <v/>
      </c>
      <c r="E631" s="16" t="n">
        <v>0.02</v>
      </c>
      <c r="F631" s="15">
        <f>VLOOKUP(Table534567910[[#This Row],[Date]],Database!A:E,4)</f>
        <v/>
      </c>
    </row>
    <row r="632">
      <c r="A632" s="47" t="n">
        <v>40634</v>
      </c>
      <c r="B632" s="45">
        <f>VLOOKUP(Table534567910[[#This Row],[Date]],Database!A:E,MATCH($A$1,Database!$A$1:$E$1,),)</f>
        <v/>
      </c>
      <c r="C632" s="9">
        <f>(B632-B631)/B631</f>
        <v/>
      </c>
      <c r="D632" s="7">
        <f>(Table534567910[[#This Row],[Value]]-B620)/B620</f>
        <v/>
      </c>
      <c r="E632" s="16" t="n">
        <v>0.02</v>
      </c>
      <c r="F632" s="15">
        <f>VLOOKUP(Table534567910[[#This Row],[Date]],Database!A:E,4)</f>
        <v/>
      </c>
    </row>
    <row r="633">
      <c r="A633" s="47" t="n">
        <v>40664</v>
      </c>
      <c r="B633" s="45">
        <f>VLOOKUP(Table534567910[[#This Row],[Date]],Database!A:E,MATCH($A$1,Database!$A$1:$E$1,),)</f>
        <v/>
      </c>
      <c r="C633" s="9">
        <f>(B633-B632)/B632</f>
        <v/>
      </c>
      <c r="D633" s="7">
        <f>(Table534567910[[#This Row],[Value]]-B621)/B621</f>
        <v/>
      </c>
      <c r="E633" s="16" t="n">
        <v>0.02</v>
      </c>
      <c r="F633" s="15">
        <f>VLOOKUP(Table534567910[[#This Row],[Date]],Database!A:E,4)</f>
        <v/>
      </c>
    </row>
    <row r="634">
      <c r="A634" s="47" t="n">
        <v>40695</v>
      </c>
      <c r="B634" s="45">
        <f>VLOOKUP(Table534567910[[#This Row],[Date]],Database!A:E,MATCH($A$1,Database!$A$1:$E$1,),)</f>
        <v/>
      </c>
      <c r="C634" s="9">
        <f>(B634-B633)/B633</f>
        <v/>
      </c>
      <c r="D634" s="7">
        <f>(Table534567910[[#This Row],[Value]]-B622)/B622</f>
        <v/>
      </c>
      <c r="E634" s="16" t="n">
        <v>0.02</v>
      </c>
      <c r="F634" s="15">
        <f>VLOOKUP(Table534567910[[#This Row],[Date]],Database!A:E,4)</f>
        <v/>
      </c>
    </row>
    <row r="635">
      <c r="A635" s="47" t="n">
        <v>40725</v>
      </c>
      <c r="B635" s="45">
        <f>VLOOKUP(Table534567910[[#This Row],[Date]],Database!A:E,MATCH($A$1,Database!$A$1:$E$1,),)</f>
        <v/>
      </c>
      <c r="C635" s="9">
        <f>(B635-B634)/B634</f>
        <v/>
      </c>
      <c r="D635" s="7">
        <f>(Table534567910[[#This Row],[Value]]-B623)/B623</f>
        <v/>
      </c>
      <c r="E635" s="16" t="n">
        <v>0.02</v>
      </c>
      <c r="F635" s="15">
        <f>VLOOKUP(Table534567910[[#This Row],[Date]],Database!A:E,4)</f>
        <v/>
      </c>
    </row>
    <row r="636">
      <c r="A636" s="47" t="n">
        <v>40756</v>
      </c>
      <c r="B636" s="45">
        <f>VLOOKUP(Table534567910[[#This Row],[Date]],Database!A:E,MATCH($A$1,Database!$A$1:$E$1,),)</f>
        <v/>
      </c>
      <c r="C636" s="9">
        <f>(B636-B635)/B635</f>
        <v/>
      </c>
      <c r="D636" s="7">
        <f>(Table534567910[[#This Row],[Value]]-B624)/B624</f>
        <v/>
      </c>
      <c r="E636" s="16" t="n">
        <v>0.02</v>
      </c>
      <c r="F636" s="15">
        <f>VLOOKUP(Table534567910[[#This Row],[Date]],Database!A:E,4)</f>
        <v/>
      </c>
    </row>
    <row r="637">
      <c r="A637" s="47" t="n">
        <v>40787</v>
      </c>
      <c r="B637" s="45">
        <f>VLOOKUP(Table534567910[[#This Row],[Date]],Database!A:E,MATCH($A$1,Database!$A$1:$E$1,),)</f>
        <v/>
      </c>
      <c r="C637" s="9">
        <f>(B637-B636)/B636</f>
        <v/>
      </c>
      <c r="D637" s="7">
        <f>(Table534567910[[#This Row],[Value]]-B625)/B625</f>
        <v/>
      </c>
      <c r="E637" s="16" t="n">
        <v>0.02</v>
      </c>
      <c r="F637" s="15">
        <f>VLOOKUP(Table534567910[[#This Row],[Date]],Database!A:E,4)</f>
        <v/>
      </c>
    </row>
    <row r="638">
      <c r="A638" s="47" t="n">
        <v>40817</v>
      </c>
      <c r="B638" s="45">
        <f>VLOOKUP(Table534567910[[#This Row],[Date]],Database!A:E,MATCH($A$1,Database!$A$1:$E$1,),)</f>
        <v/>
      </c>
      <c r="C638" s="9">
        <f>(B638-B637)/B637</f>
        <v/>
      </c>
      <c r="D638" s="7">
        <f>(Table534567910[[#This Row],[Value]]-B626)/B626</f>
        <v/>
      </c>
      <c r="E638" s="16" t="n">
        <v>0.02</v>
      </c>
      <c r="F638" s="15">
        <f>VLOOKUP(Table534567910[[#This Row],[Date]],Database!A:E,4)</f>
        <v/>
      </c>
    </row>
    <row r="639">
      <c r="A639" s="47" t="n">
        <v>40848</v>
      </c>
      <c r="B639" s="45">
        <f>VLOOKUP(Table534567910[[#This Row],[Date]],Database!A:E,MATCH($A$1,Database!$A$1:$E$1,),)</f>
        <v/>
      </c>
      <c r="C639" s="9">
        <f>(B639-B638)/B638</f>
        <v/>
      </c>
      <c r="D639" s="7">
        <f>(Table534567910[[#This Row],[Value]]-B627)/B627</f>
        <v/>
      </c>
      <c r="E639" s="16" t="n">
        <v>0.02</v>
      </c>
      <c r="F639" s="15">
        <f>VLOOKUP(Table534567910[[#This Row],[Date]],Database!A:E,4)</f>
        <v/>
      </c>
    </row>
    <row r="640">
      <c r="A640" s="47" t="n">
        <v>40878</v>
      </c>
      <c r="B640" s="45">
        <f>VLOOKUP(Table534567910[[#This Row],[Date]],Database!A:E,MATCH($A$1,Database!$A$1:$E$1,),)</f>
        <v/>
      </c>
      <c r="C640" s="9">
        <f>(B640-B639)/B639</f>
        <v/>
      </c>
      <c r="D640" s="7">
        <f>(Table534567910[[#This Row],[Value]]-B628)/B628</f>
        <v/>
      </c>
      <c r="E640" s="16" t="n">
        <v>0.02</v>
      </c>
      <c r="F640" s="15">
        <f>VLOOKUP(Table534567910[[#This Row],[Date]],Database!A:E,4)</f>
        <v/>
      </c>
    </row>
    <row r="641">
      <c r="A641" s="47" t="n">
        <v>40909</v>
      </c>
      <c r="B641" s="45">
        <f>VLOOKUP(Table534567910[[#This Row],[Date]],Database!A:E,MATCH($A$1,Database!$A$1:$E$1,),)</f>
        <v/>
      </c>
      <c r="C641" s="9">
        <f>(B641-B640)/B640</f>
        <v/>
      </c>
      <c r="D641" s="7">
        <f>(Table534567910[[#This Row],[Value]]-B629)/B629</f>
        <v/>
      </c>
      <c r="E641" s="16" t="n">
        <v>0.02</v>
      </c>
      <c r="F641" s="15">
        <f>VLOOKUP(Table534567910[[#This Row],[Date]],Database!A:E,4)</f>
        <v/>
      </c>
    </row>
    <row r="642">
      <c r="A642" s="47" t="n">
        <v>40940</v>
      </c>
      <c r="B642" s="45">
        <f>VLOOKUP(Table534567910[[#This Row],[Date]],Database!A:E,MATCH($A$1,Database!$A$1:$E$1,),)</f>
        <v/>
      </c>
      <c r="C642" s="9">
        <f>(B642-B641)/B641</f>
        <v/>
      </c>
      <c r="D642" s="7">
        <f>(Table534567910[[#This Row],[Value]]-B630)/B630</f>
        <v/>
      </c>
      <c r="E642" s="16" t="n">
        <v>0.02</v>
      </c>
      <c r="F642" s="15">
        <f>VLOOKUP(Table534567910[[#This Row],[Date]],Database!A:E,4)</f>
        <v/>
      </c>
    </row>
    <row r="643">
      <c r="A643" s="47" t="n">
        <v>40969</v>
      </c>
      <c r="B643" s="45">
        <f>VLOOKUP(Table534567910[[#This Row],[Date]],Database!A:E,MATCH($A$1,Database!$A$1:$E$1,),)</f>
        <v/>
      </c>
      <c r="C643" s="9">
        <f>(B643-B642)/B642</f>
        <v/>
      </c>
      <c r="D643" s="7">
        <f>(Table534567910[[#This Row],[Value]]-B631)/B631</f>
        <v/>
      </c>
      <c r="E643" s="16" t="n">
        <v>0.02</v>
      </c>
      <c r="F643" s="15">
        <f>VLOOKUP(Table534567910[[#This Row],[Date]],Database!A:E,4)</f>
        <v/>
      </c>
    </row>
    <row r="644">
      <c r="A644" s="47" t="n">
        <v>41000</v>
      </c>
      <c r="B644" s="45">
        <f>VLOOKUP(Table534567910[[#This Row],[Date]],Database!A:E,MATCH($A$1,Database!$A$1:$E$1,),)</f>
        <v/>
      </c>
      <c r="C644" s="9">
        <f>(B644-B643)/B643</f>
        <v/>
      </c>
      <c r="D644" s="7">
        <f>(Table534567910[[#This Row],[Value]]-B632)/B632</f>
        <v/>
      </c>
      <c r="E644" s="16" t="n">
        <v>0.02</v>
      </c>
      <c r="F644" s="15">
        <f>VLOOKUP(Table534567910[[#This Row],[Date]],Database!A:E,4)</f>
        <v/>
      </c>
    </row>
    <row r="645">
      <c r="A645" s="47" t="n">
        <v>41030</v>
      </c>
      <c r="B645" s="45">
        <f>VLOOKUP(Table534567910[[#This Row],[Date]],Database!A:E,MATCH($A$1,Database!$A$1:$E$1,),)</f>
        <v/>
      </c>
      <c r="C645" s="9">
        <f>(B645-B644)/B644</f>
        <v/>
      </c>
      <c r="D645" s="7">
        <f>(Table534567910[[#This Row],[Value]]-B633)/B633</f>
        <v/>
      </c>
      <c r="E645" s="16" t="n">
        <v>0.02</v>
      </c>
      <c r="F645" s="15">
        <f>VLOOKUP(Table534567910[[#This Row],[Date]],Database!A:E,4)</f>
        <v/>
      </c>
    </row>
    <row r="646">
      <c r="A646" s="47" t="n">
        <v>41061</v>
      </c>
      <c r="B646" s="45">
        <f>VLOOKUP(Table534567910[[#This Row],[Date]],Database!A:E,MATCH($A$1,Database!$A$1:$E$1,),)</f>
        <v/>
      </c>
      <c r="C646" s="9">
        <f>(B646-B645)/B645</f>
        <v/>
      </c>
      <c r="D646" s="7">
        <f>(Table534567910[[#This Row],[Value]]-B634)/B634</f>
        <v/>
      </c>
      <c r="E646" s="16" t="n">
        <v>0.02</v>
      </c>
      <c r="F646" s="15">
        <f>VLOOKUP(Table534567910[[#This Row],[Date]],Database!A:E,4)</f>
        <v/>
      </c>
    </row>
    <row r="647">
      <c r="A647" s="47" t="n">
        <v>41091</v>
      </c>
      <c r="B647" s="45">
        <f>VLOOKUP(Table534567910[[#This Row],[Date]],Database!A:E,MATCH($A$1,Database!$A$1:$E$1,),)</f>
        <v/>
      </c>
      <c r="C647" s="9">
        <f>(B647-B646)/B646</f>
        <v/>
      </c>
      <c r="D647" s="7">
        <f>(Table534567910[[#This Row],[Value]]-B635)/B635</f>
        <v/>
      </c>
      <c r="E647" s="16" t="n">
        <v>0.02</v>
      </c>
      <c r="F647" s="15">
        <f>VLOOKUP(Table534567910[[#This Row],[Date]],Database!A:E,4)</f>
        <v/>
      </c>
    </row>
    <row r="648">
      <c r="A648" s="47" t="n">
        <v>41122</v>
      </c>
      <c r="B648" s="45">
        <f>VLOOKUP(Table534567910[[#This Row],[Date]],Database!A:E,MATCH($A$1,Database!$A$1:$E$1,),)</f>
        <v/>
      </c>
      <c r="C648" s="9">
        <f>(B648-B647)/B647</f>
        <v/>
      </c>
      <c r="D648" s="7">
        <f>(Table534567910[[#This Row],[Value]]-B636)/B636</f>
        <v/>
      </c>
      <c r="E648" s="16" t="n">
        <v>0.02</v>
      </c>
      <c r="F648" s="15">
        <f>VLOOKUP(Table534567910[[#This Row],[Date]],Database!A:E,4)</f>
        <v/>
      </c>
    </row>
    <row r="649">
      <c r="A649" s="47" t="n">
        <v>41153</v>
      </c>
      <c r="B649" s="45">
        <f>VLOOKUP(Table534567910[[#This Row],[Date]],Database!A:E,MATCH($A$1,Database!$A$1:$E$1,),)</f>
        <v/>
      </c>
      <c r="C649" s="9">
        <f>(B649-B648)/B648</f>
        <v/>
      </c>
      <c r="D649" s="7">
        <f>(Table534567910[[#This Row],[Value]]-B637)/B637</f>
        <v/>
      </c>
      <c r="E649" s="16" t="n">
        <v>0.02</v>
      </c>
      <c r="F649" s="15">
        <f>VLOOKUP(Table534567910[[#This Row],[Date]],Database!A:E,4)</f>
        <v/>
      </c>
    </row>
    <row r="650">
      <c r="A650" s="47" t="n">
        <v>41183</v>
      </c>
      <c r="B650" s="45">
        <f>VLOOKUP(Table534567910[[#This Row],[Date]],Database!A:E,MATCH($A$1,Database!$A$1:$E$1,),)</f>
        <v/>
      </c>
      <c r="C650" s="9">
        <f>(B650-B649)/B649</f>
        <v/>
      </c>
      <c r="D650" s="7">
        <f>(Table534567910[[#This Row],[Value]]-B638)/B638</f>
        <v/>
      </c>
      <c r="E650" s="16" t="n">
        <v>0.02</v>
      </c>
      <c r="F650" s="15">
        <f>VLOOKUP(Table534567910[[#This Row],[Date]],Database!A:E,4)</f>
        <v/>
      </c>
    </row>
    <row r="651">
      <c r="A651" s="47" t="n">
        <v>41214</v>
      </c>
      <c r="B651" s="45">
        <f>VLOOKUP(Table534567910[[#This Row],[Date]],Database!A:E,MATCH($A$1,Database!$A$1:$E$1,),)</f>
        <v/>
      </c>
      <c r="C651" s="9">
        <f>(B651-B650)/B650</f>
        <v/>
      </c>
      <c r="D651" s="7">
        <f>(Table534567910[[#This Row],[Value]]-B639)/B639</f>
        <v/>
      </c>
      <c r="E651" s="16" t="n">
        <v>0.02</v>
      </c>
      <c r="F651" s="15">
        <f>VLOOKUP(Table534567910[[#This Row],[Date]],Database!A:E,4)</f>
        <v/>
      </c>
    </row>
    <row r="652">
      <c r="A652" s="47" t="n">
        <v>41244</v>
      </c>
      <c r="B652" s="45">
        <f>VLOOKUP(Table534567910[[#This Row],[Date]],Database!A:E,MATCH($A$1,Database!$A$1:$E$1,),)</f>
        <v/>
      </c>
      <c r="C652" s="9">
        <f>(B652-B651)/B651</f>
        <v/>
      </c>
      <c r="D652" s="7">
        <f>(Table534567910[[#This Row],[Value]]-B640)/B640</f>
        <v/>
      </c>
      <c r="E652" s="16" t="n">
        <v>0.02</v>
      </c>
      <c r="F652" s="15">
        <f>VLOOKUP(Table534567910[[#This Row],[Date]],Database!A:E,4)</f>
        <v/>
      </c>
    </row>
    <row r="653">
      <c r="A653" s="47" t="n">
        <v>41275</v>
      </c>
      <c r="B653" s="45">
        <f>VLOOKUP(Table534567910[[#This Row],[Date]],Database!A:E,MATCH($A$1,Database!$A$1:$E$1,),)</f>
        <v/>
      </c>
      <c r="C653" s="9">
        <f>(B653-B652)/B652</f>
        <v/>
      </c>
      <c r="D653" s="7">
        <f>(Table534567910[[#This Row],[Value]]-B641)/B641</f>
        <v/>
      </c>
      <c r="E653" s="16" t="n">
        <v>0.02</v>
      </c>
      <c r="F653" s="15">
        <f>VLOOKUP(Table534567910[[#This Row],[Date]],Database!A:E,4)</f>
        <v/>
      </c>
    </row>
    <row r="654">
      <c r="A654" s="47" t="n">
        <v>41306</v>
      </c>
      <c r="B654" s="45">
        <f>VLOOKUP(Table534567910[[#This Row],[Date]],Database!A:E,MATCH($A$1,Database!$A$1:$E$1,),)</f>
        <v/>
      </c>
      <c r="C654" s="9">
        <f>(B654-B653)/B653</f>
        <v/>
      </c>
      <c r="D654" s="7">
        <f>(Table534567910[[#This Row],[Value]]-B642)/B642</f>
        <v/>
      </c>
      <c r="E654" s="16" t="n">
        <v>0.02</v>
      </c>
      <c r="F654" s="15">
        <f>VLOOKUP(Table534567910[[#This Row],[Date]],Database!A:E,4)</f>
        <v/>
      </c>
    </row>
    <row r="655">
      <c r="A655" s="47" t="n">
        <v>41334</v>
      </c>
      <c r="B655" s="45">
        <f>VLOOKUP(Table534567910[[#This Row],[Date]],Database!A:E,MATCH($A$1,Database!$A$1:$E$1,),)</f>
        <v/>
      </c>
      <c r="C655" s="9">
        <f>(B655-B654)/B654</f>
        <v/>
      </c>
      <c r="D655" s="7">
        <f>(Table534567910[[#This Row],[Value]]-B643)/B643</f>
        <v/>
      </c>
      <c r="E655" s="16" t="n">
        <v>0.02</v>
      </c>
      <c r="F655" s="15">
        <f>VLOOKUP(Table534567910[[#This Row],[Date]],Database!A:E,4)</f>
        <v/>
      </c>
    </row>
    <row r="656">
      <c r="A656" s="47" t="n">
        <v>41365</v>
      </c>
      <c r="B656" s="45">
        <f>VLOOKUP(Table534567910[[#This Row],[Date]],Database!A:E,MATCH($A$1,Database!$A$1:$E$1,),)</f>
        <v/>
      </c>
      <c r="C656" s="9">
        <f>(B656-B655)/B655</f>
        <v/>
      </c>
      <c r="D656" s="7">
        <f>(Table534567910[[#This Row],[Value]]-B644)/B644</f>
        <v/>
      </c>
      <c r="E656" s="16" t="n">
        <v>0.02</v>
      </c>
      <c r="F656" s="15">
        <f>VLOOKUP(Table534567910[[#This Row],[Date]],Database!A:E,4)</f>
        <v/>
      </c>
    </row>
    <row r="657">
      <c r="A657" s="47" t="n">
        <v>41395</v>
      </c>
      <c r="B657" s="45">
        <f>VLOOKUP(Table534567910[[#This Row],[Date]],Database!A:E,MATCH($A$1,Database!$A$1:$E$1,),)</f>
        <v/>
      </c>
      <c r="C657" s="9">
        <f>(B657-B656)/B656</f>
        <v/>
      </c>
      <c r="D657" s="7">
        <f>(Table534567910[[#This Row],[Value]]-B645)/B645</f>
        <v/>
      </c>
      <c r="E657" s="16" t="n">
        <v>0.02</v>
      </c>
      <c r="F657" s="15">
        <f>VLOOKUP(Table534567910[[#This Row],[Date]],Database!A:E,4)</f>
        <v/>
      </c>
    </row>
    <row r="658">
      <c r="A658" s="47" t="n">
        <v>41426</v>
      </c>
      <c r="B658" s="45">
        <f>VLOOKUP(Table534567910[[#This Row],[Date]],Database!A:E,MATCH($A$1,Database!$A$1:$E$1,),)</f>
        <v/>
      </c>
      <c r="C658" s="9">
        <f>(B658-B657)/B657</f>
        <v/>
      </c>
      <c r="D658" s="7">
        <f>(Table534567910[[#This Row],[Value]]-B646)/B646</f>
        <v/>
      </c>
      <c r="E658" s="16" t="n">
        <v>0.02</v>
      </c>
      <c r="F658" s="15">
        <f>VLOOKUP(Table534567910[[#This Row],[Date]],Database!A:E,4)</f>
        <v/>
      </c>
    </row>
    <row r="659">
      <c r="A659" s="47" t="n">
        <v>41456</v>
      </c>
      <c r="B659" s="45">
        <f>VLOOKUP(Table534567910[[#This Row],[Date]],Database!A:E,MATCH($A$1,Database!$A$1:$E$1,),)</f>
        <v/>
      </c>
      <c r="C659" s="9">
        <f>(B659-B658)/B658</f>
        <v/>
      </c>
      <c r="D659" s="7">
        <f>(Table534567910[[#This Row],[Value]]-B647)/B647</f>
        <v/>
      </c>
      <c r="E659" s="16" t="n">
        <v>0.02</v>
      </c>
      <c r="F659" s="15">
        <f>VLOOKUP(Table534567910[[#This Row],[Date]],Database!A:E,4)</f>
        <v/>
      </c>
    </row>
    <row r="660">
      <c r="A660" s="47" t="n">
        <v>41487</v>
      </c>
      <c r="B660" s="45">
        <f>VLOOKUP(Table534567910[[#This Row],[Date]],Database!A:E,MATCH($A$1,Database!$A$1:$E$1,),)</f>
        <v/>
      </c>
      <c r="C660" s="9">
        <f>(B660-B659)/B659</f>
        <v/>
      </c>
      <c r="D660" s="7">
        <f>(Table534567910[[#This Row],[Value]]-B648)/B648</f>
        <v/>
      </c>
      <c r="E660" s="16" t="n">
        <v>0.02</v>
      </c>
      <c r="F660" s="15">
        <f>VLOOKUP(Table534567910[[#This Row],[Date]],Database!A:E,4)</f>
        <v/>
      </c>
    </row>
    <row r="661">
      <c r="A661" s="47" t="n">
        <v>41518</v>
      </c>
      <c r="B661" s="45">
        <f>VLOOKUP(Table534567910[[#This Row],[Date]],Database!A:E,MATCH($A$1,Database!$A$1:$E$1,),)</f>
        <v/>
      </c>
      <c r="C661" s="9">
        <f>(B661-B660)/B660</f>
        <v/>
      </c>
      <c r="D661" s="7">
        <f>(Table534567910[[#This Row],[Value]]-B649)/B649</f>
        <v/>
      </c>
      <c r="E661" s="16" t="n">
        <v>0.02</v>
      </c>
      <c r="F661" s="15">
        <f>VLOOKUP(Table534567910[[#This Row],[Date]],Database!A:E,4)</f>
        <v/>
      </c>
    </row>
    <row r="662">
      <c r="A662" s="47" t="n">
        <v>41548</v>
      </c>
      <c r="B662" s="45">
        <f>VLOOKUP(Table534567910[[#This Row],[Date]],Database!A:E,MATCH($A$1,Database!$A$1:$E$1,),)</f>
        <v/>
      </c>
      <c r="C662" s="9">
        <f>(B662-B661)/B661</f>
        <v/>
      </c>
      <c r="D662" s="7">
        <f>(Table534567910[[#This Row],[Value]]-B650)/B650</f>
        <v/>
      </c>
      <c r="E662" s="16" t="n">
        <v>0.02</v>
      </c>
      <c r="F662" s="15">
        <f>VLOOKUP(Table534567910[[#This Row],[Date]],Database!A:E,4)</f>
        <v/>
      </c>
    </row>
    <row r="663">
      <c r="A663" s="47" t="n">
        <v>41579</v>
      </c>
      <c r="B663" s="45">
        <f>VLOOKUP(Table534567910[[#This Row],[Date]],Database!A:E,MATCH($A$1,Database!$A$1:$E$1,),)</f>
        <v/>
      </c>
      <c r="C663" s="9">
        <f>(B663-B662)/B662</f>
        <v/>
      </c>
      <c r="D663" s="7">
        <f>(Table534567910[[#This Row],[Value]]-B651)/B651</f>
        <v/>
      </c>
      <c r="E663" s="16" t="n">
        <v>0.02</v>
      </c>
      <c r="F663" s="15">
        <f>VLOOKUP(Table534567910[[#This Row],[Date]],Database!A:E,4)</f>
        <v/>
      </c>
    </row>
    <row r="664">
      <c r="A664" s="47" t="n">
        <v>41609</v>
      </c>
      <c r="B664" s="45">
        <f>VLOOKUP(Table534567910[[#This Row],[Date]],Database!A:E,MATCH($A$1,Database!$A$1:$E$1,),)</f>
        <v/>
      </c>
      <c r="C664" s="9">
        <f>(B664-B663)/B663</f>
        <v/>
      </c>
      <c r="D664" s="7">
        <f>(Table534567910[[#This Row],[Value]]-B652)/B652</f>
        <v/>
      </c>
      <c r="E664" s="16" t="n">
        <v>0.02</v>
      </c>
      <c r="F664" s="15">
        <f>VLOOKUP(Table534567910[[#This Row],[Date]],Database!A:E,4)</f>
        <v/>
      </c>
    </row>
    <row r="665">
      <c r="A665" s="47" t="n">
        <v>41640</v>
      </c>
      <c r="B665" s="45">
        <f>VLOOKUP(Table534567910[[#This Row],[Date]],Database!A:E,MATCH($A$1,Database!$A$1:$E$1,),)</f>
        <v/>
      </c>
      <c r="C665" s="9">
        <f>(B665-B664)/B664</f>
        <v/>
      </c>
      <c r="D665" s="7">
        <f>(Table534567910[[#This Row],[Value]]-B653)/B653</f>
        <v/>
      </c>
      <c r="E665" s="16" t="n">
        <v>0.02</v>
      </c>
      <c r="F665" s="15">
        <f>VLOOKUP(Table534567910[[#This Row],[Date]],Database!A:E,4)</f>
        <v/>
      </c>
    </row>
    <row r="666">
      <c r="A666" s="47" t="n">
        <v>41671</v>
      </c>
      <c r="B666" s="45">
        <f>VLOOKUP(Table534567910[[#This Row],[Date]],Database!A:E,MATCH($A$1,Database!$A$1:$E$1,),)</f>
        <v/>
      </c>
      <c r="C666" s="9">
        <f>(B666-B665)/B665</f>
        <v/>
      </c>
      <c r="D666" s="7">
        <f>(Table534567910[[#This Row],[Value]]-B654)/B654</f>
        <v/>
      </c>
      <c r="E666" s="16" t="n">
        <v>0.02</v>
      </c>
      <c r="F666" s="15">
        <f>VLOOKUP(Table534567910[[#This Row],[Date]],Database!A:E,4)</f>
        <v/>
      </c>
    </row>
    <row r="667">
      <c r="A667" s="47" t="n">
        <v>41699</v>
      </c>
      <c r="B667" s="45">
        <f>VLOOKUP(Table534567910[[#This Row],[Date]],Database!A:E,MATCH($A$1,Database!$A$1:$E$1,),)</f>
        <v/>
      </c>
      <c r="C667" s="9">
        <f>(B667-B666)/B666</f>
        <v/>
      </c>
      <c r="D667" s="7">
        <f>(Table534567910[[#This Row],[Value]]-B655)/B655</f>
        <v/>
      </c>
      <c r="E667" s="16" t="n">
        <v>0.02</v>
      </c>
      <c r="F667" s="15">
        <f>VLOOKUP(Table534567910[[#This Row],[Date]],Database!A:E,4)</f>
        <v/>
      </c>
    </row>
    <row r="668">
      <c r="A668" s="47" t="n">
        <v>41730</v>
      </c>
      <c r="B668" s="45">
        <f>VLOOKUP(Table534567910[[#This Row],[Date]],Database!A:E,MATCH($A$1,Database!$A$1:$E$1,),)</f>
        <v/>
      </c>
      <c r="C668" s="9">
        <f>(B668-B667)/B667</f>
        <v/>
      </c>
      <c r="D668" s="7">
        <f>(Table534567910[[#This Row],[Value]]-B656)/B656</f>
        <v/>
      </c>
      <c r="E668" s="16" t="n">
        <v>0.02</v>
      </c>
      <c r="F668" s="15">
        <f>VLOOKUP(Table534567910[[#This Row],[Date]],Database!A:E,4)</f>
        <v/>
      </c>
    </row>
    <row r="669">
      <c r="A669" s="47" t="n">
        <v>41760</v>
      </c>
      <c r="B669" s="45">
        <f>VLOOKUP(Table534567910[[#This Row],[Date]],Database!A:E,MATCH($A$1,Database!$A$1:$E$1,),)</f>
        <v/>
      </c>
      <c r="C669" s="9">
        <f>(B669-B668)/B668</f>
        <v/>
      </c>
      <c r="D669" s="7">
        <f>(Table534567910[[#This Row],[Value]]-B657)/B657</f>
        <v/>
      </c>
      <c r="E669" s="16" t="n">
        <v>0.02</v>
      </c>
      <c r="F669" s="15">
        <f>VLOOKUP(Table534567910[[#This Row],[Date]],Database!A:E,4)</f>
        <v/>
      </c>
    </row>
    <row r="670">
      <c r="A670" s="47" t="n">
        <v>41791</v>
      </c>
      <c r="B670" s="45">
        <f>VLOOKUP(Table534567910[[#This Row],[Date]],Database!A:E,MATCH($A$1,Database!$A$1:$E$1,),)</f>
        <v/>
      </c>
      <c r="C670" s="9">
        <f>(B670-B669)/B669</f>
        <v/>
      </c>
      <c r="D670" s="7">
        <f>(Table534567910[[#This Row],[Value]]-B658)/B658</f>
        <v/>
      </c>
      <c r="E670" s="16" t="n">
        <v>0.02</v>
      </c>
      <c r="F670" s="15">
        <f>VLOOKUP(Table534567910[[#This Row],[Date]],Database!A:E,4)</f>
        <v/>
      </c>
    </row>
    <row r="671">
      <c r="A671" s="47" t="n">
        <v>41821</v>
      </c>
      <c r="B671" s="45">
        <f>VLOOKUP(Table534567910[[#This Row],[Date]],Database!A:E,MATCH($A$1,Database!$A$1:$E$1,),)</f>
        <v/>
      </c>
      <c r="C671" s="9">
        <f>(B671-B670)/B670</f>
        <v/>
      </c>
      <c r="D671" s="7">
        <f>(Table534567910[[#This Row],[Value]]-B659)/B659</f>
        <v/>
      </c>
      <c r="E671" s="16" t="n">
        <v>0.02</v>
      </c>
      <c r="F671" s="15">
        <f>VLOOKUP(Table534567910[[#This Row],[Date]],Database!A:E,4)</f>
        <v/>
      </c>
    </row>
    <row r="672">
      <c r="A672" s="47" t="n">
        <v>41852</v>
      </c>
      <c r="B672" s="45">
        <f>VLOOKUP(Table534567910[[#This Row],[Date]],Database!A:E,MATCH($A$1,Database!$A$1:$E$1,),)</f>
        <v/>
      </c>
      <c r="C672" s="9">
        <f>(B672-B671)/B671</f>
        <v/>
      </c>
      <c r="D672" s="7">
        <f>(Table534567910[[#This Row],[Value]]-B660)/B660</f>
        <v/>
      </c>
      <c r="E672" s="16" t="n">
        <v>0.02</v>
      </c>
      <c r="F672" s="15">
        <f>VLOOKUP(Table534567910[[#This Row],[Date]],Database!A:E,4)</f>
        <v/>
      </c>
    </row>
    <row r="673">
      <c r="A673" s="47" t="n">
        <v>41883</v>
      </c>
      <c r="B673" s="45">
        <f>VLOOKUP(Table534567910[[#This Row],[Date]],Database!A:E,MATCH($A$1,Database!$A$1:$E$1,),)</f>
        <v/>
      </c>
      <c r="C673" s="9">
        <f>(B673-B672)/B672</f>
        <v/>
      </c>
      <c r="D673" s="7">
        <f>(Table534567910[[#This Row],[Value]]-B661)/B661</f>
        <v/>
      </c>
      <c r="E673" s="16" t="n">
        <v>0.02</v>
      </c>
      <c r="F673" s="15">
        <f>VLOOKUP(Table534567910[[#This Row],[Date]],Database!A:E,4)</f>
        <v/>
      </c>
    </row>
    <row r="674">
      <c r="A674" s="47" t="n">
        <v>41913</v>
      </c>
      <c r="B674" s="45">
        <f>VLOOKUP(Table534567910[[#This Row],[Date]],Database!A:E,MATCH($A$1,Database!$A$1:$E$1,),)</f>
        <v/>
      </c>
      <c r="C674" s="9">
        <f>(B674-B673)/B673</f>
        <v/>
      </c>
      <c r="D674" s="7">
        <f>(Table534567910[[#This Row],[Value]]-B662)/B662</f>
        <v/>
      </c>
      <c r="E674" s="16" t="n">
        <v>0.02</v>
      </c>
      <c r="F674" s="15">
        <f>VLOOKUP(Table534567910[[#This Row],[Date]],Database!A:E,4)</f>
        <v/>
      </c>
    </row>
    <row r="675">
      <c r="A675" s="47" t="n">
        <v>41944</v>
      </c>
      <c r="B675" s="45">
        <f>VLOOKUP(Table534567910[[#This Row],[Date]],Database!A:E,MATCH($A$1,Database!$A$1:$E$1,),)</f>
        <v/>
      </c>
      <c r="C675" s="9">
        <f>(B675-B674)/B674</f>
        <v/>
      </c>
      <c r="D675" s="7">
        <f>(Table534567910[[#This Row],[Value]]-B663)/B663</f>
        <v/>
      </c>
      <c r="E675" s="16" t="n">
        <v>0.02</v>
      </c>
      <c r="F675" s="15">
        <f>VLOOKUP(Table534567910[[#This Row],[Date]],Database!A:E,4)</f>
        <v/>
      </c>
    </row>
    <row r="676">
      <c r="A676" s="47" t="n">
        <v>41974</v>
      </c>
      <c r="B676" s="45">
        <f>VLOOKUP(Table534567910[[#This Row],[Date]],Database!A:E,MATCH($A$1,Database!$A$1:$E$1,),)</f>
        <v/>
      </c>
      <c r="C676" s="9">
        <f>(B676-B675)/B675</f>
        <v/>
      </c>
      <c r="D676" s="7">
        <f>(Table534567910[[#This Row],[Value]]-B664)/B664</f>
        <v/>
      </c>
      <c r="E676" s="16" t="n">
        <v>0.02</v>
      </c>
      <c r="F676" s="15">
        <f>VLOOKUP(Table534567910[[#This Row],[Date]],Database!A:E,4)</f>
        <v/>
      </c>
    </row>
    <row r="677">
      <c r="A677" s="47" t="n">
        <v>42005</v>
      </c>
      <c r="B677" s="45">
        <f>VLOOKUP(Table534567910[[#This Row],[Date]],Database!A:E,MATCH($A$1,Database!$A$1:$E$1,),)</f>
        <v/>
      </c>
      <c r="C677" s="9">
        <f>(B677-B676)/B676</f>
        <v/>
      </c>
      <c r="D677" s="7">
        <f>(Table534567910[[#This Row],[Value]]-B665)/B665</f>
        <v/>
      </c>
      <c r="E677" s="16" t="n">
        <v>0.02</v>
      </c>
      <c r="F677" s="15">
        <f>VLOOKUP(Table534567910[[#This Row],[Date]],Database!A:E,4)</f>
        <v/>
      </c>
    </row>
    <row r="678">
      <c r="A678" s="47" t="n">
        <v>42036</v>
      </c>
      <c r="B678" s="45">
        <f>VLOOKUP(Table534567910[[#This Row],[Date]],Database!A:E,MATCH($A$1,Database!$A$1:$E$1,),)</f>
        <v/>
      </c>
      <c r="C678" s="9">
        <f>(B678-B677)/B677</f>
        <v/>
      </c>
      <c r="D678" s="7">
        <f>(Table534567910[[#This Row],[Value]]-B666)/B666</f>
        <v/>
      </c>
      <c r="E678" s="16" t="n">
        <v>0.02</v>
      </c>
      <c r="F678" s="15">
        <f>VLOOKUP(Table534567910[[#This Row],[Date]],Database!A:E,4)</f>
        <v/>
      </c>
    </row>
    <row r="679">
      <c r="A679" s="47" t="n">
        <v>42064</v>
      </c>
      <c r="B679" s="45">
        <f>VLOOKUP(Table534567910[[#This Row],[Date]],Database!A:E,MATCH($A$1,Database!$A$1:$E$1,),)</f>
        <v/>
      </c>
      <c r="C679" s="9">
        <f>(B679-B678)/B678</f>
        <v/>
      </c>
      <c r="D679" s="7">
        <f>(Table534567910[[#This Row],[Value]]-B667)/B667</f>
        <v/>
      </c>
      <c r="E679" s="16" t="n">
        <v>0.02</v>
      </c>
      <c r="F679" s="15">
        <f>VLOOKUP(Table534567910[[#This Row],[Date]],Database!A:E,4)</f>
        <v/>
      </c>
    </row>
    <row r="680">
      <c r="A680" s="47" t="n">
        <v>42095</v>
      </c>
      <c r="B680" s="45">
        <f>VLOOKUP(Table534567910[[#This Row],[Date]],Database!A:E,MATCH($A$1,Database!$A$1:$E$1,),)</f>
        <v/>
      </c>
      <c r="C680" s="9">
        <f>(B680-B679)/B679</f>
        <v/>
      </c>
      <c r="D680" s="7">
        <f>(Table534567910[[#This Row],[Value]]-B668)/B668</f>
        <v/>
      </c>
      <c r="E680" s="16" t="n">
        <v>0.02</v>
      </c>
      <c r="F680" s="15">
        <f>VLOOKUP(Table534567910[[#This Row],[Date]],Database!A:E,4)</f>
        <v/>
      </c>
    </row>
    <row r="681">
      <c r="A681" s="47" t="n">
        <v>42125</v>
      </c>
      <c r="B681" s="45">
        <f>VLOOKUP(Table534567910[[#This Row],[Date]],Database!A:E,MATCH($A$1,Database!$A$1:$E$1,),)</f>
        <v/>
      </c>
      <c r="C681" s="9">
        <f>(B681-B680)/B680</f>
        <v/>
      </c>
      <c r="D681" s="7">
        <f>(Table534567910[[#This Row],[Value]]-B669)/B669</f>
        <v/>
      </c>
      <c r="E681" s="16" t="n">
        <v>0.02</v>
      </c>
      <c r="F681" s="15">
        <f>VLOOKUP(Table534567910[[#This Row],[Date]],Database!A:E,4)</f>
        <v/>
      </c>
    </row>
    <row r="682">
      <c r="A682" s="47" t="n">
        <v>42156</v>
      </c>
      <c r="B682" s="45">
        <f>VLOOKUP(Table534567910[[#This Row],[Date]],Database!A:E,MATCH($A$1,Database!$A$1:$E$1,),)</f>
        <v/>
      </c>
      <c r="C682" s="9">
        <f>(B682-B681)/B681</f>
        <v/>
      </c>
      <c r="D682" s="7">
        <f>(Table534567910[[#This Row],[Value]]-B670)/B670</f>
        <v/>
      </c>
      <c r="E682" s="16" t="n">
        <v>0.02</v>
      </c>
      <c r="F682" s="15">
        <f>VLOOKUP(Table534567910[[#This Row],[Date]],Database!A:E,4)</f>
        <v/>
      </c>
    </row>
    <row r="683">
      <c r="A683" s="47" t="n">
        <v>42186</v>
      </c>
      <c r="B683" s="45">
        <f>VLOOKUP(Table534567910[[#This Row],[Date]],Database!A:E,MATCH($A$1,Database!$A$1:$E$1,),)</f>
        <v/>
      </c>
      <c r="C683" s="9">
        <f>(B683-B682)/B682</f>
        <v/>
      </c>
      <c r="D683" s="7">
        <f>(Table534567910[[#This Row],[Value]]-B671)/B671</f>
        <v/>
      </c>
      <c r="E683" s="16" t="n">
        <v>0.02</v>
      </c>
      <c r="F683" s="15">
        <f>VLOOKUP(Table534567910[[#This Row],[Date]],Database!A:E,4)</f>
        <v/>
      </c>
    </row>
    <row r="684">
      <c r="A684" s="47" t="n">
        <v>42217</v>
      </c>
      <c r="B684" s="45">
        <f>VLOOKUP(Table534567910[[#This Row],[Date]],Database!A:E,MATCH($A$1,Database!$A$1:$E$1,),)</f>
        <v/>
      </c>
      <c r="C684" s="9">
        <f>(B684-B683)/B683</f>
        <v/>
      </c>
      <c r="D684" s="7">
        <f>(Table534567910[[#This Row],[Value]]-B672)/B672</f>
        <v/>
      </c>
      <c r="E684" s="16" t="n">
        <v>0.02</v>
      </c>
      <c r="F684" s="15">
        <f>VLOOKUP(Table534567910[[#This Row],[Date]],Database!A:E,4)</f>
        <v/>
      </c>
    </row>
    <row r="685">
      <c r="A685" s="47" t="n">
        <v>42248</v>
      </c>
      <c r="B685" s="45">
        <f>VLOOKUP(Table534567910[[#This Row],[Date]],Database!A:E,MATCH($A$1,Database!$A$1:$E$1,),)</f>
        <v/>
      </c>
      <c r="C685" s="9">
        <f>(B685-B684)/B684</f>
        <v/>
      </c>
      <c r="D685" s="7">
        <f>(Table534567910[[#This Row],[Value]]-B673)/B673</f>
        <v/>
      </c>
      <c r="E685" s="16" t="n">
        <v>0.02</v>
      </c>
      <c r="F685" s="15">
        <f>VLOOKUP(Table534567910[[#This Row],[Date]],Database!A:E,4)</f>
        <v/>
      </c>
    </row>
    <row r="686">
      <c r="A686" s="47" t="n">
        <v>42278</v>
      </c>
      <c r="B686" s="45">
        <f>VLOOKUP(Table534567910[[#This Row],[Date]],Database!A:E,MATCH($A$1,Database!$A$1:$E$1,),)</f>
        <v/>
      </c>
      <c r="C686" s="9">
        <f>(B686-B685)/B685</f>
        <v/>
      </c>
      <c r="D686" s="7">
        <f>(Table534567910[[#This Row],[Value]]-B674)/B674</f>
        <v/>
      </c>
      <c r="E686" s="16" t="n">
        <v>0.02</v>
      </c>
      <c r="F686" s="15">
        <f>VLOOKUP(Table534567910[[#This Row],[Date]],Database!A:E,4)</f>
        <v/>
      </c>
    </row>
    <row r="687">
      <c r="A687" s="47" t="n">
        <v>42309</v>
      </c>
      <c r="B687" s="45">
        <f>VLOOKUP(Table534567910[[#This Row],[Date]],Database!A:E,MATCH($A$1,Database!$A$1:$E$1,),)</f>
        <v/>
      </c>
      <c r="C687" s="9">
        <f>(B687-B686)/B686</f>
        <v/>
      </c>
      <c r="D687" s="7">
        <f>(Table534567910[[#This Row],[Value]]-B675)/B675</f>
        <v/>
      </c>
      <c r="E687" s="16" t="n">
        <v>0.02</v>
      </c>
      <c r="F687" s="15">
        <f>VLOOKUP(Table534567910[[#This Row],[Date]],Database!A:E,4)</f>
        <v/>
      </c>
    </row>
    <row r="688">
      <c r="A688" s="47" t="n">
        <v>42339</v>
      </c>
      <c r="B688" s="45">
        <f>VLOOKUP(Table534567910[[#This Row],[Date]],Database!A:E,MATCH($A$1,Database!$A$1:$E$1,),)</f>
        <v/>
      </c>
      <c r="C688" s="9">
        <f>(B688-B687)/B687</f>
        <v/>
      </c>
      <c r="D688" s="7">
        <f>(Table534567910[[#This Row],[Value]]-B676)/B676</f>
        <v/>
      </c>
      <c r="E688" s="16" t="n">
        <v>0.02</v>
      </c>
      <c r="F688" s="15">
        <f>VLOOKUP(Table534567910[[#This Row],[Date]],Database!A:E,4)</f>
        <v/>
      </c>
    </row>
    <row r="689">
      <c r="A689" s="47" t="n">
        <v>42370</v>
      </c>
      <c r="B689" s="45">
        <f>VLOOKUP(Table534567910[[#This Row],[Date]],Database!A:E,MATCH($A$1,Database!$A$1:$E$1,),)</f>
        <v/>
      </c>
      <c r="C689" s="9">
        <f>(B689-B688)/B688</f>
        <v/>
      </c>
      <c r="D689" s="7">
        <f>(Table534567910[[#This Row],[Value]]-B677)/B677</f>
        <v/>
      </c>
      <c r="E689" s="16" t="n">
        <v>0.02</v>
      </c>
      <c r="F689" s="15">
        <f>VLOOKUP(Table534567910[[#This Row],[Date]],Database!A:E,4)</f>
        <v/>
      </c>
    </row>
    <row r="690">
      <c r="A690" s="47" t="n">
        <v>42401</v>
      </c>
      <c r="B690" s="45">
        <f>VLOOKUP(Table534567910[[#This Row],[Date]],Database!A:E,MATCH($A$1,Database!$A$1:$E$1,),)</f>
        <v/>
      </c>
      <c r="C690" s="9">
        <f>(B690-B689)/B689</f>
        <v/>
      </c>
      <c r="D690" s="7">
        <f>(Table534567910[[#This Row],[Value]]-B678)/B678</f>
        <v/>
      </c>
      <c r="E690" s="16" t="n">
        <v>0.02</v>
      </c>
      <c r="F690" s="15">
        <f>VLOOKUP(Table534567910[[#This Row],[Date]],Database!A:E,4)</f>
        <v/>
      </c>
    </row>
    <row r="691">
      <c r="A691" s="47" t="n">
        <v>42430</v>
      </c>
      <c r="B691" s="45">
        <f>VLOOKUP(Table534567910[[#This Row],[Date]],Database!A:E,MATCH($A$1,Database!$A$1:$E$1,),)</f>
        <v/>
      </c>
      <c r="C691" s="9">
        <f>(B691-B690)/B690</f>
        <v/>
      </c>
      <c r="D691" s="7">
        <f>(Table534567910[[#This Row],[Value]]-B679)/B679</f>
        <v/>
      </c>
      <c r="E691" s="16" t="n">
        <v>0.02</v>
      </c>
      <c r="F691" s="15">
        <f>VLOOKUP(Table534567910[[#This Row],[Date]],Database!A:E,4)</f>
        <v/>
      </c>
    </row>
    <row r="692">
      <c r="A692" s="47" t="n">
        <v>42461</v>
      </c>
      <c r="B692" s="45">
        <f>VLOOKUP(Table534567910[[#This Row],[Date]],Database!A:E,MATCH($A$1,Database!$A$1:$E$1,),)</f>
        <v/>
      </c>
      <c r="C692" s="9">
        <f>(B692-B691)/B691</f>
        <v/>
      </c>
      <c r="D692" s="7">
        <f>(Table534567910[[#This Row],[Value]]-B680)/B680</f>
        <v/>
      </c>
      <c r="E692" s="16" t="n">
        <v>0.02</v>
      </c>
      <c r="F692" s="15">
        <f>VLOOKUP(Table534567910[[#This Row],[Date]],Database!A:E,4)</f>
        <v/>
      </c>
    </row>
    <row r="693">
      <c r="A693" s="47" t="n">
        <v>42491</v>
      </c>
      <c r="B693" s="45">
        <f>VLOOKUP(Table534567910[[#This Row],[Date]],Database!A:E,MATCH($A$1,Database!$A$1:$E$1,),)</f>
        <v/>
      </c>
      <c r="C693" s="9">
        <f>(B693-B692)/B692</f>
        <v/>
      </c>
      <c r="D693" s="7">
        <f>(Table534567910[[#This Row],[Value]]-B681)/B681</f>
        <v/>
      </c>
      <c r="E693" s="16" t="n">
        <v>0.02</v>
      </c>
      <c r="F693" s="15">
        <f>VLOOKUP(Table534567910[[#This Row],[Date]],Database!A:E,4)</f>
        <v/>
      </c>
    </row>
    <row r="694">
      <c r="A694" s="47" t="n">
        <v>42522</v>
      </c>
      <c r="B694" s="45">
        <f>VLOOKUP(Table534567910[[#This Row],[Date]],Database!A:E,MATCH($A$1,Database!$A$1:$E$1,),)</f>
        <v/>
      </c>
      <c r="C694" s="9">
        <f>(B694-B693)/B693</f>
        <v/>
      </c>
      <c r="D694" s="7">
        <f>(Table534567910[[#This Row],[Value]]-B682)/B682</f>
        <v/>
      </c>
      <c r="E694" s="16" t="n">
        <v>0.02</v>
      </c>
      <c r="F694" s="15">
        <f>VLOOKUP(Table534567910[[#This Row],[Date]],Database!A:E,4)</f>
        <v/>
      </c>
    </row>
    <row r="695">
      <c r="A695" s="47" t="n">
        <v>42552</v>
      </c>
      <c r="B695" s="45">
        <f>VLOOKUP(Table534567910[[#This Row],[Date]],Database!A:E,MATCH($A$1,Database!$A$1:$E$1,),)</f>
        <v/>
      </c>
      <c r="C695" s="9">
        <f>(B695-B694)/B694</f>
        <v/>
      </c>
      <c r="D695" s="7">
        <f>(Table534567910[[#This Row],[Value]]-B683)/B683</f>
        <v/>
      </c>
      <c r="E695" s="16" t="n">
        <v>0.02</v>
      </c>
      <c r="F695" s="15">
        <f>VLOOKUP(Table534567910[[#This Row],[Date]],Database!A:E,4)</f>
        <v/>
      </c>
    </row>
    <row r="696">
      <c r="A696" s="47" t="n">
        <v>42583</v>
      </c>
      <c r="B696" s="45">
        <f>VLOOKUP(Table534567910[[#This Row],[Date]],Database!A:E,MATCH($A$1,Database!$A$1:$E$1,),)</f>
        <v/>
      </c>
      <c r="C696" s="9">
        <f>(B696-B695)/B695</f>
        <v/>
      </c>
      <c r="D696" s="7">
        <f>(Table534567910[[#This Row],[Value]]-B684)/B684</f>
        <v/>
      </c>
      <c r="E696" s="16" t="n">
        <v>0.02</v>
      </c>
      <c r="F696" s="15">
        <f>VLOOKUP(Table534567910[[#This Row],[Date]],Database!A:E,4)</f>
        <v/>
      </c>
    </row>
    <row r="697">
      <c r="A697" s="47" t="n">
        <v>42614</v>
      </c>
      <c r="B697" s="45">
        <f>VLOOKUP(Table534567910[[#This Row],[Date]],Database!A:E,MATCH($A$1,Database!$A$1:$E$1,),)</f>
        <v/>
      </c>
      <c r="C697" s="9">
        <f>(B697-B696)/B696</f>
        <v/>
      </c>
      <c r="D697" s="7">
        <f>(Table534567910[[#This Row],[Value]]-B685)/B685</f>
        <v/>
      </c>
      <c r="E697" s="16" t="n">
        <v>0.02</v>
      </c>
      <c r="F697" s="15">
        <f>VLOOKUP(Table534567910[[#This Row],[Date]],Database!A:E,4)</f>
        <v/>
      </c>
    </row>
    <row r="698">
      <c r="A698" s="47" t="n">
        <v>42644</v>
      </c>
      <c r="B698" s="45">
        <f>VLOOKUP(Table534567910[[#This Row],[Date]],Database!A:E,MATCH($A$1,Database!$A$1:$E$1,),)</f>
        <v/>
      </c>
      <c r="C698" s="9">
        <f>(B698-B697)/B697</f>
        <v/>
      </c>
      <c r="D698" s="7">
        <f>(Table534567910[[#This Row],[Value]]-B686)/B686</f>
        <v/>
      </c>
      <c r="E698" s="16" t="n">
        <v>0.02</v>
      </c>
      <c r="F698" s="15">
        <f>VLOOKUP(Table534567910[[#This Row],[Date]],Database!A:E,4)</f>
        <v/>
      </c>
    </row>
    <row r="699">
      <c r="A699" s="47" t="n">
        <v>42675</v>
      </c>
      <c r="B699" s="45">
        <f>VLOOKUP(Table534567910[[#This Row],[Date]],Database!A:E,MATCH($A$1,Database!$A$1:$E$1,),)</f>
        <v/>
      </c>
      <c r="C699" s="9">
        <f>(B699-B698)/B698</f>
        <v/>
      </c>
      <c r="D699" s="7">
        <f>(Table534567910[[#This Row],[Value]]-B687)/B687</f>
        <v/>
      </c>
      <c r="E699" s="16" t="n">
        <v>0.02</v>
      </c>
      <c r="F699" s="15">
        <f>VLOOKUP(Table534567910[[#This Row],[Date]],Database!A:E,4)</f>
        <v/>
      </c>
    </row>
    <row r="700">
      <c r="A700" s="47" t="n">
        <v>42705</v>
      </c>
      <c r="B700" s="45">
        <f>VLOOKUP(Table534567910[[#This Row],[Date]],Database!A:E,MATCH($A$1,Database!$A$1:$E$1,),)</f>
        <v/>
      </c>
      <c r="C700" s="9">
        <f>(B700-B699)/B699</f>
        <v/>
      </c>
      <c r="D700" s="7">
        <f>(Table534567910[[#This Row],[Value]]-B688)/B688</f>
        <v/>
      </c>
      <c r="E700" s="16" t="n">
        <v>0.02</v>
      </c>
      <c r="F700" s="15">
        <f>VLOOKUP(Table534567910[[#This Row],[Date]],Database!A:E,4)</f>
        <v/>
      </c>
    </row>
    <row r="701">
      <c r="A701" s="47" t="n">
        <v>42736</v>
      </c>
      <c r="B701" s="45">
        <f>VLOOKUP(Table534567910[[#This Row],[Date]],Database!A:E,MATCH($A$1,Database!$A$1:$E$1,),)</f>
        <v/>
      </c>
      <c r="C701" s="9">
        <f>(B701-B700)/B700</f>
        <v/>
      </c>
      <c r="D701" s="7">
        <f>(Table534567910[[#This Row],[Value]]-B689)/B689</f>
        <v/>
      </c>
      <c r="E701" s="16" t="n">
        <v>0.02</v>
      </c>
      <c r="F701" s="15">
        <f>VLOOKUP(Table534567910[[#This Row],[Date]],Database!A:E,4)</f>
        <v/>
      </c>
    </row>
    <row r="702">
      <c r="A702" s="47" t="n">
        <v>42767</v>
      </c>
      <c r="B702" s="45">
        <f>VLOOKUP(Table534567910[[#This Row],[Date]],Database!A:E,MATCH($A$1,Database!$A$1:$E$1,),)</f>
        <v/>
      </c>
      <c r="C702" s="9">
        <f>(B702-B701)/B701</f>
        <v/>
      </c>
      <c r="D702" s="7">
        <f>(Table534567910[[#This Row],[Value]]-B690)/B690</f>
        <v/>
      </c>
      <c r="E702" s="16" t="n">
        <v>0.02</v>
      </c>
      <c r="F702" s="15">
        <f>VLOOKUP(Table534567910[[#This Row],[Date]],Database!A:E,4)</f>
        <v/>
      </c>
    </row>
    <row r="703">
      <c r="A703" s="47" t="n">
        <v>42795</v>
      </c>
      <c r="B703" s="45">
        <f>VLOOKUP(Table534567910[[#This Row],[Date]],Database!A:E,MATCH($A$1,Database!$A$1:$E$1,),)</f>
        <v/>
      </c>
      <c r="C703" s="9">
        <f>(B703-B702)/B702</f>
        <v/>
      </c>
      <c r="D703" s="7">
        <f>(Table534567910[[#This Row],[Value]]-B691)/B691</f>
        <v/>
      </c>
      <c r="E703" s="16" t="n">
        <v>0.02</v>
      </c>
      <c r="F703" s="15">
        <f>VLOOKUP(Table534567910[[#This Row],[Date]],Database!A:E,4)</f>
        <v/>
      </c>
    </row>
    <row r="704">
      <c r="A704" s="47" t="n">
        <v>42826</v>
      </c>
      <c r="B704" s="45">
        <f>VLOOKUP(Table534567910[[#This Row],[Date]],Database!A:E,MATCH($A$1,Database!$A$1:$E$1,),)</f>
        <v/>
      </c>
      <c r="C704" s="9">
        <f>(B704-B703)/B703</f>
        <v/>
      </c>
      <c r="D704" s="7">
        <f>(Table534567910[[#This Row],[Value]]-B692)/B692</f>
        <v/>
      </c>
      <c r="E704" s="16" t="n">
        <v>0.02</v>
      </c>
      <c r="F704" s="15">
        <f>VLOOKUP(Table534567910[[#This Row],[Date]],Database!A:E,4)</f>
        <v/>
      </c>
    </row>
    <row r="705">
      <c r="A705" s="47" t="n">
        <v>42856</v>
      </c>
      <c r="B705" s="45">
        <f>VLOOKUP(Table534567910[[#This Row],[Date]],Database!A:E,MATCH($A$1,Database!$A$1:$E$1,),)</f>
        <v/>
      </c>
      <c r="C705" s="9">
        <f>(B705-B704)/B704</f>
        <v/>
      </c>
      <c r="D705" s="7">
        <f>(Table534567910[[#This Row],[Value]]-B693)/B693</f>
        <v/>
      </c>
      <c r="E705" s="16" t="n">
        <v>0.02</v>
      </c>
      <c r="F705" s="15">
        <f>VLOOKUP(Table534567910[[#This Row],[Date]],Database!A:E,4)</f>
        <v/>
      </c>
    </row>
    <row r="706">
      <c r="A706" s="47" t="n">
        <v>42887</v>
      </c>
      <c r="B706" s="45">
        <f>VLOOKUP(Table534567910[[#This Row],[Date]],Database!A:E,MATCH($A$1,Database!$A$1:$E$1,),)</f>
        <v/>
      </c>
      <c r="C706" s="9">
        <f>(B706-B705)/B705</f>
        <v/>
      </c>
      <c r="D706" s="7">
        <f>(Table534567910[[#This Row],[Value]]-B694)/B694</f>
        <v/>
      </c>
      <c r="E706" s="16" t="n">
        <v>0.02</v>
      </c>
      <c r="F706" s="15">
        <f>VLOOKUP(Table534567910[[#This Row],[Date]],Database!A:E,4)</f>
        <v/>
      </c>
    </row>
    <row r="707">
      <c r="A707" s="47" t="n">
        <v>42917</v>
      </c>
      <c r="B707" s="45">
        <f>VLOOKUP(Table534567910[[#This Row],[Date]],Database!A:E,MATCH($A$1,Database!$A$1:$E$1,),)</f>
        <v/>
      </c>
      <c r="C707" s="9">
        <f>(B707-B706)/B706</f>
        <v/>
      </c>
      <c r="D707" s="7">
        <f>(Table534567910[[#This Row],[Value]]-B695)/B695</f>
        <v/>
      </c>
      <c r="E707" s="16" t="n">
        <v>0.02</v>
      </c>
      <c r="F707" s="15">
        <f>VLOOKUP(Table534567910[[#This Row],[Date]],Database!A:E,4)</f>
        <v/>
      </c>
    </row>
    <row r="708">
      <c r="A708" s="47" t="n">
        <v>42948</v>
      </c>
      <c r="B708" s="45">
        <f>VLOOKUP(Table534567910[[#This Row],[Date]],Database!A:E,MATCH($A$1,Database!$A$1:$E$1,),)</f>
        <v/>
      </c>
      <c r="C708" s="9">
        <f>(B708-B707)/B707</f>
        <v/>
      </c>
      <c r="D708" s="7">
        <f>(Table534567910[[#This Row],[Value]]-B696)/B696</f>
        <v/>
      </c>
      <c r="E708" s="16" t="n">
        <v>0.02</v>
      </c>
      <c r="F708" s="15">
        <f>VLOOKUP(Table534567910[[#This Row],[Date]],Database!A:E,4)</f>
        <v/>
      </c>
    </row>
    <row r="709">
      <c r="A709" s="47" t="n">
        <v>42979</v>
      </c>
      <c r="B709" s="45">
        <f>VLOOKUP(Table534567910[[#This Row],[Date]],Database!A:E,MATCH($A$1,Database!$A$1:$E$1,),)</f>
        <v/>
      </c>
      <c r="C709" s="9">
        <f>(B709-B708)/B708</f>
        <v/>
      </c>
      <c r="D709" s="7">
        <f>(Table534567910[[#This Row],[Value]]-B697)/B697</f>
        <v/>
      </c>
      <c r="E709" s="16" t="n">
        <v>0.02</v>
      </c>
      <c r="F709" s="15">
        <f>VLOOKUP(Table534567910[[#This Row],[Date]],Database!A:E,4)</f>
        <v/>
      </c>
    </row>
    <row r="710">
      <c r="A710" s="47" t="n">
        <v>43009</v>
      </c>
      <c r="B710" s="45">
        <f>VLOOKUP(Table534567910[[#This Row],[Date]],Database!A:E,MATCH($A$1,Database!$A$1:$E$1,),)</f>
        <v/>
      </c>
      <c r="C710" s="9">
        <f>(B710-B709)/B709</f>
        <v/>
      </c>
      <c r="D710" s="7">
        <f>(Table534567910[[#This Row],[Value]]-B698)/B698</f>
        <v/>
      </c>
      <c r="E710" s="16" t="n">
        <v>0.02</v>
      </c>
      <c r="F710" s="15">
        <f>VLOOKUP(Table534567910[[#This Row],[Date]],Database!A:E,4)</f>
        <v/>
      </c>
    </row>
    <row r="711">
      <c r="A711" s="47" t="n">
        <v>43040</v>
      </c>
      <c r="B711" s="45">
        <f>VLOOKUP(Table534567910[[#This Row],[Date]],Database!A:E,MATCH($A$1,Database!$A$1:$E$1,),)</f>
        <v/>
      </c>
      <c r="C711" s="9">
        <f>(B711-B710)/B710</f>
        <v/>
      </c>
      <c r="D711" s="7">
        <f>(Table534567910[[#This Row],[Value]]-B699)/B699</f>
        <v/>
      </c>
      <c r="E711" s="16" t="n">
        <v>0.02</v>
      </c>
      <c r="F711" s="15">
        <f>VLOOKUP(Table534567910[[#This Row],[Date]],Database!A:E,4)</f>
        <v/>
      </c>
    </row>
    <row r="712">
      <c r="A712" s="47" t="n">
        <v>43070</v>
      </c>
      <c r="B712" s="45">
        <f>VLOOKUP(Table534567910[[#This Row],[Date]],Database!A:E,MATCH($A$1,Database!$A$1:$E$1,),)</f>
        <v/>
      </c>
      <c r="C712" s="9">
        <f>(B712-B711)/B711</f>
        <v/>
      </c>
      <c r="D712" s="7">
        <f>(Table534567910[[#This Row],[Value]]-B700)/B700</f>
        <v/>
      </c>
      <c r="E712" s="16" t="n">
        <v>0.02</v>
      </c>
      <c r="F712" s="15">
        <f>VLOOKUP(Table534567910[[#This Row],[Date]],Database!A:E,4)</f>
        <v/>
      </c>
    </row>
    <row r="713">
      <c r="A713" s="47" t="n">
        <v>43101</v>
      </c>
      <c r="B713" s="45">
        <f>VLOOKUP(Table534567910[[#This Row],[Date]],Database!A:E,MATCH($A$1,Database!$A$1:$E$1,),)</f>
        <v/>
      </c>
      <c r="C713" s="9">
        <f>(B713-B712)/B712</f>
        <v/>
      </c>
      <c r="D713" s="7">
        <f>(Table534567910[[#This Row],[Value]]-B701)/B701</f>
        <v/>
      </c>
      <c r="E713" s="16" t="n">
        <v>0.02</v>
      </c>
      <c r="F713" s="15">
        <f>VLOOKUP(Table534567910[[#This Row],[Date]],Database!A:E,4)</f>
        <v/>
      </c>
    </row>
    <row r="714">
      <c r="A714" s="47" t="n">
        <v>43132</v>
      </c>
      <c r="B714" s="45">
        <f>VLOOKUP(Table534567910[[#This Row],[Date]],Database!A:E,MATCH($A$1,Database!$A$1:$E$1,),)</f>
        <v/>
      </c>
      <c r="C714" s="9">
        <f>(B714-B713)/B713</f>
        <v/>
      </c>
      <c r="D714" s="7">
        <f>(Table534567910[[#This Row],[Value]]-B702)/B702</f>
        <v/>
      </c>
      <c r="E714" s="16" t="n">
        <v>0.02</v>
      </c>
      <c r="F714" s="15">
        <f>VLOOKUP(Table534567910[[#This Row],[Date]],Database!A:E,4)</f>
        <v/>
      </c>
    </row>
    <row r="715">
      <c r="A715" s="47" t="n">
        <v>43160</v>
      </c>
      <c r="B715" s="45">
        <f>VLOOKUP(Table534567910[[#This Row],[Date]],Database!A:E,MATCH($A$1,Database!$A$1:$E$1,),)</f>
        <v/>
      </c>
      <c r="C715" s="9">
        <f>(B715-B714)/B714</f>
        <v/>
      </c>
      <c r="D715" s="7">
        <f>(Table534567910[[#This Row],[Value]]-B703)/B703</f>
        <v/>
      </c>
      <c r="E715" s="16" t="n">
        <v>0.02</v>
      </c>
      <c r="F715" s="15">
        <f>VLOOKUP(Table534567910[[#This Row],[Date]],Database!A:E,4)</f>
        <v/>
      </c>
    </row>
    <row r="716">
      <c r="A716" s="47" t="n">
        <v>43191</v>
      </c>
      <c r="B716" s="45">
        <f>VLOOKUP(Table534567910[[#This Row],[Date]],Database!A:E,MATCH($A$1,Database!$A$1:$E$1,),)</f>
        <v/>
      </c>
      <c r="C716" s="9">
        <f>(B716-B715)/B715</f>
        <v/>
      </c>
      <c r="D716" s="7">
        <f>(Table534567910[[#This Row],[Value]]-B704)/B704</f>
        <v/>
      </c>
      <c r="E716" s="16" t="n">
        <v>0.02</v>
      </c>
      <c r="F716" s="15">
        <f>VLOOKUP(Table534567910[[#This Row],[Date]],Database!A:E,4)</f>
        <v/>
      </c>
    </row>
    <row r="717">
      <c r="A717" s="47" t="n">
        <v>43221</v>
      </c>
      <c r="B717" s="45">
        <f>VLOOKUP(Table534567910[[#This Row],[Date]],Database!A:E,MATCH($A$1,Database!$A$1:$E$1,),)</f>
        <v/>
      </c>
      <c r="C717" s="9">
        <f>(B717-B716)/B716</f>
        <v/>
      </c>
      <c r="D717" s="7">
        <f>(Table534567910[[#This Row],[Value]]-B705)/B705</f>
        <v/>
      </c>
      <c r="E717" s="16" t="n">
        <v>0.02</v>
      </c>
      <c r="F717" s="15">
        <f>VLOOKUP(Table534567910[[#This Row],[Date]],Database!A:E,4)</f>
        <v/>
      </c>
    </row>
    <row r="718">
      <c r="A718" s="47" t="n">
        <v>43252</v>
      </c>
      <c r="B718" s="45">
        <f>VLOOKUP(Table534567910[[#This Row],[Date]],Database!A:E,MATCH($A$1,Database!$A$1:$E$1,),)</f>
        <v/>
      </c>
      <c r="C718" s="9">
        <f>(B718-B717)/B717</f>
        <v/>
      </c>
      <c r="D718" s="7">
        <f>(Table534567910[[#This Row],[Value]]-B706)/B706</f>
        <v/>
      </c>
      <c r="E718" s="16" t="n">
        <v>0.02</v>
      </c>
      <c r="F718" s="15">
        <f>VLOOKUP(Table534567910[[#This Row],[Date]],Database!A:E,4)</f>
        <v/>
      </c>
    </row>
    <row r="719">
      <c r="A719" s="47" t="n">
        <v>43282</v>
      </c>
      <c r="B719" s="45">
        <f>VLOOKUP(Table534567910[[#This Row],[Date]],Database!A:E,MATCH($A$1,Database!$A$1:$E$1,),)</f>
        <v/>
      </c>
      <c r="C719" s="9">
        <f>(B719-B718)/B718</f>
        <v/>
      </c>
      <c r="D719" s="7">
        <f>(Table534567910[[#This Row],[Value]]-B707)/B707</f>
        <v/>
      </c>
      <c r="E719" s="16" t="n">
        <v>0.02</v>
      </c>
      <c r="F719" s="15">
        <f>VLOOKUP(Table534567910[[#This Row],[Date]],Database!A:E,4)</f>
        <v/>
      </c>
    </row>
    <row r="720">
      <c r="A720" s="47" t="n">
        <v>43313</v>
      </c>
      <c r="B720" s="45">
        <f>VLOOKUP(Table534567910[[#This Row],[Date]],Database!A:E,MATCH($A$1,Database!$A$1:$E$1,),)</f>
        <v/>
      </c>
      <c r="C720" s="9">
        <f>(B720-B719)/B719</f>
        <v/>
      </c>
      <c r="D720" s="7">
        <f>(Table534567910[[#This Row],[Value]]-B708)/B708</f>
        <v/>
      </c>
      <c r="E720" s="16" t="n">
        <v>0.02</v>
      </c>
      <c r="F720" s="15">
        <f>VLOOKUP(Table534567910[[#This Row],[Date]],Database!A:E,4)</f>
        <v/>
      </c>
    </row>
    <row r="721">
      <c r="A721" s="47" t="n">
        <v>43344</v>
      </c>
      <c r="B721" s="45">
        <f>VLOOKUP(Table534567910[[#This Row],[Date]],Database!A:E,MATCH($A$1,Database!$A$1:$E$1,),)</f>
        <v/>
      </c>
      <c r="C721" s="9">
        <f>(B721-B720)/B720</f>
        <v/>
      </c>
      <c r="D721" s="7">
        <f>(Table534567910[[#This Row],[Value]]-B709)/B709</f>
        <v/>
      </c>
      <c r="E721" s="16" t="n">
        <v>0.02</v>
      </c>
      <c r="F721" s="15">
        <f>VLOOKUP(Table534567910[[#This Row],[Date]],Database!A:E,4)</f>
        <v/>
      </c>
    </row>
    <row r="722">
      <c r="A722" s="47" t="n">
        <v>43374</v>
      </c>
      <c r="B722" s="45">
        <f>VLOOKUP(Table534567910[[#This Row],[Date]],Database!A:E,MATCH($A$1,Database!$A$1:$E$1,),)</f>
        <v/>
      </c>
      <c r="C722" s="9">
        <f>(B722-B721)/B721</f>
        <v/>
      </c>
      <c r="D722" s="7">
        <f>(Table534567910[[#This Row],[Value]]-B710)/B710</f>
        <v/>
      </c>
      <c r="E722" s="16" t="n">
        <v>0.02</v>
      </c>
      <c r="F722" s="15">
        <f>VLOOKUP(Table534567910[[#This Row],[Date]],Database!A:E,4)</f>
        <v/>
      </c>
    </row>
    <row r="723">
      <c r="A723" s="47" t="n">
        <v>43405</v>
      </c>
      <c r="B723" s="45">
        <f>VLOOKUP(Table534567910[[#This Row],[Date]],Database!A:E,MATCH($A$1,Database!$A$1:$E$1,),)</f>
        <v/>
      </c>
      <c r="C723" s="9">
        <f>(B723-B722)/B722</f>
        <v/>
      </c>
      <c r="D723" s="7">
        <f>(Table534567910[[#This Row],[Value]]-B711)/B711</f>
        <v/>
      </c>
      <c r="E723" s="16" t="n">
        <v>0.02</v>
      </c>
      <c r="F723" s="15">
        <f>VLOOKUP(Table534567910[[#This Row],[Date]],Database!A:E,4)</f>
        <v/>
      </c>
    </row>
    <row r="724">
      <c r="A724" s="47" t="n">
        <v>43435</v>
      </c>
      <c r="B724" s="45">
        <f>VLOOKUP(Table534567910[[#This Row],[Date]],Database!A:E,MATCH($A$1,Database!$A$1:$E$1,),)</f>
        <v/>
      </c>
      <c r="C724" s="9">
        <f>(B724-B723)/B723</f>
        <v/>
      </c>
      <c r="D724" s="7">
        <f>(Table534567910[[#This Row],[Value]]-B712)/B712</f>
        <v/>
      </c>
      <c r="E724" s="16" t="n">
        <v>0.02</v>
      </c>
      <c r="F724" s="15">
        <f>VLOOKUP(Table534567910[[#This Row],[Date]],Database!A:E,4)</f>
        <v/>
      </c>
    </row>
    <row r="725">
      <c r="A725" s="47" t="n">
        <v>43466</v>
      </c>
      <c r="B725" s="45">
        <f>VLOOKUP(Table534567910[[#This Row],[Date]],Database!A:E,MATCH($A$1,Database!$A$1:$E$1,),)</f>
        <v/>
      </c>
      <c r="C725" s="9">
        <f>(B725-B724)/B724</f>
        <v/>
      </c>
      <c r="D725" s="7">
        <f>(Table534567910[[#This Row],[Value]]-B713)/B713</f>
        <v/>
      </c>
      <c r="E725" s="16" t="n">
        <v>0.02</v>
      </c>
      <c r="F725" s="15">
        <f>VLOOKUP(Table534567910[[#This Row],[Date]],Database!A:E,4)</f>
        <v/>
      </c>
    </row>
    <row r="726">
      <c r="A726" s="47" t="n">
        <v>43497</v>
      </c>
      <c r="B726" s="45">
        <f>VLOOKUP(Table534567910[[#This Row],[Date]],Database!A:E,MATCH($A$1,Database!$A$1:$E$1,),)</f>
        <v/>
      </c>
      <c r="C726" s="9">
        <f>(B726-B725)/B725</f>
        <v/>
      </c>
      <c r="D726" s="7">
        <f>(Table534567910[[#This Row],[Value]]-B714)/B714</f>
        <v/>
      </c>
      <c r="E726" s="16" t="n">
        <v>0.02</v>
      </c>
      <c r="F726" s="15">
        <f>VLOOKUP(Table534567910[[#This Row],[Date]],Database!A:E,4)</f>
        <v/>
      </c>
    </row>
    <row r="727">
      <c r="A727" s="47" t="n">
        <v>43525</v>
      </c>
      <c r="B727" s="45">
        <f>VLOOKUP(Table534567910[[#This Row],[Date]],Database!A:E,MATCH($A$1,Database!$A$1:$E$1,),)</f>
        <v/>
      </c>
      <c r="C727" s="9">
        <f>(B727-B726)/B726</f>
        <v/>
      </c>
      <c r="D727" s="7">
        <f>(Table534567910[[#This Row],[Value]]-B715)/B715</f>
        <v/>
      </c>
      <c r="E727" s="16" t="n">
        <v>0.02</v>
      </c>
      <c r="F727" s="15">
        <f>VLOOKUP(Table534567910[[#This Row],[Date]],Database!A:E,4)</f>
        <v/>
      </c>
    </row>
    <row r="728">
      <c r="A728" s="47" t="n">
        <v>43556</v>
      </c>
      <c r="B728" s="45">
        <f>VLOOKUP(Table534567910[[#This Row],[Date]],Database!A:E,MATCH($A$1,Database!$A$1:$E$1,),)</f>
        <v/>
      </c>
      <c r="C728" s="9">
        <f>(B728-B727)/B727</f>
        <v/>
      </c>
      <c r="D728" s="7">
        <f>(Table534567910[[#This Row],[Value]]-B716)/B716</f>
        <v/>
      </c>
      <c r="E728" s="16" t="n">
        <v>0.02</v>
      </c>
      <c r="F728" s="15">
        <f>VLOOKUP(Table534567910[[#This Row],[Date]],Database!A:E,4)</f>
        <v/>
      </c>
    </row>
    <row r="729">
      <c r="A729" s="47" t="n">
        <v>43586</v>
      </c>
      <c r="B729" s="45">
        <f>VLOOKUP(Table534567910[[#This Row],[Date]],Database!A:E,MATCH($A$1,Database!$A$1:$E$1,),)</f>
        <v/>
      </c>
      <c r="C729" s="9">
        <f>(B729-B728)/B728</f>
        <v/>
      </c>
      <c r="D729" s="7">
        <f>(Table534567910[[#This Row],[Value]]-B717)/B717</f>
        <v/>
      </c>
      <c r="E729" s="16" t="n">
        <v>0.02</v>
      </c>
      <c r="F729" s="15">
        <f>VLOOKUP(Table534567910[[#This Row],[Date]],Database!A:E,4)</f>
        <v/>
      </c>
    </row>
    <row r="730">
      <c r="A730" s="47" t="n">
        <v>43617</v>
      </c>
      <c r="B730" s="45">
        <f>VLOOKUP(Table534567910[[#This Row],[Date]],Database!A:E,MATCH($A$1,Database!$A$1:$E$1,),)</f>
        <v/>
      </c>
      <c r="C730" s="9">
        <f>(B730-B729)/B729</f>
        <v/>
      </c>
      <c r="D730" s="7">
        <f>(Table534567910[[#This Row],[Value]]-B718)/B718</f>
        <v/>
      </c>
      <c r="E730" s="16" t="n">
        <v>0.02</v>
      </c>
      <c r="F730" s="15">
        <f>VLOOKUP(Table534567910[[#This Row],[Date]],Database!A:E,4)</f>
        <v/>
      </c>
    </row>
    <row r="731">
      <c r="A731" s="47" t="n">
        <v>43647</v>
      </c>
      <c r="B731" s="45">
        <f>VLOOKUP(Table534567910[[#This Row],[Date]],Database!A:E,MATCH($A$1,Database!$A$1:$E$1,),)</f>
        <v/>
      </c>
      <c r="C731" s="9">
        <f>(B731-B730)/B730</f>
        <v/>
      </c>
      <c r="D731" s="7">
        <f>(Table534567910[[#This Row],[Value]]-B719)/B719</f>
        <v/>
      </c>
      <c r="E731" s="16" t="n">
        <v>0.02</v>
      </c>
      <c r="F731" s="15">
        <f>VLOOKUP(Table534567910[[#This Row],[Date]],Database!A:E,4)</f>
        <v/>
      </c>
    </row>
    <row r="732" customFormat="1" s="51">
      <c r="A732" s="47" t="n">
        <v>43678</v>
      </c>
      <c r="B732" s="45">
        <f>VLOOKUP(Table534567910[[#This Row],[Date]],Database!A:E,MATCH($A$1,Database!$A$1:$E$1,),)</f>
        <v/>
      </c>
      <c r="C732" s="9">
        <f>(B732-B731)/B731</f>
        <v/>
      </c>
      <c r="D732" s="7">
        <f>(Table534567910[[#This Row],[Value]]-B720)/B720</f>
        <v/>
      </c>
      <c r="E732" s="16" t="n">
        <v>0.02</v>
      </c>
      <c r="F732" s="15">
        <f>VLOOKUP(Table534567910[[#This Row],[Date]],Database!A:E,4)</f>
        <v/>
      </c>
    </row>
    <row r="733" customFormat="1" s="51">
      <c r="A733" s="47" t="n">
        <v>43709</v>
      </c>
      <c r="B733" s="45">
        <f>VLOOKUP(Table534567910[[#This Row],[Date]],Database!A:E,MATCH($A$1,Database!$A$1:$E$1,),)</f>
        <v/>
      </c>
      <c r="C733" s="9">
        <f>(B733-B732)/B732</f>
        <v/>
      </c>
      <c r="D733" s="7">
        <f>(Table534567910[[#This Row],[Value]]-B721)/B721</f>
        <v/>
      </c>
      <c r="E733" s="16" t="n">
        <v>0.02</v>
      </c>
      <c r="F733" s="15">
        <f>VLOOKUP(Table534567910[[#This Row],[Date]],Database!A:E,4)</f>
        <v/>
      </c>
    </row>
    <row r="734" customFormat="1" s="51">
      <c r="A734" s="47" t="n">
        <v>43739</v>
      </c>
      <c r="B734" s="45">
        <f>VLOOKUP(Table534567910[[#This Row],[Date]],Database!A:E,MATCH($A$1,Database!$A$1:$E$1,),)</f>
        <v/>
      </c>
      <c r="C734" s="9">
        <f>(B734-B733)/B733</f>
        <v/>
      </c>
      <c r="D734" s="7">
        <f>(Table534567910[[#This Row],[Value]]-B722)/B722</f>
        <v/>
      </c>
      <c r="E734" s="16" t="n">
        <v>0.02</v>
      </c>
      <c r="F734" s="15">
        <f>VLOOKUP(Table534567910[[#This Row],[Date]],Database!A:E,4)</f>
        <v/>
      </c>
    </row>
    <row r="735" customFormat="1" s="51">
      <c r="A735" s="47" t="n">
        <v>43770</v>
      </c>
      <c r="B735" s="45">
        <f>VLOOKUP(Table534567910[[#This Row],[Date]],Database!A:E,MATCH($A$1,Database!$A$1:$E$1,),)</f>
        <v/>
      </c>
      <c r="C735" s="9">
        <f>(B735-B734)/B734</f>
        <v/>
      </c>
      <c r="D735" s="7">
        <f>(Table534567910[[#This Row],[Value]]-B723)/B723</f>
        <v/>
      </c>
      <c r="E735" s="16" t="n">
        <v>0.02</v>
      </c>
      <c r="F735" s="15">
        <f>VLOOKUP(Table534567910[[#This Row],[Date]],Database!A:E,4)</f>
        <v/>
      </c>
    </row>
    <row r="736" customFormat="1" s="51">
      <c r="A736" s="47" t="n">
        <v>43800</v>
      </c>
      <c r="B736" s="45">
        <f>VLOOKUP(Table534567910[[#This Row],[Date]],Database!A:E,MATCH($A$1,Database!$A$1:$E$1,),)</f>
        <v/>
      </c>
      <c r="C736" s="9">
        <f>(B736-B735)/B735</f>
        <v/>
      </c>
      <c r="D736" s="7">
        <f>(Table534567910[[#This Row],[Value]]-B724)/B724</f>
        <v/>
      </c>
      <c r="E736" s="16" t="n">
        <v>0.02</v>
      </c>
      <c r="F736" s="15">
        <f>VLOOKUP(Table534567910[[#This Row],[Date]],Database!A:E,4)</f>
        <v/>
      </c>
    </row>
    <row r="737" customFormat="1" s="51">
      <c r="A737" s="47" t="n">
        <v>43831</v>
      </c>
      <c r="B737" s="45">
        <f>VLOOKUP(Table534567910[[#This Row],[Date]],Database!A:E,MATCH($A$1,Database!$A$1:$E$1,),)</f>
        <v/>
      </c>
      <c r="C737" s="9">
        <f>(B737-B736)/B736</f>
        <v/>
      </c>
      <c r="D737" s="7">
        <f>(Table534567910[[#This Row],[Value]]-B725)/B725</f>
        <v/>
      </c>
      <c r="E737" s="16" t="n">
        <v>0.02</v>
      </c>
      <c r="F737" s="15">
        <f>VLOOKUP(Table534567910[[#This Row],[Date]],Database!A:E,4)</f>
        <v/>
      </c>
    </row>
    <row r="738" customFormat="1" s="51">
      <c r="A738" s="47" t="n">
        <v>43862</v>
      </c>
      <c r="B738" s="45">
        <f>VLOOKUP(Table534567910[[#This Row],[Date]],Database!A:E,MATCH($A$1,Database!$A$1:$E$1,),)</f>
        <v/>
      </c>
      <c r="C738" s="9">
        <f>(B738-B737)/B737</f>
        <v/>
      </c>
      <c r="D738" s="7">
        <f>(Table534567910[[#This Row],[Value]]-B726)/B726</f>
        <v/>
      </c>
      <c r="E738" s="16" t="n">
        <v>0.02</v>
      </c>
      <c r="F738" s="15">
        <f>VLOOKUP(Table534567910[[#This Row],[Date]],Database!A:E,4)</f>
        <v/>
      </c>
    </row>
    <row r="739" customFormat="1" s="51">
      <c r="A739" s="47" t="n">
        <v>43891</v>
      </c>
      <c r="B739" s="45">
        <f>VLOOKUP(Table534567910[[#This Row],[Date]],Database!A:E,MATCH($A$1,Database!$A$1:$E$1,),)</f>
        <v/>
      </c>
      <c r="C739" s="9">
        <f>(B739-B738)/B738</f>
        <v/>
      </c>
      <c r="D739" s="7">
        <f>(Table534567910[[#This Row],[Value]]-B727)/B727</f>
        <v/>
      </c>
      <c r="E739" s="16" t="n">
        <v>0.02</v>
      </c>
      <c r="F739" s="15">
        <f>VLOOKUP(Table534567910[[#This Row],[Date]],Database!A:E,4)</f>
        <v/>
      </c>
    </row>
    <row r="740" customFormat="1" s="51">
      <c r="A740" s="47" t="n">
        <v>43922</v>
      </c>
      <c r="B740" s="45">
        <f>VLOOKUP(Table534567910[[#This Row],[Date]],Database!A:E,MATCH($A$1,Database!$A$1:$E$1,),)</f>
        <v/>
      </c>
      <c r="C740" s="9">
        <f>(B740-B739)/B739</f>
        <v/>
      </c>
      <c r="D740" s="7">
        <f>(Table534567910[[#This Row],[Value]]-B728)/B728</f>
        <v/>
      </c>
      <c r="E740" s="16" t="n">
        <v>0.02</v>
      </c>
      <c r="F740" s="15">
        <f>VLOOKUP(Table534567910[[#This Row],[Date]],Database!A:E,4)</f>
        <v/>
      </c>
    </row>
    <row r="741" customFormat="1" s="51">
      <c r="A741" s="47" t="n">
        <v>43952</v>
      </c>
      <c r="B741" s="45">
        <f>VLOOKUP(Table534567910[[#This Row],[Date]],Database!A:E,MATCH($A$1,Database!$A$1:$E$1,),)</f>
        <v/>
      </c>
      <c r="C741" s="9">
        <f>(B741-B740)/B740</f>
        <v/>
      </c>
      <c r="D741" s="7">
        <f>(Table534567910[[#This Row],[Value]]-B729)/B729</f>
        <v/>
      </c>
      <c r="E741" s="16" t="n">
        <v>0.02</v>
      </c>
      <c r="F741" s="15">
        <f>VLOOKUP(Table534567910[[#This Row],[Date]],Database!A:E,4)</f>
        <v/>
      </c>
    </row>
    <row r="742" customFormat="1" s="51">
      <c r="A742" s="47" t="n">
        <v>43983</v>
      </c>
      <c r="B742" s="45">
        <f>VLOOKUP(Table534567910[[#This Row],[Date]],Database!A:E,MATCH($A$1,Database!$A$1:$E$1,),)</f>
        <v/>
      </c>
      <c r="C742" s="9">
        <f>(B742-B741)/B741</f>
        <v/>
      </c>
      <c r="D742" s="7">
        <f>(Table534567910[[#This Row],[Value]]-B730)/B730</f>
        <v/>
      </c>
      <c r="E742" s="16" t="n">
        <v>0.02</v>
      </c>
      <c r="F742" s="15">
        <f>VLOOKUP(Table534567910[[#This Row],[Date]],Database!A:E,4)</f>
        <v/>
      </c>
    </row>
    <row r="743" customFormat="1" s="51">
      <c r="A743" s="47" t="n">
        <v>44013</v>
      </c>
      <c r="B743" s="45">
        <f>VLOOKUP(Table534567910[[#This Row],[Date]],Database!A:E,MATCH($A$1,Database!$A$1:$E$1,),)</f>
        <v/>
      </c>
      <c r="C743" s="9">
        <f>(B743-B742)/B742</f>
        <v/>
      </c>
      <c r="D743" s="7">
        <f>(Table534567910[[#This Row],[Value]]-B731)/B731</f>
        <v/>
      </c>
      <c r="E743" s="16" t="n">
        <v>0.02</v>
      </c>
      <c r="F743" s="15">
        <f>VLOOKUP(Table534567910[[#This Row],[Date]],Database!A:E,4)</f>
        <v/>
      </c>
    </row>
    <row r="744" customFormat="1" s="51">
      <c r="A744" s="47" t="n">
        <v>44044</v>
      </c>
      <c r="B744" s="45">
        <f>VLOOKUP(Table534567910[[#This Row],[Date]],Database!A:E,MATCH($A$1,Database!$A$1:$E$1,),)</f>
        <v/>
      </c>
      <c r="C744" s="9">
        <f>(B744-B743)/B743</f>
        <v/>
      </c>
      <c r="D744" s="7">
        <f>(Table534567910[[#This Row],[Value]]-B732)/B732</f>
        <v/>
      </c>
      <c r="E744" s="16" t="n">
        <v>0.02</v>
      </c>
      <c r="F744" s="15">
        <f>VLOOKUP(Table534567910[[#This Row],[Date]],Database!A:E,4)</f>
        <v/>
      </c>
    </row>
    <row r="745" customFormat="1" s="51">
      <c r="A745" s="47" t="n">
        <v>44075</v>
      </c>
      <c r="B745" s="45">
        <f>VLOOKUP(Table534567910[[#This Row],[Date]],Database!A:E,MATCH($A$1,Database!$A$1:$E$1,),)</f>
        <v/>
      </c>
      <c r="C745" s="9">
        <f>(B745-B744)/B744</f>
        <v/>
      </c>
      <c r="D745" s="7">
        <f>(Table534567910[[#This Row],[Value]]-B733)/B733</f>
        <v/>
      </c>
      <c r="E745" s="16" t="n">
        <v>0.02</v>
      </c>
      <c r="F745" s="15">
        <f>VLOOKUP(Table534567910[[#This Row],[Date]],Database!A:E,4)</f>
        <v/>
      </c>
    </row>
    <row r="746" customFormat="1" s="51">
      <c r="A746" s="47" t="n">
        <v>44105</v>
      </c>
      <c r="B746" s="45">
        <f>VLOOKUP(Table534567910[[#This Row],[Date]],Database!A:E,MATCH($A$1,Database!$A$1:$E$1,),)</f>
        <v/>
      </c>
      <c r="C746" s="9">
        <f>(B746-B745)/B745</f>
        <v/>
      </c>
      <c r="D746" s="7">
        <f>(Table534567910[[#This Row],[Value]]-B734)/B734</f>
        <v/>
      </c>
      <c r="E746" s="16" t="n">
        <v>0.02</v>
      </c>
      <c r="F746" s="15">
        <f>VLOOKUP(Table534567910[[#This Row],[Date]],Database!A:E,4)</f>
        <v/>
      </c>
    </row>
    <row r="747" customFormat="1" s="51">
      <c r="A747" s="47" t="n">
        <v>44136</v>
      </c>
      <c r="B747" s="45">
        <f>VLOOKUP(Table534567910[[#This Row],[Date]],Database!A:E,MATCH($A$1,Database!$A$1:$E$1,),)</f>
        <v/>
      </c>
      <c r="C747" s="9">
        <f>(B747-B746)/B746</f>
        <v/>
      </c>
      <c r="D747" s="7">
        <f>(Table534567910[[#This Row],[Value]]-B735)/B735</f>
        <v/>
      </c>
      <c r="E747" s="16" t="n">
        <v>0.02</v>
      </c>
      <c r="F747" s="15">
        <f>VLOOKUP(Table534567910[[#This Row],[Date]],Database!A:E,4)</f>
        <v/>
      </c>
    </row>
    <row r="748" customFormat="1" s="51">
      <c r="A748" s="47" t="n">
        <v>44166</v>
      </c>
      <c r="B748" s="45">
        <f>VLOOKUP(Table534567910[[#This Row],[Date]],Database!A:E,MATCH($A$1,Database!$A$1:$E$1,),)</f>
        <v/>
      </c>
      <c r="C748" s="9">
        <f>(B748-B747)/B747</f>
        <v/>
      </c>
      <c r="D748" s="7">
        <f>(Table534567910[[#This Row],[Value]]-B736)/B736</f>
        <v/>
      </c>
      <c r="E748" s="16" t="n">
        <v>0.02</v>
      </c>
      <c r="F748" s="15">
        <f>VLOOKUP(Table534567910[[#This Row],[Date]],Database!A:E,4)</f>
        <v/>
      </c>
    </row>
    <row r="749" customFormat="1" s="51">
      <c r="A749" s="47" t="n">
        <v>44197</v>
      </c>
      <c r="B749" s="45">
        <f>VLOOKUP(Table534567910[[#This Row],[Date]],Database!A:E,MATCH($A$1,Database!$A$1:$E$1,),)</f>
        <v/>
      </c>
      <c r="C749" s="9">
        <f>(B749-B748)/B748</f>
        <v/>
      </c>
      <c r="D749" s="7">
        <f>(Table534567910[[#This Row],[Value]]-B737)/B737</f>
        <v/>
      </c>
      <c r="E749" s="16" t="n">
        <v>0.02</v>
      </c>
      <c r="F749" s="15">
        <f>VLOOKUP(Table534567910[[#This Row],[Date]],Database!A:E,4)</f>
        <v/>
      </c>
    </row>
    <row r="750" customFormat="1" s="51">
      <c r="A750" s="47" t="n">
        <v>44228</v>
      </c>
      <c r="B750" s="45">
        <f>VLOOKUP(Table534567910[[#This Row],[Date]],Database!A:E,MATCH($A$1,Database!$A$1:$E$1,),)</f>
        <v/>
      </c>
      <c r="C750" s="9">
        <f>(B750-B749)/B749</f>
        <v/>
      </c>
      <c r="D750" s="7">
        <f>(Table534567910[[#This Row],[Value]]-B738)/B738</f>
        <v/>
      </c>
      <c r="E750" s="16" t="n">
        <v>0.02</v>
      </c>
      <c r="F750" s="15">
        <f>VLOOKUP(Table534567910[[#This Row],[Date]],Database!A:E,4)</f>
        <v/>
      </c>
    </row>
    <row r="751" customFormat="1" s="51">
      <c r="A751" s="47" t="n">
        <v>44256</v>
      </c>
      <c r="B751" s="45">
        <f>VLOOKUP(Table534567910[[#This Row],[Date]],Database!A:E,MATCH($A$1,Database!$A$1:$E$1,),)</f>
        <v/>
      </c>
      <c r="C751" s="9">
        <f>(B751-B750)/B750</f>
        <v/>
      </c>
      <c r="D751" s="7">
        <f>(Table534567910[[#This Row],[Value]]-B739)/B739</f>
        <v/>
      </c>
      <c r="E751" s="16" t="n">
        <v>0.02</v>
      </c>
      <c r="F751" s="15">
        <f>VLOOKUP(Table534567910[[#This Row],[Date]],Database!A:E,4)</f>
        <v/>
      </c>
    </row>
    <row r="752" customFormat="1" s="51">
      <c r="A752" s="47" t="n">
        <v>44287</v>
      </c>
      <c r="B752" s="45">
        <f>VLOOKUP(Table534567910[[#This Row],[Date]],Database!A:E,MATCH($A$1,Database!$A$1:$E$1,),)</f>
        <v/>
      </c>
      <c r="C752" s="9">
        <f>(B752-B751)/B751</f>
        <v/>
      </c>
      <c r="D752" s="7">
        <f>(Table534567910[[#This Row],[Value]]-B740)/B740</f>
        <v/>
      </c>
      <c r="E752" s="16" t="n">
        <v>0.02</v>
      </c>
      <c r="F752" s="15">
        <f>VLOOKUP(Table534567910[[#This Row],[Date]],Database!A:E,4)</f>
        <v/>
      </c>
    </row>
    <row r="753" customFormat="1" s="51">
      <c r="A753" s="47" t="n">
        <v>44317</v>
      </c>
      <c r="B753" s="45">
        <f>VLOOKUP(Table534567910[[#This Row],[Date]],Database!A:E,MATCH($A$1,Database!$A$1:$E$1,),)</f>
        <v/>
      </c>
      <c r="C753" s="9">
        <f>(B753-B752)/B752</f>
        <v/>
      </c>
      <c r="D753" s="7">
        <f>(Table534567910[[#This Row],[Value]]-B741)/B741</f>
        <v/>
      </c>
      <c r="E753" s="16" t="n">
        <v>0.02</v>
      </c>
      <c r="F753" s="15">
        <f>VLOOKUP(Table534567910[[#This Row],[Date]],Database!A:E,4)</f>
        <v/>
      </c>
    </row>
    <row r="754" customFormat="1" s="51">
      <c r="A754" s="47" t="n">
        <v>44348</v>
      </c>
      <c r="B754" s="45">
        <f>VLOOKUP(Table534567910[[#This Row],[Date]],Database!A:E,MATCH($A$1,Database!$A$1:$E$1,),)</f>
        <v/>
      </c>
      <c r="C754" s="9">
        <f>(B754-B753)/B753</f>
        <v/>
      </c>
      <c r="D754" s="7">
        <f>(Table534567910[[#This Row],[Value]]-B742)/B742</f>
        <v/>
      </c>
      <c r="E754" s="16" t="n">
        <v>0.02</v>
      </c>
      <c r="F754" s="15">
        <f>VLOOKUP(Table534567910[[#This Row],[Date]],Database!A:E,4)</f>
        <v/>
      </c>
    </row>
    <row r="755" customFormat="1" s="51">
      <c r="A755" s="47" t="n">
        <v>44378</v>
      </c>
      <c r="B755" s="45">
        <f>VLOOKUP(Table534567910[[#This Row],[Date]],Database!A:E,MATCH($A$1,Database!$A$1:$E$1,),)</f>
        <v/>
      </c>
      <c r="C755" s="9">
        <f>(B755-B754)/B754</f>
        <v/>
      </c>
      <c r="D755" s="7">
        <f>(Table534567910[[#This Row],[Value]]-B743)/B743</f>
        <v/>
      </c>
      <c r="E755" s="16" t="n">
        <v>0.02</v>
      </c>
      <c r="F755" s="15">
        <f>VLOOKUP(Table534567910[[#This Row],[Date]],Database!A:E,4)</f>
        <v/>
      </c>
    </row>
    <row r="756" customFormat="1" s="51">
      <c r="A756" s="47" t="n">
        <v>44409</v>
      </c>
      <c r="B756" s="45">
        <f>VLOOKUP(Table534567910[[#This Row],[Date]],Database!A:E,MATCH($A$1,Database!$A$1:$E$1,),)</f>
        <v/>
      </c>
      <c r="C756" s="9">
        <f>(B756-B755)/B755</f>
        <v/>
      </c>
      <c r="D756" s="7">
        <f>(Table534567910[[#This Row],[Value]]-B744)/B744</f>
        <v/>
      </c>
      <c r="E756" s="16" t="n">
        <v>0.02</v>
      </c>
      <c r="F756" s="15">
        <f>VLOOKUP(Table534567910[[#This Row],[Date]],Database!A:E,4)</f>
        <v/>
      </c>
    </row>
    <row r="757" customFormat="1" s="51">
      <c r="A757" s="47" t="n">
        <v>44440</v>
      </c>
      <c r="B757" s="45">
        <f>VLOOKUP(Table534567910[[#This Row],[Date]],Database!A:E,MATCH($A$1,Database!$A$1:$E$1,),)</f>
        <v/>
      </c>
      <c r="C757" s="9">
        <f>(B757-B756)/B756</f>
        <v/>
      </c>
      <c r="D757" s="7">
        <f>(Table534567910[[#This Row],[Value]]-B745)/B745</f>
        <v/>
      </c>
      <c r="E757" s="16" t="n">
        <v>0.02</v>
      </c>
      <c r="F757" s="15">
        <f>VLOOKUP(Table534567910[[#This Row],[Date]],Database!A:E,4)</f>
        <v/>
      </c>
    </row>
    <row r="758" customFormat="1" s="51">
      <c r="A758" s="47" t="n">
        <v>44470</v>
      </c>
      <c r="B758" s="45">
        <f>VLOOKUP(Table534567910[[#This Row],[Date]],Database!A:E,MATCH($A$1,Database!$A$1:$E$1,),)</f>
        <v/>
      </c>
      <c r="C758" s="9">
        <f>(B758-B757)/B757</f>
        <v/>
      </c>
      <c r="D758" s="7">
        <f>(Table534567910[[#This Row],[Value]]-B746)/B746</f>
        <v/>
      </c>
      <c r="E758" s="16" t="n">
        <v>0.02</v>
      </c>
      <c r="F758" s="15">
        <f>VLOOKUP(Table534567910[[#This Row],[Date]],Database!A:E,4)</f>
        <v/>
      </c>
    </row>
    <row r="759" customFormat="1" s="51">
      <c r="A759" s="47" t="n">
        <v>44501</v>
      </c>
      <c r="B759" s="45">
        <f>VLOOKUP(Table534567910[[#This Row],[Date]],Database!A:E,MATCH($A$1,Database!$A$1:$E$1,),)</f>
        <v/>
      </c>
      <c r="C759" s="9">
        <f>(B759-B758)/B758</f>
        <v/>
      </c>
      <c r="D759" s="7">
        <f>(Table534567910[[#This Row],[Value]]-B747)/B747</f>
        <v/>
      </c>
      <c r="E759" s="16" t="n">
        <v>0.02</v>
      </c>
      <c r="F759" s="15">
        <f>VLOOKUP(Table534567910[[#This Row],[Date]],Database!A:E,4)</f>
        <v/>
      </c>
    </row>
    <row r="760" customFormat="1" s="51">
      <c r="A760" s="47" t="n">
        <v>44531</v>
      </c>
      <c r="B760" s="45">
        <f>VLOOKUP(Table534567910[[#This Row],[Date]],Database!A:E,MATCH($A$1,Database!$A$1:$E$1,),)</f>
        <v/>
      </c>
      <c r="C760" s="9">
        <f>(B760-B759)/B759</f>
        <v/>
      </c>
      <c r="D760" s="7">
        <f>(Table534567910[[#This Row],[Value]]-B748)/B748</f>
        <v/>
      </c>
      <c r="E760" s="16" t="n">
        <v>0.02</v>
      </c>
      <c r="F760" s="15">
        <f>VLOOKUP(Table534567910[[#This Row],[Date]],Database!A:E,4)</f>
        <v/>
      </c>
    </row>
    <row r="761" customFormat="1" s="51">
      <c r="A761" s="6" t="n"/>
      <c r="B761" s="40" t="n"/>
      <c r="C761" s="4" t="n"/>
      <c r="D761" s="5" t="n"/>
      <c r="E761" s="12" t="n"/>
      <c r="F761" s="12" t="n"/>
    </row>
    <row r="762" customFormat="1" s="51">
      <c r="A762" s="6" t="n"/>
      <c r="B762" s="40" t="n"/>
      <c r="C762" s="4" t="n"/>
      <c r="D762" s="5" t="n"/>
      <c r="E762" s="12" t="n"/>
      <c r="F762" s="12" t="n"/>
    </row>
    <row r="763" customFormat="1" s="51">
      <c r="A763" s="6" t="n"/>
      <c r="B763" s="40" t="n"/>
      <c r="C763" s="4" t="n"/>
      <c r="D763" s="5" t="n"/>
      <c r="E763" s="12" t="n"/>
      <c r="F763" s="12" t="n"/>
    </row>
    <row r="764" customFormat="1" s="51">
      <c r="A764" s="6" t="n"/>
      <c r="B764" s="40" t="n"/>
      <c r="C764" s="4" t="n"/>
      <c r="D764" s="5" t="n"/>
      <c r="E764" s="12" t="n"/>
      <c r="F764" s="12" t="n"/>
    </row>
    <row r="765" customFormat="1" s="51">
      <c r="A765" s="6" t="n"/>
      <c r="B765" s="40" t="n"/>
      <c r="C765" s="4" t="n"/>
      <c r="D765" s="5" t="n"/>
      <c r="E765" s="12" t="n"/>
      <c r="F765" s="12" t="n"/>
    </row>
    <row r="766" customFormat="1" s="51">
      <c r="A766" s="6" t="n"/>
      <c r="B766" s="40" t="n"/>
      <c r="C766" s="4" t="n"/>
      <c r="D766" s="5" t="n"/>
      <c r="E766" s="12" t="n"/>
      <c r="F766" s="12" t="n"/>
    </row>
    <row r="767" customFormat="1" s="51">
      <c r="A767" s="6" t="n"/>
      <c r="B767" s="40" t="n"/>
      <c r="C767" s="4" t="n"/>
      <c r="D767" s="5" t="n"/>
      <c r="E767" s="12" t="n"/>
      <c r="F767" s="12" t="n"/>
    </row>
    <row r="768" customFormat="1" s="51">
      <c r="A768" s="6" t="n"/>
      <c r="B768" s="40" t="n"/>
      <c r="C768" s="4" t="n"/>
      <c r="D768" s="5" t="n"/>
      <c r="E768" s="12" t="n"/>
      <c r="F768" s="12" t="n"/>
    </row>
    <row r="769" customFormat="1" s="51">
      <c r="A769" s="6" t="n"/>
      <c r="B769" s="40" t="n"/>
      <c r="C769" s="4" t="n"/>
      <c r="D769" s="5" t="n"/>
      <c r="E769" s="12" t="n"/>
      <c r="F769" s="12" t="n"/>
    </row>
    <row r="770" customFormat="1" s="51">
      <c r="A770" s="6" t="n"/>
      <c r="B770" s="40" t="n"/>
      <c r="C770" s="4" t="n"/>
      <c r="D770" s="5" t="n"/>
      <c r="E770" s="12" t="n"/>
      <c r="F770" s="12" t="n"/>
    </row>
    <row r="771" customFormat="1" s="51">
      <c r="A771" s="6" t="n"/>
      <c r="B771" s="40" t="n"/>
      <c r="C771" s="4" t="n"/>
      <c r="D771" s="5" t="n"/>
      <c r="E771" s="12" t="n"/>
      <c r="F771" s="12" t="n"/>
    </row>
    <row r="772" customFormat="1" s="51">
      <c r="A772" s="6" t="n"/>
      <c r="B772" s="40" t="n"/>
      <c r="C772" s="4" t="n"/>
      <c r="D772" s="5" t="n"/>
      <c r="E772" s="12" t="n"/>
      <c r="F772" s="12" t="n"/>
    </row>
    <row r="773" customFormat="1" s="51">
      <c r="A773" s="6" t="n"/>
      <c r="B773" s="40" t="n"/>
      <c r="C773" s="4" t="n"/>
      <c r="D773" s="5" t="n"/>
      <c r="E773" s="12" t="n"/>
      <c r="F773" s="12" t="n"/>
    </row>
    <row r="774" customFormat="1" s="51">
      <c r="A774" s="6" t="n"/>
      <c r="B774" s="40" t="n"/>
      <c r="C774" s="4" t="n"/>
      <c r="D774" s="5" t="n"/>
      <c r="E774" s="12" t="n"/>
      <c r="F774" s="12" t="n"/>
    </row>
    <row r="775" customFormat="1" s="51">
      <c r="A775" s="6" t="n"/>
      <c r="B775" s="40" t="n"/>
      <c r="C775" s="4" t="n"/>
      <c r="D775" s="5" t="n"/>
      <c r="E775" s="12" t="n"/>
      <c r="F775" s="12" t="n"/>
    </row>
    <row r="776" customFormat="1" s="51">
      <c r="A776" s="6" t="n"/>
      <c r="B776" s="40" t="n"/>
      <c r="C776" s="4" t="n"/>
      <c r="D776" s="5" t="n"/>
      <c r="E776" s="12" t="n"/>
      <c r="F776" s="12" t="n"/>
    </row>
    <row r="777" customFormat="1" s="51">
      <c r="A777" s="6" t="n"/>
      <c r="B777" s="40" t="n"/>
      <c r="C777" s="4" t="n"/>
      <c r="D777" s="5" t="n"/>
      <c r="E777" s="12" t="n"/>
      <c r="F777" s="12" t="n"/>
    </row>
    <row r="778" customFormat="1" s="51">
      <c r="A778" s="6" t="n"/>
      <c r="B778" s="40" t="n"/>
      <c r="C778" s="4" t="n"/>
      <c r="D778" s="5" t="n"/>
      <c r="E778" s="12" t="n"/>
      <c r="F778" s="12" t="n"/>
    </row>
    <row r="779" customFormat="1" s="51">
      <c r="A779" s="6" t="n"/>
      <c r="B779" s="40" t="n"/>
      <c r="C779" s="4" t="n"/>
      <c r="D779" s="5" t="n"/>
      <c r="E779" s="12" t="n"/>
      <c r="F779" s="12" t="n"/>
    </row>
    <row r="780" customFormat="1" s="51">
      <c r="A780" s="6" t="n"/>
      <c r="B780" s="40" t="n"/>
      <c r="C780" s="4" t="n"/>
      <c r="D780" s="5" t="n"/>
      <c r="E780" s="12" t="n"/>
      <c r="F780" s="12" t="n"/>
    </row>
    <row r="781" customFormat="1" s="51">
      <c r="A781" s="6" t="n"/>
      <c r="B781" s="40" t="n"/>
      <c r="C781" s="4" t="n"/>
      <c r="D781" s="5" t="n"/>
      <c r="E781" s="12" t="n"/>
      <c r="F781" s="12" t="n"/>
    </row>
    <row r="782" customFormat="1" s="51">
      <c r="A782" s="6" t="n"/>
      <c r="B782" s="40" t="n"/>
      <c r="C782" s="4" t="n"/>
      <c r="D782" s="5" t="n"/>
      <c r="E782" s="12" t="n"/>
      <c r="F782" s="12" t="n"/>
    </row>
    <row r="783" customFormat="1" s="51">
      <c r="A783" s="6" t="n"/>
      <c r="B783" s="40" t="n"/>
      <c r="C783" s="4" t="n"/>
      <c r="D783" s="5" t="n"/>
      <c r="E783" s="12" t="n"/>
      <c r="F783" s="12" t="n"/>
    </row>
    <row r="784" customFormat="1" s="51">
      <c r="A784" s="6" t="n"/>
      <c r="B784" s="40" t="n"/>
      <c r="C784" s="4" t="n"/>
      <c r="D784" s="5" t="n"/>
      <c r="E784" s="12" t="n"/>
      <c r="F784" s="12" t="n"/>
    </row>
    <row r="785" customFormat="1" s="51">
      <c r="A785" s="6" t="n"/>
      <c r="B785" s="40" t="n"/>
      <c r="C785" s="4" t="n"/>
      <c r="D785" s="5" t="n"/>
      <c r="E785" s="12" t="n"/>
      <c r="F785" s="12" t="n"/>
    </row>
    <row r="786" customFormat="1" s="51">
      <c r="A786" s="6" t="n"/>
      <c r="B786" s="40" t="n"/>
      <c r="C786" s="4" t="n"/>
      <c r="D786" s="5" t="n"/>
      <c r="E786" s="12" t="n"/>
      <c r="F786" s="12" t="n"/>
    </row>
    <row r="787" customFormat="1" s="51">
      <c r="A787" s="6" t="n"/>
      <c r="B787" s="40" t="n"/>
      <c r="C787" s="4" t="n"/>
      <c r="D787" s="5" t="n"/>
      <c r="E787" s="12" t="n"/>
      <c r="F787" s="12" t="n"/>
    </row>
    <row r="788" customFormat="1" s="51">
      <c r="A788" s="6" t="n"/>
      <c r="B788" s="40" t="n"/>
      <c r="C788" s="4" t="n"/>
      <c r="D788" s="5" t="n"/>
      <c r="E788" s="12" t="n"/>
      <c r="F788" s="12" t="n"/>
    </row>
    <row r="789" customFormat="1" s="51">
      <c r="A789" s="6" t="n"/>
      <c r="B789" s="40" t="n"/>
      <c r="C789" s="4" t="n"/>
      <c r="D789" s="5" t="n"/>
      <c r="E789" s="12" t="n"/>
      <c r="F789" s="12" t="n"/>
    </row>
    <row r="790" customFormat="1" s="51">
      <c r="A790" s="6" t="n"/>
      <c r="B790" s="40" t="n"/>
      <c r="C790" s="4" t="n"/>
      <c r="D790" s="5" t="n"/>
      <c r="E790" s="12" t="n"/>
      <c r="F790" s="12" t="n"/>
    </row>
    <row r="791" customFormat="1" s="51">
      <c r="A791" s="6" t="n"/>
      <c r="B791" s="40" t="n"/>
      <c r="C791" s="4" t="n"/>
      <c r="D791" s="5" t="n"/>
      <c r="E791" s="12" t="n"/>
      <c r="F791" s="12" t="n"/>
    </row>
    <row r="792" customFormat="1" s="51">
      <c r="A792" s="6" t="n"/>
      <c r="B792" s="40" t="n"/>
      <c r="C792" s="4" t="n"/>
      <c r="D792" s="5" t="n"/>
      <c r="E792" s="12" t="n"/>
      <c r="F792" s="12" t="n"/>
    </row>
    <row r="793" customFormat="1" s="51">
      <c r="A793" s="6" t="n"/>
      <c r="B793" s="40" t="n"/>
      <c r="C793" s="4" t="n"/>
      <c r="D793" s="5" t="n"/>
      <c r="E793" s="12" t="n"/>
      <c r="F793" s="12" t="n"/>
    </row>
    <row r="794" customFormat="1" s="51">
      <c r="A794" s="6" t="n"/>
      <c r="B794" s="40" t="n"/>
      <c r="C794" s="4" t="n"/>
      <c r="D794" s="5" t="n"/>
      <c r="E794" s="12" t="n"/>
      <c r="F794" s="12" t="n"/>
    </row>
    <row r="795" customFormat="1" s="51">
      <c r="A795" s="6" t="n"/>
      <c r="B795" s="40" t="n"/>
      <c r="C795" s="4" t="n"/>
      <c r="D795" s="5" t="n"/>
      <c r="E795" s="12" t="n"/>
      <c r="F795" s="12" t="n"/>
    </row>
    <row r="796" customFormat="1" s="51">
      <c r="A796" s="6" t="n"/>
      <c r="B796" s="40" t="n"/>
      <c r="C796" s="4" t="n"/>
      <c r="D796" s="5" t="n"/>
      <c r="E796" s="12" t="n"/>
      <c r="F796" s="12" t="n"/>
    </row>
    <row r="797" customFormat="1" s="51">
      <c r="A797" s="6" t="n"/>
      <c r="B797" s="40" t="n"/>
      <c r="C797" s="4" t="n"/>
      <c r="D797" s="5" t="n"/>
      <c r="E797" s="12" t="n"/>
      <c r="F797" s="12" t="n"/>
    </row>
    <row r="798" customFormat="1" s="51">
      <c r="A798" s="6" t="n"/>
      <c r="B798" s="40" t="n"/>
      <c r="C798" s="4" t="n"/>
      <c r="D798" s="5" t="n"/>
      <c r="E798" s="12" t="n"/>
      <c r="F798" s="12" t="n"/>
    </row>
    <row r="799" customFormat="1" s="51">
      <c r="A799" s="6" t="n"/>
      <c r="B799" s="40" t="n"/>
      <c r="C799" s="4" t="n"/>
      <c r="D799" s="5" t="n"/>
      <c r="E799" s="12" t="n"/>
      <c r="F799" s="12" t="n"/>
    </row>
    <row r="800" customFormat="1" s="51">
      <c r="A800" s="6" t="n"/>
      <c r="B800" s="40" t="n"/>
      <c r="C800" s="4" t="n"/>
      <c r="D800" s="5" t="n"/>
      <c r="E800" s="12" t="n"/>
      <c r="F800" s="12" t="n"/>
    </row>
    <row r="801" customFormat="1" s="51">
      <c r="A801" s="6" t="n"/>
      <c r="B801" s="40" t="n"/>
      <c r="C801" s="4" t="n"/>
      <c r="D801" s="5" t="n"/>
      <c r="E801" s="12" t="n"/>
      <c r="F801" s="12" t="n"/>
    </row>
    <row r="802" customFormat="1" s="51">
      <c r="A802" s="6" t="n"/>
      <c r="B802" s="40" t="n"/>
      <c r="C802" s="4" t="n"/>
      <c r="D802" s="5" t="n"/>
      <c r="E802" s="12" t="n"/>
      <c r="F802" s="12" t="n"/>
    </row>
    <row r="803" customFormat="1" s="51">
      <c r="A803" s="6" t="n"/>
      <c r="B803" s="40" t="n"/>
      <c r="C803" s="4" t="n"/>
      <c r="D803" s="5" t="n"/>
      <c r="E803" s="12" t="n"/>
      <c r="F803" s="12" t="n"/>
    </row>
    <row r="804" customFormat="1" s="51">
      <c r="A804" s="6" t="n"/>
      <c r="B804" s="40" t="n"/>
      <c r="C804" s="4" t="n"/>
      <c r="D804" s="5" t="n"/>
      <c r="E804" s="12" t="n"/>
      <c r="F804" s="12" t="n"/>
    </row>
    <row r="805" customFormat="1" s="51">
      <c r="A805" s="6" t="n"/>
      <c r="B805" s="40" t="n"/>
      <c r="C805" s="4" t="n"/>
      <c r="D805" s="5" t="n"/>
      <c r="E805" s="12" t="n"/>
      <c r="F805" s="12" t="n"/>
    </row>
    <row r="806" customFormat="1" s="51">
      <c r="A806" s="6" t="n"/>
      <c r="B806" s="40" t="n"/>
      <c r="C806" s="4" t="n"/>
      <c r="D806" s="5" t="n"/>
      <c r="E806" s="12" t="n"/>
      <c r="F806" s="12" t="n"/>
    </row>
    <row r="807" customFormat="1" s="51">
      <c r="A807" s="6" t="n"/>
      <c r="B807" s="40" t="n"/>
      <c r="C807" s="4" t="n"/>
      <c r="D807" s="5" t="n"/>
      <c r="E807" s="12" t="n"/>
      <c r="F807" s="12" t="n"/>
    </row>
    <row r="808" customFormat="1" s="51">
      <c r="A808" s="6" t="n"/>
      <c r="B808" s="40" t="n"/>
      <c r="C808" s="4" t="n"/>
      <c r="D808" s="5" t="n"/>
      <c r="E808" s="12" t="n"/>
      <c r="F808" s="12" t="n"/>
    </row>
    <row r="809" customFormat="1" s="51">
      <c r="A809" s="6" t="n"/>
      <c r="B809" s="40" t="n"/>
      <c r="C809" s="4" t="n"/>
      <c r="D809" s="5" t="n"/>
      <c r="E809" s="12" t="n"/>
      <c r="F809" s="12" t="n"/>
    </row>
    <row r="810" customFormat="1" s="51">
      <c r="A810" s="6" t="n"/>
      <c r="B810" s="40" t="n"/>
      <c r="C810" s="4" t="n"/>
      <c r="D810" s="5" t="n"/>
      <c r="E810" s="12" t="n"/>
      <c r="F810" s="12" t="n"/>
    </row>
    <row r="811" customFormat="1" s="51">
      <c r="A811" s="6" t="n"/>
      <c r="B811" s="40" t="n"/>
      <c r="C811" s="4" t="n"/>
      <c r="D811" s="5" t="n"/>
      <c r="E811" s="12" t="n"/>
      <c r="F811" s="12" t="n"/>
    </row>
    <row r="812" customFormat="1" s="51">
      <c r="A812" s="6" t="n"/>
      <c r="B812" s="40" t="n"/>
      <c r="C812" s="4" t="n"/>
      <c r="D812" s="5" t="n"/>
      <c r="E812" s="12" t="n"/>
      <c r="F812" s="12" t="n"/>
    </row>
    <row r="813" customFormat="1" s="51">
      <c r="A813" s="6" t="n"/>
      <c r="B813" s="40" t="n"/>
      <c r="C813" s="4" t="n"/>
      <c r="D813" s="5" t="n"/>
      <c r="E813" s="12" t="n"/>
      <c r="F813" s="12" t="n"/>
    </row>
    <row r="814" customFormat="1" s="51">
      <c r="A814" s="6" t="n"/>
      <c r="B814" s="40" t="n"/>
      <c r="C814" s="4" t="n"/>
      <c r="D814" s="5" t="n"/>
      <c r="E814" s="12" t="n"/>
      <c r="F814" s="12" t="n"/>
    </row>
    <row r="815" customFormat="1" s="51">
      <c r="A815" s="6" t="n"/>
      <c r="B815" s="40" t="n"/>
      <c r="C815" s="4" t="n"/>
      <c r="D815" s="5" t="n"/>
      <c r="E815" s="12" t="n"/>
      <c r="F815" s="12" t="n"/>
    </row>
    <row r="816" customFormat="1" s="51">
      <c r="A816" s="6" t="n"/>
      <c r="B816" s="40" t="n"/>
      <c r="C816" s="4" t="n"/>
      <c r="D816" s="5" t="n"/>
      <c r="E816" s="12" t="n"/>
      <c r="F816" s="12" t="n"/>
    </row>
    <row r="817" customFormat="1" s="51">
      <c r="A817" s="6" t="n"/>
      <c r="B817" s="40" t="n"/>
      <c r="C817" s="4" t="n"/>
      <c r="D817" s="5" t="n"/>
      <c r="E817" s="12" t="n"/>
      <c r="F817" s="12" t="n"/>
    </row>
    <row r="818" customFormat="1" s="51">
      <c r="A818" s="6" t="n"/>
      <c r="B818" s="40" t="n"/>
      <c r="C818" s="4" t="n"/>
      <c r="D818" s="5" t="n"/>
      <c r="E818" s="12" t="n"/>
      <c r="F818" s="12" t="n"/>
    </row>
    <row r="819" customFormat="1" s="51">
      <c r="A819" s="6" t="n"/>
      <c r="B819" s="40" t="n"/>
      <c r="C819" s="4" t="n"/>
      <c r="D819" s="5" t="n"/>
      <c r="E819" s="12" t="n"/>
      <c r="F819" s="12" t="n"/>
    </row>
    <row r="820" customFormat="1" s="51">
      <c r="A820" s="6" t="n"/>
      <c r="B820" s="40" t="n"/>
      <c r="C820" s="4" t="n"/>
      <c r="D820" s="5" t="n"/>
      <c r="E820" s="12" t="n"/>
      <c r="F820" s="12" t="n"/>
    </row>
    <row r="821" customFormat="1" s="51">
      <c r="A821" s="6" t="n"/>
      <c r="B821" s="40" t="n"/>
      <c r="C821" s="4" t="n"/>
      <c r="D821" s="5" t="n"/>
      <c r="E821" s="12" t="n"/>
      <c r="F821" s="12" t="n"/>
    </row>
    <row r="822" customFormat="1" s="51">
      <c r="A822" s="6" t="n"/>
      <c r="B822" s="40" t="n"/>
      <c r="C822" s="4" t="n"/>
      <c r="D822" s="5" t="n"/>
      <c r="E822" s="12" t="n"/>
      <c r="F822" s="12" t="n"/>
    </row>
    <row r="823" customFormat="1" s="51">
      <c r="A823" s="6" t="n"/>
      <c r="B823" s="40" t="n"/>
      <c r="C823" s="4" t="n"/>
      <c r="D823" s="5" t="n"/>
      <c r="E823" s="12" t="n"/>
      <c r="F823" s="12" t="n"/>
    </row>
    <row r="824" customFormat="1" s="51">
      <c r="A824" s="6" t="n"/>
      <c r="B824" s="40" t="n"/>
      <c r="C824" s="4" t="n"/>
      <c r="D824" s="5" t="n"/>
      <c r="E824" s="12" t="n"/>
      <c r="F824" s="12" t="n"/>
    </row>
    <row r="825" customFormat="1" s="51">
      <c r="A825" s="6" t="n"/>
      <c r="B825" s="40" t="n"/>
      <c r="C825" s="4" t="n"/>
      <c r="D825" s="5" t="n"/>
      <c r="E825" s="12" t="n"/>
      <c r="F825" s="12" t="n"/>
    </row>
    <row r="826" customFormat="1" s="51">
      <c r="A826" s="6" t="n"/>
      <c r="B826" s="40" t="n"/>
      <c r="C826" s="4" t="n"/>
      <c r="D826" s="5" t="n"/>
      <c r="E826" s="12" t="n"/>
      <c r="F826" s="12" t="n"/>
    </row>
    <row r="827" customFormat="1" s="51">
      <c r="A827" s="6" t="n"/>
      <c r="B827" s="40" t="n"/>
      <c r="C827" s="4" t="n"/>
      <c r="D827" s="5" t="n"/>
      <c r="E827" s="12" t="n"/>
      <c r="F827" s="12" t="n"/>
    </row>
    <row r="828" customFormat="1" s="51">
      <c r="A828" s="6" t="n"/>
      <c r="B828" s="40" t="n"/>
      <c r="C828" s="4" t="n"/>
      <c r="D828" s="5" t="n"/>
      <c r="E828" s="12" t="n"/>
      <c r="F828" s="12" t="n"/>
    </row>
    <row r="829" customFormat="1" s="51">
      <c r="A829" s="6" t="n"/>
      <c r="B829" s="40" t="n"/>
      <c r="C829" s="4" t="n"/>
      <c r="D829" s="5" t="n"/>
      <c r="E829" s="12" t="n"/>
      <c r="F829" s="12" t="n"/>
    </row>
    <row r="830" customFormat="1" s="51">
      <c r="A830" s="6" t="n"/>
      <c r="B830" s="40" t="n"/>
      <c r="C830" s="4" t="n"/>
      <c r="D830" s="5" t="n"/>
      <c r="E830" s="12" t="n"/>
      <c r="F830" s="12" t="n"/>
    </row>
    <row r="831" customFormat="1" s="51">
      <c r="A831" s="6" t="n"/>
      <c r="B831" s="40" t="n"/>
      <c r="C831" s="4" t="n"/>
      <c r="D831" s="5" t="n"/>
      <c r="E831" s="12" t="n"/>
      <c r="F831" s="12" t="n"/>
    </row>
    <row r="832" customFormat="1" s="51">
      <c r="A832" s="6" t="n"/>
      <c r="B832" s="40" t="n"/>
      <c r="C832" s="4" t="n"/>
      <c r="D832" s="5" t="n"/>
      <c r="E832" s="12" t="n"/>
      <c r="F832" s="12" t="n"/>
    </row>
    <row r="833" customFormat="1" s="51">
      <c r="A833" s="6" t="n"/>
      <c r="B833" s="40" t="n"/>
      <c r="C833" s="4" t="n"/>
      <c r="D833" s="5" t="n"/>
      <c r="E833" s="12" t="n"/>
      <c r="F833" s="12" t="n"/>
    </row>
    <row r="834" customFormat="1" s="51">
      <c r="A834" s="6" t="n"/>
      <c r="B834" s="40" t="n"/>
      <c r="C834" s="4" t="n"/>
      <c r="D834" s="5" t="n"/>
      <c r="E834" s="12" t="n"/>
      <c r="F834" s="12" t="n"/>
    </row>
    <row r="835" customFormat="1" s="51">
      <c r="A835" s="6" t="n"/>
      <c r="B835" s="40" t="n"/>
      <c r="C835" s="4" t="n"/>
      <c r="D835" s="5" t="n"/>
      <c r="E835" s="12" t="n"/>
      <c r="F835" s="12" t="n"/>
    </row>
    <row r="836" customFormat="1" s="51">
      <c r="A836" s="6" t="n"/>
      <c r="B836" s="40" t="n"/>
      <c r="C836" s="4" t="n"/>
      <c r="D836" s="5" t="n"/>
      <c r="E836" s="12" t="n"/>
      <c r="F836" s="12" t="n"/>
    </row>
    <row r="837" customFormat="1" s="51">
      <c r="A837" s="6" t="n"/>
      <c r="B837" s="40" t="n"/>
      <c r="C837" s="4" t="n"/>
      <c r="D837" s="5" t="n"/>
      <c r="E837" s="12" t="n"/>
      <c r="F837" s="12" t="n"/>
    </row>
    <row r="838" customFormat="1" s="51">
      <c r="A838" s="6" t="n"/>
      <c r="B838" s="40" t="n"/>
      <c r="C838" s="4" t="n"/>
      <c r="D838" s="5" t="n"/>
      <c r="E838" s="12" t="n"/>
      <c r="F838" s="12" t="n"/>
    </row>
    <row r="839" customFormat="1" s="51">
      <c r="A839" s="6" t="n"/>
      <c r="B839" s="40" t="n"/>
      <c r="C839" s="4" t="n"/>
      <c r="D839" s="5" t="n"/>
      <c r="E839" s="12" t="n"/>
      <c r="F839" s="12" t="n"/>
    </row>
    <row r="840" customFormat="1" s="51">
      <c r="A840" s="6" t="n"/>
      <c r="B840" s="40" t="n"/>
      <c r="C840" s="4" t="n"/>
      <c r="D840" s="5" t="n"/>
      <c r="E840" s="12" t="n"/>
      <c r="F840" s="12" t="n"/>
    </row>
    <row r="841" customFormat="1" s="51">
      <c r="A841" s="6" t="n"/>
      <c r="B841" s="40" t="n"/>
      <c r="C841" s="4" t="n"/>
      <c r="D841" s="5" t="n"/>
      <c r="E841" s="12" t="n"/>
      <c r="F841" s="12" t="n"/>
    </row>
    <row r="842" customFormat="1" s="51">
      <c r="A842" s="6" t="n"/>
      <c r="B842" s="40" t="n"/>
      <c r="C842" s="4" t="n"/>
      <c r="D842" s="5" t="n"/>
      <c r="E842" s="12" t="n"/>
      <c r="F842" s="12" t="n"/>
    </row>
    <row r="843" customFormat="1" s="51">
      <c r="A843" s="6" t="n"/>
      <c r="B843" s="40" t="n"/>
      <c r="C843" s="4" t="n"/>
      <c r="D843" s="5" t="n"/>
      <c r="E843" s="12" t="n"/>
      <c r="F843" s="12" t="n"/>
    </row>
    <row r="844" customFormat="1" s="51">
      <c r="A844" s="6" t="n"/>
      <c r="B844" s="40" t="n"/>
      <c r="C844" s="4" t="n"/>
      <c r="D844" s="5" t="n"/>
      <c r="E844" s="12" t="n"/>
      <c r="F844" s="12" t="n"/>
    </row>
    <row r="845" customFormat="1" s="51">
      <c r="A845" s="6" t="n"/>
      <c r="B845" s="40" t="n"/>
      <c r="C845" s="4" t="n"/>
      <c r="D845" s="5" t="n"/>
      <c r="E845" s="12" t="n"/>
      <c r="F845" s="12" t="n"/>
    </row>
    <row r="846" customFormat="1" s="51">
      <c r="A846" s="6" t="n"/>
      <c r="B846" s="40" t="n"/>
      <c r="C846" s="4" t="n"/>
      <c r="D846" s="5" t="n"/>
      <c r="E846" s="12" t="n"/>
      <c r="F846" s="12" t="n"/>
    </row>
    <row r="847" customFormat="1" s="51">
      <c r="A847" s="6" t="n"/>
      <c r="B847" s="40" t="n"/>
      <c r="C847" s="4" t="n"/>
      <c r="D847" s="5" t="n"/>
      <c r="E847" s="12" t="n"/>
      <c r="F847" s="12" t="n"/>
    </row>
    <row r="848" customFormat="1" s="51">
      <c r="A848" s="6" t="n"/>
      <c r="B848" s="40" t="n"/>
      <c r="C848" s="4" t="n"/>
      <c r="D848" s="5" t="n"/>
      <c r="E848" s="12" t="n"/>
      <c r="F848" s="12" t="n"/>
    </row>
    <row r="849" customFormat="1" s="51">
      <c r="A849" s="6" t="n"/>
      <c r="B849" s="40" t="n"/>
      <c r="C849" s="4" t="n"/>
      <c r="D849" s="5" t="n"/>
      <c r="E849" s="12" t="n"/>
      <c r="F849" s="12" t="n"/>
    </row>
    <row r="850" customFormat="1" s="51">
      <c r="A850" s="6" t="n"/>
      <c r="B850" s="40" t="n"/>
      <c r="C850" s="4" t="n"/>
      <c r="D850" s="5" t="n"/>
      <c r="E850" s="12" t="n"/>
      <c r="F850" s="12" t="n"/>
    </row>
    <row r="851" customFormat="1" s="51">
      <c r="A851" s="6" t="n"/>
      <c r="B851" s="40" t="n"/>
      <c r="C851" s="4" t="n"/>
      <c r="D851" s="5" t="n"/>
      <c r="E851" s="12" t="n"/>
      <c r="F851" s="12" t="n"/>
    </row>
    <row r="852" customFormat="1" s="51">
      <c r="A852" s="6" t="n"/>
      <c r="B852" s="40" t="n"/>
      <c r="C852" s="4" t="n"/>
      <c r="D852" s="5" t="n"/>
      <c r="E852" s="12" t="n"/>
      <c r="F852" s="12" t="n"/>
    </row>
    <row r="853" customFormat="1" s="51">
      <c r="A853" s="6" t="n"/>
      <c r="B853" s="40" t="n"/>
      <c r="C853" s="4" t="n"/>
      <c r="D853" s="5" t="n"/>
      <c r="E853" s="12" t="n"/>
      <c r="F853" s="12" t="n"/>
    </row>
    <row r="854" customFormat="1" s="51">
      <c r="A854" s="6" t="n"/>
      <c r="B854" s="40" t="n"/>
      <c r="C854" s="4" t="n"/>
      <c r="D854" s="5" t="n"/>
      <c r="E854" s="12" t="n"/>
      <c r="F854" s="12" t="n"/>
    </row>
    <row r="855" customFormat="1" s="51">
      <c r="A855" s="6" t="n"/>
      <c r="B855" s="40" t="n"/>
      <c r="C855" s="4" t="n"/>
      <c r="D855" s="5" t="n"/>
      <c r="E855" s="12" t="n"/>
      <c r="F855" s="12" t="n"/>
    </row>
    <row r="856" customFormat="1" s="51">
      <c r="A856" s="6" t="n"/>
      <c r="B856" s="40" t="n"/>
      <c r="C856" s="4" t="n"/>
      <c r="D856" s="5" t="n"/>
      <c r="E856" s="12" t="n"/>
      <c r="F856" s="12" t="n"/>
    </row>
    <row r="857" customFormat="1" s="51">
      <c r="A857" s="6" t="n"/>
      <c r="B857" s="40" t="n"/>
      <c r="C857" s="4" t="n"/>
      <c r="D857" s="5" t="n"/>
      <c r="E857" s="12" t="n"/>
      <c r="F857" s="12" t="n"/>
    </row>
    <row r="858" customFormat="1" s="51">
      <c r="A858" s="6" t="n"/>
      <c r="B858" s="40" t="n"/>
      <c r="C858" s="4" t="n"/>
      <c r="D858" s="5" t="n"/>
      <c r="E858" s="12" t="n"/>
      <c r="F858" s="12" t="n"/>
    </row>
    <row r="859" customFormat="1" s="51">
      <c r="A859" s="6" t="n"/>
      <c r="B859" s="40" t="n"/>
      <c r="C859" s="4" t="n"/>
      <c r="D859" s="5" t="n"/>
      <c r="E859" s="12" t="n"/>
      <c r="F859" s="12" t="n"/>
    </row>
    <row r="860" customFormat="1" s="51">
      <c r="A860" s="6" t="n"/>
      <c r="B860" s="40" t="n"/>
      <c r="C860" s="4" t="n"/>
      <c r="D860" s="5" t="n"/>
      <c r="E860" s="12" t="n"/>
      <c r="F860" s="12" t="n"/>
    </row>
    <row r="861" customFormat="1" s="51">
      <c r="A861" s="6" t="n"/>
      <c r="B861" s="40" t="n"/>
      <c r="C861" s="4" t="n"/>
      <c r="D861" s="5" t="n"/>
      <c r="E861" s="12" t="n"/>
      <c r="F861" s="12" t="n"/>
    </row>
    <row r="862" customFormat="1" s="51">
      <c r="A862" s="6" t="n"/>
      <c r="B862" s="40" t="n"/>
      <c r="C862" s="4" t="n"/>
      <c r="D862" s="5" t="n"/>
      <c r="E862" s="12" t="n"/>
      <c r="F862" s="12" t="n"/>
    </row>
    <row r="863" customFormat="1" s="51">
      <c r="A863" s="6" t="n"/>
      <c r="B863" s="40" t="n"/>
      <c r="C863" s="4" t="n"/>
      <c r="D863" s="5" t="n"/>
      <c r="E863" s="12" t="n"/>
      <c r="F863" s="12" t="n"/>
    </row>
    <row r="864" customFormat="1" s="51">
      <c r="A864" s="6" t="n"/>
      <c r="B864" s="40" t="n"/>
      <c r="C864" s="4" t="n"/>
      <c r="D864" s="5" t="n"/>
      <c r="E864" s="12" t="n"/>
      <c r="F864" s="12" t="n"/>
    </row>
    <row r="865" customFormat="1" s="51">
      <c r="A865" s="6" t="n"/>
      <c r="B865" s="40" t="n"/>
      <c r="C865" s="4" t="n"/>
      <c r="D865" s="5" t="n"/>
      <c r="E865" s="12" t="n"/>
      <c r="F865" s="12" t="n"/>
    </row>
    <row r="866" customFormat="1" s="51">
      <c r="A866" s="6" t="n"/>
      <c r="B866" s="40" t="n"/>
      <c r="C866" s="4" t="n"/>
      <c r="D866" s="5" t="n"/>
      <c r="E866" s="12" t="n"/>
      <c r="F866" s="12" t="n"/>
    </row>
    <row r="867" customFormat="1" s="51">
      <c r="A867" s="6" t="n"/>
      <c r="B867" s="40" t="n"/>
      <c r="C867" s="4" t="n"/>
      <c r="D867" s="5" t="n"/>
      <c r="E867" s="12" t="n"/>
      <c r="F867" s="12" t="n"/>
    </row>
    <row r="868" customFormat="1" s="51">
      <c r="A868" s="6" t="n"/>
      <c r="B868" s="40" t="n"/>
      <c r="C868" s="4" t="n"/>
      <c r="D868" s="5" t="n"/>
      <c r="E868" s="12" t="n"/>
      <c r="F868" s="12" t="n"/>
    </row>
    <row r="869" customFormat="1" s="51">
      <c r="A869" s="6" t="n"/>
      <c r="B869" s="40" t="n"/>
      <c r="C869" s="4" t="n"/>
      <c r="D869" s="5" t="n"/>
      <c r="E869" s="12" t="n"/>
      <c r="F869" s="12" t="n"/>
    </row>
    <row r="870" customFormat="1" s="51">
      <c r="A870" s="6" t="n"/>
      <c r="B870" s="40" t="n"/>
      <c r="C870" s="4" t="n"/>
      <c r="D870" s="5" t="n"/>
      <c r="E870" s="12" t="n"/>
      <c r="F870" s="12" t="n"/>
    </row>
    <row r="871" customFormat="1" s="51">
      <c r="A871" s="6" t="n"/>
      <c r="B871" s="40" t="n"/>
      <c r="C871" s="4" t="n"/>
      <c r="D871" s="5" t="n"/>
      <c r="E871" s="12" t="n"/>
      <c r="F871" s="12" t="n"/>
    </row>
    <row r="872" customFormat="1" s="51">
      <c r="A872" s="6" t="n"/>
      <c r="B872" s="40" t="n"/>
      <c r="C872" s="4" t="n"/>
      <c r="D872" s="5" t="n"/>
      <c r="E872" s="12" t="n"/>
      <c r="F872" s="12" t="n"/>
    </row>
    <row r="873" customFormat="1" s="51">
      <c r="A873" s="6" t="n"/>
      <c r="B873" s="40" t="n"/>
      <c r="C873" s="4" t="n"/>
      <c r="D873" s="5" t="n"/>
      <c r="E873" s="12" t="n"/>
      <c r="F873" s="12" t="n"/>
    </row>
    <row r="874" customFormat="1" s="51">
      <c r="A874" s="6" t="n"/>
      <c r="B874" s="40" t="n"/>
      <c r="C874" s="4" t="n"/>
      <c r="D874" s="5" t="n"/>
      <c r="E874" s="12" t="n"/>
      <c r="F874" s="12" t="n"/>
    </row>
    <row r="875" customFormat="1" s="51">
      <c r="A875" s="6" t="n"/>
      <c r="B875" s="40" t="n"/>
      <c r="C875" s="4" t="n"/>
      <c r="D875" s="5" t="n"/>
      <c r="E875" s="12" t="n"/>
      <c r="F875" s="12" t="n"/>
    </row>
    <row r="876" customFormat="1" s="51">
      <c r="A876" s="6" t="n"/>
      <c r="B876" s="40" t="n"/>
      <c r="C876" s="4" t="n"/>
      <c r="D876" s="5" t="n"/>
      <c r="E876" s="12" t="n"/>
      <c r="F876" s="12" t="n"/>
    </row>
    <row r="877" customFormat="1" s="51">
      <c r="A877" s="6" t="n"/>
      <c r="B877" s="40" t="n"/>
      <c r="C877" s="4" t="n"/>
      <c r="D877" s="5" t="n"/>
      <c r="E877" s="12" t="n"/>
      <c r="F877" s="12" t="n"/>
    </row>
    <row r="878" customFormat="1" s="51">
      <c r="A878" s="6" t="n"/>
      <c r="B878" s="40" t="n"/>
      <c r="C878" s="4" t="n"/>
      <c r="D878" s="5" t="n"/>
      <c r="E878" s="12" t="n"/>
      <c r="F878" s="12" t="n"/>
    </row>
    <row r="879" customFormat="1" s="51">
      <c r="A879" s="6" t="n"/>
      <c r="B879" s="40" t="n"/>
      <c r="C879" s="4" t="n"/>
      <c r="D879" s="5" t="n"/>
      <c r="E879" s="12" t="n"/>
      <c r="F879" s="12" t="n"/>
    </row>
    <row r="880" customFormat="1" s="51">
      <c r="A880" s="6" t="n"/>
      <c r="B880" s="40" t="n"/>
      <c r="C880" s="4" t="n"/>
      <c r="D880" s="5" t="n"/>
      <c r="E880" s="12" t="n"/>
      <c r="F880" s="12" t="n"/>
    </row>
    <row r="881" customFormat="1" s="51">
      <c r="A881" s="6" t="n"/>
      <c r="B881" s="40" t="n"/>
      <c r="C881" s="4" t="n"/>
      <c r="D881" s="5" t="n"/>
      <c r="E881" s="12" t="n"/>
      <c r="F881" s="12" t="n"/>
    </row>
    <row r="882" customFormat="1" s="51">
      <c r="A882" s="6" t="n"/>
      <c r="B882" s="40" t="n"/>
      <c r="C882" s="4" t="n"/>
      <c r="D882" s="5" t="n"/>
      <c r="E882" s="12" t="n"/>
      <c r="F882" s="12" t="n"/>
    </row>
    <row r="883" customFormat="1" s="51">
      <c r="A883" s="6" t="n"/>
      <c r="B883" s="40" t="n"/>
      <c r="C883" s="4" t="n"/>
      <c r="D883" s="5" t="n"/>
      <c r="E883" s="12" t="n"/>
      <c r="F883" s="12" t="n"/>
    </row>
    <row r="884" customFormat="1" s="51">
      <c r="A884" s="6" t="n"/>
      <c r="B884" s="40" t="n"/>
      <c r="C884" s="4" t="n"/>
      <c r="D884" s="5" t="n"/>
      <c r="E884" s="12" t="n"/>
      <c r="F884" s="12" t="n"/>
    </row>
    <row r="885" customFormat="1" s="51">
      <c r="A885" s="6" t="n"/>
      <c r="B885" s="40" t="n"/>
      <c r="C885" s="4" t="n"/>
      <c r="D885" s="5" t="n"/>
      <c r="E885" s="12" t="n"/>
      <c r="F885" s="12" t="n"/>
    </row>
    <row r="886" customFormat="1" s="51">
      <c r="A886" s="6" t="n"/>
      <c r="B886" s="40" t="n"/>
      <c r="C886" s="4" t="n"/>
      <c r="D886" s="5" t="n"/>
      <c r="E886" s="12" t="n"/>
      <c r="F886" s="12" t="n"/>
    </row>
    <row r="887" customFormat="1" s="51">
      <c r="A887" s="6" t="n"/>
      <c r="B887" s="40" t="n"/>
      <c r="C887" s="4" t="n"/>
      <c r="D887" s="5" t="n"/>
      <c r="E887" s="12" t="n"/>
      <c r="F887" s="12" t="n"/>
    </row>
    <row r="888" customFormat="1" s="51">
      <c r="A888" s="6" t="n"/>
      <c r="B888" s="40" t="n"/>
      <c r="C888" s="4" t="n"/>
      <c r="D888" s="5" t="n"/>
      <c r="E888" s="12" t="n"/>
      <c r="F888" s="12" t="n"/>
    </row>
    <row r="889" customFormat="1" s="51">
      <c r="A889" s="6" t="n"/>
      <c r="B889" s="40" t="n"/>
      <c r="C889" s="4" t="n"/>
      <c r="D889" s="5" t="n"/>
      <c r="E889" s="12" t="n"/>
      <c r="F889" s="12" t="n"/>
    </row>
    <row r="890" customFormat="1" s="51">
      <c r="A890" s="6" t="n"/>
      <c r="B890" s="40" t="n"/>
      <c r="C890" s="4" t="n"/>
      <c r="D890" s="5" t="n"/>
      <c r="E890" s="12" t="n"/>
      <c r="F890" s="12" t="n"/>
    </row>
    <row r="891" customFormat="1" s="51">
      <c r="A891" s="6" t="n"/>
      <c r="B891" s="40" t="n"/>
      <c r="C891" s="4" t="n"/>
      <c r="D891" s="5" t="n"/>
      <c r="E891" s="12" t="n"/>
      <c r="F891" s="12" t="n"/>
    </row>
    <row r="892" customFormat="1" s="51">
      <c r="A892" s="6" t="n"/>
      <c r="B892" s="40" t="n"/>
      <c r="C892" s="4" t="n"/>
      <c r="D892" s="5" t="n"/>
      <c r="E892" s="12" t="n"/>
      <c r="F892" s="12" t="n"/>
    </row>
    <row r="893" customFormat="1" s="51">
      <c r="A893" s="6" t="n"/>
      <c r="B893" s="40" t="n"/>
      <c r="C893" s="4" t="n"/>
      <c r="D893" s="5" t="n"/>
      <c r="E893" s="12" t="n"/>
      <c r="F893" s="12" t="n"/>
    </row>
    <row r="894" customFormat="1" s="51">
      <c r="A894" s="6" t="n"/>
      <c r="B894" s="40" t="n"/>
      <c r="C894" s="4" t="n"/>
      <c r="D894" s="5" t="n"/>
      <c r="E894" s="12" t="n"/>
      <c r="F894" s="12" t="n"/>
    </row>
    <row r="895" customFormat="1" s="51">
      <c r="A895" s="6" t="n"/>
      <c r="B895" s="40" t="n"/>
      <c r="C895" s="4" t="n"/>
      <c r="D895" s="5" t="n"/>
      <c r="E895" s="12" t="n"/>
      <c r="F895" s="12" t="n"/>
    </row>
    <row r="896" customFormat="1" s="51">
      <c r="A896" s="6" t="n"/>
      <c r="B896" s="40" t="n"/>
      <c r="C896" s="4" t="n"/>
      <c r="D896" s="5" t="n"/>
      <c r="E896" s="12" t="n"/>
      <c r="F896" s="12" t="n"/>
    </row>
    <row r="897" customFormat="1" s="51">
      <c r="A897" s="6" t="n"/>
      <c r="B897" s="40" t="n"/>
      <c r="C897" s="4" t="n"/>
      <c r="D897" s="5" t="n"/>
      <c r="E897" s="12" t="n"/>
      <c r="F897" s="12" t="n"/>
    </row>
    <row r="898" customFormat="1" s="51">
      <c r="A898" s="6" t="n"/>
      <c r="B898" s="40" t="n"/>
      <c r="C898" s="4" t="n"/>
      <c r="D898" s="5" t="n"/>
      <c r="E898" s="12" t="n"/>
      <c r="F898" s="12" t="n"/>
    </row>
    <row r="899" customFormat="1" s="51">
      <c r="A899" s="6" t="n"/>
      <c r="B899" s="40" t="n"/>
      <c r="C899" s="4" t="n"/>
      <c r="D899" s="5" t="n"/>
      <c r="E899" s="12" t="n"/>
      <c r="F899" s="12" t="n"/>
    </row>
    <row r="900" customFormat="1" s="51">
      <c r="A900" s="6" t="n"/>
      <c r="B900" s="40" t="n"/>
      <c r="C900" s="4" t="n"/>
      <c r="D900" s="5" t="n"/>
      <c r="E900" s="12" t="n"/>
      <c r="F900" s="12" t="n"/>
    </row>
    <row r="901" customFormat="1" s="51">
      <c r="A901" s="6" t="n"/>
      <c r="B901" s="40" t="n"/>
      <c r="C901" s="4" t="n"/>
      <c r="D901" s="5" t="n"/>
      <c r="E901" s="12" t="n"/>
      <c r="F901" s="12" t="n"/>
    </row>
    <row r="902" customFormat="1" s="51">
      <c r="A902" s="6" t="n"/>
      <c r="B902" s="40" t="n"/>
      <c r="C902" s="4" t="n"/>
      <c r="D902" s="5" t="n"/>
      <c r="E902" s="12" t="n"/>
      <c r="F902" s="12" t="n"/>
    </row>
    <row r="903" customFormat="1" s="51">
      <c r="A903" s="6" t="n"/>
      <c r="B903" s="40" t="n"/>
      <c r="C903" s="4" t="n"/>
      <c r="D903" s="5" t="n"/>
      <c r="E903" s="12" t="n"/>
      <c r="F903" s="12" t="n"/>
    </row>
    <row r="904" customFormat="1" s="51">
      <c r="A904" s="6" t="n"/>
      <c r="B904" s="40" t="n"/>
      <c r="C904" s="4" t="n"/>
      <c r="D904" s="5" t="n"/>
      <c r="E904" s="12" t="n"/>
      <c r="F904" s="12" t="n"/>
    </row>
    <row r="905" customFormat="1" s="51">
      <c r="A905" s="6" t="n"/>
      <c r="B905" s="40" t="n"/>
      <c r="C905" s="4" t="n"/>
      <c r="D905" s="5" t="n"/>
      <c r="E905" s="12" t="n"/>
      <c r="F905" s="12" t="n"/>
    </row>
    <row r="906" customFormat="1" s="51">
      <c r="A906" s="6" t="n"/>
      <c r="B906" s="40" t="n"/>
      <c r="C906" s="4" t="n"/>
      <c r="D906" s="5" t="n"/>
      <c r="E906" s="12" t="n"/>
      <c r="F906" s="12" t="n"/>
    </row>
    <row r="907" customFormat="1" s="51">
      <c r="A907" s="6" t="n"/>
      <c r="B907" s="40" t="n"/>
      <c r="C907" s="4" t="n"/>
      <c r="D907" s="5" t="n"/>
      <c r="E907" s="12" t="n"/>
      <c r="F907" s="12" t="n"/>
    </row>
    <row r="908" customFormat="1" s="51">
      <c r="A908" s="6" t="n"/>
      <c r="B908" s="40" t="n"/>
      <c r="C908" s="4" t="n"/>
      <c r="D908" s="5" t="n"/>
      <c r="E908" s="12" t="n"/>
      <c r="F908" s="12" t="n"/>
    </row>
    <row r="909" customFormat="1" s="51">
      <c r="A909" s="6" t="n"/>
      <c r="B909" s="40" t="n"/>
      <c r="C909" s="4" t="n"/>
      <c r="D909" s="5" t="n"/>
      <c r="E909" s="12" t="n"/>
      <c r="F909" s="12" t="n"/>
    </row>
    <row r="910" customFormat="1" s="51">
      <c r="A910" s="6" t="n"/>
      <c r="B910" s="40" t="n"/>
      <c r="C910" s="4" t="n"/>
      <c r="D910" s="5" t="n"/>
      <c r="E910" s="12" t="n"/>
      <c r="F910" s="12" t="n"/>
    </row>
    <row r="911" customFormat="1" s="51">
      <c r="A911" s="6" t="n"/>
      <c r="B911" s="40" t="n"/>
      <c r="C911" s="4" t="n"/>
      <c r="D911" s="5" t="n"/>
      <c r="E911" s="12" t="n"/>
      <c r="F911" s="12" t="n"/>
    </row>
    <row r="912" customFormat="1" s="51">
      <c r="A912" s="6" t="n"/>
      <c r="B912" s="40" t="n"/>
      <c r="C912" s="4" t="n"/>
      <c r="D912" s="5" t="n"/>
      <c r="E912" s="12" t="n"/>
      <c r="F912" s="12" t="n"/>
    </row>
    <row r="913" customFormat="1" s="51">
      <c r="A913" s="6" t="n"/>
      <c r="B913" s="40" t="n"/>
      <c r="C913" s="4" t="n"/>
      <c r="D913" s="5" t="n"/>
      <c r="E913" s="12" t="n"/>
      <c r="F913" s="12" t="n"/>
    </row>
    <row r="914" customFormat="1" s="51">
      <c r="A914" s="6" t="n"/>
      <c r="B914" s="40" t="n"/>
      <c r="C914" s="4" t="n"/>
      <c r="D914" s="5" t="n"/>
      <c r="E914" s="12" t="n"/>
      <c r="F914" s="12" t="n"/>
    </row>
    <row r="915" customFormat="1" s="51">
      <c r="A915" s="6" t="n"/>
      <c r="B915" s="40" t="n"/>
      <c r="C915" s="4" t="n"/>
      <c r="D915" s="5" t="n"/>
      <c r="E915" s="12" t="n"/>
      <c r="F915" s="12" t="n"/>
    </row>
    <row r="916" customFormat="1" s="51">
      <c r="A916" s="6" t="n"/>
      <c r="B916" s="40" t="n"/>
      <c r="C916" s="4" t="n"/>
      <c r="D916" s="5" t="n"/>
      <c r="E916" s="12" t="n"/>
      <c r="F916" s="12" t="n"/>
    </row>
    <row r="917" customFormat="1" s="51">
      <c r="A917" s="6" t="n"/>
      <c r="B917" s="40" t="n"/>
      <c r="C917" s="4" t="n"/>
      <c r="D917" s="5" t="n"/>
      <c r="E917" s="12" t="n"/>
      <c r="F917" s="12" t="n"/>
    </row>
    <row r="918" customFormat="1" s="51">
      <c r="A918" s="6" t="n"/>
      <c r="B918" s="40" t="n"/>
      <c r="C918" s="4" t="n"/>
      <c r="D918" s="5" t="n"/>
      <c r="E918" s="12" t="n"/>
      <c r="F918" s="12" t="n"/>
    </row>
    <row r="919" customFormat="1" s="51">
      <c r="A919" s="6" t="n"/>
      <c r="B919" s="40" t="n"/>
      <c r="C919" s="4" t="n"/>
      <c r="D919" s="5" t="n"/>
      <c r="E919" s="12" t="n"/>
      <c r="F919" s="12" t="n"/>
    </row>
    <row r="920" customFormat="1" s="51">
      <c r="A920" s="6" t="n"/>
      <c r="B920" s="40" t="n"/>
      <c r="C920" s="4" t="n"/>
      <c r="D920" s="5" t="n"/>
      <c r="E920" s="12" t="n"/>
      <c r="F920" s="12" t="n"/>
    </row>
    <row r="921" customFormat="1" s="51">
      <c r="A921" s="6" t="n"/>
      <c r="B921" s="40" t="n"/>
      <c r="C921" s="4" t="n"/>
      <c r="D921" s="5" t="n"/>
      <c r="E921" s="12" t="n"/>
      <c r="F921" s="12" t="n"/>
    </row>
    <row r="922" customFormat="1" s="51">
      <c r="A922" s="6" t="n"/>
      <c r="B922" s="40" t="n"/>
      <c r="C922" s="4" t="n"/>
      <c r="D922" s="5" t="n"/>
      <c r="E922" s="12" t="n"/>
      <c r="F922" s="12" t="n"/>
    </row>
    <row r="923" customFormat="1" s="51">
      <c r="A923" s="6" t="n"/>
      <c r="B923" s="40" t="n"/>
      <c r="C923" s="4" t="n"/>
      <c r="D923" s="5" t="n"/>
      <c r="E923" s="12" t="n"/>
      <c r="F923" s="12" t="n"/>
    </row>
    <row r="924" customFormat="1" s="51">
      <c r="A924" s="6" t="n"/>
      <c r="B924" s="40" t="n"/>
      <c r="C924" s="4" t="n"/>
      <c r="D924" s="5" t="n"/>
      <c r="E924" s="12" t="n"/>
      <c r="F924" s="12" t="n"/>
    </row>
    <row r="925" customFormat="1" s="51">
      <c r="A925" s="6" t="n"/>
      <c r="B925" s="40" t="n"/>
      <c r="C925" s="4" t="n"/>
      <c r="D925" s="5" t="n"/>
      <c r="E925" s="12" t="n"/>
      <c r="F925" s="12" t="n"/>
    </row>
    <row r="926" customFormat="1" s="51">
      <c r="A926" s="6" t="n"/>
      <c r="B926" s="40" t="n"/>
      <c r="C926" s="4" t="n"/>
      <c r="D926" s="5" t="n"/>
      <c r="E926" s="12" t="n"/>
      <c r="F926" s="12" t="n"/>
    </row>
    <row r="927" customFormat="1" s="51">
      <c r="A927" s="6" t="n"/>
      <c r="B927" s="40" t="n"/>
      <c r="C927" s="4" t="n"/>
      <c r="D927" s="5" t="n"/>
      <c r="E927" s="12" t="n"/>
      <c r="F927" s="12" t="n"/>
    </row>
    <row r="928" customFormat="1" s="51">
      <c r="A928" s="6" t="n"/>
      <c r="B928" s="40" t="n"/>
      <c r="C928" s="4" t="n"/>
      <c r="D928" s="5" t="n"/>
      <c r="E928" s="12" t="n"/>
      <c r="F928" s="12" t="n"/>
    </row>
    <row r="929" customFormat="1" s="51">
      <c r="A929" s="6" t="n"/>
      <c r="B929" s="40" t="n"/>
      <c r="C929" s="4" t="n"/>
      <c r="D929" s="5" t="n"/>
      <c r="E929" s="12" t="n"/>
      <c r="F929" s="12" t="n"/>
    </row>
    <row r="930" customFormat="1" s="51">
      <c r="A930" s="6" t="n"/>
      <c r="B930" s="40" t="n"/>
      <c r="C930" s="4" t="n"/>
      <c r="D930" s="5" t="n"/>
      <c r="E930" s="12" t="n"/>
      <c r="F930" s="12" t="n"/>
    </row>
    <row r="931" customFormat="1" s="51">
      <c r="A931" s="6" t="n"/>
      <c r="B931" s="40" t="n"/>
      <c r="C931" s="4" t="n"/>
      <c r="D931" s="5" t="n"/>
      <c r="E931" s="12" t="n"/>
      <c r="F931" s="12" t="n"/>
    </row>
    <row r="932" customFormat="1" s="51">
      <c r="A932" s="6" t="n"/>
      <c r="B932" s="40" t="n"/>
      <c r="C932" s="4" t="n"/>
      <c r="D932" s="5" t="n"/>
      <c r="E932" s="12" t="n"/>
      <c r="F932" s="12" t="n"/>
    </row>
    <row r="933" customFormat="1" s="51">
      <c r="A933" s="6" t="n"/>
      <c r="B933" s="40" t="n"/>
      <c r="C933" s="4" t="n"/>
      <c r="D933" s="5" t="n"/>
      <c r="E933" s="12" t="n"/>
      <c r="F933" s="12" t="n"/>
    </row>
    <row r="934" customFormat="1" s="51">
      <c r="A934" s="6" t="n"/>
      <c r="B934" s="40" t="n"/>
      <c r="C934" s="4" t="n"/>
      <c r="D934" s="5" t="n"/>
      <c r="E934" s="12" t="n"/>
      <c r="F934" s="12" t="n"/>
    </row>
    <row r="935" customFormat="1" s="51">
      <c r="A935" s="6" t="n"/>
      <c r="B935" s="40" t="n"/>
      <c r="C935" s="4" t="n"/>
      <c r="D935" s="5" t="n"/>
      <c r="E935" s="12" t="n"/>
      <c r="F935" s="12" t="n"/>
    </row>
    <row r="936" customFormat="1" s="51">
      <c r="A936" s="6" t="n"/>
      <c r="B936" s="40" t="n"/>
      <c r="C936" s="4" t="n"/>
      <c r="D936" s="5" t="n"/>
      <c r="E936" s="12" t="n"/>
      <c r="F936" s="12" t="n"/>
    </row>
    <row r="937" customFormat="1" s="51">
      <c r="A937" s="6" t="n"/>
      <c r="B937" s="40" t="n"/>
      <c r="C937" s="4" t="n"/>
      <c r="D937" s="5" t="n"/>
      <c r="E937" s="12" t="n"/>
      <c r="F937" s="12" t="n"/>
    </row>
    <row r="938" customFormat="1" s="51">
      <c r="A938" s="6" t="n"/>
      <c r="B938" s="40" t="n"/>
      <c r="C938" s="4" t="n"/>
      <c r="D938" s="5" t="n"/>
      <c r="E938" s="12" t="n"/>
      <c r="F938" s="12" t="n"/>
    </row>
    <row r="939" customFormat="1" s="51">
      <c r="A939" s="6" t="n"/>
      <c r="B939" s="40" t="n"/>
      <c r="C939" s="4" t="n"/>
      <c r="D939" s="5" t="n"/>
      <c r="E939" s="12" t="n"/>
      <c r="F939" s="12" t="n"/>
    </row>
    <row r="940" customFormat="1" s="51">
      <c r="A940" s="6" t="n"/>
      <c r="B940" s="40" t="n"/>
      <c r="C940" s="4" t="n"/>
      <c r="D940" s="5" t="n"/>
      <c r="E940" s="12" t="n"/>
      <c r="F940" s="12" t="n"/>
    </row>
    <row r="941" customFormat="1" s="51">
      <c r="A941" s="6" t="n"/>
      <c r="B941" s="40" t="n"/>
      <c r="C941" s="4" t="n"/>
      <c r="D941" s="5" t="n"/>
      <c r="E941" s="12" t="n"/>
      <c r="F941" s="12" t="n"/>
    </row>
    <row r="942" customFormat="1" s="51">
      <c r="A942" s="6" t="n"/>
      <c r="B942" s="40" t="n"/>
      <c r="C942" s="4" t="n"/>
      <c r="D942" s="5" t="n"/>
      <c r="E942" s="12" t="n"/>
      <c r="F942" s="12" t="n"/>
    </row>
    <row r="943" customFormat="1" s="51">
      <c r="A943" s="6" t="n"/>
      <c r="B943" s="40" t="n"/>
      <c r="C943" s="4" t="n"/>
      <c r="D943" s="5" t="n"/>
      <c r="E943" s="12" t="n"/>
      <c r="F943" s="12" t="n"/>
    </row>
    <row r="944" customFormat="1" s="51">
      <c r="A944" s="6" t="n"/>
      <c r="B944" s="40" t="n"/>
      <c r="C944" s="4" t="n"/>
      <c r="D944" s="5" t="n"/>
      <c r="E944" s="12" t="n"/>
      <c r="F944" s="12" t="n"/>
    </row>
    <row r="945" customFormat="1" s="51">
      <c r="A945" s="6" t="n"/>
      <c r="B945" s="40" t="n"/>
      <c r="C945" s="4" t="n"/>
      <c r="D945" s="5" t="n"/>
      <c r="E945" s="12" t="n"/>
      <c r="F945" s="12" t="n"/>
    </row>
    <row r="946" customFormat="1" s="51">
      <c r="A946" s="6" t="n"/>
      <c r="B946" s="40" t="n"/>
      <c r="C946" s="4" t="n"/>
      <c r="D946" s="5" t="n"/>
      <c r="E946" s="12" t="n"/>
      <c r="F946" s="12" t="n"/>
    </row>
    <row r="947" customFormat="1" s="51">
      <c r="A947" s="6" t="n"/>
      <c r="B947" s="40" t="n"/>
      <c r="C947" s="4" t="n"/>
      <c r="D947" s="5" t="n"/>
      <c r="E947" s="12" t="n"/>
      <c r="F947" s="12" t="n"/>
    </row>
    <row r="948" customFormat="1" s="51">
      <c r="A948" s="6" t="n"/>
      <c r="B948" s="40" t="n"/>
      <c r="C948" s="4" t="n"/>
      <c r="D948" s="5" t="n"/>
      <c r="E948" s="12" t="n"/>
      <c r="F948" s="12" t="n"/>
    </row>
    <row r="949" customFormat="1" s="51">
      <c r="A949" s="6" t="n"/>
      <c r="B949" s="40" t="n"/>
      <c r="C949" s="4" t="n"/>
      <c r="D949" s="5" t="n"/>
      <c r="E949" s="12" t="n"/>
      <c r="F949" s="12" t="n"/>
    </row>
    <row r="950" customFormat="1" s="51">
      <c r="A950" s="6" t="n"/>
      <c r="B950" s="40" t="n"/>
      <c r="C950" s="4" t="n"/>
      <c r="D950" s="5" t="n"/>
      <c r="E950" s="12" t="n"/>
      <c r="F950" s="12" t="n"/>
    </row>
    <row r="951" customFormat="1" s="51">
      <c r="A951" s="6" t="n"/>
      <c r="B951" s="40" t="n"/>
      <c r="C951" s="4" t="n"/>
      <c r="D951" s="5" t="n"/>
      <c r="E951" s="12" t="n"/>
      <c r="F951" s="12" t="n"/>
    </row>
    <row r="952" customFormat="1" s="51">
      <c r="A952" s="6" t="n"/>
      <c r="B952" s="40" t="n"/>
      <c r="C952" s="4" t="n"/>
      <c r="D952" s="5" t="n"/>
      <c r="E952" s="12" t="n"/>
      <c r="F952" s="12" t="n"/>
    </row>
    <row r="953" customFormat="1" s="51">
      <c r="A953" s="6" t="n"/>
      <c r="B953" s="40" t="n"/>
      <c r="C953" s="4" t="n"/>
      <c r="D953" s="5" t="n"/>
      <c r="E953" s="12" t="n"/>
      <c r="F953" s="12" t="n"/>
    </row>
    <row r="954" customFormat="1" s="51">
      <c r="A954" s="6" t="n"/>
      <c r="B954" s="40" t="n"/>
      <c r="C954" s="4" t="n"/>
      <c r="D954" s="5" t="n"/>
      <c r="E954" s="12" t="n"/>
      <c r="F954" s="12" t="n"/>
    </row>
    <row r="955" customFormat="1" s="51">
      <c r="A955" s="6" t="n"/>
      <c r="B955" s="40" t="n"/>
      <c r="C955" s="4" t="n"/>
      <c r="D955" s="5" t="n"/>
      <c r="E955" s="12" t="n"/>
      <c r="F955" s="12" t="n"/>
    </row>
    <row r="956" customFormat="1" s="51">
      <c r="A956" s="6" t="n"/>
      <c r="B956" s="40" t="n"/>
      <c r="C956" s="4" t="n"/>
      <c r="D956" s="5" t="n"/>
      <c r="E956" s="12" t="n"/>
      <c r="F956" s="12" t="n"/>
    </row>
    <row r="957" customFormat="1" s="51">
      <c r="A957" s="6" t="n"/>
      <c r="B957" s="40" t="n"/>
      <c r="C957" s="4" t="n"/>
      <c r="D957" s="5" t="n"/>
      <c r="E957" s="12" t="n"/>
      <c r="F957" s="12" t="n"/>
    </row>
    <row r="958" customFormat="1" s="51">
      <c r="A958" s="6" t="n"/>
      <c r="B958" s="40" t="n"/>
      <c r="C958" s="4" t="n"/>
      <c r="D958" s="5" t="n"/>
      <c r="E958" s="12" t="n"/>
      <c r="F958" s="12" t="n"/>
    </row>
    <row r="959" customFormat="1" s="51">
      <c r="A959" s="6" t="n"/>
      <c r="B959" s="40" t="n"/>
      <c r="C959" s="4" t="n"/>
      <c r="D959" s="5" t="n"/>
      <c r="E959" s="12" t="n"/>
      <c r="F959" s="12" t="n"/>
    </row>
    <row r="960" customFormat="1" s="51">
      <c r="A960" s="6" t="n"/>
      <c r="B960" s="40" t="n"/>
      <c r="C960" s="4" t="n"/>
      <c r="D960" s="5" t="n"/>
      <c r="E960" s="12" t="n"/>
      <c r="F960" s="12" t="n"/>
    </row>
    <row r="961" customFormat="1" s="51">
      <c r="A961" s="6" t="n"/>
      <c r="B961" s="40" t="n"/>
      <c r="C961" s="4" t="n"/>
      <c r="D961" s="5" t="n"/>
      <c r="E961" s="12" t="n"/>
      <c r="F961" s="12" t="n"/>
    </row>
    <row r="962" customFormat="1" s="51">
      <c r="A962" s="6" t="n"/>
      <c r="B962" s="40" t="n"/>
      <c r="C962" s="4" t="n"/>
      <c r="D962" s="5" t="n"/>
      <c r="E962" s="12" t="n"/>
      <c r="F962" s="12" t="n"/>
    </row>
    <row r="963" customFormat="1" s="51">
      <c r="A963" s="6" t="n"/>
      <c r="B963" s="40" t="n"/>
      <c r="C963" s="4" t="n"/>
      <c r="D963" s="5" t="n"/>
      <c r="E963" s="12" t="n"/>
      <c r="F963" s="12" t="n"/>
    </row>
    <row r="964" customFormat="1" s="51">
      <c r="A964" s="6" t="n"/>
      <c r="B964" s="40" t="n"/>
      <c r="C964" s="4" t="n"/>
      <c r="D964" s="5" t="n"/>
      <c r="E964" s="12" t="n"/>
      <c r="F964" s="12" t="n"/>
    </row>
    <row r="965" customFormat="1" s="51">
      <c r="A965" s="6" t="n"/>
      <c r="B965" s="40" t="n"/>
      <c r="C965" s="4" t="n"/>
      <c r="D965" s="5" t="n"/>
      <c r="E965" s="12" t="n"/>
      <c r="F965" s="12" t="n"/>
    </row>
    <row r="966" customFormat="1" s="51">
      <c r="A966" s="6" t="n"/>
      <c r="B966" s="40" t="n"/>
      <c r="C966" s="4" t="n"/>
      <c r="D966" s="5" t="n"/>
      <c r="E966" s="12" t="n"/>
      <c r="F966" s="12" t="n"/>
    </row>
    <row r="967" customFormat="1" s="51">
      <c r="A967" s="6" t="n"/>
      <c r="B967" s="40" t="n"/>
      <c r="C967" s="4" t="n"/>
      <c r="D967" s="5" t="n"/>
      <c r="E967" s="12" t="n"/>
      <c r="F967" s="12" t="n"/>
    </row>
    <row r="968" customFormat="1" s="51">
      <c r="A968" s="6" t="n"/>
      <c r="B968" s="40" t="n"/>
      <c r="C968" s="4" t="n"/>
      <c r="D968" s="5" t="n"/>
      <c r="E968" s="12" t="n"/>
      <c r="F968" s="12" t="n"/>
    </row>
    <row r="969" customFormat="1" s="51">
      <c r="A969" s="6" t="n"/>
      <c r="B969" s="40" t="n"/>
      <c r="C969" s="4" t="n"/>
      <c r="D969" s="5" t="n"/>
      <c r="E969" s="12" t="n"/>
      <c r="F969" s="12" t="n"/>
    </row>
    <row r="970" customFormat="1" s="51">
      <c r="A970" s="6" t="n"/>
      <c r="B970" s="40" t="n"/>
      <c r="C970" s="4" t="n"/>
      <c r="D970" s="5" t="n"/>
      <c r="E970" s="12" t="n"/>
      <c r="F970" s="12" t="n"/>
    </row>
    <row r="971" customFormat="1" s="51">
      <c r="A971" s="6" t="n"/>
      <c r="B971" s="40" t="n"/>
      <c r="C971" s="4" t="n"/>
      <c r="D971" s="5" t="n"/>
      <c r="E971" s="12" t="n"/>
      <c r="F971" s="12" t="n"/>
    </row>
    <row r="972" customFormat="1" s="51">
      <c r="A972" s="6" t="n"/>
      <c r="B972" s="40" t="n"/>
      <c r="C972" s="4" t="n"/>
      <c r="D972" s="5" t="n"/>
      <c r="E972" s="12" t="n"/>
      <c r="F972" s="12" t="n"/>
    </row>
    <row r="973" customFormat="1" s="51">
      <c r="A973" s="6" t="n"/>
      <c r="B973" s="40" t="n"/>
      <c r="C973" s="4" t="n"/>
      <c r="D973" s="5" t="n"/>
      <c r="E973" s="12" t="n"/>
      <c r="F973" s="12" t="n"/>
    </row>
    <row r="974" customFormat="1" s="51">
      <c r="A974" s="6" t="n"/>
      <c r="B974" s="40" t="n"/>
      <c r="C974" s="4" t="n"/>
      <c r="D974" s="5" t="n"/>
      <c r="E974" s="12" t="n"/>
      <c r="F974" s="12" t="n"/>
    </row>
    <row r="975" customFormat="1" s="51">
      <c r="A975" s="6" t="n"/>
      <c r="B975" s="40" t="n"/>
      <c r="C975" s="4" t="n"/>
      <c r="D975" s="5" t="n"/>
      <c r="E975" s="12" t="n"/>
      <c r="F975" s="12" t="n"/>
    </row>
    <row r="976" customFormat="1" s="51">
      <c r="A976" s="6" t="n"/>
      <c r="B976" s="40" t="n"/>
      <c r="C976" s="4" t="n"/>
      <c r="D976" s="5" t="n"/>
      <c r="E976" s="12" t="n"/>
      <c r="F976" s="12" t="n"/>
    </row>
    <row r="977" customFormat="1" s="51">
      <c r="A977" s="6" t="n"/>
      <c r="B977" s="40" t="n"/>
      <c r="C977" s="4" t="n"/>
      <c r="D977" s="5" t="n"/>
      <c r="E977" s="12" t="n"/>
      <c r="F977" s="12" t="n"/>
    </row>
    <row r="978" customFormat="1" s="51">
      <c r="A978" s="6" t="n"/>
      <c r="B978" s="40" t="n"/>
      <c r="C978" s="4" t="n"/>
      <c r="D978" s="5" t="n"/>
      <c r="E978" s="12" t="n"/>
      <c r="F978" s="12" t="n"/>
    </row>
    <row r="979" customFormat="1" s="51">
      <c r="A979" s="6" t="n"/>
      <c r="B979" s="40" t="n"/>
      <c r="C979" s="4" t="n"/>
      <c r="D979" s="5" t="n"/>
      <c r="E979" s="12" t="n"/>
      <c r="F979" s="12" t="n"/>
    </row>
    <row r="980" customFormat="1" s="51">
      <c r="A980" s="6" t="n"/>
      <c r="B980" s="40" t="n"/>
      <c r="C980" s="4" t="n"/>
      <c r="D980" s="5" t="n"/>
      <c r="E980" s="12" t="n"/>
      <c r="F980" s="12" t="n"/>
    </row>
    <row r="981" customFormat="1" s="51">
      <c r="A981" s="6" t="n"/>
      <c r="B981" s="40" t="n"/>
      <c r="C981" s="4" t="n"/>
      <c r="D981" s="5" t="n"/>
      <c r="E981" s="12" t="n"/>
      <c r="F981" s="12" t="n"/>
    </row>
    <row r="982" customFormat="1" s="51">
      <c r="A982" s="6" t="n"/>
      <c r="B982" s="40" t="n"/>
      <c r="C982" s="4" t="n"/>
      <c r="D982" s="5" t="n"/>
      <c r="E982" s="12" t="n"/>
      <c r="F982" s="12" t="n"/>
    </row>
    <row r="983" customFormat="1" s="51">
      <c r="A983" s="6" t="n"/>
      <c r="B983" s="40" t="n"/>
      <c r="C983" s="4" t="n"/>
      <c r="D983" s="5" t="n"/>
      <c r="E983" s="12" t="n"/>
      <c r="F983" s="12" t="n"/>
    </row>
    <row r="984" customFormat="1" s="51">
      <c r="A984" s="6" t="n"/>
      <c r="B984" s="40" t="n"/>
      <c r="C984" s="4" t="n"/>
      <c r="D984" s="5" t="n"/>
      <c r="E984" s="12" t="n"/>
      <c r="F984" s="12" t="n"/>
    </row>
    <row r="985" customFormat="1" s="51">
      <c r="A985" s="6" t="n"/>
      <c r="B985" s="40" t="n"/>
      <c r="C985" s="4" t="n"/>
      <c r="D985" s="5" t="n"/>
      <c r="E985" s="12" t="n"/>
      <c r="F985" s="12" t="n"/>
    </row>
    <row r="986" customFormat="1" s="51">
      <c r="A986" s="6" t="n"/>
      <c r="B986" s="40" t="n"/>
      <c r="C986" s="4" t="n"/>
      <c r="D986" s="5" t="n"/>
      <c r="E986" s="12" t="n"/>
      <c r="F986" s="12" t="n"/>
    </row>
    <row r="987" customFormat="1" s="51">
      <c r="A987" s="6" t="n"/>
      <c r="B987" s="40" t="n"/>
      <c r="C987" s="4" t="n"/>
      <c r="D987" s="5" t="n"/>
      <c r="E987" s="12" t="n"/>
      <c r="F987" s="12" t="n"/>
    </row>
    <row r="988" customFormat="1" s="51">
      <c r="A988" s="6" t="n"/>
      <c r="B988" s="40" t="n"/>
      <c r="C988" s="4" t="n"/>
      <c r="D988" s="5" t="n"/>
      <c r="E988" s="12" t="n"/>
      <c r="F988" s="12" t="n"/>
    </row>
    <row r="989" customFormat="1" s="51">
      <c r="A989" s="6" t="n"/>
      <c r="B989" s="40" t="n"/>
      <c r="C989" s="4" t="n"/>
      <c r="D989" s="5" t="n"/>
      <c r="E989" s="12" t="n"/>
      <c r="F989" s="12" t="n"/>
    </row>
    <row r="990" customFormat="1" s="51">
      <c r="A990" s="6" t="n"/>
      <c r="B990" s="40" t="n"/>
      <c r="C990" s="4" t="n"/>
      <c r="D990" s="5" t="n"/>
      <c r="E990" s="12" t="n"/>
      <c r="F990" s="12" t="n"/>
    </row>
    <row r="991" customFormat="1" s="51">
      <c r="A991" s="6" t="n"/>
      <c r="B991" s="40" t="n"/>
      <c r="C991" s="4" t="n"/>
      <c r="D991" s="5" t="n"/>
      <c r="E991" s="12" t="n"/>
      <c r="F991" s="12" t="n"/>
    </row>
    <row r="992" customFormat="1" s="51">
      <c r="A992" s="6" t="n"/>
      <c r="B992" s="40" t="n"/>
      <c r="C992" s="4" t="n"/>
      <c r="D992" s="5" t="n"/>
      <c r="E992" s="12" t="n"/>
      <c r="F992" s="12" t="n"/>
    </row>
    <row r="993" customFormat="1" s="51">
      <c r="A993" s="6" t="n"/>
      <c r="B993" s="40" t="n"/>
      <c r="C993" s="4" t="n"/>
      <c r="D993" s="5" t="n"/>
      <c r="E993" s="12" t="n"/>
      <c r="F993" s="12" t="n"/>
    </row>
    <row r="994" customFormat="1" s="51">
      <c r="A994" s="6" t="n"/>
      <c r="B994" s="40" t="n"/>
      <c r="C994" s="4" t="n"/>
      <c r="D994" s="5" t="n"/>
      <c r="E994" s="12" t="n"/>
      <c r="F994" s="12" t="n"/>
    </row>
    <row r="995" customFormat="1" s="51">
      <c r="A995" s="6" t="n"/>
      <c r="B995" s="40" t="n"/>
      <c r="C995" s="4" t="n"/>
      <c r="D995" s="5" t="n"/>
      <c r="E995" s="12" t="n"/>
      <c r="F995" s="12" t="n"/>
    </row>
    <row r="996" customFormat="1" s="51">
      <c r="A996" s="6" t="n"/>
      <c r="B996" s="40" t="n"/>
      <c r="C996" s="4" t="n"/>
      <c r="D996" s="5" t="n"/>
      <c r="E996" s="12" t="n"/>
      <c r="F996" s="12" t="n"/>
    </row>
    <row r="997" customFormat="1" s="51">
      <c r="A997" s="6" t="n"/>
      <c r="B997" s="40" t="n"/>
      <c r="C997" s="4" t="n"/>
      <c r="D997" s="5" t="n"/>
      <c r="E997" s="12" t="n"/>
      <c r="F997" s="12" t="n"/>
    </row>
    <row r="998" customFormat="1" s="51">
      <c r="A998" s="6" t="n"/>
      <c r="B998" s="40" t="n"/>
      <c r="C998" s="4" t="n"/>
      <c r="D998" s="5" t="n"/>
      <c r="E998" s="12" t="n"/>
      <c r="F998" s="12" t="n"/>
    </row>
    <row r="999" customFormat="1" s="51">
      <c r="A999" s="6" t="n"/>
      <c r="B999" s="40" t="n"/>
      <c r="C999" s="4" t="n"/>
      <c r="D999" s="5" t="n"/>
      <c r="E999" s="12" t="n"/>
      <c r="F999" s="12" t="n"/>
    </row>
    <row r="1000" customFormat="1" s="51">
      <c r="A1000" s="6" t="n"/>
      <c r="B1000" s="40" t="n"/>
      <c r="C1000" s="4" t="n"/>
      <c r="D1000" s="5" t="n"/>
      <c r="E1000" s="12" t="n"/>
      <c r="F1000" s="12" t="n"/>
    </row>
    <row r="1001" customFormat="1" s="51">
      <c r="A1001" s="6" t="n"/>
      <c r="B1001" s="40" t="n"/>
      <c r="C1001" s="4" t="n"/>
      <c r="D1001" s="5" t="n"/>
      <c r="E1001" s="12" t="n"/>
      <c r="F1001" s="12" t="n"/>
    </row>
    <row r="1002" customFormat="1" s="51">
      <c r="A1002" s="6" t="n"/>
      <c r="B1002" s="40" t="n"/>
      <c r="C1002" s="4" t="n"/>
      <c r="D1002" s="5" t="n"/>
      <c r="E1002" s="12" t="n"/>
      <c r="F1002" s="12" t="n"/>
    </row>
    <row r="1003" customFormat="1" s="51">
      <c r="A1003" s="6" t="n"/>
      <c r="B1003" s="40" t="n"/>
      <c r="C1003" s="4" t="n"/>
      <c r="D1003" s="5" t="n"/>
      <c r="E1003" s="12" t="n"/>
      <c r="F1003" s="12" t="n"/>
    </row>
    <row r="1004" customFormat="1" s="51">
      <c r="A1004" s="6" t="n"/>
      <c r="B1004" s="40" t="n"/>
      <c r="C1004" s="4" t="n"/>
      <c r="D1004" s="5" t="n"/>
      <c r="E1004" s="12" t="n"/>
      <c r="F1004" s="12" t="n"/>
    </row>
    <row r="1005" customFormat="1" s="51">
      <c r="A1005" s="6" t="n"/>
      <c r="B1005" s="40" t="n"/>
      <c r="C1005" s="4" t="n"/>
      <c r="D1005" s="5" t="n"/>
      <c r="E1005" s="12" t="n"/>
      <c r="F1005" s="12" t="n"/>
    </row>
    <row r="1006" customFormat="1" s="51">
      <c r="A1006" s="6" t="n"/>
      <c r="B1006" s="40" t="n"/>
      <c r="C1006" s="4" t="n"/>
      <c r="D1006" s="5" t="n"/>
      <c r="E1006" s="12" t="n"/>
      <c r="F1006" s="12" t="n"/>
    </row>
    <row r="1007" customFormat="1" s="51">
      <c r="A1007" s="6" t="n"/>
      <c r="B1007" s="40" t="n"/>
      <c r="C1007" s="4" t="n"/>
      <c r="D1007" s="5" t="n"/>
      <c r="E1007" s="12" t="n"/>
      <c r="F1007" s="12" t="n"/>
    </row>
    <row r="1008" customFormat="1" s="51">
      <c r="A1008" s="6" t="n"/>
      <c r="B1008" s="40" t="n"/>
      <c r="C1008" s="4" t="n"/>
      <c r="D1008" s="5" t="n"/>
      <c r="E1008" s="12" t="n"/>
      <c r="F1008" s="12" t="n"/>
    </row>
    <row r="1009" customFormat="1" s="51">
      <c r="A1009" s="6" t="n"/>
      <c r="B1009" s="40" t="n"/>
      <c r="C1009" s="4" t="n"/>
      <c r="D1009" s="5" t="n"/>
      <c r="E1009" s="12" t="n"/>
      <c r="F1009" s="12" t="n"/>
    </row>
    <row r="1010" customFormat="1" s="51">
      <c r="A1010" s="6" t="n"/>
      <c r="B1010" s="40" t="n"/>
      <c r="C1010" s="4" t="n"/>
      <c r="D1010" s="5" t="n"/>
      <c r="E1010" s="12" t="n"/>
      <c r="F1010" s="12" t="n"/>
    </row>
    <row r="1011" customFormat="1" s="51">
      <c r="A1011" s="6" t="n"/>
      <c r="B1011" s="40" t="n"/>
      <c r="C1011" s="4" t="n"/>
      <c r="D1011" s="5" t="n"/>
      <c r="E1011" s="12" t="n"/>
      <c r="F1011" s="12" t="n"/>
    </row>
    <row r="1012" customFormat="1" s="51">
      <c r="A1012" s="6" t="n"/>
      <c r="B1012" s="40" t="n"/>
      <c r="C1012" s="4" t="n"/>
      <c r="D1012" s="5" t="n"/>
      <c r="E1012" s="12" t="n"/>
      <c r="F1012" s="12" t="n"/>
    </row>
    <row r="1013" customFormat="1" s="51">
      <c r="A1013" s="6" t="n"/>
      <c r="B1013" s="40" t="n"/>
      <c r="C1013" s="4" t="n"/>
      <c r="D1013" s="5" t="n"/>
      <c r="E1013" s="12" t="n"/>
      <c r="F1013" s="12" t="n"/>
    </row>
    <row r="1014" customFormat="1" s="51">
      <c r="A1014" s="6" t="n"/>
      <c r="B1014" s="40" t="n"/>
      <c r="C1014" s="4" t="n"/>
      <c r="D1014" s="5" t="n"/>
      <c r="E1014" s="12" t="n"/>
      <c r="F1014" s="12" t="n"/>
    </row>
    <row r="1015" customFormat="1" s="51">
      <c r="A1015" s="6" t="n"/>
      <c r="B1015" s="40" t="n"/>
      <c r="C1015" s="4" t="n"/>
      <c r="D1015" s="5" t="n"/>
      <c r="E1015" s="12" t="n"/>
      <c r="F1015" s="12" t="n"/>
    </row>
    <row r="1016" customFormat="1" s="51">
      <c r="A1016" s="6" t="n"/>
      <c r="B1016" s="40" t="n"/>
      <c r="C1016" s="4" t="n"/>
      <c r="D1016" s="5" t="n"/>
      <c r="E1016" s="12" t="n"/>
      <c r="F1016" s="12" t="n"/>
    </row>
    <row r="1017" customFormat="1" s="51">
      <c r="A1017" s="6" t="n"/>
      <c r="B1017" s="40" t="n"/>
      <c r="C1017" s="4" t="n"/>
      <c r="D1017" s="5" t="n"/>
      <c r="E1017" s="12" t="n"/>
      <c r="F1017" s="12" t="n"/>
    </row>
    <row r="1018" customFormat="1" s="51">
      <c r="A1018" s="6" t="n"/>
      <c r="B1018" s="40" t="n"/>
      <c r="C1018" s="4" t="n"/>
      <c r="D1018" s="5" t="n"/>
      <c r="E1018" s="12" t="n"/>
      <c r="F1018" s="12" t="n"/>
    </row>
    <row r="1019" customFormat="1" s="51">
      <c r="A1019" s="6" t="n"/>
      <c r="B1019" s="40" t="n"/>
      <c r="C1019" s="4" t="n"/>
      <c r="D1019" s="5" t="n"/>
      <c r="E1019" s="12" t="n"/>
      <c r="F1019" s="12" t="n"/>
    </row>
    <row r="1020" customFormat="1" s="51">
      <c r="A1020" s="6" t="n"/>
      <c r="B1020" s="40" t="n"/>
      <c r="C1020" s="4" t="n"/>
      <c r="D1020" s="5" t="n"/>
      <c r="E1020" s="12" t="n"/>
      <c r="F1020" s="12" t="n"/>
    </row>
    <row r="1021" customFormat="1" s="51">
      <c r="A1021" s="6" t="n"/>
      <c r="B1021" s="40" t="n"/>
      <c r="C1021" s="4" t="n"/>
      <c r="D1021" s="5" t="n"/>
      <c r="E1021" s="12" t="n"/>
      <c r="F1021" s="12" t="n"/>
    </row>
    <row r="1022" customFormat="1" s="51">
      <c r="A1022" s="6" t="n"/>
      <c r="B1022" s="40" t="n"/>
      <c r="C1022" s="4" t="n"/>
      <c r="D1022" s="5" t="n"/>
      <c r="E1022" s="12" t="n"/>
      <c r="F1022" s="12" t="n"/>
    </row>
    <row r="1023" customFormat="1" s="51">
      <c r="A1023" s="6" t="n"/>
      <c r="B1023" s="40" t="n"/>
      <c r="C1023" s="4" t="n"/>
      <c r="D1023" s="5" t="n"/>
      <c r="E1023" s="12" t="n"/>
      <c r="F1023" s="12" t="n"/>
    </row>
    <row r="1024" customFormat="1" s="51">
      <c r="A1024" s="6" t="n"/>
      <c r="B1024" s="40" t="n"/>
      <c r="C1024" s="4" t="n"/>
      <c r="D1024" s="5" t="n"/>
      <c r="E1024" s="12" t="n"/>
      <c r="F1024" s="12" t="n"/>
    </row>
    <row r="1025" customFormat="1" s="51">
      <c r="A1025" s="6" t="n"/>
      <c r="B1025" s="40" t="n"/>
      <c r="C1025" s="4" t="n"/>
      <c r="D1025" s="5" t="n"/>
      <c r="E1025" s="12" t="n"/>
      <c r="F1025" s="12" t="n"/>
    </row>
    <row r="1026" customFormat="1" s="51">
      <c r="A1026" s="6" t="n"/>
      <c r="B1026" s="40" t="n"/>
      <c r="C1026" s="4" t="n"/>
      <c r="D1026" s="5" t="n"/>
      <c r="E1026" s="12" t="n"/>
      <c r="F1026" s="12" t="n"/>
    </row>
    <row r="1027" customFormat="1" s="51">
      <c r="A1027" s="6" t="n"/>
      <c r="B1027" s="40" t="n"/>
      <c r="C1027" s="4" t="n"/>
      <c r="D1027" s="5" t="n"/>
      <c r="E1027" s="12" t="n"/>
      <c r="F1027" s="12" t="n"/>
    </row>
    <row r="1028" customFormat="1" s="51">
      <c r="A1028" s="6" t="n"/>
      <c r="B1028" s="40" t="n"/>
      <c r="C1028" s="4" t="n"/>
      <c r="D1028" s="5" t="n"/>
      <c r="E1028" s="12" t="n"/>
      <c r="F1028" s="12" t="n"/>
    </row>
    <row r="1029" customFormat="1" s="51">
      <c r="A1029" s="6" t="n"/>
      <c r="B1029" s="40" t="n"/>
      <c r="C1029" s="4" t="n"/>
      <c r="D1029" s="5" t="n"/>
      <c r="E1029" s="12" t="n"/>
      <c r="F1029" s="12" t="n"/>
    </row>
    <row r="1030" customFormat="1" s="51">
      <c r="A1030" s="6" t="n"/>
      <c r="B1030" s="40" t="n"/>
      <c r="C1030" s="4" t="n"/>
      <c r="D1030" s="5" t="n"/>
      <c r="E1030" s="12" t="n"/>
      <c r="F1030" s="12" t="n"/>
    </row>
    <row r="1031" customFormat="1" s="51">
      <c r="A1031" s="6" t="n"/>
      <c r="B1031" s="40" t="n"/>
      <c r="C1031" s="4" t="n"/>
      <c r="D1031" s="5" t="n"/>
      <c r="E1031" s="12" t="n"/>
      <c r="F1031" s="12" t="n"/>
    </row>
    <row r="1032" customFormat="1" s="51">
      <c r="A1032" s="6" t="n"/>
      <c r="B1032" s="40" t="n"/>
      <c r="C1032" s="4" t="n"/>
      <c r="D1032" s="5" t="n"/>
      <c r="E1032" s="12" t="n"/>
      <c r="F1032" s="12" t="n"/>
    </row>
    <row r="1033" customFormat="1" s="51">
      <c r="A1033" s="6" t="n"/>
      <c r="B1033" s="40" t="n"/>
      <c r="C1033" s="4" t="n"/>
      <c r="D1033" s="5" t="n"/>
      <c r="E1033" s="12" t="n"/>
      <c r="F1033" s="12" t="n"/>
    </row>
    <row r="1034" customFormat="1" s="51">
      <c r="A1034" s="6" t="n"/>
      <c r="B1034" s="40" t="n"/>
      <c r="C1034" s="4" t="n"/>
      <c r="D1034" s="5" t="n"/>
      <c r="E1034" s="12" t="n"/>
      <c r="F1034" s="12" t="n"/>
    </row>
    <row r="1035" customFormat="1" s="51">
      <c r="A1035" s="6" t="n"/>
      <c r="B1035" s="40" t="n"/>
      <c r="C1035" s="4" t="n"/>
      <c r="D1035" s="5" t="n"/>
      <c r="E1035" s="12" t="n"/>
      <c r="F1035" s="12" t="n"/>
    </row>
    <row r="1036" customFormat="1" s="51">
      <c r="A1036" s="6" t="n"/>
      <c r="B1036" s="40" t="n"/>
      <c r="C1036" s="4" t="n"/>
      <c r="D1036" s="5" t="n"/>
      <c r="E1036" s="12" t="n"/>
      <c r="F1036" s="12" t="n"/>
    </row>
    <row r="1037" customFormat="1" s="51">
      <c r="A1037" s="6" t="n"/>
      <c r="B1037" s="40" t="n"/>
      <c r="C1037" s="4" t="n"/>
      <c r="D1037" s="5" t="n"/>
      <c r="E1037" s="12" t="n"/>
      <c r="F1037" s="12" t="n"/>
    </row>
    <row r="1038" customFormat="1" s="51">
      <c r="A1038" s="6" t="n"/>
      <c r="B1038" s="40" t="n"/>
      <c r="C1038" s="4" t="n"/>
      <c r="D1038" s="5" t="n"/>
      <c r="E1038" s="12" t="n"/>
      <c r="F1038" s="12" t="n"/>
    </row>
    <row r="1039" customFormat="1" s="51">
      <c r="A1039" s="6" t="n"/>
      <c r="B1039" s="40" t="n"/>
      <c r="C1039" s="4" t="n"/>
      <c r="D1039" s="5" t="n"/>
      <c r="E1039" s="12" t="n"/>
      <c r="F1039" s="12" t="n"/>
    </row>
    <row r="1040" customFormat="1" s="51">
      <c r="A1040" s="6" t="n"/>
      <c r="B1040" s="40" t="n"/>
      <c r="C1040" s="4" t="n"/>
      <c r="D1040" s="5" t="n"/>
      <c r="E1040" s="12" t="n"/>
      <c r="F1040" s="12" t="n"/>
    </row>
    <row r="1041" customFormat="1" s="51">
      <c r="A1041" s="6" t="n"/>
      <c r="B1041" s="40" t="n"/>
      <c r="C1041" s="4" t="n"/>
      <c r="D1041" s="5" t="n"/>
      <c r="E1041" s="12" t="n"/>
      <c r="F1041" s="12" t="n"/>
    </row>
    <row r="1042" customFormat="1" s="51">
      <c r="A1042" s="6" t="n"/>
      <c r="B1042" s="40" t="n"/>
      <c r="C1042" s="4" t="n"/>
      <c r="D1042" s="5" t="n"/>
      <c r="E1042" s="12" t="n"/>
      <c r="F1042" s="12" t="n"/>
    </row>
    <row r="1043" customFormat="1" s="51">
      <c r="A1043" s="6" t="n"/>
      <c r="B1043" s="40" t="n"/>
      <c r="C1043" s="4" t="n"/>
      <c r="D1043" s="5" t="n"/>
      <c r="E1043" s="12" t="n"/>
      <c r="F1043" s="12" t="n"/>
    </row>
    <row r="1044" customFormat="1" s="51">
      <c r="A1044" s="6" t="n"/>
      <c r="B1044" s="40" t="n"/>
      <c r="C1044" s="4" t="n"/>
      <c r="D1044" s="5" t="n"/>
      <c r="E1044" s="12" t="n"/>
      <c r="F1044" s="12" t="n"/>
    </row>
    <row r="1045" customFormat="1" s="51">
      <c r="A1045" s="6" t="n"/>
      <c r="B1045" s="40" t="n"/>
      <c r="C1045" s="4" t="n"/>
      <c r="D1045" s="5" t="n"/>
      <c r="E1045" s="12" t="n"/>
      <c r="F1045" s="12" t="n"/>
    </row>
    <row r="1046" customFormat="1" s="51">
      <c r="A1046" s="6" t="n"/>
      <c r="B1046" s="40" t="n"/>
      <c r="C1046" s="4" t="n"/>
      <c r="D1046" s="5" t="n"/>
      <c r="E1046" s="12" t="n"/>
      <c r="F1046" s="12" t="n"/>
    </row>
    <row r="1047" customFormat="1" s="51">
      <c r="A1047" s="6" t="n"/>
      <c r="B1047" s="40" t="n"/>
      <c r="C1047" s="4" t="n"/>
      <c r="D1047" s="5" t="n"/>
      <c r="E1047" s="12" t="n"/>
      <c r="F1047" s="12" t="n"/>
    </row>
    <row r="1048" customFormat="1" s="51">
      <c r="A1048" s="6" t="n"/>
      <c r="B1048" s="40" t="n"/>
      <c r="C1048" s="4" t="n"/>
      <c r="D1048" s="5" t="n"/>
      <c r="E1048" s="12" t="n"/>
      <c r="F1048" s="12" t="n"/>
    </row>
    <row r="1049" customFormat="1" s="51">
      <c r="A1049" s="6" t="n"/>
      <c r="B1049" s="40" t="n"/>
      <c r="C1049" s="4" t="n"/>
      <c r="D1049" s="5" t="n"/>
      <c r="E1049" s="12" t="n"/>
      <c r="F1049" s="12" t="n"/>
    </row>
    <row r="1050" customFormat="1" s="51">
      <c r="A1050" s="6" t="n"/>
      <c r="B1050" s="40" t="n"/>
      <c r="C1050" s="4" t="n"/>
      <c r="D1050" s="5" t="n"/>
      <c r="E1050" s="12" t="n"/>
      <c r="F1050" s="12" t="n"/>
    </row>
    <row r="1051" customFormat="1" s="51">
      <c r="A1051" s="6" t="n"/>
      <c r="B1051" s="40" t="n"/>
      <c r="C1051" s="4" t="n"/>
      <c r="D1051" s="5" t="n"/>
      <c r="E1051" s="12" t="n"/>
      <c r="F1051" s="12" t="n"/>
    </row>
    <row r="1052" customFormat="1" s="51">
      <c r="A1052" s="6" t="n"/>
      <c r="B1052" s="40" t="n"/>
      <c r="C1052" s="4" t="n"/>
      <c r="D1052" s="5" t="n"/>
      <c r="E1052" s="12" t="n"/>
      <c r="F1052" s="12" t="n"/>
    </row>
    <row r="1053" customFormat="1" s="51">
      <c r="A1053" s="6" t="n"/>
      <c r="B1053" s="40" t="n"/>
      <c r="C1053" s="4" t="n"/>
      <c r="D1053" s="5" t="n"/>
      <c r="E1053" s="12" t="n"/>
      <c r="F1053" s="12" t="n"/>
    </row>
    <row r="1054" customFormat="1" s="51">
      <c r="A1054" s="6" t="n"/>
      <c r="B1054" s="40" t="n"/>
      <c r="C1054" s="4" t="n"/>
      <c r="D1054" s="5" t="n"/>
      <c r="E1054" s="12" t="n"/>
      <c r="F1054" s="12" t="n"/>
    </row>
    <row r="1055">
      <c r="A1055" s="6" t="n"/>
      <c r="B1055" s="40" t="n"/>
      <c r="C1055" s="4" t="n"/>
      <c r="D1055" s="5" t="n"/>
      <c r="E1055" s="12" t="n"/>
      <c r="F1055" s="12" t="n"/>
    </row>
    <row r="1056">
      <c r="A1056" s="6" t="n"/>
      <c r="B1056" s="40" t="n"/>
      <c r="C1056" s="4" t="n"/>
      <c r="D1056" s="5" t="n"/>
      <c r="E1056" s="12" t="n"/>
      <c r="F1056" s="12" t="n"/>
    </row>
    <row r="1057">
      <c r="A1057" s="6" t="n"/>
      <c r="B1057" s="40" t="n"/>
      <c r="C1057" s="4" t="n"/>
      <c r="D1057" s="5" t="n"/>
      <c r="E1057" s="12" t="n"/>
      <c r="F1057" s="12" t="n"/>
    </row>
    <row r="1058">
      <c r="A1058" s="6" t="n"/>
      <c r="B1058" s="40" t="n"/>
      <c r="C1058" s="4" t="n"/>
      <c r="D1058" s="5" t="n"/>
      <c r="E1058" s="12" t="n"/>
      <c r="F1058" s="12" t="n"/>
    </row>
    <row r="1059">
      <c r="A1059" s="6" t="n"/>
      <c r="B1059" s="40" t="n"/>
      <c r="C1059" s="4" t="n"/>
      <c r="D1059" s="5" t="n"/>
      <c r="E1059" s="12" t="n"/>
      <c r="F1059" s="12" t="n"/>
    </row>
    <row r="1060">
      <c r="A1060" s="6" t="n"/>
      <c r="B1060" s="40" t="n"/>
      <c r="C1060" s="4" t="n"/>
      <c r="D1060" s="5" t="n"/>
      <c r="E1060" s="12" t="n"/>
      <c r="F1060" s="12" t="n"/>
    </row>
    <row r="1061">
      <c r="A1061" s="6" t="n"/>
      <c r="B1061" s="40" t="n"/>
      <c r="C1061" s="4" t="n"/>
      <c r="D1061" s="5" t="n"/>
      <c r="E1061" s="12" t="n"/>
      <c r="F1061" s="12" t="n"/>
    </row>
    <row r="1062">
      <c r="A1062" s="6" t="n"/>
      <c r="B1062" s="40" t="n"/>
      <c r="C1062" s="4" t="n"/>
      <c r="D1062" s="5" t="n"/>
      <c r="E1062" s="12" t="n"/>
      <c r="F1062" s="12" t="n"/>
    </row>
    <row r="1063">
      <c r="A1063" s="6" t="n"/>
      <c r="B1063" s="40" t="n"/>
      <c r="C1063" s="4" t="n"/>
      <c r="D1063" s="5" t="n"/>
      <c r="E1063" s="12" t="n"/>
      <c r="F1063" s="12" t="n"/>
    </row>
    <row r="1064">
      <c r="A1064" s="6" t="n"/>
      <c r="B1064" s="40" t="n"/>
      <c r="C1064" s="4" t="n"/>
      <c r="D1064" s="5" t="n"/>
      <c r="E1064" s="12" t="n"/>
      <c r="F1064" s="12" t="n"/>
    </row>
    <row r="1065">
      <c r="A1065" s="6" t="n"/>
      <c r="B1065" s="40" t="n"/>
      <c r="C1065" s="4" t="n"/>
      <c r="D1065" s="5" t="n"/>
      <c r="E1065" s="12" t="n"/>
      <c r="F1065" s="12" t="n"/>
    </row>
    <row r="1066">
      <c r="A1066" s="6" t="n"/>
      <c r="B1066" s="40" t="n"/>
      <c r="C1066" s="4" t="n"/>
      <c r="D1066" s="5" t="n"/>
      <c r="E1066" s="12" t="n"/>
      <c r="F1066" s="12" t="n"/>
    </row>
    <row r="1067">
      <c r="A1067" s="6" t="n"/>
      <c r="B1067" s="40" t="n"/>
      <c r="C1067" s="4" t="n"/>
      <c r="D1067" s="5" t="n"/>
      <c r="E1067" s="12" t="n"/>
      <c r="F1067" s="12" t="n"/>
    </row>
    <row r="1068">
      <c r="A1068" s="6" t="n"/>
      <c r="B1068" s="40" t="n"/>
      <c r="C1068" s="4" t="n"/>
      <c r="D1068" s="5" t="n"/>
      <c r="E1068" s="12" t="n"/>
      <c r="F1068" s="12" t="n"/>
    </row>
    <row r="1069">
      <c r="A1069" s="6" t="n"/>
      <c r="B1069" s="40" t="n"/>
      <c r="C1069" s="4" t="n"/>
      <c r="D1069" s="5" t="n"/>
      <c r="E1069" s="12" t="n"/>
      <c r="F1069" s="12" t="n"/>
    </row>
    <row r="1070">
      <c r="A1070" s="6" t="n"/>
      <c r="B1070" s="40" t="n"/>
      <c r="C1070" s="4" t="n"/>
      <c r="D1070" s="5" t="n"/>
      <c r="E1070" s="12" t="n"/>
      <c r="F1070" s="12" t="n"/>
    </row>
    <row r="1071">
      <c r="A1071" s="6" t="n"/>
      <c r="B1071" s="40" t="n"/>
      <c r="C1071" s="4" t="n"/>
      <c r="D1071" s="5" t="n"/>
      <c r="E1071" s="12" t="n"/>
      <c r="F1071" s="12" t="n"/>
    </row>
    <row r="1072">
      <c r="A1072" s="6" t="n"/>
      <c r="B1072" s="40" t="n"/>
      <c r="C1072" s="4" t="n"/>
      <c r="D1072" s="5" t="n"/>
      <c r="E1072" s="12" t="n"/>
      <c r="F1072" s="12" t="n"/>
    </row>
    <row r="1073">
      <c r="A1073" s="6" t="n"/>
      <c r="B1073" s="40" t="n"/>
      <c r="C1073" s="4" t="n"/>
      <c r="D1073" s="5" t="n"/>
      <c r="E1073" s="12" t="n"/>
      <c r="F1073" s="12" t="n"/>
    </row>
    <row r="1074">
      <c r="A1074" s="6" t="n"/>
      <c r="B1074" s="40" t="n"/>
      <c r="C1074" s="4" t="n"/>
      <c r="D1074" s="5" t="n"/>
      <c r="E1074" s="12" t="n"/>
      <c r="F1074" s="12" t="n"/>
    </row>
    <row r="1075">
      <c r="A1075" s="6" t="n"/>
      <c r="B1075" s="40" t="n"/>
      <c r="C1075" s="4" t="n"/>
      <c r="D1075" s="5" t="n"/>
      <c r="E1075" s="12" t="n"/>
      <c r="F1075" s="12" t="n"/>
    </row>
    <row r="1076">
      <c r="A1076" s="6" t="n"/>
      <c r="B1076" s="40" t="n"/>
      <c r="C1076" s="4" t="n"/>
      <c r="D1076" s="5" t="n"/>
      <c r="E1076" s="12" t="n"/>
      <c r="F1076" s="12" t="n"/>
    </row>
    <row r="1077">
      <c r="A1077" s="6" t="n"/>
      <c r="B1077" s="40" t="n"/>
      <c r="C1077" s="4" t="n"/>
      <c r="D1077" s="5" t="n"/>
      <c r="E1077" s="12" t="n"/>
      <c r="F1077" s="12" t="n"/>
    </row>
    <row r="1078">
      <c r="A1078" s="6" t="n"/>
      <c r="B1078" s="40" t="n"/>
      <c r="C1078" s="4" t="n"/>
      <c r="D1078" s="5" t="n"/>
      <c r="E1078" s="12" t="n"/>
      <c r="F1078" s="12" t="n"/>
    </row>
    <row r="1079">
      <c r="A1079" s="6" t="n"/>
      <c r="B1079" s="40" t="n"/>
      <c r="C1079" s="4" t="n"/>
      <c r="D1079" s="5" t="n"/>
      <c r="E1079" s="12" t="n"/>
      <c r="F1079" s="12" t="n"/>
    </row>
    <row r="1080">
      <c r="A1080" s="6" t="n"/>
      <c r="B1080" s="40" t="n"/>
      <c r="C1080" s="4" t="n"/>
      <c r="D1080" s="5" t="n"/>
      <c r="E1080" s="12" t="n"/>
      <c r="F1080" s="12" t="n"/>
    </row>
    <row r="1081">
      <c r="A1081" s="6" t="n"/>
      <c r="B1081" s="40" t="n"/>
      <c r="C1081" s="4" t="n"/>
      <c r="D1081" s="5" t="n"/>
      <c r="E1081" s="12" t="n"/>
      <c r="F1081" s="12" t="n"/>
    </row>
    <row r="1082">
      <c r="A1082" s="6" t="n"/>
      <c r="B1082" s="40" t="n"/>
      <c r="C1082" s="4" t="n"/>
      <c r="D1082" s="5" t="n"/>
      <c r="E1082" s="12" t="n"/>
      <c r="F1082" s="12" t="n"/>
    </row>
    <row r="1083">
      <c r="A1083" s="6" t="n"/>
      <c r="B1083" s="40" t="n"/>
      <c r="C1083" s="4" t="n"/>
      <c r="D1083" s="5" t="n"/>
      <c r="E1083" s="12" t="n"/>
      <c r="F1083" s="12" t="n"/>
    </row>
    <row r="1084">
      <c r="A1084" s="6" t="n"/>
      <c r="B1084" s="40" t="n"/>
      <c r="C1084" s="4" t="n"/>
      <c r="D1084" s="5" t="n"/>
      <c r="E1084" s="12" t="n"/>
      <c r="F1084" s="12" t="n"/>
    </row>
    <row r="1085">
      <c r="A1085" s="6" t="n"/>
      <c r="B1085" s="40" t="n"/>
      <c r="C1085" s="4" t="n"/>
      <c r="D1085" s="5" t="n"/>
      <c r="E1085" s="12" t="n"/>
      <c r="F1085" s="12" t="n"/>
    </row>
  </sheetData>
  <conditionalFormatting sqref="D692:D760">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160" zoomScaleNormal="160" workbookViewId="0">
      <pane ySplit="4" topLeftCell="A721" activePane="bottomLeft" state="frozen"/>
      <selection pane="bottomLeft" activeCell="O767" sqref="O767"/>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51" min="8" max="71"/>
  </cols>
  <sheetData>
    <row r="1" customFormat="1" s="51">
      <c r="A1" s="12" t="n"/>
      <c r="B1" s="12" t="n"/>
      <c r="C1" s="12" t="n"/>
      <c r="D1" s="12" t="n"/>
      <c r="E1" s="12" t="n"/>
      <c r="F1" s="12" t="n"/>
      <c r="G1" s="12" t="n"/>
    </row>
    <row r="2" customFormat="1" s="51">
      <c r="A2" s="12" t="n"/>
      <c r="B2" s="12" t="n"/>
      <c r="C2" s="12" t="n"/>
      <c r="D2" s="12" t="n"/>
      <c r="E2" s="12" t="n"/>
      <c r="F2" s="12" t="n"/>
      <c r="G2" s="12" t="n"/>
    </row>
    <row r="3" ht="16" customFormat="1" customHeight="1" s="51" thickBot="1">
      <c r="A3" s="12" t="n"/>
      <c r="B3" s="12" t="n"/>
      <c r="C3" s="12" t="n"/>
      <c r="D3" s="12" t="n"/>
      <c r="E3" s="12" t="n"/>
      <c r="F3" s="12" t="n"/>
      <c r="G3" s="12" t="n"/>
    </row>
    <row r="4" ht="31" customHeight="1" s="63"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48" t="n">
        <v>21551</v>
      </c>
      <c r="B5" s="28">
        <f>VLOOKUP(Table3[[#This Row],[Date]],'PCE Core'!$A:$E,2,)</f>
        <v/>
      </c>
      <c r="C5" s="28">
        <f>VLOOKUP(Table3[[#This Row],[Date]],Database!$A:$E,5)</f>
        <v/>
      </c>
      <c r="D5" s="28">
        <f>(((Table3[[#This Row],[Core PCE]]-$B$496)/$B$496)*100)+100</f>
        <v/>
      </c>
      <c r="E5" s="28">
        <f>(((Table3[[#This Row],[Core CPI]]-$C$496)/$C$496)*100)+100</f>
        <v/>
      </c>
      <c r="F5" s="49" t="n"/>
      <c r="G5" s="29" t="n"/>
    </row>
    <row r="6">
      <c r="A6" s="47" t="n">
        <v>21582</v>
      </c>
      <c r="B6" s="28">
        <f>VLOOKUP(Table3[[#This Row],[Date]],'PCE Core'!$A:$E,2,)</f>
        <v/>
      </c>
      <c r="C6" s="26">
        <f>VLOOKUP(Table3[[#This Row],[Date]],Database!$A:$E,5)</f>
        <v/>
      </c>
      <c r="D6" s="26">
        <f>(((Table3[[#This Row],[Core PCE]]-$B$496)/$B$496)*100)+100</f>
        <v/>
      </c>
      <c r="E6" s="26">
        <f>(((Table3[[#This Row],[Core CPI]]-$C$496)/$C$496)*100)+100</f>
        <v/>
      </c>
      <c r="F6" s="47" t="n"/>
      <c r="G6" s="27" t="n"/>
    </row>
    <row r="7">
      <c r="A7" s="50" t="n">
        <v>21610</v>
      </c>
      <c r="B7" s="28">
        <f>VLOOKUP(Table3[[#This Row],[Date]],'PCE Core'!$A:$E,2,)</f>
        <v/>
      </c>
      <c r="C7" s="28">
        <f>VLOOKUP(Table3[[#This Row],[Date]],Database!$A:$E,5)</f>
        <v/>
      </c>
      <c r="D7" s="26">
        <f>(((Table3[[#This Row],[Core PCE]]-$B$496)/$B$496)*100)+100</f>
        <v/>
      </c>
      <c r="E7" s="26">
        <f>(((Table3[[#This Row],[Core CPI]]-$C$496)/$C$496)*100)+100</f>
        <v/>
      </c>
      <c r="F7" s="47" t="n"/>
      <c r="G7" s="27" t="n"/>
    </row>
    <row r="8">
      <c r="A8" s="47" t="n">
        <v>21641</v>
      </c>
      <c r="B8" s="28">
        <f>VLOOKUP(Table3[[#This Row],[Date]],'PCE Core'!$A:$E,2,)</f>
        <v/>
      </c>
      <c r="C8" s="28">
        <f>VLOOKUP(Table3[[#This Row],[Date]],Database!$A:$E,5)</f>
        <v/>
      </c>
      <c r="D8" s="26">
        <f>(((Table3[[#This Row],[Core PCE]]-$B$496)/$B$496)*100)+100</f>
        <v/>
      </c>
      <c r="E8" s="26">
        <f>(((Table3[[#This Row],[Core CPI]]-$C$496)/$C$496)*100)+100</f>
        <v/>
      </c>
      <c r="F8" s="47" t="n"/>
      <c r="G8" s="27" t="n"/>
    </row>
    <row r="9">
      <c r="A9" s="50" t="n">
        <v>21671</v>
      </c>
      <c r="B9" s="28">
        <f>VLOOKUP(Table3[[#This Row],[Date]],'PCE Core'!$A:$E,2,)</f>
        <v/>
      </c>
      <c r="C9" s="26">
        <f>VLOOKUP(Table3[[#This Row],[Date]],Database!$A:$E,5)</f>
        <v/>
      </c>
      <c r="D9" s="26">
        <f>(((Table3[[#This Row],[Core PCE]]-$B$496)/$B$496)*100)+100</f>
        <v/>
      </c>
      <c r="E9" s="26">
        <f>(((Table3[[#This Row],[Core CPI]]-$C$496)/$C$496)*100)+100</f>
        <v/>
      </c>
      <c r="F9" s="47" t="n"/>
      <c r="G9" s="27" t="n"/>
    </row>
    <row r="10">
      <c r="A10" s="47" t="n">
        <v>21702</v>
      </c>
      <c r="B10" s="28">
        <f>VLOOKUP(Table3[[#This Row],[Date]],'PCE Core'!$A:$E,2,)</f>
        <v/>
      </c>
      <c r="C10" s="28">
        <f>VLOOKUP(Table3[[#This Row],[Date]],Database!$A:$E,5)</f>
        <v/>
      </c>
      <c r="D10" s="26">
        <f>(((Table3[[#This Row],[Core PCE]]-$B$496)/$B$496)*100)+100</f>
        <v/>
      </c>
      <c r="E10" s="26">
        <f>(((Table3[[#This Row],[Core CPI]]-$C$496)/$C$496)*100)+100</f>
        <v/>
      </c>
      <c r="F10" s="47" t="n"/>
      <c r="G10" s="27" t="n"/>
    </row>
    <row r="11">
      <c r="A11" s="50" t="n">
        <v>21732</v>
      </c>
      <c r="B11" s="28">
        <f>VLOOKUP(Table3[[#This Row],[Date]],'PCE Core'!$A:$E,2,)</f>
        <v/>
      </c>
      <c r="C11" s="28">
        <f>VLOOKUP(Table3[[#This Row],[Date]],Database!$A:$E,5)</f>
        <v/>
      </c>
      <c r="D11" s="26">
        <f>(((Table3[[#This Row],[Core PCE]]-$B$496)/$B$496)*100)+100</f>
        <v/>
      </c>
      <c r="E11" s="26">
        <f>(((Table3[[#This Row],[Core CPI]]-$C$496)/$C$496)*100)+100</f>
        <v/>
      </c>
      <c r="F11" s="47" t="n"/>
      <c r="G11" s="27" t="n"/>
    </row>
    <row r="12">
      <c r="A12" s="47" t="n">
        <v>21763</v>
      </c>
      <c r="B12" s="28">
        <f>VLOOKUP(Table3[[#This Row],[Date]],'PCE Core'!$A:$E,2,)</f>
        <v/>
      </c>
      <c r="C12" s="26">
        <f>VLOOKUP(Table3[[#This Row],[Date]],Database!$A:$E,5)</f>
        <v/>
      </c>
      <c r="D12" s="26">
        <f>(((Table3[[#This Row],[Core PCE]]-$B$496)/$B$496)*100)+100</f>
        <v/>
      </c>
      <c r="E12" s="26">
        <f>(((Table3[[#This Row],[Core CPI]]-$C$496)/$C$496)*100)+100</f>
        <v/>
      </c>
      <c r="F12" s="47" t="n"/>
      <c r="G12" s="27" t="n"/>
    </row>
    <row r="13">
      <c r="A13" s="50" t="n">
        <v>21794</v>
      </c>
      <c r="B13" s="28">
        <f>VLOOKUP(Table3[[#This Row],[Date]],'PCE Core'!$A:$E,2,)</f>
        <v/>
      </c>
      <c r="C13" s="28">
        <f>VLOOKUP(Table3[[#This Row],[Date]],Database!$A:$E,5)</f>
        <v/>
      </c>
      <c r="D13" s="26">
        <f>(((Table3[[#This Row],[Core PCE]]-$B$496)/$B$496)*100)+100</f>
        <v/>
      </c>
      <c r="E13" s="26">
        <f>(((Table3[[#This Row],[Core CPI]]-$C$496)/$C$496)*100)+100</f>
        <v/>
      </c>
      <c r="F13" s="47" t="n"/>
      <c r="G13" s="27" t="n"/>
    </row>
    <row r="14">
      <c r="A14" s="47" t="n">
        <v>21824</v>
      </c>
      <c r="B14" s="28">
        <f>VLOOKUP(Table3[[#This Row],[Date]],'PCE Core'!$A:$E,2,)</f>
        <v/>
      </c>
      <c r="C14" s="28">
        <f>VLOOKUP(Table3[[#This Row],[Date]],Database!$A:$E,5)</f>
        <v/>
      </c>
      <c r="D14" s="26">
        <f>(((Table3[[#This Row],[Core PCE]]-$B$496)/$B$496)*100)+100</f>
        <v/>
      </c>
      <c r="E14" s="26">
        <f>(((Table3[[#This Row],[Core CPI]]-$C$496)/$C$496)*100)+100</f>
        <v/>
      </c>
      <c r="F14" s="47" t="n"/>
      <c r="G14" s="27" t="n"/>
    </row>
    <row r="15">
      <c r="A15" s="50" t="n">
        <v>21855</v>
      </c>
      <c r="B15" s="28">
        <f>VLOOKUP(Table3[[#This Row],[Date]],'PCE Core'!$A:$E,2,)</f>
        <v/>
      </c>
      <c r="C15" s="26">
        <f>VLOOKUP(Table3[[#This Row],[Date]],Database!$A:$E,5)</f>
        <v/>
      </c>
      <c r="D15" s="26">
        <f>(((Table3[[#This Row],[Core PCE]]-$B$496)/$B$496)*100)+100</f>
        <v/>
      </c>
      <c r="E15" s="26">
        <f>(((Table3[[#This Row],[Core CPI]]-$C$496)/$C$496)*100)+100</f>
        <v/>
      </c>
      <c r="F15" s="47" t="n"/>
      <c r="G15" s="27" t="n"/>
    </row>
    <row r="16">
      <c r="A16" s="47" t="n">
        <v>21885</v>
      </c>
      <c r="B16" s="28">
        <f>VLOOKUP(Table3[[#This Row],[Date]],'PCE Core'!$A:$E,2,)</f>
        <v/>
      </c>
      <c r="C16" s="28">
        <f>VLOOKUP(Table3[[#This Row],[Date]],Database!$A:$E,5)</f>
        <v/>
      </c>
      <c r="D16" s="26">
        <f>(((Table3[[#This Row],[Core PCE]]-$B$496)/$B$496)*100)+100</f>
        <v/>
      </c>
      <c r="E16" s="26">
        <f>(((Table3[[#This Row],[Core CPI]]-$C$496)/$C$496)*100)+100</f>
        <v/>
      </c>
      <c r="F16" s="47" t="n"/>
      <c r="G16" s="27" t="n"/>
    </row>
    <row r="17">
      <c r="A17" s="50" t="n">
        <v>21916</v>
      </c>
      <c r="B17" s="28">
        <f>VLOOKUP(Table3[[#This Row],[Date]],'PCE Core'!$A:$E,2,)</f>
        <v/>
      </c>
      <c r="C17" s="28">
        <f>VLOOKUP(Table3[[#This Row],[Date]],Database!$A:$E,5)</f>
        <v/>
      </c>
      <c r="D17" s="26">
        <f>(((Table3[[#This Row],[Core PCE]]-$B$496)/$B$496)*100)+100</f>
        <v/>
      </c>
      <c r="E17" s="26">
        <f>(((Table3[[#This Row],[Core CPI]]-$C$496)/$C$496)*100)+100</f>
        <v/>
      </c>
      <c r="F17" s="47" t="n"/>
      <c r="G17" s="27">
        <f>VLOOKUP(Table3[[#This Row],[Date]],'PCE Core'!A:D,4,)</f>
        <v/>
      </c>
    </row>
    <row r="18">
      <c r="A18" s="47" t="n">
        <v>21947</v>
      </c>
      <c r="B18" s="28">
        <f>VLOOKUP(Table3[[#This Row],[Date]],'PCE Core'!$A:$E,2,)</f>
        <v/>
      </c>
      <c r="C18" s="26">
        <f>VLOOKUP(Table3[[#This Row],[Date]],Database!$A:$E,5)</f>
        <v/>
      </c>
      <c r="D18" s="26">
        <f>(((Table3[[#This Row],[Core PCE]]-$B$496)/$B$496)*100)+100</f>
        <v/>
      </c>
      <c r="E18" s="26">
        <f>(((Table3[[#This Row],[Core CPI]]-$C$496)/$C$496)*100)+100</f>
        <v/>
      </c>
      <c r="F18" s="47" t="n"/>
      <c r="G18" s="27">
        <f>VLOOKUP(Table3[[#This Row],[Date]],'PCE Core'!A:D,4,)</f>
        <v/>
      </c>
    </row>
    <row r="19">
      <c r="A19" s="50" t="n">
        <v>21976</v>
      </c>
      <c r="B19" s="28">
        <f>VLOOKUP(Table3[[#This Row],[Date]],'PCE Core'!$A:$E,2,)</f>
        <v/>
      </c>
      <c r="C19" s="28">
        <f>VLOOKUP(Table3[[#This Row],[Date]],Database!$A:$E,5)</f>
        <v/>
      </c>
      <c r="D19" s="26">
        <f>(((Table3[[#This Row],[Core PCE]]-$B$496)/$B$496)*100)+100</f>
        <v/>
      </c>
      <c r="E19" s="26">
        <f>(((Table3[[#This Row],[Core CPI]]-$C$496)/$C$496)*100)+100</f>
        <v/>
      </c>
      <c r="F19" s="47" t="n"/>
      <c r="G19" s="27">
        <f>VLOOKUP(Table3[[#This Row],[Date]],'PCE Core'!A:D,4,)</f>
        <v/>
      </c>
    </row>
    <row r="20">
      <c r="A20" s="47" t="n">
        <v>22007</v>
      </c>
      <c r="B20" s="28">
        <f>VLOOKUP(Table3[[#This Row],[Date]],'PCE Core'!$A:$E,2,)</f>
        <v/>
      </c>
      <c r="C20" s="28">
        <f>VLOOKUP(Table3[[#This Row],[Date]],Database!$A:$E,5)</f>
        <v/>
      </c>
      <c r="D20" s="26">
        <f>(((Table3[[#This Row],[Core PCE]]-$B$496)/$B$496)*100)+100</f>
        <v/>
      </c>
      <c r="E20" s="26">
        <f>(((Table3[[#This Row],[Core CPI]]-$C$496)/$C$496)*100)+100</f>
        <v/>
      </c>
      <c r="F20" s="47" t="n"/>
      <c r="G20" s="27">
        <f>VLOOKUP(Table3[[#This Row],[Date]],'PCE Core'!A:D,4,)</f>
        <v/>
      </c>
    </row>
    <row r="21">
      <c r="A21" s="50" t="n">
        <v>22037</v>
      </c>
      <c r="B21" s="28">
        <f>VLOOKUP(Table3[[#This Row],[Date]],'PCE Core'!$A:$E,2,)</f>
        <v/>
      </c>
      <c r="C21" s="26">
        <f>VLOOKUP(Table3[[#This Row],[Date]],Database!$A:$E,5)</f>
        <v/>
      </c>
      <c r="D21" s="26">
        <f>(((Table3[[#This Row],[Core PCE]]-$B$496)/$B$496)*100)+100</f>
        <v/>
      </c>
      <c r="E21" s="26">
        <f>(((Table3[[#This Row],[Core CPI]]-$C$496)/$C$496)*100)+100</f>
        <v/>
      </c>
      <c r="F21" s="47" t="n"/>
      <c r="G21" s="27">
        <f>VLOOKUP(Table3[[#This Row],[Date]],'PCE Core'!A:D,4,)</f>
        <v/>
      </c>
    </row>
    <row r="22">
      <c r="A22" s="47" t="n">
        <v>22068</v>
      </c>
      <c r="B22" s="28">
        <f>VLOOKUP(Table3[[#This Row],[Date]],'PCE Core'!$A:$E,2,)</f>
        <v/>
      </c>
      <c r="C22" s="28">
        <f>VLOOKUP(Table3[[#This Row],[Date]],Database!$A:$E,5)</f>
        <v/>
      </c>
      <c r="D22" s="26">
        <f>(((Table3[[#This Row],[Core PCE]]-$B$496)/$B$496)*100)+100</f>
        <v/>
      </c>
      <c r="E22" s="26">
        <f>(((Table3[[#This Row],[Core CPI]]-$C$496)/$C$496)*100)+100</f>
        <v/>
      </c>
      <c r="F22" s="47" t="n"/>
      <c r="G22" s="27">
        <f>VLOOKUP(Table3[[#This Row],[Date]],'PCE Core'!A:D,4,)</f>
        <v/>
      </c>
    </row>
    <row r="23">
      <c r="A23" s="50" t="n">
        <v>22098</v>
      </c>
      <c r="B23" s="28">
        <f>VLOOKUP(Table3[[#This Row],[Date]],'PCE Core'!$A:$E,2,)</f>
        <v/>
      </c>
      <c r="C23" s="28">
        <f>VLOOKUP(Table3[[#This Row],[Date]],Database!$A:$E,5)</f>
        <v/>
      </c>
      <c r="D23" s="26">
        <f>(((Table3[[#This Row],[Core PCE]]-$B$496)/$B$496)*100)+100</f>
        <v/>
      </c>
      <c r="E23" s="26">
        <f>(((Table3[[#This Row],[Core CPI]]-$C$496)/$C$496)*100)+100</f>
        <v/>
      </c>
      <c r="F23" s="47" t="n"/>
      <c r="G23" s="27">
        <f>VLOOKUP(Table3[[#This Row],[Date]],'PCE Core'!A:D,4,)</f>
        <v/>
      </c>
    </row>
    <row r="24">
      <c r="A24" s="47" t="n">
        <v>22129</v>
      </c>
      <c r="B24" s="28">
        <f>VLOOKUP(Table3[[#This Row],[Date]],'PCE Core'!$A:$E,2,)</f>
        <v/>
      </c>
      <c r="C24" s="26">
        <f>VLOOKUP(Table3[[#This Row],[Date]],Database!$A:$E,5)</f>
        <v/>
      </c>
      <c r="D24" s="26">
        <f>(((Table3[[#This Row],[Core PCE]]-$B$496)/$B$496)*100)+100</f>
        <v/>
      </c>
      <c r="E24" s="26">
        <f>(((Table3[[#This Row],[Core CPI]]-$C$496)/$C$496)*100)+100</f>
        <v/>
      </c>
      <c r="F24" s="47" t="n"/>
      <c r="G24" s="27">
        <f>VLOOKUP(Table3[[#This Row],[Date]],'PCE Core'!A:D,4,)</f>
        <v/>
      </c>
    </row>
    <row r="25">
      <c r="A25" s="50" t="n">
        <v>22160</v>
      </c>
      <c r="B25" s="28">
        <f>VLOOKUP(Table3[[#This Row],[Date]],'PCE Core'!$A:$E,2,)</f>
        <v/>
      </c>
      <c r="C25" s="28">
        <f>VLOOKUP(Table3[[#This Row],[Date]],Database!$A:$E,5)</f>
        <v/>
      </c>
      <c r="D25" s="26">
        <f>(((Table3[[#This Row],[Core PCE]]-$B$496)/$B$496)*100)+100</f>
        <v/>
      </c>
      <c r="E25" s="26">
        <f>(((Table3[[#This Row],[Core CPI]]-$C$496)/$C$496)*100)+100</f>
        <v/>
      </c>
      <c r="F25" s="47" t="n"/>
      <c r="G25" s="27">
        <f>VLOOKUP(Table3[[#This Row],[Date]],'PCE Core'!A:D,4,)</f>
        <v/>
      </c>
    </row>
    <row r="26">
      <c r="A26" s="47" t="n">
        <v>22190</v>
      </c>
      <c r="B26" s="28">
        <f>VLOOKUP(Table3[[#This Row],[Date]],'PCE Core'!$A:$E,2,)</f>
        <v/>
      </c>
      <c r="C26" s="28">
        <f>VLOOKUP(Table3[[#This Row],[Date]],Database!$A:$E,5)</f>
        <v/>
      </c>
      <c r="D26" s="26">
        <f>(((Table3[[#This Row],[Core PCE]]-$B$496)/$B$496)*100)+100</f>
        <v/>
      </c>
      <c r="E26" s="26">
        <f>(((Table3[[#This Row],[Core CPI]]-$C$496)/$C$496)*100)+100</f>
        <v/>
      </c>
      <c r="F26" s="47" t="n"/>
      <c r="G26" s="27">
        <f>VLOOKUP(Table3[[#This Row],[Date]],'PCE Core'!A:D,4,)</f>
        <v/>
      </c>
    </row>
    <row r="27">
      <c r="A27" s="50" t="n">
        <v>22221</v>
      </c>
      <c r="B27" s="28">
        <f>VLOOKUP(Table3[[#This Row],[Date]],'PCE Core'!$A:$E,2,)</f>
        <v/>
      </c>
      <c r="C27" s="26">
        <f>VLOOKUP(Table3[[#This Row],[Date]],Database!$A:$E,5)</f>
        <v/>
      </c>
      <c r="D27" s="26">
        <f>(((Table3[[#This Row],[Core PCE]]-$B$496)/$B$496)*100)+100</f>
        <v/>
      </c>
      <c r="E27" s="26">
        <f>(((Table3[[#This Row],[Core CPI]]-$C$496)/$C$496)*100)+100</f>
        <v/>
      </c>
      <c r="F27" s="47" t="n"/>
      <c r="G27" s="27">
        <f>VLOOKUP(Table3[[#This Row],[Date]],'PCE Core'!A:D,4,)</f>
        <v/>
      </c>
    </row>
    <row r="28">
      <c r="A28" s="47" t="n">
        <v>22251</v>
      </c>
      <c r="B28" s="28">
        <f>VLOOKUP(Table3[[#This Row],[Date]],'PCE Core'!$A:$E,2,)</f>
        <v/>
      </c>
      <c r="C28" s="28">
        <f>VLOOKUP(Table3[[#This Row],[Date]],Database!$A:$E,5)</f>
        <v/>
      </c>
      <c r="D28" s="26">
        <f>(((Table3[[#This Row],[Core PCE]]-$B$496)/$B$496)*100)+100</f>
        <v/>
      </c>
      <c r="E28" s="26">
        <f>(((Table3[[#This Row],[Core CPI]]-$C$496)/$C$496)*100)+100</f>
        <v/>
      </c>
      <c r="F28" s="47" t="n"/>
      <c r="G28" s="27">
        <f>VLOOKUP(Table3[[#This Row],[Date]],'PCE Core'!A:D,4,)</f>
        <v/>
      </c>
    </row>
    <row r="29">
      <c r="A29" s="50" t="n">
        <v>22282</v>
      </c>
      <c r="B29" s="28">
        <f>VLOOKUP(Table3[[#This Row],[Date]],'PCE Core'!$A:$E,2,)</f>
        <v/>
      </c>
      <c r="C29" s="28">
        <f>VLOOKUP(Table3[[#This Row],[Date]],Database!$A:$E,5)</f>
        <v/>
      </c>
      <c r="D29" s="26">
        <f>(((Table3[[#This Row],[Core PCE]]-$B$496)/$B$496)*100)+100</f>
        <v/>
      </c>
      <c r="E29" s="26">
        <f>(((Table3[[#This Row],[Core CPI]]-$C$496)/$C$496)*100)+100</f>
        <v/>
      </c>
      <c r="F29" s="47" t="n"/>
      <c r="G29" s="27">
        <f>VLOOKUP(Table3[[#This Row],[Date]],'PCE Core'!A:D,4,)</f>
        <v/>
      </c>
    </row>
    <row r="30">
      <c r="A30" s="47" t="n">
        <v>22313</v>
      </c>
      <c r="B30" s="28">
        <f>VLOOKUP(Table3[[#This Row],[Date]],'PCE Core'!$A:$E,2,)</f>
        <v/>
      </c>
      <c r="C30" s="26">
        <f>VLOOKUP(Table3[[#This Row],[Date]],Database!$A:$E,5)</f>
        <v/>
      </c>
      <c r="D30" s="26">
        <f>(((Table3[[#This Row],[Core PCE]]-$B$496)/$B$496)*100)+100</f>
        <v/>
      </c>
      <c r="E30" s="26">
        <f>(((Table3[[#This Row],[Core CPI]]-$C$496)/$C$496)*100)+100</f>
        <v/>
      </c>
      <c r="F30" s="47" t="n"/>
      <c r="G30" s="27">
        <f>VLOOKUP(Table3[[#This Row],[Date]],'PCE Core'!A:D,4,)</f>
        <v/>
      </c>
    </row>
    <row r="31">
      <c r="A31" s="50" t="n">
        <v>22341</v>
      </c>
      <c r="B31" s="28">
        <f>VLOOKUP(Table3[[#This Row],[Date]],'PCE Core'!$A:$E,2,)</f>
        <v/>
      </c>
      <c r="C31" s="28">
        <f>VLOOKUP(Table3[[#This Row],[Date]],Database!$A:$E,5)</f>
        <v/>
      </c>
      <c r="D31" s="26">
        <f>(((Table3[[#This Row],[Core PCE]]-$B$496)/$B$496)*100)+100</f>
        <v/>
      </c>
      <c r="E31" s="26">
        <f>(((Table3[[#This Row],[Core CPI]]-$C$496)/$C$496)*100)+100</f>
        <v/>
      </c>
      <c r="F31" s="47" t="n"/>
      <c r="G31" s="27">
        <f>VLOOKUP(Table3[[#This Row],[Date]],'PCE Core'!A:D,4,)</f>
        <v/>
      </c>
    </row>
    <row r="32">
      <c r="A32" s="47" t="n">
        <v>22372</v>
      </c>
      <c r="B32" s="28">
        <f>VLOOKUP(Table3[[#This Row],[Date]],'PCE Core'!$A:$E,2,)</f>
        <v/>
      </c>
      <c r="C32" s="28">
        <f>VLOOKUP(Table3[[#This Row],[Date]],Database!$A:$E,5)</f>
        <v/>
      </c>
      <c r="D32" s="26">
        <f>(((Table3[[#This Row],[Core PCE]]-$B$496)/$B$496)*100)+100</f>
        <v/>
      </c>
      <c r="E32" s="26">
        <f>(((Table3[[#This Row],[Core CPI]]-$C$496)/$C$496)*100)+100</f>
        <v/>
      </c>
      <c r="F32" s="47" t="n"/>
      <c r="G32" s="27">
        <f>VLOOKUP(Table3[[#This Row],[Date]],'PCE Core'!A:D,4,)</f>
        <v/>
      </c>
    </row>
    <row r="33">
      <c r="A33" s="50" t="n">
        <v>22402</v>
      </c>
      <c r="B33" s="28">
        <f>VLOOKUP(Table3[[#This Row],[Date]],'PCE Core'!$A:$E,2,)</f>
        <v/>
      </c>
      <c r="C33" s="26">
        <f>VLOOKUP(Table3[[#This Row],[Date]],Database!$A:$E,5)</f>
        <v/>
      </c>
      <c r="D33" s="26">
        <f>(((Table3[[#This Row],[Core PCE]]-$B$496)/$B$496)*100)+100</f>
        <v/>
      </c>
      <c r="E33" s="26">
        <f>(((Table3[[#This Row],[Core CPI]]-$C$496)/$C$496)*100)+100</f>
        <v/>
      </c>
      <c r="F33" s="47" t="n"/>
      <c r="G33" s="27">
        <f>VLOOKUP(Table3[[#This Row],[Date]],'PCE Core'!A:D,4,)</f>
        <v/>
      </c>
    </row>
    <row r="34">
      <c r="A34" s="47" t="n">
        <v>22433</v>
      </c>
      <c r="B34" s="28">
        <f>VLOOKUP(Table3[[#This Row],[Date]],'PCE Core'!$A:$E,2,)</f>
        <v/>
      </c>
      <c r="C34" s="28">
        <f>VLOOKUP(Table3[[#This Row],[Date]],Database!$A:$E,5)</f>
        <v/>
      </c>
      <c r="D34" s="26">
        <f>(((Table3[[#This Row],[Core PCE]]-$B$496)/$B$496)*100)+100</f>
        <v/>
      </c>
      <c r="E34" s="26">
        <f>(((Table3[[#This Row],[Core CPI]]-$C$496)/$C$496)*100)+100</f>
        <v/>
      </c>
      <c r="F34" s="47" t="n"/>
      <c r="G34" s="27">
        <f>VLOOKUP(Table3[[#This Row],[Date]],'PCE Core'!A:D,4,)</f>
        <v/>
      </c>
    </row>
    <row r="35">
      <c r="A35" s="50" t="n">
        <v>22463</v>
      </c>
      <c r="B35" s="28">
        <f>VLOOKUP(Table3[[#This Row],[Date]],'PCE Core'!$A:$E,2,)</f>
        <v/>
      </c>
      <c r="C35" s="28">
        <f>VLOOKUP(Table3[[#This Row],[Date]],Database!$A:$E,5)</f>
        <v/>
      </c>
      <c r="D35" s="26">
        <f>(((Table3[[#This Row],[Core PCE]]-$B$496)/$B$496)*100)+100</f>
        <v/>
      </c>
      <c r="E35" s="26">
        <f>(((Table3[[#This Row],[Core CPI]]-$C$496)/$C$496)*100)+100</f>
        <v/>
      </c>
      <c r="F35" s="47" t="n"/>
      <c r="G35" s="27">
        <f>VLOOKUP(Table3[[#This Row],[Date]],'PCE Core'!A:D,4,)</f>
        <v/>
      </c>
    </row>
    <row r="36">
      <c r="A36" s="47" t="n">
        <v>22494</v>
      </c>
      <c r="B36" s="28">
        <f>VLOOKUP(Table3[[#This Row],[Date]],'PCE Core'!$A:$E,2,)</f>
        <v/>
      </c>
      <c r="C36" s="26">
        <f>VLOOKUP(Table3[[#This Row],[Date]],Database!$A:$E,5)</f>
        <v/>
      </c>
      <c r="D36" s="26">
        <f>(((Table3[[#This Row],[Core PCE]]-$B$496)/$B$496)*100)+100</f>
        <v/>
      </c>
      <c r="E36" s="26">
        <f>(((Table3[[#This Row],[Core CPI]]-$C$496)/$C$496)*100)+100</f>
        <v/>
      </c>
      <c r="F36" s="47" t="n"/>
      <c r="G36" s="27">
        <f>VLOOKUP(Table3[[#This Row],[Date]],'PCE Core'!A:D,4,)</f>
        <v/>
      </c>
    </row>
    <row r="37">
      <c r="A37" s="50" t="n">
        <v>22525</v>
      </c>
      <c r="B37" s="28">
        <f>VLOOKUP(Table3[[#This Row],[Date]],'PCE Core'!$A:$E,2,)</f>
        <v/>
      </c>
      <c r="C37" s="28">
        <f>VLOOKUP(Table3[[#This Row],[Date]],Database!$A:$E,5)</f>
        <v/>
      </c>
      <c r="D37" s="26">
        <f>(((Table3[[#This Row],[Core PCE]]-$B$496)/$B$496)*100)+100</f>
        <v/>
      </c>
      <c r="E37" s="26">
        <f>(((Table3[[#This Row],[Core CPI]]-$C$496)/$C$496)*100)+100</f>
        <v/>
      </c>
      <c r="F37" s="47" t="n"/>
      <c r="G37" s="27">
        <f>VLOOKUP(Table3[[#This Row],[Date]],'PCE Core'!A:D,4,)</f>
        <v/>
      </c>
    </row>
    <row r="38">
      <c r="A38" s="47" t="n">
        <v>22555</v>
      </c>
      <c r="B38" s="28">
        <f>VLOOKUP(Table3[[#This Row],[Date]],'PCE Core'!$A:$E,2,)</f>
        <v/>
      </c>
      <c r="C38" s="28">
        <f>VLOOKUP(Table3[[#This Row],[Date]],Database!$A:$E,5)</f>
        <v/>
      </c>
      <c r="D38" s="26">
        <f>(((Table3[[#This Row],[Core PCE]]-$B$496)/$B$496)*100)+100</f>
        <v/>
      </c>
      <c r="E38" s="26">
        <f>(((Table3[[#This Row],[Core CPI]]-$C$496)/$C$496)*100)+100</f>
        <v/>
      </c>
      <c r="F38" s="47" t="n"/>
      <c r="G38" s="27">
        <f>VLOOKUP(Table3[[#This Row],[Date]],'PCE Core'!A:D,4,)</f>
        <v/>
      </c>
    </row>
    <row r="39">
      <c r="A39" s="50" t="n">
        <v>22586</v>
      </c>
      <c r="B39" s="28">
        <f>VLOOKUP(Table3[[#This Row],[Date]],'PCE Core'!$A:$E,2,)</f>
        <v/>
      </c>
      <c r="C39" s="26">
        <f>VLOOKUP(Table3[[#This Row],[Date]],Database!$A:$E,5)</f>
        <v/>
      </c>
      <c r="D39" s="26">
        <f>(((Table3[[#This Row],[Core PCE]]-$B$496)/$B$496)*100)+100</f>
        <v/>
      </c>
      <c r="E39" s="26">
        <f>(((Table3[[#This Row],[Core CPI]]-$C$496)/$C$496)*100)+100</f>
        <v/>
      </c>
      <c r="F39" s="47" t="n"/>
      <c r="G39" s="27">
        <f>VLOOKUP(Table3[[#This Row],[Date]],'PCE Core'!A:D,4,)</f>
        <v/>
      </c>
    </row>
    <row r="40">
      <c r="A40" s="47" t="n">
        <v>22616</v>
      </c>
      <c r="B40" s="28">
        <f>VLOOKUP(Table3[[#This Row],[Date]],'PCE Core'!$A:$E,2,)</f>
        <v/>
      </c>
      <c r="C40" s="28">
        <f>VLOOKUP(Table3[[#This Row],[Date]],Database!$A:$E,5)</f>
        <v/>
      </c>
      <c r="D40" s="26">
        <f>(((Table3[[#This Row],[Core PCE]]-$B$496)/$B$496)*100)+100</f>
        <v/>
      </c>
      <c r="E40" s="26">
        <f>(((Table3[[#This Row],[Core CPI]]-$C$496)/$C$496)*100)+100</f>
        <v/>
      </c>
      <c r="F40" s="47" t="n"/>
      <c r="G40" s="27">
        <f>VLOOKUP(Table3[[#This Row],[Date]],'PCE Core'!A:D,4,)</f>
        <v/>
      </c>
    </row>
    <row r="41">
      <c r="A41" s="50" t="n">
        <v>22647</v>
      </c>
      <c r="B41" s="28">
        <f>VLOOKUP(Table3[[#This Row],[Date]],'PCE Core'!$A:$E,2,)</f>
        <v/>
      </c>
      <c r="C41" s="28">
        <f>VLOOKUP(Table3[[#This Row],[Date]],Database!$A:$E,5)</f>
        <v/>
      </c>
      <c r="D41" s="26">
        <f>(((Table3[[#This Row],[Core PCE]]-$B$496)/$B$496)*100)+100</f>
        <v/>
      </c>
      <c r="E41" s="26">
        <f>(((Table3[[#This Row],[Core CPI]]-$C$496)/$C$496)*100)+100</f>
        <v/>
      </c>
      <c r="F41" s="47" t="n"/>
      <c r="G41" s="27">
        <f>VLOOKUP(Table3[[#This Row],[Date]],'PCE Core'!A:D,4,)</f>
        <v/>
      </c>
    </row>
    <row r="42">
      <c r="A42" s="47" t="n">
        <v>22678</v>
      </c>
      <c r="B42" s="28">
        <f>VLOOKUP(Table3[[#This Row],[Date]],'PCE Core'!$A:$E,2,)</f>
        <v/>
      </c>
      <c r="C42" s="26">
        <f>VLOOKUP(Table3[[#This Row],[Date]],Database!$A:$E,5)</f>
        <v/>
      </c>
      <c r="D42" s="26">
        <f>(((Table3[[#This Row],[Core PCE]]-$B$496)/$B$496)*100)+100</f>
        <v/>
      </c>
      <c r="E42" s="26">
        <f>(((Table3[[#This Row],[Core CPI]]-$C$496)/$C$496)*100)+100</f>
        <v/>
      </c>
      <c r="F42" s="47" t="n"/>
      <c r="G42" s="27">
        <f>VLOOKUP(Table3[[#This Row],[Date]],'PCE Core'!A:D,4,)</f>
        <v/>
      </c>
    </row>
    <row r="43">
      <c r="A43" s="50" t="n">
        <v>22706</v>
      </c>
      <c r="B43" s="28">
        <f>VLOOKUP(Table3[[#This Row],[Date]],'PCE Core'!$A:$E,2,)</f>
        <v/>
      </c>
      <c r="C43" s="28">
        <f>VLOOKUP(Table3[[#This Row],[Date]],Database!$A:$E,5)</f>
        <v/>
      </c>
      <c r="D43" s="26">
        <f>(((Table3[[#This Row],[Core PCE]]-$B$496)/$B$496)*100)+100</f>
        <v/>
      </c>
      <c r="E43" s="26">
        <f>(((Table3[[#This Row],[Core CPI]]-$C$496)/$C$496)*100)+100</f>
        <v/>
      </c>
      <c r="F43" s="47" t="n"/>
      <c r="G43" s="27">
        <f>VLOOKUP(Table3[[#This Row],[Date]],'PCE Core'!A:D,4,)</f>
        <v/>
      </c>
    </row>
    <row r="44">
      <c r="A44" s="47" t="n">
        <v>22737</v>
      </c>
      <c r="B44" s="28">
        <f>VLOOKUP(Table3[[#This Row],[Date]],'PCE Core'!$A:$E,2,)</f>
        <v/>
      </c>
      <c r="C44" s="28">
        <f>VLOOKUP(Table3[[#This Row],[Date]],Database!$A:$E,5)</f>
        <v/>
      </c>
      <c r="D44" s="26">
        <f>(((Table3[[#This Row],[Core PCE]]-$B$496)/$B$496)*100)+100</f>
        <v/>
      </c>
      <c r="E44" s="26">
        <f>(((Table3[[#This Row],[Core CPI]]-$C$496)/$C$496)*100)+100</f>
        <v/>
      </c>
      <c r="F44" s="47" t="n"/>
      <c r="G44" s="27">
        <f>VLOOKUP(Table3[[#This Row],[Date]],'PCE Core'!A:D,4,)</f>
        <v/>
      </c>
    </row>
    <row r="45">
      <c r="A45" s="50" t="n">
        <v>22767</v>
      </c>
      <c r="B45" s="28">
        <f>VLOOKUP(Table3[[#This Row],[Date]],'PCE Core'!$A:$E,2,)</f>
        <v/>
      </c>
      <c r="C45" s="26">
        <f>VLOOKUP(Table3[[#This Row],[Date]],Database!$A:$E,5)</f>
        <v/>
      </c>
      <c r="D45" s="26">
        <f>(((Table3[[#This Row],[Core PCE]]-$B$496)/$B$496)*100)+100</f>
        <v/>
      </c>
      <c r="E45" s="26">
        <f>(((Table3[[#This Row],[Core CPI]]-$C$496)/$C$496)*100)+100</f>
        <v/>
      </c>
      <c r="F45" s="47" t="n"/>
      <c r="G45" s="27">
        <f>VLOOKUP(Table3[[#This Row],[Date]],'PCE Core'!A:D,4,)</f>
        <v/>
      </c>
    </row>
    <row r="46">
      <c r="A46" s="47" t="n">
        <v>22798</v>
      </c>
      <c r="B46" s="28">
        <f>VLOOKUP(Table3[[#This Row],[Date]],'PCE Core'!$A:$E,2,)</f>
        <v/>
      </c>
      <c r="C46" s="28">
        <f>VLOOKUP(Table3[[#This Row],[Date]],Database!$A:$E,5)</f>
        <v/>
      </c>
      <c r="D46" s="26">
        <f>(((Table3[[#This Row],[Core PCE]]-$B$496)/$B$496)*100)+100</f>
        <v/>
      </c>
      <c r="E46" s="26">
        <f>(((Table3[[#This Row],[Core CPI]]-$C$496)/$C$496)*100)+100</f>
        <v/>
      </c>
      <c r="F46" s="47" t="n"/>
      <c r="G46" s="27">
        <f>VLOOKUP(Table3[[#This Row],[Date]],'PCE Core'!A:D,4,)</f>
        <v/>
      </c>
    </row>
    <row r="47">
      <c r="A47" s="50" t="n">
        <v>22828</v>
      </c>
      <c r="B47" s="28">
        <f>VLOOKUP(Table3[[#This Row],[Date]],'PCE Core'!$A:$E,2,)</f>
        <v/>
      </c>
      <c r="C47" s="28">
        <f>VLOOKUP(Table3[[#This Row],[Date]],Database!$A:$E,5)</f>
        <v/>
      </c>
      <c r="D47" s="26">
        <f>(((Table3[[#This Row],[Core PCE]]-$B$496)/$B$496)*100)+100</f>
        <v/>
      </c>
      <c r="E47" s="26">
        <f>(((Table3[[#This Row],[Core CPI]]-$C$496)/$C$496)*100)+100</f>
        <v/>
      </c>
      <c r="F47" s="47" t="n"/>
      <c r="G47" s="27">
        <f>VLOOKUP(Table3[[#This Row],[Date]],'PCE Core'!A:D,4,)</f>
        <v/>
      </c>
    </row>
    <row r="48">
      <c r="A48" s="47" t="n">
        <v>22859</v>
      </c>
      <c r="B48" s="28">
        <f>VLOOKUP(Table3[[#This Row],[Date]],'PCE Core'!$A:$E,2,)</f>
        <v/>
      </c>
      <c r="C48" s="26">
        <f>VLOOKUP(Table3[[#This Row],[Date]],Database!$A:$E,5)</f>
        <v/>
      </c>
      <c r="D48" s="26">
        <f>(((Table3[[#This Row],[Core PCE]]-$B$496)/$B$496)*100)+100</f>
        <v/>
      </c>
      <c r="E48" s="26">
        <f>(((Table3[[#This Row],[Core CPI]]-$C$496)/$C$496)*100)+100</f>
        <v/>
      </c>
      <c r="F48" s="47" t="n"/>
      <c r="G48" s="27">
        <f>VLOOKUP(Table3[[#This Row],[Date]],'PCE Core'!A:D,4,)</f>
        <v/>
      </c>
    </row>
    <row r="49">
      <c r="A49" s="50" t="n">
        <v>22890</v>
      </c>
      <c r="B49" s="28">
        <f>VLOOKUP(Table3[[#This Row],[Date]],'PCE Core'!$A:$E,2,)</f>
        <v/>
      </c>
      <c r="C49" s="28">
        <f>VLOOKUP(Table3[[#This Row],[Date]],Database!$A:$E,5)</f>
        <v/>
      </c>
      <c r="D49" s="26">
        <f>(((Table3[[#This Row],[Core PCE]]-$B$496)/$B$496)*100)+100</f>
        <v/>
      </c>
      <c r="E49" s="26">
        <f>(((Table3[[#This Row],[Core CPI]]-$C$496)/$C$496)*100)+100</f>
        <v/>
      </c>
      <c r="F49" s="47" t="n"/>
      <c r="G49" s="27">
        <f>VLOOKUP(Table3[[#This Row],[Date]],'PCE Core'!A:D,4,)</f>
        <v/>
      </c>
    </row>
    <row r="50">
      <c r="A50" s="47" t="n">
        <v>22920</v>
      </c>
      <c r="B50" s="28">
        <f>VLOOKUP(Table3[[#This Row],[Date]],'PCE Core'!$A:$E,2,)</f>
        <v/>
      </c>
      <c r="C50" s="28">
        <f>VLOOKUP(Table3[[#This Row],[Date]],Database!$A:$E,5)</f>
        <v/>
      </c>
      <c r="D50" s="26">
        <f>(((Table3[[#This Row],[Core PCE]]-$B$496)/$B$496)*100)+100</f>
        <v/>
      </c>
      <c r="E50" s="26">
        <f>(((Table3[[#This Row],[Core CPI]]-$C$496)/$C$496)*100)+100</f>
        <v/>
      </c>
      <c r="F50" s="47" t="n"/>
      <c r="G50" s="27">
        <f>VLOOKUP(Table3[[#This Row],[Date]],'PCE Core'!A:D,4,)</f>
        <v/>
      </c>
    </row>
    <row r="51">
      <c r="A51" s="50" t="n">
        <v>22951</v>
      </c>
      <c r="B51" s="28">
        <f>VLOOKUP(Table3[[#This Row],[Date]],'PCE Core'!$A:$E,2,)</f>
        <v/>
      </c>
      <c r="C51" s="26">
        <f>VLOOKUP(Table3[[#This Row],[Date]],Database!$A:$E,5)</f>
        <v/>
      </c>
      <c r="D51" s="26">
        <f>(((Table3[[#This Row],[Core PCE]]-$B$496)/$B$496)*100)+100</f>
        <v/>
      </c>
      <c r="E51" s="26">
        <f>(((Table3[[#This Row],[Core CPI]]-$C$496)/$C$496)*100)+100</f>
        <v/>
      </c>
      <c r="F51" s="47" t="n"/>
      <c r="G51" s="27">
        <f>VLOOKUP(Table3[[#This Row],[Date]],'PCE Core'!A:D,4,)</f>
        <v/>
      </c>
    </row>
    <row r="52">
      <c r="A52" s="47" t="n">
        <v>22981</v>
      </c>
      <c r="B52" s="28">
        <f>VLOOKUP(Table3[[#This Row],[Date]],'PCE Core'!$A:$E,2,)</f>
        <v/>
      </c>
      <c r="C52" s="28">
        <f>VLOOKUP(Table3[[#This Row],[Date]],Database!$A:$E,5)</f>
        <v/>
      </c>
      <c r="D52" s="26">
        <f>(((Table3[[#This Row],[Core PCE]]-$B$496)/$B$496)*100)+100</f>
        <v/>
      </c>
      <c r="E52" s="26">
        <f>(((Table3[[#This Row],[Core CPI]]-$C$496)/$C$496)*100)+100</f>
        <v/>
      </c>
      <c r="F52" s="47" t="n"/>
      <c r="G52" s="27">
        <f>VLOOKUP(Table3[[#This Row],[Date]],'PCE Core'!A:D,4,)</f>
        <v/>
      </c>
    </row>
    <row r="53">
      <c r="A53" s="50" t="n">
        <v>23012</v>
      </c>
      <c r="B53" s="28">
        <f>VLOOKUP(Table3[[#This Row],[Date]],'PCE Core'!$A:$E,2,)</f>
        <v/>
      </c>
      <c r="C53" s="28">
        <f>VLOOKUP(Table3[[#This Row],[Date]],Database!$A:$E,5)</f>
        <v/>
      </c>
      <c r="D53" s="26">
        <f>(((Table3[[#This Row],[Core PCE]]-$B$496)/$B$496)*100)+100</f>
        <v/>
      </c>
      <c r="E53" s="26">
        <f>(((Table3[[#This Row],[Core CPI]]-$C$496)/$C$496)*100)+100</f>
        <v/>
      </c>
      <c r="F53" s="47" t="n"/>
      <c r="G53" s="27">
        <f>VLOOKUP(Table3[[#This Row],[Date]],'PCE Core'!A:D,4,)</f>
        <v/>
      </c>
    </row>
    <row r="54">
      <c r="A54" s="47" t="n">
        <v>23043</v>
      </c>
      <c r="B54" s="28">
        <f>VLOOKUP(Table3[[#This Row],[Date]],'PCE Core'!$A:$E,2,)</f>
        <v/>
      </c>
      <c r="C54" s="26">
        <f>VLOOKUP(Table3[[#This Row],[Date]],Database!$A:$E,5)</f>
        <v/>
      </c>
      <c r="D54" s="26">
        <f>(((Table3[[#This Row],[Core PCE]]-$B$496)/$B$496)*100)+100</f>
        <v/>
      </c>
      <c r="E54" s="26">
        <f>(((Table3[[#This Row],[Core CPI]]-$C$496)/$C$496)*100)+100</f>
        <v/>
      </c>
      <c r="F54" s="47" t="n"/>
      <c r="G54" s="27">
        <f>VLOOKUP(Table3[[#This Row],[Date]],'PCE Core'!A:D,4,)</f>
        <v/>
      </c>
    </row>
    <row r="55">
      <c r="A55" s="50" t="n">
        <v>23071</v>
      </c>
      <c r="B55" s="28">
        <f>VLOOKUP(Table3[[#This Row],[Date]],'PCE Core'!$A:$E,2,)</f>
        <v/>
      </c>
      <c r="C55" s="28">
        <f>VLOOKUP(Table3[[#This Row],[Date]],Database!$A:$E,5)</f>
        <v/>
      </c>
      <c r="D55" s="26">
        <f>(((Table3[[#This Row],[Core PCE]]-$B$496)/$B$496)*100)+100</f>
        <v/>
      </c>
      <c r="E55" s="26">
        <f>(((Table3[[#This Row],[Core CPI]]-$C$496)/$C$496)*100)+100</f>
        <v/>
      </c>
      <c r="F55" s="47" t="n"/>
      <c r="G55" s="27">
        <f>VLOOKUP(Table3[[#This Row],[Date]],'PCE Core'!A:D,4,)</f>
        <v/>
      </c>
    </row>
    <row r="56">
      <c r="A56" s="47" t="n">
        <v>23102</v>
      </c>
      <c r="B56" s="28">
        <f>VLOOKUP(Table3[[#This Row],[Date]],'PCE Core'!$A:$E,2,)</f>
        <v/>
      </c>
      <c r="C56" s="28">
        <f>VLOOKUP(Table3[[#This Row],[Date]],Database!$A:$E,5)</f>
        <v/>
      </c>
      <c r="D56" s="26">
        <f>(((Table3[[#This Row],[Core PCE]]-$B$496)/$B$496)*100)+100</f>
        <v/>
      </c>
      <c r="E56" s="26">
        <f>(((Table3[[#This Row],[Core CPI]]-$C$496)/$C$496)*100)+100</f>
        <v/>
      </c>
      <c r="F56" s="47" t="n"/>
      <c r="G56" s="27">
        <f>VLOOKUP(Table3[[#This Row],[Date]],'PCE Core'!A:D,4,)</f>
        <v/>
      </c>
    </row>
    <row r="57">
      <c r="A57" s="50" t="n">
        <v>23132</v>
      </c>
      <c r="B57" s="28">
        <f>VLOOKUP(Table3[[#This Row],[Date]],'PCE Core'!$A:$E,2,)</f>
        <v/>
      </c>
      <c r="C57" s="26">
        <f>VLOOKUP(Table3[[#This Row],[Date]],Database!$A:$E,5)</f>
        <v/>
      </c>
      <c r="D57" s="26">
        <f>(((Table3[[#This Row],[Core PCE]]-$B$496)/$B$496)*100)+100</f>
        <v/>
      </c>
      <c r="E57" s="26">
        <f>(((Table3[[#This Row],[Core CPI]]-$C$496)/$C$496)*100)+100</f>
        <v/>
      </c>
      <c r="F57" s="47" t="n"/>
      <c r="G57" s="27">
        <f>VLOOKUP(Table3[[#This Row],[Date]],'PCE Core'!A:D,4,)</f>
        <v/>
      </c>
    </row>
    <row r="58">
      <c r="A58" s="47" t="n">
        <v>23163</v>
      </c>
      <c r="B58" s="28">
        <f>VLOOKUP(Table3[[#This Row],[Date]],'PCE Core'!$A:$E,2,)</f>
        <v/>
      </c>
      <c r="C58" s="28">
        <f>VLOOKUP(Table3[[#This Row],[Date]],Database!$A:$E,5)</f>
        <v/>
      </c>
      <c r="D58" s="26">
        <f>(((Table3[[#This Row],[Core PCE]]-$B$496)/$B$496)*100)+100</f>
        <v/>
      </c>
      <c r="E58" s="26">
        <f>(((Table3[[#This Row],[Core CPI]]-$C$496)/$C$496)*100)+100</f>
        <v/>
      </c>
      <c r="F58" s="47" t="n"/>
      <c r="G58" s="27">
        <f>VLOOKUP(Table3[[#This Row],[Date]],'PCE Core'!A:D,4,)</f>
        <v/>
      </c>
    </row>
    <row r="59">
      <c r="A59" s="50" t="n">
        <v>23193</v>
      </c>
      <c r="B59" s="28">
        <f>VLOOKUP(Table3[[#This Row],[Date]],'PCE Core'!$A:$E,2,)</f>
        <v/>
      </c>
      <c r="C59" s="28">
        <f>VLOOKUP(Table3[[#This Row],[Date]],Database!$A:$E,5)</f>
        <v/>
      </c>
      <c r="D59" s="26">
        <f>(((Table3[[#This Row],[Core PCE]]-$B$496)/$B$496)*100)+100</f>
        <v/>
      </c>
      <c r="E59" s="26">
        <f>(((Table3[[#This Row],[Core CPI]]-$C$496)/$C$496)*100)+100</f>
        <v/>
      </c>
      <c r="F59" s="47" t="n"/>
      <c r="G59" s="27">
        <f>VLOOKUP(Table3[[#This Row],[Date]],'PCE Core'!A:D,4,)</f>
        <v/>
      </c>
    </row>
    <row r="60">
      <c r="A60" s="47" t="n">
        <v>23224</v>
      </c>
      <c r="B60" s="28">
        <f>VLOOKUP(Table3[[#This Row],[Date]],'PCE Core'!$A:$E,2,)</f>
        <v/>
      </c>
      <c r="C60" s="26">
        <f>VLOOKUP(Table3[[#This Row],[Date]],Database!$A:$E,5)</f>
        <v/>
      </c>
      <c r="D60" s="26">
        <f>(((Table3[[#This Row],[Core PCE]]-$B$496)/$B$496)*100)+100</f>
        <v/>
      </c>
      <c r="E60" s="26">
        <f>(((Table3[[#This Row],[Core CPI]]-$C$496)/$C$496)*100)+100</f>
        <v/>
      </c>
      <c r="F60" s="47" t="n"/>
      <c r="G60" s="27">
        <f>VLOOKUP(Table3[[#This Row],[Date]],'PCE Core'!A:D,4,)</f>
        <v/>
      </c>
    </row>
    <row r="61">
      <c r="A61" s="50" t="n">
        <v>23255</v>
      </c>
      <c r="B61" s="28">
        <f>VLOOKUP(Table3[[#This Row],[Date]],'PCE Core'!$A:$E,2,)</f>
        <v/>
      </c>
      <c r="C61" s="28">
        <f>VLOOKUP(Table3[[#This Row],[Date]],Database!$A:$E,5)</f>
        <v/>
      </c>
      <c r="D61" s="26">
        <f>(((Table3[[#This Row],[Core PCE]]-$B$496)/$B$496)*100)+100</f>
        <v/>
      </c>
      <c r="E61" s="26">
        <f>(((Table3[[#This Row],[Core CPI]]-$C$496)/$C$496)*100)+100</f>
        <v/>
      </c>
      <c r="F61" s="47" t="n"/>
      <c r="G61" s="27">
        <f>VLOOKUP(Table3[[#This Row],[Date]],'PCE Core'!A:D,4,)</f>
        <v/>
      </c>
    </row>
    <row r="62">
      <c r="A62" s="47" t="n">
        <v>23285</v>
      </c>
      <c r="B62" s="28">
        <f>VLOOKUP(Table3[[#This Row],[Date]],'PCE Core'!$A:$E,2,)</f>
        <v/>
      </c>
      <c r="C62" s="28">
        <f>VLOOKUP(Table3[[#This Row],[Date]],Database!$A:$E,5)</f>
        <v/>
      </c>
      <c r="D62" s="26">
        <f>(((Table3[[#This Row],[Core PCE]]-$B$496)/$B$496)*100)+100</f>
        <v/>
      </c>
      <c r="E62" s="26">
        <f>(((Table3[[#This Row],[Core CPI]]-$C$496)/$C$496)*100)+100</f>
        <v/>
      </c>
      <c r="F62" s="47" t="n"/>
      <c r="G62" s="27">
        <f>VLOOKUP(Table3[[#This Row],[Date]],'PCE Core'!A:D,4,)</f>
        <v/>
      </c>
    </row>
    <row r="63">
      <c r="A63" s="50" t="n">
        <v>23316</v>
      </c>
      <c r="B63" s="28">
        <f>VLOOKUP(Table3[[#This Row],[Date]],'PCE Core'!$A:$E,2,)</f>
        <v/>
      </c>
      <c r="C63" s="26">
        <f>VLOOKUP(Table3[[#This Row],[Date]],Database!$A:$E,5)</f>
        <v/>
      </c>
      <c r="D63" s="26">
        <f>(((Table3[[#This Row],[Core PCE]]-$B$496)/$B$496)*100)+100</f>
        <v/>
      </c>
      <c r="E63" s="26">
        <f>(((Table3[[#This Row],[Core CPI]]-$C$496)/$C$496)*100)+100</f>
        <v/>
      </c>
      <c r="F63" s="47" t="n"/>
      <c r="G63" s="27">
        <f>VLOOKUP(Table3[[#This Row],[Date]],'PCE Core'!A:D,4,)</f>
        <v/>
      </c>
    </row>
    <row r="64">
      <c r="A64" s="47" t="n">
        <v>23346</v>
      </c>
      <c r="B64" s="28">
        <f>VLOOKUP(Table3[[#This Row],[Date]],'PCE Core'!$A:$E,2,)</f>
        <v/>
      </c>
      <c r="C64" s="28">
        <f>VLOOKUP(Table3[[#This Row],[Date]],Database!$A:$E,5)</f>
        <v/>
      </c>
      <c r="D64" s="26">
        <f>(((Table3[[#This Row],[Core PCE]]-$B$496)/$B$496)*100)+100</f>
        <v/>
      </c>
      <c r="E64" s="26">
        <f>(((Table3[[#This Row],[Core CPI]]-$C$496)/$C$496)*100)+100</f>
        <v/>
      </c>
      <c r="F64" s="47" t="n"/>
      <c r="G64" s="27">
        <f>VLOOKUP(Table3[[#This Row],[Date]],'PCE Core'!A:D,4,)</f>
        <v/>
      </c>
    </row>
    <row r="65">
      <c r="A65" s="50" t="n">
        <v>23377</v>
      </c>
      <c r="B65" s="28">
        <f>VLOOKUP(Table3[[#This Row],[Date]],'PCE Core'!$A:$E,2,)</f>
        <v/>
      </c>
      <c r="C65" s="28">
        <f>VLOOKUP(Table3[[#This Row],[Date]],Database!$A:$E,5)</f>
        <v/>
      </c>
      <c r="D65" s="26">
        <f>(((Table3[[#This Row],[Core PCE]]-$B$496)/$B$496)*100)+100</f>
        <v/>
      </c>
      <c r="E65" s="26">
        <f>(((Table3[[#This Row],[Core CPI]]-$C$496)/$C$496)*100)+100</f>
        <v/>
      </c>
      <c r="F65" s="47" t="n"/>
      <c r="G65" s="27">
        <f>VLOOKUP(Table3[[#This Row],[Date]],'PCE Core'!A:D,4,)</f>
        <v/>
      </c>
    </row>
    <row r="66">
      <c r="A66" s="47" t="n">
        <v>23408</v>
      </c>
      <c r="B66" s="28">
        <f>VLOOKUP(Table3[[#This Row],[Date]],'PCE Core'!$A:$E,2,)</f>
        <v/>
      </c>
      <c r="C66" s="26">
        <f>VLOOKUP(Table3[[#This Row],[Date]],Database!$A:$E,5)</f>
        <v/>
      </c>
      <c r="D66" s="26">
        <f>(((Table3[[#This Row],[Core PCE]]-$B$496)/$B$496)*100)+100</f>
        <v/>
      </c>
      <c r="E66" s="26">
        <f>(((Table3[[#This Row],[Core CPI]]-$C$496)/$C$496)*100)+100</f>
        <v/>
      </c>
      <c r="F66" s="47" t="n"/>
      <c r="G66" s="27">
        <f>VLOOKUP(Table3[[#This Row],[Date]],'PCE Core'!A:D,4,)</f>
        <v/>
      </c>
    </row>
    <row r="67">
      <c r="A67" s="50" t="n">
        <v>23437</v>
      </c>
      <c r="B67" s="28">
        <f>VLOOKUP(Table3[[#This Row],[Date]],'PCE Core'!$A:$E,2,)</f>
        <v/>
      </c>
      <c r="C67" s="28">
        <f>VLOOKUP(Table3[[#This Row],[Date]],Database!$A:$E,5)</f>
        <v/>
      </c>
      <c r="D67" s="26">
        <f>(((Table3[[#This Row],[Core PCE]]-$B$496)/$B$496)*100)+100</f>
        <v/>
      </c>
      <c r="E67" s="26">
        <f>(((Table3[[#This Row],[Core CPI]]-$C$496)/$C$496)*100)+100</f>
        <v/>
      </c>
      <c r="F67" s="47" t="n"/>
      <c r="G67" s="27">
        <f>VLOOKUP(Table3[[#This Row],[Date]],'PCE Core'!A:D,4,)</f>
        <v/>
      </c>
    </row>
    <row r="68">
      <c r="A68" s="47" t="n">
        <v>23468</v>
      </c>
      <c r="B68" s="28">
        <f>VLOOKUP(Table3[[#This Row],[Date]],'PCE Core'!$A:$E,2,)</f>
        <v/>
      </c>
      <c r="C68" s="28">
        <f>VLOOKUP(Table3[[#This Row],[Date]],Database!$A:$E,5)</f>
        <v/>
      </c>
      <c r="D68" s="26">
        <f>(((Table3[[#This Row],[Core PCE]]-$B$496)/$B$496)*100)+100</f>
        <v/>
      </c>
      <c r="E68" s="26">
        <f>(((Table3[[#This Row],[Core CPI]]-$C$496)/$C$496)*100)+100</f>
        <v/>
      </c>
      <c r="F68" s="47" t="n"/>
      <c r="G68" s="27">
        <f>VLOOKUP(Table3[[#This Row],[Date]],'PCE Core'!A:D,4,)</f>
        <v/>
      </c>
    </row>
    <row r="69">
      <c r="A69" s="50" t="n">
        <v>23498</v>
      </c>
      <c r="B69" s="28">
        <f>VLOOKUP(Table3[[#This Row],[Date]],'PCE Core'!$A:$E,2,)</f>
        <v/>
      </c>
      <c r="C69" s="26">
        <f>VLOOKUP(Table3[[#This Row],[Date]],Database!$A:$E,5)</f>
        <v/>
      </c>
      <c r="D69" s="26">
        <f>(((Table3[[#This Row],[Core PCE]]-$B$496)/$B$496)*100)+100</f>
        <v/>
      </c>
      <c r="E69" s="26">
        <f>(((Table3[[#This Row],[Core CPI]]-$C$496)/$C$496)*100)+100</f>
        <v/>
      </c>
      <c r="F69" s="47" t="n"/>
      <c r="G69" s="27">
        <f>VLOOKUP(Table3[[#This Row],[Date]],'PCE Core'!A:D,4,)</f>
        <v/>
      </c>
    </row>
    <row r="70">
      <c r="A70" s="47" t="n">
        <v>23529</v>
      </c>
      <c r="B70" s="28">
        <f>VLOOKUP(Table3[[#This Row],[Date]],'PCE Core'!$A:$E,2,)</f>
        <v/>
      </c>
      <c r="C70" s="28">
        <f>VLOOKUP(Table3[[#This Row],[Date]],Database!$A:$E,5)</f>
        <v/>
      </c>
      <c r="D70" s="26">
        <f>(((Table3[[#This Row],[Core PCE]]-$B$496)/$B$496)*100)+100</f>
        <v/>
      </c>
      <c r="E70" s="26">
        <f>(((Table3[[#This Row],[Core CPI]]-$C$496)/$C$496)*100)+100</f>
        <v/>
      </c>
      <c r="F70" s="47" t="n"/>
      <c r="G70" s="27">
        <f>VLOOKUP(Table3[[#This Row],[Date]],'PCE Core'!A:D,4,)</f>
        <v/>
      </c>
    </row>
    <row r="71">
      <c r="A71" s="50" t="n">
        <v>23559</v>
      </c>
      <c r="B71" s="28">
        <f>VLOOKUP(Table3[[#This Row],[Date]],'PCE Core'!$A:$E,2,)</f>
        <v/>
      </c>
      <c r="C71" s="28">
        <f>VLOOKUP(Table3[[#This Row],[Date]],Database!$A:$E,5)</f>
        <v/>
      </c>
      <c r="D71" s="26">
        <f>(((Table3[[#This Row],[Core PCE]]-$B$496)/$B$496)*100)+100</f>
        <v/>
      </c>
      <c r="E71" s="26">
        <f>(((Table3[[#This Row],[Core CPI]]-$C$496)/$C$496)*100)+100</f>
        <v/>
      </c>
      <c r="F71" s="47" t="n"/>
      <c r="G71" s="27">
        <f>VLOOKUP(Table3[[#This Row],[Date]],'PCE Core'!A:D,4,)</f>
        <v/>
      </c>
    </row>
    <row r="72">
      <c r="A72" s="47" t="n">
        <v>23590</v>
      </c>
      <c r="B72" s="28">
        <f>VLOOKUP(Table3[[#This Row],[Date]],'PCE Core'!$A:$E,2,)</f>
        <v/>
      </c>
      <c r="C72" s="26">
        <f>VLOOKUP(Table3[[#This Row],[Date]],Database!$A:$E,5)</f>
        <v/>
      </c>
      <c r="D72" s="26">
        <f>(((Table3[[#This Row],[Core PCE]]-$B$496)/$B$496)*100)+100</f>
        <v/>
      </c>
      <c r="E72" s="26">
        <f>(((Table3[[#This Row],[Core CPI]]-$C$496)/$C$496)*100)+100</f>
        <v/>
      </c>
      <c r="F72" s="47" t="n"/>
      <c r="G72" s="27">
        <f>VLOOKUP(Table3[[#This Row],[Date]],'PCE Core'!A:D,4,)</f>
        <v/>
      </c>
    </row>
    <row r="73">
      <c r="A73" s="50" t="n">
        <v>23621</v>
      </c>
      <c r="B73" s="28">
        <f>VLOOKUP(Table3[[#This Row],[Date]],'PCE Core'!$A:$E,2,)</f>
        <v/>
      </c>
      <c r="C73" s="28">
        <f>VLOOKUP(Table3[[#This Row],[Date]],Database!$A:$E,5)</f>
        <v/>
      </c>
      <c r="D73" s="26">
        <f>(((Table3[[#This Row],[Core PCE]]-$B$496)/$B$496)*100)+100</f>
        <v/>
      </c>
      <c r="E73" s="26">
        <f>(((Table3[[#This Row],[Core CPI]]-$C$496)/$C$496)*100)+100</f>
        <v/>
      </c>
      <c r="F73" s="47" t="n"/>
      <c r="G73" s="27">
        <f>VLOOKUP(Table3[[#This Row],[Date]],'PCE Core'!A:D,4,)</f>
        <v/>
      </c>
    </row>
    <row r="74">
      <c r="A74" s="47" t="n">
        <v>23651</v>
      </c>
      <c r="B74" s="28">
        <f>VLOOKUP(Table3[[#This Row],[Date]],'PCE Core'!$A:$E,2,)</f>
        <v/>
      </c>
      <c r="C74" s="28">
        <f>VLOOKUP(Table3[[#This Row],[Date]],Database!$A:$E,5)</f>
        <v/>
      </c>
      <c r="D74" s="26">
        <f>(((Table3[[#This Row],[Core PCE]]-$B$496)/$B$496)*100)+100</f>
        <v/>
      </c>
      <c r="E74" s="26">
        <f>(((Table3[[#This Row],[Core CPI]]-$C$496)/$C$496)*100)+100</f>
        <v/>
      </c>
      <c r="F74" s="47" t="n"/>
      <c r="G74" s="27">
        <f>VLOOKUP(Table3[[#This Row],[Date]],'PCE Core'!A:D,4,)</f>
        <v/>
      </c>
    </row>
    <row r="75">
      <c r="A75" s="50" t="n">
        <v>23682</v>
      </c>
      <c r="B75" s="28">
        <f>VLOOKUP(Table3[[#This Row],[Date]],'PCE Core'!$A:$E,2,)</f>
        <v/>
      </c>
      <c r="C75" s="26">
        <f>VLOOKUP(Table3[[#This Row],[Date]],Database!$A:$E,5)</f>
        <v/>
      </c>
      <c r="D75" s="26">
        <f>(((Table3[[#This Row],[Core PCE]]-$B$496)/$B$496)*100)+100</f>
        <v/>
      </c>
      <c r="E75" s="26">
        <f>(((Table3[[#This Row],[Core CPI]]-$C$496)/$C$496)*100)+100</f>
        <v/>
      </c>
      <c r="F75" s="47" t="n"/>
      <c r="G75" s="27">
        <f>VLOOKUP(Table3[[#This Row],[Date]],'PCE Core'!A:D,4,)</f>
        <v/>
      </c>
    </row>
    <row r="76">
      <c r="A76" s="47" t="n">
        <v>23712</v>
      </c>
      <c r="B76" s="28">
        <f>VLOOKUP(Table3[[#This Row],[Date]],'PCE Core'!$A:$E,2,)</f>
        <v/>
      </c>
      <c r="C76" s="28">
        <f>VLOOKUP(Table3[[#This Row],[Date]],Database!$A:$E,5)</f>
        <v/>
      </c>
      <c r="D76" s="26">
        <f>(((Table3[[#This Row],[Core PCE]]-$B$496)/$B$496)*100)+100</f>
        <v/>
      </c>
      <c r="E76" s="26">
        <f>(((Table3[[#This Row],[Core CPI]]-$C$496)/$C$496)*100)+100</f>
        <v/>
      </c>
      <c r="F76" s="47" t="n"/>
      <c r="G76" s="27">
        <f>VLOOKUP(Table3[[#This Row],[Date]],'PCE Core'!A:D,4,)</f>
        <v/>
      </c>
    </row>
    <row r="77">
      <c r="A77" s="50" t="n">
        <v>23743</v>
      </c>
      <c r="B77" s="28">
        <f>VLOOKUP(Table3[[#This Row],[Date]],'PCE Core'!$A:$E,2,)</f>
        <v/>
      </c>
      <c r="C77" s="28">
        <f>VLOOKUP(Table3[[#This Row],[Date]],Database!$A:$E,5)</f>
        <v/>
      </c>
      <c r="D77" s="26">
        <f>(((Table3[[#This Row],[Core PCE]]-$B$496)/$B$496)*100)+100</f>
        <v/>
      </c>
      <c r="E77" s="26">
        <f>(((Table3[[#This Row],[Core CPI]]-$C$496)/$C$496)*100)+100</f>
        <v/>
      </c>
      <c r="F77" s="47" t="n"/>
      <c r="G77" s="27">
        <f>VLOOKUP(Table3[[#This Row],[Date]],'PCE Core'!A:D,4,)</f>
        <v/>
      </c>
    </row>
    <row r="78">
      <c r="A78" s="47" t="n">
        <v>23774</v>
      </c>
      <c r="B78" s="28">
        <f>VLOOKUP(Table3[[#This Row],[Date]],'PCE Core'!$A:$E,2,)</f>
        <v/>
      </c>
      <c r="C78" s="26">
        <f>VLOOKUP(Table3[[#This Row],[Date]],Database!$A:$E,5)</f>
        <v/>
      </c>
      <c r="D78" s="26">
        <f>(((Table3[[#This Row],[Core PCE]]-$B$496)/$B$496)*100)+100</f>
        <v/>
      </c>
      <c r="E78" s="26">
        <f>(((Table3[[#This Row],[Core CPI]]-$C$496)/$C$496)*100)+100</f>
        <v/>
      </c>
      <c r="F78" s="47" t="n"/>
      <c r="G78" s="27">
        <f>VLOOKUP(Table3[[#This Row],[Date]],'PCE Core'!A:D,4,)</f>
        <v/>
      </c>
    </row>
    <row r="79">
      <c r="A79" s="50" t="n">
        <v>23802</v>
      </c>
      <c r="B79" s="28">
        <f>VLOOKUP(Table3[[#This Row],[Date]],'PCE Core'!$A:$E,2,)</f>
        <v/>
      </c>
      <c r="C79" s="28">
        <f>VLOOKUP(Table3[[#This Row],[Date]],Database!$A:$E,5)</f>
        <v/>
      </c>
      <c r="D79" s="26">
        <f>(((Table3[[#This Row],[Core PCE]]-$B$496)/$B$496)*100)+100</f>
        <v/>
      </c>
      <c r="E79" s="26">
        <f>(((Table3[[#This Row],[Core CPI]]-$C$496)/$C$496)*100)+100</f>
        <v/>
      </c>
      <c r="F79" s="47" t="n"/>
      <c r="G79" s="27">
        <f>VLOOKUP(Table3[[#This Row],[Date]],'PCE Core'!A:D,4,)</f>
        <v/>
      </c>
    </row>
    <row r="80">
      <c r="A80" s="47" t="n">
        <v>23833</v>
      </c>
      <c r="B80" s="28">
        <f>VLOOKUP(Table3[[#This Row],[Date]],'PCE Core'!$A:$E,2,)</f>
        <v/>
      </c>
      <c r="C80" s="28">
        <f>VLOOKUP(Table3[[#This Row],[Date]],Database!$A:$E,5)</f>
        <v/>
      </c>
      <c r="D80" s="26">
        <f>(((Table3[[#This Row],[Core PCE]]-$B$496)/$B$496)*100)+100</f>
        <v/>
      </c>
      <c r="E80" s="26">
        <f>(((Table3[[#This Row],[Core CPI]]-$C$496)/$C$496)*100)+100</f>
        <v/>
      </c>
      <c r="F80" s="47" t="n"/>
      <c r="G80" s="27">
        <f>VLOOKUP(Table3[[#This Row],[Date]],'PCE Core'!A:D,4,)</f>
        <v/>
      </c>
    </row>
    <row r="81">
      <c r="A81" s="50" t="n">
        <v>23863</v>
      </c>
      <c r="B81" s="28">
        <f>VLOOKUP(Table3[[#This Row],[Date]],'PCE Core'!$A:$E,2,)</f>
        <v/>
      </c>
      <c r="C81" s="26">
        <f>VLOOKUP(Table3[[#This Row],[Date]],Database!$A:$E,5)</f>
        <v/>
      </c>
      <c r="D81" s="26">
        <f>(((Table3[[#This Row],[Core PCE]]-$B$496)/$B$496)*100)+100</f>
        <v/>
      </c>
      <c r="E81" s="26">
        <f>(((Table3[[#This Row],[Core CPI]]-$C$496)/$C$496)*100)+100</f>
        <v/>
      </c>
      <c r="F81" s="47" t="n"/>
      <c r="G81" s="27">
        <f>VLOOKUP(Table3[[#This Row],[Date]],'PCE Core'!A:D,4,)</f>
        <v/>
      </c>
    </row>
    <row r="82">
      <c r="A82" s="47" t="n">
        <v>23894</v>
      </c>
      <c r="B82" s="28">
        <f>VLOOKUP(Table3[[#This Row],[Date]],'PCE Core'!$A:$E,2,)</f>
        <v/>
      </c>
      <c r="C82" s="28">
        <f>VLOOKUP(Table3[[#This Row],[Date]],Database!$A:$E,5)</f>
        <v/>
      </c>
      <c r="D82" s="26">
        <f>(((Table3[[#This Row],[Core PCE]]-$B$496)/$B$496)*100)+100</f>
        <v/>
      </c>
      <c r="E82" s="26">
        <f>(((Table3[[#This Row],[Core CPI]]-$C$496)/$C$496)*100)+100</f>
        <v/>
      </c>
      <c r="F82" s="47" t="n"/>
      <c r="G82" s="27">
        <f>VLOOKUP(Table3[[#This Row],[Date]],'PCE Core'!A:D,4,)</f>
        <v/>
      </c>
    </row>
    <row r="83">
      <c r="A83" s="50" t="n">
        <v>23924</v>
      </c>
      <c r="B83" s="28">
        <f>VLOOKUP(Table3[[#This Row],[Date]],'PCE Core'!$A:$E,2,)</f>
        <v/>
      </c>
      <c r="C83" s="28">
        <f>VLOOKUP(Table3[[#This Row],[Date]],Database!$A:$E,5)</f>
        <v/>
      </c>
      <c r="D83" s="26">
        <f>(((Table3[[#This Row],[Core PCE]]-$B$496)/$B$496)*100)+100</f>
        <v/>
      </c>
      <c r="E83" s="26">
        <f>(((Table3[[#This Row],[Core CPI]]-$C$496)/$C$496)*100)+100</f>
        <v/>
      </c>
      <c r="F83" s="47" t="n"/>
      <c r="G83" s="27">
        <f>VLOOKUP(Table3[[#This Row],[Date]],'PCE Core'!A:D,4,)</f>
        <v/>
      </c>
    </row>
    <row r="84">
      <c r="A84" s="47" t="n">
        <v>23955</v>
      </c>
      <c r="B84" s="28">
        <f>VLOOKUP(Table3[[#This Row],[Date]],'PCE Core'!$A:$E,2,)</f>
        <v/>
      </c>
      <c r="C84" s="26">
        <f>VLOOKUP(Table3[[#This Row],[Date]],Database!$A:$E,5)</f>
        <v/>
      </c>
      <c r="D84" s="26">
        <f>(((Table3[[#This Row],[Core PCE]]-$B$496)/$B$496)*100)+100</f>
        <v/>
      </c>
      <c r="E84" s="26">
        <f>(((Table3[[#This Row],[Core CPI]]-$C$496)/$C$496)*100)+100</f>
        <v/>
      </c>
      <c r="F84" s="47" t="n"/>
      <c r="G84" s="27">
        <f>VLOOKUP(Table3[[#This Row],[Date]],'PCE Core'!A:D,4,)</f>
        <v/>
      </c>
    </row>
    <row r="85">
      <c r="A85" s="50" t="n">
        <v>23986</v>
      </c>
      <c r="B85" s="28">
        <f>VLOOKUP(Table3[[#This Row],[Date]],'PCE Core'!$A:$E,2,)</f>
        <v/>
      </c>
      <c r="C85" s="28">
        <f>VLOOKUP(Table3[[#This Row],[Date]],Database!$A:$E,5)</f>
        <v/>
      </c>
      <c r="D85" s="26">
        <f>(((Table3[[#This Row],[Core PCE]]-$B$496)/$B$496)*100)+100</f>
        <v/>
      </c>
      <c r="E85" s="26">
        <f>(((Table3[[#This Row],[Core CPI]]-$C$496)/$C$496)*100)+100</f>
        <v/>
      </c>
      <c r="F85" s="47" t="n"/>
      <c r="G85" s="27">
        <f>VLOOKUP(Table3[[#This Row],[Date]],'PCE Core'!A:D,4,)</f>
        <v/>
      </c>
    </row>
    <row r="86">
      <c r="A86" s="47" t="n">
        <v>24016</v>
      </c>
      <c r="B86" s="28">
        <f>VLOOKUP(Table3[[#This Row],[Date]],'PCE Core'!$A:$E,2,)</f>
        <v/>
      </c>
      <c r="C86" s="28">
        <f>VLOOKUP(Table3[[#This Row],[Date]],Database!$A:$E,5)</f>
        <v/>
      </c>
      <c r="D86" s="26">
        <f>(((Table3[[#This Row],[Core PCE]]-$B$496)/$B$496)*100)+100</f>
        <v/>
      </c>
      <c r="E86" s="26">
        <f>(((Table3[[#This Row],[Core CPI]]-$C$496)/$C$496)*100)+100</f>
        <v/>
      </c>
      <c r="F86" s="47" t="n"/>
      <c r="G86" s="27">
        <f>VLOOKUP(Table3[[#This Row],[Date]],'PCE Core'!A:D,4,)</f>
        <v/>
      </c>
    </row>
    <row r="87">
      <c r="A87" s="50" t="n">
        <v>24047</v>
      </c>
      <c r="B87" s="28">
        <f>VLOOKUP(Table3[[#This Row],[Date]],'PCE Core'!$A:$E,2,)</f>
        <v/>
      </c>
      <c r="C87" s="26">
        <f>VLOOKUP(Table3[[#This Row],[Date]],Database!$A:$E,5)</f>
        <v/>
      </c>
      <c r="D87" s="26">
        <f>(((Table3[[#This Row],[Core PCE]]-$B$496)/$B$496)*100)+100</f>
        <v/>
      </c>
      <c r="E87" s="26">
        <f>(((Table3[[#This Row],[Core CPI]]-$C$496)/$C$496)*100)+100</f>
        <v/>
      </c>
      <c r="F87" s="47" t="n"/>
      <c r="G87" s="27">
        <f>VLOOKUP(Table3[[#This Row],[Date]],'PCE Core'!A:D,4,)</f>
        <v/>
      </c>
    </row>
    <row r="88">
      <c r="A88" s="47" t="n">
        <v>24077</v>
      </c>
      <c r="B88" s="28">
        <f>VLOOKUP(Table3[[#This Row],[Date]],'PCE Core'!$A:$E,2,)</f>
        <v/>
      </c>
      <c r="C88" s="28">
        <f>VLOOKUP(Table3[[#This Row],[Date]],Database!$A:$E,5)</f>
        <v/>
      </c>
      <c r="D88" s="26">
        <f>(((Table3[[#This Row],[Core PCE]]-$B$496)/$B$496)*100)+100</f>
        <v/>
      </c>
      <c r="E88" s="26">
        <f>(((Table3[[#This Row],[Core CPI]]-$C$496)/$C$496)*100)+100</f>
        <v/>
      </c>
      <c r="F88" s="47" t="n"/>
      <c r="G88" s="27">
        <f>VLOOKUP(Table3[[#This Row],[Date]],'PCE Core'!A:D,4,)</f>
        <v/>
      </c>
    </row>
    <row r="89">
      <c r="A89" s="50" t="n">
        <v>24108</v>
      </c>
      <c r="B89" s="28">
        <f>VLOOKUP(Table3[[#This Row],[Date]],'PCE Core'!$A:$E,2,)</f>
        <v/>
      </c>
      <c r="C89" s="28">
        <f>VLOOKUP(Table3[[#This Row],[Date]],Database!$A:$E,5)</f>
        <v/>
      </c>
      <c r="D89" s="26">
        <f>(((Table3[[#This Row],[Core PCE]]-$B$496)/$B$496)*100)+100</f>
        <v/>
      </c>
      <c r="E89" s="26">
        <f>(((Table3[[#This Row],[Core CPI]]-$C$496)/$C$496)*100)+100</f>
        <v/>
      </c>
      <c r="F89" s="47" t="n"/>
      <c r="G89" s="27">
        <f>VLOOKUP(Table3[[#This Row],[Date]],'PCE Core'!A:D,4,)</f>
        <v/>
      </c>
    </row>
    <row r="90">
      <c r="A90" s="47" t="n">
        <v>24139</v>
      </c>
      <c r="B90" s="28">
        <f>VLOOKUP(Table3[[#This Row],[Date]],'PCE Core'!$A:$E,2,)</f>
        <v/>
      </c>
      <c r="C90" s="26">
        <f>VLOOKUP(Table3[[#This Row],[Date]],Database!$A:$E,5)</f>
        <v/>
      </c>
      <c r="D90" s="26">
        <f>(((Table3[[#This Row],[Core PCE]]-$B$496)/$B$496)*100)+100</f>
        <v/>
      </c>
      <c r="E90" s="26">
        <f>(((Table3[[#This Row],[Core CPI]]-$C$496)/$C$496)*100)+100</f>
        <v/>
      </c>
      <c r="F90" s="47" t="n"/>
      <c r="G90" s="27">
        <f>VLOOKUP(Table3[[#This Row],[Date]],'PCE Core'!A:D,4,)</f>
        <v/>
      </c>
    </row>
    <row r="91">
      <c r="A91" s="50" t="n">
        <v>24167</v>
      </c>
      <c r="B91" s="28">
        <f>VLOOKUP(Table3[[#This Row],[Date]],'PCE Core'!$A:$E,2,)</f>
        <v/>
      </c>
      <c r="C91" s="28">
        <f>VLOOKUP(Table3[[#This Row],[Date]],Database!$A:$E,5)</f>
        <v/>
      </c>
      <c r="D91" s="26">
        <f>(((Table3[[#This Row],[Core PCE]]-$B$496)/$B$496)*100)+100</f>
        <v/>
      </c>
      <c r="E91" s="26">
        <f>(((Table3[[#This Row],[Core CPI]]-$C$496)/$C$496)*100)+100</f>
        <v/>
      </c>
      <c r="F91" s="47" t="n"/>
      <c r="G91" s="27">
        <f>VLOOKUP(Table3[[#This Row],[Date]],'PCE Core'!A:D,4,)</f>
        <v/>
      </c>
    </row>
    <row r="92">
      <c r="A92" s="47" t="n">
        <v>24198</v>
      </c>
      <c r="B92" s="28">
        <f>VLOOKUP(Table3[[#This Row],[Date]],'PCE Core'!$A:$E,2,)</f>
        <v/>
      </c>
      <c r="C92" s="28">
        <f>VLOOKUP(Table3[[#This Row],[Date]],Database!$A:$E,5)</f>
        <v/>
      </c>
      <c r="D92" s="26">
        <f>(((Table3[[#This Row],[Core PCE]]-$B$496)/$B$496)*100)+100</f>
        <v/>
      </c>
      <c r="E92" s="26">
        <f>(((Table3[[#This Row],[Core CPI]]-$C$496)/$C$496)*100)+100</f>
        <v/>
      </c>
      <c r="F92" s="47" t="n"/>
      <c r="G92" s="27">
        <f>VLOOKUP(Table3[[#This Row],[Date]],'PCE Core'!A:D,4,)</f>
        <v/>
      </c>
    </row>
    <row r="93">
      <c r="A93" s="50" t="n">
        <v>24228</v>
      </c>
      <c r="B93" s="28">
        <f>VLOOKUP(Table3[[#This Row],[Date]],'PCE Core'!$A:$E,2,)</f>
        <v/>
      </c>
      <c r="C93" s="26">
        <f>VLOOKUP(Table3[[#This Row],[Date]],Database!$A:$E,5)</f>
        <v/>
      </c>
      <c r="D93" s="26">
        <f>(((Table3[[#This Row],[Core PCE]]-$B$496)/$B$496)*100)+100</f>
        <v/>
      </c>
      <c r="E93" s="26">
        <f>(((Table3[[#This Row],[Core CPI]]-$C$496)/$C$496)*100)+100</f>
        <v/>
      </c>
      <c r="F93" s="47" t="n"/>
      <c r="G93" s="27">
        <f>VLOOKUP(Table3[[#This Row],[Date]],'PCE Core'!A:D,4,)</f>
        <v/>
      </c>
    </row>
    <row r="94">
      <c r="A94" s="47" t="n">
        <v>24259</v>
      </c>
      <c r="B94" s="28">
        <f>VLOOKUP(Table3[[#This Row],[Date]],'PCE Core'!$A:$E,2,)</f>
        <v/>
      </c>
      <c r="C94" s="28">
        <f>VLOOKUP(Table3[[#This Row],[Date]],Database!$A:$E,5)</f>
        <v/>
      </c>
      <c r="D94" s="26">
        <f>(((Table3[[#This Row],[Core PCE]]-$B$496)/$B$496)*100)+100</f>
        <v/>
      </c>
      <c r="E94" s="26">
        <f>(((Table3[[#This Row],[Core CPI]]-$C$496)/$C$496)*100)+100</f>
        <v/>
      </c>
      <c r="F94" s="47" t="n"/>
      <c r="G94" s="27">
        <f>VLOOKUP(Table3[[#This Row],[Date]],'PCE Core'!A:D,4,)</f>
        <v/>
      </c>
    </row>
    <row r="95">
      <c r="A95" s="50" t="n">
        <v>24289</v>
      </c>
      <c r="B95" s="28">
        <f>VLOOKUP(Table3[[#This Row],[Date]],'PCE Core'!$A:$E,2,)</f>
        <v/>
      </c>
      <c r="C95" s="28">
        <f>VLOOKUP(Table3[[#This Row],[Date]],Database!$A:$E,5)</f>
        <v/>
      </c>
      <c r="D95" s="26">
        <f>(((Table3[[#This Row],[Core PCE]]-$B$496)/$B$496)*100)+100</f>
        <v/>
      </c>
      <c r="E95" s="26">
        <f>(((Table3[[#This Row],[Core CPI]]-$C$496)/$C$496)*100)+100</f>
        <v/>
      </c>
      <c r="F95" s="47" t="n"/>
      <c r="G95" s="27">
        <f>VLOOKUP(Table3[[#This Row],[Date]],'PCE Core'!A:D,4,)</f>
        <v/>
      </c>
    </row>
    <row r="96">
      <c r="A96" s="47" t="n">
        <v>24320</v>
      </c>
      <c r="B96" s="28">
        <f>VLOOKUP(Table3[[#This Row],[Date]],'PCE Core'!$A:$E,2,)</f>
        <v/>
      </c>
      <c r="C96" s="26">
        <f>VLOOKUP(Table3[[#This Row],[Date]],Database!$A:$E,5)</f>
        <v/>
      </c>
      <c r="D96" s="26">
        <f>(((Table3[[#This Row],[Core PCE]]-$B$496)/$B$496)*100)+100</f>
        <v/>
      </c>
      <c r="E96" s="26">
        <f>(((Table3[[#This Row],[Core CPI]]-$C$496)/$C$496)*100)+100</f>
        <v/>
      </c>
      <c r="F96" s="47" t="n"/>
      <c r="G96" s="27">
        <f>VLOOKUP(Table3[[#This Row],[Date]],'PCE Core'!A:D,4,)</f>
        <v/>
      </c>
    </row>
    <row r="97">
      <c r="A97" s="50" t="n">
        <v>24351</v>
      </c>
      <c r="B97" s="28">
        <f>VLOOKUP(Table3[[#This Row],[Date]],'PCE Core'!$A:$E,2,)</f>
        <v/>
      </c>
      <c r="C97" s="28">
        <f>VLOOKUP(Table3[[#This Row],[Date]],Database!$A:$E,5)</f>
        <v/>
      </c>
      <c r="D97" s="26">
        <f>(((Table3[[#This Row],[Core PCE]]-$B$496)/$B$496)*100)+100</f>
        <v/>
      </c>
      <c r="E97" s="26">
        <f>(((Table3[[#This Row],[Core CPI]]-$C$496)/$C$496)*100)+100</f>
        <v/>
      </c>
      <c r="F97" s="47" t="n"/>
      <c r="G97" s="27">
        <f>VLOOKUP(Table3[[#This Row],[Date]],'PCE Core'!A:D,4,)</f>
        <v/>
      </c>
    </row>
    <row r="98">
      <c r="A98" s="47" t="n">
        <v>24381</v>
      </c>
      <c r="B98" s="28">
        <f>VLOOKUP(Table3[[#This Row],[Date]],'PCE Core'!$A:$E,2,)</f>
        <v/>
      </c>
      <c r="C98" s="28">
        <f>VLOOKUP(Table3[[#This Row],[Date]],Database!$A:$E,5)</f>
        <v/>
      </c>
      <c r="D98" s="26">
        <f>(((Table3[[#This Row],[Core PCE]]-$B$496)/$B$496)*100)+100</f>
        <v/>
      </c>
      <c r="E98" s="26">
        <f>(((Table3[[#This Row],[Core CPI]]-$C$496)/$C$496)*100)+100</f>
        <v/>
      </c>
      <c r="F98" s="47" t="n"/>
      <c r="G98" s="27">
        <f>VLOOKUP(Table3[[#This Row],[Date]],'PCE Core'!A:D,4,)</f>
        <v/>
      </c>
    </row>
    <row r="99">
      <c r="A99" s="50" t="n">
        <v>24412</v>
      </c>
      <c r="B99" s="28">
        <f>VLOOKUP(Table3[[#This Row],[Date]],'PCE Core'!$A:$E,2,)</f>
        <v/>
      </c>
      <c r="C99" s="26">
        <f>VLOOKUP(Table3[[#This Row],[Date]],Database!$A:$E,5)</f>
        <v/>
      </c>
      <c r="D99" s="26">
        <f>(((Table3[[#This Row],[Core PCE]]-$B$496)/$B$496)*100)+100</f>
        <v/>
      </c>
      <c r="E99" s="26">
        <f>(((Table3[[#This Row],[Core CPI]]-$C$496)/$C$496)*100)+100</f>
        <v/>
      </c>
      <c r="F99" s="47" t="n"/>
      <c r="G99" s="27">
        <f>VLOOKUP(Table3[[#This Row],[Date]],'PCE Core'!A:D,4,)</f>
        <v/>
      </c>
    </row>
    <row r="100">
      <c r="A100" s="47" t="n">
        <v>24442</v>
      </c>
      <c r="B100" s="28">
        <f>VLOOKUP(Table3[[#This Row],[Date]],'PCE Core'!$A:$E,2,)</f>
        <v/>
      </c>
      <c r="C100" s="28">
        <f>VLOOKUP(Table3[[#This Row],[Date]],Database!$A:$E,5)</f>
        <v/>
      </c>
      <c r="D100" s="26">
        <f>(((Table3[[#This Row],[Core PCE]]-$B$496)/$B$496)*100)+100</f>
        <v/>
      </c>
      <c r="E100" s="26">
        <f>(((Table3[[#This Row],[Core CPI]]-$C$496)/$C$496)*100)+100</f>
        <v/>
      </c>
      <c r="F100" s="47" t="n"/>
      <c r="G100" s="27">
        <f>VLOOKUP(Table3[[#This Row],[Date]],'PCE Core'!A:D,4,)</f>
        <v/>
      </c>
    </row>
    <row r="101">
      <c r="A101" s="50"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47"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50"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47"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50"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47"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50"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47"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50"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47"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50"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47"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50"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47"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50"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47"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50"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47"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50"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47"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50"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47"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50"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47"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50"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47"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50"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47"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50"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47"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50"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47"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50"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47"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50"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47"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50"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47"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50"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47"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50"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47"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50"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47"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50"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47"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50"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47"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50"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47"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50"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47"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50"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47"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50"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47"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50"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47"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50"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47"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50"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47"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50"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47"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50"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47"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50"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47"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50"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47"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50"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47"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50"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47"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50"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47"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50"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47"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50"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47"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50"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47"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50"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47"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50"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47"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50"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47"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50"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47"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50"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47"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50"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47"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50"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47"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50"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47"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50"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47"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50"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47"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50"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47"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50"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47"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50"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47"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50"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47"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50"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47"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50"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47"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50"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47"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50"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47"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50"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47"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50"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47"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50"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47"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50"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47"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50"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47"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50"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47"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50"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47"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50"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47"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50"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47"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50"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47"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50"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47"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50"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47"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50"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47"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50"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47"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50"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47"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50"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47"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50"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47"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50"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47"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50"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47"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50"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47"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50"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47"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50"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47"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50"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47"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50"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47"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50"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47"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50"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47"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50"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47"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50"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47"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50"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47"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50"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47"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50"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47"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50"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47"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50"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47"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50"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47"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50"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47"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50"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47"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50"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47"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50"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47"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50"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47"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50"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47"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50"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47"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50"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47"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50"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47"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50"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47"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50"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47"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50"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47"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50"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47"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50"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47"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50"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47"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50"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47"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50"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47"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50"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47"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50"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47"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50"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47"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50"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47"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50"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47"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50"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47"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50"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47"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50"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47"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50"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47"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50"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47"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50"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47"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50"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47"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50"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47"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50"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47"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50"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47"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50"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47"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50"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47"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50"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47"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50"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47"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50"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47"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50"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47"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50"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47"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50"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47"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50"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47"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50"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47"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50"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47"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50"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47"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50"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47"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50"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47"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50"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47"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50"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47"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50"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47"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50"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47"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50"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47"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50"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47"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50"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47"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50"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47"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50"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47"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50"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47"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50"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47"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50"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47"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50"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47"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50"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47"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50"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47"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50"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47"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50"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47"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50"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47"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50"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47"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50"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47"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50"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47"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50"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47"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50"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47"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50"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47"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50"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47"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50"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47"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50"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47"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50"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47"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50"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47"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50"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47"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50"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47"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50"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47"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50"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47"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50"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47"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50"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47"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50"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47"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50"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47"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50"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47"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50"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47"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50"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47"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50"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47"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50"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47"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50"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47"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50"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47"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50"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47"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50"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47"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50"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47"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50"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47"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50"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47"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50"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47"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50"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47"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50"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47"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50"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47"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50"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47"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50"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47"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50"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47"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50"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47"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50"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47"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50"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47"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50"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47"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50"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47"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50"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47"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50"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47"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50"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47"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50"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47"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50"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47"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50"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47"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50"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47"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50"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47"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50"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47"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50"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47"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50"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47"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50"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47"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50"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47"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50"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47"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50"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47"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50"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47"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50"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47"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50"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47"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50"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47"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50"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47"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50"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47"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50"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47"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50"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47"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50"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47"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50"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47"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50"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47"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50"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47"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50"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47"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50"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47"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50"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47"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50"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47"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50"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47"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50"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47"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50"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47"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50"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47"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50"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47"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50"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47"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50"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47"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50"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47"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50"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47"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50"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47"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50"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47"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50"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47"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50"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47"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50"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47"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50"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47"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50"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47"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50"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47"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50"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47"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50"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47"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50"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47"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50"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47"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50"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47"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50"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47"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50"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47"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50"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47"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50"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47"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50"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47"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50"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47"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50"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47"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50"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47"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50"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47"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50"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47"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50"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47"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50"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47"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50"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47"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50"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47"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50"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47"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50"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47"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50"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47"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50"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47"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50"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47"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50"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47"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50"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47"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50"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47"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50"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47"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50"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47"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50"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47"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50"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47"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50"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47"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50"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47"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50"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47"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50"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47"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50"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47"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50"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47"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50"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47"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50"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47"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50"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47"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50"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47"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50"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47"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50"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47"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50"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47"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50"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47"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50"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47"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50"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47"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50"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47"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50"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47"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50"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47"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50"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47"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50"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47"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50"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47"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50"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47"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50"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47"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50"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47"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50"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47"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50"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47"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50"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47"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50"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47"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50"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47"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50"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47"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50"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47"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50"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47"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50"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47"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50"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47"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50"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47"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51">
      <c r="A731" s="50"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51">
      <c r="A732" s="47"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51">
      <c r="A733" s="50"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51">
      <c r="A734" s="47"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51">
      <c r="A735" s="50"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51">
      <c r="A736" s="47"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51">
      <c r="A737" s="50"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51">
      <c r="A738" s="47"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51">
      <c r="A739" s="50"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51">
      <c r="A740" s="47"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51">
      <c r="A741" s="50"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51">
      <c r="A742" s="47"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51">
      <c r="A743" s="50"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51">
      <c r="A744" s="47"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51">
      <c r="A745" s="50"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51">
      <c r="A746" s="47"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51">
      <c r="A747" s="50"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51">
      <c r="A748" s="47"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51">
      <c r="A749" s="50"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51">
      <c r="A750" s="47"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51">
      <c r="A751" s="50"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51">
      <c r="A752" s="47"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51">
      <c r="A753" s="50"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51">
      <c r="A754" s="47"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51">
      <c r="A755" s="47"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51">
      <c r="A756" s="50"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51">
      <c r="A757" s="47"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51">
      <c r="A758" s="50"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51">
      <c r="A759" s="47"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51">
      <c r="A760" s="50"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51">
      <c r="A761" s="12" t="n"/>
      <c r="B761" s="12" t="n"/>
      <c r="C761" s="12" t="n"/>
      <c r="D761" s="12" t="n"/>
      <c r="E761" s="12" t="n"/>
      <c r="F761" s="12" t="n"/>
      <c r="G761" s="12" t="n"/>
    </row>
    <row r="762" customFormat="1" s="51">
      <c r="A762" s="12" t="n"/>
      <c r="B762" s="12" t="n"/>
      <c r="C762" s="12" t="n"/>
      <c r="D762" s="12" t="n"/>
      <c r="E762" s="12" t="n"/>
      <c r="F762" s="12" t="n"/>
      <c r="G762" s="12" t="n"/>
    </row>
    <row r="763" customFormat="1" s="51">
      <c r="A763" s="12" t="n"/>
      <c r="B763" s="12" t="n"/>
      <c r="C763" s="12" t="n"/>
      <c r="D763" s="12" t="n"/>
      <c r="E763" s="12" t="n"/>
      <c r="F763" s="12" t="n"/>
      <c r="G763" s="12" t="n"/>
    </row>
    <row r="764" customFormat="1" s="51">
      <c r="A764" s="12" t="n"/>
      <c r="B764" s="12" t="n"/>
      <c r="C764" s="12" t="n"/>
      <c r="D764" s="12" t="n"/>
      <c r="E764" s="12" t="n"/>
      <c r="F764" s="12" t="n"/>
      <c r="G764" s="12" t="n"/>
    </row>
    <row r="765" customFormat="1" s="51">
      <c r="A765" s="12" t="n"/>
      <c r="B765" s="12" t="n"/>
      <c r="C765" s="12" t="n"/>
      <c r="D765" s="12" t="n"/>
      <c r="E765" s="12" t="n"/>
      <c r="F765" s="12" t="n"/>
      <c r="G765" s="12" t="n"/>
    </row>
    <row r="766" customFormat="1" s="51">
      <c r="A766" s="12" t="n"/>
      <c r="B766" s="12" t="n"/>
      <c r="C766" s="12" t="n"/>
      <c r="D766" s="12" t="n"/>
      <c r="E766" s="12" t="n"/>
      <c r="F766" s="12" t="n"/>
      <c r="G766" s="12" t="n"/>
    </row>
    <row r="767" customFormat="1" s="51">
      <c r="A767" s="12" t="n"/>
      <c r="B767" s="12" t="n"/>
      <c r="C767" s="12" t="n"/>
      <c r="D767" s="12" t="n"/>
      <c r="E767" s="12" t="n"/>
      <c r="F767" s="12" t="n"/>
      <c r="G767" s="12" t="n"/>
    </row>
    <row r="768" customFormat="1" s="51">
      <c r="A768" s="12" t="n"/>
      <c r="B768" s="12" t="n"/>
      <c r="C768" s="12" t="n"/>
      <c r="D768" s="12" t="n"/>
      <c r="E768" s="12" t="n"/>
      <c r="F768" s="12" t="n"/>
      <c r="G768" s="12" t="n"/>
    </row>
    <row r="769" customFormat="1" s="51">
      <c r="A769" s="12" t="n"/>
      <c r="B769" s="12" t="n"/>
      <c r="C769" s="12" t="n"/>
      <c r="D769" s="12" t="n"/>
      <c r="E769" s="12" t="n"/>
      <c r="F769" s="12" t="n"/>
      <c r="G769" s="12" t="n"/>
    </row>
    <row r="770" customFormat="1" s="51">
      <c r="A770" s="12" t="n"/>
      <c r="B770" s="12" t="n"/>
      <c r="C770" s="12" t="n"/>
      <c r="D770" s="12" t="n"/>
      <c r="E770" s="12" t="n"/>
      <c r="F770" s="12" t="n"/>
      <c r="G770" s="12" t="n"/>
    </row>
    <row r="771" customFormat="1" s="51">
      <c r="A771" s="12" t="n"/>
      <c r="B771" s="12" t="n"/>
      <c r="C771" s="12" t="n"/>
      <c r="D771" s="12" t="n"/>
      <c r="E771" s="12" t="n"/>
      <c r="F771" s="12" t="n"/>
      <c r="G771" s="12" t="n"/>
    </row>
    <row r="772" customFormat="1" s="51">
      <c r="A772" s="12" t="n"/>
      <c r="B772" s="12" t="n"/>
      <c r="C772" s="12" t="n"/>
      <c r="D772" s="12" t="n"/>
      <c r="E772" s="12" t="n"/>
      <c r="F772" s="12" t="n"/>
      <c r="G772" s="12" t="n"/>
    </row>
    <row r="773" customFormat="1" s="51">
      <c r="A773" s="12" t="n"/>
      <c r="B773" s="12" t="n"/>
      <c r="C773" s="12" t="n"/>
      <c r="D773" s="12" t="n"/>
      <c r="E773" s="12" t="n"/>
      <c r="F773" s="12" t="n"/>
      <c r="G773" s="12" t="n"/>
    </row>
    <row r="774" customFormat="1" s="51">
      <c r="A774" s="12" t="n"/>
      <c r="B774" s="12" t="n"/>
      <c r="C774" s="12" t="n"/>
      <c r="D774" s="12" t="n"/>
      <c r="E774" s="12" t="n"/>
      <c r="F774" s="12" t="n"/>
      <c r="G774" s="12" t="n"/>
    </row>
    <row r="775" customFormat="1" s="51">
      <c r="A775" s="12" t="n"/>
      <c r="B775" s="12" t="n"/>
      <c r="C775" s="12" t="n"/>
      <c r="D775" s="12" t="n"/>
      <c r="E775" s="12" t="n"/>
      <c r="F775" s="12" t="n"/>
      <c r="G775" s="12" t="n"/>
    </row>
    <row r="776" customFormat="1" s="51">
      <c r="A776" s="12" t="n"/>
      <c r="B776" s="12" t="n"/>
      <c r="C776" s="12" t="n"/>
      <c r="D776" s="12" t="n"/>
      <c r="E776" s="12" t="n"/>
      <c r="F776" s="12" t="n"/>
      <c r="G776" s="12" t="n"/>
    </row>
    <row r="777" customFormat="1" s="51">
      <c r="A777" s="12" t="n"/>
      <c r="B777" s="12" t="n"/>
      <c r="C777" s="12" t="n"/>
      <c r="D777" s="12" t="n"/>
      <c r="E777" s="12" t="n"/>
      <c r="F777" s="12" t="n"/>
      <c r="G777" s="12" t="n"/>
    </row>
    <row r="778" customFormat="1" s="51">
      <c r="A778" s="12" t="n"/>
      <c r="B778" s="12" t="n"/>
      <c r="C778" s="12" t="n"/>
      <c r="D778" s="12" t="n"/>
      <c r="E778" s="12" t="n"/>
      <c r="F778" s="12" t="n"/>
      <c r="G778" s="12" t="n"/>
    </row>
    <row r="779" customFormat="1" s="51">
      <c r="A779" s="12" t="n"/>
      <c r="B779" s="12" t="n"/>
      <c r="C779" s="12" t="n"/>
      <c r="D779" s="12" t="n"/>
      <c r="E779" s="12" t="n"/>
      <c r="F779" s="12" t="n"/>
      <c r="G779" s="12" t="n"/>
    </row>
    <row r="780" customFormat="1" s="51">
      <c r="A780" s="12" t="n"/>
      <c r="B780" s="12" t="n"/>
      <c r="C780" s="12" t="n"/>
      <c r="D780" s="12" t="n"/>
      <c r="E780" s="12" t="n"/>
      <c r="F780" s="12" t="n"/>
      <c r="G780" s="12" t="n"/>
    </row>
    <row r="781" customFormat="1" s="51">
      <c r="A781" s="12" t="n"/>
      <c r="B781" s="12" t="n"/>
      <c r="C781" s="12" t="n"/>
      <c r="D781" s="12" t="n"/>
      <c r="E781" s="12" t="n"/>
      <c r="F781" s="12" t="n"/>
      <c r="G781" s="12" t="n"/>
    </row>
    <row r="782" customFormat="1" s="51">
      <c r="A782" s="12" t="n"/>
      <c r="B782" s="12" t="n"/>
      <c r="C782" s="12" t="n"/>
      <c r="D782" s="12" t="n"/>
      <c r="E782" s="12" t="n"/>
      <c r="F782" s="12" t="n"/>
      <c r="G782" s="12" t="n"/>
    </row>
    <row r="783" customFormat="1" s="51">
      <c r="A783" s="12" t="n"/>
      <c r="B783" s="12" t="n"/>
      <c r="C783" s="12" t="n"/>
      <c r="D783" s="12" t="n"/>
      <c r="E783" s="12" t="n"/>
      <c r="F783" s="12" t="n"/>
      <c r="G783" s="12" t="n"/>
    </row>
    <row r="784" customFormat="1" s="51">
      <c r="A784" s="12" t="n"/>
      <c r="B784" s="12" t="n"/>
      <c r="C784" s="12" t="n"/>
      <c r="D784" s="12" t="n"/>
      <c r="E784" s="12" t="n"/>
      <c r="F784" s="12" t="n"/>
      <c r="G784" s="12" t="n"/>
    </row>
    <row r="785" customFormat="1" s="51">
      <c r="A785" s="12" t="n"/>
      <c r="B785" s="12" t="n"/>
      <c r="C785" s="12" t="n"/>
      <c r="D785" s="12" t="n"/>
      <c r="E785" s="12" t="n"/>
      <c r="F785" s="12" t="n"/>
      <c r="G785" s="12" t="n"/>
    </row>
    <row r="786" customFormat="1" s="51">
      <c r="A786" s="12" t="n"/>
      <c r="B786" s="12" t="n"/>
      <c r="C786" s="12" t="n"/>
      <c r="D786" s="12" t="n"/>
      <c r="E786" s="12" t="n"/>
      <c r="F786" s="12" t="n"/>
      <c r="G786" s="12" t="n"/>
    </row>
    <row r="787" customFormat="1" s="51">
      <c r="A787" s="12" t="n"/>
      <c r="B787" s="12" t="n"/>
      <c r="C787" s="12" t="n"/>
      <c r="D787" s="12" t="n"/>
      <c r="E787" s="12" t="n"/>
      <c r="F787" s="12" t="n"/>
      <c r="G787" s="12" t="n"/>
    </row>
    <row r="788" customFormat="1" s="51">
      <c r="A788" s="12" t="n"/>
      <c r="B788" s="12" t="n"/>
      <c r="C788" s="12" t="n"/>
      <c r="D788" s="12" t="n"/>
      <c r="E788" s="12" t="n"/>
      <c r="F788" s="12" t="n"/>
      <c r="G788" s="12" t="n"/>
    </row>
    <row r="789" customFormat="1" s="51">
      <c r="A789" s="12" t="n"/>
      <c r="B789" s="12" t="n"/>
      <c r="C789" s="12" t="n"/>
      <c r="D789" s="12" t="n"/>
      <c r="E789" s="12" t="n"/>
      <c r="F789" s="12" t="n"/>
      <c r="G789" s="12" t="n"/>
    </row>
    <row r="790" customFormat="1" s="51">
      <c r="A790" s="12" t="n"/>
      <c r="B790" s="12" t="n"/>
      <c r="C790" s="12" t="n"/>
      <c r="D790" s="12" t="n"/>
      <c r="E790" s="12" t="n"/>
      <c r="F790" s="12" t="n"/>
      <c r="G790" s="12" t="n"/>
    </row>
    <row r="791" customFormat="1" s="51">
      <c r="A791" s="12" t="n"/>
      <c r="B791" s="12" t="n"/>
      <c r="C791" s="12" t="n"/>
      <c r="D791" s="12" t="n"/>
      <c r="E791" s="12" t="n"/>
      <c r="F791" s="12" t="n"/>
      <c r="G791" s="12" t="n"/>
    </row>
    <row r="792" customFormat="1" s="51">
      <c r="A792" s="12" t="n"/>
      <c r="B792" s="12" t="n"/>
      <c r="C792" s="12" t="n"/>
      <c r="D792" s="12" t="n"/>
      <c r="E792" s="12" t="n"/>
      <c r="F792" s="12" t="n"/>
      <c r="G792" s="12" t="n"/>
    </row>
    <row r="793" customFormat="1" s="51">
      <c r="A793" s="12" t="n"/>
      <c r="B793" s="12" t="n"/>
      <c r="C793" s="12" t="n"/>
      <c r="D793" s="12" t="n"/>
      <c r="E793" s="12" t="n"/>
      <c r="F793" s="12" t="n"/>
      <c r="G793" s="12" t="n"/>
    </row>
    <row r="794" customFormat="1" s="51">
      <c r="A794" s="12" t="n"/>
      <c r="B794" s="12" t="n"/>
      <c r="C794" s="12" t="n"/>
      <c r="D794" s="12" t="n"/>
      <c r="E794" s="12" t="n"/>
      <c r="F794" s="12" t="n"/>
      <c r="G794" s="12" t="n"/>
    </row>
    <row r="795" customFormat="1" s="51">
      <c r="A795" s="12" t="n"/>
      <c r="B795" s="12" t="n"/>
      <c r="C795" s="12" t="n"/>
      <c r="D795" s="12" t="n"/>
      <c r="E795" s="12" t="n"/>
      <c r="F795" s="12" t="n"/>
      <c r="G795" s="12" t="n"/>
    </row>
    <row r="796" customFormat="1" s="51">
      <c r="A796" s="12" t="n"/>
      <c r="B796" s="12" t="n"/>
      <c r="C796" s="12" t="n"/>
      <c r="D796" s="12" t="n"/>
      <c r="E796" s="12" t="n"/>
      <c r="F796" s="12" t="n"/>
      <c r="G796" s="12" t="n"/>
    </row>
    <row r="797" customFormat="1" s="51">
      <c r="A797" s="12" t="n"/>
      <c r="B797" s="12" t="n"/>
      <c r="C797" s="12" t="n"/>
      <c r="D797" s="12" t="n"/>
      <c r="E797" s="12" t="n"/>
      <c r="F797" s="12" t="n"/>
      <c r="G797" s="12" t="n"/>
    </row>
    <row r="798" customFormat="1" s="51">
      <c r="A798" s="12" t="n"/>
      <c r="B798" s="12" t="n"/>
      <c r="C798" s="12" t="n"/>
      <c r="D798" s="12" t="n"/>
      <c r="E798" s="12" t="n"/>
      <c r="F798" s="12" t="n"/>
      <c r="G798" s="12" t="n"/>
    </row>
    <row r="799" customFormat="1" s="51">
      <c r="A799" s="12" t="n"/>
      <c r="B799" s="12" t="n"/>
      <c r="C799" s="12" t="n"/>
      <c r="D799" s="12" t="n"/>
      <c r="E799" s="12" t="n"/>
      <c r="F799" s="12" t="n"/>
      <c r="G799" s="12" t="n"/>
    </row>
    <row r="800" customFormat="1" s="51">
      <c r="A800" s="12" t="n"/>
      <c r="B800" s="12" t="n"/>
      <c r="C800" s="12" t="n"/>
      <c r="D800" s="12" t="n"/>
      <c r="E800" s="12" t="n"/>
      <c r="F800" s="12" t="n"/>
      <c r="G800" s="12" t="n"/>
    </row>
    <row r="801" customFormat="1" s="51">
      <c r="A801" s="12" t="n"/>
      <c r="B801" s="12" t="n"/>
      <c r="C801" s="12" t="n"/>
      <c r="D801" s="12" t="n"/>
      <c r="E801" s="12" t="n"/>
      <c r="F801" s="12" t="n"/>
      <c r="G801" s="12" t="n"/>
    </row>
    <row r="802" customFormat="1" s="51">
      <c r="A802" s="12" t="n"/>
      <c r="B802" s="12" t="n"/>
      <c r="C802" s="12" t="n"/>
      <c r="D802" s="12" t="n"/>
      <c r="E802" s="12" t="n"/>
      <c r="F802" s="12" t="n"/>
      <c r="G802" s="12" t="n"/>
    </row>
    <row r="803" customFormat="1" s="51">
      <c r="A803" s="12" t="n"/>
      <c r="B803" s="12" t="n"/>
      <c r="C803" s="12" t="n"/>
      <c r="D803" s="12" t="n"/>
      <c r="E803" s="12" t="n"/>
      <c r="F803" s="12" t="n"/>
      <c r="G803" s="12" t="n"/>
    </row>
    <row r="804" customFormat="1" s="51">
      <c r="A804" s="12" t="n"/>
      <c r="B804" s="12" t="n"/>
      <c r="C804" s="12" t="n"/>
      <c r="D804" s="12" t="n"/>
      <c r="E804" s="12" t="n"/>
      <c r="F804" s="12" t="n"/>
      <c r="G804" s="12" t="n"/>
    </row>
    <row r="805" customFormat="1" s="51">
      <c r="A805" s="12" t="n"/>
      <c r="B805" s="12" t="n"/>
      <c r="C805" s="12" t="n"/>
      <c r="D805" s="12" t="n"/>
      <c r="E805" s="12" t="n"/>
      <c r="F805" s="12" t="n"/>
      <c r="G805" s="12" t="n"/>
    </row>
    <row r="806" customFormat="1" s="51">
      <c r="A806" s="12" t="n"/>
      <c r="B806" s="12" t="n"/>
      <c r="C806" s="12" t="n"/>
      <c r="D806" s="12" t="n"/>
      <c r="E806" s="12" t="n"/>
      <c r="F806" s="12" t="n"/>
      <c r="G806" s="12" t="n"/>
    </row>
    <row r="807" customFormat="1" s="51">
      <c r="A807" s="12" t="n"/>
      <c r="B807" s="12" t="n"/>
      <c r="C807" s="12" t="n"/>
      <c r="D807" s="12" t="n"/>
      <c r="E807" s="12" t="n"/>
      <c r="F807" s="12" t="n"/>
      <c r="G807" s="12" t="n"/>
    </row>
    <row r="808" customFormat="1" s="51">
      <c r="A808" s="12" t="n"/>
      <c r="B808" s="12" t="n"/>
      <c r="C808" s="12" t="n"/>
      <c r="D808" s="12" t="n"/>
      <c r="E808" s="12" t="n"/>
      <c r="F808" s="12" t="n"/>
      <c r="G808" s="12" t="n"/>
    </row>
    <row r="809" customFormat="1" s="51">
      <c r="A809" s="12" t="n"/>
      <c r="B809" s="12" t="n"/>
      <c r="C809" s="12" t="n"/>
      <c r="D809" s="12" t="n"/>
      <c r="E809" s="12" t="n"/>
      <c r="F809" s="12" t="n"/>
      <c r="G809" s="12" t="n"/>
    </row>
    <row r="810" customFormat="1" s="51">
      <c r="A810" s="12" t="n"/>
      <c r="B810" s="12" t="n"/>
      <c r="C810" s="12" t="n"/>
      <c r="D810" s="12" t="n"/>
      <c r="E810" s="12" t="n"/>
      <c r="F810" s="12" t="n"/>
      <c r="G810" s="12" t="n"/>
    </row>
    <row r="811" customFormat="1" s="51">
      <c r="A811" s="12" t="n"/>
      <c r="B811" s="12" t="n"/>
      <c r="C811" s="12" t="n"/>
      <c r="D811" s="12" t="n"/>
      <c r="E811" s="12" t="n"/>
      <c r="F811" s="12" t="n"/>
      <c r="G811" s="12" t="n"/>
    </row>
    <row r="812" customFormat="1" s="51">
      <c r="A812" s="12" t="n"/>
      <c r="B812" s="12" t="n"/>
      <c r="C812" s="12" t="n"/>
      <c r="D812" s="12" t="n"/>
      <c r="E812" s="12" t="n"/>
      <c r="F812" s="12" t="n"/>
      <c r="G812" s="12" t="n"/>
    </row>
    <row r="813" customFormat="1" s="51">
      <c r="A813" s="12" t="n"/>
      <c r="B813" s="12" t="n"/>
      <c r="C813" s="12" t="n"/>
      <c r="D813" s="12" t="n"/>
      <c r="E813" s="12" t="n"/>
      <c r="F813" s="12" t="n"/>
      <c r="G813" s="12" t="n"/>
    </row>
    <row r="814" customFormat="1" s="51">
      <c r="A814" s="12" t="n"/>
      <c r="B814" s="12" t="n"/>
      <c r="C814" s="12" t="n"/>
      <c r="D814" s="12" t="n"/>
      <c r="E814" s="12" t="n"/>
      <c r="F814" s="12" t="n"/>
      <c r="G814" s="12" t="n"/>
    </row>
    <row r="815" customFormat="1" s="51">
      <c r="A815" s="12" t="n"/>
      <c r="B815" s="12" t="n"/>
      <c r="C815" s="12" t="n"/>
      <c r="D815" s="12" t="n"/>
      <c r="E815" s="12" t="n"/>
      <c r="F815" s="12" t="n"/>
      <c r="G815" s="12" t="n"/>
    </row>
    <row r="816" customFormat="1" s="51">
      <c r="A816" s="12" t="n"/>
      <c r="B816" s="12" t="n"/>
      <c r="C816" s="12" t="n"/>
      <c r="D816" s="12" t="n"/>
      <c r="E816" s="12" t="n"/>
      <c r="F816" s="12" t="n"/>
      <c r="G816" s="12" t="n"/>
    </row>
    <row r="817" customFormat="1" s="51">
      <c r="A817" s="12" t="n"/>
      <c r="B817" s="12" t="n"/>
      <c r="C817" s="12" t="n"/>
      <c r="D817" s="12" t="n"/>
      <c r="E817" s="12" t="n"/>
      <c r="F817" s="12" t="n"/>
      <c r="G817" s="12" t="n"/>
    </row>
    <row r="818" customFormat="1" s="51">
      <c r="A818" s="12" t="n"/>
      <c r="B818" s="12" t="n"/>
      <c r="C818" s="12" t="n"/>
      <c r="D818" s="12" t="n"/>
      <c r="E818" s="12" t="n"/>
      <c r="F818" s="12" t="n"/>
      <c r="G818" s="12" t="n"/>
    </row>
    <row r="819" customFormat="1" s="51">
      <c r="A819" s="12" t="n"/>
      <c r="B819" s="12" t="n"/>
      <c r="C819" s="12" t="n"/>
      <c r="D819" s="12" t="n"/>
      <c r="E819" s="12" t="n"/>
      <c r="F819" s="12" t="n"/>
      <c r="G819" s="12" t="n"/>
    </row>
    <row r="820" customFormat="1" s="51">
      <c r="A820" s="12" t="n"/>
      <c r="B820" s="12" t="n"/>
      <c r="C820" s="12" t="n"/>
      <c r="D820" s="12" t="n"/>
      <c r="E820" s="12" t="n"/>
      <c r="F820" s="12" t="n"/>
      <c r="G820" s="12" t="n"/>
    </row>
    <row r="821" customFormat="1" s="51">
      <c r="A821" s="12" t="n"/>
      <c r="B821" s="12" t="n"/>
      <c r="C821" s="12" t="n"/>
      <c r="D821" s="12" t="n"/>
      <c r="E821" s="12" t="n"/>
      <c r="F821" s="12" t="n"/>
      <c r="G821" s="12" t="n"/>
    </row>
    <row r="822" customFormat="1" s="51">
      <c r="A822" s="12" t="n"/>
      <c r="B822" s="12" t="n"/>
      <c r="C822" s="12" t="n"/>
      <c r="D822" s="12" t="n"/>
      <c r="E822" s="12" t="n"/>
      <c r="F822" s="12" t="n"/>
      <c r="G822" s="12" t="n"/>
    </row>
    <row r="823" customFormat="1" s="51">
      <c r="A823" s="12" t="n"/>
      <c r="B823" s="12" t="n"/>
      <c r="C823" s="12" t="n"/>
      <c r="D823" s="12" t="n"/>
      <c r="E823" s="12" t="n"/>
      <c r="F823" s="12" t="n"/>
      <c r="G823" s="12" t="n"/>
    </row>
    <row r="824" customFormat="1" s="51">
      <c r="A824" s="12" t="n"/>
      <c r="B824" s="12" t="n"/>
      <c r="C824" s="12" t="n"/>
      <c r="D824" s="12" t="n"/>
      <c r="E824" s="12" t="n"/>
      <c r="F824" s="12" t="n"/>
      <c r="G824" s="12" t="n"/>
    </row>
    <row r="825" customFormat="1" s="51">
      <c r="A825" s="12" t="n"/>
      <c r="B825" s="12" t="n"/>
      <c r="C825" s="12" t="n"/>
      <c r="D825" s="12" t="n"/>
      <c r="E825" s="12" t="n"/>
      <c r="F825" s="12" t="n"/>
      <c r="G825" s="12" t="n"/>
    </row>
    <row r="826" customFormat="1" s="51">
      <c r="A826" s="12" t="n"/>
      <c r="B826" s="12" t="n"/>
      <c r="C826" s="12" t="n"/>
      <c r="D826" s="12" t="n"/>
      <c r="E826" s="12" t="n"/>
      <c r="F826" s="12" t="n"/>
      <c r="G826" s="12" t="n"/>
    </row>
    <row r="827" customFormat="1" s="51">
      <c r="A827" s="12" t="n"/>
      <c r="B827" s="12" t="n"/>
      <c r="C827" s="12" t="n"/>
      <c r="D827" s="12" t="n"/>
      <c r="E827" s="12" t="n"/>
      <c r="F827" s="12" t="n"/>
      <c r="G827" s="12" t="n"/>
    </row>
    <row r="828" customFormat="1" s="51">
      <c r="A828" s="12" t="n"/>
      <c r="B828" s="12" t="n"/>
      <c r="C828" s="12" t="n"/>
      <c r="D828" s="12" t="n"/>
      <c r="E828" s="12" t="n"/>
      <c r="F828" s="12" t="n"/>
      <c r="G828" s="12" t="n"/>
    </row>
    <row r="829" customFormat="1" s="51">
      <c r="A829" s="12" t="n"/>
      <c r="B829" s="12" t="n"/>
      <c r="C829" s="12" t="n"/>
      <c r="D829" s="12" t="n"/>
      <c r="E829" s="12" t="n"/>
      <c r="F829" s="12" t="n"/>
      <c r="G829" s="12" t="n"/>
    </row>
    <row r="830" customFormat="1" s="51">
      <c r="A830" s="12" t="n"/>
      <c r="B830" s="12" t="n"/>
      <c r="C830" s="12" t="n"/>
      <c r="D830" s="12" t="n"/>
      <c r="E830" s="12" t="n"/>
      <c r="F830" s="12" t="n"/>
      <c r="G830" s="12" t="n"/>
    </row>
    <row r="831" customFormat="1" s="51">
      <c r="A831" s="12" t="n"/>
      <c r="B831" s="12" t="n"/>
      <c r="C831" s="12" t="n"/>
      <c r="D831" s="12" t="n"/>
      <c r="E831" s="12" t="n"/>
      <c r="F831" s="12" t="n"/>
      <c r="G831" s="12" t="n"/>
    </row>
    <row r="832" customFormat="1" s="51">
      <c r="A832" s="12" t="n"/>
      <c r="B832" s="12" t="n"/>
      <c r="C832" s="12" t="n"/>
      <c r="D832" s="12" t="n"/>
      <c r="E832" s="12" t="n"/>
      <c r="F832" s="12" t="n"/>
      <c r="G832" s="12" t="n"/>
    </row>
    <row r="833" customFormat="1" s="51">
      <c r="A833" s="12" t="n"/>
      <c r="B833" s="12" t="n"/>
      <c r="C833" s="12" t="n"/>
      <c r="D833" s="12" t="n"/>
      <c r="E833" s="12" t="n"/>
      <c r="F833" s="12" t="n"/>
      <c r="G833" s="12" t="n"/>
    </row>
    <row r="834" customFormat="1" s="51">
      <c r="A834" s="12" t="n"/>
      <c r="B834" s="12" t="n"/>
      <c r="C834" s="12" t="n"/>
      <c r="D834" s="12" t="n"/>
      <c r="E834" s="12" t="n"/>
      <c r="F834" s="12" t="n"/>
      <c r="G834" s="12" t="n"/>
    </row>
    <row r="835" customFormat="1" s="51">
      <c r="A835" s="12" t="n"/>
      <c r="B835" s="12" t="n"/>
      <c r="C835" s="12" t="n"/>
      <c r="D835" s="12" t="n"/>
      <c r="E835" s="12" t="n"/>
      <c r="F835" s="12" t="n"/>
      <c r="G835" s="12" t="n"/>
    </row>
    <row r="836" customFormat="1" s="51">
      <c r="A836" s="12" t="n"/>
      <c r="B836" s="12" t="n"/>
      <c r="C836" s="12" t="n"/>
      <c r="D836" s="12" t="n"/>
      <c r="E836" s="12" t="n"/>
      <c r="F836" s="12" t="n"/>
      <c r="G836" s="12" t="n"/>
    </row>
    <row r="837" customFormat="1" s="51">
      <c r="A837" s="12" t="n"/>
      <c r="B837" s="12" t="n"/>
      <c r="C837" s="12" t="n"/>
      <c r="D837" s="12" t="n"/>
      <c r="E837" s="12" t="n"/>
      <c r="F837" s="12" t="n"/>
      <c r="G837" s="12" t="n"/>
    </row>
    <row r="838" customFormat="1" s="51">
      <c r="A838" s="12" t="n"/>
      <c r="B838" s="12" t="n"/>
      <c r="C838" s="12" t="n"/>
      <c r="D838" s="12" t="n"/>
      <c r="E838" s="12" t="n"/>
      <c r="F838" s="12" t="n"/>
      <c r="G838" s="12" t="n"/>
    </row>
    <row r="839" customFormat="1" s="51">
      <c r="A839" s="12" t="n"/>
      <c r="B839" s="12" t="n"/>
      <c r="C839" s="12" t="n"/>
      <c r="D839" s="12" t="n"/>
      <c r="E839" s="12" t="n"/>
      <c r="F839" s="12" t="n"/>
      <c r="G839" s="12" t="n"/>
    </row>
    <row r="840" customFormat="1" s="51">
      <c r="A840" s="12" t="n"/>
      <c r="B840" s="12" t="n"/>
      <c r="C840" s="12" t="n"/>
      <c r="D840" s="12" t="n"/>
      <c r="E840" s="12" t="n"/>
      <c r="F840" s="12" t="n"/>
      <c r="G840" s="12" t="n"/>
    </row>
    <row r="841" customFormat="1" s="51">
      <c r="A841" s="12" t="n"/>
      <c r="B841" s="12" t="n"/>
      <c r="C841" s="12" t="n"/>
      <c r="D841" s="12" t="n"/>
      <c r="E841" s="12" t="n"/>
      <c r="F841" s="12" t="n"/>
      <c r="G841" s="12" t="n"/>
    </row>
    <row r="842" customFormat="1" s="51">
      <c r="A842" s="12" t="n"/>
      <c r="B842" s="12" t="n"/>
      <c r="C842" s="12" t="n"/>
      <c r="D842" s="12" t="n"/>
      <c r="E842" s="12" t="n"/>
      <c r="F842" s="12" t="n"/>
      <c r="G842" s="12" t="n"/>
    </row>
    <row r="843" customFormat="1" s="51">
      <c r="A843" s="12" t="n"/>
      <c r="B843" s="12" t="n"/>
      <c r="C843" s="12" t="n"/>
      <c r="D843" s="12" t="n"/>
      <c r="E843" s="12" t="n"/>
      <c r="F843" s="12" t="n"/>
      <c r="G843" s="12" t="n"/>
    </row>
    <row r="844" customFormat="1" s="51">
      <c r="A844" s="12" t="n"/>
      <c r="B844" s="12" t="n"/>
      <c r="C844" s="12" t="n"/>
      <c r="D844" s="12" t="n"/>
      <c r="E844" s="12" t="n"/>
      <c r="F844" s="12" t="n"/>
      <c r="G844" s="12" t="n"/>
    </row>
    <row r="845" customFormat="1" s="51">
      <c r="A845" s="12" t="n"/>
      <c r="B845" s="12" t="n"/>
      <c r="C845" s="12" t="n"/>
      <c r="D845" s="12" t="n"/>
      <c r="E845" s="12" t="n"/>
      <c r="F845" s="12" t="n"/>
      <c r="G845" s="12" t="n"/>
    </row>
    <row r="846" customFormat="1" s="51">
      <c r="A846" s="12" t="n"/>
      <c r="B846" s="12" t="n"/>
      <c r="C846" s="12" t="n"/>
      <c r="D846" s="12" t="n"/>
      <c r="E846" s="12" t="n"/>
      <c r="F846" s="12" t="n"/>
      <c r="G846" s="12" t="n"/>
    </row>
    <row r="847" customFormat="1" s="51">
      <c r="A847" s="12" t="n"/>
      <c r="B847" s="12" t="n"/>
      <c r="C847" s="12" t="n"/>
      <c r="D847" s="12" t="n"/>
      <c r="E847" s="12" t="n"/>
      <c r="F847" s="12" t="n"/>
      <c r="G847" s="12" t="n"/>
    </row>
    <row r="848" customFormat="1" s="51">
      <c r="A848" s="12" t="n"/>
      <c r="B848" s="12" t="n"/>
      <c r="C848" s="12" t="n"/>
      <c r="D848" s="12" t="n"/>
      <c r="E848" s="12" t="n"/>
      <c r="F848" s="12" t="n"/>
      <c r="G848" s="12" t="n"/>
    </row>
    <row r="849" customFormat="1" s="51">
      <c r="A849" s="12" t="n"/>
      <c r="B849" s="12" t="n"/>
      <c r="C849" s="12" t="n"/>
      <c r="D849" s="12" t="n"/>
      <c r="E849" s="12" t="n"/>
      <c r="F849" s="12" t="n"/>
      <c r="G849" s="12" t="n"/>
    </row>
    <row r="850" customFormat="1" s="51">
      <c r="A850" s="12" t="n"/>
      <c r="B850" s="12" t="n"/>
      <c r="C850" s="12" t="n"/>
      <c r="D850" s="12" t="n"/>
      <c r="E850" s="12" t="n"/>
      <c r="F850" s="12" t="n"/>
      <c r="G850" s="12" t="n"/>
    </row>
    <row r="851" customFormat="1" s="51">
      <c r="A851" s="12" t="n"/>
      <c r="B851" s="12" t="n"/>
      <c r="C851" s="12" t="n"/>
      <c r="D851" s="12" t="n"/>
      <c r="E851" s="12" t="n"/>
      <c r="F851" s="12" t="n"/>
      <c r="G851" s="12" t="n"/>
    </row>
    <row r="852" customFormat="1" s="51">
      <c r="A852" s="12" t="n"/>
      <c r="B852" s="12" t="n"/>
      <c r="C852" s="12" t="n"/>
      <c r="D852" s="12" t="n"/>
      <c r="E852" s="12" t="n"/>
      <c r="F852" s="12" t="n"/>
      <c r="G852" s="12" t="n"/>
    </row>
    <row r="853" customFormat="1" s="51">
      <c r="A853" s="12" t="n"/>
      <c r="B853" s="12" t="n"/>
      <c r="C853" s="12" t="n"/>
      <c r="D853" s="12" t="n"/>
      <c r="E853" s="12" t="n"/>
      <c r="F853" s="12" t="n"/>
      <c r="G853" s="12" t="n"/>
    </row>
    <row r="854" customFormat="1" s="51">
      <c r="A854" s="12" t="n"/>
      <c r="B854" s="12" t="n"/>
      <c r="C854" s="12" t="n"/>
      <c r="D854" s="12" t="n"/>
      <c r="E854" s="12" t="n"/>
      <c r="F854" s="12" t="n"/>
      <c r="G854" s="12" t="n"/>
    </row>
    <row r="855" customFormat="1" s="51">
      <c r="A855" s="12" t="n"/>
      <c r="B855" s="12" t="n"/>
      <c r="C855" s="12" t="n"/>
      <c r="D855" s="12" t="n"/>
      <c r="E855" s="12" t="n"/>
      <c r="F855" s="12" t="n"/>
      <c r="G855" s="12" t="n"/>
    </row>
    <row r="856" customFormat="1" s="51">
      <c r="A856" s="12" t="n"/>
      <c r="B856" s="12" t="n"/>
      <c r="C856" s="12" t="n"/>
      <c r="D856" s="12" t="n"/>
      <c r="E856" s="12" t="n"/>
      <c r="F856" s="12" t="n"/>
      <c r="G856" s="12" t="n"/>
    </row>
    <row r="857" customFormat="1" s="51">
      <c r="A857" s="12" t="n"/>
      <c r="B857" s="12" t="n"/>
      <c r="C857" s="12" t="n"/>
      <c r="D857" s="12" t="n"/>
      <c r="E857" s="12" t="n"/>
      <c r="F857" s="12" t="n"/>
      <c r="G857" s="12" t="n"/>
    </row>
    <row r="858" customFormat="1" s="51">
      <c r="A858" s="12" t="n"/>
      <c r="B858" s="12" t="n"/>
      <c r="C858" s="12" t="n"/>
      <c r="D858" s="12" t="n"/>
      <c r="E858" s="12" t="n"/>
      <c r="F858" s="12" t="n"/>
      <c r="G858" s="12" t="n"/>
    </row>
    <row r="859" customFormat="1" s="51">
      <c r="A859" s="12" t="n"/>
      <c r="B859" s="12" t="n"/>
      <c r="C859" s="12" t="n"/>
      <c r="D859" s="12" t="n"/>
      <c r="E859" s="12" t="n"/>
      <c r="F859" s="12" t="n"/>
      <c r="G859" s="12" t="n"/>
    </row>
    <row r="860" customFormat="1" s="51">
      <c r="A860" s="12" t="n"/>
      <c r="B860" s="12" t="n"/>
      <c r="C860" s="12" t="n"/>
      <c r="D860" s="12" t="n"/>
      <c r="E860" s="12" t="n"/>
      <c r="F860" s="12" t="n"/>
      <c r="G860" s="12" t="n"/>
    </row>
    <row r="861" customFormat="1" s="51">
      <c r="A861" s="12" t="n"/>
      <c r="B861" s="12" t="n"/>
      <c r="C861" s="12" t="n"/>
      <c r="D861" s="12" t="n"/>
      <c r="E861" s="12" t="n"/>
      <c r="F861" s="12" t="n"/>
      <c r="G861" s="12" t="n"/>
    </row>
    <row r="862" customFormat="1" s="51">
      <c r="A862" s="12" t="n"/>
      <c r="B862" s="12" t="n"/>
      <c r="C862" s="12" t="n"/>
      <c r="D862" s="12" t="n"/>
      <c r="E862" s="12" t="n"/>
      <c r="F862" s="12" t="n"/>
      <c r="G862" s="12" t="n"/>
    </row>
    <row r="863" customFormat="1" s="51">
      <c r="A863" s="12" t="n"/>
      <c r="B863" s="12" t="n"/>
      <c r="C863" s="12" t="n"/>
      <c r="D863" s="12" t="n"/>
      <c r="E863" s="12" t="n"/>
      <c r="F863" s="12" t="n"/>
      <c r="G863" s="12" t="n"/>
    </row>
    <row r="864" customFormat="1" s="51">
      <c r="A864" s="12" t="n"/>
      <c r="B864" s="12" t="n"/>
      <c r="C864" s="12" t="n"/>
      <c r="D864" s="12" t="n"/>
      <c r="E864" s="12" t="n"/>
      <c r="F864" s="12" t="n"/>
      <c r="G864" s="12" t="n"/>
    </row>
    <row r="865" customFormat="1" s="51">
      <c r="A865" s="12" t="n"/>
      <c r="B865" s="12" t="n"/>
      <c r="C865" s="12" t="n"/>
      <c r="D865" s="12" t="n"/>
      <c r="E865" s="12" t="n"/>
      <c r="F865" s="12" t="n"/>
      <c r="G865" s="12" t="n"/>
    </row>
    <row r="866" customFormat="1" s="51">
      <c r="A866" s="12" t="n"/>
      <c r="B866" s="12" t="n"/>
      <c r="C866" s="12" t="n"/>
      <c r="D866" s="12" t="n"/>
      <c r="E866" s="12" t="n"/>
      <c r="F866" s="12" t="n"/>
      <c r="G866" s="12" t="n"/>
    </row>
    <row r="867" customFormat="1" s="51">
      <c r="A867" s="12" t="n"/>
      <c r="B867" s="12" t="n"/>
      <c r="C867" s="12" t="n"/>
      <c r="D867" s="12" t="n"/>
      <c r="E867" s="12" t="n"/>
      <c r="F867" s="12" t="n"/>
      <c r="G867" s="12" t="n"/>
    </row>
    <row r="868" customFormat="1" s="51">
      <c r="A868" s="12" t="n"/>
      <c r="B868" s="12" t="n"/>
      <c r="C868" s="12" t="n"/>
      <c r="D868" s="12" t="n"/>
      <c r="E868" s="12" t="n"/>
      <c r="F868" s="12" t="n"/>
      <c r="G868" s="12" t="n"/>
    </row>
    <row r="869" customFormat="1" s="51">
      <c r="A869" s="12" t="n"/>
      <c r="B869" s="12" t="n"/>
      <c r="C869" s="12" t="n"/>
      <c r="D869" s="12" t="n"/>
      <c r="E869" s="12" t="n"/>
      <c r="F869" s="12" t="n"/>
      <c r="G869" s="12" t="n"/>
    </row>
    <row r="870" customFormat="1" s="51">
      <c r="A870" s="12" t="n"/>
      <c r="B870" s="12" t="n"/>
      <c r="C870" s="12" t="n"/>
      <c r="D870" s="12" t="n"/>
      <c r="E870" s="12" t="n"/>
      <c r="F870" s="12" t="n"/>
      <c r="G870" s="12" t="n"/>
    </row>
    <row r="871" customFormat="1" s="51">
      <c r="A871" s="12" t="n"/>
      <c r="B871" s="12" t="n"/>
      <c r="C871" s="12" t="n"/>
      <c r="D871" s="12" t="n"/>
      <c r="E871" s="12" t="n"/>
      <c r="F871" s="12" t="n"/>
      <c r="G871" s="12" t="n"/>
    </row>
    <row r="872" customFormat="1" s="51">
      <c r="A872" s="12" t="n"/>
      <c r="B872" s="12" t="n"/>
      <c r="C872" s="12" t="n"/>
      <c r="D872" s="12" t="n"/>
      <c r="E872" s="12" t="n"/>
      <c r="F872" s="12" t="n"/>
      <c r="G872" s="12" t="n"/>
    </row>
    <row r="873" customFormat="1" s="51">
      <c r="A873" s="12" t="n"/>
      <c r="B873" s="12" t="n"/>
      <c r="C873" s="12" t="n"/>
      <c r="D873" s="12" t="n"/>
      <c r="E873" s="12" t="n"/>
      <c r="F873" s="12" t="n"/>
      <c r="G873" s="12" t="n"/>
    </row>
    <row r="874" customFormat="1" s="51">
      <c r="A874" s="12" t="n"/>
      <c r="B874" s="12" t="n"/>
      <c r="C874" s="12" t="n"/>
      <c r="D874" s="12" t="n"/>
      <c r="E874" s="12" t="n"/>
      <c r="F874" s="12" t="n"/>
      <c r="G874" s="12" t="n"/>
    </row>
    <row r="875" customFormat="1" s="51">
      <c r="A875" s="12" t="n"/>
      <c r="B875" s="12" t="n"/>
      <c r="C875" s="12" t="n"/>
      <c r="D875" s="12" t="n"/>
      <c r="E875" s="12" t="n"/>
      <c r="F875" s="12" t="n"/>
      <c r="G875" s="12" t="n"/>
    </row>
    <row r="876" customFormat="1" s="51">
      <c r="A876" s="12" t="n"/>
      <c r="B876" s="12" t="n"/>
      <c r="C876" s="12" t="n"/>
      <c r="D876" s="12" t="n"/>
      <c r="E876" s="12" t="n"/>
      <c r="F876" s="12" t="n"/>
      <c r="G876" s="12" t="n"/>
    </row>
    <row r="877" customFormat="1" s="51">
      <c r="A877" s="12" t="n"/>
      <c r="B877" s="12" t="n"/>
      <c r="C877" s="12" t="n"/>
      <c r="D877" s="12" t="n"/>
      <c r="E877" s="12" t="n"/>
      <c r="F877" s="12" t="n"/>
      <c r="G877" s="12" t="n"/>
    </row>
    <row r="878" customFormat="1" s="51">
      <c r="A878" s="12" t="n"/>
      <c r="B878" s="12" t="n"/>
      <c r="C878" s="12" t="n"/>
      <c r="D878" s="12" t="n"/>
      <c r="E878" s="12" t="n"/>
      <c r="F878" s="12" t="n"/>
      <c r="G878" s="12" t="n"/>
    </row>
    <row r="879" customFormat="1" s="51">
      <c r="A879" s="12" t="n"/>
      <c r="B879" s="12" t="n"/>
      <c r="C879" s="12" t="n"/>
      <c r="D879" s="12" t="n"/>
      <c r="E879" s="12" t="n"/>
      <c r="F879" s="12" t="n"/>
      <c r="G879" s="12" t="n"/>
    </row>
    <row r="880" customFormat="1" s="51">
      <c r="A880" s="12" t="n"/>
      <c r="B880" s="12" t="n"/>
      <c r="C880" s="12" t="n"/>
      <c r="D880" s="12" t="n"/>
      <c r="E880" s="12" t="n"/>
      <c r="F880" s="12" t="n"/>
      <c r="G880" s="12" t="n"/>
    </row>
    <row r="881" customFormat="1" s="51">
      <c r="A881" s="12" t="n"/>
      <c r="B881" s="12" t="n"/>
      <c r="C881" s="12" t="n"/>
      <c r="D881" s="12" t="n"/>
      <c r="E881" s="12" t="n"/>
      <c r="F881" s="12" t="n"/>
      <c r="G881" s="12" t="n"/>
    </row>
    <row r="882" customFormat="1" s="51">
      <c r="A882" s="12" t="n"/>
      <c r="B882" s="12" t="n"/>
      <c r="C882" s="12" t="n"/>
      <c r="D882" s="12" t="n"/>
      <c r="E882" s="12" t="n"/>
      <c r="F882" s="12" t="n"/>
      <c r="G882" s="12" t="n"/>
    </row>
    <row r="883" customFormat="1" s="51">
      <c r="A883" s="12" t="n"/>
      <c r="B883" s="12" t="n"/>
      <c r="C883" s="12" t="n"/>
      <c r="D883" s="12" t="n"/>
      <c r="E883" s="12" t="n"/>
      <c r="F883" s="12" t="n"/>
      <c r="G883" s="12" t="n"/>
    </row>
    <row r="884" customFormat="1" s="51">
      <c r="A884" s="12" t="n"/>
      <c r="B884" s="12" t="n"/>
      <c r="C884" s="12" t="n"/>
      <c r="D884" s="12" t="n"/>
      <c r="E884" s="12" t="n"/>
      <c r="F884" s="12" t="n"/>
      <c r="G884" s="12" t="n"/>
    </row>
    <row r="885" customFormat="1" s="51">
      <c r="A885" s="12" t="n"/>
      <c r="B885" s="12" t="n"/>
      <c r="C885" s="12" t="n"/>
      <c r="D885" s="12" t="n"/>
      <c r="E885" s="12" t="n"/>
      <c r="F885" s="12" t="n"/>
      <c r="G885" s="12" t="n"/>
    </row>
    <row r="886" customFormat="1" s="51">
      <c r="A886" s="12" t="n"/>
      <c r="B886" s="12" t="n"/>
      <c r="C886" s="12" t="n"/>
      <c r="D886" s="12" t="n"/>
      <c r="E886" s="12" t="n"/>
      <c r="F886" s="12" t="n"/>
      <c r="G886" s="12" t="n"/>
    </row>
    <row r="887" customFormat="1" s="51">
      <c r="A887" s="12" t="n"/>
      <c r="B887" s="12" t="n"/>
      <c r="C887" s="12" t="n"/>
      <c r="D887" s="12" t="n"/>
      <c r="E887" s="12" t="n"/>
      <c r="F887" s="12" t="n"/>
      <c r="G887" s="12" t="n"/>
    </row>
    <row r="888" customFormat="1" s="51">
      <c r="A888" s="12" t="n"/>
      <c r="B888" s="12" t="n"/>
      <c r="C888" s="12" t="n"/>
      <c r="D888" s="12" t="n"/>
      <c r="E888" s="12" t="n"/>
      <c r="F888" s="12" t="n"/>
      <c r="G888" s="12" t="n"/>
    </row>
    <row r="889" customFormat="1" s="51">
      <c r="A889" s="12" t="n"/>
      <c r="B889" s="12" t="n"/>
      <c r="C889" s="12" t="n"/>
      <c r="D889" s="12" t="n"/>
      <c r="E889" s="12" t="n"/>
      <c r="F889" s="12" t="n"/>
      <c r="G889" s="12" t="n"/>
    </row>
    <row r="890" customFormat="1" s="51">
      <c r="A890" s="12" t="n"/>
      <c r="B890" s="12" t="n"/>
      <c r="C890" s="12" t="n"/>
      <c r="D890" s="12" t="n"/>
      <c r="E890" s="12" t="n"/>
      <c r="F890" s="12" t="n"/>
      <c r="G890" s="12" t="n"/>
    </row>
    <row r="891" customFormat="1" s="51">
      <c r="A891" s="12" t="n"/>
      <c r="B891" s="12" t="n"/>
      <c r="C891" s="12" t="n"/>
      <c r="D891" s="12" t="n"/>
      <c r="E891" s="12" t="n"/>
      <c r="F891" s="12" t="n"/>
      <c r="G891" s="12" t="n"/>
    </row>
    <row r="892" customFormat="1" s="51">
      <c r="A892" s="12" t="n"/>
      <c r="B892" s="12" t="n"/>
      <c r="C892" s="12" t="n"/>
      <c r="D892" s="12" t="n"/>
      <c r="E892" s="12" t="n"/>
      <c r="F892" s="12" t="n"/>
      <c r="G892" s="12" t="n"/>
    </row>
    <row r="893" customFormat="1" s="51">
      <c r="A893" s="12" t="n"/>
      <c r="B893" s="12" t="n"/>
      <c r="C893" s="12" t="n"/>
      <c r="D893" s="12" t="n"/>
      <c r="E893" s="12" t="n"/>
      <c r="F893" s="12" t="n"/>
      <c r="G893" s="12" t="n"/>
    </row>
    <row r="894" customFormat="1" s="51">
      <c r="A894" s="12" t="n"/>
      <c r="B894" s="12" t="n"/>
      <c r="C894" s="12" t="n"/>
      <c r="D894" s="12" t="n"/>
      <c r="E894" s="12" t="n"/>
      <c r="F894" s="12" t="n"/>
      <c r="G894" s="12" t="n"/>
    </row>
    <row r="895" customFormat="1" s="51">
      <c r="A895" s="12" t="n"/>
      <c r="B895" s="12" t="n"/>
      <c r="C895" s="12" t="n"/>
      <c r="D895" s="12" t="n"/>
      <c r="E895" s="12" t="n"/>
      <c r="F895" s="12" t="n"/>
      <c r="G895" s="12" t="n"/>
    </row>
    <row r="896" customFormat="1" s="51">
      <c r="A896" s="12" t="n"/>
      <c r="B896" s="12" t="n"/>
      <c r="C896" s="12" t="n"/>
      <c r="D896" s="12" t="n"/>
      <c r="E896" s="12" t="n"/>
      <c r="F896" s="12" t="n"/>
      <c r="G896" s="12" t="n"/>
    </row>
    <row r="897" customFormat="1" s="51">
      <c r="A897" s="12" t="n"/>
      <c r="B897" s="12" t="n"/>
      <c r="C897" s="12" t="n"/>
      <c r="D897" s="12" t="n"/>
      <c r="E897" s="12" t="n"/>
      <c r="F897" s="12" t="n"/>
      <c r="G897" s="12" t="n"/>
    </row>
    <row r="898" customFormat="1" s="51">
      <c r="A898" s="12" t="n"/>
      <c r="B898" s="12" t="n"/>
      <c r="C898" s="12" t="n"/>
      <c r="D898" s="12" t="n"/>
      <c r="E898" s="12" t="n"/>
      <c r="F898" s="12" t="n"/>
      <c r="G898" s="12" t="n"/>
    </row>
    <row r="899" customFormat="1" s="51">
      <c r="A899" s="12" t="n"/>
      <c r="B899" s="12" t="n"/>
      <c r="C899" s="12" t="n"/>
      <c r="D899" s="12" t="n"/>
      <c r="E899" s="12" t="n"/>
      <c r="F899" s="12" t="n"/>
      <c r="G899" s="12" t="n"/>
    </row>
    <row r="900" customFormat="1" s="51">
      <c r="A900" s="12" t="n"/>
      <c r="B900" s="12" t="n"/>
      <c r="C900" s="12" t="n"/>
      <c r="D900" s="12" t="n"/>
      <c r="E900" s="12" t="n"/>
      <c r="F900" s="12" t="n"/>
      <c r="G900" s="12" t="n"/>
    </row>
    <row r="901" customFormat="1" s="51">
      <c r="A901" s="12" t="n"/>
      <c r="B901" s="12" t="n"/>
      <c r="C901" s="12" t="n"/>
      <c r="D901" s="12" t="n"/>
      <c r="E901" s="12" t="n"/>
      <c r="F901" s="12" t="n"/>
      <c r="G901" s="12" t="n"/>
    </row>
    <row r="902" customFormat="1" s="51">
      <c r="A902" s="12" t="n"/>
      <c r="B902" s="12" t="n"/>
      <c r="C902" s="12" t="n"/>
      <c r="D902" s="12" t="n"/>
      <c r="E902" s="12" t="n"/>
      <c r="F902" s="12" t="n"/>
      <c r="G902" s="12" t="n"/>
    </row>
    <row r="903" customFormat="1" s="51">
      <c r="A903" s="12" t="n"/>
      <c r="B903" s="12" t="n"/>
      <c r="C903" s="12" t="n"/>
      <c r="D903" s="12" t="n"/>
      <c r="E903" s="12" t="n"/>
      <c r="F903" s="12" t="n"/>
      <c r="G903" s="12" t="n"/>
    </row>
    <row r="904" customFormat="1" s="51">
      <c r="A904" s="12" t="n"/>
      <c r="B904" s="12" t="n"/>
      <c r="C904" s="12" t="n"/>
      <c r="D904" s="12" t="n"/>
      <c r="E904" s="12" t="n"/>
      <c r="F904" s="12" t="n"/>
      <c r="G904" s="12" t="n"/>
    </row>
    <row r="905" customFormat="1" s="51">
      <c r="A905" s="12" t="n"/>
      <c r="B905" s="12" t="n"/>
      <c r="C905" s="12" t="n"/>
      <c r="D905" s="12" t="n"/>
      <c r="E905" s="12" t="n"/>
      <c r="F905" s="12" t="n"/>
      <c r="G905" s="12" t="n"/>
    </row>
    <row r="906" customFormat="1" s="51">
      <c r="A906" s="12" t="n"/>
      <c r="B906" s="12" t="n"/>
      <c r="C906" s="12" t="n"/>
      <c r="D906" s="12" t="n"/>
      <c r="E906" s="12" t="n"/>
      <c r="F906" s="12" t="n"/>
      <c r="G906" s="12" t="n"/>
    </row>
    <row r="907" customFormat="1" s="51">
      <c r="A907" s="12" t="n"/>
      <c r="B907" s="12" t="n"/>
      <c r="C907" s="12" t="n"/>
      <c r="D907" s="12" t="n"/>
      <c r="E907" s="12" t="n"/>
      <c r="F907" s="12" t="n"/>
      <c r="G907" s="12" t="n"/>
    </row>
    <row r="908" customFormat="1" s="51">
      <c r="A908" s="12" t="n"/>
      <c r="B908" s="12" t="n"/>
      <c r="C908" s="12" t="n"/>
      <c r="D908" s="12" t="n"/>
      <c r="E908" s="12" t="n"/>
      <c r="F908" s="12" t="n"/>
      <c r="G908" s="12" t="n"/>
    </row>
    <row r="909" customFormat="1" s="51">
      <c r="A909" s="12" t="n"/>
      <c r="B909" s="12" t="n"/>
      <c r="C909" s="12" t="n"/>
      <c r="D909" s="12" t="n"/>
      <c r="E909" s="12" t="n"/>
      <c r="F909" s="12" t="n"/>
      <c r="G909" s="12" t="n"/>
    </row>
    <row r="910" customFormat="1" s="51">
      <c r="A910" s="12" t="n"/>
      <c r="B910" s="12" t="n"/>
      <c r="C910" s="12" t="n"/>
      <c r="D910" s="12" t="n"/>
      <c r="E910" s="12" t="n"/>
      <c r="F910" s="12" t="n"/>
      <c r="G910" s="12" t="n"/>
    </row>
    <row r="911" customFormat="1" s="51">
      <c r="A911" s="12" t="n"/>
      <c r="B911" s="12" t="n"/>
      <c r="C911" s="12" t="n"/>
      <c r="D911" s="12" t="n"/>
      <c r="E911" s="12" t="n"/>
      <c r="F911" s="12" t="n"/>
      <c r="G911" s="12" t="n"/>
    </row>
    <row r="912" customFormat="1" s="51">
      <c r="A912" s="12" t="n"/>
      <c r="B912" s="12" t="n"/>
      <c r="C912" s="12" t="n"/>
      <c r="D912" s="12" t="n"/>
      <c r="E912" s="12" t="n"/>
      <c r="F912" s="12" t="n"/>
      <c r="G912" s="12" t="n"/>
    </row>
    <row r="913" customFormat="1" s="51">
      <c r="A913" s="12" t="n"/>
      <c r="B913" s="12" t="n"/>
      <c r="C913" s="12" t="n"/>
      <c r="D913" s="12" t="n"/>
      <c r="E913" s="12" t="n"/>
      <c r="F913" s="12" t="n"/>
      <c r="G913" s="12" t="n"/>
    </row>
    <row r="914" customFormat="1" s="51">
      <c r="A914" s="12" t="n"/>
      <c r="B914" s="12" t="n"/>
      <c r="C914" s="12" t="n"/>
      <c r="D914" s="12" t="n"/>
      <c r="E914" s="12" t="n"/>
      <c r="F914" s="12" t="n"/>
      <c r="G914" s="12" t="n"/>
    </row>
    <row r="915" customFormat="1" s="51">
      <c r="A915" s="12" t="n"/>
      <c r="B915" s="12" t="n"/>
      <c r="C915" s="12" t="n"/>
      <c r="D915" s="12" t="n"/>
      <c r="E915" s="12" t="n"/>
      <c r="F915" s="12" t="n"/>
      <c r="G915" s="12" t="n"/>
    </row>
    <row r="916" customFormat="1" s="51">
      <c r="A916" s="12" t="n"/>
      <c r="B916" s="12" t="n"/>
      <c r="C916" s="12" t="n"/>
      <c r="D916" s="12" t="n"/>
      <c r="E916" s="12" t="n"/>
      <c r="F916" s="12" t="n"/>
      <c r="G916" s="12" t="n"/>
    </row>
    <row r="917" customFormat="1" s="51">
      <c r="A917" s="12" t="n"/>
      <c r="B917" s="12" t="n"/>
      <c r="C917" s="12" t="n"/>
      <c r="D917" s="12" t="n"/>
      <c r="E917" s="12" t="n"/>
      <c r="F917" s="12" t="n"/>
      <c r="G917" s="12" t="n"/>
    </row>
    <row r="918" customFormat="1" s="51">
      <c r="A918" s="12" t="n"/>
      <c r="B918" s="12" t="n"/>
      <c r="C918" s="12" t="n"/>
      <c r="D918" s="12" t="n"/>
      <c r="E918" s="12" t="n"/>
      <c r="F918" s="12" t="n"/>
      <c r="G918" s="12" t="n"/>
    </row>
    <row r="919" customFormat="1" s="51">
      <c r="A919" s="12" t="n"/>
      <c r="B919" s="12" t="n"/>
      <c r="C919" s="12" t="n"/>
      <c r="D919" s="12" t="n"/>
      <c r="E919" s="12" t="n"/>
      <c r="F919" s="12" t="n"/>
      <c r="G919" s="12" t="n"/>
    </row>
    <row r="920" customFormat="1" s="51">
      <c r="A920" s="12" t="n"/>
      <c r="B920" s="12" t="n"/>
      <c r="C920" s="12" t="n"/>
      <c r="D920" s="12" t="n"/>
      <c r="E920" s="12" t="n"/>
      <c r="F920" s="12" t="n"/>
      <c r="G920" s="12" t="n"/>
    </row>
    <row r="921" customFormat="1" s="51">
      <c r="A921" s="12" t="n"/>
      <c r="B921" s="12" t="n"/>
      <c r="C921" s="12" t="n"/>
      <c r="D921" s="12" t="n"/>
      <c r="E921" s="12" t="n"/>
      <c r="F921" s="12" t="n"/>
      <c r="G921" s="12" t="n"/>
    </row>
    <row r="922" customFormat="1" s="51">
      <c r="A922" s="12" t="n"/>
      <c r="B922" s="12" t="n"/>
      <c r="C922" s="12" t="n"/>
      <c r="D922" s="12" t="n"/>
      <c r="E922" s="12" t="n"/>
      <c r="F922" s="12" t="n"/>
      <c r="G922" s="12" t="n"/>
    </row>
    <row r="923" customFormat="1" s="51">
      <c r="A923" s="12" t="n"/>
      <c r="B923" s="12" t="n"/>
      <c r="C923" s="12" t="n"/>
      <c r="D923" s="12" t="n"/>
      <c r="E923" s="12" t="n"/>
      <c r="F923" s="12" t="n"/>
      <c r="G923" s="12" t="n"/>
    </row>
    <row r="924" customFormat="1" s="51">
      <c r="A924" s="12" t="n"/>
      <c r="B924" s="12" t="n"/>
      <c r="C924" s="12" t="n"/>
      <c r="D924" s="12" t="n"/>
      <c r="E924" s="12" t="n"/>
      <c r="F924" s="12" t="n"/>
      <c r="G924" s="12" t="n"/>
    </row>
    <row r="925" customFormat="1" s="51">
      <c r="A925" s="12" t="n"/>
      <c r="B925" s="12" t="n"/>
      <c r="C925" s="12" t="n"/>
      <c r="D925" s="12" t="n"/>
      <c r="E925" s="12" t="n"/>
      <c r="F925" s="12" t="n"/>
      <c r="G925" s="12" t="n"/>
    </row>
    <row r="926" customFormat="1" s="51">
      <c r="A926" s="12" t="n"/>
      <c r="B926" s="12" t="n"/>
      <c r="C926" s="12" t="n"/>
      <c r="D926" s="12" t="n"/>
      <c r="E926" s="12" t="n"/>
      <c r="F926" s="12" t="n"/>
      <c r="G926" s="12" t="n"/>
    </row>
    <row r="927" customFormat="1" s="51">
      <c r="A927" s="12" t="n"/>
      <c r="B927" s="12" t="n"/>
      <c r="C927" s="12" t="n"/>
      <c r="D927" s="12" t="n"/>
      <c r="E927" s="12" t="n"/>
      <c r="F927" s="12" t="n"/>
      <c r="G927" s="12" t="n"/>
    </row>
    <row r="928" customFormat="1" s="51">
      <c r="A928" s="12" t="n"/>
      <c r="B928" s="12" t="n"/>
      <c r="C928" s="12" t="n"/>
      <c r="D928" s="12" t="n"/>
      <c r="E928" s="12" t="n"/>
      <c r="F928" s="12" t="n"/>
      <c r="G928" s="12" t="n"/>
    </row>
    <row r="929" customFormat="1" s="51">
      <c r="A929" s="12" t="n"/>
      <c r="B929" s="12" t="n"/>
      <c r="C929" s="12" t="n"/>
      <c r="D929" s="12" t="n"/>
      <c r="E929" s="12" t="n"/>
      <c r="F929" s="12" t="n"/>
      <c r="G929" s="12" t="n"/>
    </row>
    <row r="930" customFormat="1" s="51">
      <c r="A930" s="12" t="n"/>
      <c r="B930" s="12" t="n"/>
      <c r="C930" s="12" t="n"/>
      <c r="D930" s="12" t="n"/>
      <c r="E930" s="12" t="n"/>
      <c r="F930" s="12" t="n"/>
      <c r="G930" s="12" t="n"/>
    </row>
    <row r="931" customFormat="1" s="51">
      <c r="A931" s="12" t="n"/>
      <c r="B931" s="12" t="n"/>
      <c r="C931" s="12" t="n"/>
      <c r="D931" s="12" t="n"/>
      <c r="E931" s="12" t="n"/>
      <c r="F931" s="12" t="n"/>
      <c r="G931" s="12" t="n"/>
    </row>
    <row r="932" customFormat="1" s="51">
      <c r="A932" s="12" t="n"/>
      <c r="B932" s="12" t="n"/>
      <c r="C932" s="12" t="n"/>
      <c r="D932" s="12" t="n"/>
      <c r="E932" s="12" t="n"/>
      <c r="F932" s="12" t="n"/>
      <c r="G932" s="12" t="n"/>
    </row>
    <row r="933" customFormat="1" s="51">
      <c r="A933" s="12" t="n"/>
      <c r="B933" s="12" t="n"/>
      <c r="C933" s="12" t="n"/>
      <c r="D933" s="12" t="n"/>
      <c r="E933" s="12" t="n"/>
      <c r="F933" s="12" t="n"/>
      <c r="G933" s="12" t="n"/>
    </row>
    <row r="934" customFormat="1" s="51">
      <c r="A934" s="12" t="n"/>
      <c r="B934" s="12" t="n"/>
      <c r="C934" s="12" t="n"/>
      <c r="D934" s="12" t="n"/>
      <c r="E934" s="12" t="n"/>
      <c r="F934" s="12" t="n"/>
      <c r="G934" s="12" t="n"/>
    </row>
    <row r="935" customFormat="1" s="51">
      <c r="A935" s="12" t="n"/>
      <c r="B935" s="12" t="n"/>
      <c r="C935" s="12" t="n"/>
      <c r="D935" s="12" t="n"/>
      <c r="E935" s="12" t="n"/>
      <c r="F935" s="12" t="n"/>
      <c r="G935" s="12" t="n"/>
    </row>
    <row r="936" customFormat="1" s="51">
      <c r="A936" s="12" t="n"/>
      <c r="B936" s="12" t="n"/>
      <c r="C936" s="12" t="n"/>
      <c r="D936" s="12" t="n"/>
      <c r="E936" s="12" t="n"/>
      <c r="F936" s="12" t="n"/>
      <c r="G936" s="12" t="n"/>
    </row>
    <row r="937" customFormat="1" s="51">
      <c r="A937" s="12" t="n"/>
      <c r="B937" s="12" t="n"/>
      <c r="C937" s="12" t="n"/>
      <c r="D937" s="12" t="n"/>
      <c r="E937" s="12" t="n"/>
      <c r="F937" s="12" t="n"/>
      <c r="G937" s="12" t="n"/>
    </row>
    <row r="938" customFormat="1" s="51">
      <c r="A938" s="12" t="n"/>
      <c r="B938" s="12" t="n"/>
      <c r="C938" s="12" t="n"/>
      <c r="D938" s="12" t="n"/>
      <c r="E938" s="12" t="n"/>
      <c r="F938" s="12" t="n"/>
      <c r="G938" s="12" t="n"/>
    </row>
    <row r="939" customFormat="1" s="51">
      <c r="A939" s="12" t="n"/>
      <c r="B939" s="12" t="n"/>
      <c r="C939" s="12" t="n"/>
      <c r="D939" s="12" t="n"/>
      <c r="E939" s="12" t="n"/>
      <c r="F939" s="12" t="n"/>
      <c r="G939" s="12" t="n"/>
    </row>
    <row r="940" customFormat="1" s="51">
      <c r="A940" s="12" t="n"/>
      <c r="B940" s="12" t="n"/>
      <c r="C940" s="12" t="n"/>
      <c r="D940" s="12" t="n"/>
      <c r="E940" s="12" t="n"/>
      <c r="F940" s="12" t="n"/>
      <c r="G940" s="12" t="n"/>
    </row>
    <row r="941" customFormat="1" s="51">
      <c r="A941" s="12" t="n"/>
      <c r="B941" s="12" t="n"/>
      <c r="C941" s="12" t="n"/>
      <c r="D941" s="12" t="n"/>
      <c r="E941" s="12" t="n"/>
      <c r="F941" s="12" t="n"/>
      <c r="G941" s="12" t="n"/>
    </row>
    <row r="942" customFormat="1" s="51">
      <c r="A942" s="12" t="n"/>
      <c r="B942" s="12" t="n"/>
      <c r="C942" s="12" t="n"/>
      <c r="D942" s="12" t="n"/>
      <c r="E942" s="12" t="n"/>
      <c r="F942" s="12" t="n"/>
      <c r="G942" s="12" t="n"/>
    </row>
    <row r="943" customFormat="1" s="51">
      <c r="A943" s="12" t="n"/>
      <c r="B943" s="12" t="n"/>
      <c r="C943" s="12" t="n"/>
      <c r="D943" s="12" t="n"/>
      <c r="E943" s="12" t="n"/>
      <c r="F943" s="12" t="n"/>
      <c r="G943" s="12" t="n"/>
    </row>
    <row r="944" customFormat="1" s="51">
      <c r="A944" s="12" t="n"/>
      <c r="B944" s="12" t="n"/>
      <c r="C944" s="12" t="n"/>
      <c r="D944" s="12" t="n"/>
      <c r="E944" s="12" t="n"/>
      <c r="F944" s="12" t="n"/>
      <c r="G944" s="12" t="n"/>
    </row>
    <row r="945" customFormat="1" s="51">
      <c r="A945" s="12" t="n"/>
      <c r="B945" s="12" t="n"/>
      <c r="C945" s="12" t="n"/>
      <c r="D945" s="12" t="n"/>
      <c r="E945" s="12" t="n"/>
      <c r="F945" s="12" t="n"/>
      <c r="G945" s="12" t="n"/>
    </row>
    <row r="946" customFormat="1" s="51">
      <c r="A946" s="12" t="n"/>
      <c r="B946" s="12" t="n"/>
      <c r="C946" s="12" t="n"/>
      <c r="D946" s="12" t="n"/>
      <c r="E946" s="12" t="n"/>
      <c r="F946" s="12" t="n"/>
      <c r="G946" s="12" t="n"/>
    </row>
    <row r="947" customFormat="1" s="51">
      <c r="A947" s="12" t="n"/>
      <c r="B947" s="12" t="n"/>
      <c r="C947" s="12" t="n"/>
      <c r="D947" s="12" t="n"/>
      <c r="E947" s="12" t="n"/>
      <c r="F947" s="12" t="n"/>
      <c r="G947" s="12" t="n"/>
    </row>
    <row r="948" customFormat="1" s="51">
      <c r="A948" s="12" t="n"/>
      <c r="B948" s="12" t="n"/>
      <c r="C948" s="12" t="n"/>
      <c r="D948" s="12" t="n"/>
      <c r="E948" s="12" t="n"/>
      <c r="F948" s="12" t="n"/>
      <c r="G948" s="12" t="n"/>
    </row>
    <row r="949" customFormat="1" s="51">
      <c r="A949" s="12" t="n"/>
      <c r="B949" s="12" t="n"/>
      <c r="C949" s="12" t="n"/>
      <c r="D949" s="12" t="n"/>
      <c r="E949" s="12" t="n"/>
      <c r="F949" s="12" t="n"/>
      <c r="G949" s="12" t="n"/>
    </row>
    <row r="950" customFormat="1" s="51">
      <c r="A950" s="12" t="n"/>
      <c r="B950" s="12" t="n"/>
      <c r="C950" s="12" t="n"/>
      <c r="D950" s="12" t="n"/>
      <c r="E950" s="12" t="n"/>
      <c r="F950" s="12" t="n"/>
      <c r="G950" s="12" t="n"/>
    </row>
    <row r="951" customFormat="1" s="51">
      <c r="A951" s="12" t="n"/>
      <c r="B951" s="12" t="n"/>
      <c r="C951" s="12" t="n"/>
      <c r="D951" s="12" t="n"/>
      <c r="E951" s="12" t="n"/>
      <c r="F951" s="12" t="n"/>
      <c r="G951" s="12" t="n"/>
    </row>
    <row r="952" customFormat="1" s="51">
      <c r="A952" s="12" t="n"/>
      <c r="B952" s="12" t="n"/>
      <c r="C952" s="12" t="n"/>
      <c r="D952" s="12" t="n"/>
      <c r="E952" s="12" t="n"/>
      <c r="F952" s="12" t="n"/>
      <c r="G952" s="12" t="n"/>
    </row>
    <row r="953" customFormat="1" s="51">
      <c r="A953" s="12" t="n"/>
      <c r="B953" s="12" t="n"/>
      <c r="C953" s="12" t="n"/>
      <c r="D953" s="12" t="n"/>
      <c r="E953" s="12" t="n"/>
      <c r="F953" s="12" t="n"/>
      <c r="G953" s="12" t="n"/>
    </row>
    <row r="954" customFormat="1" s="51">
      <c r="A954" s="12" t="n"/>
      <c r="B954" s="12" t="n"/>
      <c r="C954" s="12" t="n"/>
      <c r="D954" s="12" t="n"/>
      <c r="E954" s="12" t="n"/>
      <c r="F954" s="12" t="n"/>
      <c r="G954" s="12" t="n"/>
    </row>
    <row r="955" customFormat="1" s="51">
      <c r="A955" s="12" t="n"/>
      <c r="B955" s="12" t="n"/>
      <c r="C955" s="12" t="n"/>
      <c r="D955" s="12" t="n"/>
      <c r="E955" s="12" t="n"/>
      <c r="F955" s="12" t="n"/>
      <c r="G955" s="12" t="n"/>
    </row>
    <row r="956" customFormat="1" s="51">
      <c r="A956" s="12" t="n"/>
      <c r="B956" s="12" t="n"/>
      <c r="C956" s="12" t="n"/>
      <c r="D956" s="12" t="n"/>
      <c r="E956" s="12" t="n"/>
      <c r="F956" s="12" t="n"/>
      <c r="G956" s="12" t="n"/>
    </row>
    <row r="957" customFormat="1" s="51">
      <c r="A957" s="12" t="n"/>
      <c r="B957" s="12" t="n"/>
      <c r="C957" s="12" t="n"/>
      <c r="D957" s="12" t="n"/>
      <c r="E957" s="12" t="n"/>
      <c r="F957" s="12" t="n"/>
      <c r="G957" s="12" t="n"/>
    </row>
    <row r="958" customFormat="1" s="51">
      <c r="A958" s="12" t="n"/>
      <c r="B958" s="12" t="n"/>
      <c r="C958" s="12" t="n"/>
      <c r="D958" s="12" t="n"/>
      <c r="E958" s="12" t="n"/>
      <c r="F958" s="12" t="n"/>
      <c r="G958" s="12" t="n"/>
    </row>
    <row r="959" customFormat="1" s="51">
      <c r="A959" s="12" t="n"/>
      <c r="B959" s="12" t="n"/>
      <c r="C959" s="12" t="n"/>
      <c r="D959" s="12" t="n"/>
      <c r="E959" s="12" t="n"/>
      <c r="F959" s="12" t="n"/>
      <c r="G959" s="12" t="n"/>
    </row>
    <row r="960" customFormat="1" s="51">
      <c r="A960" s="12" t="n"/>
      <c r="B960" s="12" t="n"/>
      <c r="C960" s="12" t="n"/>
      <c r="D960" s="12" t="n"/>
      <c r="E960" s="12" t="n"/>
      <c r="F960" s="12" t="n"/>
      <c r="G960" s="12" t="n"/>
    </row>
    <row r="961" customFormat="1" s="51">
      <c r="A961" s="12" t="n"/>
      <c r="B961" s="12" t="n"/>
      <c r="C961" s="12" t="n"/>
      <c r="D961" s="12" t="n"/>
      <c r="E961" s="12" t="n"/>
      <c r="F961" s="12" t="n"/>
      <c r="G961" s="12" t="n"/>
    </row>
    <row r="962" customFormat="1" s="51">
      <c r="A962" s="12" t="n"/>
      <c r="B962" s="12" t="n"/>
      <c r="C962" s="12" t="n"/>
      <c r="D962" s="12" t="n"/>
      <c r="E962" s="12" t="n"/>
      <c r="F962" s="12" t="n"/>
      <c r="G962" s="12" t="n"/>
    </row>
    <row r="963" customFormat="1" s="51">
      <c r="A963" s="12" t="n"/>
      <c r="B963" s="12" t="n"/>
      <c r="C963" s="12" t="n"/>
      <c r="D963" s="12" t="n"/>
      <c r="E963" s="12" t="n"/>
      <c r="F963" s="12" t="n"/>
      <c r="G963" s="12" t="n"/>
    </row>
    <row r="964" customFormat="1" s="51">
      <c r="A964" s="12" t="n"/>
      <c r="B964" s="12" t="n"/>
      <c r="C964" s="12" t="n"/>
      <c r="D964" s="12" t="n"/>
      <c r="E964" s="12" t="n"/>
      <c r="F964" s="12" t="n"/>
      <c r="G964" s="12" t="n"/>
    </row>
    <row r="965" customFormat="1" s="51">
      <c r="A965" s="12" t="n"/>
      <c r="B965" s="12" t="n"/>
      <c r="C965" s="12" t="n"/>
      <c r="D965" s="12" t="n"/>
      <c r="E965" s="12" t="n"/>
      <c r="F965" s="12" t="n"/>
      <c r="G965" s="12" t="n"/>
    </row>
    <row r="966" customFormat="1" s="51">
      <c r="A966" s="12" t="n"/>
      <c r="B966" s="12" t="n"/>
      <c r="C966" s="12" t="n"/>
      <c r="D966" s="12" t="n"/>
      <c r="E966" s="12" t="n"/>
      <c r="F966" s="12" t="n"/>
      <c r="G966" s="12" t="n"/>
    </row>
    <row r="967" customFormat="1" s="51">
      <c r="A967" s="12" t="n"/>
      <c r="B967" s="12" t="n"/>
      <c r="C967" s="12" t="n"/>
      <c r="D967" s="12" t="n"/>
      <c r="E967" s="12" t="n"/>
      <c r="F967" s="12" t="n"/>
      <c r="G967" s="12" t="n"/>
    </row>
    <row r="968" customFormat="1" s="51">
      <c r="A968" s="12" t="n"/>
      <c r="B968" s="12" t="n"/>
      <c r="C968" s="12" t="n"/>
      <c r="D968" s="12" t="n"/>
      <c r="E968" s="12" t="n"/>
      <c r="F968" s="12" t="n"/>
      <c r="G968" s="12" t="n"/>
    </row>
    <row r="969" customFormat="1" s="51">
      <c r="A969" s="12" t="n"/>
      <c r="B969" s="12" t="n"/>
      <c r="C969" s="12" t="n"/>
      <c r="D969" s="12" t="n"/>
      <c r="E969" s="12" t="n"/>
      <c r="F969" s="12" t="n"/>
      <c r="G969" s="12" t="n"/>
    </row>
    <row r="970" customFormat="1" s="51">
      <c r="A970" s="12" t="n"/>
      <c r="B970" s="12" t="n"/>
      <c r="C970" s="12" t="n"/>
      <c r="D970" s="12" t="n"/>
      <c r="E970" s="12" t="n"/>
      <c r="F970" s="12" t="n"/>
      <c r="G970" s="12" t="n"/>
    </row>
    <row r="971" customFormat="1" s="51">
      <c r="A971" s="12" t="n"/>
      <c r="B971" s="12" t="n"/>
      <c r="C971" s="12" t="n"/>
      <c r="D971" s="12" t="n"/>
      <c r="E971" s="12" t="n"/>
      <c r="F971" s="12" t="n"/>
      <c r="G971" s="12" t="n"/>
    </row>
  </sheetData>
  <conditionalFormatting sqref="F617:F760">
    <cfRule type="colorScale" priority="13">
      <colorScale>
        <cfvo type="min"/>
        <cfvo type="percentile" val="50"/>
        <cfvo type="max"/>
        <color rgb="FFF8696B"/>
        <color rgb="FFFFEB84"/>
        <color rgb="FF63BE7B"/>
      </colorScale>
    </cfRule>
  </conditionalFormatting>
  <conditionalFormatting sqref="G617:G76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2022-02-09T07:32:13Z</dcterms:modified>
  <cp:lastModifiedBy>Mark Mukherjee</cp:lastModifiedBy>
</cp:coreProperties>
</file>