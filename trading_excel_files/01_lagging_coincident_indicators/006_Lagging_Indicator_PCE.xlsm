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0">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Core'!$C$5:$C$775</f>
              <numCache>
                <formatCode>0.00%</formatCode>
                <ptCount val="771"/>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0.00313786544897161</v>
                </pt>
                <pt idx="766">
                  <v>0.002232035712571372</v>
                </pt>
                <pt idx="767">
                  <v>0.003743703952042227</v>
                </pt>
                <pt idx="768">
                  <v>0.005185055588249336</v>
                </pt>
                <pt idx="769">
                  <v>0.002998465165588102</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0.06126201278526378</v>
                </pt>
                <pt idx="274">
                  <v>0.05659052453468691</v>
                </pt>
                <pt idx="275">
                  <v>0.05301200764046088</v>
                </pt>
                <pt idx="276">
                  <v>0.05347830818036486</v>
                </pt>
                <pt idx="277">
                  <v>0.05001747408011446</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Core'!$A$497:$A$792</f>
              <numCache>
                <formatCode>yyyy\-mm\-dd</formatCode>
                <ptCount val="29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'PCE Core'!$D$497:$D$792</f>
              <numCache>
                <formatCode>0.00%</formatCode>
                <ptCount val="296"/>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0.0510304467371289</v>
                </pt>
                <pt idx="274">
                  <v>0.04796600386471809</v>
                </pt>
                <pt idx="275">
                  <v>0.0462006938840032</v>
                </pt>
                <pt idx="276">
                  <v>0.04667897748445277</v>
                </pt>
                <pt idx="277">
                  <v>0.04597170083742422</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Core'!$A$497:$A$792</f>
              <numCache>
                <formatCode>yyyy\-mm\-dd</formatCode>
                <ptCount val="29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'PCE Core'!$E$497:$E$775</f>
              <numCache>
                <formatCode>0%</formatCode>
                <ptCount val="27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pt idx="275">
                  <v>0.02</v>
                </pt>
                <pt idx="276">
                  <v>0.02</v>
                </pt>
                <pt idx="277">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Core'!$A$149:$A$790</f>
              <numCache>
                <formatCode>yyyy\-mm\-dd</formatCode>
                <ptCount val="64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'PCE Core'!$D$149:$D$790</f>
              <numCache>
                <formatCode>0.00%</formatCode>
                <ptCount val="642"/>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0.0510304467371289</v>
                </pt>
                <pt idx="622">
                  <v>0.04796600386471809</v>
                </pt>
                <pt idx="623">
                  <v>0.0462006938840032</v>
                </pt>
                <pt idx="624">
                  <v>0.04667897748445277</v>
                </pt>
                <pt idx="625">
                  <v>0.04597170083742422</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Core'!$A$149:$A$790</f>
              <numCache>
                <formatCode>yyyy\-mm\-dd</formatCode>
                <ptCount val="64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numCache>
            </numRef>
          </cat>
          <val>
            <numRef>
              <f>'PCE Core'!$F$149:$F$790</f>
              <numCache>
                <formatCode>General</formatCode>
                <ptCount val="642"/>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pt idx="623">
                  <v>4</v>
                </pt>
                <pt idx="624">
                  <v>4.5</v>
                </pt>
                <pt idx="625">
                  <v>4.5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CPI'!$B$5:$B$775</f>
              <numCache>
                <formatCode>0.00</formatCode>
                <ptCount val="771"/>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124.998</v>
                </pt>
                <pt idx="766">
                  <v>125.277</v>
                </pt>
                <pt idx="767">
                  <v>125.746</v>
                </pt>
                <pt idx="768">
                  <v>126.398</v>
                </pt>
                <pt idx="769">
                  <v>126.777</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CPI'!$C$5:$C$775</f>
              <numCache>
                <formatCode>0.00</formatCode>
                <ptCount val="771"/>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255.204</v>
                </pt>
                <pt idx="709">
                  <v>255.711</v>
                </pt>
                <pt idx="710">
                  <v>256.271</v>
                </pt>
                <pt idx="711">
                  <v>256.63</v>
                </pt>
                <pt idx="712">
                  <v>257.145</v>
                </pt>
                <pt idx="713">
                  <v>257.399</v>
                </pt>
                <pt idx="714">
                  <v>257.699</v>
                </pt>
                <pt idx="715">
                  <v>257.891</v>
                </pt>
                <pt idx="716">
                  <v>258.368</v>
                </pt>
                <pt idx="717">
                  <v>258.917</v>
                </pt>
                <pt idx="718">
                  <v>259.439</v>
                </pt>
                <pt idx="719">
                  <v>260.063</v>
                </pt>
                <pt idx="720">
                  <v>260.686</v>
                </pt>
                <pt idx="721">
                  <v>261.067</v>
                </pt>
                <pt idx="722">
                  <v>261.537</v>
                </pt>
                <pt idx="723">
                  <v>261.976</v>
                </pt>
                <pt idx="724">
                  <v>262.304</v>
                </pt>
                <pt idx="725">
                  <v>262.859</v>
                </pt>
                <pt idx="726">
                  <v>263.313</v>
                </pt>
                <pt idx="727">
                  <v>263.975</v>
                </pt>
                <pt idx="728">
                  <v>264.425</v>
                </pt>
                <pt idx="729">
                  <v>264.94</v>
                </pt>
                <pt idx="730">
                  <v>265.484</v>
                </pt>
                <pt idx="731">
                  <v>265.924</v>
                </pt>
                <pt idx="732">
                  <v>266.626</v>
                </pt>
                <pt idx="733">
                  <v>267.283</v>
                </pt>
                <pt idx="734">
                  <v>267.09</v>
                </pt>
                <pt idx="735">
                  <v>265.771</v>
                </pt>
                <pt idx="736">
                  <v>265.574</v>
                </pt>
                <pt idx="737">
                  <v>265.952</v>
                </pt>
                <pt idx="738">
                  <v>267.352</v>
                </pt>
                <pt idx="739">
                  <v>268.469</v>
                </pt>
                <pt idx="740">
                  <v>268.938</v>
                </pt>
                <pt idx="741">
                  <v>269.236</v>
                </pt>
                <pt idx="742">
                  <v>269.901</v>
                </pt>
                <pt idx="743">
                  <v>270.267</v>
                </pt>
                <pt idx="744">
                  <v>270.383</v>
                </pt>
                <pt idx="745">
                  <v>270.727</v>
                </pt>
                <pt idx="746">
                  <v>271.526</v>
                </pt>
                <pt idx="747">
                  <v>273.615</v>
                </pt>
                <pt idx="748">
                  <v>275.654</v>
                </pt>
                <pt idx="749">
                  <v>277.676</v>
                </pt>
                <pt idx="750">
                  <v>278.522</v>
                </pt>
                <pt idx="751">
                  <v>279.057</v>
                </pt>
                <pt idx="752">
                  <v>279.755</v>
                </pt>
                <pt idx="753">
                  <v>281.588</v>
                </pt>
                <pt idx="754">
                  <v>283.34</v>
                </pt>
                <pt idx="755">
                  <v>285.193</v>
                </pt>
                <pt idx="756">
                  <v>286.792</v>
                </pt>
                <pt idx="757">
                  <v>288.147</v>
                </pt>
                <pt idx="758">
                  <v>289.046</v>
                </pt>
                <pt idx="759">
                  <v>290.41</v>
                </pt>
                <pt idx="760">
                  <v>292.251</v>
                </pt>
                <pt idx="761">
                  <v>294.017</v>
                </pt>
                <pt idx="762">
                  <v>294.925</v>
                </pt>
                <pt idx="763">
                  <v>296.639</v>
                </pt>
                <pt idx="764">
                  <v>298.339</v>
                </pt>
                <pt idx="765">
                  <v>299.333</v>
                </pt>
                <pt idx="766">
                  <v>300.261</v>
                </pt>
                <pt idx="767">
                  <v>301.46</v>
                </pt>
                <pt idx="768">
                  <v>302.702</v>
                </pt>
                <pt idx="769">
                  <v>304.07</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CPI'!$D$5:$D$775</f>
              <numCache>
                <formatCode>0.00</formatCode>
                <ptCount val="771"/>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156.6469497217906</v>
                </pt>
                <pt idx="766">
                  <v>156.996591307835</v>
                </pt>
                <pt idx="767">
                  <v>157.5843400671713</v>
                </pt>
                <pt idx="768">
                  <v>158.4014236302571</v>
                </pt>
                <pt idx="769">
                  <v>158.876384781192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CPI'!$E$5:$E$775</f>
              <numCache>
                <formatCode>0.00</formatCode>
                <ptCount val="771"/>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142.811415780638</v>
                </pt>
                <pt idx="709">
                  <v>143.0951315053162</v>
                </pt>
                <pt idx="710">
                  <v>143.4085058757695</v>
                </pt>
                <pt idx="711">
                  <v>143.6094012311136</v>
                </pt>
                <pt idx="712">
                  <v>143.8975937325126</v>
                </pt>
                <pt idx="713">
                  <v>144.0397313933968</v>
                </pt>
                <pt idx="714">
                  <v>144.2076105204253</v>
                </pt>
                <pt idx="715">
                  <v>144.3150531617236</v>
                </pt>
                <pt idx="716">
                  <v>144.5819809736989</v>
                </pt>
                <pt idx="717">
                  <v>144.8891997761611</v>
                </pt>
                <pt idx="718">
                  <v>145.1813094571908</v>
                </pt>
                <pt idx="719">
                  <v>145.5304980414102</v>
                </pt>
                <pt idx="720">
                  <v>145.8791270285394</v>
                </pt>
                <pt idx="721">
                  <v>146.0923335198657</v>
                </pt>
                <pt idx="722">
                  <v>146.3553441522104</v>
                </pt>
                <pt idx="723">
                  <v>146.6010072747622</v>
                </pt>
                <pt idx="724">
                  <v>146.7845551203134</v>
                </pt>
                <pt idx="725">
                  <v>147.0951315053162</v>
                </pt>
                <pt idx="726">
                  <v>147.3491885842193</v>
                </pt>
                <pt idx="727">
                  <v>147.7196418578624</v>
                </pt>
                <pt idx="728">
                  <v>147.9714605484052</v>
                </pt>
                <pt idx="729">
                  <v>148.2596530498041</v>
                </pt>
                <pt idx="730">
                  <v>148.5640738668159</v>
                </pt>
                <pt idx="731">
                  <v>148.8102965864578</v>
                </pt>
                <pt idx="732">
                  <v>149.2031337437045</v>
                </pt>
                <pt idx="733">
                  <v>149.570789031897</v>
                </pt>
                <pt idx="734">
                  <v>149.4627867935087</v>
                </pt>
                <pt idx="735">
                  <v>148.7246782316732</v>
                </pt>
                <pt idx="736">
                  <v>148.6144376049245</v>
                </pt>
                <pt idx="737">
                  <v>148.8259653049804</v>
                </pt>
                <pt idx="738">
                  <v>149.6094012311136</v>
                </pt>
                <pt idx="739">
                  <v>150.2344711807499</v>
                </pt>
                <pt idx="740">
                  <v>150.4969222160045</v>
                </pt>
                <pt idx="741">
                  <v>150.6636821488528</v>
                </pt>
                <pt idx="742">
                  <v>151.0358142137661</v>
                </pt>
                <pt idx="743">
                  <v>151.2406267487409</v>
                </pt>
                <pt idx="744">
                  <v>151.3055400111919</v>
                </pt>
                <pt idx="745">
                  <v>151.4980414101847</v>
                </pt>
                <pt idx="746">
                  <v>151.9451594851707</v>
                </pt>
                <pt idx="747">
                  <v>153.1141578063794</v>
                </pt>
                <pt idx="748">
                  <v>154.2551762730834</v>
                </pt>
                <pt idx="749">
                  <v>155.3866815892557</v>
                </pt>
                <pt idx="750">
                  <v>155.8601007274762</v>
                </pt>
                <pt idx="751">
                  <v>156.1594851706771</v>
                </pt>
                <pt idx="752">
                  <v>156.5500839395635</v>
                </pt>
                <pt idx="753">
                  <v>157.5758254057079</v>
                </pt>
                <pt idx="754">
                  <v>158.5562395075546</v>
                </pt>
                <pt idx="755">
                  <v>159.5931729155008</v>
                </pt>
                <pt idx="756">
                  <v>160.4879686625629</v>
                </pt>
                <pt idx="757">
                  <v>161.2462227196419</v>
                </pt>
                <pt idx="758">
                  <v>161.7493005036374</v>
                </pt>
                <pt idx="759">
                  <v>162.5125909345272</v>
                </pt>
                <pt idx="760">
                  <v>163.5428091773923</v>
                </pt>
                <pt idx="761">
                  <v>164.5310576385003</v>
                </pt>
                <pt idx="762">
                  <v>165.0391717963067</v>
                </pt>
                <pt idx="763">
                  <v>165.9983212087297</v>
                </pt>
                <pt idx="764">
                  <v>166.9496362618914</v>
                </pt>
                <pt idx="765">
                  <v>167.505875769446</v>
                </pt>
                <pt idx="766">
                  <v>168.0251818690543</v>
                </pt>
                <pt idx="767">
                  <v>168.6961387800783</v>
                </pt>
                <pt idx="768">
                  <v>169.3911583659765</v>
                </pt>
                <pt idx="769">
                  <v>170.1566871852266</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CPI'!$D$5:$D$775</f>
              <numCache>
                <formatCode>0.00</formatCode>
                <ptCount val="771"/>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156.6469497217906</v>
                </pt>
                <pt idx="766">
                  <v>156.996591307835</v>
                </pt>
                <pt idx="767">
                  <v>157.5843400671713</v>
                </pt>
                <pt idx="768">
                  <v>158.4014236302571</v>
                </pt>
                <pt idx="769">
                  <v>158.876384781192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CPI'!$A$5:$A$775</f>
              <numCache>
                <formatCode>yyyy\-mm\-dd</formatCode>
                <ptCount val="771"/>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pt idx="769">
                  <v>44958</v>
                </pt>
              </numCache>
            </numRef>
          </cat>
          <val>
            <numRef>
              <f>'PCE Core vs Core CPI'!$E$5:$E$775</f>
              <numCache>
                <formatCode>0.00</formatCode>
                <ptCount val="771"/>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142.811415780638</v>
                </pt>
                <pt idx="709">
                  <v>143.0951315053162</v>
                </pt>
                <pt idx="710">
                  <v>143.4085058757695</v>
                </pt>
                <pt idx="711">
                  <v>143.6094012311136</v>
                </pt>
                <pt idx="712">
                  <v>143.8975937325126</v>
                </pt>
                <pt idx="713">
                  <v>144.0397313933968</v>
                </pt>
                <pt idx="714">
                  <v>144.2076105204253</v>
                </pt>
                <pt idx="715">
                  <v>144.3150531617236</v>
                </pt>
                <pt idx="716">
                  <v>144.5819809736989</v>
                </pt>
                <pt idx="717">
                  <v>144.8891997761611</v>
                </pt>
                <pt idx="718">
                  <v>145.1813094571908</v>
                </pt>
                <pt idx="719">
                  <v>145.5304980414102</v>
                </pt>
                <pt idx="720">
                  <v>145.8791270285394</v>
                </pt>
                <pt idx="721">
                  <v>146.0923335198657</v>
                </pt>
                <pt idx="722">
                  <v>146.3553441522104</v>
                </pt>
                <pt idx="723">
                  <v>146.6010072747622</v>
                </pt>
                <pt idx="724">
                  <v>146.7845551203134</v>
                </pt>
                <pt idx="725">
                  <v>147.0951315053162</v>
                </pt>
                <pt idx="726">
                  <v>147.3491885842193</v>
                </pt>
                <pt idx="727">
                  <v>147.7196418578624</v>
                </pt>
                <pt idx="728">
                  <v>147.9714605484052</v>
                </pt>
                <pt idx="729">
                  <v>148.2596530498041</v>
                </pt>
                <pt idx="730">
                  <v>148.5640738668159</v>
                </pt>
                <pt idx="731">
                  <v>148.8102965864578</v>
                </pt>
                <pt idx="732">
                  <v>149.2031337437045</v>
                </pt>
                <pt idx="733">
                  <v>149.570789031897</v>
                </pt>
                <pt idx="734">
                  <v>149.4627867935087</v>
                </pt>
                <pt idx="735">
                  <v>148.7246782316732</v>
                </pt>
                <pt idx="736">
                  <v>148.6144376049245</v>
                </pt>
                <pt idx="737">
                  <v>148.8259653049804</v>
                </pt>
                <pt idx="738">
                  <v>149.6094012311136</v>
                </pt>
                <pt idx="739">
                  <v>150.2344711807499</v>
                </pt>
                <pt idx="740">
                  <v>150.4969222160045</v>
                </pt>
                <pt idx="741">
                  <v>150.6636821488528</v>
                </pt>
                <pt idx="742">
                  <v>151.0358142137661</v>
                </pt>
                <pt idx="743">
                  <v>151.2406267487409</v>
                </pt>
                <pt idx="744">
                  <v>151.3055400111919</v>
                </pt>
                <pt idx="745">
                  <v>151.4980414101847</v>
                </pt>
                <pt idx="746">
                  <v>151.9451594851707</v>
                </pt>
                <pt idx="747">
                  <v>153.1141578063794</v>
                </pt>
                <pt idx="748">
                  <v>154.2551762730834</v>
                </pt>
                <pt idx="749">
                  <v>155.3866815892557</v>
                </pt>
                <pt idx="750">
                  <v>155.8601007274762</v>
                </pt>
                <pt idx="751">
                  <v>156.1594851706771</v>
                </pt>
                <pt idx="752">
                  <v>156.5500839395635</v>
                </pt>
                <pt idx="753">
                  <v>157.5758254057079</v>
                </pt>
                <pt idx="754">
                  <v>158.5562395075546</v>
                </pt>
                <pt idx="755">
                  <v>159.5931729155008</v>
                </pt>
                <pt idx="756">
                  <v>160.4879686625629</v>
                </pt>
                <pt idx="757">
                  <v>161.2462227196419</v>
                </pt>
                <pt idx="758">
                  <v>161.7493005036374</v>
                </pt>
                <pt idx="759">
                  <v>162.5125909345272</v>
                </pt>
                <pt idx="760">
                  <v>163.5428091773923</v>
                </pt>
                <pt idx="761">
                  <v>164.5310576385003</v>
                </pt>
                <pt idx="762">
                  <v>165.0391717963067</v>
                </pt>
                <pt idx="763">
                  <v>165.9983212087297</v>
                </pt>
                <pt idx="764">
                  <v>166.9496362618914</v>
                </pt>
                <pt idx="765">
                  <v>167.505875769446</v>
                </pt>
                <pt idx="766">
                  <v>168.0251818690543</v>
                </pt>
                <pt idx="767">
                  <v>168.6961387800783</v>
                </pt>
                <pt idx="768">
                  <v>169.3911583659765</v>
                </pt>
                <pt idx="769">
                  <v>170.1566871852266</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456333</colOff>
      <row>749</row>
      <rowOff>134021</rowOff>
    </from>
    <to>
      <col>17</col>
      <colOff>370417</colOff>
      <row>776</row>
      <rowOff>10582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515936</colOff>
      <row>727</row>
      <rowOff>158750</rowOff>
    </from>
    <to>
      <col>21</col>
      <colOff>243417</colOff>
      <row>755</row>
      <rowOff>107421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392113</colOff>
      <row>757</row>
      <rowOff>123823</rowOff>
    </from>
    <to>
      <col>21</col>
      <colOff>201085</colOff>
      <row>788</row>
      <rowOff>52915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285749</colOff>
      <row>737</row>
      <rowOff>1</rowOff>
    </from>
    <to>
      <col>16</col>
      <colOff>460375</colOff>
      <row>757</row>
      <rowOff>179387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280988</colOff>
      <row>758</row>
      <rowOff>85726</rowOff>
    </from>
    <to>
      <col>16</col>
      <colOff>476250</colOff>
      <row>777</row>
      <rowOff>166687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4" headerRowCount="1" totalsRowShown="0" headerRowDxfId="29" dataDxfId="27" headerRowBorderDxfId="28">
  <autoFilter ref="A4:D774"/>
  <tableColumns count="4">
    <tableColumn id="1" name="Date" dataDxfId="26"/>
    <tableColumn id="2" name="Value" dataDxfId="25">
      <calculatedColumnFormula>VLOOKUP(Table5345679103[[#This Row],[Date]],Database!A:E,MATCH($A$1,Database!$A$1:$E$1,),)</calculatedColumnFormula>
    </tableColumn>
    <tableColumn id="5" name="PCE Core MoM" dataDxfId="24">
      <calculatedColumnFormula>(B5-B4)/B4</calculatedColumnFormula>
    </tableColumn>
    <tableColumn id="3" name="PCE Core YoY" dataDxfId="23"/>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4" headerRowCount="1" totalsRowShown="0" headerRowDxfId="22" dataDxfId="20" headerRowBorderDxfId="21">
  <autoFilter ref="A4:F774"/>
  <tableColumns count="6">
    <tableColumn id="1" name="Date" dataDxfId="19"/>
    <tableColumn id="2" name="Value" dataDxfId="18">
      <calculatedColumnFormula>VLOOKUP(Table534567910[[#This Row],[Date]],Database!A:E,MATCH($A$1,Database!$A$1:$E$1,),)</calculatedColumnFormula>
    </tableColumn>
    <tableColumn id="5" name="PCE Core MoM" dataDxfId="17">
      <calculatedColumnFormula>(B5-B4)/B4</calculatedColumnFormula>
    </tableColumn>
    <tableColumn id="3" name="PCE Core YoY" dataDxfId="16"/>
    <tableColumn id="4" name="Fed Target" dataDxfId="15"/>
    <tableColumn id="6" name="Fed Fund Target" dataDxfId="14"/>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4" headerRowCount="1" totalsRowShown="0" headerRowDxfId="13" dataDxfId="11" headerRowBorderDxfId="12" tableBorderDxfId="10" totalsRowBorderDxfId="9">
  <autoFilter ref="A4:G774"/>
  <tableColumns count="7">
    <tableColumn id="1" name="Date" dataDxfId="8"/>
    <tableColumn id="2" name="Core PCE" dataDxfId="7">
      <calculatedColumnFormula>VLOOKUP(Table3[[#This Row],[Date]],'PCE Core'!$A:$E,2,)</calculatedColumnFormula>
    </tableColumn>
    <tableColumn id="3" name="Core CPI" dataDxfId="6">
      <calculatedColumnFormula>VLOOKUP(Table3[[#This Row],[Date]],Database!$A:$E,5)</calculatedColumnFormula>
    </tableColumn>
    <tableColumn id="4" name="Core PCE base 2000" dataDxfId="5">
      <calculatedColumnFormula>(((Table3[[#This Row],[Core PCE]]-$B$496)/$B$496)*100)+100</calculatedColumnFormula>
    </tableColumn>
    <tableColumn id="5" name="Core CPI base 2000" dataDxfId="4">
      <calculatedColumnFormula>(((Table3[[#This Row],[Core CPI]]-$C$496)/$C$496)*100)+100</calculatedColumnFormula>
    </tableColumn>
    <tableColumn id="6" name="Core CPI yoy" dataDxfId="3"/>
    <tableColumn id="7" name="Core PCE yoy" dataDxfId="2">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60" zoomScaleNormal="60" workbookViewId="0">
      <selection activeCell="Z32" sqref="Z32"/>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49"/>
    <col width="9.1796875" customWidth="1" style="67" min="50" max="16384"/>
  </cols>
  <sheetData>
    <row r="1">
      <c r="B1" s="75" t="n"/>
    </row>
    <row r="2" ht="16" customHeight="1" thickBot="1">
      <c r="B2" s="76" t="n"/>
      <c r="C2" s="76" t="n"/>
      <c r="D2" s="76" t="n"/>
      <c r="E2" s="76" t="n"/>
      <c r="F2" s="76" t="n"/>
      <c r="G2" s="76" t="n"/>
      <c r="H2" s="76" t="n"/>
      <c r="I2" s="76" t="n"/>
      <c r="J2" s="76" t="n"/>
    </row>
    <row r="3" ht="16" customHeight="1" thickBot="1">
      <c r="B3" s="77" t="inlineStr">
        <is>
          <t>Personal Consumption Expenditures - PCE</t>
        </is>
      </c>
      <c r="C3" s="78" t="n"/>
      <c r="D3" s="78" t="n"/>
      <c r="E3" s="78" t="n"/>
      <c r="F3" s="78" t="n"/>
      <c r="G3" s="78" t="n"/>
      <c r="H3" s="78" t="n"/>
      <c r="I3" s="78" t="n"/>
      <c r="J3" s="79" t="n"/>
    </row>
    <row r="5">
      <c r="B5" s="72" t="inlineStr">
        <is>
          <t>Definition</t>
        </is>
      </c>
      <c r="C5" s="73" t="n"/>
      <c r="D5" s="73" t="n"/>
      <c r="E5" s="73" t="n"/>
      <c r="F5" s="73" t="n"/>
      <c r="G5" s="73" t="n"/>
      <c r="H5" s="73" t="n"/>
      <c r="I5" s="73" t="n"/>
      <c r="J5" s="74" t="n"/>
    </row>
    <row r="7">
      <c r="B7" s="80" t="inlineStr">
        <is>
          <t>The PCE price index, released each month in the Personal Income and Outlays report, reflects changes in the prices of goods and services purchased by consumers in the United States. Quarterly and annual data are included in the GDP release.</t>
        </is>
      </c>
    </row>
    <row r="8">
      <c r="B8" s="71"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44958</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81" t="inlineStr">
        <is>
          <t>PCE Deflator</t>
        </is>
      </c>
      <c r="O22" s="82"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66" t="inlineStr">
        <is>
          <t>Personal Consumption Expenditures: Chain-type Price Index (PCEPI)</t>
        </is>
      </c>
      <c r="N23" s="69" t="inlineStr">
        <is>
          <t>PCE Core</t>
        </is>
      </c>
      <c r="O23" s="70"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66"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68" t="n"/>
      <c r="N30" s="37">
        <f>DATE(YEAR($P$20),MONTH($P$20)-1,DAY($P$20))</f>
        <v/>
      </c>
    </row>
    <row r="31" ht="16" customHeight="1" thickBot="1">
      <c r="B31" s="43" t="n"/>
      <c r="N31" s="44">
        <f>DATE(YEAR($P$20)-1,MONTH($P$20),DAY($P$20))</f>
        <v/>
      </c>
      <c r="P31" s="45" t="n"/>
      <c r="Q31" s="45"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8"/>
  <sheetViews>
    <sheetView zoomScale="60" zoomScaleNormal="60" workbookViewId="0">
      <pane ySplit="1" topLeftCell="A774" activePane="bottomLeft" state="frozen"/>
      <selection activeCell="H29" sqref="H29"/>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255.204</v>
      </c>
    </row>
    <row r="735">
      <c r="A735" s="84" t="n">
        <v>43132</v>
      </c>
      <c r="B735" t="n">
        <v>107.625</v>
      </c>
      <c r="C735" t="n">
        <v>109.311</v>
      </c>
      <c r="D735" t="n">
        <v>1.5</v>
      </c>
      <c r="E735" t="n">
        <v>255.711</v>
      </c>
    </row>
    <row r="736">
      <c r="A736" s="84" t="n">
        <v>43160</v>
      </c>
      <c r="B736" t="n">
        <v>107.777</v>
      </c>
      <c r="C736" t="n">
        <v>109.562</v>
      </c>
      <c r="D736" t="n">
        <v>1.5</v>
      </c>
      <c r="E736" t="n">
        <v>256.271</v>
      </c>
    </row>
    <row r="737">
      <c r="A737" s="84" t="n">
        <v>43191</v>
      </c>
      <c r="B737" t="n">
        <v>107.988</v>
      </c>
      <c r="C737" t="n">
        <v>109.75</v>
      </c>
      <c r="D737" t="n">
        <v>1.75</v>
      </c>
      <c r="E737" t="n">
        <v>256.63</v>
      </c>
    </row>
    <row r="738">
      <c r="A738" s="84" t="n">
        <v>43221</v>
      </c>
      <c r="B738" t="n">
        <v>108.193</v>
      </c>
      <c r="C738" t="n">
        <v>109.956</v>
      </c>
      <c r="D738" t="n">
        <v>1.75</v>
      </c>
      <c r="E738" t="n">
        <v>257.145</v>
      </c>
    </row>
    <row r="739">
      <c r="A739" s="84" t="n">
        <v>43252</v>
      </c>
      <c r="B739" t="n">
        <v>108.317</v>
      </c>
      <c r="C739" t="n">
        <v>110.073</v>
      </c>
      <c r="D739" t="n">
        <v>1.75</v>
      </c>
      <c r="E739" t="n">
        <v>257.399</v>
      </c>
    </row>
    <row r="740">
      <c r="A740" s="84" t="n">
        <v>43282</v>
      </c>
      <c r="B740" t="n">
        <v>108.417</v>
      </c>
      <c r="C740" t="n">
        <v>110.219</v>
      </c>
      <c r="D740" t="n">
        <v>2</v>
      </c>
      <c r="E740" t="n">
        <v>257.699</v>
      </c>
    </row>
    <row r="741">
      <c r="A741" s="84" t="n">
        <v>43313</v>
      </c>
      <c r="B741" t="n">
        <v>108.502</v>
      </c>
      <c r="C741" t="n">
        <v>110.246</v>
      </c>
      <c r="D741" t="n">
        <v>2</v>
      </c>
      <c r="E741" t="n">
        <v>257.891</v>
      </c>
    </row>
    <row r="742">
      <c r="A742" s="84" t="n">
        <v>43344</v>
      </c>
      <c r="B742" t="n">
        <v>108.738</v>
      </c>
      <c r="C742" t="n">
        <v>110.476</v>
      </c>
      <c r="D742" t="n">
        <v>2</v>
      </c>
      <c r="E742" t="n">
        <v>258.368</v>
      </c>
    </row>
    <row r="743">
      <c r="A743" s="84" t="n">
        <v>43374</v>
      </c>
      <c r="B743" t="n">
        <v>108.924</v>
      </c>
      <c r="C743" t="n">
        <v>110.626</v>
      </c>
      <c r="D743" t="n">
        <v>2.25</v>
      </c>
      <c r="E743" t="n">
        <v>258.917</v>
      </c>
    </row>
    <row r="744">
      <c r="A744" s="84" t="n">
        <v>43405</v>
      </c>
      <c r="B744" t="n">
        <v>108.969</v>
      </c>
      <c r="C744" t="n">
        <v>110.831</v>
      </c>
      <c r="D744" t="n">
        <v>2.25</v>
      </c>
      <c r="E744" t="n">
        <v>259.439</v>
      </c>
    </row>
    <row r="745">
      <c r="A745" s="84" t="n">
        <v>43435</v>
      </c>
      <c r="B745" t="n">
        <v>108.991</v>
      </c>
      <c r="C745" t="n">
        <v>111.009</v>
      </c>
      <c r="D745" t="n">
        <v>2.25</v>
      </c>
      <c r="E745" t="n">
        <v>260.063</v>
      </c>
    </row>
    <row r="746">
      <c r="A746" s="84" t="n">
        <v>43466</v>
      </c>
      <c r="B746" t="n">
        <v>108.977</v>
      </c>
      <c r="C746" t="n">
        <v>111.134</v>
      </c>
      <c r="D746" t="n">
        <v>2.5</v>
      </c>
      <c r="E746" t="n">
        <v>260.686</v>
      </c>
    </row>
    <row r="747">
      <c r="A747" s="84" t="n">
        <v>43497</v>
      </c>
      <c r="B747" t="n">
        <v>109.146</v>
      </c>
      <c r="C747" t="n">
        <v>111.207</v>
      </c>
      <c r="D747" t="n">
        <v>2.5</v>
      </c>
      <c r="E747" t="n">
        <v>261.067</v>
      </c>
    </row>
    <row r="748">
      <c r="A748" s="84" t="n">
        <v>43525</v>
      </c>
      <c r="B748" t="n">
        <v>109.443</v>
      </c>
      <c r="C748" t="n">
        <v>111.35</v>
      </c>
      <c r="D748" t="n">
        <v>2.5</v>
      </c>
      <c r="E748" t="n">
        <v>261.537</v>
      </c>
    </row>
    <row r="749">
      <c r="A749" s="84" t="n">
        <v>43556</v>
      </c>
      <c r="B749" t="n">
        <v>109.78</v>
      </c>
      <c r="C749" t="n">
        <v>111.65</v>
      </c>
      <c r="D749" t="n">
        <v>2.5</v>
      </c>
      <c r="E749" t="n">
        <v>261.976</v>
      </c>
    </row>
    <row r="750">
      <c r="A750" s="84" t="n">
        <v>43586</v>
      </c>
      <c r="B750" t="n">
        <v>109.856</v>
      </c>
      <c r="C750" t="n">
        <v>111.773</v>
      </c>
      <c r="D750" t="n">
        <v>2.5</v>
      </c>
      <c r="E750" t="n">
        <v>262.304</v>
      </c>
    </row>
    <row r="751">
      <c r="A751" s="84" t="n">
        <v>43617</v>
      </c>
      <c r="B751" t="n">
        <v>109.935</v>
      </c>
      <c r="C751" t="n">
        <v>112</v>
      </c>
      <c r="D751" t="n">
        <v>2.5</v>
      </c>
      <c r="E751" t="n">
        <v>262.859</v>
      </c>
    </row>
    <row r="752">
      <c r="A752" s="84" t="n">
        <v>43647</v>
      </c>
      <c r="B752" t="n">
        <v>110.094</v>
      </c>
      <c r="C752" t="n">
        <v>112.157</v>
      </c>
      <c r="D752" t="n">
        <v>2.5</v>
      </c>
      <c r="E752" t="n">
        <v>263.313</v>
      </c>
    </row>
    <row r="753">
      <c r="A753" s="84" t="n">
        <v>43678</v>
      </c>
      <c r="B753" t="n">
        <v>110.132</v>
      </c>
      <c r="C753" t="n">
        <v>112.27</v>
      </c>
      <c r="D753" t="n">
        <v>2.25</v>
      </c>
      <c r="E753" t="n">
        <v>263.975</v>
      </c>
    </row>
    <row r="754">
      <c r="A754" s="84" t="n">
        <v>43709</v>
      </c>
      <c r="B754" t="n">
        <v>110.207</v>
      </c>
      <c r="C754" t="n">
        <v>112.339</v>
      </c>
      <c r="D754" t="n">
        <v>2.25</v>
      </c>
      <c r="E754" t="n">
        <v>264.425</v>
      </c>
    </row>
    <row r="755">
      <c r="A755" s="84" t="n">
        <v>43739</v>
      </c>
      <c r="B755" t="n">
        <v>110.423</v>
      </c>
      <c r="C755" t="n">
        <v>112.496</v>
      </c>
      <c r="D755" t="n">
        <v>2</v>
      </c>
      <c r="E755" t="n">
        <v>264.94</v>
      </c>
    </row>
    <row r="756">
      <c r="A756" s="84" t="n">
        <v>43770</v>
      </c>
      <c r="B756" t="n">
        <v>110.469</v>
      </c>
      <c r="C756" t="n">
        <v>112.524</v>
      </c>
      <c r="D756" t="n">
        <v>1.75</v>
      </c>
      <c r="E756" t="n">
        <v>265.484</v>
      </c>
    </row>
    <row r="757">
      <c r="A757" s="84" t="n">
        <v>43800</v>
      </c>
      <c r="B757" t="n">
        <v>110.736</v>
      </c>
      <c r="C757" t="n">
        <v>112.772</v>
      </c>
      <c r="D757" t="n">
        <v>1.75</v>
      </c>
      <c r="E757" t="n">
        <v>265.924</v>
      </c>
    </row>
    <row r="758">
      <c r="A758" s="84" t="n">
        <v>43831</v>
      </c>
      <c r="B758" t="n">
        <v>110.944</v>
      </c>
      <c r="C758" t="n">
        <v>113.008</v>
      </c>
      <c r="D758" t="n">
        <v>1.75</v>
      </c>
      <c r="E758" t="n">
        <v>266.626</v>
      </c>
    </row>
    <row r="759">
      <c r="A759" s="84" t="n">
        <v>43862</v>
      </c>
      <c r="B759" t="n">
        <v>111.07</v>
      </c>
      <c r="C759" t="n">
        <v>113.206</v>
      </c>
      <c r="D759" t="n">
        <v>1.75</v>
      </c>
      <c r="E759" t="n">
        <v>267.283</v>
      </c>
    </row>
    <row r="760">
      <c r="A760" s="84" t="n">
        <v>43891</v>
      </c>
      <c r="B760" t="n">
        <v>110.824</v>
      </c>
      <c r="C760" t="n">
        <v>113.143</v>
      </c>
      <c r="D760" t="n">
        <v>1.75</v>
      </c>
      <c r="E760" t="n">
        <v>267.09</v>
      </c>
    </row>
    <row r="761">
      <c r="A761" s="84" t="n">
        <v>43922</v>
      </c>
      <c r="B761" t="n">
        <v>110.237</v>
      </c>
      <c r="C761" t="n">
        <v>112.668</v>
      </c>
      <c r="D761" t="n">
        <v>0.25</v>
      </c>
      <c r="E761" t="n">
        <v>265.771</v>
      </c>
    </row>
    <row r="762">
      <c r="A762" s="84" t="n">
        <v>43952</v>
      </c>
      <c r="B762" t="n">
        <v>110.353</v>
      </c>
      <c r="C762" t="n">
        <v>112.819</v>
      </c>
      <c r="D762" t="n">
        <v>0.25</v>
      </c>
      <c r="E762" t="n">
        <v>265.574</v>
      </c>
    </row>
    <row r="763">
      <c r="A763" s="84" t="n">
        <v>43983</v>
      </c>
      <c r="B763" t="n">
        <v>110.746</v>
      </c>
      <c r="C763" t="n">
        <v>113.051</v>
      </c>
      <c r="D763" t="n">
        <v>0.25</v>
      </c>
      <c r="E763" t="n">
        <v>265.952</v>
      </c>
    </row>
    <row r="764">
      <c r="A764" s="84" t="n">
        <v>44013</v>
      </c>
      <c r="B764" t="n">
        <v>111.072</v>
      </c>
      <c r="C764" t="n">
        <v>113.425</v>
      </c>
      <c r="D764" t="n">
        <v>0.25</v>
      </c>
      <c r="E764" t="n">
        <v>267.352</v>
      </c>
    </row>
    <row r="765">
      <c r="A765" s="84" t="n">
        <v>44044</v>
      </c>
      <c r="B765" t="n">
        <v>111.411</v>
      </c>
      <c r="C765" t="n">
        <v>113.782</v>
      </c>
      <c r="D765" t="n">
        <v>0.25</v>
      </c>
      <c r="E765" t="n">
        <v>268.469</v>
      </c>
    </row>
    <row r="766">
      <c r="A766" s="84" t="n">
        <v>44075</v>
      </c>
      <c r="B766" t="n">
        <v>111.613</v>
      </c>
      <c r="C766" t="n">
        <v>113.979</v>
      </c>
      <c r="D766" t="n">
        <v>0.25</v>
      </c>
      <c r="E766" t="n">
        <v>268.938</v>
      </c>
    </row>
    <row r="767">
      <c r="A767" s="84" t="n">
        <v>44105</v>
      </c>
      <c r="B767" t="n">
        <v>111.648</v>
      </c>
      <c r="C767" t="n">
        <v>114.017</v>
      </c>
      <c r="D767" t="n">
        <v>0.25</v>
      </c>
      <c r="E767" t="n">
        <v>269.236</v>
      </c>
    </row>
    <row r="768">
      <c r="A768" s="84" t="n">
        <v>44136</v>
      </c>
      <c r="B768" t="n">
        <v>111.666</v>
      </c>
      <c r="C768" t="n">
        <v>114.048</v>
      </c>
      <c r="D768" t="n">
        <v>0.25</v>
      </c>
      <c r="E768" t="n">
        <v>269.901</v>
      </c>
    </row>
    <row r="769">
      <c r="A769" s="84" t="n">
        <v>44166</v>
      </c>
      <c r="B769" t="n">
        <v>112.15</v>
      </c>
      <c r="C769" t="n">
        <v>114.422</v>
      </c>
      <c r="D769" t="n">
        <v>0.25</v>
      </c>
      <c r="E769" t="n">
        <v>270.267</v>
      </c>
    </row>
    <row r="770">
      <c r="A770" s="84" t="n">
        <v>44197</v>
      </c>
      <c r="B770" t="n">
        <v>112.583</v>
      </c>
      <c r="C770" t="n">
        <v>114.782</v>
      </c>
      <c r="D770" t="n">
        <v>0.25</v>
      </c>
      <c r="E770" t="n">
        <v>270.383</v>
      </c>
    </row>
    <row r="771">
      <c r="A771" s="84" t="n">
        <v>44228</v>
      </c>
      <c r="B771" t="n">
        <v>112.961</v>
      </c>
      <c r="C771" t="n">
        <v>114.975</v>
      </c>
      <c r="D771" t="n">
        <v>0.25</v>
      </c>
      <c r="E771" t="n">
        <v>270.727</v>
      </c>
    </row>
    <row r="772">
      <c r="A772" s="84" t="n">
        <v>44256</v>
      </c>
      <c r="B772" t="n">
        <v>113.632</v>
      </c>
      <c r="C772" t="n">
        <v>115.457</v>
      </c>
      <c r="D772" t="n">
        <v>0.25</v>
      </c>
      <c r="E772" t="n">
        <v>271.526</v>
      </c>
    </row>
    <row r="773">
      <c r="A773" s="84" t="n">
        <v>44287</v>
      </c>
      <c r="B773" t="n">
        <v>114.238</v>
      </c>
      <c r="C773" t="n">
        <v>116.186</v>
      </c>
      <c r="D773" t="n">
        <v>0.25</v>
      </c>
      <c r="E773" t="n">
        <v>273.615</v>
      </c>
    </row>
    <row r="774">
      <c r="A774" s="84" t="n">
        <v>44317</v>
      </c>
      <c r="B774" t="n">
        <v>114.819</v>
      </c>
      <c r="C774" t="n">
        <v>116.787</v>
      </c>
      <c r="D774" t="n">
        <v>0.25</v>
      </c>
      <c r="E774" t="n">
        <v>275.654</v>
      </c>
    </row>
    <row r="775">
      <c r="A775" s="84" t="n">
        <v>44348</v>
      </c>
      <c r="B775" t="n">
        <v>115.458</v>
      </c>
      <c r="C775" t="n">
        <v>117.349</v>
      </c>
      <c r="D775" t="n">
        <v>0.25</v>
      </c>
      <c r="E775" t="n">
        <v>277.676</v>
      </c>
    </row>
    <row r="776">
      <c r="A776" s="84" t="n">
        <v>44378</v>
      </c>
      <c r="B776" t="n">
        <v>115.986</v>
      </c>
      <c r="C776" t="n">
        <v>117.811</v>
      </c>
      <c r="D776" t="n">
        <v>0.25</v>
      </c>
      <c r="E776" t="n">
        <v>278.522</v>
      </c>
    </row>
    <row r="777">
      <c r="A777" s="84" t="n">
        <v>44409</v>
      </c>
      <c r="B777" t="n">
        <v>116.444</v>
      </c>
      <c r="C777" t="n">
        <v>118.199</v>
      </c>
      <c r="D777" t="n">
        <v>0.25</v>
      </c>
      <c r="E777" t="n">
        <v>279.057</v>
      </c>
    </row>
    <row r="778">
      <c r="A778" s="84" t="n">
        <v>44440</v>
      </c>
      <c r="B778" t="n">
        <v>116.808</v>
      </c>
      <c r="C778" t="n">
        <v>118.446</v>
      </c>
      <c r="D778" t="n">
        <v>0.25</v>
      </c>
      <c r="E778" t="n">
        <v>279.755</v>
      </c>
    </row>
    <row r="779">
      <c r="A779" s="84" t="n">
        <v>44470</v>
      </c>
      <c r="B779" t="n">
        <v>117.479</v>
      </c>
      <c r="C779" t="n">
        <v>118.929</v>
      </c>
      <c r="D779" t="n">
        <v>0.25</v>
      </c>
      <c r="E779" t="n">
        <v>281.588</v>
      </c>
    </row>
    <row r="780">
      <c r="A780" s="84" t="n">
        <v>44501</v>
      </c>
      <c r="B780" t="n">
        <v>118.2</v>
      </c>
      <c r="C780" t="n">
        <v>119.543</v>
      </c>
      <c r="D780" t="n">
        <v>0.25</v>
      </c>
      <c r="E780" t="n">
        <v>283.34</v>
      </c>
    </row>
    <row r="781">
      <c r="A781" s="84" t="n">
        <v>44531</v>
      </c>
      <c r="B781" t="n">
        <v>118.841</v>
      </c>
      <c r="C781" t="n">
        <v>120.193</v>
      </c>
      <c r="D781" t="n">
        <v>0.25</v>
      </c>
      <c r="E781" t="n">
        <v>285.193</v>
      </c>
    </row>
    <row r="782">
      <c r="A782" s="84" t="n">
        <v>44562</v>
      </c>
      <c r="B782" t="n">
        <v>119.469</v>
      </c>
      <c r="C782" t="n">
        <v>120.761</v>
      </c>
      <c r="D782" t="n">
        <v>0.25</v>
      </c>
      <c r="E782" t="n">
        <v>286.792</v>
      </c>
    </row>
    <row r="783">
      <c r="A783" s="84" t="n">
        <v>44593</v>
      </c>
      <c r="B783" t="n">
        <v>120.178</v>
      </c>
      <c r="C783" t="n">
        <v>121.205</v>
      </c>
      <c r="D783" t="n">
        <v>0.25</v>
      </c>
      <c r="E783" t="n">
        <v>288.147</v>
      </c>
    </row>
    <row r="784">
      <c r="A784" s="84" t="n">
        <v>44621</v>
      </c>
      <c r="B784" t="n">
        <v>121.321</v>
      </c>
      <c r="C784" t="n">
        <v>121.651</v>
      </c>
      <c r="D784" t="n">
        <v>0.25</v>
      </c>
      <c r="E784" t="n">
        <v>289.046</v>
      </c>
    </row>
    <row r="785">
      <c r="A785" s="84" t="n">
        <v>44652</v>
      </c>
      <c r="B785" t="n">
        <v>121.563</v>
      </c>
      <c r="C785" t="n">
        <v>122.03</v>
      </c>
      <c r="D785" t="n">
        <v>0.5</v>
      </c>
      <c r="E785" t="n">
        <v>290.41</v>
      </c>
    </row>
    <row r="786">
      <c r="A786" s="84" t="n">
        <v>44682</v>
      </c>
      <c r="B786" t="n">
        <v>122.3</v>
      </c>
      <c r="C786" t="n">
        <v>122.488</v>
      </c>
      <c r="D786" t="n">
        <v>0.5</v>
      </c>
      <c r="E786" t="n">
        <v>292.251</v>
      </c>
    </row>
    <row r="787">
      <c r="A787" s="84" t="n">
        <v>44713</v>
      </c>
      <c r="B787" t="n">
        <v>123.512</v>
      </c>
      <c r="C787" t="n">
        <v>123.258</v>
      </c>
      <c r="D787" t="n">
        <v>1</v>
      </c>
      <c r="E787" t="n">
        <v>294.017</v>
      </c>
    </row>
    <row r="788">
      <c r="A788" s="84" t="n">
        <v>44743</v>
      </c>
      <c r="B788" t="n">
        <v>123.397</v>
      </c>
      <c r="C788" t="n">
        <v>123.352</v>
      </c>
      <c r="D788" t="n">
        <v>1.75</v>
      </c>
      <c r="E788" t="n">
        <v>294.925</v>
      </c>
    </row>
    <row r="789">
      <c r="A789" s="84" t="n">
        <v>44774</v>
      </c>
      <c r="B789" t="n">
        <v>123.728</v>
      </c>
      <c r="C789" t="n">
        <v>124.031</v>
      </c>
      <c r="D789" t="n">
        <v>2.5</v>
      </c>
      <c r="E789" t="n">
        <v>296.639</v>
      </c>
    </row>
    <row r="790">
      <c r="A790" s="84" t="n">
        <v>44805</v>
      </c>
      <c r="B790" t="n">
        <v>124.154</v>
      </c>
      <c r="C790" t="n">
        <v>124.607</v>
      </c>
      <c r="D790" t="n">
        <v>2.5</v>
      </c>
      <c r="E790" t="n">
        <v>298.339</v>
      </c>
    </row>
    <row r="791">
      <c r="A791" s="84" t="n">
        <v>44835</v>
      </c>
      <c r="B791" t="n">
        <v>124.676</v>
      </c>
      <c r="C791" t="n">
        <v>124.998</v>
      </c>
      <c r="D791" t="n">
        <v>3.25</v>
      </c>
      <c r="E791" t="n">
        <v>299.333</v>
      </c>
    </row>
    <row r="792">
      <c r="A792" s="84" t="n">
        <v>44866</v>
      </c>
      <c r="B792" t="n">
        <v>124.889</v>
      </c>
      <c r="C792" t="n">
        <v>125.277</v>
      </c>
      <c r="D792" t="n">
        <v>3.25</v>
      </c>
      <c r="E792" t="n">
        <v>300.261</v>
      </c>
    </row>
    <row r="793">
      <c r="A793" s="84" t="n">
        <v>44896</v>
      </c>
      <c r="B793" t="n">
        <v>125.141</v>
      </c>
      <c r="C793" t="n">
        <v>125.746</v>
      </c>
      <c r="D793" t="n">
        <v>4</v>
      </c>
      <c r="E793" t="n">
        <v>301.46</v>
      </c>
    </row>
    <row r="794">
      <c r="A794" s="84" t="n">
        <v>44927</v>
      </c>
      <c r="B794" t="n">
        <v>125.887</v>
      </c>
      <c r="C794" t="n">
        <v>126.438</v>
      </c>
      <c r="D794" t="n">
        <v>4.5</v>
      </c>
      <c r="E794" t="n">
        <v>302.702</v>
      </c>
    </row>
    <row r="795">
      <c r="A795" s="84" t="n">
        <v>44958</v>
      </c>
      <c r="B795" t="n">
        <v>126.273</v>
      </c>
      <c r="C795" t="n">
        <v>126.884</v>
      </c>
      <c r="D795" t="n">
        <v>4.5</v>
      </c>
      <c r="E795" t="n">
        <v>304.07</v>
      </c>
    </row>
    <row r="796">
      <c r="A796" s="84" t="n">
        <v>44986</v>
      </c>
      <c r="B796" t="n">
        <v>126.402</v>
      </c>
      <c r="C796" t="n">
        <v>127.278</v>
      </c>
      <c r="D796" t="n">
        <v>4.75</v>
      </c>
      <c r="E796" t="n">
        <v>305.24</v>
      </c>
    </row>
    <row r="797">
      <c r="A797" s="84" t="n">
        <v>45017</v>
      </c>
      <c r="B797" t="n">
        <v>126.862</v>
      </c>
      <c r="C797" t="n">
        <v>127.762</v>
      </c>
      <c r="D797" t="n">
        <v>5</v>
      </c>
      <c r="E797" t="n">
        <v>306.489</v>
      </c>
    </row>
    <row r="798">
      <c r="A798" s="84" t="n">
        <v>45047</v>
      </c>
      <c r="B798" t="n">
        <v/>
      </c>
      <c r="C798" t="n">
        <v/>
      </c>
      <c r="D798" t="n">
        <v>5</v>
      </c>
      <c r="E798" t="n">
        <v>307.824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80" zoomScaleNormal="80" workbookViewId="0">
      <pane ySplit="4" topLeftCell="A747" activePane="bottomLeft" state="frozen"/>
      <selection pane="bottomLeft" activeCell="U760" sqref="U760"/>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56" t="n">
        <v>44896</v>
      </c>
      <c r="B772" s="57">
        <f>VLOOKUP(Table5345679103[[#This Row],[Date]],Database!A:E,MATCH($A$1,Database!$A$1:$E$1,),)</f>
        <v/>
      </c>
      <c r="C772" s="9">
        <f>(B772-B771)/B771</f>
        <v/>
      </c>
      <c r="D772" s="7">
        <f>(Table5345679103[[#This Row],[Value]]-B760)/B760</f>
        <v/>
      </c>
    </row>
    <row r="773" customFormat="1" s="67">
      <c r="A773" s="56" t="n">
        <v>44927</v>
      </c>
      <c r="B773" s="57">
        <f>VLOOKUP(Table5345679103[[#This Row],[Date]],Database!A:E,MATCH($A$1,Database!$A$1:$E$1,),)</f>
        <v/>
      </c>
      <c r="C773" s="9">
        <f>(B773-B772)/B772</f>
        <v/>
      </c>
      <c r="D773" s="7">
        <f>(Table5345679103[[#This Row],[Value]]-B761)/B761</f>
        <v/>
      </c>
    </row>
    <row r="774" customFormat="1" s="67">
      <c r="A774" s="56" t="n">
        <v>44958</v>
      </c>
      <c r="B774" s="57">
        <f>VLOOKUP(Table5345679103[[#This Row],[Date]],Database!A:E,MATCH($A$1,Database!$A$1:$E$1,),)</f>
        <v/>
      </c>
      <c r="C774" s="9">
        <f>(B774-B773)/B773</f>
        <v/>
      </c>
      <c r="D774" s="7">
        <f>(Table5345679103[[#This Row],[Value]]-B762)/B762</f>
        <v/>
      </c>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4">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9"/>
  <sheetViews>
    <sheetView zoomScale="70" zoomScaleNormal="70" workbookViewId="0">
      <pane ySplit="4" topLeftCell="A738" activePane="bottomLeft" state="frozen"/>
      <selection activeCell="H29" sqref="H29"/>
      <selection pane="bottomLeft" activeCell="AD767" sqref="AD767"/>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71"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59" t="n">
        <v>44896</v>
      </c>
      <c r="B772" s="57">
        <f>VLOOKUP(Table534567910[[#This Row],[Date]],Database!A:E,MATCH($A$1,Database!$A$1:$E$1,),)</f>
        <v/>
      </c>
      <c r="C772" s="9">
        <f>(B772-B771)/B771</f>
        <v/>
      </c>
      <c r="D772" s="7">
        <f>(Table534567910[[#This Row],[Value]]-B760)/B760</f>
        <v/>
      </c>
      <c r="E772" s="16" t="n">
        <v>0.02</v>
      </c>
      <c r="F772" s="15">
        <f>VLOOKUP(Table534567910[[#This Row],[Date]],Database!A:E,4)</f>
        <v/>
      </c>
    </row>
    <row r="773" customFormat="1" s="67">
      <c r="A773" s="59" t="n">
        <v>44927</v>
      </c>
      <c r="B773" s="57">
        <f>VLOOKUP(Table534567910[[#This Row],[Date]],Database!A:E,MATCH($A$1,Database!$A$1:$E$1,),)</f>
        <v/>
      </c>
      <c r="C773" s="9">
        <f>(B773-B772)/B772</f>
        <v/>
      </c>
      <c r="D773" s="7">
        <f>(Table534567910[[#This Row],[Value]]-B761)/B761</f>
        <v/>
      </c>
      <c r="E773" s="16" t="n">
        <v>0.02</v>
      </c>
      <c r="F773" s="15">
        <f>VLOOKUP(Table534567910[[#This Row],[Date]],Database!A:E,4)</f>
        <v/>
      </c>
    </row>
    <row r="774" customFormat="1" s="67">
      <c r="A774" s="59" t="n">
        <v>44958</v>
      </c>
      <c r="B774" s="57">
        <f>VLOOKUP(Table534567910[[#This Row],[Date]],Database!A:E,MATCH($A$1,Database!$A$1:$E$1,),)</f>
        <v/>
      </c>
      <c r="C774" s="9">
        <f>(B774-B773)/B773</f>
        <v/>
      </c>
      <c r="D774" s="7">
        <f>(Table534567910[[#This Row],[Value]]-B762)/B762</f>
        <v/>
      </c>
      <c r="E774" s="16" t="n">
        <v>0.02</v>
      </c>
      <c r="F774" s="15">
        <f>VLOOKUP(Table534567910[[#This Row],[Date]],Database!A:E,4)</f>
        <v/>
      </c>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row r="1097">
      <c r="A1097" s="6" t="n"/>
      <c r="B1097" s="52" t="n"/>
      <c r="C1097" s="4" t="n"/>
      <c r="D1097" s="5" t="n"/>
      <c r="E1097" s="12" t="n"/>
      <c r="F1097" s="12" t="n"/>
    </row>
    <row r="1098">
      <c r="A1098" s="6" t="n"/>
      <c r="B1098" s="52" t="n"/>
      <c r="C1098" s="4" t="n"/>
      <c r="D1098" s="5" t="n"/>
      <c r="E1098" s="12" t="n"/>
      <c r="F1098" s="12" t="n"/>
    </row>
    <row r="1099">
      <c r="A1099" s="6" t="n"/>
      <c r="B1099" s="52" t="n"/>
      <c r="C1099" s="4" t="n"/>
      <c r="D1099" s="5" t="n"/>
      <c r="E1099" s="12" t="n"/>
      <c r="F1099" s="12" t="n"/>
    </row>
  </sheetData>
  <conditionalFormatting sqref="D692:D774">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80" zoomScaleNormal="80" workbookViewId="0">
      <pane ySplit="4" topLeftCell="A747" activePane="bottomLeft" state="frozen"/>
      <selection activeCell="H29" sqref="H29"/>
      <selection pane="bottomLeft" activeCell="A767" sqref="A767:G774"/>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62" t="n">
        <v>44896</v>
      </c>
      <c r="B772" s="28">
        <f>VLOOKUP(Table3[[#This Row],[Date]],'PCE Core'!$A:$E,2,)</f>
        <v/>
      </c>
      <c r="C772" s="28">
        <f>VLOOKUP(Table3[[#This Row],[Date]],Database!$A:$E,5)</f>
        <v/>
      </c>
      <c r="D772" s="26">
        <f>(((Table3[[#This Row],[Core PCE]]-$B$496)/$B$496)*100)+100</f>
        <v/>
      </c>
      <c r="E772" s="26">
        <f>(((Table3[[#This Row],[Core CPI]]-$C$496)/$C$496)*100)+100</f>
        <v/>
      </c>
      <c r="F772" s="27">
        <f>(Table3[[#This Row],[Core CPI]]-C760)/C760</f>
        <v/>
      </c>
      <c r="G772" s="27">
        <f>VLOOKUP(Table3[[#This Row],[Date]],'PCE Core'!A:D,4,)</f>
        <v/>
      </c>
    </row>
    <row r="773" customFormat="1" s="67">
      <c r="A773" s="62" t="n">
        <v>44927</v>
      </c>
      <c r="B773" s="28">
        <f>VLOOKUP(Table3[[#This Row],[Date]],'PCE Core'!$A:$E,2,)</f>
        <v/>
      </c>
      <c r="C773" s="26">
        <f>VLOOKUP(Table3[[#This Row],[Date]],Database!$A:$E,5)</f>
        <v/>
      </c>
      <c r="D773" s="26">
        <f>(((Table3[[#This Row],[Core PCE]]-$B$496)/$B$496)*100)+100</f>
        <v/>
      </c>
      <c r="E773" s="26">
        <f>(((Table3[[#This Row],[Core CPI]]-$C$496)/$C$496)*100)+100</f>
        <v/>
      </c>
      <c r="F773" s="27">
        <f>(Table3[[#This Row],[Core CPI]]-C761)/C761</f>
        <v/>
      </c>
      <c r="G773" s="27">
        <f>VLOOKUP(Table3[[#This Row],[Date]],'PCE Core'!A:D,4,)</f>
        <v/>
      </c>
    </row>
    <row r="774" customFormat="1" s="67">
      <c r="A774" s="59" t="n">
        <v>44958</v>
      </c>
      <c r="B774" s="28">
        <f>VLOOKUP(Table3[[#This Row],[Date]],'PCE Core'!$A:$E,2,)</f>
        <v/>
      </c>
      <c r="C774" s="28">
        <f>VLOOKUP(Table3[[#This Row],[Date]],Database!$A:$E,5)</f>
        <v/>
      </c>
      <c r="D774" s="26">
        <f>(((Table3[[#This Row],[Core PCE]]-$B$496)/$B$496)*100)+100</f>
        <v/>
      </c>
      <c r="E774" s="26">
        <f>(((Table3[[#This Row],[Core CPI]]-$C$496)/$C$496)*100)+100</f>
        <v/>
      </c>
      <c r="F774" s="27">
        <f>(Table3[[#This Row],[Core CPI]]-C762)/C762</f>
        <v/>
      </c>
      <c r="G774" s="27">
        <f>VLOOKUP(Table3[[#This Row],[Date]],'PCE Core'!A:D,4,)</f>
        <v/>
      </c>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4">
    <cfRule type="colorScale" priority="13">
      <colorScale>
        <cfvo type="min"/>
        <cfvo type="percentile" val="50"/>
        <cfvo type="max"/>
        <color rgb="FFF8696B"/>
        <color rgb="FFFFEB84"/>
        <color rgb="FF63BE7B"/>
      </colorScale>
    </cfRule>
  </conditionalFormatting>
  <conditionalFormatting sqref="G617:G774">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2023-04-15T16:46:03Z</dcterms:modified>
  <cp:lastModifiedBy>Mark Mukherjee</cp:lastModifiedBy>
</cp:coreProperties>
</file>