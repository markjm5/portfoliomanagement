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0.06379218181504664</v>
                </pt>
                <pt idx="271">
                  <v>0.06239909312630956</v>
                </pt>
                <pt idx="272">
                  <v>0.06271830696527629</v>
                </pt>
                <pt idx="273">
                  <v>0.06018948067314157</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Core'!$D$497:$D$788</f>
              <numCache>
                <formatCode>0.00%</formatCode>
                <ptCount val="292"/>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0.04691412516658026</v>
                </pt>
                <pt idx="271">
                  <v>0.0491628524776014</v>
                </pt>
                <pt idx="272">
                  <v>0.05182108302517607</v>
                </pt>
                <pt idx="273">
                  <v>0.04984486542390836</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Core'!$A$497:$A$788</f>
              <numCache>
                <formatCode>yyyy\-mm\-dd</formatCode>
                <ptCount val="29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'PCE Core'!$E$497:$E$771</f>
              <numCache>
                <formatCode>0%</formatCode>
                <ptCount val="27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Core'!$D$149:$D$786</f>
              <numCache>
                <formatCode>0.00%</formatCode>
                <ptCount val="638"/>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0.04691412516658026</v>
                </pt>
                <pt idx="619">
                  <v>0.0491628524776014</v>
                </pt>
                <pt idx="620">
                  <v>0.05182108302517607</v>
                </pt>
                <pt idx="621">
                  <v>0.04984486542390836</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Core'!$A$149:$A$786</f>
              <numCache>
                <formatCode>yyyy\-mm\-dd</formatCode>
                <ptCount val="63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'PCE Core'!$F$149:$F$786</f>
              <numCache>
                <formatCode>General</formatCode>
                <ptCount val="638"/>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123.338</v>
                </pt>
                <pt idx="763">
                  <v>124.01</v>
                </pt>
                <pt idx="764">
                  <v>124.584</v>
                </pt>
                <pt idx="765">
                  <v>124.857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CPI'!$D$5:$D$771</f>
              <numCache>
                <formatCode>0.00</formatCode>
                <ptCount val="76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154.5666449446087</v>
                </pt>
                <pt idx="763">
                  <v>155.4087924206727</v>
                </pt>
                <pt idx="764">
                  <v>156.128126723144</v>
                </pt>
                <pt idx="765">
                  <v>156.470249135295</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CPI'!$E$5:$E$771</f>
              <numCache>
                <formatCode>0.00</formatCode>
                <ptCount val="76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0" headerRowCount="1" totalsRowShown="0" headerRowDxfId="35" dataDxfId="33" headerRowBorderDxfId="34">
  <autoFilter ref="A4:D770"/>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0" headerRowCount="1" totalsRowShown="0" headerRowDxfId="28" dataDxfId="26" headerRowBorderDxfId="27">
  <autoFilter ref="A4:F770"/>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0" headerRowCount="1" totalsRowShown="0" headerRowDxfId="19" dataDxfId="17" headerRowBorderDxfId="18" tableBorderDxfId="16" totalsRowBorderDxfId="15">
  <autoFilter ref="A4:G77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8" defaultColWidth="9.1796875" defaultRowHeight="14.5"/>
  <cols>
    <col width="9.1796875" customWidth="1" style="68" min="1" max="1"/>
    <col width="12.81640625" customWidth="1" style="68" min="2" max="10"/>
    <col width="2.81640625" customWidth="1" style="68" min="11" max="13"/>
    <col width="19" customWidth="1" style="68" min="14" max="14"/>
    <col width="9.1796875" customWidth="1" style="68" min="15" max="15"/>
    <col width="12.36328125" customWidth="1" style="68" min="16" max="19"/>
    <col width="9.1796875" customWidth="1" style="68" min="20" max="38"/>
    <col width="9.1796875" customWidth="1" style="68" min="39"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1"/>
  <sheetViews>
    <sheetView zoomScale="170" zoomScaleNormal="170" workbookViewId="0">
      <pane ySplit="1" topLeftCell="A780" activePane="bottomLeft" state="frozen"/>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123.385</v>
      </c>
      <c r="C788" t="n">
        <v>123.338</v>
      </c>
      <c r="D788" t="n">
        <v>1.75</v>
      </c>
      <c r="E788" t="n">
        <v>295.275</v>
      </c>
    </row>
    <row r="789">
      <c r="A789" s="84" t="n">
        <v>44774</v>
      </c>
      <c r="B789" t="n">
        <v>123.71</v>
      </c>
      <c r="C789" t="n">
        <v>124.01</v>
      </c>
      <c r="D789" t="n">
        <v>2.5</v>
      </c>
      <c r="E789" t="n">
        <v>296.95</v>
      </c>
    </row>
    <row r="790">
      <c r="A790" s="84" t="n">
        <v>44805</v>
      </c>
      <c r="B790" t="n">
        <v>124.134</v>
      </c>
      <c r="C790" t="n">
        <v>124.584</v>
      </c>
      <c r="D790" t="n">
        <v>2.5</v>
      </c>
      <c r="E790" t="n">
        <v>298.66</v>
      </c>
    </row>
    <row r="791">
      <c r="A791" s="84" t="n">
        <v>44835</v>
      </c>
      <c r="B791" t="n">
        <v>124.55</v>
      </c>
      <c r="C791" t="n">
        <v>124.857</v>
      </c>
      <c r="D791" t="n">
        <v>3.25</v>
      </c>
      <c r="E791" t="n">
        <v>299.471</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36" activePane="bottomLeft" state="frozen"/>
      <selection pane="bottomLeft" activeCell="Q750" sqref="Q75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68" min="5" max="66"/>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57" t="n">
        <v>44835</v>
      </c>
      <c r="B770" s="58">
        <f>VLOOKUP(Table5345679103[[#This Row],[Date]],Database!A:E,MATCH($A$1,Database!$A$1:$E$1,),)</f>
        <v/>
      </c>
      <c r="C770" s="9">
        <f>(B770-B769)/B769</f>
        <v/>
      </c>
      <c r="D770" s="7">
        <f>(Table5345679103[[#This Row],[Value]]-B758)/B758</f>
        <v/>
      </c>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70">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5"/>
  <sheetViews>
    <sheetView zoomScale="90" zoomScaleNormal="90" workbookViewId="0">
      <pane ySplit="4" topLeftCell="A752" activePane="bottomLeft" state="frozen"/>
      <selection activeCell="H29" sqref="H29"/>
      <selection pane="bottomLeft" activeCell="J770" sqref="J770"/>
    </sheetView>
  </sheetViews>
  <sheetFormatPr baseColWidth="8" defaultColWidth="8.81640625" defaultRowHeight="14.5"/>
  <cols>
    <col width="10.81640625" customWidth="1" style="3" min="1" max="1"/>
    <col width="18.1796875" customWidth="1" style="51" min="2" max="2"/>
    <col width="15" customWidth="1" style="1" min="3" max="3"/>
    <col width="13" customWidth="1" style="2" min="4" max="4"/>
    <col width="9.1796875" customWidth="1" style="13" min="5" max="6"/>
    <col width="9.1796875" customWidth="1" style="68" min="7" max="122"/>
    <col width="10.81640625" customWidth="1" style="34" min="253" max="253"/>
    <col width="18.1796875" customWidth="1" style="34" min="254" max="254"/>
    <col width="15" customWidth="1" style="34" min="255" max="255"/>
    <col width="13" customWidth="1" style="34" min="256" max="259"/>
    <col width="17.6328125" customWidth="1" style="34" min="260" max="260"/>
    <col width="10.81640625" customWidth="1" style="34" min="509" max="509"/>
    <col width="18.1796875" customWidth="1" style="34" min="510" max="510"/>
    <col width="15" customWidth="1" style="34" min="511" max="511"/>
    <col width="13" customWidth="1" style="34" min="512" max="515"/>
    <col width="17.6328125" customWidth="1" style="34" min="516" max="516"/>
    <col width="10.81640625" customWidth="1" style="34" min="765" max="765"/>
    <col width="18.1796875" customWidth="1" style="34" min="766" max="766"/>
    <col width="15" customWidth="1" style="34" min="767" max="767"/>
    <col width="13" customWidth="1" style="34" min="768" max="771"/>
    <col width="17.6328125" customWidth="1" style="34" min="772" max="772"/>
    <col width="10.81640625" customWidth="1" style="34" min="1021" max="1021"/>
    <col width="18.1796875" customWidth="1" style="34" min="1022" max="1022"/>
    <col width="15" customWidth="1" style="34" min="1023" max="1023"/>
    <col width="13" customWidth="1" style="34" min="1024" max="1027"/>
    <col width="17.6328125" customWidth="1" style="34" min="1028" max="1028"/>
    <col width="10.81640625" customWidth="1" style="34" min="1277" max="1277"/>
    <col width="18.1796875" customWidth="1" style="34" min="1278" max="1278"/>
    <col width="15" customWidth="1" style="34" min="1279" max="1279"/>
    <col width="13" customWidth="1" style="34" min="1280" max="1283"/>
    <col width="17.6328125" customWidth="1" style="34" min="1284" max="1284"/>
    <col width="10.81640625" customWidth="1" style="34" min="1533" max="1533"/>
    <col width="18.1796875" customWidth="1" style="34" min="1534" max="1534"/>
    <col width="15" customWidth="1" style="34" min="1535" max="1535"/>
    <col width="13" customWidth="1" style="34" min="1536" max="1539"/>
    <col width="17.6328125" customWidth="1" style="34" min="1540" max="1540"/>
    <col width="10.81640625" customWidth="1" style="34" min="1789" max="1789"/>
    <col width="18.1796875" customWidth="1" style="34" min="1790" max="1790"/>
    <col width="15" customWidth="1" style="34" min="1791" max="1791"/>
    <col width="13" customWidth="1" style="34" min="1792" max="1795"/>
    <col width="17.6328125" customWidth="1" style="34" min="1796" max="1796"/>
    <col width="10.81640625" customWidth="1" style="34" min="2045" max="2045"/>
    <col width="18.1796875" customWidth="1" style="34" min="2046" max="2046"/>
    <col width="15" customWidth="1" style="34" min="2047" max="2047"/>
    <col width="13" customWidth="1" style="34" min="2048" max="2051"/>
    <col width="17.6328125" customWidth="1" style="34" min="2052" max="2052"/>
    <col width="10.81640625" customWidth="1" style="34" min="2301" max="2301"/>
    <col width="18.1796875" customWidth="1" style="34" min="2302" max="2302"/>
    <col width="15" customWidth="1" style="34" min="2303" max="2303"/>
    <col width="13" customWidth="1" style="34" min="2304" max="2307"/>
    <col width="17.6328125" customWidth="1" style="34" min="2308" max="2308"/>
    <col width="10.81640625" customWidth="1" style="34" min="2557" max="2557"/>
    <col width="18.1796875" customWidth="1" style="34" min="2558" max="2558"/>
    <col width="15" customWidth="1" style="34" min="2559" max="2559"/>
    <col width="13" customWidth="1" style="34" min="2560" max="2563"/>
    <col width="17.6328125" customWidth="1" style="34" min="2564" max="2564"/>
    <col width="10.81640625" customWidth="1" style="34" min="2813" max="2813"/>
    <col width="18.1796875" customWidth="1" style="34" min="2814" max="2814"/>
    <col width="15" customWidth="1" style="34" min="2815" max="2815"/>
    <col width="13" customWidth="1" style="34" min="2816" max="2819"/>
    <col width="17.6328125" customWidth="1" style="34" min="2820" max="2820"/>
    <col width="10.81640625" customWidth="1" style="34" min="3069" max="3069"/>
    <col width="18.1796875" customWidth="1" style="34" min="3070" max="3070"/>
    <col width="15" customWidth="1" style="34" min="3071" max="3071"/>
    <col width="13" customWidth="1" style="34" min="3072" max="3075"/>
    <col width="17.6328125" customWidth="1" style="34" min="3076" max="3076"/>
    <col width="10.81640625" customWidth="1" style="34" min="3325" max="3325"/>
    <col width="18.1796875" customWidth="1" style="34" min="3326" max="3326"/>
    <col width="15" customWidth="1" style="34" min="3327" max="3327"/>
    <col width="13" customWidth="1" style="34" min="3328" max="3331"/>
    <col width="17.6328125" customWidth="1" style="34" min="3332" max="3332"/>
    <col width="10.81640625" customWidth="1" style="34" min="3581" max="3581"/>
    <col width="18.1796875" customWidth="1" style="34" min="3582" max="3582"/>
    <col width="15" customWidth="1" style="34" min="3583" max="3583"/>
    <col width="13" customWidth="1" style="34" min="3584" max="3587"/>
    <col width="17.6328125" customWidth="1" style="34" min="3588" max="3588"/>
    <col width="10.81640625" customWidth="1" style="34" min="3837" max="3837"/>
    <col width="18.1796875" customWidth="1" style="34" min="3838" max="3838"/>
    <col width="15" customWidth="1" style="34" min="3839" max="3839"/>
    <col width="13" customWidth="1" style="34" min="3840" max="3843"/>
    <col width="17.6328125" customWidth="1" style="34" min="3844" max="3844"/>
    <col width="10.81640625" customWidth="1" style="34" min="4093" max="4093"/>
    <col width="18.1796875" customWidth="1" style="34" min="4094" max="4094"/>
    <col width="15" customWidth="1" style="34" min="4095" max="4095"/>
    <col width="13" customWidth="1" style="34" min="4096" max="4099"/>
    <col width="17.6328125" customWidth="1" style="34" min="4100" max="4100"/>
    <col width="10.81640625" customWidth="1" style="34" min="4349" max="4349"/>
    <col width="18.1796875" customWidth="1" style="34" min="4350" max="4350"/>
    <col width="15" customWidth="1" style="34" min="4351" max="4351"/>
    <col width="13" customWidth="1" style="34" min="4352" max="4355"/>
    <col width="17.6328125" customWidth="1" style="34" min="4356" max="4356"/>
    <col width="10.81640625" customWidth="1" style="34" min="4605" max="4605"/>
    <col width="18.1796875" customWidth="1" style="34" min="4606" max="4606"/>
    <col width="15" customWidth="1" style="34" min="4607" max="4607"/>
    <col width="13" customWidth="1" style="34" min="4608" max="4611"/>
    <col width="17.6328125" customWidth="1" style="34" min="4612" max="4612"/>
    <col width="10.81640625" customWidth="1" style="34" min="4861" max="4861"/>
    <col width="18.1796875" customWidth="1" style="34" min="4862" max="4862"/>
    <col width="15" customWidth="1" style="34" min="4863" max="4863"/>
    <col width="13" customWidth="1" style="34" min="4864" max="4867"/>
    <col width="17.6328125" customWidth="1" style="34" min="4868" max="4868"/>
    <col width="10.81640625" customWidth="1" style="34" min="5117" max="5117"/>
    <col width="18.1796875" customWidth="1" style="34" min="5118" max="5118"/>
    <col width="15" customWidth="1" style="34" min="5119" max="5119"/>
    <col width="13" customWidth="1" style="34" min="5120" max="5123"/>
    <col width="17.6328125" customWidth="1" style="34" min="5124" max="5124"/>
    <col width="10.81640625" customWidth="1" style="34" min="5373" max="5373"/>
    <col width="18.1796875" customWidth="1" style="34" min="5374" max="5374"/>
    <col width="15" customWidth="1" style="34" min="5375" max="5375"/>
    <col width="13" customWidth="1" style="34" min="5376" max="5379"/>
    <col width="17.6328125" customWidth="1" style="34" min="5380" max="5380"/>
    <col width="10.81640625" customWidth="1" style="34" min="5629" max="5629"/>
    <col width="18.1796875" customWidth="1" style="34" min="5630" max="5630"/>
    <col width="15" customWidth="1" style="34" min="5631" max="5631"/>
    <col width="13" customWidth="1" style="34" min="5632" max="5635"/>
    <col width="17.6328125" customWidth="1" style="34" min="5636" max="5636"/>
    <col width="10.81640625" customWidth="1" style="34" min="5885" max="5885"/>
    <col width="18.1796875" customWidth="1" style="34" min="5886" max="5886"/>
    <col width="15" customWidth="1" style="34" min="5887" max="5887"/>
    <col width="13" customWidth="1" style="34" min="5888" max="5891"/>
    <col width="17.6328125" customWidth="1" style="34" min="5892" max="5892"/>
    <col width="10.81640625" customWidth="1" style="34" min="6141" max="6141"/>
    <col width="18.1796875" customWidth="1" style="34" min="6142" max="6142"/>
    <col width="15" customWidth="1" style="34" min="6143" max="6143"/>
    <col width="13" customWidth="1" style="34" min="6144" max="6147"/>
    <col width="17.6328125" customWidth="1" style="34" min="6148" max="6148"/>
    <col width="10.81640625" customWidth="1" style="34" min="6397" max="6397"/>
    <col width="18.1796875" customWidth="1" style="34" min="6398" max="6398"/>
    <col width="15" customWidth="1" style="34" min="6399" max="6399"/>
    <col width="13" customWidth="1" style="34" min="6400" max="6403"/>
    <col width="17.6328125" customWidth="1" style="34" min="6404" max="6404"/>
    <col width="10.81640625" customWidth="1" style="34" min="6653" max="6653"/>
    <col width="18.1796875" customWidth="1" style="34" min="6654" max="6654"/>
    <col width="15" customWidth="1" style="34" min="6655" max="6655"/>
    <col width="13" customWidth="1" style="34" min="6656" max="6659"/>
    <col width="17.6328125" customWidth="1" style="34" min="6660" max="6660"/>
    <col width="10.81640625" customWidth="1" style="34" min="6909" max="6909"/>
    <col width="18.1796875" customWidth="1" style="34" min="6910" max="6910"/>
    <col width="15" customWidth="1" style="34" min="6911" max="6911"/>
    <col width="13" customWidth="1" style="34" min="6912" max="6915"/>
    <col width="17.6328125" customWidth="1" style="34" min="6916" max="6916"/>
    <col width="10.81640625" customWidth="1" style="34" min="7165" max="7165"/>
    <col width="18.1796875" customWidth="1" style="34" min="7166" max="7166"/>
    <col width="15" customWidth="1" style="34" min="7167" max="7167"/>
    <col width="13" customWidth="1" style="34" min="7168" max="7171"/>
    <col width="17.6328125" customWidth="1" style="34" min="7172" max="7172"/>
    <col width="10.81640625" customWidth="1" style="34" min="7421" max="7421"/>
    <col width="18.1796875" customWidth="1" style="34" min="7422" max="7422"/>
    <col width="15" customWidth="1" style="34" min="7423" max="7423"/>
    <col width="13" customWidth="1" style="34" min="7424" max="7427"/>
    <col width="17.6328125" customWidth="1" style="34" min="7428" max="7428"/>
    <col width="10.81640625" customWidth="1" style="34" min="7677" max="7677"/>
    <col width="18.1796875" customWidth="1" style="34" min="7678" max="7678"/>
    <col width="15" customWidth="1" style="34" min="7679" max="7679"/>
    <col width="13" customWidth="1" style="34" min="7680" max="7683"/>
    <col width="17.6328125" customWidth="1" style="34" min="7684" max="7684"/>
    <col width="10.81640625" customWidth="1" style="34" min="7933" max="7933"/>
    <col width="18.1796875" customWidth="1" style="34" min="7934" max="7934"/>
    <col width="15" customWidth="1" style="34" min="7935" max="7935"/>
    <col width="13" customWidth="1" style="34" min="7936" max="7939"/>
    <col width="17.6328125" customWidth="1" style="34" min="7940" max="7940"/>
    <col width="10.81640625" customWidth="1" style="34" min="8189" max="8189"/>
    <col width="18.1796875" customWidth="1" style="34" min="8190" max="8190"/>
    <col width="15" customWidth="1" style="34" min="8191" max="8191"/>
    <col width="13" customWidth="1" style="34" min="8192" max="8195"/>
    <col width="17.6328125" customWidth="1" style="34" min="8196" max="8196"/>
    <col width="10.81640625" customWidth="1" style="34" min="8445" max="8445"/>
    <col width="18.1796875" customWidth="1" style="34" min="8446" max="8446"/>
    <col width="15" customWidth="1" style="34" min="8447" max="8447"/>
    <col width="13" customWidth="1" style="34" min="8448" max="8451"/>
    <col width="17.6328125" customWidth="1" style="34" min="8452" max="8452"/>
    <col width="10.81640625" customWidth="1" style="34" min="8701" max="8701"/>
    <col width="18.1796875" customWidth="1" style="34" min="8702" max="8702"/>
    <col width="15" customWidth="1" style="34" min="8703" max="8703"/>
    <col width="13" customWidth="1" style="34" min="8704" max="8707"/>
    <col width="17.6328125" customWidth="1" style="34" min="8708" max="8708"/>
    <col width="10.81640625" customWidth="1" style="34" min="8957" max="8957"/>
    <col width="18.1796875" customWidth="1" style="34" min="8958" max="8958"/>
    <col width="15" customWidth="1" style="34" min="8959" max="8959"/>
    <col width="13" customWidth="1" style="34" min="8960" max="8963"/>
    <col width="17.6328125" customWidth="1" style="34" min="8964" max="8964"/>
    <col width="10.81640625" customWidth="1" style="34" min="9213" max="9213"/>
    <col width="18.1796875" customWidth="1" style="34" min="9214" max="9214"/>
    <col width="15" customWidth="1" style="34" min="9215" max="9215"/>
    <col width="13" customWidth="1" style="34" min="9216" max="9219"/>
    <col width="17.6328125" customWidth="1" style="34" min="9220" max="9220"/>
    <col width="10.81640625" customWidth="1" style="34" min="9469" max="9469"/>
    <col width="18.1796875" customWidth="1" style="34" min="9470" max="9470"/>
    <col width="15" customWidth="1" style="34" min="9471" max="9471"/>
    <col width="13" customWidth="1" style="34" min="9472" max="9475"/>
    <col width="17.6328125" customWidth="1" style="34" min="9476" max="9476"/>
    <col width="10.81640625" customWidth="1" style="34" min="9725" max="9725"/>
    <col width="18.1796875" customWidth="1" style="34" min="9726" max="9726"/>
    <col width="15" customWidth="1" style="34" min="9727" max="9727"/>
    <col width="13" customWidth="1" style="34" min="9728" max="9731"/>
    <col width="17.6328125" customWidth="1" style="34" min="9732" max="9732"/>
    <col width="10.81640625" customWidth="1" style="34" min="9981" max="9981"/>
    <col width="18.1796875" customWidth="1" style="34" min="9982" max="9982"/>
    <col width="15" customWidth="1" style="34" min="9983" max="9983"/>
    <col width="13" customWidth="1" style="34" min="9984" max="9987"/>
    <col width="17.6328125" customWidth="1" style="34" min="9988" max="9988"/>
    <col width="10.81640625" customWidth="1" style="34" min="10237" max="10237"/>
    <col width="18.1796875" customWidth="1" style="34" min="10238" max="10238"/>
    <col width="15" customWidth="1" style="34" min="10239" max="10239"/>
    <col width="13" customWidth="1" style="34" min="10240" max="10243"/>
    <col width="17.6328125" customWidth="1" style="34" min="10244" max="10244"/>
    <col width="10.81640625" customWidth="1" style="34" min="10493" max="10493"/>
    <col width="18.1796875" customWidth="1" style="34" min="10494" max="10494"/>
    <col width="15" customWidth="1" style="34" min="10495" max="10495"/>
    <col width="13" customWidth="1" style="34" min="10496" max="10499"/>
    <col width="17.6328125" customWidth="1" style="34" min="10500" max="10500"/>
    <col width="10.81640625" customWidth="1" style="34" min="10749" max="10749"/>
    <col width="18.1796875" customWidth="1" style="34" min="10750" max="10750"/>
    <col width="15" customWidth="1" style="34" min="10751" max="10751"/>
    <col width="13" customWidth="1" style="34" min="10752" max="10755"/>
    <col width="17.6328125" customWidth="1" style="34" min="10756" max="10756"/>
    <col width="10.81640625" customWidth="1" style="34" min="11005" max="11005"/>
    <col width="18.1796875" customWidth="1" style="34" min="11006" max="11006"/>
    <col width="15" customWidth="1" style="34" min="11007" max="11007"/>
    <col width="13" customWidth="1" style="34" min="11008" max="11011"/>
    <col width="17.6328125" customWidth="1" style="34" min="11012" max="11012"/>
    <col width="10.81640625" customWidth="1" style="34" min="11261" max="11261"/>
    <col width="18.1796875" customWidth="1" style="34" min="11262" max="11262"/>
    <col width="15" customWidth="1" style="34" min="11263" max="11263"/>
    <col width="13" customWidth="1" style="34" min="11264" max="11267"/>
    <col width="17.6328125" customWidth="1" style="34" min="11268" max="11268"/>
    <col width="10.81640625" customWidth="1" style="34" min="11517" max="11517"/>
    <col width="18.1796875" customWidth="1" style="34" min="11518" max="11518"/>
    <col width="15" customWidth="1" style="34" min="11519" max="11519"/>
    <col width="13" customWidth="1" style="34" min="11520" max="11523"/>
    <col width="17.6328125" customWidth="1" style="34" min="11524" max="11524"/>
    <col width="10.81640625" customWidth="1" style="34" min="11773" max="11773"/>
    <col width="18.1796875" customWidth="1" style="34" min="11774" max="11774"/>
    <col width="15" customWidth="1" style="34" min="11775" max="11775"/>
    <col width="13" customWidth="1" style="34" min="11776" max="11779"/>
    <col width="17.6328125" customWidth="1" style="34" min="11780" max="11780"/>
    <col width="10.81640625" customWidth="1" style="34" min="12029" max="12029"/>
    <col width="18.1796875" customWidth="1" style="34" min="12030" max="12030"/>
    <col width="15" customWidth="1" style="34" min="12031" max="12031"/>
    <col width="13" customWidth="1" style="34" min="12032" max="12035"/>
    <col width="17.6328125" customWidth="1" style="34" min="12036" max="12036"/>
    <col width="10.81640625" customWidth="1" style="34" min="12285" max="12285"/>
    <col width="18.1796875" customWidth="1" style="34" min="12286" max="12286"/>
    <col width="15" customWidth="1" style="34" min="12287" max="12287"/>
    <col width="13" customWidth="1" style="34" min="12288" max="12291"/>
    <col width="17.6328125" customWidth="1" style="34" min="12292" max="12292"/>
    <col width="10.81640625" customWidth="1" style="34" min="12541" max="12541"/>
    <col width="18.1796875" customWidth="1" style="34" min="12542" max="12542"/>
    <col width="15" customWidth="1" style="34" min="12543" max="12543"/>
    <col width="13" customWidth="1" style="34" min="12544" max="12547"/>
    <col width="17.6328125" customWidth="1" style="34" min="12548" max="12548"/>
    <col width="10.81640625" customWidth="1" style="34" min="12797" max="12797"/>
    <col width="18.1796875" customWidth="1" style="34" min="12798" max="12798"/>
    <col width="15" customWidth="1" style="34" min="12799" max="12799"/>
    <col width="13" customWidth="1" style="34" min="12800" max="12803"/>
    <col width="17.6328125" customWidth="1" style="34" min="12804" max="12804"/>
    <col width="10.81640625" customWidth="1" style="34" min="13053" max="13053"/>
    <col width="18.1796875" customWidth="1" style="34" min="13054" max="13054"/>
    <col width="15" customWidth="1" style="34" min="13055" max="13055"/>
    <col width="13" customWidth="1" style="34" min="13056" max="13059"/>
    <col width="17.6328125" customWidth="1" style="34" min="13060" max="13060"/>
    <col width="10.81640625" customWidth="1" style="34" min="13309" max="13309"/>
    <col width="18.1796875" customWidth="1" style="34" min="13310" max="13310"/>
    <col width="15" customWidth="1" style="34" min="13311" max="13311"/>
    <col width="13" customWidth="1" style="34" min="13312" max="13315"/>
    <col width="17.6328125" customWidth="1" style="34" min="13316" max="13316"/>
    <col width="10.81640625" customWidth="1" style="34" min="13565" max="13565"/>
    <col width="18.1796875" customWidth="1" style="34" min="13566" max="13566"/>
    <col width="15" customWidth="1" style="34" min="13567" max="13567"/>
    <col width="13" customWidth="1" style="34" min="13568" max="13571"/>
    <col width="17.6328125" customWidth="1" style="34" min="13572" max="13572"/>
    <col width="10.81640625" customWidth="1" style="34" min="13821" max="13821"/>
    <col width="18.1796875" customWidth="1" style="34" min="13822" max="13822"/>
    <col width="15" customWidth="1" style="34" min="13823" max="13823"/>
    <col width="13" customWidth="1" style="34" min="13824" max="13827"/>
    <col width="17.6328125" customWidth="1" style="34" min="13828" max="13828"/>
    <col width="10.81640625" customWidth="1" style="34" min="14077" max="14077"/>
    <col width="18.1796875" customWidth="1" style="34" min="14078" max="14078"/>
    <col width="15" customWidth="1" style="34" min="14079" max="14079"/>
    <col width="13" customWidth="1" style="34" min="14080" max="14083"/>
    <col width="17.6328125" customWidth="1" style="34" min="14084" max="14084"/>
    <col width="10.81640625" customWidth="1" style="34" min="14333" max="14333"/>
    <col width="18.1796875" customWidth="1" style="34" min="14334" max="14334"/>
    <col width="15" customWidth="1" style="34" min="14335" max="14335"/>
    <col width="13" customWidth="1" style="34" min="14336" max="14339"/>
    <col width="17.6328125" customWidth="1" style="34" min="14340" max="14340"/>
    <col width="10.81640625" customWidth="1" style="34" min="14589" max="14589"/>
    <col width="18.1796875" customWidth="1" style="34" min="14590" max="14590"/>
    <col width="15" customWidth="1" style="34" min="14591" max="14591"/>
    <col width="13" customWidth="1" style="34" min="14592" max="14595"/>
    <col width="17.6328125" customWidth="1" style="34" min="14596" max="14596"/>
    <col width="10.81640625" customWidth="1" style="34" min="14845" max="14845"/>
    <col width="18.1796875" customWidth="1" style="34" min="14846" max="14846"/>
    <col width="15" customWidth="1" style="34" min="14847" max="14847"/>
    <col width="13" customWidth="1" style="34" min="14848" max="14851"/>
    <col width="17.6328125" customWidth="1" style="34" min="14852" max="14852"/>
    <col width="10.81640625" customWidth="1" style="34" min="15101" max="15101"/>
    <col width="18.1796875" customWidth="1" style="34" min="15102" max="15102"/>
    <col width="15" customWidth="1" style="34" min="15103" max="15103"/>
    <col width="13" customWidth="1" style="34" min="15104" max="15107"/>
    <col width="17.6328125" customWidth="1" style="34" min="15108" max="15108"/>
    <col width="10.81640625" customWidth="1" style="34" min="15357" max="15357"/>
    <col width="18.1796875" customWidth="1" style="34" min="15358" max="15358"/>
    <col width="15" customWidth="1" style="34" min="15359" max="15359"/>
    <col width="13" customWidth="1" style="34" min="15360" max="15363"/>
    <col width="17.6328125" customWidth="1" style="34" min="15364" max="15364"/>
    <col width="10.81640625" customWidth="1" style="34" min="15613" max="15613"/>
    <col width="18.1796875" customWidth="1" style="34" min="15614" max="15614"/>
    <col width="15" customWidth="1" style="34" min="15615" max="15615"/>
    <col width="13" customWidth="1" style="34" min="15616" max="15619"/>
    <col width="17.6328125" customWidth="1" style="34" min="15620" max="15620"/>
    <col width="10.81640625" customWidth="1" style="34" min="15869" max="15869"/>
    <col width="18.1796875" customWidth="1" style="34" min="15870" max="15870"/>
    <col width="15" customWidth="1" style="34" min="15871" max="15871"/>
    <col width="13" customWidth="1" style="34" min="15872" max="15875"/>
    <col width="17.6328125" customWidth="1" style="34" min="15876" max="15876"/>
    <col width="10.81640625" customWidth="1" style="34" min="16125" max="16125"/>
    <col width="18.1796875" customWidth="1" style="34" min="16126" max="16126"/>
    <col width="15" customWidth="1" style="34" min="16127" max="16127"/>
    <col width="13" customWidth="1" style="34" min="16128" max="16131"/>
    <col width="17.63281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0" t="n">
        <v>44835</v>
      </c>
      <c r="B770" s="58">
        <f>VLOOKUP(Table534567910[[#This Row],[Date]],Database!A:E,MATCH($A$1,Database!$A$1:$E$1,),)</f>
        <v/>
      </c>
      <c r="C770" s="9">
        <f>(B770-B769)/B769</f>
        <v/>
      </c>
      <c r="D770" s="7">
        <f>(Table534567910[[#This Row],[Value]]-B758)/B758</f>
        <v/>
      </c>
      <c r="E770" s="16" t="n">
        <v>0.02</v>
      </c>
      <c r="F770" s="15">
        <f>VLOOKUP(Table534567910[[#This Row],[Date]],Database!A:E,4)</f>
        <v/>
      </c>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row r="1095">
      <c r="A1095" s="6" t="n"/>
      <c r="B1095" s="53" t="n"/>
      <c r="C1095" s="4" t="n"/>
      <c r="D1095" s="5" t="n"/>
      <c r="E1095" s="12" t="n"/>
      <c r="F1095" s="12" t="n"/>
    </row>
  </sheetData>
  <conditionalFormatting sqref="D692:D770">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topLeftCell="C1" zoomScale="90" zoomScaleNormal="90" workbookViewId="0">
      <pane ySplit="4" topLeftCell="A741" activePane="bottomLeft" state="frozen"/>
      <selection activeCell="H29" sqref="H29"/>
      <selection pane="bottomLeft" activeCell="S751" sqref="S751"/>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60"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2022-12-03T12:03:19Z</dcterms:modified>
  <cp:lastModifiedBy>Mark Mukherjee</cp:lastModifiedBy>
</cp:coreProperties>
</file>