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FCEB4EA5-5EC9-FF41-B87C-E8977065D017}" xr6:coauthVersionLast="47" xr6:coauthVersionMax="47" xr10:uidLastSave="{00000000-0000-0000-0000-000000000000}"/>
  <bookViews>
    <workbookView xWindow="-61360" yWindow="860" windowWidth="48320" windowHeight="2676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68" i="4" l="1"/>
  <c r="F768" i="4"/>
  <c r="C767" i="5"/>
  <c r="C766" i="5"/>
  <c r="F765" i="5"/>
  <c r="C765" i="5"/>
  <c r="C764" i="5"/>
  <c r="C763" i="5"/>
  <c r="C762" i="5"/>
  <c r="F761" i="5"/>
  <c r="C761" i="5"/>
  <c r="C760" i="5"/>
  <c r="C759" i="5"/>
  <c r="C758" i="5"/>
  <c r="F757" i="5"/>
  <c r="C757" i="5"/>
  <c r="C756" i="5"/>
  <c r="C755" i="5"/>
  <c r="F767" i="5" s="1"/>
  <c r="C754" i="5"/>
  <c r="F766" i="5" s="1"/>
  <c r="F753" i="5"/>
  <c r="C753" i="5"/>
  <c r="C752" i="5"/>
  <c r="F764" i="5" s="1"/>
  <c r="C751" i="5"/>
  <c r="F763" i="5" s="1"/>
  <c r="C750" i="5"/>
  <c r="F762" i="5" s="1"/>
  <c r="F749" i="5"/>
  <c r="C749" i="5"/>
  <c r="F748" i="5"/>
  <c r="C748" i="5"/>
  <c r="F760" i="5" s="1"/>
  <c r="C747" i="5"/>
  <c r="F759" i="5" s="1"/>
  <c r="C746" i="5"/>
  <c r="F758" i="5" s="1"/>
  <c r="F745" i="5"/>
  <c r="C745" i="5"/>
  <c r="E744" i="5"/>
  <c r="C744" i="5"/>
  <c r="C743" i="5"/>
  <c r="F755" i="5" s="1"/>
  <c r="C742" i="5"/>
  <c r="F754" i="5" s="1"/>
  <c r="F741" i="5"/>
  <c r="C741" i="5"/>
  <c r="C740" i="5"/>
  <c r="F752" i="5" s="1"/>
  <c r="C739" i="5"/>
  <c r="F751" i="5" s="1"/>
  <c r="C738" i="5"/>
  <c r="F750" i="5" s="1"/>
  <c r="F737" i="5"/>
  <c r="C737" i="5"/>
  <c r="C736" i="5"/>
  <c r="C735" i="5"/>
  <c r="F747" i="5" s="1"/>
  <c r="C734" i="5"/>
  <c r="F746" i="5" s="1"/>
  <c r="F733" i="5"/>
  <c r="C733" i="5"/>
  <c r="F732" i="5"/>
  <c r="C732" i="5"/>
  <c r="C731" i="5"/>
  <c r="F743" i="5" s="1"/>
  <c r="C730" i="5"/>
  <c r="F742" i="5" s="1"/>
  <c r="F729" i="5"/>
  <c r="C729" i="5"/>
  <c r="C728" i="5"/>
  <c r="C727" i="5"/>
  <c r="C726" i="5"/>
  <c r="F738" i="5" s="1"/>
  <c r="F725" i="5"/>
  <c r="C725" i="5"/>
  <c r="C724" i="5"/>
  <c r="F736" i="5" s="1"/>
  <c r="C723" i="5"/>
  <c r="F735" i="5" s="1"/>
  <c r="C722" i="5"/>
  <c r="F734" i="5" s="1"/>
  <c r="F721" i="5"/>
  <c r="C721" i="5"/>
  <c r="C720" i="5"/>
  <c r="C719" i="5"/>
  <c r="F731" i="5" s="1"/>
  <c r="C718" i="5"/>
  <c r="F730" i="5" s="1"/>
  <c r="F717" i="5"/>
  <c r="C717" i="5"/>
  <c r="F716" i="5"/>
  <c r="C716" i="5"/>
  <c r="C715" i="5"/>
  <c r="F727" i="5" s="1"/>
  <c r="C714" i="5"/>
  <c r="F726" i="5" s="1"/>
  <c r="F713" i="5"/>
  <c r="C713" i="5"/>
  <c r="F712" i="5"/>
  <c r="C712" i="5"/>
  <c r="C711" i="5"/>
  <c r="C710" i="5"/>
  <c r="F722" i="5" s="1"/>
  <c r="F709" i="5"/>
  <c r="C709" i="5"/>
  <c r="C708" i="5"/>
  <c r="F720" i="5" s="1"/>
  <c r="C707" i="5"/>
  <c r="C706" i="5"/>
  <c r="F718" i="5" s="1"/>
  <c r="F705" i="5"/>
  <c r="C705" i="5"/>
  <c r="C704" i="5"/>
  <c r="C703" i="5"/>
  <c r="F715" i="5" s="1"/>
  <c r="C702" i="5"/>
  <c r="F714" i="5" s="1"/>
  <c r="F701" i="5"/>
  <c r="C701" i="5"/>
  <c r="C700" i="5"/>
  <c r="C699" i="5"/>
  <c r="F711" i="5" s="1"/>
  <c r="C698" i="5"/>
  <c r="F710" i="5" s="1"/>
  <c r="C697" i="5"/>
  <c r="F696" i="5"/>
  <c r="C696" i="5"/>
  <c r="F708" i="5" s="1"/>
  <c r="C695" i="5"/>
  <c r="F707" i="5" s="1"/>
  <c r="F694" i="5"/>
  <c r="C694" i="5"/>
  <c r="F706" i="5" s="1"/>
  <c r="C693" i="5"/>
  <c r="C692" i="5"/>
  <c r="F704" i="5" s="1"/>
  <c r="C691" i="5"/>
  <c r="C690" i="5"/>
  <c r="F702" i="5" s="1"/>
  <c r="C689" i="5"/>
  <c r="C688" i="5"/>
  <c r="F700" i="5" s="1"/>
  <c r="C687" i="5"/>
  <c r="F699" i="5" s="1"/>
  <c r="F686" i="5"/>
  <c r="C686" i="5"/>
  <c r="F685" i="5"/>
  <c r="C685" i="5"/>
  <c r="F697" i="5" s="1"/>
  <c r="C684" i="5"/>
  <c r="C683" i="5"/>
  <c r="F682" i="5"/>
  <c r="C682" i="5"/>
  <c r="C681" i="5"/>
  <c r="F693" i="5" s="1"/>
  <c r="F680" i="5"/>
  <c r="C680" i="5"/>
  <c r="F692" i="5" s="1"/>
  <c r="E679" i="5"/>
  <c r="C679" i="5"/>
  <c r="F691" i="5" s="1"/>
  <c r="C678" i="5"/>
  <c r="F677" i="5"/>
  <c r="C677" i="5"/>
  <c r="F689" i="5" s="1"/>
  <c r="F676" i="5"/>
  <c r="C676" i="5"/>
  <c r="F688" i="5" s="1"/>
  <c r="C675" i="5"/>
  <c r="F674" i="5"/>
  <c r="C674" i="5"/>
  <c r="C673" i="5"/>
  <c r="C672" i="5"/>
  <c r="F684" i="5" s="1"/>
  <c r="C671" i="5"/>
  <c r="C670" i="5"/>
  <c r="C669" i="5"/>
  <c r="F681" i="5" s="1"/>
  <c r="F668" i="5"/>
  <c r="C668" i="5"/>
  <c r="C667" i="5"/>
  <c r="F679" i="5" s="1"/>
  <c r="C666" i="5"/>
  <c r="F678" i="5" s="1"/>
  <c r="F665" i="5"/>
  <c r="C665" i="5"/>
  <c r="E664" i="5"/>
  <c r="C664" i="5"/>
  <c r="C663" i="5"/>
  <c r="C662" i="5"/>
  <c r="E661" i="5"/>
  <c r="C661" i="5"/>
  <c r="F661" i="5" s="1"/>
  <c r="C660" i="5"/>
  <c r="C659" i="5"/>
  <c r="F671" i="5" s="1"/>
  <c r="C658" i="5"/>
  <c r="F670" i="5" s="1"/>
  <c r="C657" i="5"/>
  <c r="F669" i="5" s="1"/>
  <c r="F656" i="5"/>
  <c r="C656" i="5"/>
  <c r="C655" i="5"/>
  <c r="C654" i="5"/>
  <c r="F666" i="5" s="1"/>
  <c r="F653" i="5"/>
  <c r="C653" i="5"/>
  <c r="F652" i="5"/>
  <c r="E652" i="5"/>
  <c r="C652" i="5"/>
  <c r="C651" i="5"/>
  <c r="F663" i="5" s="1"/>
  <c r="C650" i="5"/>
  <c r="F662" i="5" s="1"/>
  <c r="C649" i="5"/>
  <c r="F648" i="5"/>
  <c r="E648" i="5"/>
  <c r="C648" i="5"/>
  <c r="F660" i="5" s="1"/>
  <c r="C647" i="5"/>
  <c r="F659" i="5" s="1"/>
  <c r="C646" i="5"/>
  <c r="F658" i="5" s="1"/>
  <c r="C645" i="5"/>
  <c r="F644" i="5"/>
  <c r="C644" i="5"/>
  <c r="C643" i="5"/>
  <c r="F655" i="5" s="1"/>
  <c r="F642" i="5"/>
  <c r="C642" i="5"/>
  <c r="F654" i="5" s="1"/>
  <c r="C641" i="5"/>
  <c r="C640" i="5"/>
  <c r="E639" i="5"/>
  <c r="C639" i="5"/>
  <c r="F651" i="5" s="1"/>
  <c r="C638" i="5"/>
  <c r="C637" i="5"/>
  <c r="F649" i="5" s="1"/>
  <c r="C636" i="5"/>
  <c r="C635" i="5"/>
  <c r="F647" i="5" s="1"/>
  <c r="C634" i="5"/>
  <c r="F646" i="5" s="1"/>
  <c r="E633" i="5"/>
  <c r="C633" i="5"/>
  <c r="F645" i="5" s="1"/>
  <c r="C632" i="5"/>
  <c r="C631" i="5"/>
  <c r="C630" i="5"/>
  <c r="C629" i="5"/>
  <c r="F641" i="5" s="1"/>
  <c r="C628" i="5"/>
  <c r="C627" i="5"/>
  <c r="C626" i="5"/>
  <c r="F638" i="5" s="1"/>
  <c r="C625" i="5"/>
  <c r="C624" i="5"/>
  <c r="C623" i="5"/>
  <c r="C622" i="5"/>
  <c r="C621" i="5"/>
  <c r="C620" i="5"/>
  <c r="E619" i="5"/>
  <c r="C619" i="5"/>
  <c r="C618" i="5"/>
  <c r="C617" i="5"/>
  <c r="C616" i="5"/>
  <c r="C615" i="5"/>
  <c r="C614" i="5"/>
  <c r="C613" i="5"/>
  <c r="C612" i="5"/>
  <c r="C611" i="5"/>
  <c r="E610" i="5"/>
  <c r="C610" i="5"/>
  <c r="C609" i="5"/>
  <c r="E608" i="5"/>
  <c r="C608" i="5"/>
  <c r="E607" i="5"/>
  <c r="C607" i="5"/>
  <c r="C606" i="5"/>
  <c r="E605" i="5"/>
  <c r="C605" i="5"/>
  <c r="C604" i="5"/>
  <c r="C603" i="5"/>
  <c r="C602" i="5"/>
  <c r="E601" i="5"/>
  <c r="C601" i="5"/>
  <c r="C600" i="5"/>
  <c r="C599" i="5"/>
  <c r="C598" i="5"/>
  <c r="C597" i="5"/>
  <c r="E596" i="5"/>
  <c r="C596" i="5"/>
  <c r="C595" i="5"/>
  <c r="C594" i="5"/>
  <c r="C593" i="5"/>
  <c r="C592" i="5"/>
  <c r="C591" i="5"/>
  <c r="C590" i="5"/>
  <c r="C589" i="5"/>
  <c r="C588" i="5"/>
  <c r="E587" i="5"/>
  <c r="C587" i="5"/>
  <c r="C586" i="5"/>
  <c r="C585" i="5"/>
  <c r="C584" i="5"/>
  <c r="C583" i="5"/>
  <c r="C582" i="5"/>
  <c r="C581" i="5"/>
  <c r="C580" i="5"/>
  <c r="C579" i="5"/>
  <c r="E578" i="5"/>
  <c r="C578" i="5"/>
  <c r="C577" i="5"/>
  <c r="E576" i="5"/>
  <c r="C576" i="5"/>
  <c r="E575" i="5"/>
  <c r="C575" i="5"/>
  <c r="C574" i="5"/>
  <c r="C573" i="5"/>
  <c r="E573" i="5" s="1"/>
  <c r="C572" i="5"/>
  <c r="C571" i="5"/>
  <c r="C570" i="5"/>
  <c r="E569" i="5"/>
  <c r="C569" i="5"/>
  <c r="C568" i="5"/>
  <c r="C567" i="5"/>
  <c r="C566" i="5"/>
  <c r="C565" i="5"/>
  <c r="C564" i="5"/>
  <c r="E564" i="5" s="1"/>
  <c r="C563" i="5"/>
  <c r="C562" i="5"/>
  <c r="E561" i="5"/>
  <c r="C561" i="5"/>
  <c r="C560" i="5"/>
  <c r="E559" i="5"/>
  <c r="C559" i="5"/>
  <c r="C558" i="5"/>
  <c r="C557" i="5"/>
  <c r="C556" i="5"/>
  <c r="E556" i="5" s="1"/>
  <c r="C555" i="5"/>
  <c r="C554" i="5"/>
  <c r="E553" i="5"/>
  <c r="C553" i="5"/>
  <c r="C552" i="5"/>
  <c r="E551" i="5"/>
  <c r="C551" i="5"/>
  <c r="C550" i="5"/>
  <c r="C549" i="5"/>
  <c r="C548" i="5"/>
  <c r="E548" i="5" s="1"/>
  <c r="C547" i="5"/>
  <c r="C546" i="5"/>
  <c r="E545" i="5"/>
  <c r="C545" i="5"/>
  <c r="C544" i="5"/>
  <c r="E543" i="5"/>
  <c r="C543" i="5"/>
  <c r="C542" i="5"/>
  <c r="C541" i="5"/>
  <c r="C540" i="5"/>
  <c r="E540" i="5" s="1"/>
  <c r="C539" i="5"/>
  <c r="C538" i="5"/>
  <c r="E537" i="5"/>
  <c r="C537" i="5"/>
  <c r="C536" i="5"/>
  <c r="E535" i="5"/>
  <c r="C535" i="5"/>
  <c r="C534" i="5"/>
  <c r="C533" i="5"/>
  <c r="C532" i="5"/>
  <c r="E532" i="5" s="1"/>
  <c r="C531" i="5"/>
  <c r="C530" i="5"/>
  <c r="E529" i="5"/>
  <c r="C529" i="5"/>
  <c r="C528" i="5"/>
  <c r="E527" i="5"/>
  <c r="C527" i="5"/>
  <c r="C526" i="5"/>
  <c r="C525" i="5"/>
  <c r="C524" i="5"/>
  <c r="E524" i="5" s="1"/>
  <c r="C523" i="5"/>
  <c r="C522" i="5"/>
  <c r="E521" i="5"/>
  <c r="C521" i="5"/>
  <c r="C520" i="5"/>
  <c r="E519" i="5"/>
  <c r="C519" i="5"/>
  <c r="C518" i="5"/>
  <c r="C517" i="5"/>
  <c r="C516" i="5"/>
  <c r="E516" i="5" s="1"/>
  <c r="C515" i="5"/>
  <c r="C514" i="5"/>
  <c r="E513" i="5"/>
  <c r="C513" i="5"/>
  <c r="C512" i="5"/>
  <c r="C511" i="5"/>
  <c r="E511" i="5" s="1"/>
  <c r="C510" i="5"/>
  <c r="E509" i="5"/>
  <c r="C509" i="5"/>
  <c r="C508" i="5"/>
  <c r="C507" i="5"/>
  <c r="C506" i="5"/>
  <c r="C505" i="5"/>
  <c r="E505" i="5" s="1"/>
  <c r="C504" i="5"/>
  <c r="E503" i="5"/>
  <c r="C503" i="5"/>
  <c r="C502" i="5"/>
  <c r="E501" i="5"/>
  <c r="C501" i="5"/>
  <c r="C500" i="5"/>
  <c r="C499" i="5"/>
  <c r="C498" i="5"/>
  <c r="E497" i="5"/>
  <c r="C497" i="5"/>
  <c r="C496" i="5"/>
  <c r="E662" i="5" s="1"/>
  <c r="C495" i="5"/>
  <c r="E495" i="5" s="1"/>
  <c r="C494" i="5"/>
  <c r="E493" i="5"/>
  <c r="C493" i="5"/>
  <c r="C492" i="5"/>
  <c r="C491" i="5"/>
  <c r="C490" i="5"/>
  <c r="C489" i="5"/>
  <c r="E489" i="5" s="1"/>
  <c r="C488" i="5"/>
  <c r="E487" i="5"/>
  <c r="C487" i="5"/>
  <c r="C486" i="5"/>
  <c r="E486" i="5" s="1"/>
  <c r="E485" i="5"/>
  <c r="C485" i="5"/>
  <c r="C484" i="5"/>
  <c r="C483" i="5"/>
  <c r="C482" i="5"/>
  <c r="E481" i="5"/>
  <c r="C481" i="5"/>
  <c r="C480" i="5"/>
  <c r="E479" i="5"/>
  <c r="C479" i="5"/>
  <c r="E478" i="5"/>
  <c r="C478" i="5"/>
  <c r="E477" i="5"/>
  <c r="C477" i="5"/>
  <c r="C476" i="5"/>
  <c r="C475" i="5"/>
  <c r="C474" i="5"/>
  <c r="C473" i="5"/>
  <c r="E473" i="5" s="1"/>
  <c r="C472" i="5"/>
  <c r="C471" i="5"/>
  <c r="E471" i="5" s="1"/>
  <c r="E470" i="5"/>
  <c r="C470" i="5"/>
  <c r="E469" i="5"/>
  <c r="C469" i="5"/>
  <c r="C468" i="5"/>
  <c r="C467" i="5"/>
  <c r="C466" i="5"/>
  <c r="C465" i="5"/>
  <c r="E465" i="5" s="1"/>
  <c r="C464" i="5"/>
  <c r="E463" i="5"/>
  <c r="C463" i="5"/>
  <c r="E462" i="5"/>
  <c r="C462" i="5"/>
  <c r="E461" i="5"/>
  <c r="C461" i="5"/>
  <c r="C460" i="5"/>
  <c r="C459" i="5"/>
  <c r="E459" i="5" s="1"/>
  <c r="E458" i="5"/>
  <c r="C458" i="5"/>
  <c r="E457" i="5"/>
  <c r="C457" i="5"/>
  <c r="C456" i="5"/>
  <c r="E455" i="5"/>
  <c r="C455" i="5"/>
  <c r="E454" i="5"/>
  <c r="C454" i="5"/>
  <c r="C453" i="5"/>
  <c r="E452" i="5"/>
  <c r="C452" i="5"/>
  <c r="C451" i="5"/>
  <c r="E450" i="5"/>
  <c r="C450" i="5"/>
  <c r="C449" i="5"/>
  <c r="E449" i="5" s="1"/>
  <c r="C448" i="5"/>
  <c r="C447" i="5"/>
  <c r="E447" i="5" s="1"/>
  <c r="E446" i="5"/>
  <c r="C446" i="5"/>
  <c r="C445" i="5"/>
  <c r="E445" i="5" s="1"/>
  <c r="C444" i="5"/>
  <c r="E443" i="5"/>
  <c r="C443" i="5"/>
  <c r="E442" i="5"/>
  <c r="C442" i="5"/>
  <c r="E441" i="5"/>
  <c r="C441" i="5"/>
  <c r="C440" i="5"/>
  <c r="E439" i="5"/>
  <c r="C439" i="5"/>
  <c r="E438" i="5"/>
  <c r="C438" i="5"/>
  <c r="C437" i="5"/>
  <c r="C436" i="5"/>
  <c r="E436" i="5" s="1"/>
  <c r="C435" i="5"/>
  <c r="E434" i="5"/>
  <c r="C434" i="5"/>
  <c r="C433" i="5"/>
  <c r="E433" i="5" s="1"/>
  <c r="C432" i="5"/>
  <c r="C431" i="5"/>
  <c r="E431" i="5" s="1"/>
  <c r="C430" i="5"/>
  <c r="E430" i="5" s="1"/>
  <c r="E429" i="5"/>
  <c r="C429" i="5"/>
  <c r="C428" i="5"/>
  <c r="E427" i="5"/>
  <c r="C427" i="5"/>
  <c r="E426" i="5"/>
  <c r="C426" i="5"/>
  <c r="E425" i="5"/>
  <c r="C425" i="5"/>
  <c r="C424" i="5"/>
  <c r="C423" i="5"/>
  <c r="E423" i="5" s="1"/>
  <c r="C422" i="5"/>
  <c r="E422" i="5" s="1"/>
  <c r="C421" i="5"/>
  <c r="C420" i="5"/>
  <c r="E420" i="5" s="1"/>
  <c r="C419" i="5"/>
  <c r="E418" i="5"/>
  <c r="C418" i="5"/>
  <c r="C417" i="5"/>
  <c r="E417" i="5" s="1"/>
  <c r="C416" i="5"/>
  <c r="E415" i="5"/>
  <c r="C415" i="5"/>
  <c r="C414" i="5"/>
  <c r="E414" i="5" s="1"/>
  <c r="C413" i="5"/>
  <c r="E413" i="5" s="1"/>
  <c r="C412" i="5"/>
  <c r="C411" i="5"/>
  <c r="E411" i="5" s="1"/>
  <c r="E410" i="5"/>
  <c r="C410" i="5"/>
  <c r="E409" i="5"/>
  <c r="C409" i="5"/>
  <c r="C408" i="5"/>
  <c r="C407" i="5"/>
  <c r="E407" i="5" s="1"/>
  <c r="C406" i="5"/>
  <c r="E406" i="5" s="1"/>
  <c r="C405" i="5"/>
  <c r="E404" i="5"/>
  <c r="C404" i="5"/>
  <c r="C403" i="5"/>
  <c r="E402" i="5"/>
  <c r="C402" i="5"/>
  <c r="C401" i="5"/>
  <c r="E401" i="5" s="1"/>
  <c r="C400" i="5"/>
  <c r="E399" i="5"/>
  <c r="C399" i="5"/>
  <c r="C398" i="5"/>
  <c r="E398" i="5" s="1"/>
  <c r="C397" i="5"/>
  <c r="E397" i="5" s="1"/>
  <c r="C396" i="5"/>
  <c r="E395" i="5"/>
  <c r="C395" i="5"/>
  <c r="E394" i="5"/>
  <c r="C394" i="5"/>
  <c r="E393" i="5"/>
  <c r="C393" i="5"/>
  <c r="C392" i="5"/>
  <c r="C391" i="5"/>
  <c r="E391" i="5" s="1"/>
  <c r="E390" i="5"/>
  <c r="C390" i="5"/>
  <c r="C389" i="5"/>
  <c r="E388" i="5"/>
  <c r="C388" i="5"/>
  <c r="C387" i="5"/>
  <c r="E386" i="5"/>
  <c r="C386" i="5"/>
  <c r="C385" i="5"/>
  <c r="E385" i="5" s="1"/>
  <c r="C384" i="5"/>
  <c r="C383" i="5"/>
  <c r="E383" i="5" s="1"/>
  <c r="C382" i="5"/>
  <c r="E382" i="5" s="1"/>
  <c r="C381" i="5"/>
  <c r="E381" i="5" s="1"/>
  <c r="C380" i="5"/>
  <c r="C379" i="5"/>
  <c r="E379" i="5" s="1"/>
  <c r="E378" i="5"/>
  <c r="C378" i="5"/>
  <c r="E377" i="5"/>
  <c r="C377" i="5"/>
  <c r="C376" i="5"/>
  <c r="C375" i="5"/>
  <c r="E375" i="5" s="1"/>
  <c r="E374" i="5"/>
  <c r="C374" i="5"/>
  <c r="C373" i="5"/>
  <c r="E372" i="5"/>
  <c r="C372" i="5"/>
  <c r="C371" i="5"/>
  <c r="E370" i="5"/>
  <c r="C370" i="5"/>
  <c r="C369" i="5"/>
  <c r="E369" i="5" s="1"/>
  <c r="C368" i="5"/>
  <c r="C367" i="5"/>
  <c r="E367" i="5" s="1"/>
  <c r="E366" i="5"/>
  <c r="C366" i="5"/>
  <c r="C365" i="5"/>
  <c r="E365" i="5" s="1"/>
  <c r="C364" i="5"/>
  <c r="C363" i="5"/>
  <c r="E363" i="5" s="1"/>
  <c r="E362" i="5"/>
  <c r="C362" i="5"/>
  <c r="E361" i="5"/>
  <c r="C361" i="5"/>
  <c r="C360" i="5"/>
  <c r="C359" i="5"/>
  <c r="E359" i="5" s="1"/>
  <c r="E358" i="5"/>
  <c r="C358" i="5"/>
  <c r="C357" i="5"/>
  <c r="E356" i="5"/>
  <c r="C356" i="5"/>
  <c r="C355" i="5"/>
  <c r="E354" i="5"/>
  <c r="C354" i="5"/>
  <c r="C353" i="5"/>
  <c r="E353" i="5" s="1"/>
  <c r="E352" i="5"/>
  <c r="C352" i="5"/>
  <c r="C351" i="5"/>
  <c r="E351" i="5" s="1"/>
  <c r="E350" i="5"/>
  <c r="C350" i="5"/>
  <c r="E349" i="5"/>
  <c r="C349" i="5"/>
  <c r="C348" i="5"/>
  <c r="E348" i="5" s="1"/>
  <c r="C347" i="5"/>
  <c r="C346" i="5"/>
  <c r="E346" i="5" s="1"/>
  <c r="E345" i="5"/>
  <c r="C345" i="5"/>
  <c r="C344" i="5"/>
  <c r="E344" i="5" s="1"/>
  <c r="E343" i="5"/>
  <c r="C343" i="5"/>
  <c r="C342" i="5"/>
  <c r="E342" i="5" s="1"/>
  <c r="E341" i="5"/>
  <c r="C341" i="5"/>
  <c r="C340" i="5"/>
  <c r="E340" i="5" s="1"/>
  <c r="C339" i="5"/>
  <c r="E339" i="5" s="1"/>
  <c r="E338" i="5"/>
  <c r="C338" i="5"/>
  <c r="C337" i="5"/>
  <c r="E337" i="5" s="1"/>
  <c r="E336" i="5"/>
  <c r="C336" i="5"/>
  <c r="C335" i="5"/>
  <c r="E335" i="5" s="1"/>
  <c r="E334" i="5"/>
  <c r="C334" i="5"/>
  <c r="E333" i="5"/>
  <c r="C333" i="5"/>
  <c r="C332" i="5"/>
  <c r="E332" i="5" s="1"/>
  <c r="C331" i="5"/>
  <c r="E331" i="5" s="1"/>
  <c r="C330" i="5"/>
  <c r="E330" i="5" s="1"/>
  <c r="E329" i="5"/>
  <c r="C329" i="5"/>
  <c r="C328" i="5"/>
  <c r="E328" i="5" s="1"/>
  <c r="E327" i="5"/>
  <c r="C327" i="5"/>
  <c r="C326" i="5"/>
  <c r="E326" i="5" s="1"/>
  <c r="E325" i="5"/>
  <c r="C325" i="5"/>
  <c r="E324" i="5"/>
  <c r="C324" i="5"/>
  <c r="C323" i="5"/>
  <c r="E323" i="5" s="1"/>
  <c r="E322" i="5"/>
  <c r="C322" i="5"/>
  <c r="C321" i="5"/>
  <c r="E321" i="5" s="1"/>
  <c r="E320" i="5"/>
  <c r="C320" i="5"/>
  <c r="C319" i="5"/>
  <c r="E319" i="5" s="1"/>
  <c r="E318" i="5"/>
  <c r="C318" i="5"/>
  <c r="E317" i="5"/>
  <c r="C317" i="5"/>
  <c r="C316" i="5"/>
  <c r="E316" i="5" s="1"/>
  <c r="C315" i="5"/>
  <c r="E315" i="5" s="1"/>
  <c r="C314" i="5"/>
  <c r="E314" i="5" s="1"/>
  <c r="E313" i="5"/>
  <c r="C313" i="5"/>
  <c r="C312" i="5"/>
  <c r="E312" i="5" s="1"/>
  <c r="E311" i="5"/>
  <c r="C311" i="5"/>
  <c r="C310" i="5"/>
  <c r="E310" i="5" s="1"/>
  <c r="E309" i="5"/>
  <c r="C309" i="5"/>
  <c r="E308" i="5"/>
  <c r="C308" i="5"/>
  <c r="C307" i="5"/>
  <c r="E307" i="5" s="1"/>
  <c r="E306" i="5"/>
  <c r="C306" i="5"/>
  <c r="C305" i="5"/>
  <c r="E305" i="5" s="1"/>
  <c r="E304" i="5"/>
  <c r="C304" i="5"/>
  <c r="C303" i="5"/>
  <c r="E303" i="5" s="1"/>
  <c r="E302" i="5"/>
  <c r="C302" i="5"/>
  <c r="E301" i="5"/>
  <c r="C301" i="5"/>
  <c r="C300" i="5"/>
  <c r="E300" i="5" s="1"/>
  <c r="C299" i="5"/>
  <c r="E299" i="5" s="1"/>
  <c r="C298" i="5"/>
  <c r="E298" i="5" s="1"/>
  <c r="E297" i="5"/>
  <c r="C297" i="5"/>
  <c r="C296" i="5"/>
  <c r="E296" i="5" s="1"/>
  <c r="E295" i="5"/>
  <c r="C295" i="5"/>
  <c r="C294" i="5"/>
  <c r="E294" i="5" s="1"/>
  <c r="E293" i="5"/>
  <c r="C293" i="5"/>
  <c r="C292" i="5"/>
  <c r="E292" i="5" s="1"/>
  <c r="C291" i="5"/>
  <c r="E291" i="5" s="1"/>
  <c r="E290" i="5"/>
  <c r="C290" i="5"/>
  <c r="C289" i="5"/>
  <c r="E289" i="5" s="1"/>
  <c r="E288" i="5"/>
  <c r="C288" i="5"/>
  <c r="C287" i="5"/>
  <c r="E287" i="5" s="1"/>
  <c r="E286" i="5"/>
  <c r="C286" i="5"/>
  <c r="E285" i="5"/>
  <c r="C285" i="5"/>
  <c r="C284" i="5"/>
  <c r="E284" i="5" s="1"/>
  <c r="C283" i="5"/>
  <c r="E283" i="5" s="1"/>
  <c r="C282" i="5"/>
  <c r="E282" i="5" s="1"/>
  <c r="E281" i="5"/>
  <c r="C281" i="5"/>
  <c r="C280" i="5"/>
  <c r="E280" i="5" s="1"/>
  <c r="E279" i="5"/>
  <c r="C279" i="5"/>
  <c r="C278" i="5"/>
  <c r="E278" i="5" s="1"/>
  <c r="E277" i="5"/>
  <c r="C277" i="5"/>
  <c r="E276" i="5"/>
  <c r="C276" i="5"/>
  <c r="C275" i="5"/>
  <c r="E275" i="5" s="1"/>
  <c r="E274" i="5"/>
  <c r="C274" i="5"/>
  <c r="C273" i="5"/>
  <c r="E273" i="5" s="1"/>
  <c r="E272" i="5"/>
  <c r="C272" i="5"/>
  <c r="C271" i="5"/>
  <c r="E271" i="5" s="1"/>
  <c r="E270" i="5"/>
  <c r="C270" i="5"/>
  <c r="E269" i="5"/>
  <c r="C269" i="5"/>
  <c r="C268" i="5"/>
  <c r="E268" i="5" s="1"/>
  <c r="C267" i="5"/>
  <c r="E267" i="5" s="1"/>
  <c r="C266" i="5"/>
  <c r="E266" i="5" s="1"/>
  <c r="E265" i="5"/>
  <c r="C265" i="5"/>
  <c r="C264" i="5"/>
  <c r="E264" i="5" s="1"/>
  <c r="E263" i="5"/>
  <c r="C263" i="5"/>
  <c r="C262" i="5"/>
  <c r="E262" i="5" s="1"/>
  <c r="E261" i="5"/>
  <c r="C261" i="5"/>
  <c r="C260" i="5"/>
  <c r="E260" i="5" s="1"/>
  <c r="C259" i="5"/>
  <c r="E259" i="5" s="1"/>
  <c r="E258" i="5"/>
  <c r="C258" i="5"/>
  <c r="C257" i="5"/>
  <c r="E257" i="5" s="1"/>
  <c r="E256" i="5"/>
  <c r="C256" i="5"/>
  <c r="C255" i="5"/>
  <c r="E255" i="5" s="1"/>
  <c r="E254" i="5"/>
  <c r="C254" i="5"/>
  <c r="E253" i="5"/>
  <c r="C253" i="5"/>
  <c r="C252" i="5"/>
  <c r="E252" i="5" s="1"/>
  <c r="C251" i="5"/>
  <c r="E251" i="5" s="1"/>
  <c r="C250" i="5"/>
  <c r="E250" i="5" s="1"/>
  <c r="E249" i="5"/>
  <c r="C249" i="5"/>
  <c r="C248" i="5"/>
  <c r="E248" i="5" s="1"/>
  <c r="E247" i="5"/>
  <c r="C247" i="5"/>
  <c r="C246" i="5"/>
  <c r="E246" i="5" s="1"/>
  <c r="C245" i="5"/>
  <c r="E245" i="5" s="1"/>
  <c r="E244" i="5"/>
  <c r="C244" i="5"/>
  <c r="E243" i="5"/>
  <c r="C243" i="5"/>
  <c r="C242" i="5"/>
  <c r="E242" i="5" s="1"/>
  <c r="E241" i="5"/>
  <c r="C241" i="5"/>
  <c r="C240" i="5"/>
  <c r="E240" i="5" s="1"/>
  <c r="E239" i="5"/>
  <c r="C239" i="5"/>
  <c r="C238" i="5"/>
  <c r="E238" i="5" s="1"/>
  <c r="C237" i="5"/>
  <c r="E237" i="5" s="1"/>
  <c r="E236" i="5"/>
  <c r="C236" i="5"/>
  <c r="C235" i="5"/>
  <c r="E235" i="5" s="1"/>
  <c r="C234" i="5"/>
  <c r="E234" i="5" s="1"/>
  <c r="E233" i="5"/>
  <c r="C233" i="5"/>
  <c r="C232" i="5"/>
  <c r="E232" i="5" s="1"/>
  <c r="E231" i="5"/>
  <c r="C231" i="5"/>
  <c r="E230" i="5"/>
  <c r="C230" i="5"/>
  <c r="C229" i="5"/>
  <c r="E229" i="5" s="1"/>
  <c r="E228" i="5"/>
  <c r="C228" i="5"/>
  <c r="E227" i="5"/>
  <c r="C227" i="5"/>
  <c r="C226" i="5"/>
  <c r="E226" i="5" s="1"/>
  <c r="C225" i="5"/>
  <c r="E225" i="5" s="1"/>
  <c r="C224" i="5"/>
  <c r="E224" i="5" s="1"/>
  <c r="E223" i="5"/>
  <c r="C223" i="5"/>
  <c r="E222" i="5"/>
  <c r="C222" i="5"/>
  <c r="C221" i="5"/>
  <c r="E221" i="5" s="1"/>
  <c r="E220" i="5"/>
  <c r="C220" i="5"/>
  <c r="C219" i="5"/>
  <c r="E219" i="5" s="1"/>
  <c r="C218" i="5"/>
  <c r="E218" i="5" s="1"/>
  <c r="C217" i="5"/>
  <c r="E217" i="5" s="1"/>
  <c r="C216" i="5"/>
  <c r="E216" i="5" s="1"/>
  <c r="E215" i="5"/>
  <c r="C215" i="5"/>
  <c r="C214" i="5"/>
  <c r="E214" i="5" s="1"/>
  <c r="C213" i="5"/>
  <c r="E213" i="5" s="1"/>
  <c r="E212" i="5"/>
  <c r="C212" i="5"/>
  <c r="E211" i="5"/>
  <c r="C211" i="5"/>
  <c r="C210" i="5"/>
  <c r="E210" i="5" s="1"/>
  <c r="E209" i="5"/>
  <c r="C209" i="5"/>
  <c r="C208" i="5"/>
  <c r="E208" i="5" s="1"/>
  <c r="E207" i="5"/>
  <c r="C207" i="5"/>
  <c r="C206" i="5"/>
  <c r="E206" i="5" s="1"/>
  <c r="C205" i="5"/>
  <c r="E205" i="5" s="1"/>
  <c r="E204" i="5"/>
  <c r="C204" i="5"/>
  <c r="E203" i="5"/>
  <c r="C203" i="5"/>
  <c r="C202" i="5"/>
  <c r="E202" i="5" s="1"/>
  <c r="E201" i="5"/>
  <c r="C201" i="5"/>
  <c r="C200" i="5"/>
  <c r="E200" i="5" s="1"/>
  <c r="E199" i="5"/>
  <c r="C199" i="5"/>
  <c r="C198" i="5"/>
  <c r="E198" i="5" s="1"/>
  <c r="C197" i="5"/>
  <c r="E197" i="5" s="1"/>
  <c r="E196" i="5"/>
  <c r="C196" i="5"/>
  <c r="E195" i="5"/>
  <c r="C195" i="5"/>
  <c r="C194" i="5"/>
  <c r="E194" i="5" s="1"/>
  <c r="E193" i="5"/>
  <c r="C193" i="5"/>
  <c r="C192" i="5"/>
  <c r="E192" i="5" s="1"/>
  <c r="E191" i="5"/>
  <c r="C191" i="5"/>
  <c r="C190" i="5"/>
  <c r="E190" i="5" s="1"/>
  <c r="C189" i="5"/>
  <c r="E189" i="5" s="1"/>
  <c r="E188" i="5"/>
  <c r="C188" i="5"/>
  <c r="E187" i="5"/>
  <c r="C187" i="5"/>
  <c r="C186" i="5"/>
  <c r="E186" i="5" s="1"/>
  <c r="E185" i="5"/>
  <c r="C185" i="5"/>
  <c r="C184" i="5"/>
  <c r="E184" i="5" s="1"/>
  <c r="E183" i="5"/>
  <c r="C183" i="5"/>
  <c r="C182" i="5"/>
  <c r="E182" i="5" s="1"/>
  <c r="C181" i="5"/>
  <c r="E181" i="5" s="1"/>
  <c r="E180" i="5"/>
  <c r="C180" i="5"/>
  <c r="E179" i="5"/>
  <c r="C179" i="5"/>
  <c r="C178" i="5"/>
  <c r="E178" i="5" s="1"/>
  <c r="E177" i="5"/>
  <c r="C177" i="5"/>
  <c r="C176" i="5"/>
  <c r="E176" i="5" s="1"/>
  <c r="E175" i="5"/>
  <c r="C175" i="5"/>
  <c r="E174" i="5"/>
  <c r="C174" i="5"/>
  <c r="C173" i="5"/>
  <c r="E173" i="5" s="1"/>
  <c r="C172" i="5"/>
  <c r="E172" i="5" s="1"/>
  <c r="C171" i="5"/>
  <c r="E171" i="5" s="1"/>
  <c r="E170" i="5"/>
  <c r="C170" i="5"/>
  <c r="C169" i="5"/>
  <c r="E169" i="5" s="1"/>
  <c r="E168" i="5"/>
  <c r="C168" i="5"/>
  <c r="E167" i="5"/>
  <c r="C167" i="5"/>
  <c r="E166" i="5"/>
  <c r="C166" i="5"/>
  <c r="C165" i="5"/>
  <c r="E165" i="5" s="1"/>
  <c r="C164" i="5"/>
  <c r="E164" i="5" s="1"/>
  <c r="E163" i="5"/>
  <c r="C163" i="5"/>
  <c r="C162" i="5"/>
  <c r="E162" i="5" s="1"/>
  <c r="E161" i="5"/>
  <c r="C161" i="5"/>
  <c r="C160" i="5"/>
  <c r="E160" i="5" s="1"/>
  <c r="E159" i="5"/>
  <c r="C159" i="5"/>
  <c r="C158" i="5"/>
  <c r="E158" i="5" s="1"/>
  <c r="C157" i="5"/>
  <c r="E157" i="5" s="1"/>
  <c r="C156" i="5"/>
  <c r="E156" i="5" s="1"/>
  <c r="C155" i="5"/>
  <c r="E155" i="5" s="1"/>
  <c r="E154" i="5"/>
  <c r="C154" i="5"/>
  <c r="C153" i="5"/>
  <c r="E153" i="5" s="1"/>
  <c r="E152" i="5"/>
  <c r="C152" i="5"/>
  <c r="E151" i="5"/>
  <c r="C151" i="5"/>
  <c r="E150" i="5"/>
  <c r="C150" i="5"/>
  <c r="C149" i="5"/>
  <c r="E149" i="5" s="1"/>
  <c r="C148" i="5"/>
  <c r="E148" i="5" s="1"/>
  <c r="C147" i="5"/>
  <c r="E147" i="5" s="1"/>
  <c r="C146" i="5"/>
  <c r="E146" i="5" s="1"/>
  <c r="E145" i="5"/>
  <c r="C145" i="5"/>
  <c r="C144" i="5"/>
  <c r="E144" i="5" s="1"/>
  <c r="E143" i="5"/>
  <c r="C143" i="5"/>
  <c r="C142" i="5"/>
  <c r="E142" i="5" s="1"/>
  <c r="C141" i="5"/>
  <c r="E141" i="5" s="1"/>
  <c r="C140" i="5"/>
  <c r="E140" i="5" s="1"/>
  <c r="C139" i="5"/>
  <c r="E139" i="5" s="1"/>
  <c r="E138" i="5"/>
  <c r="C138" i="5"/>
  <c r="C137" i="5"/>
  <c r="E137" i="5" s="1"/>
  <c r="E136" i="5"/>
  <c r="C136" i="5"/>
  <c r="E135" i="5"/>
  <c r="C135" i="5"/>
  <c r="E134" i="5"/>
  <c r="C134" i="5"/>
  <c r="C133" i="5"/>
  <c r="E133" i="5" s="1"/>
  <c r="C132" i="5"/>
  <c r="E132" i="5" s="1"/>
  <c r="C131" i="5"/>
  <c r="E131" i="5" s="1"/>
  <c r="C130" i="5"/>
  <c r="E130" i="5" s="1"/>
  <c r="E129" i="5"/>
  <c r="C129" i="5"/>
  <c r="C128" i="5"/>
  <c r="E128" i="5" s="1"/>
  <c r="E127" i="5"/>
  <c r="C127" i="5"/>
  <c r="E126" i="5"/>
  <c r="C126" i="5"/>
  <c r="C125" i="5"/>
  <c r="E125" i="5" s="1"/>
  <c r="E124" i="5"/>
  <c r="C124" i="5"/>
  <c r="C123" i="5"/>
  <c r="E123" i="5" s="1"/>
  <c r="C122" i="5"/>
  <c r="E122" i="5" s="1"/>
  <c r="C121" i="5"/>
  <c r="E121" i="5" s="1"/>
  <c r="E120" i="5"/>
  <c r="C120" i="5"/>
  <c r="E119" i="5"/>
  <c r="C119" i="5"/>
  <c r="E118" i="5"/>
  <c r="C118" i="5"/>
  <c r="C117" i="5"/>
  <c r="E117" i="5" s="1"/>
  <c r="C116" i="5"/>
  <c r="E116" i="5" s="1"/>
  <c r="C115" i="5"/>
  <c r="E115" i="5" s="1"/>
  <c r="C114" i="5"/>
  <c r="E114" i="5" s="1"/>
  <c r="E113" i="5"/>
  <c r="C113" i="5"/>
  <c r="C112" i="5"/>
  <c r="E112" i="5" s="1"/>
  <c r="C111" i="5"/>
  <c r="E111" i="5" s="1"/>
  <c r="C110" i="5"/>
  <c r="E110" i="5" s="1"/>
  <c r="C109" i="5"/>
  <c r="E109" i="5" s="1"/>
  <c r="E108" i="5"/>
  <c r="C108" i="5"/>
  <c r="E107" i="5"/>
  <c r="C107" i="5"/>
  <c r="C106" i="5"/>
  <c r="E106" i="5" s="1"/>
  <c r="E105" i="5"/>
  <c r="C105" i="5"/>
  <c r="E104" i="5"/>
  <c r="C104" i="5"/>
  <c r="C103" i="5"/>
  <c r="E103" i="5" s="1"/>
  <c r="E102" i="5"/>
  <c r="C102" i="5"/>
  <c r="C101" i="5"/>
  <c r="E101" i="5" s="1"/>
  <c r="E100" i="5"/>
  <c r="C100" i="5"/>
  <c r="C99" i="5"/>
  <c r="E99" i="5" s="1"/>
  <c r="C98" i="5"/>
  <c r="E98" i="5" s="1"/>
  <c r="E97" i="5"/>
  <c r="C97" i="5"/>
  <c r="C96" i="5"/>
  <c r="E96" i="5" s="1"/>
  <c r="C95" i="5"/>
  <c r="E95" i="5" s="1"/>
  <c r="C94" i="5"/>
  <c r="E94" i="5" s="1"/>
  <c r="E93" i="5"/>
  <c r="C93" i="5"/>
  <c r="E92" i="5"/>
  <c r="C92" i="5"/>
  <c r="E91" i="5"/>
  <c r="C91" i="5"/>
  <c r="C90" i="5"/>
  <c r="E90" i="5" s="1"/>
  <c r="E89" i="5"/>
  <c r="C89" i="5"/>
  <c r="C88" i="5"/>
  <c r="E88" i="5" s="1"/>
  <c r="C87" i="5"/>
  <c r="E87" i="5" s="1"/>
  <c r="C86" i="5"/>
  <c r="E86" i="5" s="1"/>
  <c r="E85" i="5"/>
  <c r="C85" i="5"/>
  <c r="E84" i="5"/>
  <c r="C84" i="5"/>
  <c r="E83" i="5"/>
  <c r="C83" i="5"/>
  <c r="C82" i="5"/>
  <c r="E82" i="5" s="1"/>
  <c r="E81" i="5"/>
  <c r="C81" i="5"/>
  <c r="C80" i="5"/>
  <c r="E80" i="5" s="1"/>
  <c r="C79" i="5"/>
  <c r="E79" i="5" s="1"/>
  <c r="C78" i="5"/>
  <c r="E78" i="5" s="1"/>
  <c r="E77" i="5"/>
  <c r="C77" i="5"/>
  <c r="E76" i="5"/>
  <c r="C76" i="5"/>
  <c r="E75" i="5"/>
  <c r="C75" i="5"/>
  <c r="C74" i="5"/>
  <c r="E74" i="5" s="1"/>
  <c r="E73" i="5"/>
  <c r="C73" i="5"/>
  <c r="C72" i="5"/>
  <c r="E72" i="5" s="1"/>
  <c r="C71" i="5"/>
  <c r="E71" i="5" s="1"/>
  <c r="C70" i="5"/>
  <c r="E70" i="5" s="1"/>
  <c r="E69" i="5"/>
  <c r="C69" i="5"/>
  <c r="E68" i="5"/>
  <c r="C68" i="5"/>
  <c r="E67" i="5"/>
  <c r="C67" i="5"/>
  <c r="C66" i="5"/>
  <c r="E66" i="5" s="1"/>
  <c r="E65" i="5"/>
  <c r="C65" i="5"/>
  <c r="C64" i="5"/>
  <c r="E64" i="5" s="1"/>
  <c r="C63" i="5"/>
  <c r="E63" i="5" s="1"/>
  <c r="C62" i="5"/>
  <c r="E62" i="5" s="1"/>
  <c r="E61" i="5"/>
  <c r="C61" i="5"/>
  <c r="E60" i="5"/>
  <c r="C60" i="5"/>
  <c r="E59" i="5"/>
  <c r="C59" i="5"/>
  <c r="C58" i="5"/>
  <c r="E58" i="5" s="1"/>
  <c r="E57" i="5"/>
  <c r="C57" i="5"/>
  <c r="C56" i="5"/>
  <c r="E56" i="5" s="1"/>
  <c r="C55" i="5"/>
  <c r="E55" i="5" s="1"/>
  <c r="C54" i="5"/>
  <c r="E54" i="5" s="1"/>
  <c r="E53" i="5"/>
  <c r="C53" i="5"/>
  <c r="E52" i="5"/>
  <c r="C52" i="5"/>
  <c r="E51" i="5"/>
  <c r="C51" i="5"/>
  <c r="C50" i="5"/>
  <c r="E50" i="5" s="1"/>
  <c r="E49" i="5"/>
  <c r="C49" i="5"/>
  <c r="C48" i="5"/>
  <c r="E48" i="5" s="1"/>
  <c r="C47" i="5"/>
  <c r="E47" i="5" s="1"/>
  <c r="C46" i="5"/>
  <c r="E46" i="5" s="1"/>
  <c r="E45" i="5"/>
  <c r="C45" i="5"/>
  <c r="E44" i="5"/>
  <c r="C44" i="5"/>
  <c r="E43" i="5"/>
  <c r="C43" i="5"/>
  <c r="C42" i="5"/>
  <c r="E42" i="5" s="1"/>
  <c r="E41" i="5"/>
  <c r="C41" i="5"/>
  <c r="C40" i="5"/>
  <c r="E40" i="5" s="1"/>
  <c r="C39" i="5"/>
  <c r="E39" i="5" s="1"/>
  <c r="C38" i="5"/>
  <c r="E38" i="5" s="1"/>
  <c r="E37" i="5"/>
  <c r="C37" i="5"/>
  <c r="E36" i="5"/>
  <c r="C36" i="5"/>
  <c r="E35" i="5"/>
  <c r="C35" i="5"/>
  <c r="C34" i="5"/>
  <c r="E34" i="5" s="1"/>
  <c r="E33" i="5"/>
  <c r="C33" i="5"/>
  <c r="C32" i="5"/>
  <c r="E32" i="5" s="1"/>
  <c r="C31" i="5"/>
  <c r="E31" i="5" s="1"/>
  <c r="C30" i="5"/>
  <c r="E30" i="5" s="1"/>
  <c r="E29" i="5"/>
  <c r="C29" i="5"/>
  <c r="E28" i="5"/>
  <c r="C28" i="5"/>
  <c r="E27" i="5"/>
  <c r="C27" i="5"/>
  <c r="C26" i="5"/>
  <c r="E26" i="5" s="1"/>
  <c r="E25" i="5"/>
  <c r="C25" i="5"/>
  <c r="C24" i="5"/>
  <c r="E24" i="5" s="1"/>
  <c r="C23" i="5"/>
  <c r="E23" i="5" s="1"/>
  <c r="C22" i="5"/>
  <c r="E22" i="5" s="1"/>
  <c r="E21" i="5"/>
  <c r="C21" i="5"/>
  <c r="C20" i="5"/>
  <c r="E20" i="5" s="1"/>
  <c r="E19" i="5"/>
  <c r="C19" i="5"/>
  <c r="C18" i="5"/>
  <c r="E18" i="5" s="1"/>
  <c r="E17" i="5"/>
  <c r="C17" i="5"/>
  <c r="C16" i="5"/>
  <c r="E16" i="5" s="1"/>
  <c r="E15" i="5"/>
  <c r="C15" i="5"/>
  <c r="E14" i="5"/>
  <c r="C14" i="5"/>
  <c r="E13" i="5"/>
  <c r="C13" i="5"/>
  <c r="E12" i="5"/>
  <c r="C12" i="5"/>
  <c r="E11" i="5"/>
  <c r="C11" i="5"/>
  <c r="C10" i="5"/>
  <c r="E10" i="5" s="1"/>
  <c r="E9" i="5"/>
  <c r="C9" i="5"/>
  <c r="C8" i="5"/>
  <c r="E8" i="5" s="1"/>
  <c r="E7" i="5"/>
  <c r="C7" i="5"/>
  <c r="E6" i="5"/>
  <c r="C6" i="5"/>
  <c r="E5" i="5"/>
  <c r="C5" i="5"/>
  <c r="F767" i="4"/>
  <c r="B767" i="4"/>
  <c r="B767" i="5" s="1"/>
  <c r="F766" i="4"/>
  <c r="B766" i="4"/>
  <c r="F765" i="4"/>
  <c r="B765" i="4"/>
  <c r="B765" i="5" s="1"/>
  <c r="F764" i="4"/>
  <c r="B764" i="4"/>
  <c r="F763" i="4"/>
  <c r="B763" i="4"/>
  <c r="B763" i="5" s="1"/>
  <c r="F762" i="4"/>
  <c r="B762" i="4"/>
  <c r="F761" i="4"/>
  <c r="B761" i="4"/>
  <c r="F760" i="4"/>
  <c r="B760" i="4"/>
  <c r="F759" i="4"/>
  <c r="B759" i="4"/>
  <c r="B759" i="5" s="1"/>
  <c r="F758" i="4"/>
  <c r="B758" i="4"/>
  <c r="F757" i="4"/>
  <c r="B757" i="4"/>
  <c r="B757" i="5" s="1"/>
  <c r="F756" i="4"/>
  <c r="B756" i="4"/>
  <c r="D768" i="4" s="1"/>
  <c r="F755" i="4"/>
  <c r="B755" i="4"/>
  <c r="B755" i="5" s="1"/>
  <c r="F754" i="4"/>
  <c r="B754" i="4"/>
  <c r="F753" i="4"/>
  <c r="B753" i="4"/>
  <c r="B753" i="5" s="1"/>
  <c r="F752" i="4"/>
  <c r="B752" i="4"/>
  <c r="F751" i="4"/>
  <c r="B751" i="4"/>
  <c r="F750" i="4"/>
  <c r="B750" i="4"/>
  <c r="F749" i="4"/>
  <c r="B749" i="4"/>
  <c r="F748" i="4"/>
  <c r="B748" i="4"/>
  <c r="F747" i="4"/>
  <c r="B747" i="4"/>
  <c r="C747" i="4" s="1"/>
  <c r="F746" i="4"/>
  <c r="B746" i="4"/>
  <c r="F745" i="4"/>
  <c r="B745" i="4"/>
  <c r="F744" i="4"/>
  <c r="B744" i="4"/>
  <c r="F743" i="4"/>
  <c r="B743" i="4"/>
  <c r="B743" i="5" s="1"/>
  <c r="F742" i="4"/>
  <c r="B742" i="4"/>
  <c r="F741" i="4"/>
  <c r="B741" i="4"/>
  <c r="B741" i="5" s="1"/>
  <c r="F740" i="4"/>
  <c r="B740" i="4"/>
  <c r="F739" i="4"/>
  <c r="B739" i="4"/>
  <c r="B739" i="5" s="1"/>
  <c r="F738" i="4"/>
  <c r="B738" i="4"/>
  <c r="F737" i="4"/>
  <c r="B737" i="4"/>
  <c r="B737" i="5" s="1"/>
  <c r="F736" i="4"/>
  <c r="B736" i="4"/>
  <c r="D748" i="4" s="1"/>
  <c r="G748" i="5" s="1"/>
  <c r="F735" i="4"/>
  <c r="B735" i="4"/>
  <c r="F734" i="4"/>
  <c r="B734" i="4"/>
  <c r="F733" i="4"/>
  <c r="B733" i="4"/>
  <c r="F732" i="4"/>
  <c r="B732" i="4"/>
  <c r="F731" i="4"/>
  <c r="B731" i="4"/>
  <c r="F730" i="4"/>
  <c r="B730" i="4"/>
  <c r="F729" i="4"/>
  <c r="B729" i="4"/>
  <c r="F728" i="4"/>
  <c r="B728" i="4"/>
  <c r="F727" i="4"/>
  <c r="B727" i="4"/>
  <c r="B727" i="5" s="1"/>
  <c r="F726" i="4"/>
  <c r="B726" i="4"/>
  <c r="F725" i="4"/>
  <c r="B725" i="4"/>
  <c r="B725" i="5" s="1"/>
  <c r="F724" i="4"/>
  <c r="B724" i="4"/>
  <c r="F723" i="4"/>
  <c r="B723" i="4"/>
  <c r="B723" i="5" s="1"/>
  <c r="F722" i="4"/>
  <c r="B722" i="4"/>
  <c r="F721" i="4"/>
  <c r="B721" i="4"/>
  <c r="B721" i="5" s="1"/>
  <c r="F720" i="4"/>
  <c r="B720" i="4"/>
  <c r="D732" i="4" s="1"/>
  <c r="G732" i="5" s="1"/>
  <c r="F719" i="4"/>
  <c r="B719" i="4"/>
  <c r="F718" i="4"/>
  <c r="B718" i="4"/>
  <c r="F717" i="4"/>
  <c r="B717" i="4"/>
  <c r="F716" i="4"/>
  <c r="B716" i="4"/>
  <c r="F715" i="4"/>
  <c r="B715" i="4"/>
  <c r="C715" i="4" s="1"/>
  <c r="F714" i="4"/>
  <c r="B714" i="4"/>
  <c r="F713" i="4"/>
  <c r="B713" i="4"/>
  <c r="F712" i="4"/>
  <c r="B712" i="4"/>
  <c r="D724" i="4" s="1"/>
  <c r="G724" i="5" s="1"/>
  <c r="F711" i="4"/>
  <c r="B711" i="4"/>
  <c r="B711" i="5" s="1"/>
  <c r="F710" i="4"/>
  <c r="B710" i="4"/>
  <c r="F709" i="4"/>
  <c r="B709" i="4"/>
  <c r="B709" i="5" s="1"/>
  <c r="F708" i="4"/>
  <c r="B708" i="4"/>
  <c r="F707" i="4"/>
  <c r="B707" i="4"/>
  <c r="B707" i="5" s="1"/>
  <c r="F706" i="4"/>
  <c r="B706" i="4"/>
  <c r="F705" i="4"/>
  <c r="B705" i="4"/>
  <c r="B705" i="5" s="1"/>
  <c r="F704" i="4"/>
  <c r="B704" i="4"/>
  <c r="F703" i="4"/>
  <c r="B703" i="4"/>
  <c r="C703" i="4" s="1"/>
  <c r="F702" i="4"/>
  <c r="B702" i="4"/>
  <c r="F701" i="4"/>
  <c r="B701" i="4"/>
  <c r="F700" i="4"/>
  <c r="B700" i="4"/>
  <c r="B700" i="5" s="1"/>
  <c r="F699" i="4"/>
  <c r="B699" i="4"/>
  <c r="F698" i="4"/>
  <c r="B698" i="4"/>
  <c r="B698" i="5" s="1"/>
  <c r="F697" i="4"/>
  <c r="B697" i="4"/>
  <c r="F696" i="4"/>
  <c r="B696" i="4"/>
  <c r="B696" i="5" s="1"/>
  <c r="F695" i="4"/>
  <c r="B695" i="4"/>
  <c r="B695" i="5" s="1"/>
  <c r="F694" i="4"/>
  <c r="B694" i="4"/>
  <c r="B694" i="5" s="1"/>
  <c r="F693" i="4"/>
  <c r="B693" i="4"/>
  <c r="F692" i="4"/>
  <c r="B692" i="4"/>
  <c r="B692" i="5" s="1"/>
  <c r="F691" i="4"/>
  <c r="B691" i="4"/>
  <c r="F690" i="4"/>
  <c r="B690" i="4"/>
  <c r="B690" i="5" s="1"/>
  <c r="F689" i="4"/>
  <c r="B689" i="4"/>
  <c r="B689" i="5" s="1"/>
  <c r="F688" i="4"/>
  <c r="B688" i="4"/>
  <c r="B688" i="5" s="1"/>
  <c r="F687" i="4"/>
  <c r="B687" i="4"/>
  <c r="B687" i="5" s="1"/>
  <c r="F686" i="4"/>
  <c r="B686" i="4"/>
  <c r="B686" i="5" s="1"/>
  <c r="F685" i="4"/>
  <c r="B685" i="4"/>
  <c r="F684" i="4"/>
  <c r="B684" i="4"/>
  <c r="B684" i="5" s="1"/>
  <c r="F683" i="4"/>
  <c r="B683" i="4"/>
  <c r="F682" i="4"/>
  <c r="B682" i="4"/>
  <c r="B682" i="5" s="1"/>
  <c r="F681" i="4"/>
  <c r="B681" i="4"/>
  <c r="B681" i="5" s="1"/>
  <c r="F680" i="4"/>
  <c r="B680" i="4"/>
  <c r="B680" i="5" s="1"/>
  <c r="F679" i="4"/>
  <c r="B679" i="4"/>
  <c r="B679" i="5" s="1"/>
  <c r="F678" i="4"/>
  <c r="B678" i="4"/>
  <c r="B678" i="5" s="1"/>
  <c r="F677" i="4"/>
  <c r="B677" i="4"/>
  <c r="F676" i="4"/>
  <c r="B676" i="4"/>
  <c r="B676" i="5" s="1"/>
  <c r="F675" i="4"/>
  <c r="B675" i="4"/>
  <c r="F674" i="4"/>
  <c r="B674" i="4"/>
  <c r="B674" i="5" s="1"/>
  <c r="F673" i="4"/>
  <c r="B673" i="4"/>
  <c r="B673" i="5" s="1"/>
  <c r="F672" i="4"/>
  <c r="B672" i="4"/>
  <c r="B672" i="5" s="1"/>
  <c r="F671" i="4"/>
  <c r="B671" i="4"/>
  <c r="B671" i="5" s="1"/>
  <c r="F670" i="4"/>
  <c r="B670" i="4"/>
  <c r="B670" i="5" s="1"/>
  <c r="F669" i="4"/>
  <c r="B669" i="4"/>
  <c r="F668" i="4"/>
  <c r="B668" i="4"/>
  <c r="B668" i="5" s="1"/>
  <c r="F667" i="4"/>
  <c r="B667" i="4"/>
  <c r="F666" i="4"/>
  <c r="B666" i="4"/>
  <c r="B666" i="5" s="1"/>
  <c r="F665" i="4"/>
  <c r="B665" i="4"/>
  <c r="B665" i="5" s="1"/>
  <c r="F664" i="4"/>
  <c r="B664" i="4"/>
  <c r="B664" i="5" s="1"/>
  <c r="F663" i="4"/>
  <c r="B663" i="4"/>
  <c r="B663" i="5" s="1"/>
  <c r="F662" i="4"/>
  <c r="B662" i="4"/>
  <c r="B662" i="5" s="1"/>
  <c r="F661" i="4"/>
  <c r="B661" i="4"/>
  <c r="F660" i="4"/>
  <c r="B660" i="4"/>
  <c r="B660" i="5" s="1"/>
  <c r="F659" i="4"/>
  <c r="B659" i="4"/>
  <c r="F658" i="4"/>
  <c r="B658" i="4"/>
  <c r="B658" i="5" s="1"/>
  <c r="F657" i="4"/>
  <c r="B657" i="4"/>
  <c r="B657" i="5" s="1"/>
  <c r="F656" i="4"/>
  <c r="B656" i="4"/>
  <c r="B656" i="5" s="1"/>
  <c r="F655" i="4"/>
  <c r="B655" i="4"/>
  <c r="B655" i="5" s="1"/>
  <c r="F654" i="4"/>
  <c r="B654" i="4"/>
  <c r="B654" i="5" s="1"/>
  <c r="F653" i="4"/>
  <c r="B653" i="4"/>
  <c r="F652" i="4"/>
  <c r="B652" i="4"/>
  <c r="B652" i="5" s="1"/>
  <c r="F651" i="4"/>
  <c r="C651" i="4"/>
  <c r="B651" i="4"/>
  <c r="F650" i="4"/>
  <c r="B650" i="4"/>
  <c r="B650" i="5" s="1"/>
  <c r="F649" i="4"/>
  <c r="B649" i="4"/>
  <c r="B649" i="5" s="1"/>
  <c r="F648" i="4"/>
  <c r="B648" i="4"/>
  <c r="B648" i="5" s="1"/>
  <c r="F647" i="4"/>
  <c r="B647" i="4"/>
  <c r="B647" i="5" s="1"/>
  <c r="F646" i="4"/>
  <c r="B646" i="4"/>
  <c r="B646" i="5" s="1"/>
  <c r="F645" i="4"/>
  <c r="B645" i="4"/>
  <c r="F644" i="4"/>
  <c r="B644" i="4"/>
  <c r="B644" i="5" s="1"/>
  <c r="F643" i="4"/>
  <c r="B643" i="4"/>
  <c r="F642" i="4"/>
  <c r="B642" i="4"/>
  <c r="F641" i="4"/>
  <c r="B641" i="4"/>
  <c r="B641" i="5" s="1"/>
  <c r="F640" i="4"/>
  <c r="B640" i="4"/>
  <c r="F639" i="4"/>
  <c r="B639" i="4"/>
  <c r="B639" i="5" s="1"/>
  <c r="F638" i="4"/>
  <c r="B638" i="4"/>
  <c r="F637" i="4"/>
  <c r="B637" i="4"/>
  <c r="F636" i="4"/>
  <c r="B636" i="4"/>
  <c r="F635" i="4"/>
  <c r="B635" i="4"/>
  <c r="F634" i="4"/>
  <c r="B634" i="4"/>
  <c r="F633" i="4"/>
  <c r="B633" i="4"/>
  <c r="B633" i="5" s="1"/>
  <c r="F632" i="4"/>
  <c r="B632" i="4"/>
  <c r="F631" i="4"/>
  <c r="B631" i="4"/>
  <c r="B631" i="5" s="1"/>
  <c r="F630" i="4"/>
  <c r="B630" i="4"/>
  <c r="F629" i="4"/>
  <c r="B629" i="4"/>
  <c r="F628" i="4"/>
  <c r="B628" i="4"/>
  <c r="F627" i="4"/>
  <c r="B627" i="4"/>
  <c r="F626" i="4"/>
  <c r="B626" i="4"/>
  <c r="F625" i="4"/>
  <c r="B625" i="4"/>
  <c r="B625" i="5" s="1"/>
  <c r="F624" i="4"/>
  <c r="B624" i="4"/>
  <c r="F623" i="4"/>
  <c r="B623" i="4"/>
  <c r="B623" i="5" s="1"/>
  <c r="F622" i="4"/>
  <c r="B622" i="4"/>
  <c r="F621" i="4"/>
  <c r="B621" i="4"/>
  <c r="F620" i="4"/>
  <c r="B620" i="4"/>
  <c r="F619" i="4"/>
  <c r="B619" i="4"/>
  <c r="F618" i="4"/>
  <c r="B618" i="4"/>
  <c r="F617" i="4"/>
  <c r="B617" i="4"/>
  <c r="B617" i="5" s="1"/>
  <c r="F616" i="4"/>
  <c r="B616" i="4"/>
  <c r="F615" i="4"/>
  <c r="B615" i="4"/>
  <c r="B615" i="5" s="1"/>
  <c r="F614" i="4"/>
  <c r="B614" i="4"/>
  <c r="F613" i="4"/>
  <c r="B613" i="4"/>
  <c r="F612" i="4"/>
  <c r="B612" i="4"/>
  <c r="F611" i="4"/>
  <c r="B611" i="4"/>
  <c r="F610" i="4"/>
  <c r="B610" i="4"/>
  <c r="F609" i="4"/>
  <c r="B609" i="4"/>
  <c r="B609" i="5" s="1"/>
  <c r="F608" i="4"/>
  <c r="B608" i="4"/>
  <c r="F607" i="4"/>
  <c r="B607" i="4"/>
  <c r="B607" i="5" s="1"/>
  <c r="F606" i="4"/>
  <c r="B606" i="4"/>
  <c r="F605" i="4"/>
  <c r="B605" i="4"/>
  <c r="B604" i="4"/>
  <c r="B604" i="5" s="1"/>
  <c r="B603" i="4"/>
  <c r="D615" i="4" s="1"/>
  <c r="G615" i="5" s="1"/>
  <c r="B602" i="4"/>
  <c r="B601" i="4"/>
  <c r="B600" i="4"/>
  <c r="B599" i="4"/>
  <c r="B599" i="5" s="1"/>
  <c r="B598" i="4"/>
  <c r="B598" i="5" s="1"/>
  <c r="B597" i="4"/>
  <c r="B597" i="5" s="1"/>
  <c r="B596" i="4"/>
  <c r="B596" i="5" s="1"/>
  <c r="B595" i="4"/>
  <c r="B594" i="4"/>
  <c r="B593" i="4"/>
  <c r="B592" i="4"/>
  <c r="B591" i="4"/>
  <c r="B591" i="5" s="1"/>
  <c r="B590" i="4"/>
  <c r="B590" i="5" s="1"/>
  <c r="B589" i="4"/>
  <c r="B588" i="4"/>
  <c r="B588" i="5" s="1"/>
  <c r="B587" i="4"/>
  <c r="B586" i="4"/>
  <c r="B585" i="4"/>
  <c r="B584" i="4"/>
  <c r="B583" i="4"/>
  <c r="B583" i="5" s="1"/>
  <c r="B582" i="4"/>
  <c r="B582" i="5" s="1"/>
  <c r="B581" i="4"/>
  <c r="B580" i="4"/>
  <c r="B580" i="5" s="1"/>
  <c r="B579" i="4"/>
  <c r="B578" i="4"/>
  <c r="B577" i="4"/>
  <c r="B576" i="4"/>
  <c r="B575" i="4"/>
  <c r="B575" i="5" s="1"/>
  <c r="B574" i="4"/>
  <c r="B574" i="5" s="1"/>
  <c r="B573" i="4"/>
  <c r="B572" i="4"/>
  <c r="B572" i="5" s="1"/>
  <c r="B571" i="4"/>
  <c r="B570" i="4"/>
  <c r="B569" i="4"/>
  <c r="B568" i="4"/>
  <c r="B567" i="4"/>
  <c r="B567" i="5" s="1"/>
  <c r="B566" i="4"/>
  <c r="B566" i="5" s="1"/>
  <c r="B565" i="4"/>
  <c r="B564" i="4"/>
  <c r="B564" i="5" s="1"/>
  <c r="B563" i="4"/>
  <c r="B562" i="4"/>
  <c r="C562" i="4" s="1"/>
  <c r="B561" i="4"/>
  <c r="B560" i="4"/>
  <c r="B560" i="5" s="1"/>
  <c r="B559" i="4"/>
  <c r="B559" i="5" s="1"/>
  <c r="B558" i="4"/>
  <c r="B558" i="5" s="1"/>
  <c r="B557" i="4"/>
  <c r="B556" i="4"/>
  <c r="B556" i="5" s="1"/>
  <c r="B555" i="4"/>
  <c r="B554" i="4"/>
  <c r="B553" i="4"/>
  <c r="B552" i="4"/>
  <c r="B551" i="4"/>
  <c r="B551" i="5" s="1"/>
  <c r="B550" i="4"/>
  <c r="B550" i="5" s="1"/>
  <c r="B549" i="4"/>
  <c r="B548" i="4"/>
  <c r="B548" i="5" s="1"/>
  <c r="B547" i="4"/>
  <c r="B546" i="4"/>
  <c r="B545" i="4"/>
  <c r="B544" i="4"/>
  <c r="B544" i="5" s="1"/>
  <c r="B543" i="4"/>
  <c r="B543" i="5" s="1"/>
  <c r="B542" i="4"/>
  <c r="B542" i="5" s="1"/>
  <c r="B541" i="4"/>
  <c r="B540" i="4"/>
  <c r="B540" i="5" s="1"/>
  <c r="B539" i="4"/>
  <c r="B538" i="4"/>
  <c r="B537" i="4"/>
  <c r="B536" i="4"/>
  <c r="B535" i="4"/>
  <c r="B535" i="5" s="1"/>
  <c r="B534" i="4"/>
  <c r="B534" i="5" s="1"/>
  <c r="B533" i="4"/>
  <c r="B532" i="4"/>
  <c r="B532" i="5" s="1"/>
  <c r="B531" i="4"/>
  <c r="B530" i="4"/>
  <c r="B529" i="4"/>
  <c r="B528" i="4"/>
  <c r="B527" i="4"/>
  <c r="B527" i="5" s="1"/>
  <c r="B526" i="4"/>
  <c r="B526" i="5" s="1"/>
  <c r="B525" i="4"/>
  <c r="B524" i="4"/>
  <c r="B524" i="5" s="1"/>
  <c r="B523" i="4"/>
  <c r="B522" i="4"/>
  <c r="B521" i="4"/>
  <c r="B520" i="4"/>
  <c r="B519" i="4"/>
  <c r="B519" i="5" s="1"/>
  <c r="B518" i="4"/>
  <c r="B518" i="5" s="1"/>
  <c r="B517" i="4"/>
  <c r="B516" i="4"/>
  <c r="B516" i="5" s="1"/>
  <c r="B515" i="4"/>
  <c r="B514" i="4"/>
  <c r="B513" i="4"/>
  <c r="B512" i="4"/>
  <c r="B511" i="4"/>
  <c r="B511" i="5" s="1"/>
  <c r="B510" i="4"/>
  <c r="B510" i="5" s="1"/>
  <c r="B509" i="4"/>
  <c r="D509" i="4" s="1"/>
  <c r="G509" i="5" s="1"/>
  <c r="B508" i="4"/>
  <c r="B508" i="5" s="1"/>
  <c r="B507" i="4"/>
  <c r="B506" i="4"/>
  <c r="B505" i="4"/>
  <c r="B504" i="4"/>
  <c r="B503" i="4"/>
  <c r="B503" i="5" s="1"/>
  <c r="B502" i="4"/>
  <c r="B502" i="5" s="1"/>
  <c r="B501" i="4"/>
  <c r="B500" i="4"/>
  <c r="B500" i="5" s="1"/>
  <c r="B499" i="4"/>
  <c r="B498" i="4"/>
  <c r="B497" i="4"/>
  <c r="B496" i="4"/>
  <c r="B495" i="4"/>
  <c r="B495" i="5" s="1"/>
  <c r="B494" i="4"/>
  <c r="B494" i="5" s="1"/>
  <c r="B493" i="4"/>
  <c r="B492" i="4"/>
  <c r="B492" i="5" s="1"/>
  <c r="B491" i="4"/>
  <c r="B490" i="4"/>
  <c r="B489" i="4"/>
  <c r="B488" i="4"/>
  <c r="B487" i="4"/>
  <c r="B487" i="5" s="1"/>
  <c r="B486" i="4"/>
  <c r="B486" i="5" s="1"/>
  <c r="B485" i="4"/>
  <c r="B484" i="4"/>
  <c r="B484" i="5" s="1"/>
  <c r="B483" i="4"/>
  <c r="B482" i="4"/>
  <c r="B481" i="4"/>
  <c r="B480" i="4"/>
  <c r="B479" i="4"/>
  <c r="B479" i="5" s="1"/>
  <c r="B478" i="4"/>
  <c r="B478" i="5" s="1"/>
  <c r="B477" i="4"/>
  <c r="B476" i="4"/>
  <c r="B476" i="5" s="1"/>
  <c r="B475" i="4"/>
  <c r="B474" i="4"/>
  <c r="B473" i="4"/>
  <c r="B472" i="4"/>
  <c r="B471" i="4"/>
  <c r="B471" i="5" s="1"/>
  <c r="B470" i="4"/>
  <c r="B470" i="5" s="1"/>
  <c r="B469" i="4"/>
  <c r="B468" i="4"/>
  <c r="B468" i="5" s="1"/>
  <c r="B467" i="4"/>
  <c r="B466" i="4"/>
  <c r="B465" i="4"/>
  <c r="B464" i="4"/>
  <c r="B463" i="4"/>
  <c r="B463" i="5" s="1"/>
  <c r="B462" i="4"/>
  <c r="B462" i="5" s="1"/>
  <c r="B461" i="4"/>
  <c r="C462" i="4" s="1"/>
  <c r="B460" i="4"/>
  <c r="B460" i="5" s="1"/>
  <c r="B459" i="4"/>
  <c r="B458" i="4"/>
  <c r="B457" i="4"/>
  <c r="B456" i="4"/>
  <c r="B455" i="4"/>
  <c r="B455" i="5" s="1"/>
  <c r="B454" i="4"/>
  <c r="B454" i="5" s="1"/>
  <c r="B453" i="4"/>
  <c r="B452" i="4"/>
  <c r="B452" i="5" s="1"/>
  <c r="B451" i="4"/>
  <c r="B450" i="4"/>
  <c r="B449" i="4"/>
  <c r="B448" i="4"/>
  <c r="B447" i="4"/>
  <c r="B447" i="5" s="1"/>
  <c r="B446" i="4"/>
  <c r="B446" i="5" s="1"/>
  <c r="B445" i="4"/>
  <c r="B444" i="4"/>
  <c r="B444" i="5" s="1"/>
  <c r="B443" i="4"/>
  <c r="B442" i="4"/>
  <c r="B441" i="4"/>
  <c r="B440" i="4"/>
  <c r="B440" i="5" s="1"/>
  <c r="B439" i="4"/>
  <c r="B439" i="5" s="1"/>
  <c r="B438" i="4"/>
  <c r="B438" i="5" s="1"/>
  <c r="B437" i="4"/>
  <c r="B436" i="4"/>
  <c r="B436" i="5" s="1"/>
  <c r="B435" i="4"/>
  <c r="B434" i="4"/>
  <c r="B433" i="4"/>
  <c r="B432" i="4"/>
  <c r="B431" i="4"/>
  <c r="B431" i="5" s="1"/>
  <c r="B430" i="4"/>
  <c r="B429" i="4"/>
  <c r="B428" i="4"/>
  <c r="B428" i="5" s="1"/>
  <c r="B427" i="4"/>
  <c r="B426" i="4"/>
  <c r="B425" i="4"/>
  <c r="B424" i="4"/>
  <c r="B424" i="5" s="1"/>
  <c r="B423" i="4"/>
  <c r="B423" i="5" s="1"/>
  <c r="B422" i="4"/>
  <c r="B422" i="5" s="1"/>
  <c r="B421" i="4"/>
  <c r="B420" i="4"/>
  <c r="B420" i="5" s="1"/>
  <c r="B419" i="4"/>
  <c r="B418" i="4"/>
  <c r="B417" i="4"/>
  <c r="B416" i="4"/>
  <c r="B415" i="4"/>
  <c r="B415" i="5" s="1"/>
  <c r="B414" i="4"/>
  <c r="B413" i="4"/>
  <c r="B412" i="4"/>
  <c r="B412" i="5" s="1"/>
  <c r="B411" i="4"/>
  <c r="B410" i="4"/>
  <c r="B409" i="4"/>
  <c r="B408" i="4"/>
  <c r="B408" i="5" s="1"/>
  <c r="B407" i="4"/>
  <c r="B407" i="5" s="1"/>
  <c r="B406" i="4"/>
  <c r="B406" i="5" s="1"/>
  <c r="B405" i="4"/>
  <c r="B404" i="4"/>
  <c r="B404" i="5" s="1"/>
  <c r="B403" i="4"/>
  <c r="B402" i="4"/>
  <c r="B401" i="4"/>
  <c r="B400" i="4"/>
  <c r="B399" i="4"/>
  <c r="B399" i="5" s="1"/>
  <c r="B398" i="4"/>
  <c r="B397" i="4"/>
  <c r="B396" i="4"/>
  <c r="B396" i="5" s="1"/>
  <c r="B395" i="4"/>
  <c r="B394" i="4"/>
  <c r="B393" i="4"/>
  <c r="B392" i="4"/>
  <c r="B391" i="4"/>
  <c r="B391" i="5" s="1"/>
  <c r="B390" i="4"/>
  <c r="B390" i="5" s="1"/>
  <c r="B389" i="4"/>
  <c r="B388" i="4"/>
  <c r="B388" i="5" s="1"/>
  <c r="B387" i="4"/>
  <c r="B387" i="5" s="1"/>
  <c r="B386" i="4"/>
  <c r="C386" i="4" s="1"/>
  <c r="B385" i="4"/>
  <c r="B384" i="4"/>
  <c r="B384" i="5" s="1"/>
  <c r="B383" i="4"/>
  <c r="B382" i="4"/>
  <c r="B382" i="5" s="1"/>
  <c r="B381" i="4"/>
  <c r="B381" i="5" s="1"/>
  <c r="B380" i="4"/>
  <c r="B380" i="5" s="1"/>
  <c r="B379" i="4"/>
  <c r="B379" i="5" s="1"/>
  <c r="B378" i="4"/>
  <c r="B377" i="4"/>
  <c r="B376" i="4"/>
  <c r="B376" i="5" s="1"/>
  <c r="B375" i="4"/>
  <c r="B374" i="4"/>
  <c r="B373" i="4"/>
  <c r="B373" i="5" s="1"/>
  <c r="B372" i="4"/>
  <c r="B372" i="5" s="1"/>
  <c r="B371" i="4"/>
  <c r="B370" i="4"/>
  <c r="B369" i="4"/>
  <c r="B368" i="4"/>
  <c r="B368" i="5" s="1"/>
  <c r="B367" i="4"/>
  <c r="B367" i="5" s="1"/>
  <c r="B366" i="4"/>
  <c r="B365" i="4"/>
  <c r="B364" i="4"/>
  <c r="B364" i="5" s="1"/>
  <c r="B363" i="4"/>
  <c r="B362" i="4"/>
  <c r="B361" i="4"/>
  <c r="B360" i="4"/>
  <c r="B359" i="4"/>
  <c r="B359" i="5" s="1"/>
  <c r="B358" i="4"/>
  <c r="B358" i="5" s="1"/>
  <c r="B357" i="4"/>
  <c r="B356" i="4"/>
  <c r="B356" i="5" s="1"/>
  <c r="B355" i="4"/>
  <c r="B355" i="5" s="1"/>
  <c r="B354" i="4"/>
  <c r="B353" i="4"/>
  <c r="B352" i="4"/>
  <c r="B352" i="5" s="1"/>
  <c r="B351" i="4"/>
  <c r="B350" i="4"/>
  <c r="B350" i="5" s="1"/>
  <c r="B349" i="4"/>
  <c r="B349" i="5" s="1"/>
  <c r="B348" i="4"/>
  <c r="B348" i="5" s="1"/>
  <c r="B347" i="4"/>
  <c r="B347" i="5" s="1"/>
  <c r="B346" i="4"/>
  <c r="B345" i="4"/>
  <c r="B344" i="4"/>
  <c r="B344" i="5" s="1"/>
  <c r="B343" i="4"/>
  <c r="B342" i="4"/>
  <c r="B342" i="5" s="1"/>
  <c r="B341" i="4"/>
  <c r="B341" i="5" s="1"/>
  <c r="B340" i="4"/>
  <c r="B340" i="5" s="1"/>
  <c r="B339" i="4"/>
  <c r="B338" i="4"/>
  <c r="B337" i="4"/>
  <c r="B336" i="4"/>
  <c r="B336" i="5" s="1"/>
  <c r="B335" i="4"/>
  <c r="B335" i="5" s="1"/>
  <c r="B334" i="4"/>
  <c r="B333" i="4"/>
  <c r="B333" i="5" s="1"/>
  <c r="B332" i="4"/>
  <c r="B332" i="5" s="1"/>
  <c r="B331" i="4"/>
  <c r="B330" i="4"/>
  <c r="B329" i="4"/>
  <c r="B328" i="4"/>
  <c r="B327" i="4"/>
  <c r="B327" i="5" s="1"/>
  <c r="B326" i="4"/>
  <c r="B326" i="5" s="1"/>
  <c r="B325" i="4"/>
  <c r="B324" i="4"/>
  <c r="B324" i="5" s="1"/>
  <c r="B323" i="4"/>
  <c r="B323" i="5" s="1"/>
  <c r="B322" i="4"/>
  <c r="B321" i="4"/>
  <c r="B320" i="4"/>
  <c r="B320" i="5" s="1"/>
  <c r="B319" i="4"/>
  <c r="B318" i="4"/>
  <c r="B318" i="5" s="1"/>
  <c r="B317" i="4"/>
  <c r="B316" i="4"/>
  <c r="B316" i="5" s="1"/>
  <c r="B315" i="4"/>
  <c r="B315" i="5" s="1"/>
  <c r="B314" i="4"/>
  <c r="B313" i="4"/>
  <c r="B312" i="4"/>
  <c r="B312" i="5" s="1"/>
  <c r="B311" i="4"/>
  <c r="B310" i="4"/>
  <c r="B310" i="5" s="1"/>
  <c r="B309" i="4"/>
  <c r="B309" i="5" s="1"/>
  <c r="B308" i="4"/>
  <c r="B307" i="4"/>
  <c r="B307" i="5" s="1"/>
  <c r="B306" i="4"/>
  <c r="B305" i="4"/>
  <c r="B304" i="4"/>
  <c r="B304" i="5" s="1"/>
  <c r="B303" i="4"/>
  <c r="B302" i="4"/>
  <c r="B302" i="5" s="1"/>
  <c r="B301" i="4"/>
  <c r="B301" i="5" s="1"/>
  <c r="B300" i="4"/>
  <c r="B299" i="4"/>
  <c r="B299" i="5" s="1"/>
  <c r="B298" i="4"/>
  <c r="B297" i="4"/>
  <c r="B296" i="4"/>
  <c r="B296" i="5" s="1"/>
  <c r="B295" i="4"/>
  <c r="B294" i="4"/>
  <c r="B294" i="5" s="1"/>
  <c r="B293" i="4"/>
  <c r="B293" i="5" s="1"/>
  <c r="B292" i="4"/>
  <c r="B291" i="4"/>
  <c r="B291" i="5" s="1"/>
  <c r="B290" i="4"/>
  <c r="B289" i="4"/>
  <c r="B288" i="4"/>
  <c r="B288" i="5" s="1"/>
  <c r="B287" i="4"/>
  <c r="B286" i="4"/>
  <c r="B286" i="5" s="1"/>
  <c r="B285" i="4"/>
  <c r="B285" i="5" s="1"/>
  <c r="B284" i="4"/>
  <c r="B283" i="4"/>
  <c r="B283" i="5" s="1"/>
  <c r="B282" i="4"/>
  <c r="B281" i="4"/>
  <c r="B280" i="4"/>
  <c r="B280" i="5" s="1"/>
  <c r="B279" i="4"/>
  <c r="B278" i="4"/>
  <c r="B278" i="5" s="1"/>
  <c r="B277" i="4"/>
  <c r="B277" i="5" s="1"/>
  <c r="B276" i="4"/>
  <c r="B275" i="4"/>
  <c r="B275" i="5" s="1"/>
  <c r="B274" i="4"/>
  <c r="B273" i="4"/>
  <c r="B272" i="4"/>
  <c r="B272" i="5" s="1"/>
  <c r="B271" i="4"/>
  <c r="B270" i="4"/>
  <c r="B270" i="5" s="1"/>
  <c r="B269" i="4"/>
  <c r="B269" i="5" s="1"/>
  <c r="B268" i="4"/>
  <c r="B267" i="4"/>
  <c r="B267" i="5" s="1"/>
  <c r="B266" i="4"/>
  <c r="B265" i="4"/>
  <c r="B264" i="4"/>
  <c r="B264" i="5" s="1"/>
  <c r="B263" i="4"/>
  <c r="B262" i="4"/>
  <c r="B262" i="5" s="1"/>
  <c r="B261" i="4"/>
  <c r="B261" i="5" s="1"/>
  <c r="B260" i="4"/>
  <c r="B259" i="4"/>
  <c r="B259" i="5" s="1"/>
  <c r="B258" i="4"/>
  <c r="B257" i="4"/>
  <c r="B256" i="4"/>
  <c r="B256" i="5" s="1"/>
  <c r="B255" i="4"/>
  <c r="B254" i="4"/>
  <c r="B254" i="5" s="1"/>
  <c r="B253" i="4"/>
  <c r="B253" i="5" s="1"/>
  <c r="B252" i="4"/>
  <c r="B251" i="4"/>
  <c r="B251" i="5" s="1"/>
  <c r="B250" i="4"/>
  <c r="B249" i="4"/>
  <c r="B248" i="4"/>
  <c r="B248" i="5" s="1"/>
  <c r="B247" i="4"/>
  <c r="B246" i="4"/>
  <c r="B246" i="5" s="1"/>
  <c r="B245" i="4"/>
  <c r="B245" i="5" s="1"/>
  <c r="B244" i="4"/>
  <c r="B243" i="4"/>
  <c r="B243" i="5" s="1"/>
  <c r="B242" i="4"/>
  <c r="B241" i="4"/>
  <c r="B240" i="4"/>
  <c r="B240" i="5" s="1"/>
  <c r="B239" i="4"/>
  <c r="B238" i="4"/>
  <c r="B238" i="5" s="1"/>
  <c r="B237" i="4"/>
  <c r="B237" i="5" s="1"/>
  <c r="B236" i="4"/>
  <c r="B235" i="4"/>
  <c r="B235" i="5" s="1"/>
  <c r="B234" i="4"/>
  <c r="B233" i="4"/>
  <c r="B232" i="4"/>
  <c r="B232" i="5" s="1"/>
  <c r="B231" i="4"/>
  <c r="B230" i="4"/>
  <c r="B230" i="5" s="1"/>
  <c r="B229" i="4"/>
  <c r="B229" i="5" s="1"/>
  <c r="B228" i="4"/>
  <c r="B227" i="4"/>
  <c r="B227" i="5" s="1"/>
  <c r="B226" i="4"/>
  <c r="B225" i="4"/>
  <c r="B224" i="4"/>
  <c r="B224" i="5" s="1"/>
  <c r="B223" i="4"/>
  <c r="B222" i="4"/>
  <c r="B222" i="5" s="1"/>
  <c r="B221" i="4"/>
  <c r="B221" i="5" s="1"/>
  <c r="B220" i="4"/>
  <c r="B219" i="4"/>
  <c r="B219" i="5" s="1"/>
  <c r="B218" i="4"/>
  <c r="B217" i="4"/>
  <c r="B216" i="4"/>
  <c r="B216" i="5" s="1"/>
  <c r="B215" i="4"/>
  <c r="B214" i="4"/>
  <c r="B213" i="4"/>
  <c r="B213" i="5" s="1"/>
  <c r="B212" i="4"/>
  <c r="B211" i="4"/>
  <c r="B211" i="5" s="1"/>
  <c r="B210" i="4"/>
  <c r="B209" i="4"/>
  <c r="B208" i="4"/>
  <c r="B208" i="5" s="1"/>
  <c r="B207" i="4"/>
  <c r="B206" i="4"/>
  <c r="B206" i="5" s="1"/>
  <c r="B205" i="4"/>
  <c r="B205" i="5" s="1"/>
  <c r="B204" i="4"/>
  <c r="B203" i="4"/>
  <c r="B203" i="5" s="1"/>
  <c r="B202" i="4"/>
  <c r="B201" i="4"/>
  <c r="B200" i="4"/>
  <c r="B200" i="5" s="1"/>
  <c r="B199" i="4"/>
  <c r="B198" i="4"/>
  <c r="B198" i="5" s="1"/>
  <c r="B197" i="4"/>
  <c r="B197" i="5" s="1"/>
  <c r="B196" i="4"/>
  <c r="B195" i="4"/>
  <c r="B195" i="5" s="1"/>
  <c r="B194" i="4"/>
  <c r="B193" i="4"/>
  <c r="B192" i="4"/>
  <c r="B192" i="5" s="1"/>
  <c r="B191" i="4"/>
  <c r="B190" i="4"/>
  <c r="B189" i="4"/>
  <c r="B189" i="5" s="1"/>
  <c r="B188" i="4"/>
  <c r="B187" i="4"/>
  <c r="B187" i="5" s="1"/>
  <c r="B186" i="4"/>
  <c r="B185" i="4"/>
  <c r="B184" i="4"/>
  <c r="B184" i="5" s="1"/>
  <c r="B183" i="4"/>
  <c r="B182" i="4"/>
  <c r="B182" i="5" s="1"/>
  <c r="B181" i="4"/>
  <c r="B181" i="5" s="1"/>
  <c r="B180" i="4"/>
  <c r="B179" i="4"/>
  <c r="B179" i="5" s="1"/>
  <c r="B178" i="4"/>
  <c r="B177" i="4"/>
  <c r="B176" i="4"/>
  <c r="B176" i="5" s="1"/>
  <c r="B175" i="4"/>
  <c r="B174" i="4"/>
  <c r="B174" i="5" s="1"/>
  <c r="B173" i="4"/>
  <c r="B173" i="5" s="1"/>
  <c r="B172" i="4"/>
  <c r="B171" i="4"/>
  <c r="B171" i="5" s="1"/>
  <c r="B170" i="4"/>
  <c r="B169" i="4"/>
  <c r="B168" i="4"/>
  <c r="B168" i="5" s="1"/>
  <c r="B167" i="4"/>
  <c r="B166" i="4"/>
  <c r="B166" i="5" s="1"/>
  <c r="B165" i="4"/>
  <c r="B165" i="5" s="1"/>
  <c r="B164" i="4"/>
  <c r="B163" i="4"/>
  <c r="B163" i="5" s="1"/>
  <c r="B162" i="4"/>
  <c r="B161" i="4"/>
  <c r="B160" i="4"/>
  <c r="B160" i="5" s="1"/>
  <c r="B159" i="4"/>
  <c r="B158" i="4"/>
  <c r="B157" i="4"/>
  <c r="B157" i="5" s="1"/>
  <c r="B156" i="4"/>
  <c r="B155" i="4"/>
  <c r="B155" i="5" s="1"/>
  <c r="B154" i="4"/>
  <c r="B153" i="4"/>
  <c r="B152" i="4"/>
  <c r="B152" i="5" s="1"/>
  <c r="B151" i="4"/>
  <c r="B150" i="4"/>
  <c r="B150" i="5" s="1"/>
  <c r="B149" i="4"/>
  <c r="B149" i="5" s="1"/>
  <c r="B148" i="4"/>
  <c r="B147" i="4"/>
  <c r="B147" i="5" s="1"/>
  <c r="B146" i="4"/>
  <c r="B145" i="4"/>
  <c r="B144" i="4"/>
  <c r="B144" i="5" s="1"/>
  <c r="B143" i="4"/>
  <c r="B142" i="4"/>
  <c r="B142" i="5" s="1"/>
  <c r="B141" i="4"/>
  <c r="B141" i="5" s="1"/>
  <c r="B140" i="4"/>
  <c r="B139" i="4"/>
  <c r="B139" i="5" s="1"/>
  <c r="B138" i="4"/>
  <c r="B137" i="4"/>
  <c r="B136" i="4"/>
  <c r="B136" i="5" s="1"/>
  <c r="B135" i="4"/>
  <c r="B134" i="4"/>
  <c r="B134" i="5" s="1"/>
  <c r="B133" i="4"/>
  <c r="B132" i="4"/>
  <c r="B131" i="4"/>
  <c r="B131" i="5" s="1"/>
  <c r="B130" i="4"/>
  <c r="B129" i="4"/>
  <c r="B128" i="4"/>
  <c r="B128" i="5" s="1"/>
  <c r="B127" i="4"/>
  <c r="B126" i="4"/>
  <c r="B126" i="5" s="1"/>
  <c r="B125" i="4"/>
  <c r="B125" i="5" s="1"/>
  <c r="B124" i="4"/>
  <c r="B123" i="4"/>
  <c r="B123" i="5" s="1"/>
  <c r="B122" i="4"/>
  <c r="B121" i="4"/>
  <c r="B120" i="4"/>
  <c r="B120" i="5" s="1"/>
  <c r="B119" i="4"/>
  <c r="B118" i="4"/>
  <c r="B118" i="5" s="1"/>
  <c r="B117" i="4"/>
  <c r="B116" i="4"/>
  <c r="B115" i="4"/>
  <c r="B115" i="5" s="1"/>
  <c r="B114" i="4"/>
  <c r="B113" i="4"/>
  <c r="B112" i="4"/>
  <c r="B112" i="5" s="1"/>
  <c r="B111" i="4"/>
  <c r="B110" i="4"/>
  <c r="B110" i="5" s="1"/>
  <c r="B109" i="4"/>
  <c r="B109" i="5" s="1"/>
  <c r="B108" i="4"/>
  <c r="B107" i="4"/>
  <c r="B107" i="5" s="1"/>
  <c r="B106" i="4"/>
  <c r="B105" i="4"/>
  <c r="B104" i="4"/>
  <c r="B104" i="5" s="1"/>
  <c r="B103" i="4"/>
  <c r="B102" i="4"/>
  <c r="B102" i="5" s="1"/>
  <c r="B101" i="4"/>
  <c r="B100" i="4"/>
  <c r="B99" i="4"/>
  <c r="B99" i="5" s="1"/>
  <c r="B98" i="4"/>
  <c r="B97" i="4"/>
  <c r="B96" i="4"/>
  <c r="B96" i="5" s="1"/>
  <c r="B95" i="4"/>
  <c r="B94" i="4"/>
  <c r="B94" i="5" s="1"/>
  <c r="B93" i="4"/>
  <c r="B93" i="5" s="1"/>
  <c r="B92" i="4"/>
  <c r="B91" i="4"/>
  <c r="B91" i="5" s="1"/>
  <c r="B90" i="4"/>
  <c r="B89" i="4"/>
  <c r="B88" i="4"/>
  <c r="B88" i="5" s="1"/>
  <c r="B87" i="4"/>
  <c r="B86" i="4"/>
  <c r="B86" i="5" s="1"/>
  <c r="B85" i="4"/>
  <c r="B85" i="5" s="1"/>
  <c r="B84" i="4"/>
  <c r="B83" i="4"/>
  <c r="B83" i="5" s="1"/>
  <c r="B82" i="4"/>
  <c r="B81" i="4"/>
  <c r="B80" i="4"/>
  <c r="B80" i="5" s="1"/>
  <c r="B79" i="4"/>
  <c r="B78" i="4"/>
  <c r="B78" i="5" s="1"/>
  <c r="B77" i="4"/>
  <c r="B77" i="5" s="1"/>
  <c r="B76" i="4"/>
  <c r="B75" i="4"/>
  <c r="B75" i="5" s="1"/>
  <c r="B74" i="4"/>
  <c r="B73" i="4"/>
  <c r="B72" i="4"/>
  <c r="B72" i="5" s="1"/>
  <c r="B71" i="4"/>
  <c r="B70" i="4"/>
  <c r="B70" i="5" s="1"/>
  <c r="B69" i="4"/>
  <c r="B69" i="5" s="1"/>
  <c r="B68" i="4"/>
  <c r="B67" i="4"/>
  <c r="B67" i="5" s="1"/>
  <c r="B66" i="4"/>
  <c r="B65" i="4"/>
  <c r="B64" i="4"/>
  <c r="B64" i="5" s="1"/>
  <c r="B63" i="4"/>
  <c r="B62" i="4"/>
  <c r="B62" i="5" s="1"/>
  <c r="B61" i="4"/>
  <c r="B61" i="5" s="1"/>
  <c r="B60" i="4"/>
  <c r="B59" i="4"/>
  <c r="B59" i="5" s="1"/>
  <c r="B58" i="4"/>
  <c r="B57" i="4"/>
  <c r="B56" i="4"/>
  <c r="B56" i="5" s="1"/>
  <c r="B55" i="4"/>
  <c r="B54" i="4"/>
  <c r="B54" i="5" s="1"/>
  <c r="B53" i="4"/>
  <c r="B53" i="5" s="1"/>
  <c r="B52" i="4"/>
  <c r="B51" i="4"/>
  <c r="B51" i="5" s="1"/>
  <c r="B50" i="4"/>
  <c r="B49" i="4"/>
  <c r="B48" i="4"/>
  <c r="B48" i="5" s="1"/>
  <c r="B47" i="4"/>
  <c r="B46" i="4"/>
  <c r="B46" i="5" s="1"/>
  <c r="B45" i="4"/>
  <c r="B45" i="5" s="1"/>
  <c r="B44" i="4"/>
  <c r="B43" i="4"/>
  <c r="B43" i="5" s="1"/>
  <c r="B42" i="4"/>
  <c r="B41" i="4"/>
  <c r="B40" i="4"/>
  <c r="B40" i="5" s="1"/>
  <c r="B39" i="4"/>
  <c r="B38" i="4"/>
  <c r="B38" i="5" s="1"/>
  <c r="B37" i="4"/>
  <c r="B37" i="5" s="1"/>
  <c r="B36" i="4"/>
  <c r="B35" i="4"/>
  <c r="B35" i="5" s="1"/>
  <c r="B34" i="4"/>
  <c r="B33" i="4"/>
  <c r="B32" i="4"/>
  <c r="B32" i="5" s="1"/>
  <c r="B31" i="4"/>
  <c r="B30" i="4"/>
  <c r="B30" i="5" s="1"/>
  <c r="B29" i="4"/>
  <c r="B29" i="5" s="1"/>
  <c r="B28" i="4"/>
  <c r="B27" i="4"/>
  <c r="B27" i="5" s="1"/>
  <c r="B26" i="4"/>
  <c r="B25" i="4"/>
  <c r="B24" i="4"/>
  <c r="B24" i="5" s="1"/>
  <c r="B23" i="4"/>
  <c r="B22" i="4"/>
  <c r="B22" i="5" s="1"/>
  <c r="B21" i="4"/>
  <c r="B20" i="4"/>
  <c r="B19" i="4"/>
  <c r="B19" i="5" s="1"/>
  <c r="B18" i="4"/>
  <c r="B17" i="4"/>
  <c r="B16" i="4"/>
  <c r="B16" i="5" s="1"/>
  <c r="B15" i="4"/>
  <c r="B14" i="4"/>
  <c r="B13" i="4"/>
  <c r="B13" i="5" s="1"/>
  <c r="B12" i="4"/>
  <c r="B12" i="5" s="1"/>
  <c r="B11" i="4"/>
  <c r="B10" i="4"/>
  <c r="B10" i="5" s="1"/>
  <c r="B9" i="4"/>
  <c r="B8" i="4"/>
  <c r="B8" i="5" s="1"/>
  <c r="B7" i="4"/>
  <c r="B6" i="4"/>
  <c r="B5" i="4"/>
  <c r="C6" i="4" s="1"/>
  <c r="B767" i="3"/>
  <c r="B766" i="3"/>
  <c r="B765" i="3"/>
  <c r="B764" i="3"/>
  <c r="D763" i="3"/>
  <c r="B763" i="3"/>
  <c r="C764" i="3" s="1"/>
  <c r="B762" i="3"/>
  <c r="B761" i="3"/>
  <c r="D760" i="3"/>
  <c r="C760" i="3"/>
  <c r="B760" i="3"/>
  <c r="B759" i="3"/>
  <c r="B758" i="3"/>
  <c r="C758" i="3" s="1"/>
  <c r="D757" i="3"/>
  <c r="C757" i="3"/>
  <c r="B757" i="3"/>
  <c r="B756" i="3"/>
  <c r="B755" i="3"/>
  <c r="C756" i="3" s="1"/>
  <c r="D754" i="3"/>
  <c r="C754" i="3"/>
  <c r="B754" i="3"/>
  <c r="D766" i="3" s="1"/>
  <c r="B753" i="3"/>
  <c r="C753" i="3" s="1"/>
  <c r="C752" i="3"/>
  <c r="B752" i="3"/>
  <c r="D764" i="3" s="1"/>
  <c r="D751" i="3"/>
  <c r="B751" i="3"/>
  <c r="B750" i="3"/>
  <c r="D762" i="3" s="1"/>
  <c r="B749" i="3"/>
  <c r="B748" i="3"/>
  <c r="B747" i="3"/>
  <c r="D746" i="3"/>
  <c r="C746" i="3"/>
  <c r="B746" i="3"/>
  <c r="B745" i="3"/>
  <c r="B744" i="3"/>
  <c r="D743" i="3"/>
  <c r="B743" i="3"/>
  <c r="C743" i="3" s="1"/>
  <c r="B742" i="3"/>
  <c r="B741" i="3"/>
  <c r="D753" i="3" s="1"/>
  <c r="B740" i="3"/>
  <c r="D739" i="3"/>
  <c r="C739" i="3"/>
  <c r="B739" i="3"/>
  <c r="C740" i="3" s="1"/>
  <c r="B738" i="3"/>
  <c r="B737" i="3"/>
  <c r="D749" i="3" s="1"/>
  <c r="B736" i="3"/>
  <c r="D748" i="3" s="1"/>
  <c r="B735" i="3"/>
  <c r="B734" i="3"/>
  <c r="C733" i="3"/>
  <c r="B733" i="3"/>
  <c r="B732" i="3"/>
  <c r="D731" i="3"/>
  <c r="B731" i="3"/>
  <c r="C732" i="3" s="1"/>
  <c r="B730" i="3"/>
  <c r="D742" i="3" s="1"/>
  <c r="B729" i="3"/>
  <c r="D728" i="3"/>
  <c r="C728" i="3"/>
  <c r="B728" i="3"/>
  <c r="D740" i="3" s="1"/>
  <c r="B727" i="3"/>
  <c r="B726" i="3"/>
  <c r="D725" i="3"/>
  <c r="C725" i="3"/>
  <c r="B725" i="3"/>
  <c r="B724" i="3"/>
  <c r="B723" i="3"/>
  <c r="C724" i="3" s="1"/>
  <c r="D722" i="3"/>
  <c r="C722" i="3"/>
  <c r="B722" i="3"/>
  <c r="D734" i="3" s="1"/>
  <c r="B721" i="3"/>
  <c r="C721" i="3" s="1"/>
  <c r="C720" i="3"/>
  <c r="B720" i="3"/>
  <c r="D732" i="3" s="1"/>
  <c r="D719" i="3"/>
  <c r="B719" i="3"/>
  <c r="C719" i="3" s="1"/>
  <c r="C718" i="3"/>
  <c r="B718" i="3"/>
  <c r="D730" i="3" s="1"/>
  <c r="B717" i="3"/>
  <c r="B716" i="3"/>
  <c r="B715" i="3"/>
  <c r="D714" i="3"/>
  <c r="C714" i="3"/>
  <c r="B714" i="3"/>
  <c r="B713" i="3"/>
  <c r="B712" i="3"/>
  <c r="B711" i="3"/>
  <c r="C711" i="3" s="1"/>
  <c r="B710" i="3"/>
  <c r="B709" i="3"/>
  <c r="D721" i="3" s="1"/>
  <c r="C708" i="3"/>
  <c r="B708" i="3"/>
  <c r="C707" i="3"/>
  <c r="B707" i="3"/>
  <c r="D706" i="3"/>
  <c r="B706" i="3"/>
  <c r="D705" i="3"/>
  <c r="B705" i="3"/>
  <c r="D704" i="3"/>
  <c r="C704" i="3"/>
  <c r="B704" i="3"/>
  <c r="D716" i="3" s="1"/>
  <c r="D703" i="3"/>
  <c r="B703" i="3"/>
  <c r="B702" i="3"/>
  <c r="C702" i="3" s="1"/>
  <c r="D701" i="3"/>
  <c r="C701" i="3"/>
  <c r="B701" i="3"/>
  <c r="D713" i="3" s="1"/>
  <c r="B700" i="3"/>
  <c r="B699" i="3"/>
  <c r="D711" i="3" s="1"/>
  <c r="C698" i="3"/>
  <c r="B698" i="3"/>
  <c r="D710" i="3" s="1"/>
  <c r="B697" i="3"/>
  <c r="B696" i="3"/>
  <c r="B695" i="3"/>
  <c r="C695" i="3" s="1"/>
  <c r="B694" i="3"/>
  <c r="B693" i="3"/>
  <c r="C693" i="3" s="1"/>
  <c r="C692" i="3"/>
  <c r="B692" i="3"/>
  <c r="D691" i="3"/>
  <c r="C691" i="3"/>
  <c r="B691" i="3"/>
  <c r="B690" i="3"/>
  <c r="D689" i="3"/>
  <c r="B689" i="3"/>
  <c r="D688" i="3"/>
  <c r="B688" i="3"/>
  <c r="D700" i="3" s="1"/>
  <c r="B687" i="3"/>
  <c r="D699" i="3" s="1"/>
  <c r="C686" i="3"/>
  <c r="B686" i="3"/>
  <c r="D698" i="3" s="1"/>
  <c r="D685" i="3"/>
  <c r="C685" i="3"/>
  <c r="B685" i="3"/>
  <c r="D697" i="3" s="1"/>
  <c r="B684" i="3"/>
  <c r="B683" i="3"/>
  <c r="C684" i="3" s="1"/>
  <c r="D682" i="3"/>
  <c r="B682" i="3"/>
  <c r="D694" i="3" s="1"/>
  <c r="B681" i="3"/>
  <c r="D693" i="3" s="1"/>
  <c r="B680" i="3"/>
  <c r="D692" i="3" s="1"/>
  <c r="D679" i="3"/>
  <c r="B679" i="3"/>
  <c r="C679" i="3" s="1"/>
  <c r="B678" i="3"/>
  <c r="D690" i="3" s="1"/>
  <c r="C677" i="3"/>
  <c r="B677" i="3"/>
  <c r="D677" i="3" s="1"/>
  <c r="D676" i="3"/>
  <c r="B676" i="3"/>
  <c r="B675" i="3"/>
  <c r="D674" i="3"/>
  <c r="C674" i="3"/>
  <c r="B674" i="3"/>
  <c r="B673" i="3"/>
  <c r="B672" i="3"/>
  <c r="D671" i="3"/>
  <c r="C671" i="3"/>
  <c r="B671" i="3"/>
  <c r="B670" i="3"/>
  <c r="C670" i="3" s="1"/>
  <c r="B669" i="3"/>
  <c r="D668" i="3"/>
  <c r="C668" i="3"/>
  <c r="B668" i="3"/>
  <c r="B667" i="3"/>
  <c r="B666" i="3"/>
  <c r="D665" i="3"/>
  <c r="B665" i="3"/>
  <c r="C665" i="3" s="1"/>
  <c r="B664" i="3"/>
  <c r="D664" i="3" s="1"/>
  <c r="C663" i="3"/>
  <c r="B663" i="3"/>
  <c r="C662" i="3"/>
  <c r="B662" i="3"/>
  <c r="C661" i="3"/>
  <c r="B661" i="3"/>
  <c r="D673" i="3" s="1"/>
  <c r="C660" i="3"/>
  <c r="B660" i="3"/>
  <c r="D659" i="3"/>
  <c r="B659" i="3"/>
  <c r="B658" i="3"/>
  <c r="D670" i="3" s="1"/>
  <c r="B657" i="3"/>
  <c r="D656" i="3"/>
  <c r="B656" i="3"/>
  <c r="B655" i="3"/>
  <c r="D667" i="3" s="1"/>
  <c r="C654" i="3"/>
  <c r="B654" i="3"/>
  <c r="D653" i="3"/>
  <c r="C653" i="3"/>
  <c r="B653" i="3"/>
  <c r="B652" i="3"/>
  <c r="D651" i="3"/>
  <c r="B651" i="3"/>
  <c r="D650" i="3"/>
  <c r="B650" i="3"/>
  <c r="B649" i="3"/>
  <c r="D648" i="3"/>
  <c r="C648" i="3"/>
  <c r="B648" i="3"/>
  <c r="D660" i="3" s="1"/>
  <c r="D647" i="3"/>
  <c r="B647" i="3"/>
  <c r="C647" i="3" s="1"/>
  <c r="B646" i="3"/>
  <c r="D658" i="3" s="1"/>
  <c r="B645" i="3"/>
  <c r="D645" i="3" s="1"/>
  <c r="D644" i="3"/>
  <c r="B644" i="3"/>
  <c r="B643" i="3"/>
  <c r="D642" i="3"/>
  <c r="C642" i="3"/>
  <c r="B642" i="3"/>
  <c r="B641" i="3"/>
  <c r="B640" i="3"/>
  <c r="D639" i="3"/>
  <c r="C639" i="3"/>
  <c r="B639" i="3"/>
  <c r="B638" i="3"/>
  <c r="C638" i="3" s="1"/>
  <c r="B637" i="3"/>
  <c r="D636" i="3"/>
  <c r="C636" i="3"/>
  <c r="B636" i="3"/>
  <c r="B635" i="3"/>
  <c r="C634" i="3"/>
  <c r="B634" i="3"/>
  <c r="D633" i="3"/>
  <c r="B633" i="3"/>
  <c r="C633" i="3" s="1"/>
  <c r="B632" i="3"/>
  <c r="D632" i="3" s="1"/>
  <c r="B631" i="3"/>
  <c r="C630" i="3"/>
  <c r="B630" i="3"/>
  <c r="C629" i="3"/>
  <c r="B629" i="3"/>
  <c r="D641" i="3" s="1"/>
  <c r="C628" i="3"/>
  <c r="B628" i="3"/>
  <c r="D627" i="3"/>
  <c r="B627" i="3"/>
  <c r="B626" i="3"/>
  <c r="D638" i="3" s="1"/>
  <c r="D625" i="3"/>
  <c r="B625" i="3"/>
  <c r="D624" i="3"/>
  <c r="B624" i="3"/>
  <c r="B623" i="3"/>
  <c r="D635" i="3" s="1"/>
  <c r="B622" i="3"/>
  <c r="D634" i="3" s="1"/>
  <c r="D621" i="3"/>
  <c r="C621" i="3"/>
  <c r="B621" i="3"/>
  <c r="B620" i="3"/>
  <c r="B619" i="3"/>
  <c r="D618" i="3"/>
  <c r="B618" i="3"/>
  <c r="B617" i="3"/>
  <c r="C616" i="3"/>
  <c r="B616" i="3"/>
  <c r="D628" i="3" s="1"/>
  <c r="D615" i="3"/>
  <c r="B615" i="3"/>
  <c r="C615" i="3" s="1"/>
  <c r="B614" i="3"/>
  <c r="D626" i="3" s="1"/>
  <c r="D613" i="3"/>
  <c r="C613" i="3"/>
  <c r="B613" i="3"/>
  <c r="D612" i="3"/>
  <c r="B612" i="3"/>
  <c r="B611" i="3"/>
  <c r="D610" i="3"/>
  <c r="C610" i="3"/>
  <c r="B610" i="3"/>
  <c r="B609" i="3"/>
  <c r="B608" i="3"/>
  <c r="D607" i="3"/>
  <c r="C607" i="3"/>
  <c r="B607" i="3"/>
  <c r="B606" i="3"/>
  <c r="B605" i="3"/>
  <c r="D604" i="3"/>
  <c r="C604" i="3"/>
  <c r="B604" i="3"/>
  <c r="B603" i="3"/>
  <c r="B602" i="3"/>
  <c r="D601" i="3"/>
  <c r="B601" i="3"/>
  <c r="C601" i="3" s="1"/>
  <c r="B600" i="3"/>
  <c r="D600" i="3" s="1"/>
  <c r="C599" i="3"/>
  <c r="B599" i="3"/>
  <c r="C598" i="3"/>
  <c r="B598" i="3"/>
  <c r="C597" i="3"/>
  <c r="B597" i="3"/>
  <c r="D609" i="3" s="1"/>
  <c r="C596" i="3"/>
  <c r="B596" i="3"/>
  <c r="D595" i="3"/>
  <c r="B595" i="3"/>
  <c r="B594" i="3"/>
  <c r="D606" i="3" s="1"/>
  <c r="B593" i="3"/>
  <c r="D592" i="3"/>
  <c r="B592" i="3"/>
  <c r="B591" i="3"/>
  <c r="D603" i="3" s="1"/>
  <c r="C590" i="3"/>
  <c r="B590" i="3"/>
  <c r="D589" i="3"/>
  <c r="C589" i="3"/>
  <c r="B589" i="3"/>
  <c r="B588" i="3"/>
  <c r="D587" i="3"/>
  <c r="C587" i="3"/>
  <c r="B587" i="3"/>
  <c r="D586" i="3"/>
  <c r="B586" i="3"/>
  <c r="B585" i="3"/>
  <c r="B584" i="3"/>
  <c r="D596" i="3" s="1"/>
  <c r="D583" i="3"/>
  <c r="B583" i="3"/>
  <c r="C583" i="3" s="1"/>
  <c r="B582" i="3"/>
  <c r="D594" i="3" s="1"/>
  <c r="B581" i="3"/>
  <c r="D581" i="3" s="1"/>
  <c r="D580" i="3"/>
  <c r="B580" i="3"/>
  <c r="B579" i="3"/>
  <c r="D578" i="3"/>
  <c r="C578" i="3"/>
  <c r="B578" i="3"/>
  <c r="B577" i="3"/>
  <c r="B576" i="3"/>
  <c r="D575" i="3"/>
  <c r="C575" i="3"/>
  <c r="B575" i="3"/>
  <c r="B574" i="3"/>
  <c r="C574" i="3" s="1"/>
  <c r="B573" i="3"/>
  <c r="D572" i="3"/>
  <c r="C572" i="3"/>
  <c r="B572" i="3"/>
  <c r="B571" i="3"/>
  <c r="C570" i="3"/>
  <c r="B570" i="3"/>
  <c r="D569" i="3"/>
  <c r="B569" i="3"/>
  <c r="C569" i="3" s="1"/>
  <c r="B568" i="3"/>
  <c r="D568" i="3" s="1"/>
  <c r="B567" i="3"/>
  <c r="C566" i="3"/>
  <c r="B566" i="3"/>
  <c r="C565" i="3"/>
  <c r="B565" i="3"/>
  <c r="D577" i="3" s="1"/>
  <c r="C564" i="3"/>
  <c r="B564" i="3"/>
  <c r="D563" i="3"/>
  <c r="B563" i="3"/>
  <c r="B562" i="3"/>
  <c r="D574" i="3" s="1"/>
  <c r="D561" i="3"/>
  <c r="B561" i="3"/>
  <c r="D560" i="3"/>
  <c r="B560" i="3"/>
  <c r="B559" i="3"/>
  <c r="D571" i="3" s="1"/>
  <c r="B558" i="3"/>
  <c r="D557" i="3"/>
  <c r="C557" i="3"/>
  <c r="B557" i="3"/>
  <c r="B556" i="3"/>
  <c r="C555" i="3"/>
  <c r="B555" i="3"/>
  <c r="D554" i="3"/>
  <c r="B554" i="3"/>
  <c r="B553" i="3"/>
  <c r="D552" i="3"/>
  <c r="C552" i="3"/>
  <c r="B552" i="3"/>
  <c r="D564" i="3" s="1"/>
  <c r="D551" i="3"/>
  <c r="B551" i="3"/>
  <c r="C551" i="3" s="1"/>
  <c r="B550" i="3"/>
  <c r="D562" i="3" s="1"/>
  <c r="C549" i="3"/>
  <c r="B549" i="3"/>
  <c r="D549" i="3" s="1"/>
  <c r="D548" i="3"/>
  <c r="B548" i="3"/>
  <c r="B547" i="3"/>
  <c r="D546" i="3"/>
  <c r="C546" i="3"/>
  <c r="B546" i="3"/>
  <c r="B545" i="3"/>
  <c r="B544" i="3"/>
  <c r="D543" i="3"/>
  <c r="C543" i="3"/>
  <c r="B543" i="3"/>
  <c r="B542" i="3"/>
  <c r="B541" i="3"/>
  <c r="D540" i="3"/>
  <c r="C540" i="3"/>
  <c r="B540" i="3"/>
  <c r="B539" i="3"/>
  <c r="B538" i="3"/>
  <c r="D537" i="3"/>
  <c r="B537" i="3"/>
  <c r="C537" i="3" s="1"/>
  <c r="B536" i="3"/>
  <c r="D536" i="3" s="1"/>
  <c r="C535" i="3"/>
  <c r="B535" i="3"/>
  <c r="C534" i="3"/>
  <c r="B534" i="3"/>
  <c r="C533" i="3"/>
  <c r="B533" i="3"/>
  <c r="D545" i="3" s="1"/>
  <c r="C532" i="3"/>
  <c r="B532" i="3"/>
  <c r="D531" i="3"/>
  <c r="B531" i="3"/>
  <c r="B530" i="3"/>
  <c r="D542" i="3" s="1"/>
  <c r="B529" i="3"/>
  <c r="D528" i="3"/>
  <c r="B528" i="3"/>
  <c r="B527" i="3"/>
  <c r="D539" i="3" s="1"/>
  <c r="C526" i="3"/>
  <c r="B526" i="3"/>
  <c r="D538" i="3" s="1"/>
  <c r="D525" i="3"/>
  <c r="C525" i="3"/>
  <c r="B525" i="3"/>
  <c r="B524" i="3"/>
  <c r="B523" i="3"/>
  <c r="D522" i="3"/>
  <c r="B522" i="3"/>
  <c r="B521" i="3"/>
  <c r="B520" i="3"/>
  <c r="D532" i="3" s="1"/>
  <c r="D519" i="3"/>
  <c r="B519" i="3"/>
  <c r="C519" i="3" s="1"/>
  <c r="B518" i="3"/>
  <c r="D530" i="3" s="1"/>
  <c r="D517" i="3"/>
  <c r="B517" i="3"/>
  <c r="D529" i="3" s="1"/>
  <c r="D516" i="3"/>
  <c r="B516" i="3"/>
  <c r="B515" i="3"/>
  <c r="D514" i="3"/>
  <c r="C514" i="3"/>
  <c r="B514" i="3"/>
  <c r="B513" i="3"/>
  <c r="B512" i="3"/>
  <c r="D511" i="3"/>
  <c r="C511" i="3"/>
  <c r="B511" i="3"/>
  <c r="B510" i="3"/>
  <c r="C510" i="3" s="1"/>
  <c r="B509" i="3"/>
  <c r="D508" i="3"/>
  <c r="C508" i="3"/>
  <c r="B508" i="3"/>
  <c r="B507" i="3"/>
  <c r="B506" i="3"/>
  <c r="D505" i="3"/>
  <c r="B505" i="3"/>
  <c r="C505" i="3" s="1"/>
  <c r="B504" i="3"/>
  <c r="D504" i="3" s="1"/>
  <c r="B503" i="3"/>
  <c r="C502" i="3"/>
  <c r="B502" i="3"/>
  <c r="C501" i="3"/>
  <c r="B501" i="3"/>
  <c r="D513" i="3" s="1"/>
  <c r="C500" i="3"/>
  <c r="B500" i="3"/>
  <c r="D499" i="3"/>
  <c r="B499" i="3"/>
  <c r="B498" i="3"/>
  <c r="D510" i="3" s="1"/>
  <c r="B497" i="3"/>
  <c r="D496" i="3"/>
  <c r="B496" i="3"/>
  <c r="B495" i="3"/>
  <c r="D507" i="3" s="1"/>
  <c r="B494" i="3"/>
  <c r="D493" i="3"/>
  <c r="C493" i="3"/>
  <c r="B493" i="3"/>
  <c r="B492" i="3"/>
  <c r="D491" i="3"/>
  <c r="C491" i="3"/>
  <c r="B491" i="3"/>
  <c r="D490" i="3"/>
  <c r="B490" i="3"/>
  <c r="B489" i="3"/>
  <c r="C488" i="3"/>
  <c r="B488" i="3"/>
  <c r="D500" i="3" s="1"/>
  <c r="D487" i="3"/>
  <c r="B487" i="3"/>
  <c r="C487" i="3" s="1"/>
  <c r="B486" i="3"/>
  <c r="D498" i="3" s="1"/>
  <c r="B485" i="3"/>
  <c r="D485" i="3" s="1"/>
  <c r="D484" i="3"/>
  <c r="B484" i="3"/>
  <c r="B483" i="3"/>
  <c r="D482" i="3"/>
  <c r="C482" i="3"/>
  <c r="B482" i="3"/>
  <c r="B481" i="3"/>
  <c r="B480" i="3"/>
  <c r="D479" i="3"/>
  <c r="C479" i="3"/>
  <c r="B479" i="3"/>
  <c r="B478" i="3"/>
  <c r="B477" i="3"/>
  <c r="D476" i="3"/>
  <c r="C476" i="3"/>
  <c r="B476" i="3"/>
  <c r="B475" i="3"/>
  <c r="C474" i="3"/>
  <c r="B474" i="3"/>
  <c r="D473" i="3"/>
  <c r="B473" i="3"/>
  <c r="C473" i="3" s="1"/>
  <c r="B472" i="3"/>
  <c r="D472" i="3" s="1"/>
  <c r="B471" i="3"/>
  <c r="C470" i="3"/>
  <c r="B470" i="3"/>
  <c r="C469" i="3"/>
  <c r="B469" i="3"/>
  <c r="D481" i="3" s="1"/>
  <c r="C468" i="3"/>
  <c r="B468" i="3"/>
  <c r="D467" i="3"/>
  <c r="B467" i="3"/>
  <c r="B466" i="3"/>
  <c r="D478" i="3" s="1"/>
  <c r="D465" i="3"/>
  <c r="B465" i="3"/>
  <c r="D464" i="3"/>
  <c r="B464" i="3"/>
  <c r="B463" i="3"/>
  <c r="D475" i="3" s="1"/>
  <c r="C462" i="3"/>
  <c r="B462" i="3"/>
  <c r="D474" i="3" s="1"/>
  <c r="D461" i="3"/>
  <c r="C461" i="3"/>
  <c r="B461" i="3"/>
  <c r="B460" i="3"/>
  <c r="B459" i="3"/>
  <c r="D458" i="3"/>
  <c r="B458" i="3"/>
  <c r="B457" i="3"/>
  <c r="D456" i="3"/>
  <c r="B456" i="3"/>
  <c r="D468" i="3" s="1"/>
  <c r="D455" i="3"/>
  <c r="B455" i="3"/>
  <c r="C455" i="3" s="1"/>
  <c r="B454" i="3"/>
  <c r="D466" i="3" s="1"/>
  <c r="D453" i="3"/>
  <c r="C453" i="3"/>
  <c r="B453" i="3"/>
  <c r="D452" i="3"/>
  <c r="B452" i="3"/>
  <c r="B451" i="3"/>
  <c r="D450" i="3"/>
  <c r="C450" i="3"/>
  <c r="B450" i="3"/>
  <c r="B449" i="3"/>
  <c r="B448" i="3"/>
  <c r="D447" i="3"/>
  <c r="C447" i="3"/>
  <c r="B447" i="3"/>
  <c r="B446" i="3"/>
  <c r="B445" i="3"/>
  <c r="D444" i="3"/>
  <c r="C444" i="3"/>
  <c r="B444" i="3"/>
  <c r="B443" i="3"/>
  <c r="C442" i="3"/>
  <c r="B442" i="3"/>
  <c r="D441" i="3"/>
  <c r="B441" i="3"/>
  <c r="C441" i="3" s="1"/>
  <c r="B440" i="3"/>
  <c r="D440" i="3" s="1"/>
  <c r="C439" i="3"/>
  <c r="B439" i="3"/>
  <c r="C438" i="3"/>
  <c r="B438" i="3"/>
  <c r="C437" i="3"/>
  <c r="B437" i="3"/>
  <c r="D449" i="3" s="1"/>
  <c r="C436" i="3"/>
  <c r="B436" i="3"/>
  <c r="D435" i="3"/>
  <c r="B435" i="3"/>
  <c r="B434" i="3"/>
  <c r="D446" i="3" s="1"/>
  <c r="D433" i="3"/>
  <c r="B433" i="3"/>
  <c r="D432" i="3"/>
  <c r="B432" i="3"/>
  <c r="B431" i="3"/>
  <c r="D443" i="3" s="1"/>
  <c r="C430" i="3"/>
  <c r="B430" i="3"/>
  <c r="D442" i="3" s="1"/>
  <c r="D429" i="3"/>
  <c r="C429" i="3"/>
  <c r="B429" i="3"/>
  <c r="B428" i="3"/>
  <c r="B427" i="3"/>
  <c r="D426" i="3"/>
  <c r="B426" i="3"/>
  <c r="B425" i="3"/>
  <c r="B424" i="3"/>
  <c r="D436" i="3" s="1"/>
  <c r="D423" i="3"/>
  <c r="B423" i="3"/>
  <c r="C423" i="3" s="1"/>
  <c r="B422" i="3"/>
  <c r="D434" i="3" s="1"/>
  <c r="C421" i="3"/>
  <c r="B421" i="3"/>
  <c r="D421" i="3" s="1"/>
  <c r="D420" i="3"/>
  <c r="B420" i="3"/>
  <c r="B419" i="3"/>
  <c r="D418" i="3"/>
  <c r="C418" i="3"/>
  <c r="B418" i="3"/>
  <c r="B417" i="3"/>
  <c r="B416" i="3"/>
  <c r="D415" i="3"/>
  <c r="C415" i="3"/>
  <c r="B415" i="3"/>
  <c r="B414" i="3"/>
  <c r="C414" i="3" s="1"/>
  <c r="B413" i="3"/>
  <c r="D412" i="3"/>
  <c r="C412" i="3"/>
  <c r="B412" i="3"/>
  <c r="B411" i="3"/>
  <c r="B410" i="3"/>
  <c r="D409" i="3"/>
  <c r="B409" i="3"/>
  <c r="C409" i="3" s="1"/>
  <c r="B408" i="3"/>
  <c r="D408" i="3" s="1"/>
  <c r="C407" i="3"/>
  <c r="B407" i="3"/>
  <c r="C406" i="3"/>
  <c r="B406" i="3"/>
  <c r="C405" i="3"/>
  <c r="B405" i="3"/>
  <c r="D417" i="3" s="1"/>
  <c r="C404" i="3"/>
  <c r="B404" i="3"/>
  <c r="D403" i="3"/>
  <c r="B403" i="3"/>
  <c r="B402" i="3"/>
  <c r="D414" i="3" s="1"/>
  <c r="B401" i="3"/>
  <c r="D400" i="3"/>
  <c r="B400" i="3"/>
  <c r="B399" i="3"/>
  <c r="D411" i="3" s="1"/>
  <c r="C398" i="3"/>
  <c r="B398" i="3"/>
  <c r="D397" i="3"/>
  <c r="C397" i="3"/>
  <c r="B397" i="3"/>
  <c r="B396" i="3"/>
  <c r="D395" i="3"/>
  <c r="B395" i="3"/>
  <c r="D394" i="3"/>
  <c r="B394" i="3"/>
  <c r="B393" i="3"/>
  <c r="D392" i="3"/>
  <c r="C392" i="3"/>
  <c r="B392" i="3"/>
  <c r="D404" i="3" s="1"/>
  <c r="D391" i="3"/>
  <c r="B391" i="3"/>
  <c r="C391" i="3" s="1"/>
  <c r="B390" i="3"/>
  <c r="D402" i="3" s="1"/>
  <c r="B389" i="3"/>
  <c r="D389" i="3" s="1"/>
  <c r="D388" i="3"/>
  <c r="B388" i="3"/>
  <c r="B387" i="3"/>
  <c r="D386" i="3"/>
  <c r="C386" i="3"/>
  <c r="B386" i="3"/>
  <c r="B385" i="3"/>
  <c r="B384" i="3"/>
  <c r="D383" i="3"/>
  <c r="C383" i="3"/>
  <c r="B383" i="3"/>
  <c r="B382" i="3"/>
  <c r="C382" i="3" s="1"/>
  <c r="B381" i="3"/>
  <c r="D380" i="3"/>
  <c r="C380" i="3"/>
  <c r="B380" i="3"/>
  <c r="B379" i="3"/>
  <c r="C378" i="3"/>
  <c r="B378" i="3"/>
  <c r="D377" i="3"/>
  <c r="B377" i="3"/>
  <c r="C377" i="3" s="1"/>
  <c r="B376" i="3"/>
  <c r="D376" i="3" s="1"/>
  <c r="B375" i="3"/>
  <c r="C374" i="3"/>
  <c r="B374" i="3"/>
  <c r="C373" i="3"/>
  <c r="B373" i="3"/>
  <c r="D385" i="3" s="1"/>
  <c r="C372" i="3"/>
  <c r="B372" i="3"/>
  <c r="D371" i="3"/>
  <c r="B371" i="3"/>
  <c r="B370" i="3"/>
  <c r="D382" i="3" s="1"/>
  <c r="D369" i="3"/>
  <c r="B369" i="3"/>
  <c r="D368" i="3"/>
  <c r="B368" i="3"/>
  <c r="B367" i="3"/>
  <c r="D379" i="3" s="1"/>
  <c r="B366" i="3"/>
  <c r="D378" i="3" s="1"/>
  <c r="D365" i="3"/>
  <c r="C365" i="3"/>
  <c r="B365" i="3"/>
  <c r="B364" i="3"/>
  <c r="B363" i="3"/>
  <c r="D362" i="3"/>
  <c r="B362" i="3"/>
  <c r="B361" i="3"/>
  <c r="C360" i="3"/>
  <c r="B360" i="3"/>
  <c r="D372" i="3" s="1"/>
  <c r="D359" i="3"/>
  <c r="B359" i="3"/>
  <c r="C359" i="3" s="1"/>
  <c r="B358" i="3"/>
  <c r="D370" i="3" s="1"/>
  <c r="D357" i="3"/>
  <c r="C357" i="3"/>
  <c r="B357" i="3"/>
  <c r="D356" i="3"/>
  <c r="B356" i="3"/>
  <c r="B355" i="3"/>
  <c r="D354" i="3"/>
  <c r="C354" i="3"/>
  <c r="B354" i="3"/>
  <c r="B353" i="3"/>
  <c r="B352" i="3"/>
  <c r="D351" i="3"/>
  <c r="C351" i="3"/>
  <c r="B351" i="3"/>
  <c r="B350" i="3"/>
  <c r="B349" i="3"/>
  <c r="D348" i="3"/>
  <c r="C348" i="3"/>
  <c r="B348" i="3"/>
  <c r="B347" i="3"/>
  <c r="B346" i="3"/>
  <c r="D345" i="3"/>
  <c r="B345" i="3"/>
  <c r="C345" i="3" s="1"/>
  <c r="B344" i="3"/>
  <c r="D344" i="3" s="1"/>
  <c r="C343" i="3"/>
  <c r="B343" i="3"/>
  <c r="C342" i="3"/>
  <c r="B342" i="3"/>
  <c r="C341" i="3"/>
  <c r="B341" i="3"/>
  <c r="D353" i="3" s="1"/>
  <c r="C340" i="3"/>
  <c r="B340" i="3"/>
  <c r="D339" i="3"/>
  <c r="B339" i="3"/>
  <c r="B338" i="3"/>
  <c r="D350" i="3" s="1"/>
  <c r="B337" i="3"/>
  <c r="D336" i="3"/>
  <c r="B336" i="3"/>
  <c r="B335" i="3"/>
  <c r="D347" i="3" s="1"/>
  <c r="C334" i="3"/>
  <c r="B334" i="3"/>
  <c r="D333" i="3"/>
  <c r="C333" i="3"/>
  <c r="B333" i="3"/>
  <c r="B332" i="3"/>
  <c r="D331" i="3"/>
  <c r="C331" i="3"/>
  <c r="B331" i="3"/>
  <c r="D330" i="3"/>
  <c r="B330" i="3"/>
  <c r="B329" i="3"/>
  <c r="B328" i="3"/>
  <c r="D340" i="3" s="1"/>
  <c r="D327" i="3"/>
  <c r="B327" i="3"/>
  <c r="C327" i="3" s="1"/>
  <c r="B326" i="3"/>
  <c r="D338" i="3" s="1"/>
  <c r="B325" i="3"/>
  <c r="D325" i="3" s="1"/>
  <c r="D324" i="3"/>
  <c r="B324" i="3"/>
  <c r="B323" i="3"/>
  <c r="D322" i="3"/>
  <c r="C322" i="3"/>
  <c r="B322" i="3"/>
  <c r="B321" i="3"/>
  <c r="B320" i="3"/>
  <c r="D319" i="3"/>
  <c r="C319" i="3"/>
  <c r="B319" i="3"/>
  <c r="B318" i="3"/>
  <c r="C318" i="3" s="1"/>
  <c r="B317" i="3"/>
  <c r="D316" i="3"/>
  <c r="C316" i="3"/>
  <c r="B316" i="3"/>
  <c r="B315" i="3"/>
  <c r="C314" i="3"/>
  <c r="B314" i="3"/>
  <c r="D313" i="3"/>
  <c r="B313" i="3"/>
  <c r="C313" i="3" s="1"/>
  <c r="B312" i="3"/>
  <c r="D312" i="3" s="1"/>
  <c r="B311" i="3"/>
  <c r="C310" i="3"/>
  <c r="B310" i="3"/>
  <c r="C309" i="3"/>
  <c r="B309" i="3"/>
  <c r="D321" i="3" s="1"/>
  <c r="C308" i="3"/>
  <c r="B308" i="3"/>
  <c r="D307" i="3"/>
  <c r="B307" i="3"/>
  <c r="B306" i="3"/>
  <c r="D318" i="3" s="1"/>
  <c r="D305" i="3"/>
  <c r="B305" i="3"/>
  <c r="D304" i="3"/>
  <c r="B304" i="3"/>
  <c r="B303" i="3"/>
  <c r="D315" i="3" s="1"/>
  <c r="B302" i="3"/>
  <c r="D301" i="3"/>
  <c r="C301" i="3"/>
  <c r="B301" i="3"/>
  <c r="B300" i="3"/>
  <c r="C299" i="3"/>
  <c r="B299" i="3"/>
  <c r="D298" i="3"/>
  <c r="B298" i="3"/>
  <c r="B297" i="3"/>
  <c r="D296" i="3"/>
  <c r="C296" i="3"/>
  <c r="B296" i="3"/>
  <c r="D308" i="3" s="1"/>
  <c r="D295" i="3"/>
  <c r="B295" i="3"/>
  <c r="C295" i="3" s="1"/>
  <c r="B294" i="3"/>
  <c r="D306" i="3" s="1"/>
  <c r="C293" i="3"/>
  <c r="B293" i="3"/>
  <c r="D293" i="3" s="1"/>
  <c r="D292" i="3"/>
  <c r="B292" i="3"/>
  <c r="B291" i="3"/>
  <c r="D290" i="3"/>
  <c r="C290" i="3"/>
  <c r="B290" i="3"/>
  <c r="B289" i="3"/>
  <c r="B288" i="3"/>
  <c r="D287" i="3"/>
  <c r="C287" i="3"/>
  <c r="B287" i="3"/>
  <c r="B286" i="3"/>
  <c r="B285" i="3"/>
  <c r="D284" i="3"/>
  <c r="C284" i="3"/>
  <c r="B284" i="3"/>
  <c r="B283" i="3"/>
  <c r="B282" i="3"/>
  <c r="D281" i="3"/>
  <c r="B281" i="3"/>
  <c r="C281" i="3" s="1"/>
  <c r="B280" i="3"/>
  <c r="C279" i="3"/>
  <c r="B279" i="3"/>
  <c r="C278" i="3"/>
  <c r="B278" i="3"/>
  <c r="B277" i="3"/>
  <c r="D289" i="3" s="1"/>
  <c r="B276" i="3"/>
  <c r="D275" i="3"/>
  <c r="B275" i="3"/>
  <c r="B274" i="3"/>
  <c r="D286" i="3" s="1"/>
  <c r="D273" i="3"/>
  <c r="B273" i="3"/>
  <c r="B272" i="3"/>
  <c r="B271" i="3"/>
  <c r="D270" i="3"/>
  <c r="C270" i="3"/>
  <c r="B270" i="3"/>
  <c r="B269" i="3"/>
  <c r="B268" i="3"/>
  <c r="B267" i="3"/>
  <c r="B266" i="3"/>
  <c r="D278" i="3" s="1"/>
  <c r="D265" i="3"/>
  <c r="C265" i="3"/>
  <c r="B265" i="3"/>
  <c r="D277" i="3" s="1"/>
  <c r="B264" i="3"/>
  <c r="B263" i="3"/>
  <c r="D262" i="3"/>
  <c r="C262" i="3"/>
  <c r="B262" i="3"/>
  <c r="D274" i="3" s="1"/>
  <c r="B261" i="3"/>
  <c r="C260" i="3"/>
  <c r="B260" i="3"/>
  <c r="B259" i="3"/>
  <c r="B258" i="3"/>
  <c r="B257" i="3"/>
  <c r="D269" i="3" s="1"/>
  <c r="B256" i="3"/>
  <c r="C256" i="3" s="1"/>
  <c r="B255" i="3"/>
  <c r="D254" i="3"/>
  <c r="C254" i="3"/>
  <c r="B254" i="3"/>
  <c r="D266" i="3" s="1"/>
  <c r="B253" i="3"/>
  <c r="B252" i="3"/>
  <c r="D251" i="3"/>
  <c r="B251" i="3"/>
  <c r="B250" i="3"/>
  <c r="B249" i="3"/>
  <c r="D261" i="3" s="1"/>
  <c r="B248" i="3"/>
  <c r="B247" i="3"/>
  <c r="D246" i="3"/>
  <c r="C246" i="3"/>
  <c r="B246" i="3"/>
  <c r="D258" i="3" s="1"/>
  <c r="B245" i="3"/>
  <c r="B244" i="3"/>
  <c r="D243" i="3"/>
  <c r="B243" i="3"/>
  <c r="B242" i="3"/>
  <c r="C242" i="3" s="1"/>
  <c r="D241" i="3"/>
  <c r="B241" i="3"/>
  <c r="D253" i="3" s="1"/>
  <c r="B240" i="3"/>
  <c r="B239" i="3"/>
  <c r="D238" i="3"/>
  <c r="C238" i="3"/>
  <c r="B238" i="3"/>
  <c r="D250" i="3" s="1"/>
  <c r="B237" i="3"/>
  <c r="B236" i="3"/>
  <c r="B235" i="3"/>
  <c r="B234" i="3"/>
  <c r="C234" i="3" s="1"/>
  <c r="D233" i="3"/>
  <c r="C233" i="3"/>
  <c r="B233" i="3"/>
  <c r="D245" i="3" s="1"/>
  <c r="B232" i="3"/>
  <c r="B231" i="3"/>
  <c r="D230" i="3"/>
  <c r="C230" i="3"/>
  <c r="B230" i="3"/>
  <c r="D242" i="3" s="1"/>
  <c r="B229" i="3"/>
  <c r="C228" i="3"/>
  <c r="B228" i="3"/>
  <c r="B227" i="3"/>
  <c r="B226" i="3"/>
  <c r="B225" i="3"/>
  <c r="D237" i="3" s="1"/>
  <c r="B224" i="3"/>
  <c r="C224" i="3" s="1"/>
  <c r="B223" i="3"/>
  <c r="D222" i="3"/>
  <c r="C222" i="3"/>
  <c r="B222" i="3"/>
  <c r="D234" i="3" s="1"/>
  <c r="B221" i="3"/>
  <c r="B220" i="3"/>
  <c r="D219" i="3"/>
  <c r="B219" i="3"/>
  <c r="B218" i="3"/>
  <c r="B217" i="3"/>
  <c r="D229" i="3" s="1"/>
  <c r="B216" i="3"/>
  <c r="B215" i="3"/>
  <c r="D214" i="3"/>
  <c r="C214" i="3"/>
  <c r="B214" i="3"/>
  <c r="D226" i="3" s="1"/>
  <c r="B213" i="3"/>
  <c r="B212" i="3"/>
  <c r="C212" i="3" s="1"/>
  <c r="D211" i="3"/>
  <c r="B211" i="3"/>
  <c r="B210" i="3"/>
  <c r="C210" i="3" s="1"/>
  <c r="D209" i="3"/>
  <c r="B209" i="3"/>
  <c r="D221" i="3" s="1"/>
  <c r="B208" i="3"/>
  <c r="B207" i="3"/>
  <c r="D206" i="3"/>
  <c r="C206" i="3"/>
  <c r="B206" i="3"/>
  <c r="D218" i="3" s="1"/>
  <c r="B205" i="3"/>
  <c r="B204" i="3"/>
  <c r="B203" i="3"/>
  <c r="B202" i="3"/>
  <c r="C202" i="3" s="1"/>
  <c r="D201" i="3"/>
  <c r="C201" i="3"/>
  <c r="B201" i="3"/>
  <c r="D213" i="3" s="1"/>
  <c r="B200" i="3"/>
  <c r="B199" i="3"/>
  <c r="D198" i="3"/>
  <c r="C198" i="3"/>
  <c r="B198" i="3"/>
  <c r="D210" i="3" s="1"/>
  <c r="B197" i="3"/>
  <c r="C196" i="3"/>
  <c r="B196" i="3"/>
  <c r="B195" i="3"/>
  <c r="B194" i="3"/>
  <c r="B193" i="3"/>
  <c r="D205" i="3" s="1"/>
  <c r="B192" i="3"/>
  <c r="C192" i="3" s="1"/>
  <c r="B191" i="3"/>
  <c r="D190" i="3"/>
  <c r="C190" i="3"/>
  <c r="B190" i="3"/>
  <c r="D202" i="3" s="1"/>
  <c r="B189" i="3"/>
  <c r="B188" i="3"/>
  <c r="D187" i="3"/>
  <c r="B187" i="3"/>
  <c r="B186" i="3"/>
  <c r="B185" i="3"/>
  <c r="D197" i="3" s="1"/>
  <c r="B184" i="3"/>
  <c r="B183" i="3"/>
  <c r="D182" i="3"/>
  <c r="C182" i="3"/>
  <c r="B182" i="3"/>
  <c r="D194" i="3" s="1"/>
  <c r="B181" i="3"/>
  <c r="B180" i="3"/>
  <c r="C180" i="3" s="1"/>
  <c r="D179" i="3"/>
  <c r="B179" i="3"/>
  <c r="B178" i="3"/>
  <c r="C178" i="3" s="1"/>
  <c r="D177" i="3"/>
  <c r="B177" i="3"/>
  <c r="D189" i="3" s="1"/>
  <c r="B176" i="3"/>
  <c r="B175" i="3"/>
  <c r="D174" i="3"/>
  <c r="C174" i="3"/>
  <c r="B174" i="3"/>
  <c r="D186" i="3" s="1"/>
  <c r="B173" i="3"/>
  <c r="B172" i="3"/>
  <c r="B171" i="3"/>
  <c r="B170" i="3"/>
  <c r="C170" i="3" s="1"/>
  <c r="D169" i="3"/>
  <c r="C169" i="3"/>
  <c r="B169" i="3"/>
  <c r="D181" i="3" s="1"/>
  <c r="B168" i="3"/>
  <c r="B167" i="3"/>
  <c r="D166" i="3"/>
  <c r="C166" i="3"/>
  <c r="B166" i="3"/>
  <c r="D178" i="3" s="1"/>
  <c r="B165" i="3"/>
  <c r="C164" i="3"/>
  <c r="B164" i="3"/>
  <c r="B163" i="3"/>
  <c r="B162" i="3"/>
  <c r="B161" i="3"/>
  <c r="D173" i="3" s="1"/>
  <c r="B160" i="3"/>
  <c r="C160" i="3" s="1"/>
  <c r="B159" i="3"/>
  <c r="D158" i="3"/>
  <c r="C158" i="3"/>
  <c r="B158" i="3"/>
  <c r="D170" i="3" s="1"/>
  <c r="B157" i="3"/>
  <c r="B156" i="3"/>
  <c r="D155" i="3"/>
  <c r="B155" i="3"/>
  <c r="B154" i="3"/>
  <c r="B153" i="3"/>
  <c r="D165" i="3" s="1"/>
  <c r="B152" i="3"/>
  <c r="B151" i="3"/>
  <c r="D150" i="3"/>
  <c r="C150" i="3"/>
  <c r="B150" i="3"/>
  <c r="D162" i="3" s="1"/>
  <c r="B149" i="3"/>
  <c r="B148" i="3"/>
  <c r="C148" i="3" s="1"/>
  <c r="D147" i="3"/>
  <c r="B147" i="3"/>
  <c r="B146" i="3"/>
  <c r="C146" i="3" s="1"/>
  <c r="D145" i="3"/>
  <c r="B145" i="3"/>
  <c r="D157" i="3" s="1"/>
  <c r="B144" i="3"/>
  <c r="B143" i="3"/>
  <c r="D142" i="3"/>
  <c r="C142" i="3"/>
  <c r="B142" i="3"/>
  <c r="D154" i="3" s="1"/>
  <c r="B141" i="3"/>
  <c r="B140" i="3"/>
  <c r="B139" i="3"/>
  <c r="B138" i="3"/>
  <c r="C138" i="3" s="1"/>
  <c r="D137" i="3"/>
  <c r="C137" i="3"/>
  <c r="B137" i="3"/>
  <c r="D149" i="3" s="1"/>
  <c r="B136" i="3"/>
  <c r="B135" i="3"/>
  <c r="D134" i="3"/>
  <c r="C134" i="3"/>
  <c r="B134" i="3"/>
  <c r="D146" i="3" s="1"/>
  <c r="B133" i="3"/>
  <c r="C132" i="3"/>
  <c r="B132" i="3"/>
  <c r="B131" i="3"/>
  <c r="B130" i="3"/>
  <c r="B129" i="3"/>
  <c r="D141" i="3" s="1"/>
  <c r="B128" i="3"/>
  <c r="C128" i="3" s="1"/>
  <c r="B127" i="3"/>
  <c r="D126" i="3"/>
  <c r="C126" i="3"/>
  <c r="B126" i="3"/>
  <c r="D138" i="3" s="1"/>
  <c r="B125" i="3"/>
  <c r="B124" i="3"/>
  <c r="D123" i="3"/>
  <c r="B123" i="3"/>
  <c r="B122" i="3"/>
  <c r="B121" i="3"/>
  <c r="D133" i="3" s="1"/>
  <c r="B120" i="3"/>
  <c r="B119" i="3"/>
  <c r="D118" i="3"/>
  <c r="C118" i="3"/>
  <c r="B118" i="3"/>
  <c r="D130" i="3" s="1"/>
  <c r="B117" i="3"/>
  <c r="B116" i="3"/>
  <c r="D115" i="3"/>
  <c r="B115" i="3"/>
  <c r="B114" i="3"/>
  <c r="C114" i="3" s="1"/>
  <c r="D113" i="3"/>
  <c r="B113" i="3"/>
  <c r="D125" i="3" s="1"/>
  <c r="B112" i="3"/>
  <c r="B111" i="3"/>
  <c r="D110" i="3"/>
  <c r="C110" i="3"/>
  <c r="B110" i="3"/>
  <c r="D122" i="3" s="1"/>
  <c r="B109" i="3"/>
  <c r="B108" i="3"/>
  <c r="B107" i="3"/>
  <c r="B106" i="3"/>
  <c r="C106" i="3" s="1"/>
  <c r="D105" i="3"/>
  <c r="C105" i="3"/>
  <c r="B105" i="3"/>
  <c r="D117" i="3" s="1"/>
  <c r="B104" i="3"/>
  <c r="B103" i="3"/>
  <c r="D102" i="3"/>
  <c r="C102" i="3"/>
  <c r="B102" i="3"/>
  <c r="D114" i="3" s="1"/>
  <c r="B101" i="3"/>
  <c r="C100" i="3"/>
  <c r="B100" i="3"/>
  <c r="B99" i="3"/>
  <c r="B98" i="3"/>
  <c r="B97" i="3"/>
  <c r="D109" i="3" s="1"/>
  <c r="B96" i="3"/>
  <c r="C96" i="3" s="1"/>
  <c r="B95" i="3"/>
  <c r="D94" i="3"/>
  <c r="C94" i="3"/>
  <c r="B94" i="3"/>
  <c r="D106" i="3" s="1"/>
  <c r="B93" i="3"/>
  <c r="B92" i="3"/>
  <c r="C92" i="3" s="1"/>
  <c r="D91" i="3"/>
  <c r="B91" i="3"/>
  <c r="B90" i="3"/>
  <c r="B89" i="3"/>
  <c r="D101" i="3" s="1"/>
  <c r="B88" i="3"/>
  <c r="B87" i="3"/>
  <c r="D86" i="3"/>
  <c r="C86" i="3"/>
  <c r="B86" i="3"/>
  <c r="D98" i="3" s="1"/>
  <c r="B85" i="3"/>
  <c r="B84" i="3"/>
  <c r="C84" i="3" s="1"/>
  <c r="D83" i="3"/>
  <c r="B83" i="3"/>
  <c r="B82" i="3"/>
  <c r="C82" i="3" s="1"/>
  <c r="D81" i="3"/>
  <c r="B81" i="3"/>
  <c r="D93" i="3" s="1"/>
  <c r="B80" i="3"/>
  <c r="B79" i="3"/>
  <c r="D78" i="3"/>
  <c r="C78" i="3"/>
  <c r="B78" i="3"/>
  <c r="D90" i="3" s="1"/>
  <c r="B77" i="3"/>
  <c r="B76" i="3"/>
  <c r="B75" i="3"/>
  <c r="B74" i="3"/>
  <c r="C74" i="3" s="1"/>
  <c r="D73" i="3"/>
  <c r="C73" i="3"/>
  <c r="B73" i="3"/>
  <c r="D85" i="3" s="1"/>
  <c r="B72" i="3"/>
  <c r="B71" i="3"/>
  <c r="D70" i="3"/>
  <c r="C70" i="3"/>
  <c r="B70" i="3"/>
  <c r="D82" i="3" s="1"/>
  <c r="B69" i="3"/>
  <c r="C68" i="3"/>
  <c r="B68" i="3"/>
  <c r="B67" i="3"/>
  <c r="B66" i="3"/>
  <c r="B65" i="3"/>
  <c r="D77" i="3" s="1"/>
  <c r="B64" i="3"/>
  <c r="C64" i="3" s="1"/>
  <c r="B63" i="3"/>
  <c r="D62" i="3"/>
  <c r="C62" i="3"/>
  <c r="B62" i="3"/>
  <c r="D74" i="3" s="1"/>
  <c r="B61" i="3"/>
  <c r="B60" i="3"/>
  <c r="D59" i="3"/>
  <c r="B59" i="3"/>
  <c r="B58" i="3"/>
  <c r="B57" i="3"/>
  <c r="D69" i="3" s="1"/>
  <c r="B56" i="3"/>
  <c r="B55" i="3"/>
  <c r="D54" i="3"/>
  <c r="C54" i="3"/>
  <c r="B54" i="3"/>
  <c r="D66" i="3" s="1"/>
  <c r="B53" i="3"/>
  <c r="B52" i="3"/>
  <c r="C52" i="3" s="1"/>
  <c r="D51" i="3"/>
  <c r="B51" i="3"/>
  <c r="B50" i="3"/>
  <c r="C50" i="3" s="1"/>
  <c r="D49" i="3"/>
  <c r="B49" i="3"/>
  <c r="D61" i="3" s="1"/>
  <c r="B48" i="3"/>
  <c r="B47" i="3"/>
  <c r="D46" i="3"/>
  <c r="C46" i="3"/>
  <c r="B46" i="3"/>
  <c r="D58" i="3" s="1"/>
  <c r="B45" i="3"/>
  <c r="B44" i="3"/>
  <c r="B43" i="3"/>
  <c r="B42" i="3"/>
  <c r="C42" i="3" s="1"/>
  <c r="D41" i="3"/>
  <c r="C41" i="3"/>
  <c r="B41" i="3"/>
  <c r="D53" i="3" s="1"/>
  <c r="B40" i="3"/>
  <c r="B39" i="3"/>
  <c r="D38" i="3"/>
  <c r="C38" i="3"/>
  <c r="B38" i="3"/>
  <c r="D50" i="3" s="1"/>
  <c r="B37" i="3"/>
  <c r="C36" i="3"/>
  <c r="B36" i="3"/>
  <c r="B35" i="3"/>
  <c r="B34" i="3"/>
  <c r="B33" i="3"/>
  <c r="D45" i="3" s="1"/>
  <c r="B32" i="3"/>
  <c r="C32" i="3" s="1"/>
  <c r="B31" i="3"/>
  <c r="D30" i="3"/>
  <c r="C30" i="3"/>
  <c r="B30" i="3"/>
  <c r="D42" i="3" s="1"/>
  <c r="B29" i="3"/>
  <c r="B28" i="3"/>
  <c r="D27" i="3"/>
  <c r="B27" i="3"/>
  <c r="B26" i="3"/>
  <c r="B25" i="3"/>
  <c r="D37" i="3" s="1"/>
  <c r="D24" i="3"/>
  <c r="B24" i="3"/>
  <c r="C24" i="3" s="1"/>
  <c r="B23" i="3"/>
  <c r="C23" i="3" s="1"/>
  <c r="C22" i="3"/>
  <c r="B22" i="3"/>
  <c r="D34" i="3" s="1"/>
  <c r="B21" i="3"/>
  <c r="B20" i="3"/>
  <c r="D19" i="3"/>
  <c r="B19" i="3"/>
  <c r="B18" i="3"/>
  <c r="C18" i="3" s="1"/>
  <c r="C17" i="3"/>
  <c r="B17" i="3"/>
  <c r="D29" i="3" s="1"/>
  <c r="C16" i="3"/>
  <c r="B16" i="3"/>
  <c r="B15" i="3"/>
  <c r="B14" i="3"/>
  <c r="C13" i="3"/>
  <c r="B13" i="3"/>
  <c r="C12" i="3"/>
  <c r="B12" i="3"/>
  <c r="B11" i="3"/>
  <c r="B10" i="3"/>
  <c r="D22" i="3" s="1"/>
  <c r="C9" i="3"/>
  <c r="B9" i="3"/>
  <c r="D21" i="3" s="1"/>
  <c r="C8" i="3"/>
  <c r="B8" i="3"/>
  <c r="B7" i="3"/>
  <c r="B6" i="3"/>
  <c r="B5" i="3"/>
  <c r="D17" i="3" s="1"/>
  <c r="N31" i="1"/>
  <c r="N30" i="1"/>
  <c r="P23" i="1" s="1"/>
  <c r="P22" i="1" l="1"/>
  <c r="C151" i="4"/>
  <c r="D65" i="4"/>
  <c r="G65" i="5" s="1"/>
  <c r="C584" i="4"/>
  <c r="D54" i="4"/>
  <c r="G54" i="5" s="1"/>
  <c r="D62" i="4"/>
  <c r="G62" i="5" s="1"/>
  <c r="D70" i="4"/>
  <c r="G70" i="5" s="1"/>
  <c r="D758" i="4"/>
  <c r="G758" i="5" s="1"/>
  <c r="D755" i="4"/>
  <c r="G755" i="5" s="1"/>
  <c r="C23" i="4"/>
  <c r="D75" i="4"/>
  <c r="G75" i="5" s="1"/>
  <c r="C103" i="4"/>
  <c r="D150" i="4"/>
  <c r="G150" i="5" s="1"/>
  <c r="C214" i="4"/>
  <c r="C271" i="4"/>
  <c r="D394" i="4"/>
  <c r="G394" i="5" s="1"/>
  <c r="D604" i="4"/>
  <c r="G604" i="5" s="1"/>
  <c r="C172" i="4"/>
  <c r="C180" i="4"/>
  <c r="C196" i="4"/>
  <c r="D490" i="4"/>
  <c r="G490" i="5" s="1"/>
  <c r="D533" i="4"/>
  <c r="G533" i="5" s="1"/>
  <c r="C17" i="4"/>
  <c r="C167" i="4"/>
  <c r="D294" i="4"/>
  <c r="G294" i="5" s="1"/>
  <c r="D19" i="4"/>
  <c r="G19" i="5" s="1"/>
  <c r="C70" i="4"/>
  <c r="D530" i="4"/>
  <c r="G530" i="5" s="1"/>
  <c r="D554" i="4"/>
  <c r="G554" i="5" s="1"/>
  <c r="C675" i="4"/>
  <c r="C705" i="4"/>
  <c r="C287" i="4"/>
  <c r="C351" i="4"/>
  <c r="C423" i="4"/>
  <c r="D238" i="4"/>
  <c r="G238" i="5" s="1"/>
  <c r="D278" i="4"/>
  <c r="G278" i="5" s="1"/>
  <c r="D321" i="4"/>
  <c r="G321" i="5" s="1"/>
  <c r="D385" i="4"/>
  <c r="G385" i="5" s="1"/>
  <c r="D508" i="4"/>
  <c r="G508" i="5" s="1"/>
  <c r="C71" i="4"/>
  <c r="D206" i="4"/>
  <c r="G206" i="5" s="1"/>
  <c r="C201" i="4"/>
  <c r="C209" i="4"/>
  <c r="C303" i="4"/>
  <c r="C319" i="4"/>
  <c r="C350" i="4"/>
  <c r="C365" i="4"/>
  <c r="C403" i="4"/>
  <c r="D419" i="4"/>
  <c r="G419" i="5" s="1"/>
  <c r="C435" i="4"/>
  <c r="C498" i="4"/>
  <c r="C590" i="4"/>
  <c r="D645" i="4"/>
  <c r="G645" i="5" s="1"/>
  <c r="D764" i="4"/>
  <c r="G764" i="5" s="1"/>
  <c r="D397" i="4"/>
  <c r="G397" i="5" s="1"/>
  <c r="C81" i="4"/>
  <c r="C212" i="4"/>
  <c r="C236" i="4"/>
  <c r="D322" i="4"/>
  <c r="G322" i="5" s="1"/>
  <c r="C330" i="4"/>
  <c r="C453" i="4"/>
  <c r="D531" i="4"/>
  <c r="G531" i="5" s="1"/>
  <c r="C570" i="4"/>
  <c r="C166" i="4"/>
  <c r="C20" i="4"/>
  <c r="D110" i="4"/>
  <c r="G110" i="5" s="1"/>
  <c r="D118" i="4"/>
  <c r="G118" i="5" s="1"/>
  <c r="D158" i="4"/>
  <c r="G158" i="5" s="1"/>
  <c r="D187" i="4"/>
  <c r="G187" i="5" s="1"/>
  <c r="D182" i="4"/>
  <c r="G182" i="5" s="1"/>
  <c r="D190" i="4"/>
  <c r="G190" i="5" s="1"/>
  <c r="C244" i="4"/>
  <c r="C331" i="4"/>
  <c r="C339" i="4"/>
  <c r="D353" i="4"/>
  <c r="G353" i="5" s="1"/>
  <c r="D376" i="4"/>
  <c r="G376" i="5" s="1"/>
  <c r="C501" i="4"/>
  <c r="D583" i="4"/>
  <c r="G583" i="5" s="1"/>
  <c r="C594" i="4"/>
  <c r="D607" i="4"/>
  <c r="G607" i="5" s="1"/>
  <c r="C619" i="4"/>
  <c r="C635" i="4"/>
  <c r="D730" i="4"/>
  <c r="G730" i="5" s="1"/>
  <c r="C767" i="4"/>
  <c r="D166" i="4"/>
  <c r="G166" i="5" s="1"/>
  <c r="D370" i="4"/>
  <c r="G370" i="5" s="1"/>
  <c r="D404" i="4"/>
  <c r="G404" i="5" s="1"/>
  <c r="D416" i="4"/>
  <c r="G416" i="5" s="1"/>
  <c r="D541" i="4"/>
  <c r="G541" i="5" s="1"/>
  <c r="C84" i="4"/>
  <c r="C116" i="4"/>
  <c r="C132" i="4"/>
  <c r="C215" i="4"/>
  <c r="C231" i="4"/>
  <c r="C238" i="4"/>
  <c r="D329" i="4"/>
  <c r="G329" i="5" s="1"/>
  <c r="C325" i="4"/>
  <c r="C472" i="4"/>
  <c r="C480" i="4"/>
  <c r="C487" i="4"/>
  <c r="D573" i="4"/>
  <c r="G573" i="5" s="1"/>
  <c r="D707" i="4"/>
  <c r="G707" i="5" s="1"/>
  <c r="C38" i="4"/>
  <c r="C348" i="4"/>
  <c r="D142" i="4"/>
  <c r="G142" i="5" s="1"/>
  <c r="C255" i="4"/>
  <c r="D522" i="4"/>
  <c r="G522" i="5" s="1"/>
  <c r="C669" i="4"/>
  <c r="C699" i="4"/>
  <c r="D714" i="4"/>
  <c r="G714" i="5" s="1"/>
  <c r="D726" i="4"/>
  <c r="G726" i="5" s="1"/>
  <c r="D30" i="4"/>
  <c r="G30" i="5" s="1"/>
  <c r="C126" i="4"/>
  <c r="C419" i="4"/>
  <c r="C10" i="4"/>
  <c r="C44" i="4"/>
  <c r="C246" i="4"/>
  <c r="C407" i="4"/>
  <c r="C477" i="4"/>
  <c r="D559" i="4"/>
  <c r="G559" i="5" s="1"/>
  <c r="D629" i="4"/>
  <c r="G629" i="5" s="1"/>
  <c r="C49" i="4"/>
  <c r="C63" i="4"/>
  <c r="D89" i="4"/>
  <c r="G89" i="5" s="1"/>
  <c r="C118" i="4"/>
  <c r="D214" i="4"/>
  <c r="G214" i="5" s="1"/>
  <c r="D286" i="4"/>
  <c r="G286" i="5" s="1"/>
  <c r="D319" i="4"/>
  <c r="G319" i="5" s="1"/>
  <c r="C324" i="4"/>
  <c r="D338" i="4"/>
  <c r="G338" i="5" s="1"/>
  <c r="D391" i="4"/>
  <c r="G391" i="5" s="1"/>
  <c r="C406" i="4"/>
  <c r="D466" i="4"/>
  <c r="G466" i="5" s="1"/>
  <c r="D487" i="4"/>
  <c r="G487" i="5" s="1"/>
  <c r="C509" i="4"/>
  <c r="D523" i="4"/>
  <c r="G523" i="5" s="1"/>
  <c r="C534" i="4"/>
  <c r="D663" i="4"/>
  <c r="G663" i="5" s="1"/>
  <c r="C735" i="4"/>
  <c r="D746" i="4"/>
  <c r="G746" i="5" s="1"/>
  <c r="D762" i="4"/>
  <c r="G762" i="5" s="1"/>
  <c r="D693" i="4"/>
  <c r="G693" i="5" s="1"/>
  <c r="C530" i="4"/>
  <c r="C536" i="4"/>
  <c r="C599" i="4"/>
  <c r="D613" i="4"/>
  <c r="G613" i="5" s="1"/>
  <c r="C663" i="4"/>
  <c r="C693" i="4"/>
  <c r="C645" i="4"/>
  <c r="D744" i="4"/>
  <c r="G744" i="5" s="1"/>
  <c r="C281" i="4"/>
  <c r="D439" i="4"/>
  <c r="G439" i="5" s="1"/>
  <c r="C503" i="4"/>
  <c r="D78" i="4"/>
  <c r="G78" i="5" s="1"/>
  <c r="C108" i="4"/>
  <c r="D126" i="4"/>
  <c r="G126" i="5" s="1"/>
  <c r="C191" i="4"/>
  <c r="C360" i="4"/>
  <c r="C504" i="4"/>
  <c r="C600" i="4"/>
  <c r="D23" i="4"/>
  <c r="G23" i="5" s="1"/>
  <c r="C25" i="4"/>
  <c r="D38" i="4"/>
  <c r="G38" i="5" s="1"/>
  <c r="C127" i="4"/>
  <c r="D134" i="4"/>
  <c r="G134" i="5" s="1"/>
  <c r="D246" i="4"/>
  <c r="G246" i="5" s="1"/>
  <c r="D302" i="4"/>
  <c r="G302" i="5" s="1"/>
  <c r="D386" i="4"/>
  <c r="G386" i="5" s="1"/>
  <c r="D407" i="4"/>
  <c r="G407" i="5" s="1"/>
  <c r="C448" i="4"/>
  <c r="C511" i="4"/>
  <c r="D565" i="4"/>
  <c r="G565" i="5" s="1"/>
  <c r="D594" i="4"/>
  <c r="G594" i="5" s="1"/>
  <c r="D86" i="4"/>
  <c r="G86" i="5" s="1"/>
  <c r="C86" i="4"/>
  <c r="C135" i="4"/>
  <c r="C142" i="4"/>
  <c r="D198" i="4"/>
  <c r="G198" i="5" s="1"/>
  <c r="C199" i="4"/>
  <c r="C254" i="4"/>
  <c r="D310" i="4"/>
  <c r="G310" i="5" s="1"/>
  <c r="C362" i="4"/>
  <c r="D368" i="4"/>
  <c r="G368" i="5" s="1"/>
  <c r="C389" i="4"/>
  <c r="C416" i="4"/>
  <c r="D420" i="4"/>
  <c r="G420" i="5" s="1"/>
  <c r="D463" i="4"/>
  <c r="G463" i="5" s="1"/>
  <c r="D491" i="4"/>
  <c r="G491" i="5" s="1"/>
  <c r="D499" i="4"/>
  <c r="G499" i="5" s="1"/>
  <c r="D524" i="4"/>
  <c r="G524" i="5" s="1"/>
  <c r="C527" i="4"/>
  <c r="D551" i="4"/>
  <c r="G551" i="5" s="1"/>
  <c r="C602" i="4"/>
  <c r="C679" i="4"/>
  <c r="C691" i="4"/>
  <c r="D203" i="4"/>
  <c r="G203" i="5" s="1"/>
  <c r="C302" i="4"/>
  <c r="C551" i="4"/>
  <c r="C52" i="4"/>
  <c r="C148" i="4"/>
  <c r="C447" i="4"/>
  <c r="C185" i="4"/>
  <c r="C198" i="4"/>
  <c r="C310" i="4"/>
  <c r="C426" i="4"/>
  <c r="C463" i="4"/>
  <c r="C39" i="4"/>
  <c r="D59" i="4"/>
  <c r="G59" i="5" s="1"/>
  <c r="C68" i="4"/>
  <c r="C87" i="4"/>
  <c r="C110" i="4"/>
  <c r="D254" i="4"/>
  <c r="G254" i="5" s="1"/>
  <c r="C318" i="4"/>
  <c r="D362" i="4"/>
  <c r="G362" i="5" s="1"/>
  <c r="C422" i="4"/>
  <c r="D458" i="4"/>
  <c r="G458" i="5" s="1"/>
  <c r="C479" i="4"/>
  <c r="D527" i="4"/>
  <c r="G527" i="5" s="1"/>
  <c r="D555" i="4"/>
  <c r="G555" i="5" s="1"/>
  <c r="C583" i="4"/>
  <c r="D602" i="4"/>
  <c r="G602" i="5" s="1"/>
  <c r="D669" i="4"/>
  <c r="G669" i="5" s="1"/>
  <c r="C768" i="4"/>
  <c r="D227" i="4"/>
  <c r="G227" i="5" s="1"/>
  <c r="D267" i="4"/>
  <c r="G267" i="5" s="1"/>
  <c r="D356" i="4"/>
  <c r="G356" i="5" s="1"/>
  <c r="C33" i="4"/>
  <c r="C233" i="4"/>
  <c r="C327" i="4"/>
  <c r="C342" i="4"/>
  <c r="D347" i="4"/>
  <c r="G347" i="5" s="1"/>
  <c r="C388" i="4"/>
  <c r="D403" i="4"/>
  <c r="G403" i="5" s="1"/>
  <c r="C469" i="4"/>
  <c r="C495" i="4"/>
  <c r="D516" i="4"/>
  <c r="G516" i="5" s="1"/>
  <c r="C526" i="4"/>
  <c r="C541" i="4"/>
  <c r="D556" i="4"/>
  <c r="G556" i="5" s="1"/>
  <c r="C598" i="4"/>
  <c r="C629" i="4"/>
  <c r="D708" i="4"/>
  <c r="G708" i="5" s="1"/>
  <c r="D99" i="4"/>
  <c r="G99" i="5" s="1"/>
  <c r="D27" i="4"/>
  <c r="G27" i="5" s="1"/>
  <c r="D83" i="4"/>
  <c r="G83" i="5" s="1"/>
  <c r="C94" i="4"/>
  <c r="D202" i="4"/>
  <c r="G202" i="5" s="1"/>
  <c r="D211" i="4"/>
  <c r="G211" i="5" s="1"/>
  <c r="C222" i="4"/>
  <c r="C262" i="4"/>
  <c r="D436" i="4"/>
  <c r="G436" i="5" s="1"/>
  <c r="C62" i="4"/>
  <c r="C78" i="4"/>
  <c r="D94" i="4"/>
  <c r="G94" i="5" s="1"/>
  <c r="D123" i="4"/>
  <c r="G123" i="5" s="1"/>
  <c r="C134" i="4"/>
  <c r="D139" i="4"/>
  <c r="G139" i="5" s="1"/>
  <c r="C150" i="4"/>
  <c r="C190" i="4"/>
  <c r="C206" i="4"/>
  <c r="D222" i="4"/>
  <c r="G222" i="5" s="1"/>
  <c r="D251" i="4"/>
  <c r="G251" i="5" s="1"/>
  <c r="D262" i="4"/>
  <c r="G262" i="5" s="1"/>
  <c r="C286" i="4"/>
  <c r="D315" i="4"/>
  <c r="G315" i="5" s="1"/>
  <c r="D327" i="4"/>
  <c r="G327" i="5" s="1"/>
  <c r="D373" i="4"/>
  <c r="G373" i="5" s="1"/>
  <c r="D379" i="4"/>
  <c r="G379" i="5" s="1"/>
  <c r="D388" i="4"/>
  <c r="G388" i="5" s="1"/>
  <c r="D476" i="4"/>
  <c r="G476" i="5" s="1"/>
  <c r="D469" i="4"/>
  <c r="G469" i="5" s="1"/>
  <c r="D495" i="4"/>
  <c r="G495" i="5" s="1"/>
  <c r="C535" i="4"/>
  <c r="D547" i="4"/>
  <c r="G547" i="5" s="1"/>
  <c r="C566" i="4"/>
  <c r="D579" i="4"/>
  <c r="G579" i="5" s="1"/>
  <c r="C623" i="4"/>
  <c r="C647" i="4"/>
  <c r="C671" i="4"/>
  <c r="C695" i="4"/>
  <c r="D712" i="4"/>
  <c r="G712" i="5" s="1"/>
  <c r="D735" i="4"/>
  <c r="G735" i="5" s="1"/>
  <c r="D647" i="4"/>
  <c r="G647" i="5" s="1"/>
  <c r="D35" i="4"/>
  <c r="G35" i="5" s="1"/>
  <c r="C46" i="4"/>
  <c r="C102" i="4"/>
  <c r="C113" i="4"/>
  <c r="D170" i="4"/>
  <c r="G170" i="5" s="1"/>
  <c r="D163" i="4"/>
  <c r="G163" i="5" s="1"/>
  <c r="C174" i="4"/>
  <c r="C230" i="4"/>
  <c r="C270" i="4"/>
  <c r="D299" i="4"/>
  <c r="G299" i="5" s="1"/>
  <c r="C316" i="4"/>
  <c r="D324" i="4"/>
  <c r="G324" i="5" s="1"/>
  <c r="D339" i="4"/>
  <c r="G339" i="5" s="1"/>
  <c r="D344" i="4"/>
  <c r="G344" i="5" s="1"/>
  <c r="C359" i="4"/>
  <c r="C380" i="4"/>
  <c r="C394" i="4"/>
  <c r="C438" i="4"/>
  <c r="C455" i="4"/>
  <c r="C470" i="4"/>
  <c r="D492" i="4"/>
  <c r="G492" i="5" s="1"/>
  <c r="D501" i="4"/>
  <c r="G501" i="5" s="1"/>
  <c r="D548" i="4"/>
  <c r="G548" i="5" s="1"/>
  <c r="C558" i="4"/>
  <c r="D562" i="4"/>
  <c r="G562" i="5" s="1"/>
  <c r="C567" i="4"/>
  <c r="D580" i="4"/>
  <c r="G580" i="5" s="1"/>
  <c r="C631" i="4"/>
  <c r="C30" i="4"/>
  <c r="D46" i="4"/>
  <c r="G46" i="5" s="1"/>
  <c r="C97" i="4"/>
  <c r="D102" i="4"/>
  <c r="G102" i="5" s="1"/>
  <c r="D147" i="4"/>
  <c r="G147" i="5" s="1"/>
  <c r="C158" i="4"/>
  <c r="C169" i="4"/>
  <c r="D174" i="4"/>
  <c r="G174" i="5" s="1"/>
  <c r="D226" i="4"/>
  <c r="G226" i="5" s="1"/>
  <c r="D230" i="4"/>
  <c r="G230" i="5" s="1"/>
  <c r="C265" i="4"/>
  <c r="D270" i="4"/>
  <c r="G270" i="5" s="1"/>
  <c r="C294" i="4"/>
  <c r="D316" i="4"/>
  <c r="G316" i="5" s="1"/>
  <c r="D359" i="4"/>
  <c r="G359" i="5" s="1"/>
  <c r="D451" i="4"/>
  <c r="G451" i="5" s="1"/>
  <c r="D455" i="4"/>
  <c r="G455" i="5" s="1"/>
  <c r="C466" i="4"/>
  <c r="D483" i="4"/>
  <c r="G483" i="5" s="1"/>
  <c r="C519" i="4"/>
  <c r="D540" i="4"/>
  <c r="G540" i="5" s="1"/>
  <c r="C533" i="4"/>
  <c r="C543" i="4"/>
  <c r="C568" i="4"/>
  <c r="C591" i="4"/>
  <c r="C613" i="4"/>
  <c r="C639" i="4"/>
  <c r="C655" i="4"/>
  <c r="D671" i="4"/>
  <c r="G671" i="5" s="1"/>
  <c r="C687" i="4"/>
  <c r="D723" i="4"/>
  <c r="G723" i="5" s="1"/>
  <c r="D739" i="4"/>
  <c r="G739" i="5" s="1"/>
  <c r="C753" i="4"/>
  <c r="D687" i="4"/>
  <c r="G687" i="5" s="1"/>
  <c r="D716" i="4"/>
  <c r="G716" i="5" s="1"/>
  <c r="D753" i="4"/>
  <c r="G753" i="5" s="1"/>
  <c r="D283" i="4"/>
  <c r="G283" i="5" s="1"/>
  <c r="D345" i="4"/>
  <c r="G345" i="5" s="1"/>
  <c r="C439" i="4"/>
  <c r="C471" i="4"/>
  <c r="C502" i="4"/>
  <c r="D519" i="4"/>
  <c r="G519" i="5" s="1"/>
  <c r="C559" i="4"/>
  <c r="C575" i="4"/>
  <c r="D586" i="4"/>
  <c r="G586" i="5" s="1"/>
  <c r="D591" i="4"/>
  <c r="G591" i="5" s="1"/>
  <c r="C54" i="4"/>
  <c r="C137" i="4"/>
  <c r="C153" i="4"/>
  <c r="C182" i="4"/>
  <c r="C249" i="4"/>
  <c r="C278" i="4"/>
  <c r="D330" i="4"/>
  <c r="G330" i="5" s="1"/>
  <c r="D341" i="4"/>
  <c r="G341" i="5" s="1"/>
  <c r="C356" i="4"/>
  <c r="D383" i="4"/>
  <c r="G383" i="5" s="1"/>
  <c r="C382" i="4"/>
  <c r="C391" i="4"/>
  <c r="D435" i="4"/>
  <c r="G435" i="5" s="1"/>
  <c r="D452" i="4"/>
  <c r="G452" i="5" s="1"/>
  <c r="D484" i="4"/>
  <c r="G484" i="5" s="1"/>
  <c r="C494" i="4"/>
  <c r="D498" i="4"/>
  <c r="G498" i="5" s="1"/>
  <c r="D515" i="4"/>
  <c r="G515" i="5" s="1"/>
  <c r="C544" i="4"/>
  <c r="C565" i="4"/>
  <c r="D588" i="4"/>
  <c r="G588" i="5" s="1"/>
  <c r="D597" i="4"/>
  <c r="G597" i="5" s="1"/>
  <c r="C721" i="4"/>
  <c r="C737" i="4"/>
  <c r="D767" i="4"/>
  <c r="G767" i="5" s="1"/>
  <c r="D653" i="4"/>
  <c r="G653" i="5" s="1"/>
  <c r="D721" i="4"/>
  <c r="G721" i="5" s="1"/>
  <c r="D737" i="4"/>
  <c r="G737" i="5" s="1"/>
  <c r="C129" i="3"/>
  <c r="C31" i="3"/>
  <c r="D31" i="3"/>
  <c r="C37" i="3"/>
  <c r="D36" i="3"/>
  <c r="D48" i="3"/>
  <c r="C63" i="3"/>
  <c r="D63" i="3"/>
  <c r="D68" i="3"/>
  <c r="C69" i="3"/>
  <c r="D80" i="3"/>
  <c r="C95" i="3"/>
  <c r="D95" i="3"/>
  <c r="C101" i="3"/>
  <c r="D100" i="3"/>
  <c r="D112" i="3"/>
  <c r="D127" i="3"/>
  <c r="C127" i="3"/>
  <c r="C133" i="3"/>
  <c r="D132" i="3"/>
  <c r="D144" i="3"/>
  <c r="C159" i="3"/>
  <c r="D159" i="3"/>
  <c r="C165" i="3"/>
  <c r="D164" i="3"/>
  <c r="D176" i="3"/>
  <c r="D191" i="3"/>
  <c r="C191" i="3"/>
  <c r="C197" i="3"/>
  <c r="D208" i="3"/>
  <c r="D196" i="3"/>
  <c r="C223" i="3"/>
  <c r="D223" i="3"/>
  <c r="C229" i="3"/>
  <c r="D240" i="3"/>
  <c r="D228" i="3"/>
  <c r="D255" i="3"/>
  <c r="C255" i="3"/>
  <c r="C261" i="3"/>
  <c r="D260" i="3"/>
  <c r="D272" i="3"/>
  <c r="D343" i="3"/>
  <c r="C332" i="3"/>
  <c r="C413" i="3"/>
  <c r="D425" i="3"/>
  <c r="C440" i="3"/>
  <c r="D451" i="3"/>
  <c r="D460" i="3"/>
  <c r="C448" i="3"/>
  <c r="D448" i="3"/>
  <c r="C465" i="3"/>
  <c r="D477" i="3"/>
  <c r="D486" i="3"/>
  <c r="C475" i="3"/>
  <c r="C484" i="3"/>
  <c r="D495" i="3"/>
  <c r="C483" i="3"/>
  <c r="D599" i="3"/>
  <c r="C588" i="3"/>
  <c r="C669" i="3"/>
  <c r="D681" i="3"/>
  <c r="D695" i="3"/>
  <c r="D745" i="3"/>
  <c r="C734" i="3"/>
  <c r="D733" i="3"/>
  <c r="D18" i="4"/>
  <c r="G18" i="5" s="1"/>
  <c r="B6" i="5"/>
  <c r="B44" i="5"/>
  <c r="D56" i="4"/>
  <c r="G56" i="5" s="1"/>
  <c r="D44" i="4"/>
  <c r="G44" i="5" s="1"/>
  <c r="B63" i="5"/>
  <c r="C64" i="4"/>
  <c r="D63" i="4"/>
  <c r="G63" i="5" s="1"/>
  <c r="B108" i="5"/>
  <c r="D120" i="4"/>
  <c r="G120" i="5" s="1"/>
  <c r="D108" i="4"/>
  <c r="G108" i="5" s="1"/>
  <c r="B127" i="5"/>
  <c r="C128" i="4"/>
  <c r="D127" i="4"/>
  <c r="G127" i="5" s="1"/>
  <c r="B172" i="5"/>
  <c r="D184" i="4"/>
  <c r="G184" i="5" s="1"/>
  <c r="D172" i="4"/>
  <c r="G172" i="5" s="1"/>
  <c r="B191" i="5"/>
  <c r="C192" i="4"/>
  <c r="D191" i="4"/>
  <c r="G191" i="5" s="1"/>
  <c r="B236" i="5"/>
  <c r="D248" i="4"/>
  <c r="G248" i="5" s="1"/>
  <c r="D236" i="4"/>
  <c r="G236" i="5" s="1"/>
  <c r="B255" i="5"/>
  <c r="C256" i="4"/>
  <c r="D255" i="4"/>
  <c r="G255" i="5" s="1"/>
  <c r="B271" i="5"/>
  <c r="C272" i="4"/>
  <c r="D271" i="4"/>
  <c r="G271" i="5" s="1"/>
  <c r="B287" i="5"/>
  <c r="C288" i="4"/>
  <c r="D287" i="4"/>
  <c r="G287" i="5" s="1"/>
  <c r="B303" i="5"/>
  <c r="C304" i="4"/>
  <c r="D303" i="4"/>
  <c r="G303" i="5" s="1"/>
  <c r="B331" i="5"/>
  <c r="C332" i="4"/>
  <c r="D343" i="4"/>
  <c r="G343" i="5" s="1"/>
  <c r="D336" i="4"/>
  <c r="G336" i="5" s="1"/>
  <c r="C417" i="4"/>
  <c r="B417" i="5"/>
  <c r="D429" i="4"/>
  <c r="G429" i="5" s="1"/>
  <c r="D26" i="3"/>
  <c r="C15" i="3"/>
  <c r="C14" i="3"/>
  <c r="D279" i="3"/>
  <c r="C280" i="3"/>
  <c r="D291" i="3"/>
  <c r="D300" i="3"/>
  <c r="C288" i="3"/>
  <c r="C305" i="3"/>
  <c r="D317" i="3"/>
  <c r="D326" i="3"/>
  <c r="C315" i="3"/>
  <c r="C324" i="3"/>
  <c r="D335" i="3"/>
  <c r="C323" i="3"/>
  <c r="D439" i="3"/>
  <c r="C428" i="3"/>
  <c r="D521" i="3"/>
  <c r="C509" i="3"/>
  <c r="C536" i="3"/>
  <c r="D547" i="3"/>
  <c r="D556" i="3"/>
  <c r="D544" i="3"/>
  <c r="C544" i="3"/>
  <c r="C561" i="3"/>
  <c r="D573" i="3"/>
  <c r="D582" i="3"/>
  <c r="C571" i="3"/>
  <c r="C580" i="3"/>
  <c r="D591" i="3"/>
  <c r="C579" i="3"/>
  <c r="D708" i="3"/>
  <c r="C696" i="3"/>
  <c r="D696" i="3"/>
  <c r="C705" i="3"/>
  <c r="C706" i="3"/>
  <c r="D717" i="3"/>
  <c r="D756" i="3"/>
  <c r="C744" i="3"/>
  <c r="D744" i="3"/>
  <c r="B20" i="5"/>
  <c r="D32" i="4"/>
  <c r="G32" i="5" s="1"/>
  <c r="B39" i="5"/>
  <c r="C40" i="4"/>
  <c r="D39" i="4"/>
  <c r="G39" i="5" s="1"/>
  <c r="B84" i="5"/>
  <c r="D96" i="4"/>
  <c r="G96" i="5" s="1"/>
  <c r="D84" i="4"/>
  <c r="G84" i="5" s="1"/>
  <c r="C104" i="4"/>
  <c r="D103" i="4"/>
  <c r="G103" i="5" s="1"/>
  <c r="B103" i="5"/>
  <c r="B148" i="5"/>
  <c r="D160" i="4"/>
  <c r="G160" i="5" s="1"/>
  <c r="D148" i="4"/>
  <c r="G148" i="5" s="1"/>
  <c r="B167" i="5"/>
  <c r="C168" i="4"/>
  <c r="D167" i="4"/>
  <c r="G167" i="5" s="1"/>
  <c r="B212" i="5"/>
  <c r="D224" i="4"/>
  <c r="G224" i="5" s="1"/>
  <c r="D212" i="4"/>
  <c r="G212" i="5" s="1"/>
  <c r="B231" i="5"/>
  <c r="C232" i="4"/>
  <c r="D231" i="4"/>
  <c r="G231" i="5" s="1"/>
  <c r="B365" i="5"/>
  <c r="D365" i="4"/>
  <c r="G365" i="5" s="1"/>
  <c r="D377" i="4"/>
  <c r="G377" i="5" s="1"/>
  <c r="C29" i="3"/>
  <c r="D40" i="3"/>
  <c r="D28" i="3"/>
  <c r="D60" i="3"/>
  <c r="C61" i="3"/>
  <c r="D72" i="3"/>
  <c r="C119" i="3"/>
  <c r="D119" i="3"/>
  <c r="D124" i="3"/>
  <c r="C125" i="3"/>
  <c r="D136" i="3"/>
  <c r="D151" i="3"/>
  <c r="C151" i="3"/>
  <c r="C157" i="3"/>
  <c r="D156" i="3"/>
  <c r="D168" i="3"/>
  <c r="D183" i="3"/>
  <c r="C183" i="3"/>
  <c r="C189" i="3"/>
  <c r="D200" i="3"/>
  <c r="D188" i="3"/>
  <c r="D215" i="3"/>
  <c r="C215" i="3"/>
  <c r="C221" i="3"/>
  <c r="D232" i="3"/>
  <c r="D220" i="3"/>
  <c r="D247" i="3"/>
  <c r="C247" i="3"/>
  <c r="C253" i="3"/>
  <c r="D252" i="3"/>
  <c r="D264" i="3"/>
  <c r="C349" i="3"/>
  <c r="D361" i="3"/>
  <c r="C376" i="3"/>
  <c r="D387" i="3"/>
  <c r="C384" i="3"/>
  <c r="D396" i="3"/>
  <c r="D384" i="3"/>
  <c r="C401" i="3"/>
  <c r="D413" i="3"/>
  <c r="D422" i="3"/>
  <c r="C411" i="3"/>
  <c r="C420" i="3"/>
  <c r="D431" i="3"/>
  <c r="C419" i="3"/>
  <c r="C427" i="3"/>
  <c r="D535" i="3"/>
  <c r="C524" i="3"/>
  <c r="D617" i="3"/>
  <c r="C605" i="3"/>
  <c r="C632" i="3"/>
  <c r="D643" i="3"/>
  <c r="C640" i="3"/>
  <c r="D652" i="3"/>
  <c r="D640" i="3"/>
  <c r="C657" i="3"/>
  <c r="D669" i="3"/>
  <c r="D678" i="3"/>
  <c r="C667" i="3"/>
  <c r="C676" i="3"/>
  <c r="D687" i="3"/>
  <c r="C675" i="3"/>
  <c r="C683" i="3"/>
  <c r="B60" i="5"/>
  <c r="D72" i="4"/>
  <c r="G72" i="5" s="1"/>
  <c r="D60" i="4"/>
  <c r="G60" i="5" s="1"/>
  <c r="B79" i="5"/>
  <c r="C80" i="4"/>
  <c r="D79" i="4"/>
  <c r="G79" i="5" s="1"/>
  <c r="B124" i="5"/>
  <c r="D136" i="4"/>
  <c r="G136" i="5" s="1"/>
  <c r="D124" i="4"/>
  <c r="G124" i="5" s="1"/>
  <c r="B143" i="5"/>
  <c r="C144" i="4"/>
  <c r="D143" i="4"/>
  <c r="G143" i="5" s="1"/>
  <c r="B188" i="5"/>
  <c r="D200" i="4"/>
  <c r="G200" i="5" s="1"/>
  <c r="D188" i="4"/>
  <c r="G188" i="5" s="1"/>
  <c r="B207" i="5"/>
  <c r="C208" i="4"/>
  <c r="D207" i="4"/>
  <c r="G207" i="5" s="1"/>
  <c r="B252" i="5"/>
  <c r="D264" i="4"/>
  <c r="G264" i="5" s="1"/>
  <c r="D252" i="4"/>
  <c r="G252" i="5" s="1"/>
  <c r="B413" i="5"/>
  <c r="D425" i="4"/>
  <c r="G425" i="5" s="1"/>
  <c r="D413" i="4"/>
  <c r="G413" i="5" s="1"/>
  <c r="C413" i="4"/>
  <c r="C11" i="3"/>
  <c r="C10" i="3"/>
  <c r="C28" i="3"/>
  <c r="C56" i="3"/>
  <c r="C60" i="3"/>
  <c r="C65" i="3"/>
  <c r="C88" i="3"/>
  <c r="C97" i="3"/>
  <c r="C120" i="3"/>
  <c r="C124" i="3"/>
  <c r="C152" i="3"/>
  <c r="C156" i="3"/>
  <c r="C161" i="3"/>
  <c r="C184" i="3"/>
  <c r="C188" i="3"/>
  <c r="C216" i="3"/>
  <c r="C220" i="3"/>
  <c r="C225" i="3"/>
  <c r="C248" i="3"/>
  <c r="C252" i="3"/>
  <c r="C257" i="3"/>
  <c r="C328" i="3"/>
  <c r="C350" i="3"/>
  <c r="D375" i="3"/>
  <c r="C364" i="3"/>
  <c r="C366" i="3"/>
  <c r="C375" i="3"/>
  <c r="C389" i="3"/>
  <c r="D401" i="3"/>
  <c r="C410" i="3"/>
  <c r="D427" i="3"/>
  <c r="C445" i="3"/>
  <c r="D457" i="3"/>
  <c r="C472" i="3"/>
  <c r="D483" i="3"/>
  <c r="D492" i="3"/>
  <c r="D480" i="3"/>
  <c r="C480" i="3"/>
  <c r="D488" i="3"/>
  <c r="C497" i="3"/>
  <c r="D509" i="3"/>
  <c r="D518" i="3"/>
  <c r="C507" i="3"/>
  <c r="C516" i="3"/>
  <c r="D527" i="3"/>
  <c r="C515" i="3"/>
  <c r="C523" i="3"/>
  <c r="C584" i="3"/>
  <c r="C606" i="3"/>
  <c r="D631" i="3"/>
  <c r="C620" i="3"/>
  <c r="C622" i="3"/>
  <c r="C631" i="3"/>
  <c r="C645" i="3"/>
  <c r="D657" i="3"/>
  <c r="C666" i="3"/>
  <c r="D683" i="3"/>
  <c r="C716" i="3"/>
  <c r="D715" i="3"/>
  <c r="D727" i="3"/>
  <c r="C729" i="3"/>
  <c r="D741" i="3"/>
  <c r="C730" i="3"/>
  <c r="C750" i="3"/>
  <c r="C766" i="3"/>
  <c r="D765" i="3"/>
  <c r="D20" i="4"/>
  <c r="G20" i="5" s="1"/>
  <c r="B36" i="5"/>
  <c r="D48" i="4"/>
  <c r="G48" i="5" s="1"/>
  <c r="D36" i="4"/>
  <c r="G36" i="5" s="1"/>
  <c r="B55" i="5"/>
  <c r="C56" i="4"/>
  <c r="D55" i="4"/>
  <c r="G55" i="5" s="1"/>
  <c r="C60" i="4"/>
  <c r="C79" i="4"/>
  <c r="B100" i="5"/>
  <c r="D112" i="4"/>
  <c r="G112" i="5" s="1"/>
  <c r="D100" i="4"/>
  <c r="G100" i="5" s="1"/>
  <c r="C120" i="4"/>
  <c r="D119" i="4"/>
  <c r="G119" i="5" s="1"/>
  <c r="B119" i="5"/>
  <c r="C124" i="4"/>
  <c r="C143" i="4"/>
  <c r="B164" i="5"/>
  <c r="D176" i="4"/>
  <c r="G176" i="5" s="1"/>
  <c r="D164" i="4"/>
  <c r="G164" i="5" s="1"/>
  <c r="B183" i="5"/>
  <c r="C184" i="4"/>
  <c r="D183" i="4"/>
  <c r="G183" i="5" s="1"/>
  <c r="C188" i="4"/>
  <c r="C207" i="4"/>
  <c r="B228" i="5"/>
  <c r="D240" i="4"/>
  <c r="G240" i="5" s="1"/>
  <c r="D228" i="4"/>
  <c r="G228" i="5" s="1"/>
  <c r="B247" i="5"/>
  <c r="C248" i="4"/>
  <c r="D247" i="4"/>
  <c r="G247" i="5" s="1"/>
  <c r="C252" i="4"/>
  <c r="B268" i="5"/>
  <c r="D280" i="4"/>
  <c r="G280" i="5" s="1"/>
  <c r="D268" i="4"/>
  <c r="G268" i="5" s="1"/>
  <c r="C268" i="4"/>
  <c r="B284" i="5"/>
  <c r="D296" i="4"/>
  <c r="G296" i="5" s="1"/>
  <c r="D284" i="4"/>
  <c r="G284" i="5" s="1"/>
  <c r="C284" i="4"/>
  <c r="B300" i="5"/>
  <c r="D312" i="4"/>
  <c r="G312" i="5" s="1"/>
  <c r="D300" i="4"/>
  <c r="G300" i="5" s="1"/>
  <c r="C300" i="4"/>
  <c r="D390" i="4"/>
  <c r="G390" i="5" s="1"/>
  <c r="B378" i="5"/>
  <c r="C378" i="4"/>
  <c r="B383" i="5"/>
  <c r="D395" i="4"/>
  <c r="G395" i="5" s="1"/>
  <c r="C383" i="4"/>
  <c r="C87" i="3"/>
  <c r="D87" i="3"/>
  <c r="C79" i="3"/>
  <c r="D79" i="3"/>
  <c r="D143" i="3"/>
  <c r="C143" i="3"/>
  <c r="C245" i="3"/>
  <c r="D244" i="3"/>
  <c r="D256" i="3"/>
  <c r="D283" i="3"/>
  <c r="D271" i="3"/>
  <c r="C271" i="3"/>
  <c r="D570" i="3"/>
  <c r="C568" i="3"/>
  <c r="D579" i="3"/>
  <c r="D588" i="3"/>
  <c r="D576" i="3"/>
  <c r="C576" i="3"/>
  <c r="D584" i="3"/>
  <c r="C593" i="3"/>
  <c r="D605" i="3"/>
  <c r="D614" i="3"/>
  <c r="C603" i="3"/>
  <c r="C612" i="3"/>
  <c r="D623" i="3"/>
  <c r="C611" i="3"/>
  <c r="C619" i="3"/>
  <c r="C680" i="3"/>
  <c r="C715" i="3"/>
  <c r="C751" i="3"/>
  <c r="C765" i="3"/>
  <c r="B31" i="5"/>
  <c r="C32" i="4"/>
  <c r="D31" i="4"/>
  <c r="G31" i="5" s="1"/>
  <c r="C36" i="4"/>
  <c r="D51" i="4"/>
  <c r="G51" i="5" s="1"/>
  <c r="C55" i="4"/>
  <c r="B76" i="5"/>
  <c r="D88" i="4"/>
  <c r="G88" i="5" s="1"/>
  <c r="D76" i="4"/>
  <c r="G76" i="5" s="1"/>
  <c r="B95" i="5"/>
  <c r="C96" i="4"/>
  <c r="D95" i="4"/>
  <c r="G95" i="5" s="1"/>
  <c r="C100" i="4"/>
  <c r="D115" i="4"/>
  <c r="G115" i="5" s="1"/>
  <c r="C119" i="4"/>
  <c r="B140" i="5"/>
  <c r="D152" i="4"/>
  <c r="G152" i="5" s="1"/>
  <c r="D140" i="4"/>
  <c r="G140" i="5" s="1"/>
  <c r="B159" i="5"/>
  <c r="C160" i="4"/>
  <c r="D159" i="4"/>
  <c r="G159" i="5" s="1"/>
  <c r="C164" i="4"/>
  <c r="D179" i="4"/>
  <c r="G179" i="5" s="1"/>
  <c r="C183" i="4"/>
  <c r="B204" i="5"/>
  <c r="D216" i="4"/>
  <c r="G216" i="5" s="1"/>
  <c r="D204" i="4"/>
  <c r="G204" i="5" s="1"/>
  <c r="B223" i="5"/>
  <c r="C224" i="4"/>
  <c r="D223" i="4"/>
  <c r="G223" i="5" s="1"/>
  <c r="C228" i="4"/>
  <c r="D243" i="4"/>
  <c r="G243" i="5" s="1"/>
  <c r="C247" i="4"/>
  <c r="B263" i="5"/>
  <c r="C264" i="4"/>
  <c r="D263" i="4"/>
  <c r="G263" i="5" s="1"/>
  <c r="B279" i="5"/>
  <c r="C280" i="4"/>
  <c r="D279" i="4"/>
  <c r="G279" i="5" s="1"/>
  <c r="B295" i="5"/>
  <c r="C296" i="4"/>
  <c r="D295" i="4"/>
  <c r="G295" i="5" s="1"/>
  <c r="B311" i="5"/>
  <c r="D323" i="4"/>
  <c r="G323" i="5" s="1"/>
  <c r="C312" i="4"/>
  <c r="D311" i="4"/>
  <c r="G311" i="5" s="1"/>
  <c r="B357" i="5"/>
  <c r="C358" i="4"/>
  <c r="D369" i="4"/>
  <c r="G369" i="5" s="1"/>
  <c r="C357" i="4"/>
  <c r="C55" i="3"/>
  <c r="D55" i="3"/>
  <c r="Q23" i="1"/>
  <c r="Q22" i="1"/>
  <c r="D20" i="3"/>
  <c r="C21" i="3"/>
  <c r="D32" i="3"/>
  <c r="C33" i="3"/>
  <c r="C193" i="3"/>
  <c r="D23" i="3"/>
  <c r="C20" i="3"/>
  <c r="C117" i="3"/>
  <c r="D116" i="3"/>
  <c r="D128" i="3"/>
  <c r="D129" i="3"/>
  <c r="D175" i="3"/>
  <c r="C175" i="3"/>
  <c r="D193" i="3"/>
  <c r="D207" i="3"/>
  <c r="C207" i="3"/>
  <c r="D225" i="3"/>
  <c r="D239" i="3"/>
  <c r="C239" i="3"/>
  <c r="D257" i="3"/>
  <c r="C277" i="3"/>
  <c r="D288" i="3"/>
  <c r="D276" i="3"/>
  <c r="C285" i="3"/>
  <c r="D297" i="3"/>
  <c r="D314" i="3"/>
  <c r="C312" i="3"/>
  <c r="D323" i="3"/>
  <c r="D332" i="3"/>
  <c r="C320" i="3"/>
  <c r="D320" i="3"/>
  <c r="D328" i="3"/>
  <c r="C337" i="3"/>
  <c r="D349" i="3"/>
  <c r="D358" i="3"/>
  <c r="C347" i="3"/>
  <c r="C356" i="3"/>
  <c r="D367" i="3"/>
  <c r="C355" i="3"/>
  <c r="C363" i="3"/>
  <c r="C424" i="3"/>
  <c r="C446" i="3"/>
  <c r="C460" i="3"/>
  <c r="D471" i="3"/>
  <c r="C471" i="3"/>
  <c r="C485" i="3"/>
  <c r="D497" i="3"/>
  <c r="C506" i="3"/>
  <c r="D523" i="3"/>
  <c r="C541" i="3"/>
  <c r="D553" i="3"/>
  <c r="D18" i="3"/>
  <c r="C7" i="3"/>
  <c r="C6" i="3"/>
  <c r="C25" i="3"/>
  <c r="C34" i="3"/>
  <c r="D43" i="3"/>
  <c r="C48" i="3"/>
  <c r="C57" i="3"/>
  <c r="C66" i="3"/>
  <c r="D75" i="3"/>
  <c r="C80" i="3"/>
  <c r="C89" i="3"/>
  <c r="C98" i="3"/>
  <c r="D107" i="3"/>
  <c r="C112" i="3"/>
  <c r="C116" i="3"/>
  <c r="C121" i="3"/>
  <c r="C130" i="3"/>
  <c r="D139" i="3"/>
  <c r="C144" i="3"/>
  <c r="C153" i="3"/>
  <c r="C162" i="3"/>
  <c r="D171" i="3"/>
  <c r="C176" i="3"/>
  <c r="C185" i="3"/>
  <c r="C194" i="3"/>
  <c r="D203" i="3"/>
  <c r="C208" i="3"/>
  <c r="C217" i="3"/>
  <c r="C226" i="3"/>
  <c r="D235" i="3"/>
  <c r="C240" i="3"/>
  <c r="C244" i="3"/>
  <c r="C249" i="3"/>
  <c r="C258" i="3"/>
  <c r="D267" i="3"/>
  <c r="C272" i="3"/>
  <c r="C276" i="3"/>
  <c r="C286" i="3"/>
  <c r="D311" i="3"/>
  <c r="C300" i="3"/>
  <c r="C302" i="3"/>
  <c r="C311" i="3"/>
  <c r="C325" i="3"/>
  <c r="D337" i="3"/>
  <c r="C346" i="3"/>
  <c r="D363" i="3"/>
  <c r="C381" i="3"/>
  <c r="D393" i="3"/>
  <c r="D410" i="3"/>
  <c r="C408" i="3"/>
  <c r="D419" i="3"/>
  <c r="D428" i="3"/>
  <c r="C416" i="3"/>
  <c r="D416" i="3"/>
  <c r="D424" i="3"/>
  <c r="C433" i="3"/>
  <c r="D445" i="3"/>
  <c r="D454" i="3"/>
  <c r="C443" i="3"/>
  <c r="C452" i="3"/>
  <c r="D463" i="3"/>
  <c r="C451" i="3"/>
  <c r="C459" i="3"/>
  <c r="C520" i="3"/>
  <c r="C542" i="3"/>
  <c r="D567" i="3"/>
  <c r="C556" i="3"/>
  <c r="C558" i="3"/>
  <c r="C567" i="3"/>
  <c r="C581" i="3"/>
  <c r="D593" i="3"/>
  <c r="C602" i="3"/>
  <c r="D619" i="3"/>
  <c r="D649" i="3"/>
  <c r="C637" i="3"/>
  <c r="D666" i="3"/>
  <c r="C664" i="3"/>
  <c r="D675" i="3"/>
  <c r="C672" i="3"/>
  <c r="D684" i="3"/>
  <c r="D672" i="3"/>
  <c r="D680" i="3"/>
  <c r="C689" i="3"/>
  <c r="C690" i="3"/>
  <c r="C736" i="3"/>
  <c r="B17" i="5"/>
  <c r="D29" i="4"/>
  <c r="G29" i="5" s="1"/>
  <c r="C18" i="4"/>
  <c r="C31" i="4"/>
  <c r="B52" i="5"/>
  <c r="D64" i="4"/>
  <c r="G64" i="5" s="1"/>
  <c r="D52" i="4"/>
  <c r="G52" i="5" s="1"/>
  <c r="B71" i="5"/>
  <c r="C72" i="4"/>
  <c r="D71" i="4"/>
  <c r="G71" i="5" s="1"/>
  <c r="C76" i="4"/>
  <c r="D91" i="4"/>
  <c r="G91" i="5" s="1"/>
  <c r="C95" i="4"/>
  <c r="B116" i="5"/>
  <c r="D128" i="4"/>
  <c r="G128" i="5" s="1"/>
  <c r="D116" i="4"/>
  <c r="G116" i="5" s="1"/>
  <c r="B135" i="5"/>
  <c r="C136" i="4"/>
  <c r="D135" i="4"/>
  <c r="G135" i="5" s="1"/>
  <c r="C140" i="4"/>
  <c r="D155" i="4"/>
  <c r="G155" i="5" s="1"/>
  <c r="C159" i="4"/>
  <c r="B180" i="5"/>
  <c r="D192" i="4"/>
  <c r="G192" i="5" s="1"/>
  <c r="D180" i="4"/>
  <c r="G180" i="5" s="1"/>
  <c r="B199" i="5"/>
  <c r="C200" i="4"/>
  <c r="D199" i="4"/>
  <c r="G199" i="5" s="1"/>
  <c r="C204" i="4"/>
  <c r="D219" i="4"/>
  <c r="G219" i="5" s="1"/>
  <c r="C223" i="4"/>
  <c r="B244" i="5"/>
  <c r="D256" i="4"/>
  <c r="G256" i="5" s="1"/>
  <c r="D244" i="4"/>
  <c r="G244" i="5" s="1"/>
  <c r="C263" i="4"/>
  <c r="C279" i="4"/>
  <c r="C295" i="4"/>
  <c r="C311" i="4"/>
  <c r="C93" i="3"/>
  <c r="D92" i="3"/>
  <c r="D104" i="3"/>
  <c r="C53" i="3"/>
  <c r="D52" i="3"/>
  <c r="D64" i="3"/>
  <c r="D97" i="3"/>
  <c r="C39" i="3"/>
  <c r="D39" i="3"/>
  <c r="D57" i="3"/>
  <c r="C77" i="3"/>
  <c r="D76" i="3"/>
  <c r="D88" i="3"/>
  <c r="D103" i="3"/>
  <c r="C103" i="3"/>
  <c r="D121" i="3"/>
  <c r="D135" i="3"/>
  <c r="C135" i="3"/>
  <c r="D153" i="3"/>
  <c r="D167" i="3"/>
  <c r="C167" i="3"/>
  <c r="C173" i="3"/>
  <c r="D172" i="3"/>
  <c r="D184" i="3"/>
  <c r="D185" i="3"/>
  <c r="D199" i="3"/>
  <c r="C199" i="3"/>
  <c r="C205" i="3"/>
  <c r="D216" i="3"/>
  <c r="D204" i="3"/>
  <c r="D217" i="3"/>
  <c r="D231" i="3"/>
  <c r="C231" i="3"/>
  <c r="C237" i="3"/>
  <c r="D236" i="3"/>
  <c r="D248" i="3"/>
  <c r="D249" i="3"/>
  <c r="D263" i="3"/>
  <c r="C263" i="3"/>
  <c r="D280" i="3"/>
  <c r="C269" i="3"/>
  <c r="D268" i="3"/>
  <c r="D285" i="3"/>
  <c r="D294" i="3"/>
  <c r="C283" i="3"/>
  <c r="D282" i="3"/>
  <c r="C292" i="3"/>
  <c r="C291" i="3"/>
  <c r="D303" i="3"/>
  <c r="C396" i="3"/>
  <c r="D407" i="3"/>
  <c r="D459" i="3"/>
  <c r="D489" i="3"/>
  <c r="C477" i="3"/>
  <c r="D506" i="3"/>
  <c r="C504" i="3"/>
  <c r="D515" i="3"/>
  <c r="D524" i="3"/>
  <c r="C512" i="3"/>
  <c r="D512" i="3"/>
  <c r="D520" i="3"/>
  <c r="C529" i="3"/>
  <c r="D541" i="3"/>
  <c r="D550" i="3"/>
  <c r="C539" i="3"/>
  <c r="C548" i="3"/>
  <c r="C547" i="3"/>
  <c r="D559" i="3"/>
  <c r="D663" i="3"/>
  <c r="C652" i="3"/>
  <c r="C700" i="3"/>
  <c r="C699" i="3"/>
  <c r="D724" i="3"/>
  <c r="C712" i="3"/>
  <c r="D712" i="3"/>
  <c r="D738" i="3"/>
  <c r="C726" i="3"/>
  <c r="D736" i="3"/>
  <c r="C748" i="3"/>
  <c r="D747" i="3"/>
  <c r="D759" i="3"/>
  <c r="C761" i="3"/>
  <c r="C762" i="3"/>
  <c r="B28" i="5"/>
  <c r="D40" i="4"/>
  <c r="G40" i="5" s="1"/>
  <c r="D28" i="4"/>
  <c r="G28" i="5" s="1"/>
  <c r="B47" i="5"/>
  <c r="C48" i="4"/>
  <c r="D47" i="4"/>
  <c r="G47" i="5" s="1"/>
  <c r="D67" i="4"/>
  <c r="G67" i="5" s="1"/>
  <c r="B92" i="5"/>
  <c r="D104" i="4"/>
  <c r="G104" i="5" s="1"/>
  <c r="D92" i="4"/>
  <c r="G92" i="5" s="1"/>
  <c r="B111" i="5"/>
  <c r="C112" i="4"/>
  <c r="D111" i="4"/>
  <c r="G111" i="5" s="1"/>
  <c r="D131" i="4"/>
  <c r="G131" i="5" s="1"/>
  <c r="B156" i="5"/>
  <c r="D168" i="4"/>
  <c r="G168" i="5" s="1"/>
  <c r="D156" i="4"/>
  <c r="G156" i="5" s="1"/>
  <c r="B175" i="5"/>
  <c r="C176" i="4"/>
  <c r="D175" i="4"/>
  <c r="G175" i="5" s="1"/>
  <c r="D195" i="4"/>
  <c r="G195" i="5" s="1"/>
  <c r="B220" i="5"/>
  <c r="D232" i="4"/>
  <c r="G232" i="5" s="1"/>
  <c r="D220" i="4"/>
  <c r="G220" i="5" s="1"/>
  <c r="B239" i="5"/>
  <c r="C240" i="4"/>
  <c r="D239" i="4"/>
  <c r="G239" i="5" s="1"/>
  <c r="D259" i="4"/>
  <c r="G259" i="5" s="1"/>
  <c r="D275" i="4"/>
  <c r="G275" i="5" s="1"/>
  <c r="D291" i="4"/>
  <c r="G291" i="5" s="1"/>
  <c r="D307" i="4"/>
  <c r="G307" i="5" s="1"/>
  <c r="D348" i="4"/>
  <c r="G348" i="5" s="1"/>
  <c r="B374" i="5"/>
  <c r="C374" i="4"/>
  <c r="D33" i="3"/>
  <c r="C47" i="3"/>
  <c r="D47" i="3"/>
  <c r="D65" i="3"/>
  <c r="C85" i="3"/>
  <c r="D84" i="3"/>
  <c r="D96" i="3"/>
  <c r="C111" i="3"/>
  <c r="D111" i="3"/>
  <c r="C149" i="3"/>
  <c r="D148" i="3"/>
  <c r="D160" i="3"/>
  <c r="D161" i="3"/>
  <c r="C181" i="3"/>
  <c r="D180" i="3"/>
  <c r="D192" i="3"/>
  <c r="C213" i="3"/>
  <c r="D224" i="3"/>
  <c r="D212" i="3"/>
  <c r="D25" i="3"/>
  <c r="C45" i="3"/>
  <c r="D44" i="3"/>
  <c r="D56" i="3"/>
  <c r="C71" i="3"/>
  <c r="D71" i="3"/>
  <c r="D89" i="3"/>
  <c r="C109" i="3"/>
  <c r="D108" i="3"/>
  <c r="D120" i="3"/>
  <c r="D140" i="3"/>
  <c r="C141" i="3"/>
  <c r="D152" i="3"/>
  <c r="C26" i="3"/>
  <c r="D35" i="3"/>
  <c r="C40" i="3"/>
  <c r="C44" i="3"/>
  <c r="C49" i="3"/>
  <c r="C58" i="3"/>
  <c r="D67" i="3"/>
  <c r="C72" i="3"/>
  <c r="C76" i="3"/>
  <c r="C81" i="3"/>
  <c r="C90" i="3"/>
  <c r="D99" i="3"/>
  <c r="C104" i="3"/>
  <c r="C108" i="3"/>
  <c r="C113" i="3"/>
  <c r="C122" i="3"/>
  <c r="D131" i="3"/>
  <c r="C136" i="3"/>
  <c r="C140" i="3"/>
  <c r="C145" i="3"/>
  <c r="C154" i="3"/>
  <c r="D163" i="3"/>
  <c r="C168" i="3"/>
  <c r="C172" i="3"/>
  <c r="C177" i="3"/>
  <c r="C186" i="3"/>
  <c r="D195" i="3"/>
  <c r="C200" i="3"/>
  <c r="C204" i="3"/>
  <c r="C209" i="3"/>
  <c r="C218" i="3"/>
  <c r="D227" i="3"/>
  <c r="C232" i="3"/>
  <c r="C236" i="3"/>
  <c r="C241" i="3"/>
  <c r="C250" i="3"/>
  <c r="D259" i="3"/>
  <c r="C264" i="3"/>
  <c r="C268" i="3"/>
  <c r="C273" i="3"/>
  <c r="C282" i="3"/>
  <c r="D299" i="3"/>
  <c r="C317" i="3"/>
  <c r="D329" i="3"/>
  <c r="D346" i="3"/>
  <c r="C344" i="3"/>
  <c r="D355" i="3"/>
  <c r="C352" i="3"/>
  <c r="D364" i="3"/>
  <c r="D352" i="3"/>
  <c r="D360" i="3"/>
  <c r="C369" i="3"/>
  <c r="D381" i="3"/>
  <c r="D390" i="3"/>
  <c r="C379" i="3"/>
  <c r="C388" i="3"/>
  <c r="D399" i="3"/>
  <c r="C387" i="3"/>
  <c r="C395" i="3"/>
  <c r="C456" i="3"/>
  <c r="C478" i="3"/>
  <c r="C492" i="3"/>
  <c r="D503" i="3"/>
  <c r="C494" i="3"/>
  <c r="C503" i="3"/>
  <c r="C517" i="3"/>
  <c r="C538" i="3"/>
  <c r="D555" i="3"/>
  <c r="C573" i="3"/>
  <c r="D585" i="3"/>
  <c r="D602" i="3"/>
  <c r="C600" i="3"/>
  <c r="D611" i="3"/>
  <c r="D620" i="3"/>
  <c r="C608" i="3"/>
  <c r="D608" i="3"/>
  <c r="D616" i="3"/>
  <c r="C625" i="3"/>
  <c r="D637" i="3"/>
  <c r="D646" i="3"/>
  <c r="C635" i="3"/>
  <c r="C644" i="3"/>
  <c r="D655" i="3"/>
  <c r="C643" i="3"/>
  <c r="C651" i="3"/>
  <c r="D707" i="3"/>
  <c r="C747" i="3"/>
  <c r="B5" i="5"/>
  <c r="D17" i="4"/>
  <c r="G17" i="5" s="1"/>
  <c r="B11" i="5"/>
  <c r="C11" i="4"/>
  <c r="C28" i="4"/>
  <c r="D43" i="4"/>
  <c r="G43" i="5" s="1"/>
  <c r="C47" i="4"/>
  <c r="B68" i="5"/>
  <c r="D80" i="4"/>
  <c r="G80" i="5" s="1"/>
  <c r="D68" i="4"/>
  <c r="G68" i="5" s="1"/>
  <c r="B87" i="5"/>
  <c r="C88" i="4"/>
  <c r="D87" i="4"/>
  <c r="G87" i="5" s="1"/>
  <c r="C92" i="4"/>
  <c r="D107" i="4"/>
  <c r="G107" i="5" s="1"/>
  <c r="C111" i="4"/>
  <c r="B132" i="5"/>
  <c r="D144" i="4"/>
  <c r="G144" i="5" s="1"/>
  <c r="D132" i="4"/>
  <c r="G132" i="5" s="1"/>
  <c r="B151" i="5"/>
  <c r="C152" i="4"/>
  <c r="D151" i="4"/>
  <c r="G151" i="5" s="1"/>
  <c r="C156" i="4"/>
  <c r="D171" i="4"/>
  <c r="G171" i="5" s="1"/>
  <c r="C175" i="4"/>
  <c r="B196" i="5"/>
  <c r="D208" i="4"/>
  <c r="G208" i="5" s="1"/>
  <c r="D196" i="4"/>
  <c r="G196" i="5" s="1"/>
  <c r="B215" i="5"/>
  <c r="C216" i="4"/>
  <c r="D215" i="4"/>
  <c r="G215" i="5" s="1"/>
  <c r="C220" i="4"/>
  <c r="D235" i="4"/>
  <c r="G235" i="5" s="1"/>
  <c r="C239" i="4"/>
  <c r="B260" i="5"/>
  <c r="D272" i="4"/>
  <c r="G272" i="5" s="1"/>
  <c r="D260" i="4"/>
  <c r="G260" i="5" s="1"/>
  <c r="C260" i="4"/>
  <c r="B276" i="5"/>
  <c r="D288" i="4"/>
  <c r="G288" i="5" s="1"/>
  <c r="D276" i="4"/>
  <c r="G276" i="5" s="1"/>
  <c r="C276" i="4"/>
  <c r="B292" i="5"/>
  <c r="D304" i="4"/>
  <c r="G304" i="5" s="1"/>
  <c r="D292" i="4"/>
  <c r="G292" i="5" s="1"/>
  <c r="C292" i="4"/>
  <c r="B308" i="5"/>
  <c r="D320" i="4"/>
  <c r="G320" i="5" s="1"/>
  <c r="C308" i="4"/>
  <c r="D308" i="4"/>
  <c r="G308" i="5" s="1"/>
  <c r="C336" i="4"/>
  <c r="B345" i="5"/>
  <c r="C345" i="4"/>
  <c r="D357" i="4"/>
  <c r="G357" i="5" s="1"/>
  <c r="C369" i="4"/>
  <c r="B369" i="5"/>
  <c r="D381" i="4"/>
  <c r="G381" i="5" s="1"/>
  <c r="C370" i="4"/>
  <c r="C297" i="3"/>
  <c r="C329" i="3"/>
  <c r="C19" i="3"/>
  <c r="C27" i="3"/>
  <c r="C35" i="3"/>
  <c r="C43" i="3"/>
  <c r="C51" i="3"/>
  <c r="C59" i="3"/>
  <c r="C67" i="3"/>
  <c r="C75" i="3"/>
  <c r="C83" i="3"/>
  <c r="C91" i="3"/>
  <c r="C99" i="3"/>
  <c r="C107" i="3"/>
  <c r="C115" i="3"/>
  <c r="C123" i="3"/>
  <c r="C131" i="3"/>
  <c r="C139" i="3"/>
  <c r="C147" i="3"/>
  <c r="C155" i="3"/>
  <c r="C163" i="3"/>
  <c r="C171" i="3"/>
  <c r="C179" i="3"/>
  <c r="C187" i="3"/>
  <c r="C195" i="3"/>
  <c r="C203" i="3"/>
  <c r="C211" i="3"/>
  <c r="C219" i="3"/>
  <c r="C227" i="3"/>
  <c r="C235" i="3"/>
  <c r="C243" i="3"/>
  <c r="C251" i="3"/>
  <c r="C259" i="3"/>
  <c r="C267" i="3"/>
  <c r="C275" i="3"/>
  <c r="D302" i="3"/>
  <c r="C304" i="3"/>
  <c r="C307" i="3"/>
  <c r="D334" i="3"/>
  <c r="C336" i="3"/>
  <c r="C339" i="3"/>
  <c r="D366" i="3"/>
  <c r="C368" i="3"/>
  <c r="C371" i="3"/>
  <c r="D398" i="3"/>
  <c r="C400" i="3"/>
  <c r="C403" i="3"/>
  <c r="D430" i="3"/>
  <c r="C432" i="3"/>
  <c r="C435" i="3"/>
  <c r="D462" i="3"/>
  <c r="C464" i="3"/>
  <c r="C467" i="3"/>
  <c r="D494" i="3"/>
  <c r="C496" i="3"/>
  <c r="C499" i="3"/>
  <c r="D526" i="3"/>
  <c r="C528" i="3"/>
  <c r="C531" i="3"/>
  <c r="D558" i="3"/>
  <c r="C560" i="3"/>
  <c r="C563" i="3"/>
  <c r="D590" i="3"/>
  <c r="C592" i="3"/>
  <c r="C595" i="3"/>
  <c r="D622" i="3"/>
  <c r="C624" i="3"/>
  <c r="C627" i="3"/>
  <c r="D654" i="3"/>
  <c r="C656" i="3"/>
  <c r="C659" i="3"/>
  <c r="D686" i="3"/>
  <c r="C688" i="3"/>
  <c r="C694" i="3"/>
  <c r="C710" i="3"/>
  <c r="D737" i="3"/>
  <c r="D735" i="3"/>
  <c r="C742" i="3"/>
  <c r="D767" i="3"/>
  <c r="B15" i="5"/>
  <c r="C15" i="4"/>
  <c r="B23" i="5"/>
  <c r="C24" i="4"/>
  <c r="B319" i="5"/>
  <c r="D331" i="4"/>
  <c r="G331" i="5" s="1"/>
  <c r="B360" i="5"/>
  <c r="D372" i="4"/>
  <c r="G372" i="5" s="1"/>
  <c r="D360" i="4"/>
  <c r="G360" i="5" s="1"/>
  <c r="B386" i="5"/>
  <c r="D398" i="4"/>
  <c r="G398" i="5" s="1"/>
  <c r="B411" i="5"/>
  <c r="C412" i="4"/>
  <c r="C411" i="4"/>
  <c r="B443" i="5"/>
  <c r="C444" i="4"/>
  <c r="D443" i="4"/>
  <c r="G443" i="5" s="1"/>
  <c r="C443" i="4"/>
  <c r="B448" i="5"/>
  <c r="D448" i="4"/>
  <c r="G448" i="5" s="1"/>
  <c r="B499" i="5"/>
  <c r="C499" i="4"/>
  <c r="C500" i="4"/>
  <c r="D511" i="4"/>
  <c r="G511" i="5" s="1"/>
  <c r="B509" i="5"/>
  <c r="D521" i="4"/>
  <c r="G521" i="5" s="1"/>
  <c r="C510" i="4"/>
  <c r="B513" i="5"/>
  <c r="C513" i="4"/>
  <c r="D525" i="4"/>
  <c r="G525" i="5" s="1"/>
  <c r="B523" i="5"/>
  <c r="C523" i="4"/>
  <c r="C524" i="4"/>
  <c r="D535" i="4"/>
  <c r="G535" i="5" s="1"/>
  <c r="B546" i="5"/>
  <c r="D558" i="4"/>
  <c r="G558" i="5" s="1"/>
  <c r="D546" i="4"/>
  <c r="G546" i="5" s="1"/>
  <c r="C546" i="4"/>
  <c r="B569" i="5"/>
  <c r="C569" i="4"/>
  <c r="D581" i="4"/>
  <c r="G581" i="5" s="1"/>
  <c r="B602" i="5"/>
  <c r="D614" i="4"/>
  <c r="G614" i="5" s="1"/>
  <c r="B619" i="5"/>
  <c r="D619" i="4"/>
  <c r="G619" i="5" s="1"/>
  <c r="D631" i="4"/>
  <c r="G631" i="5" s="1"/>
  <c r="B635" i="5"/>
  <c r="D635" i="4"/>
  <c r="G635" i="5" s="1"/>
  <c r="B669" i="5"/>
  <c r="D681" i="4"/>
  <c r="G681" i="5" s="1"/>
  <c r="B675" i="5"/>
  <c r="D675" i="4"/>
  <c r="G675" i="5" s="1"/>
  <c r="B398" i="5"/>
  <c r="C399" i="4"/>
  <c r="C398" i="4"/>
  <c r="B426" i="5"/>
  <c r="D438" i="4"/>
  <c r="G438" i="5" s="1"/>
  <c r="B430" i="5"/>
  <c r="C431" i="4"/>
  <c r="C430" i="4"/>
  <c r="B467" i="5"/>
  <c r="C467" i="4"/>
  <c r="C468" i="4"/>
  <c r="D479" i="4"/>
  <c r="G479" i="5" s="1"/>
  <c r="B477" i="5"/>
  <c r="D489" i="4"/>
  <c r="G489" i="5" s="1"/>
  <c r="C478" i="4"/>
  <c r="B481" i="5"/>
  <c r="C481" i="4"/>
  <c r="D493" i="4"/>
  <c r="G493" i="5" s="1"/>
  <c r="B491" i="5"/>
  <c r="C491" i="4"/>
  <c r="C492" i="4"/>
  <c r="D503" i="4"/>
  <c r="G503" i="5" s="1"/>
  <c r="B514" i="5"/>
  <c r="D526" i="4"/>
  <c r="G526" i="5" s="1"/>
  <c r="D514" i="4"/>
  <c r="G514" i="5" s="1"/>
  <c r="C514" i="4"/>
  <c r="B537" i="5"/>
  <c r="C537" i="4"/>
  <c r="D549" i="4"/>
  <c r="G549" i="5" s="1"/>
  <c r="B570" i="5"/>
  <c r="D582" i="4"/>
  <c r="G582" i="5" s="1"/>
  <c r="B584" i="5"/>
  <c r="D584" i="4"/>
  <c r="G584" i="5" s="1"/>
  <c r="D596" i="4"/>
  <c r="G596" i="5" s="1"/>
  <c r="B613" i="5"/>
  <c r="D625" i="4"/>
  <c r="G625" i="5" s="1"/>
  <c r="B629" i="5"/>
  <c r="D641" i="4"/>
  <c r="G641" i="5" s="1"/>
  <c r="B645" i="5"/>
  <c r="D657" i="4"/>
  <c r="G657" i="5" s="1"/>
  <c r="B651" i="5"/>
  <c r="D651" i="4"/>
  <c r="G651" i="5" s="1"/>
  <c r="B445" i="5"/>
  <c r="D457" i="4"/>
  <c r="G457" i="5" s="1"/>
  <c r="C446" i="4"/>
  <c r="B449" i="5"/>
  <c r="C449" i="4"/>
  <c r="D461" i="4"/>
  <c r="G461" i="5" s="1"/>
  <c r="B459" i="5"/>
  <c r="C459" i="4"/>
  <c r="C460" i="4"/>
  <c r="D471" i="4"/>
  <c r="G471" i="5" s="1"/>
  <c r="D467" i="4"/>
  <c r="G467" i="5" s="1"/>
  <c r="B482" i="5"/>
  <c r="D494" i="4"/>
  <c r="G494" i="5" s="1"/>
  <c r="D482" i="4"/>
  <c r="G482" i="5" s="1"/>
  <c r="C482" i="4"/>
  <c r="B505" i="5"/>
  <c r="C505" i="4"/>
  <c r="D517" i="4"/>
  <c r="G517" i="5" s="1"/>
  <c r="B538" i="5"/>
  <c r="D550" i="4"/>
  <c r="G550" i="5" s="1"/>
  <c r="B552" i="5"/>
  <c r="D564" i="4"/>
  <c r="G564" i="5" s="1"/>
  <c r="B610" i="5"/>
  <c r="C610" i="4"/>
  <c r="D622" i="4"/>
  <c r="G622" i="5" s="1"/>
  <c r="B616" i="5"/>
  <c r="C616" i="4"/>
  <c r="D628" i="4"/>
  <c r="G628" i="5" s="1"/>
  <c r="D616" i="4"/>
  <c r="G616" i="5" s="1"/>
  <c r="B626" i="5"/>
  <c r="C626" i="4"/>
  <c r="D638" i="4"/>
  <c r="G638" i="5" s="1"/>
  <c r="B632" i="5"/>
  <c r="C632" i="4"/>
  <c r="D644" i="4"/>
  <c r="G644" i="5" s="1"/>
  <c r="B642" i="5"/>
  <c r="C642" i="4"/>
  <c r="D654" i="4"/>
  <c r="G654" i="5" s="1"/>
  <c r="B685" i="5"/>
  <c r="D697" i="4"/>
  <c r="G697" i="5" s="1"/>
  <c r="B691" i="5"/>
  <c r="D691" i="4"/>
  <c r="G691" i="5" s="1"/>
  <c r="B354" i="5"/>
  <c r="D366" i="4"/>
  <c r="G366" i="5" s="1"/>
  <c r="B395" i="5"/>
  <c r="C396" i="4"/>
  <c r="B400" i="5"/>
  <c r="D412" i="4"/>
  <c r="G412" i="5" s="1"/>
  <c r="D426" i="4"/>
  <c r="G426" i="5" s="1"/>
  <c r="B432" i="5"/>
  <c r="D444" i="4"/>
  <c r="G444" i="5" s="1"/>
  <c r="C445" i="4"/>
  <c r="B450" i="5"/>
  <c r="D462" i="4"/>
  <c r="G462" i="5" s="1"/>
  <c r="C450" i="4"/>
  <c r="D459" i="4"/>
  <c r="G459" i="5" s="1"/>
  <c r="B473" i="5"/>
  <c r="C473" i="4"/>
  <c r="D485" i="4"/>
  <c r="G485" i="5" s="1"/>
  <c r="D477" i="4"/>
  <c r="G477" i="5" s="1"/>
  <c r="B506" i="5"/>
  <c r="D518" i="4"/>
  <c r="G518" i="5" s="1"/>
  <c r="B520" i="5"/>
  <c r="D520" i="4"/>
  <c r="G520" i="5" s="1"/>
  <c r="D532" i="4"/>
  <c r="G532" i="5" s="1"/>
  <c r="C538" i="4"/>
  <c r="C552" i="4"/>
  <c r="D570" i="4"/>
  <c r="G570" i="5" s="1"/>
  <c r="B581" i="5"/>
  <c r="D593" i="4"/>
  <c r="G593" i="5" s="1"/>
  <c r="C582" i="4"/>
  <c r="B661" i="5"/>
  <c r="D673" i="4"/>
  <c r="G673" i="5" s="1"/>
  <c r="B667" i="5"/>
  <c r="D667" i="4"/>
  <c r="G667" i="5" s="1"/>
  <c r="C685" i="4"/>
  <c r="B706" i="5"/>
  <c r="C706" i="4"/>
  <c r="D718" i="4"/>
  <c r="G718" i="5" s="1"/>
  <c r="C707" i="4"/>
  <c r="B719" i="5"/>
  <c r="D731" i="4"/>
  <c r="G731" i="5" s="1"/>
  <c r="D719" i="4"/>
  <c r="G719" i="5" s="1"/>
  <c r="B129" i="5"/>
  <c r="D141" i="4"/>
  <c r="G141" i="5" s="1"/>
  <c r="B297" i="5"/>
  <c r="D309" i="4"/>
  <c r="G309" i="5" s="1"/>
  <c r="B375" i="5"/>
  <c r="D387" i="4"/>
  <c r="G387" i="5" s="1"/>
  <c r="C375" i="4"/>
  <c r="C395" i="4"/>
  <c r="C400" i="4"/>
  <c r="B427" i="5"/>
  <c r="C428" i="4"/>
  <c r="D427" i="4"/>
  <c r="G427" i="5" s="1"/>
  <c r="C427" i="4"/>
  <c r="C432" i="4"/>
  <c r="B474" i="5"/>
  <c r="D486" i="4"/>
  <c r="G486" i="5" s="1"/>
  <c r="B488" i="5"/>
  <c r="D488" i="4"/>
  <c r="G488" i="5" s="1"/>
  <c r="D500" i="4"/>
  <c r="G500" i="5" s="1"/>
  <c r="C506" i="4"/>
  <c r="C520" i="4"/>
  <c r="D538" i="4"/>
  <c r="G538" i="5" s="1"/>
  <c r="B549" i="5"/>
  <c r="D561" i="4"/>
  <c r="G561" i="5" s="1"/>
  <c r="C550" i="4"/>
  <c r="B576" i="5"/>
  <c r="D576" i="4"/>
  <c r="G576" i="5" s="1"/>
  <c r="C581" i="4"/>
  <c r="B611" i="5"/>
  <c r="D611" i="4"/>
  <c r="G611" i="5" s="1"/>
  <c r="D623" i="4"/>
  <c r="G623" i="5" s="1"/>
  <c r="B627" i="5"/>
  <c r="D627" i="4"/>
  <c r="G627" i="5" s="1"/>
  <c r="D639" i="4"/>
  <c r="G639" i="5" s="1"/>
  <c r="B643" i="5"/>
  <c r="D643" i="4"/>
  <c r="G643" i="5" s="1"/>
  <c r="C661" i="4"/>
  <c r="C667" i="4"/>
  <c r="D685" i="4"/>
  <c r="G685" i="5" s="1"/>
  <c r="B701" i="5"/>
  <c r="D713" i="4"/>
  <c r="G713" i="5" s="1"/>
  <c r="D703" i="4"/>
  <c r="G703" i="5" s="1"/>
  <c r="C719" i="4"/>
  <c r="B328" i="5"/>
  <c r="D340" i="4"/>
  <c r="G340" i="5" s="1"/>
  <c r="D328" i="4"/>
  <c r="G328" i="5" s="1"/>
  <c r="C361" i="3"/>
  <c r="C393" i="3"/>
  <c r="C521" i="3"/>
  <c r="C553" i="3"/>
  <c r="C585" i="3"/>
  <c r="C617" i="3"/>
  <c r="C649" i="3"/>
  <c r="D702" i="3"/>
  <c r="D718" i="3"/>
  <c r="B21" i="5"/>
  <c r="C21" i="4"/>
  <c r="B41" i="5"/>
  <c r="D53" i="4"/>
  <c r="G53" i="5" s="1"/>
  <c r="B57" i="5"/>
  <c r="D69" i="4"/>
  <c r="G69" i="5" s="1"/>
  <c r="B73" i="5"/>
  <c r="D85" i="4"/>
  <c r="G85" i="5" s="1"/>
  <c r="B105" i="5"/>
  <c r="D117" i="4"/>
  <c r="G117" i="5" s="1"/>
  <c r="D133" i="4"/>
  <c r="G133" i="5" s="1"/>
  <c r="B121" i="5"/>
  <c r="B145" i="5"/>
  <c r="D157" i="4"/>
  <c r="G157" i="5" s="1"/>
  <c r="B161" i="5"/>
  <c r="D173" i="4"/>
  <c r="G173" i="5" s="1"/>
  <c r="B177" i="5"/>
  <c r="D189" i="4"/>
  <c r="G189" i="5" s="1"/>
  <c r="B193" i="5"/>
  <c r="D205" i="4"/>
  <c r="G205" i="5" s="1"/>
  <c r="B217" i="5"/>
  <c r="D229" i="4"/>
  <c r="G229" i="5" s="1"/>
  <c r="B225" i="5"/>
  <c r="D237" i="4"/>
  <c r="G237" i="5" s="1"/>
  <c r="B241" i="5"/>
  <c r="D253" i="4"/>
  <c r="G253" i="5" s="1"/>
  <c r="B257" i="5"/>
  <c r="D269" i="4"/>
  <c r="G269" i="5" s="1"/>
  <c r="B273" i="5"/>
  <c r="D285" i="4"/>
  <c r="G285" i="5" s="1"/>
  <c r="B289" i="5"/>
  <c r="D301" i="4"/>
  <c r="G301" i="5" s="1"/>
  <c r="D317" i="4"/>
  <c r="G317" i="5" s="1"/>
  <c r="B305" i="5"/>
  <c r="B313" i="5"/>
  <c r="D325" i="4"/>
  <c r="G325" i="5" s="1"/>
  <c r="C328" i="4"/>
  <c r="B337" i="5"/>
  <c r="C337" i="4"/>
  <c r="D349" i="4"/>
  <c r="G349" i="5" s="1"/>
  <c r="C338" i="4"/>
  <c r="B346" i="5"/>
  <c r="D358" i="4"/>
  <c r="G358" i="5" s="1"/>
  <c r="C346" i="4"/>
  <c r="C354" i="4"/>
  <c r="B366" i="5"/>
  <c r="C367" i="4"/>
  <c r="D378" i="4"/>
  <c r="G378" i="5" s="1"/>
  <c r="C366" i="4"/>
  <c r="B371" i="5"/>
  <c r="C372" i="4"/>
  <c r="C266" i="3"/>
  <c r="C274" i="3"/>
  <c r="C294" i="3"/>
  <c r="C303" i="3"/>
  <c r="C306" i="3"/>
  <c r="C326" i="3"/>
  <c r="C335" i="3"/>
  <c r="C338" i="3"/>
  <c r="C358" i="3"/>
  <c r="C367" i="3"/>
  <c r="C370" i="3"/>
  <c r="C390" i="3"/>
  <c r="C399" i="3"/>
  <c r="C402" i="3"/>
  <c r="C422" i="3"/>
  <c r="C431" i="3"/>
  <c r="C434" i="3"/>
  <c r="C454" i="3"/>
  <c r="C463" i="3"/>
  <c r="C466" i="3"/>
  <c r="C486" i="3"/>
  <c r="C495" i="3"/>
  <c r="C498" i="3"/>
  <c r="C518" i="3"/>
  <c r="C527" i="3"/>
  <c r="C530" i="3"/>
  <c r="C550" i="3"/>
  <c r="C559" i="3"/>
  <c r="C562" i="3"/>
  <c r="C582" i="3"/>
  <c r="C591" i="3"/>
  <c r="C594" i="3"/>
  <c r="C614" i="3"/>
  <c r="C623" i="3"/>
  <c r="C626" i="3"/>
  <c r="C646" i="3"/>
  <c r="C655" i="3"/>
  <c r="C658" i="3"/>
  <c r="C678" i="3"/>
  <c r="C687" i="3"/>
  <c r="C703" i="3"/>
  <c r="C709" i="3"/>
  <c r="C723" i="3"/>
  <c r="C727" i="3"/>
  <c r="D750" i="3"/>
  <c r="C741" i="3"/>
  <c r="C755" i="3"/>
  <c r="C759" i="3"/>
  <c r="C13" i="4"/>
  <c r="B18" i="5"/>
  <c r="C19" i="4"/>
  <c r="C41" i="4"/>
  <c r="C57" i="4"/>
  <c r="C65" i="4"/>
  <c r="C73" i="4"/>
  <c r="C89" i="4"/>
  <c r="C101" i="4"/>
  <c r="C105" i="4"/>
  <c r="C117" i="4"/>
  <c r="C121" i="4"/>
  <c r="C129" i="4"/>
  <c r="C133" i="4"/>
  <c r="C145" i="4"/>
  <c r="C161" i="4"/>
  <c r="C177" i="4"/>
  <c r="C193" i="4"/>
  <c r="C217" i="4"/>
  <c r="C225" i="4"/>
  <c r="C241" i="4"/>
  <c r="C257" i="4"/>
  <c r="C273" i="4"/>
  <c r="C289" i="4"/>
  <c r="C297" i="4"/>
  <c r="C305" i="4"/>
  <c r="C313" i="4"/>
  <c r="B325" i="5"/>
  <c r="C326" i="4"/>
  <c r="D337" i="4"/>
  <c r="G337" i="5" s="1"/>
  <c r="C333" i="4"/>
  <c r="B351" i="5"/>
  <c r="D363" i="4"/>
  <c r="G363" i="5" s="1"/>
  <c r="D354" i="4"/>
  <c r="G354" i="5" s="1"/>
  <c r="C371" i="4"/>
  <c r="B392" i="5"/>
  <c r="D392" i="4"/>
  <c r="G392" i="5" s="1"/>
  <c r="D400" i="4"/>
  <c r="G400" i="5" s="1"/>
  <c r="B410" i="5"/>
  <c r="D422" i="4"/>
  <c r="G422" i="5" s="1"/>
  <c r="B414" i="5"/>
  <c r="C415" i="4"/>
  <c r="C414" i="4"/>
  <c r="D432" i="4"/>
  <c r="G432" i="5" s="1"/>
  <c r="B442" i="5"/>
  <c r="D454" i="4"/>
  <c r="G454" i="5" s="1"/>
  <c r="B456" i="5"/>
  <c r="D456" i="4"/>
  <c r="G456" i="5" s="1"/>
  <c r="D468" i="4"/>
  <c r="G468" i="5" s="1"/>
  <c r="D460" i="4"/>
  <c r="G460" i="5" s="1"/>
  <c r="C474" i="4"/>
  <c r="C488" i="4"/>
  <c r="D506" i="4"/>
  <c r="G506" i="5" s="1"/>
  <c r="B517" i="5"/>
  <c r="D529" i="4"/>
  <c r="G529" i="5" s="1"/>
  <c r="C518" i="4"/>
  <c r="C549" i="4"/>
  <c r="C576" i="4"/>
  <c r="B595" i="5"/>
  <c r="C595" i="4"/>
  <c r="C596" i="4"/>
  <c r="B605" i="5"/>
  <c r="D617" i="4"/>
  <c r="G617" i="5" s="1"/>
  <c r="C611" i="4"/>
  <c r="B621" i="5"/>
  <c r="D633" i="4"/>
  <c r="G633" i="5" s="1"/>
  <c r="C627" i="4"/>
  <c r="B637" i="5"/>
  <c r="D649" i="4"/>
  <c r="G649" i="5" s="1"/>
  <c r="C643" i="4"/>
  <c r="D661" i="4"/>
  <c r="G661" i="5" s="1"/>
  <c r="B677" i="5"/>
  <c r="D689" i="4"/>
  <c r="G689" i="5" s="1"/>
  <c r="D679" i="4"/>
  <c r="G679" i="5" s="1"/>
  <c r="B683" i="5"/>
  <c r="D683" i="4"/>
  <c r="G683" i="5" s="1"/>
  <c r="C701" i="4"/>
  <c r="B710" i="5"/>
  <c r="C710" i="4"/>
  <c r="C711" i="4"/>
  <c r="D722" i="4"/>
  <c r="G722" i="5" s="1"/>
  <c r="B713" i="5"/>
  <c r="C713" i="4"/>
  <c r="D725" i="4"/>
  <c r="G725" i="5" s="1"/>
  <c r="B738" i="5"/>
  <c r="C738" i="4"/>
  <c r="D750" i="4"/>
  <c r="G750" i="5" s="1"/>
  <c r="C739" i="4"/>
  <c r="C737" i="3"/>
  <c r="B7" i="5"/>
  <c r="C7" i="4"/>
  <c r="B25" i="5"/>
  <c r="D37" i="4"/>
  <c r="G37" i="5" s="1"/>
  <c r="B49" i="5"/>
  <c r="D61" i="4"/>
  <c r="G61" i="5" s="1"/>
  <c r="B81" i="5"/>
  <c r="D93" i="4"/>
  <c r="G93" i="5" s="1"/>
  <c r="B97" i="5"/>
  <c r="D109" i="4"/>
  <c r="G109" i="5" s="1"/>
  <c r="B113" i="5"/>
  <c r="D125" i="4"/>
  <c r="G125" i="5" s="1"/>
  <c r="B137" i="5"/>
  <c r="D149" i="4"/>
  <c r="G149" i="5" s="1"/>
  <c r="B153" i="5"/>
  <c r="D165" i="4"/>
  <c r="G165" i="5" s="1"/>
  <c r="D181" i="4"/>
  <c r="G181" i="5" s="1"/>
  <c r="B169" i="5"/>
  <c r="B185" i="5"/>
  <c r="D197" i="4"/>
  <c r="G197" i="5" s="1"/>
  <c r="B201" i="5"/>
  <c r="D213" i="4"/>
  <c r="G213" i="5" s="1"/>
  <c r="B209" i="5"/>
  <c r="D221" i="4"/>
  <c r="G221" i="5" s="1"/>
  <c r="B233" i="5"/>
  <c r="D245" i="4"/>
  <c r="G245" i="5" s="1"/>
  <c r="B249" i="5"/>
  <c r="D261" i="4"/>
  <c r="G261" i="5" s="1"/>
  <c r="B265" i="5"/>
  <c r="D277" i="4"/>
  <c r="G277" i="5" s="1"/>
  <c r="B281" i="5"/>
  <c r="D293" i="4"/>
  <c r="G293" i="5" s="1"/>
  <c r="D445" i="4"/>
  <c r="G445" i="5" s="1"/>
  <c r="C289" i="3"/>
  <c r="D310" i="3"/>
  <c r="C321" i="3"/>
  <c r="D342" i="3"/>
  <c r="C353" i="3"/>
  <c r="D374" i="3"/>
  <c r="C385" i="3"/>
  <c r="D406" i="3"/>
  <c r="C417" i="3"/>
  <c r="D438" i="3"/>
  <c r="C449" i="3"/>
  <c r="D470" i="3"/>
  <c r="C481" i="3"/>
  <c r="D502" i="3"/>
  <c r="C513" i="3"/>
  <c r="D534" i="3"/>
  <c r="C545" i="3"/>
  <c r="D566" i="3"/>
  <c r="C577" i="3"/>
  <c r="D598" i="3"/>
  <c r="C609" i="3"/>
  <c r="D630" i="3"/>
  <c r="C641" i="3"/>
  <c r="D662" i="3"/>
  <c r="C673" i="3"/>
  <c r="C697" i="3"/>
  <c r="D709" i="3"/>
  <c r="C713" i="3"/>
  <c r="D729" i="3"/>
  <c r="D723" i="3"/>
  <c r="C738" i="3"/>
  <c r="C745" i="3"/>
  <c r="D761" i="3"/>
  <c r="D755" i="3"/>
  <c r="B9" i="5"/>
  <c r="D21" i="4"/>
  <c r="G21" i="5" s="1"/>
  <c r="D26" i="4"/>
  <c r="G26" i="5" s="1"/>
  <c r="B14" i="5"/>
  <c r="C22" i="4"/>
  <c r="D25" i="4"/>
  <c r="G25" i="5" s="1"/>
  <c r="D33" i="4"/>
  <c r="G33" i="5" s="1"/>
  <c r="D41" i="4"/>
  <c r="G41" i="5" s="1"/>
  <c r="D49" i="4"/>
  <c r="G49" i="5" s="1"/>
  <c r="D57" i="4"/>
  <c r="G57" i="5" s="1"/>
  <c r="D73" i="4"/>
  <c r="G73" i="5" s="1"/>
  <c r="D81" i="4"/>
  <c r="G81" i="5" s="1"/>
  <c r="D97" i="4"/>
  <c r="G97" i="5" s="1"/>
  <c r="D105" i="4"/>
  <c r="G105" i="5" s="1"/>
  <c r="D113" i="4"/>
  <c r="G113" i="5" s="1"/>
  <c r="D121" i="4"/>
  <c r="G121" i="5" s="1"/>
  <c r="D129" i="4"/>
  <c r="G129" i="5" s="1"/>
  <c r="D137" i="4"/>
  <c r="G137" i="5" s="1"/>
  <c r="D145" i="4"/>
  <c r="G145" i="5" s="1"/>
  <c r="D153" i="4"/>
  <c r="G153" i="5" s="1"/>
  <c r="D161" i="4"/>
  <c r="G161" i="5" s="1"/>
  <c r="D169" i="4"/>
  <c r="G169" i="5" s="1"/>
  <c r="D177" i="4"/>
  <c r="G177" i="5" s="1"/>
  <c r="D185" i="4"/>
  <c r="G185" i="5" s="1"/>
  <c r="D193" i="4"/>
  <c r="G193" i="5" s="1"/>
  <c r="D201" i="4"/>
  <c r="G201" i="5" s="1"/>
  <c r="D209" i="4"/>
  <c r="G209" i="5" s="1"/>
  <c r="D217" i="4"/>
  <c r="G217" i="5" s="1"/>
  <c r="D225" i="4"/>
  <c r="G225" i="5" s="1"/>
  <c r="D233" i="4"/>
  <c r="G233" i="5" s="1"/>
  <c r="D241" i="4"/>
  <c r="G241" i="5" s="1"/>
  <c r="D249" i="4"/>
  <c r="G249" i="5" s="1"/>
  <c r="D257" i="4"/>
  <c r="G257" i="5" s="1"/>
  <c r="D265" i="4"/>
  <c r="G265" i="5" s="1"/>
  <c r="D273" i="4"/>
  <c r="G273" i="5" s="1"/>
  <c r="D281" i="4"/>
  <c r="G281" i="5" s="1"/>
  <c r="D289" i="4"/>
  <c r="G289" i="5" s="1"/>
  <c r="D297" i="4"/>
  <c r="G297" i="5" s="1"/>
  <c r="D305" i="4"/>
  <c r="G305" i="5" s="1"/>
  <c r="D313" i="4"/>
  <c r="G313" i="5" s="1"/>
  <c r="B322" i="5"/>
  <c r="D334" i="4"/>
  <c r="G334" i="5" s="1"/>
  <c r="D333" i="4"/>
  <c r="G333" i="5" s="1"/>
  <c r="B363" i="5"/>
  <c r="C364" i="4"/>
  <c r="D375" i="4"/>
  <c r="G375" i="5" s="1"/>
  <c r="D371" i="4"/>
  <c r="G371" i="5" s="1"/>
  <c r="D380" i="4"/>
  <c r="G380" i="5" s="1"/>
  <c r="C392" i="4"/>
  <c r="B397" i="5"/>
  <c r="D409" i="4"/>
  <c r="G409" i="5" s="1"/>
  <c r="B401" i="5"/>
  <c r="C401" i="4"/>
  <c r="C410" i="4"/>
  <c r="D423" i="4"/>
  <c r="G423" i="5" s="1"/>
  <c r="B429" i="5"/>
  <c r="D441" i="4"/>
  <c r="G441" i="5" s="1"/>
  <c r="B433" i="5"/>
  <c r="C433" i="4"/>
  <c r="C442" i="4"/>
  <c r="C456" i="4"/>
  <c r="D474" i="4"/>
  <c r="G474" i="5" s="1"/>
  <c r="B485" i="5"/>
  <c r="D497" i="4"/>
  <c r="G497" i="5" s="1"/>
  <c r="C486" i="4"/>
  <c r="B512" i="5"/>
  <c r="D512" i="4"/>
  <c r="G512" i="5" s="1"/>
  <c r="C517" i="4"/>
  <c r="B563" i="5"/>
  <c r="C563" i="4"/>
  <c r="C564" i="4"/>
  <c r="D575" i="4"/>
  <c r="G575" i="5" s="1"/>
  <c r="B573" i="5"/>
  <c r="D585" i="4"/>
  <c r="G585" i="5" s="1"/>
  <c r="C574" i="4"/>
  <c r="B577" i="5"/>
  <c r="C577" i="4"/>
  <c r="D589" i="4"/>
  <c r="G589" i="5" s="1"/>
  <c r="B587" i="5"/>
  <c r="C587" i="4"/>
  <c r="C588" i="4"/>
  <c r="D599" i="4"/>
  <c r="G599" i="5" s="1"/>
  <c r="D595" i="4"/>
  <c r="G595" i="5" s="1"/>
  <c r="C605" i="4"/>
  <c r="B608" i="5"/>
  <c r="C608" i="4"/>
  <c r="D620" i="4"/>
  <c r="G620" i="5" s="1"/>
  <c r="D608" i="4"/>
  <c r="G608" i="5" s="1"/>
  <c r="B618" i="5"/>
  <c r="C618" i="4"/>
  <c r="D630" i="4"/>
  <c r="G630" i="5" s="1"/>
  <c r="C621" i="4"/>
  <c r="B624" i="5"/>
  <c r="C624" i="4"/>
  <c r="D636" i="4"/>
  <c r="G636" i="5" s="1"/>
  <c r="B634" i="5"/>
  <c r="C634" i="4"/>
  <c r="D646" i="4"/>
  <c r="G646" i="5" s="1"/>
  <c r="C637" i="4"/>
  <c r="B640" i="5"/>
  <c r="C640" i="4"/>
  <c r="D652" i="4"/>
  <c r="G652" i="5" s="1"/>
  <c r="B653" i="5"/>
  <c r="D665" i="4"/>
  <c r="G665" i="5" s="1"/>
  <c r="D655" i="4"/>
  <c r="G655" i="5" s="1"/>
  <c r="B659" i="5"/>
  <c r="D659" i="4"/>
  <c r="G659" i="5" s="1"/>
  <c r="C677" i="4"/>
  <c r="C683" i="4"/>
  <c r="D701" i="4"/>
  <c r="G701" i="5" s="1"/>
  <c r="D710" i="4"/>
  <c r="G710" i="5" s="1"/>
  <c r="B733" i="5"/>
  <c r="D745" i="4"/>
  <c r="G745" i="5" s="1"/>
  <c r="C733" i="4"/>
  <c r="C425" i="3"/>
  <c r="C457" i="3"/>
  <c r="C489" i="3"/>
  <c r="C681" i="3"/>
  <c r="B33" i="5"/>
  <c r="D45" i="4"/>
  <c r="G45" i="5" s="1"/>
  <c r="B65" i="5"/>
  <c r="D77" i="4"/>
  <c r="G77" i="5" s="1"/>
  <c r="B89" i="5"/>
  <c r="D101" i="4"/>
  <c r="G101" i="5" s="1"/>
  <c r="C298" i="3"/>
  <c r="D309" i="3"/>
  <c r="C330" i="3"/>
  <c r="D341" i="3"/>
  <c r="C362" i="3"/>
  <c r="D373" i="3"/>
  <c r="C394" i="3"/>
  <c r="D405" i="3"/>
  <c r="C426" i="3"/>
  <c r="D437" i="3"/>
  <c r="C458" i="3"/>
  <c r="D469" i="3"/>
  <c r="C490" i="3"/>
  <c r="D501" i="3"/>
  <c r="C522" i="3"/>
  <c r="D533" i="3"/>
  <c r="C554" i="3"/>
  <c r="D565" i="3"/>
  <c r="C586" i="3"/>
  <c r="D597" i="3"/>
  <c r="C618" i="3"/>
  <c r="D629" i="3"/>
  <c r="C650" i="3"/>
  <c r="D661" i="3"/>
  <c r="C682" i="3"/>
  <c r="D726" i="3"/>
  <c r="C717" i="3"/>
  <c r="D720" i="3"/>
  <c r="C731" i="3"/>
  <c r="C735" i="3"/>
  <c r="D758" i="3"/>
  <c r="C749" i="3"/>
  <c r="D752" i="3"/>
  <c r="C763" i="3"/>
  <c r="C767" i="3"/>
  <c r="C9" i="4"/>
  <c r="C14" i="4"/>
  <c r="D22" i="4"/>
  <c r="G22" i="5" s="1"/>
  <c r="B26" i="5"/>
  <c r="C26" i="4"/>
  <c r="C27" i="4"/>
  <c r="C34" i="4"/>
  <c r="B34" i="5"/>
  <c r="C35" i="4"/>
  <c r="C42" i="4"/>
  <c r="B42" i="5"/>
  <c r="C43" i="4"/>
  <c r="B50" i="5"/>
  <c r="C50" i="4"/>
  <c r="C51" i="4"/>
  <c r="C58" i="4"/>
  <c r="B58" i="5"/>
  <c r="C59" i="4"/>
  <c r="C66" i="4"/>
  <c r="B66" i="5"/>
  <c r="C67" i="4"/>
  <c r="B74" i="5"/>
  <c r="C74" i="4"/>
  <c r="C75" i="4"/>
  <c r="C82" i="4"/>
  <c r="B82" i="5"/>
  <c r="C83" i="4"/>
  <c r="B90" i="5"/>
  <c r="C90" i="4"/>
  <c r="C91" i="4"/>
  <c r="C98" i="4"/>
  <c r="B98" i="5"/>
  <c r="B106" i="5"/>
  <c r="C106" i="4"/>
  <c r="B114" i="5"/>
  <c r="C114" i="4"/>
  <c r="B122" i="5"/>
  <c r="C122" i="4"/>
  <c r="C130" i="4"/>
  <c r="B130" i="5"/>
  <c r="B138" i="5"/>
  <c r="C138" i="4"/>
  <c r="B146" i="5"/>
  <c r="C146" i="4"/>
  <c r="C147" i="4"/>
  <c r="B154" i="5"/>
  <c r="C154" i="4"/>
  <c r="B162" i="5"/>
  <c r="C162" i="4"/>
  <c r="C163" i="4"/>
  <c r="B170" i="5"/>
  <c r="C170" i="4"/>
  <c r="C171" i="4"/>
  <c r="B178" i="5"/>
  <c r="C178" i="4"/>
  <c r="B186" i="5"/>
  <c r="C186" i="4"/>
  <c r="B194" i="5"/>
  <c r="C194" i="4"/>
  <c r="C195" i="4"/>
  <c r="C202" i="4"/>
  <c r="B202" i="5"/>
  <c r="C203" i="4"/>
  <c r="B210" i="5"/>
  <c r="C210" i="4"/>
  <c r="C218" i="4"/>
  <c r="B218" i="5"/>
  <c r="C219" i="4"/>
  <c r="B226" i="5"/>
  <c r="C226" i="4"/>
  <c r="C227" i="4"/>
  <c r="B234" i="5"/>
  <c r="C234" i="4"/>
  <c r="C235" i="4"/>
  <c r="B242" i="5"/>
  <c r="C242" i="4"/>
  <c r="C243" i="4"/>
  <c r="B250" i="5"/>
  <c r="C250" i="4"/>
  <c r="B258" i="5"/>
  <c r="C258" i="4"/>
  <c r="B266" i="5"/>
  <c r="C266" i="4"/>
  <c r="B274" i="5"/>
  <c r="C274" i="4"/>
  <c r="B282" i="5"/>
  <c r="C282" i="4"/>
  <c r="B290" i="5"/>
  <c r="C290" i="4"/>
  <c r="B298" i="5"/>
  <c r="C298" i="4"/>
  <c r="B306" i="5"/>
  <c r="D318" i="4"/>
  <c r="G318" i="5" s="1"/>
  <c r="C306" i="4"/>
  <c r="B314" i="5"/>
  <c r="D326" i="4"/>
  <c r="G326" i="5" s="1"/>
  <c r="C314" i="4"/>
  <c r="C322" i="4"/>
  <c r="B334" i="5"/>
  <c r="C335" i="4"/>
  <c r="D346" i="4"/>
  <c r="G346" i="5" s="1"/>
  <c r="C334" i="4"/>
  <c r="C340" i="4"/>
  <c r="B339" i="5"/>
  <c r="B343" i="5"/>
  <c r="D355" i="4"/>
  <c r="G355" i="5" s="1"/>
  <c r="C343" i="4"/>
  <c r="D351" i="4"/>
  <c r="G351" i="5" s="1"/>
  <c r="C363" i="4"/>
  <c r="C368" i="4"/>
  <c r="B377" i="5"/>
  <c r="C377" i="4"/>
  <c r="D389" i="4"/>
  <c r="G389" i="5" s="1"/>
  <c r="B389" i="5"/>
  <c r="D401" i="4"/>
  <c r="G401" i="5" s="1"/>
  <c r="C390" i="4"/>
  <c r="C397" i="4"/>
  <c r="D410" i="4"/>
  <c r="G410" i="5" s="1"/>
  <c r="B416" i="5"/>
  <c r="D428" i="4"/>
  <c r="G428" i="5" s="1"/>
  <c r="C429" i="4"/>
  <c r="D442" i="4"/>
  <c r="G442" i="5" s="1"/>
  <c r="B453" i="5"/>
  <c r="D465" i="4"/>
  <c r="G465" i="5" s="1"/>
  <c r="C454" i="4"/>
  <c r="D453" i="4"/>
  <c r="G453" i="5" s="1"/>
  <c r="B480" i="5"/>
  <c r="D480" i="4"/>
  <c r="G480" i="5" s="1"/>
  <c r="C485" i="4"/>
  <c r="C512" i="4"/>
  <c r="B531" i="5"/>
  <c r="C531" i="4"/>
  <c r="C532" i="4"/>
  <c r="D543" i="4"/>
  <c r="G543" i="5" s="1"/>
  <c r="B541" i="5"/>
  <c r="D553" i="4"/>
  <c r="G553" i="5" s="1"/>
  <c r="C542" i="4"/>
  <c r="B545" i="5"/>
  <c r="C545" i="4"/>
  <c r="D557" i="4"/>
  <c r="G557" i="5" s="1"/>
  <c r="B555" i="5"/>
  <c r="C555" i="4"/>
  <c r="C556" i="4"/>
  <c r="D567" i="4"/>
  <c r="G567" i="5" s="1"/>
  <c r="D563" i="4"/>
  <c r="G563" i="5" s="1"/>
  <c r="C573" i="4"/>
  <c r="B578" i="5"/>
  <c r="D590" i="4"/>
  <c r="G590" i="5" s="1"/>
  <c r="D578" i="4"/>
  <c r="G578" i="5" s="1"/>
  <c r="C578" i="4"/>
  <c r="D587" i="4"/>
  <c r="G587" i="5" s="1"/>
  <c r="B601" i="5"/>
  <c r="C601" i="4"/>
  <c r="D605" i="4"/>
  <c r="G605" i="5" s="1"/>
  <c r="D621" i="4"/>
  <c r="G621" i="5" s="1"/>
  <c r="D637" i="4"/>
  <c r="G637" i="5" s="1"/>
  <c r="C653" i="4"/>
  <c r="C659" i="4"/>
  <c r="D677" i="4"/>
  <c r="G677" i="5" s="1"/>
  <c r="B693" i="5"/>
  <c r="D705" i="4"/>
  <c r="G705" i="5" s="1"/>
  <c r="D695" i="4"/>
  <c r="G695" i="5" s="1"/>
  <c r="B699" i="5"/>
  <c r="D711" i="4"/>
  <c r="G711" i="5" s="1"/>
  <c r="D699" i="4"/>
  <c r="G699" i="5" s="1"/>
  <c r="D733" i="4"/>
  <c r="G733" i="5" s="1"/>
  <c r="C8" i="4"/>
  <c r="C12" i="4"/>
  <c r="C16" i="4"/>
  <c r="D24" i="4"/>
  <c r="G24" i="5" s="1"/>
  <c r="C99" i="4"/>
  <c r="C107" i="4"/>
  <c r="C115" i="4"/>
  <c r="C123" i="4"/>
  <c r="C131" i="4"/>
  <c r="C139" i="4"/>
  <c r="C155" i="4"/>
  <c r="C179" i="4"/>
  <c r="C187" i="4"/>
  <c r="C211" i="4"/>
  <c r="C251" i="4"/>
  <c r="C259" i="4"/>
  <c r="C267" i="4"/>
  <c r="C275" i="4"/>
  <c r="C283" i="4"/>
  <c r="C291" i="4"/>
  <c r="C299" i="4"/>
  <c r="C307" i="4"/>
  <c r="C315" i="4"/>
  <c r="B321" i="5"/>
  <c r="C321" i="4"/>
  <c r="B330" i="5"/>
  <c r="D342" i="4"/>
  <c r="G342" i="5" s="1"/>
  <c r="D332" i="4"/>
  <c r="G332" i="5" s="1"/>
  <c r="D335" i="4"/>
  <c r="G335" i="5" s="1"/>
  <c r="C341" i="4"/>
  <c r="C344" i="4"/>
  <c r="C347" i="4"/>
  <c r="B353" i="5"/>
  <c r="C353" i="4"/>
  <c r="B362" i="5"/>
  <c r="D374" i="4"/>
  <c r="G374" i="5" s="1"/>
  <c r="D364" i="4"/>
  <c r="G364" i="5" s="1"/>
  <c r="D367" i="4"/>
  <c r="G367" i="5" s="1"/>
  <c r="C373" i="4"/>
  <c r="C376" i="4"/>
  <c r="C379" i="4"/>
  <c r="B385" i="5"/>
  <c r="C385" i="4"/>
  <c r="B394" i="5"/>
  <c r="D406" i="4"/>
  <c r="G406" i="5" s="1"/>
  <c r="D396" i="4"/>
  <c r="G396" i="5" s="1"/>
  <c r="D399" i="4"/>
  <c r="G399" i="5" s="1"/>
  <c r="B403" i="5"/>
  <c r="C404" i="4"/>
  <c r="B409" i="5"/>
  <c r="C409" i="4"/>
  <c r="D415" i="4"/>
  <c r="G415" i="5" s="1"/>
  <c r="B419" i="5"/>
  <c r="C420" i="4"/>
  <c r="B425" i="5"/>
  <c r="C425" i="4"/>
  <c r="D431" i="4"/>
  <c r="G431" i="5" s="1"/>
  <c r="B435" i="5"/>
  <c r="C436" i="4"/>
  <c r="B441" i="5"/>
  <c r="C441" i="4"/>
  <c r="D447" i="4"/>
  <c r="G447" i="5" s="1"/>
  <c r="B466" i="5"/>
  <c r="D478" i="4"/>
  <c r="G478" i="5" s="1"/>
  <c r="B498" i="5"/>
  <c r="D510" i="4"/>
  <c r="G510" i="5" s="1"/>
  <c r="B530" i="5"/>
  <c r="D542" i="4"/>
  <c r="G542" i="5" s="1"/>
  <c r="B562" i="5"/>
  <c r="D574" i="4"/>
  <c r="G574" i="5" s="1"/>
  <c r="D572" i="4"/>
  <c r="G572" i="5" s="1"/>
  <c r="B594" i="5"/>
  <c r="D606" i="4"/>
  <c r="G606" i="5" s="1"/>
  <c r="C597" i="4"/>
  <c r="C607" i="4"/>
  <c r="C615" i="4"/>
  <c r="B712" i="5"/>
  <c r="C712" i="4"/>
  <c r="B715" i="5"/>
  <c r="D727" i="4"/>
  <c r="G727" i="5" s="1"/>
  <c r="B744" i="5"/>
  <c r="C744" i="4"/>
  <c r="B747" i="5"/>
  <c r="D759" i="4"/>
  <c r="G759" i="5" s="1"/>
  <c r="B724" i="5"/>
  <c r="C724" i="4"/>
  <c r="D736" i="4"/>
  <c r="G736" i="5" s="1"/>
  <c r="B756" i="5"/>
  <c r="C756" i="4"/>
  <c r="C765" i="4"/>
  <c r="B742" i="5"/>
  <c r="C742" i="4"/>
  <c r="C743" i="4"/>
  <c r="D754" i="4"/>
  <c r="G754" i="5" s="1"/>
  <c r="B745" i="5"/>
  <c r="C745" i="4"/>
  <c r="D757" i="4"/>
  <c r="G757" i="5" s="1"/>
  <c r="B751" i="5"/>
  <c r="D763" i="4"/>
  <c r="G763" i="5" s="1"/>
  <c r="D756" i="4"/>
  <c r="G756" i="5" s="1"/>
  <c r="D765" i="4"/>
  <c r="G765" i="5" s="1"/>
  <c r="B101" i="5"/>
  <c r="B214" i="5"/>
  <c r="B728" i="5"/>
  <c r="C728" i="4"/>
  <c r="B731" i="5"/>
  <c r="D743" i="4"/>
  <c r="G743" i="5" s="1"/>
  <c r="D742" i="4"/>
  <c r="G742" i="5" s="1"/>
  <c r="C751" i="4"/>
  <c r="B760" i="5"/>
  <c r="C760" i="4"/>
  <c r="B117" i="5"/>
  <c r="B133" i="5"/>
  <c r="B317" i="5"/>
  <c r="B402" i="5"/>
  <c r="D414" i="4"/>
  <c r="G414" i="5" s="1"/>
  <c r="B405" i="5"/>
  <c r="D417" i="4"/>
  <c r="G417" i="5" s="1"/>
  <c r="B418" i="5"/>
  <c r="D430" i="4"/>
  <c r="G430" i="5" s="1"/>
  <c r="B421" i="5"/>
  <c r="D433" i="4"/>
  <c r="G433" i="5" s="1"/>
  <c r="B434" i="5"/>
  <c r="D446" i="4"/>
  <c r="G446" i="5" s="1"/>
  <c r="B437" i="5"/>
  <c r="D449" i="4"/>
  <c r="G449" i="5" s="1"/>
  <c r="B457" i="5"/>
  <c r="C457" i="4"/>
  <c r="B461" i="5"/>
  <c r="D473" i="4"/>
  <c r="G473" i="5" s="1"/>
  <c r="B464" i="5"/>
  <c r="D464" i="4"/>
  <c r="G464" i="5" s="1"/>
  <c r="B475" i="5"/>
  <c r="C475" i="4"/>
  <c r="C476" i="4"/>
  <c r="B489" i="5"/>
  <c r="C489" i="4"/>
  <c r="B493" i="5"/>
  <c r="D505" i="4"/>
  <c r="G505" i="5" s="1"/>
  <c r="B496" i="5"/>
  <c r="D496" i="4"/>
  <c r="G496" i="5" s="1"/>
  <c r="B507" i="5"/>
  <c r="C507" i="4"/>
  <c r="C508" i="4"/>
  <c r="B521" i="5"/>
  <c r="C521" i="4"/>
  <c r="B525" i="5"/>
  <c r="D537" i="4"/>
  <c r="G537" i="5" s="1"/>
  <c r="B528" i="5"/>
  <c r="D528" i="4"/>
  <c r="G528" i="5" s="1"/>
  <c r="B539" i="5"/>
  <c r="C539" i="4"/>
  <c r="C540" i="4"/>
  <c r="B553" i="5"/>
  <c r="C553" i="4"/>
  <c r="B557" i="5"/>
  <c r="D569" i="4"/>
  <c r="G569" i="5" s="1"/>
  <c r="B571" i="5"/>
  <c r="C571" i="4"/>
  <c r="C572" i="4"/>
  <c r="B585" i="5"/>
  <c r="C585" i="4"/>
  <c r="B589" i="5"/>
  <c r="D601" i="4"/>
  <c r="G601" i="5" s="1"/>
  <c r="B592" i="5"/>
  <c r="D592" i="4"/>
  <c r="G592" i="5" s="1"/>
  <c r="B603" i="5"/>
  <c r="C603" i="4"/>
  <c r="C604" i="4"/>
  <c r="B606" i="5"/>
  <c r="C606" i="4"/>
  <c r="D618" i="4"/>
  <c r="G618" i="5" s="1"/>
  <c r="B614" i="5"/>
  <c r="C614" i="4"/>
  <c r="D626" i="4"/>
  <c r="G626" i="5" s="1"/>
  <c r="B622" i="5"/>
  <c r="C622" i="4"/>
  <c r="D634" i="4"/>
  <c r="G634" i="5" s="1"/>
  <c r="B630" i="5"/>
  <c r="C630" i="4"/>
  <c r="D642" i="4"/>
  <c r="G642" i="5" s="1"/>
  <c r="B638" i="5"/>
  <c r="C638" i="4"/>
  <c r="D650" i="4"/>
  <c r="G650" i="5" s="1"/>
  <c r="B697" i="5"/>
  <c r="D709" i="4"/>
  <c r="G709" i="5" s="1"/>
  <c r="B717" i="5"/>
  <c r="D729" i="4"/>
  <c r="G729" i="5" s="1"/>
  <c r="B722" i="5"/>
  <c r="C722" i="4"/>
  <c r="D734" i="4"/>
  <c r="G734" i="5" s="1"/>
  <c r="C723" i="4"/>
  <c r="D728" i="4"/>
  <c r="G728" i="5" s="1"/>
  <c r="C731" i="4"/>
  <c r="B749" i="5"/>
  <c r="D761" i="4"/>
  <c r="G761" i="5" s="1"/>
  <c r="D751" i="4"/>
  <c r="G751" i="5" s="1"/>
  <c r="B754" i="5"/>
  <c r="C754" i="4"/>
  <c r="D766" i="4"/>
  <c r="G766" i="5" s="1"/>
  <c r="C755" i="4"/>
  <c r="D760" i="4"/>
  <c r="G760" i="5" s="1"/>
  <c r="C763" i="4"/>
  <c r="B158" i="5"/>
  <c r="B190" i="5"/>
  <c r="C29" i="4"/>
  <c r="D34" i="4"/>
  <c r="G34" i="5" s="1"/>
  <c r="C37" i="4"/>
  <c r="D42" i="4"/>
  <c r="G42" i="5" s="1"/>
  <c r="C45" i="4"/>
  <c r="D50" i="4"/>
  <c r="G50" i="5" s="1"/>
  <c r="C53" i="4"/>
  <c r="D58" i="4"/>
  <c r="G58" i="5" s="1"/>
  <c r="C61" i="4"/>
  <c r="D66" i="4"/>
  <c r="G66" i="5" s="1"/>
  <c r="C69" i="4"/>
  <c r="D74" i="4"/>
  <c r="G74" i="5" s="1"/>
  <c r="C77" i="4"/>
  <c r="D82" i="4"/>
  <c r="G82" i="5" s="1"/>
  <c r="C85" i="4"/>
  <c r="D90" i="4"/>
  <c r="G90" i="5" s="1"/>
  <c r="C93" i="4"/>
  <c r="D98" i="4"/>
  <c r="G98" i="5" s="1"/>
  <c r="D106" i="4"/>
  <c r="G106" i="5" s="1"/>
  <c r="C109" i="4"/>
  <c r="D114" i="4"/>
  <c r="G114" i="5" s="1"/>
  <c r="D122" i="4"/>
  <c r="G122" i="5" s="1"/>
  <c r="C125" i="4"/>
  <c r="D130" i="4"/>
  <c r="G130" i="5" s="1"/>
  <c r="D138" i="4"/>
  <c r="G138" i="5" s="1"/>
  <c r="C141" i="4"/>
  <c r="D146" i="4"/>
  <c r="G146" i="5" s="1"/>
  <c r="C149" i="4"/>
  <c r="D154" i="4"/>
  <c r="G154" i="5" s="1"/>
  <c r="C157" i="4"/>
  <c r="D162" i="4"/>
  <c r="G162" i="5" s="1"/>
  <c r="C165" i="4"/>
  <c r="C173" i="4"/>
  <c r="D178" i="4"/>
  <c r="G178" i="5" s="1"/>
  <c r="C181" i="4"/>
  <c r="D186" i="4"/>
  <c r="G186" i="5" s="1"/>
  <c r="C189" i="4"/>
  <c r="D194" i="4"/>
  <c r="G194" i="5" s="1"/>
  <c r="C197" i="4"/>
  <c r="C205" i="4"/>
  <c r="D210" i="4"/>
  <c r="G210" i="5" s="1"/>
  <c r="C213" i="4"/>
  <c r="D218" i="4"/>
  <c r="G218" i="5" s="1"/>
  <c r="C221" i="4"/>
  <c r="C229" i="4"/>
  <c r="D234" i="4"/>
  <c r="G234" i="5" s="1"/>
  <c r="C237" i="4"/>
  <c r="D242" i="4"/>
  <c r="G242" i="5" s="1"/>
  <c r="C245" i="4"/>
  <c r="D250" i="4"/>
  <c r="G250" i="5" s="1"/>
  <c r="C253" i="4"/>
  <c r="D258" i="4"/>
  <c r="G258" i="5" s="1"/>
  <c r="C261" i="4"/>
  <c r="D266" i="4"/>
  <c r="G266" i="5" s="1"/>
  <c r="C269" i="4"/>
  <c r="D274" i="4"/>
  <c r="G274" i="5" s="1"/>
  <c r="C277" i="4"/>
  <c r="D282" i="4"/>
  <c r="G282" i="5" s="1"/>
  <c r="C285" i="4"/>
  <c r="D290" i="4"/>
  <c r="G290" i="5" s="1"/>
  <c r="C293" i="4"/>
  <c r="D298" i="4"/>
  <c r="G298" i="5" s="1"/>
  <c r="C301" i="4"/>
  <c r="D306" i="4"/>
  <c r="G306" i="5" s="1"/>
  <c r="C309" i="4"/>
  <c r="D314" i="4"/>
  <c r="G314" i="5" s="1"/>
  <c r="C317" i="4"/>
  <c r="C320" i="4"/>
  <c r="C323" i="4"/>
  <c r="B329" i="5"/>
  <c r="C329" i="4"/>
  <c r="B338" i="5"/>
  <c r="D350" i="4"/>
  <c r="G350" i="5" s="1"/>
  <c r="C349" i="4"/>
  <c r="C352" i="4"/>
  <c r="C355" i="4"/>
  <c r="B361" i="5"/>
  <c r="C361" i="4"/>
  <c r="B370" i="5"/>
  <c r="D382" i="4"/>
  <c r="G382" i="5" s="1"/>
  <c r="C381" i="4"/>
  <c r="C384" i="4"/>
  <c r="C387" i="4"/>
  <c r="B393" i="5"/>
  <c r="C393" i="4"/>
  <c r="C402" i="4"/>
  <c r="C405" i="4"/>
  <c r="C408" i="4"/>
  <c r="D411" i="4"/>
  <c r="G411" i="5" s="1"/>
  <c r="C418" i="4"/>
  <c r="C421" i="4"/>
  <c r="C424" i="4"/>
  <c r="C434" i="4"/>
  <c r="C437" i="4"/>
  <c r="C440" i="4"/>
  <c r="D450" i="4"/>
  <c r="G450" i="5" s="1"/>
  <c r="B458" i="5"/>
  <c r="D470" i="4"/>
  <c r="G470" i="5" s="1"/>
  <c r="C461" i="4"/>
  <c r="C464" i="4"/>
  <c r="D475" i="4"/>
  <c r="G475" i="5" s="1"/>
  <c r="B490" i="5"/>
  <c r="D502" i="4"/>
  <c r="G502" i="5" s="1"/>
  <c r="C493" i="4"/>
  <c r="C496" i="4"/>
  <c r="D507" i="4"/>
  <c r="G507" i="5" s="1"/>
  <c r="B522" i="5"/>
  <c r="D534" i="4"/>
  <c r="G534" i="5" s="1"/>
  <c r="C525" i="4"/>
  <c r="C528" i="4"/>
  <c r="D539" i="4"/>
  <c r="G539" i="5" s="1"/>
  <c r="B554" i="5"/>
  <c r="D566" i="4"/>
  <c r="G566" i="5" s="1"/>
  <c r="C557" i="4"/>
  <c r="C560" i="4"/>
  <c r="D571" i="4"/>
  <c r="G571" i="5" s="1"/>
  <c r="B586" i="5"/>
  <c r="D598" i="4"/>
  <c r="G598" i="5" s="1"/>
  <c r="C589" i="4"/>
  <c r="C592" i="4"/>
  <c r="D603" i="4"/>
  <c r="G603" i="5" s="1"/>
  <c r="C609" i="4"/>
  <c r="C617" i="4"/>
  <c r="C625" i="4"/>
  <c r="C633" i="4"/>
  <c r="C641" i="4"/>
  <c r="C649" i="4"/>
  <c r="C657" i="4"/>
  <c r="C665" i="4"/>
  <c r="C673" i="4"/>
  <c r="C681" i="4"/>
  <c r="C689" i="4"/>
  <c r="C697" i="4"/>
  <c r="B708" i="5"/>
  <c r="C708" i="4"/>
  <c r="D720" i="4"/>
  <c r="G720" i="5" s="1"/>
  <c r="C717" i="4"/>
  <c r="B740" i="5"/>
  <c r="C740" i="4"/>
  <c r="D752" i="4"/>
  <c r="G752" i="5" s="1"/>
  <c r="C749" i="4"/>
  <c r="D352" i="4"/>
  <c r="G352" i="5" s="1"/>
  <c r="D361" i="4"/>
  <c r="G361" i="5" s="1"/>
  <c r="D384" i="4"/>
  <c r="G384" i="5" s="1"/>
  <c r="D393" i="4"/>
  <c r="G393" i="5" s="1"/>
  <c r="D402" i="4"/>
  <c r="G402" i="5" s="1"/>
  <c r="D405" i="4"/>
  <c r="G405" i="5" s="1"/>
  <c r="D408" i="4"/>
  <c r="G408" i="5" s="1"/>
  <c r="D418" i="4"/>
  <c r="G418" i="5" s="1"/>
  <c r="D421" i="4"/>
  <c r="G421" i="5" s="1"/>
  <c r="D424" i="4"/>
  <c r="G424" i="5" s="1"/>
  <c r="D434" i="4"/>
  <c r="G434" i="5" s="1"/>
  <c r="D437" i="4"/>
  <c r="G437" i="5" s="1"/>
  <c r="D440" i="4"/>
  <c r="G440" i="5" s="1"/>
  <c r="B451" i="5"/>
  <c r="C451" i="4"/>
  <c r="C452" i="4"/>
  <c r="C458" i="4"/>
  <c r="B465" i="5"/>
  <c r="C465" i="4"/>
  <c r="B469" i="5"/>
  <c r="D481" i="4"/>
  <c r="G481" i="5" s="1"/>
  <c r="B472" i="5"/>
  <c r="D472" i="4"/>
  <c r="G472" i="5" s="1"/>
  <c r="B483" i="5"/>
  <c r="C483" i="4"/>
  <c r="C484" i="4"/>
  <c r="C490" i="4"/>
  <c r="B497" i="5"/>
  <c r="C497" i="4"/>
  <c r="B501" i="5"/>
  <c r="D513" i="4"/>
  <c r="G513" i="5" s="1"/>
  <c r="B504" i="5"/>
  <c r="D504" i="4"/>
  <c r="G504" i="5" s="1"/>
  <c r="B515" i="5"/>
  <c r="C515" i="4"/>
  <c r="C516" i="4"/>
  <c r="C522" i="4"/>
  <c r="B529" i="5"/>
  <c r="C529" i="4"/>
  <c r="B533" i="5"/>
  <c r="D545" i="4"/>
  <c r="G545" i="5" s="1"/>
  <c r="B536" i="5"/>
  <c r="D536" i="4"/>
  <c r="G536" i="5" s="1"/>
  <c r="B547" i="5"/>
  <c r="C547" i="4"/>
  <c r="C554" i="4"/>
  <c r="B561" i="5"/>
  <c r="C561" i="4"/>
  <c r="B565" i="5"/>
  <c r="D577" i="4"/>
  <c r="G577" i="5" s="1"/>
  <c r="B568" i="5"/>
  <c r="D568" i="4"/>
  <c r="G568" i="5" s="1"/>
  <c r="B579" i="5"/>
  <c r="C579" i="4"/>
  <c r="C580" i="4"/>
  <c r="C586" i="4"/>
  <c r="B593" i="5"/>
  <c r="C593" i="4"/>
  <c r="B600" i="5"/>
  <c r="D600" i="4"/>
  <c r="G600" i="5" s="1"/>
  <c r="D612" i="4"/>
  <c r="G612" i="5" s="1"/>
  <c r="D609" i="4"/>
  <c r="G609" i="5" s="1"/>
  <c r="B612" i="5"/>
  <c r="C612" i="4"/>
  <c r="D624" i="4"/>
  <c r="G624" i="5" s="1"/>
  <c r="B620" i="5"/>
  <c r="C620" i="4"/>
  <c r="D632" i="4"/>
  <c r="G632" i="5" s="1"/>
  <c r="B628" i="5"/>
  <c r="C628" i="4"/>
  <c r="D640" i="4"/>
  <c r="G640" i="5" s="1"/>
  <c r="B636" i="5"/>
  <c r="C636" i="4"/>
  <c r="D648" i="4"/>
  <c r="G648" i="5" s="1"/>
  <c r="B703" i="5"/>
  <c r="D715" i="4"/>
  <c r="G715" i="5" s="1"/>
  <c r="D717" i="4"/>
  <c r="G717" i="5" s="1"/>
  <c r="B726" i="5"/>
  <c r="C726" i="4"/>
  <c r="C727" i="4"/>
  <c r="D738" i="4"/>
  <c r="G738" i="5" s="1"/>
  <c r="B729" i="5"/>
  <c r="C729" i="4"/>
  <c r="D741" i="4"/>
  <c r="G741" i="5" s="1"/>
  <c r="B735" i="5"/>
  <c r="D747" i="4"/>
  <c r="G747" i="5" s="1"/>
  <c r="D740" i="4"/>
  <c r="G740" i="5" s="1"/>
  <c r="D749" i="4"/>
  <c r="G749" i="5" s="1"/>
  <c r="B758" i="5"/>
  <c r="C758" i="4"/>
  <c r="C759" i="4"/>
  <c r="B761" i="5"/>
  <c r="C761" i="4"/>
  <c r="C548" i="4"/>
  <c r="D610" i="4"/>
  <c r="G610" i="5" s="1"/>
  <c r="D656" i="4"/>
  <c r="G656" i="5" s="1"/>
  <c r="D658" i="4"/>
  <c r="G658" i="5" s="1"/>
  <c r="D660" i="4"/>
  <c r="G660" i="5" s="1"/>
  <c r="D662" i="4"/>
  <c r="G662" i="5" s="1"/>
  <c r="D664" i="4"/>
  <c r="G664" i="5" s="1"/>
  <c r="D666" i="4"/>
  <c r="G666" i="5" s="1"/>
  <c r="D668" i="4"/>
  <c r="G668" i="5" s="1"/>
  <c r="D670" i="4"/>
  <c r="G670" i="5" s="1"/>
  <c r="D672" i="4"/>
  <c r="G672" i="5" s="1"/>
  <c r="D674" i="4"/>
  <c r="G674" i="5" s="1"/>
  <c r="D676" i="4"/>
  <c r="G676" i="5" s="1"/>
  <c r="D678" i="4"/>
  <c r="G678" i="5" s="1"/>
  <c r="D680" i="4"/>
  <c r="G680" i="5" s="1"/>
  <c r="D682" i="4"/>
  <c r="G682" i="5" s="1"/>
  <c r="D684" i="4"/>
  <c r="G684" i="5" s="1"/>
  <c r="D686" i="4"/>
  <c r="G686" i="5" s="1"/>
  <c r="D688" i="4"/>
  <c r="G688" i="5" s="1"/>
  <c r="D690" i="4"/>
  <c r="G690" i="5" s="1"/>
  <c r="D692" i="4"/>
  <c r="G692" i="5" s="1"/>
  <c r="D694" i="4"/>
  <c r="G694" i="5" s="1"/>
  <c r="D696" i="4"/>
  <c r="G696" i="5" s="1"/>
  <c r="D698" i="4"/>
  <c r="G698" i="5" s="1"/>
  <c r="D700" i="4"/>
  <c r="G700" i="5" s="1"/>
  <c r="B714" i="5"/>
  <c r="C714" i="4"/>
  <c r="B730" i="5"/>
  <c r="C730" i="4"/>
  <c r="B746" i="5"/>
  <c r="C746" i="4"/>
  <c r="B762" i="5"/>
  <c r="C762" i="4"/>
  <c r="D544" i="4"/>
  <c r="G544" i="5" s="1"/>
  <c r="D552" i="4"/>
  <c r="G552" i="5" s="1"/>
  <c r="D560" i="4"/>
  <c r="G560" i="5" s="1"/>
  <c r="B704" i="5"/>
  <c r="C704" i="4"/>
  <c r="D706" i="4"/>
  <c r="G706" i="5" s="1"/>
  <c r="B720" i="5"/>
  <c r="C720" i="4"/>
  <c r="B736" i="5"/>
  <c r="C736" i="4"/>
  <c r="B752" i="5"/>
  <c r="C752" i="4"/>
  <c r="B702" i="5"/>
  <c r="C702" i="4"/>
  <c r="D704" i="4"/>
  <c r="G704" i="5" s="1"/>
  <c r="B718" i="5"/>
  <c r="C718" i="4"/>
  <c r="B734" i="5"/>
  <c r="C734" i="4"/>
  <c r="B750" i="5"/>
  <c r="C750" i="4"/>
  <c r="B766" i="5"/>
  <c r="C766" i="4"/>
  <c r="C644" i="4"/>
  <c r="C646" i="4"/>
  <c r="C648" i="4"/>
  <c r="C650" i="4"/>
  <c r="C652" i="4"/>
  <c r="C654" i="4"/>
  <c r="C656" i="4"/>
  <c r="C658" i="4"/>
  <c r="C660" i="4"/>
  <c r="C662" i="4"/>
  <c r="C664" i="4"/>
  <c r="C666" i="4"/>
  <c r="C668" i="4"/>
  <c r="C670" i="4"/>
  <c r="C672" i="4"/>
  <c r="C674" i="4"/>
  <c r="C676" i="4"/>
  <c r="C678" i="4"/>
  <c r="C680" i="4"/>
  <c r="C682" i="4"/>
  <c r="C684" i="4"/>
  <c r="C686" i="4"/>
  <c r="C688" i="4"/>
  <c r="C690" i="4"/>
  <c r="C692" i="4"/>
  <c r="C694" i="4"/>
  <c r="C696" i="4"/>
  <c r="C698" i="4"/>
  <c r="C700" i="4"/>
  <c r="D702" i="4"/>
  <c r="G702" i="5" s="1"/>
  <c r="C709" i="4"/>
  <c r="B716" i="5"/>
  <c r="C716" i="4"/>
  <c r="C725" i="4"/>
  <c r="B732" i="5"/>
  <c r="C732" i="4"/>
  <c r="C741" i="4"/>
  <c r="B748" i="5"/>
  <c r="C748" i="4"/>
  <c r="C757" i="4"/>
  <c r="B764" i="5"/>
  <c r="C764" i="4"/>
  <c r="E628" i="5"/>
  <c r="F640" i="5"/>
  <c r="E637" i="5"/>
  <c r="E494" i="5"/>
  <c r="E502" i="5"/>
  <c r="E510" i="5"/>
  <c r="E671" i="5"/>
  <c r="E514" i="5"/>
  <c r="E522" i="5"/>
  <c r="E530" i="5"/>
  <c r="E538" i="5"/>
  <c r="E546" i="5"/>
  <c r="E554" i="5"/>
  <c r="E562" i="5"/>
  <c r="E571" i="5"/>
  <c r="E585" i="5"/>
  <c r="E591" i="5"/>
  <c r="E594" i="5"/>
  <c r="E603" i="5"/>
  <c r="E617" i="5"/>
  <c r="E623" i="5"/>
  <c r="E626" i="5"/>
  <c r="E635" i="5"/>
  <c r="E766" i="5"/>
  <c r="E762" i="5"/>
  <c r="E758" i="5"/>
  <c r="E754" i="5"/>
  <c r="E750" i="5"/>
  <c r="E746" i="5"/>
  <c r="E742" i="5"/>
  <c r="E738" i="5"/>
  <c r="E734" i="5"/>
  <c r="E730" i="5"/>
  <c r="E726" i="5"/>
  <c r="E722" i="5"/>
  <c r="E718" i="5"/>
  <c r="E714" i="5"/>
  <c r="E710" i="5"/>
  <c r="E706" i="5"/>
  <c r="E702" i="5"/>
  <c r="E698" i="5"/>
  <c r="E694" i="5"/>
  <c r="E767" i="5"/>
  <c r="E763" i="5"/>
  <c r="E759" i="5"/>
  <c r="E755" i="5"/>
  <c r="E751" i="5"/>
  <c r="E747" i="5"/>
  <c r="E743" i="5"/>
  <c r="E739" i="5"/>
  <c r="E735" i="5"/>
  <c r="E731" i="5"/>
  <c r="E727" i="5"/>
  <c r="E723" i="5"/>
  <c r="E719" i="5"/>
  <c r="E715" i="5"/>
  <c r="E711" i="5"/>
  <c r="E707" i="5"/>
  <c r="E764" i="5"/>
  <c r="E760" i="5"/>
  <c r="E765" i="5"/>
  <c r="E761" i="5"/>
  <c r="E757" i="5"/>
  <c r="E752" i="5"/>
  <c r="E736" i="5"/>
  <c r="E720" i="5"/>
  <c r="E704" i="5"/>
  <c r="E697" i="5"/>
  <c r="E692" i="5"/>
  <c r="E689" i="5"/>
  <c r="E686" i="5"/>
  <c r="E663" i="5"/>
  <c r="E660" i="5"/>
  <c r="E657" i="5"/>
  <c r="E654" i="5"/>
  <c r="E650" i="5"/>
  <c r="E646" i="5"/>
  <c r="E642" i="5"/>
  <c r="E638" i="5"/>
  <c r="E630" i="5"/>
  <c r="E622" i="5"/>
  <c r="E614" i="5"/>
  <c r="E606" i="5"/>
  <c r="E598" i="5"/>
  <c r="E590" i="5"/>
  <c r="E582" i="5"/>
  <c r="E574" i="5"/>
  <c r="E566" i="5"/>
  <c r="E745" i="5"/>
  <c r="E729" i="5"/>
  <c r="E713" i="5"/>
  <c r="E695" i="5"/>
  <c r="E675" i="5"/>
  <c r="E672" i="5"/>
  <c r="E669" i="5"/>
  <c r="E666" i="5"/>
  <c r="E740" i="5"/>
  <c r="E724" i="5"/>
  <c r="E708" i="5"/>
  <c r="E700" i="5"/>
  <c r="E687" i="5"/>
  <c r="E684" i="5"/>
  <c r="E681" i="5"/>
  <c r="E678" i="5"/>
  <c r="E655" i="5"/>
  <c r="E749" i="5"/>
  <c r="E753" i="5"/>
  <c r="E756" i="5"/>
  <c r="E748" i="5"/>
  <c r="E741" i="5"/>
  <c r="E725" i="5"/>
  <c r="E709" i="5"/>
  <c r="E683" i="5"/>
  <c r="E680" i="5"/>
  <c r="E677" i="5"/>
  <c r="E674" i="5"/>
  <c r="E696" i="5"/>
  <c r="E693" i="5"/>
  <c r="E673" i="5"/>
  <c r="E651" i="5"/>
  <c r="E647" i="5"/>
  <c r="E643" i="5"/>
  <c r="E636" i="5"/>
  <c r="E629" i="5"/>
  <c r="E620" i="5"/>
  <c r="E613" i="5"/>
  <c r="E604" i="5"/>
  <c r="E597" i="5"/>
  <c r="E588" i="5"/>
  <c r="E581" i="5"/>
  <c r="E572" i="5"/>
  <c r="E565" i="5"/>
  <c r="E560" i="5"/>
  <c r="E552" i="5"/>
  <c r="E544" i="5"/>
  <c r="E536" i="5"/>
  <c r="E528" i="5"/>
  <c r="E520" i="5"/>
  <c r="E512" i="5"/>
  <c r="E504" i="5"/>
  <c r="E496" i="5"/>
  <c r="E488" i="5"/>
  <c r="E480" i="5"/>
  <c r="E472" i="5"/>
  <c r="E464" i="5"/>
  <c r="E456" i="5"/>
  <c r="E448" i="5"/>
  <c r="E440" i="5"/>
  <c r="E432" i="5"/>
  <c r="E424" i="5"/>
  <c r="E416" i="5"/>
  <c r="E408" i="5"/>
  <c r="E400" i="5"/>
  <c r="E392" i="5"/>
  <c r="E384" i="5"/>
  <c r="E376" i="5"/>
  <c r="E368" i="5"/>
  <c r="E360" i="5"/>
  <c r="E728" i="5"/>
  <c r="E721" i="5"/>
  <c r="E701" i="5"/>
  <c r="E688" i="5"/>
  <c r="E670" i="5"/>
  <c r="E667" i="5"/>
  <c r="E665" i="5"/>
  <c r="E653" i="5"/>
  <c r="E649" i="5"/>
  <c r="E645" i="5"/>
  <c r="E634" i="5"/>
  <c r="E627" i="5"/>
  <c r="E625" i="5"/>
  <c r="E618" i="5"/>
  <c r="E611" i="5"/>
  <c r="E609" i="5"/>
  <c r="E602" i="5"/>
  <c r="E595" i="5"/>
  <c r="E593" i="5"/>
  <c r="E586" i="5"/>
  <c r="E579" i="5"/>
  <c r="E577" i="5"/>
  <c r="E570" i="5"/>
  <c r="E563" i="5"/>
  <c r="E555" i="5"/>
  <c r="E547" i="5"/>
  <c r="E539" i="5"/>
  <c r="E531" i="5"/>
  <c r="E523" i="5"/>
  <c r="E515" i="5"/>
  <c r="E507" i="5"/>
  <c r="E499" i="5"/>
  <c r="E491" i="5"/>
  <c r="E483" i="5"/>
  <c r="E475" i="5"/>
  <c r="E467" i="5"/>
  <c r="E717" i="5"/>
  <c r="E703" i="5"/>
  <c r="E690" i="5"/>
  <c r="E641" i="5"/>
  <c r="E632" i="5"/>
  <c r="E616" i="5"/>
  <c r="E600" i="5"/>
  <c r="E584" i="5"/>
  <c r="E568" i="5"/>
  <c r="E558" i="5"/>
  <c r="E550" i="5"/>
  <c r="E542" i="5"/>
  <c r="E534" i="5"/>
  <c r="E526" i="5"/>
  <c r="E518" i="5"/>
  <c r="E737" i="5"/>
  <c r="E733" i="5"/>
  <c r="E732" i="5"/>
  <c r="E712" i="5"/>
  <c r="E705" i="5"/>
  <c r="E699" i="5"/>
  <c r="E691" i="5"/>
  <c r="E676" i="5"/>
  <c r="E668" i="5"/>
  <c r="E658" i="5"/>
  <c r="E640" i="5"/>
  <c r="E631" i="5"/>
  <c r="E615" i="5"/>
  <c r="E599" i="5"/>
  <c r="E583" i="5"/>
  <c r="E567" i="5"/>
  <c r="E557" i="5"/>
  <c r="E549" i="5"/>
  <c r="E541" i="5"/>
  <c r="E533" i="5"/>
  <c r="E525" i="5"/>
  <c r="E517" i="5"/>
  <c r="E644" i="5"/>
  <c r="E659" i="5"/>
  <c r="E685" i="5"/>
  <c r="E347" i="5"/>
  <c r="E355" i="5"/>
  <c r="E357" i="5"/>
  <c r="E364" i="5"/>
  <c r="E371" i="5"/>
  <c r="E373" i="5"/>
  <c r="E380" i="5"/>
  <c r="E387" i="5"/>
  <c r="E389" i="5"/>
  <c r="E396" i="5"/>
  <c r="E403" i="5"/>
  <c r="E405" i="5"/>
  <c r="E412" i="5"/>
  <c r="E419" i="5"/>
  <c r="E421" i="5"/>
  <c r="E428" i="5"/>
  <c r="E435" i="5"/>
  <c r="E437" i="5"/>
  <c r="E444" i="5"/>
  <c r="E451" i="5"/>
  <c r="E453" i="5"/>
  <c r="E460" i="5"/>
  <c r="E466" i="5"/>
  <c r="E468" i="5"/>
  <c r="E474" i="5"/>
  <c r="E476" i="5"/>
  <c r="E482" i="5"/>
  <c r="E484" i="5"/>
  <c r="E490" i="5"/>
  <c r="E492" i="5"/>
  <c r="E498" i="5"/>
  <c r="E500" i="5"/>
  <c r="E506" i="5"/>
  <c r="E508" i="5"/>
  <c r="E580" i="5"/>
  <c r="E589" i="5"/>
  <c r="E592" i="5"/>
  <c r="E612" i="5"/>
  <c r="E621" i="5"/>
  <c r="E624" i="5"/>
  <c r="E656" i="5"/>
  <c r="E682" i="5"/>
  <c r="E716" i="5"/>
  <c r="F664" i="5"/>
  <c r="F673" i="5"/>
  <c r="F756" i="5"/>
  <c r="F744" i="5"/>
  <c r="F719" i="5"/>
  <c r="F740" i="5"/>
  <c r="F639" i="5"/>
  <c r="F667" i="5"/>
  <c r="F687" i="5"/>
  <c r="F643" i="5"/>
  <c r="F650" i="5"/>
  <c r="F672" i="5"/>
  <c r="F690" i="5"/>
  <c r="F698" i="5"/>
  <c r="F724" i="5"/>
  <c r="F728" i="5"/>
  <c r="F657" i="5"/>
  <c r="F703" i="5"/>
  <c r="F675" i="5"/>
  <c r="F695" i="5"/>
  <c r="F683" i="5"/>
  <c r="F723" i="5"/>
  <c r="F739" i="5"/>
  <c r="D766" i="5" l="1"/>
  <c r="D762" i="5"/>
  <c r="D758" i="5"/>
  <c r="D754" i="5"/>
  <c r="D750" i="5"/>
  <c r="D746" i="5"/>
  <c r="D742" i="5"/>
  <c r="D738" i="5"/>
  <c r="D734" i="5"/>
  <c r="D730" i="5"/>
  <c r="D726" i="5"/>
  <c r="D722" i="5"/>
  <c r="D718" i="5"/>
  <c r="D714" i="5"/>
  <c r="D710" i="5"/>
  <c r="D706" i="5"/>
  <c r="D702" i="5"/>
  <c r="D698" i="5"/>
  <c r="D694" i="5"/>
  <c r="D690" i="5"/>
  <c r="D686" i="5"/>
  <c r="D682" i="5"/>
  <c r="D678" i="5"/>
  <c r="D674" i="5"/>
  <c r="D670" i="5"/>
  <c r="D666" i="5"/>
  <c r="D662" i="5"/>
  <c r="D658" i="5"/>
  <c r="D767" i="5"/>
  <c r="D763" i="5"/>
  <c r="D759" i="5"/>
  <c r="D755" i="5"/>
  <c r="D764" i="5"/>
  <c r="D760" i="5"/>
  <c r="D756" i="5"/>
  <c r="D765" i="5"/>
  <c r="D761" i="5"/>
  <c r="D757" i="5"/>
  <c r="D753" i="5"/>
  <c r="D749" i="5"/>
  <c r="D745" i="5"/>
  <c r="D741" i="5"/>
  <c r="D737" i="5"/>
  <c r="D733" i="5"/>
  <c r="D729" i="5"/>
  <c r="D725" i="5"/>
  <c r="D721" i="5"/>
  <c r="D717" i="5"/>
  <c r="D713" i="5"/>
  <c r="D709" i="5"/>
  <c r="D705" i="5"/>
  <c r="D683" i="5"/>
  <c r="D680" i="5"/>
  <c r="D677" i="5"/>
  <c r="D635" i="5"/>
  <c r="D627" i="5"/>
  <c r="D619" i="5"/>
  <c r="D611" i="5"/>
  <c r="D603" i="5"/>
  <c r="D595" i="5"/>
  <c r="D587" i="5"/>
  <c r="D579" i="5"/>
  <c r="D571" i="5"/>
  <c r="D752" i="5"/>
  <c r="D747" i="5"/>
  <c r="D736" i="5"/>
  <c r="D731" i="5"/>
  <c r="D720" i="5"/>
  <c r="D715" i="5"/>
  <c r="D704" i="5"/>
  <c r="D697" i="5"/>
  <c r="D692" i="5"/>
  <c r="D689" i="5"/>
  <c r="D663" i="5"/>
  <c r="D660" i="5"/>
  <c r="D657" i="5"/>
  <c r="D654" i="5"/>
  <c r="D650" i="5"/>
  <c r="D646" i="5"/>
  <c r="D642" i="5"/>
  <c r="D638" i="5"/>
  <c r="D695" i="5"/>
  <c r="D675" i="5"/>
  <c r="D672" i="5"/>
  <c r="D669" i="5"/>
  <c r="D751" i="5"/>
  <c r="D740" i="5"/>
  <c r="D744" i="5"/>
  <c r="D748" i="5"/>
  <c r="D743" i="5"/>
  <c r="D732" i="5"/>
  <c r="D727" i="5"/>
  <c r="D716" i="5"/>
  <c r="D711" i="5"/>
  <c r="D699" i="5"/>
  <c r="D671" i="5"/>
  <c r="D668" i="5"/>
  <c r="D665" i="5"/>
  <c r="D653" i="5"/>
  <c r="D649" i="5"/>
  <c r="D645" i="5"/>
  <c r="D712" i="5"/>
  <c r="D708" i="5"/>
  <c r="D691" i="5"/>
  <c r="D681" i="5"/>
  <c r="D676" i="5"/>
  <c r="D640" i="5"/>
  <c r="D631" i="5"/>
  <c r="D622" i="5"/>
  <c r="D615" i="5"/>
  <c r="D606" i="5"/>
  <c r="D599" i="5"/>
  <c r="D590" i="5"/>
  <c r="D583" i="5"/>
  <c r="D574" i="5"/>
  <c r="D567" i="5"/>
  <c r="D557" i="5"/>
  <c r="D549" i="5"/>
  <c r="D541" i="5"/>
  <c r="D533" i="5"/>
  <c r="D525" i="5"/>
  <c r="D517" i="5"/>
  <c r="D509" i="5"/>
  <c r="D501" i="5"/>
  <c r="D493" i="5"/>
  <c r="D485" i="5"/>
  <c r="D477" i="5"/>
  <c r="D469" i="5"/>
  <c r="D461" i="5"/>
  <c r="D453" i="5"/>
  <c r="D445" i="5"/>
  <c r="D437" i="5"/>
  <c r="D429" i="5"/>
  <c r="D421" i="5"/>
  <c r="D413" i="5"/>
  <c r="D405" i="5"/>
  <c r="D397" i="5"/>
  <c r="D389" i="5"/>
  <c r="D381" i="5"/>
  <c r="D373" i="5"/>
  <c r="D365" i="5"/>
  <c r="D357" i="5"/>
  <c r="D696" i="5"/>
  <c r="D693" i="5"/>
  <c r="D673" i="5"/>
  <c r="D655" i="5"/>
  <c r="D651" i="5"/>
  <c r="D647" i="5"/>
  <c r="D643" i="5"/>
  <c r="D636" i="5"/>
  <c r="D629" i="5"/>
  <c r="D620" i="5"/>
  <c r="D613" i="5"/>
  <c r="D604" i="5"/>
  <c r="D597" i="5"/>
  <c r="D588" i="5"/>
  <c r="D581" i="5"/>
  <c r="D572" i="5"/>
  <c r="D565" i="5"/>
  <c r="D560" i="5"/>
  <c r="D552" i="5"/>
  <c r="D544" i="5"/>
  <c r="D536" i="5"/>
  <c r="D528" i="5"/>
  <c r="D520" i="5"/>
  <c r="D512" i="5"/>
  <c r="D504" i="5"/>
  <c r="D496" i="5"/>
  <c r="D488" i="5"/>
  <c r="D480" i="5"/>
  <c r="D472" i="5"/>
  <c r="D464" i="5"/>
  <c r="D728" i="5"/>
  <c r="D724" i="5"/>
  <c r="D707" i="5"/>
  <c r="D701" i="5"/>
  <c r="D688" i="5"/>
  <c r="D667" i="5"/>
  <c r="D634" i="5"/>
  <c r="D625" i="5"/>
  <c r="D618" i="5"/>
  <c r="D609" i="5"/>
  <c r="D602" i="5"/>
  <c r="D593" i="5"/>
  <c r="D586" i="5"/>
  <c r="D577" i="5"/>
  <c r="D570" i="5"/>
  <c r="D563" i="5"/>
  <c r="D555" i="5"/>
  <c r="D547" i="5"/>
  <c r="D539" i="5"/>
  <c r="D531" i="5"/>
  <c r="D523" i="5"/>
  <c r="D515" i="5"/>
  <c r="D703" i="5"/>
  <c r="D723" i="5"/>
  <c r="D719" i="5"/>
  <c r="D739" i="5"/>
  <c r="D684" i="5"/>
  <c r="D679" i="5"/>
  <c r="D656" i="5"/>
  <c r="D624" i="5"/>
  <c r="D608" i="5"/>
  <c r="D592" i="5"/>
  <c r="D576" i="5"/>
  <c r="D562" i="5"/>
  <c r="D554" i="5"/>
  <c r="D546" i="5"/>
  <c r="D538" i="5"/>
  <c r="D530" i="5"/>
  <c r="D522" i="5"/>
  <c r="D514" i="5"/>
  <c r="D510" i="5"/>
  <c r="D502" i="5"/>
  <c r="D494" i="5"/>
  <c r="D486" i="5"/>
  <c r="D478" i="5"/>
  <c r="D470" i="5"/>
  <c r="D462" i="5"/>
  <c r="D455" i="5"/>
  <c r="D446" i="5"/>
  <c r="D439" i="5"/>
  <c r="D430" i="5"/>
  <c r="D423" i="5"/>
  <c r="D414" i="5"/>
  <c r="D407" i="5"/>
  <c r="D398" i="5"/>
  <c r="D391" i="5"/>
  <c r="D382" i="5"/>
  <c r="D375" i="5"/>
  <c r="D366" i="5"/>
  <c r="D359" i="5"/>
  <c r="D352" i="5"/>
  <c r="D344" i="5"/>
  <c r="D336" i="5"/>
  <c r="D328" i="5"/>
  <c r="D320" i="5"/>
  <c r="D312" i="5"/>
  <c r="D304" i="5"/>
  <c r="D296" i="5"/>
  <c r="D288" i="5"/>
  <c r="D280" i="5"/>
  <c r="D272" i="5"/>
  <c r="D264" i="5"/>
  <c r="D256" i="5"/>
  <c r="D700" i="5"/>
  <c r="D641" i="5"/>
  <c r="D632" i="5"/>
  <c r="D621" i="5"/>
  <c r="D612" i="5"/>
  <c r="D600" i="5"/>
  <c r="D589" i="5"/>
  <c r="D580" i="5"/>
  <c r="D568" i="5"/>
  <c r="D508" i="5"/>
  <c r="D506" i="5"/>
  <c r="D500" i="5"/>
  <c r="D498" i="5"/>
  <c r="D492" i="5"/>
  <c r="D490" i="5"/>
  <c r="D484" i="5"/>
  <c r="D482" i="5"/>
  <c r="D476" i="5"/>
  <c r="D474" i="5"/>
  <c r="D468" i="5"/>
  <c r="D466" i="5"/>
  <c r="D460" i="5"/>
  <c r="D451" i="5"/>
  <c r="D444" i="5"/>
  <c r="D435" i="5"/>
  <c r="D428" i="5"/>
  <c r="D419" i="5"/>
  <c r="D412" i="5"/>
  <c r="D403" i="5"/>
  <c r="D396" i="5"/>
  <c r="D735" i="5"/>
  <c r="D685" i="5"/>
  <c r="D659" i="5"/>
  <c r="D644" i="5"/>
  <c r="D458" i="5"/>
  <c r="D442" i="5"/>
  <c r="D426" i="5"/>
  <c r="D410" i="5"/>
  <c r="D394" i="5"/>
  <c r="D687" i="5"/>
  <c r="D648" i="5"/>
  <c r="D639" i="5"/>
  <c r="D633" i="5"/>
  <c r="D630" i="5"/>
  <c r="D610" i="5"/>
  <c r="D607" i="5"/>
  <c r="D601" i="5"/>
  <c r="D598" i="5"/>
  <c r="D578" i="5"/>
  <c r="D575" i="5"/>
  <c r="D569" i="5"/>
  <c r="D566" i="5"/>
  <c r="D457" i="5"/>
  <c r="D448" i="5"/>
  <c r="D441" i="5"/>
  <c r="D432" i="5"/>
  <c r="D425" i="5"/>
  <c r="D416" i="5"/>
  <c r="D409" i="5"/>
  <c r="D400" i="5"/>
  <c r="D393" i="5"/>
  <c r="D384" i="5"/>
  <c r="D503" i="5"/>
  <c r="D487" i="5"/>
  <c r="D454" i="5"/>
  <c r="D443" i="5"/>
  <c r="D440" i="5"/>
  <c r="D418" i="5"/>
  <c r="D415" i="5"/>
  <c r="D395" i="5"/>
  <c r="D392" i="5"/>
  <c r="D371" i="5"/>
  <c r="D341" i="5"/>
  <c r="D325" i="5"/>
  <c r="D309" i="5"/>
  <c r="D293" i="5"/>
  <c r="D277" i="5"/>
  <c r="D261" i="5"/>
  <c r="D247" i="5"/>
  <c r="D239" i="5"/>
  <c r="D231" i="5"/>
  <c r="D223" i="5"/>
  <c r="D215" i="5"/>
  <c r="D207" i="5"/>
  <c r="D199" i="5"/>
  <c r="D191" i="5"/>
  <c r="D183" i="5"/>
  <c r="D661" i="5"/>
  <c r="D637" i="5"/>
  <c r="D594" i="5"/>
  <c r="D585" i="5"/>
  <c r="D573" i="5"/>
  <c r="D499" i="5"/>
  <c r="D483" i="5"/>
  <c r="D471" i="5"/>
  <c r="D465" i="5"/>
  <c r="D459" i="5"/>
  <c r="D456" i="5"/>
  <c r="D406" i="5"/>
  <c r="D379" i="5"/>
  <c r="D377" i="5"/>
  <c r="D369" i="5"/>
  <c r="D363" i="5"/>
  <c r="D355" i="5"/>
  <c r="D348" i="5"/>
  <c r="D339" i="5"/>
  <c r="D332" i="5"/>
  <c r="D323" i="5"/>
  <c r="D316" i="5"/>
  <c r="D307" i="5"/>
  <c r="D300" i="5"/>
  <c r="D291" i="5"/>
  <c r="D284" i="5"/>
  <c r="D275" i="5"/>
  <c r="D268" i="5"/>
  <c r="D259" i="5"/>
  <c r="D252" i="5"/>
  <c r="D242" i="5"/>
  <c r="D234" i="5"/>
  <c r="D226" i="5"/>
  <c r="D218" i="5"/>
  <c r="D210" i="5"/>
  <c r="D202" i="5"/>
  <c r="D194" i="5"/>
  <c r="D186" i="5"/>
  <c r="D178" i="5"/>
  <c r="D170" i="5"/>
  <c r="D162" i="5"/>
  <c r="D154" i="5"/>
  <c r="D146" i="5"/>
  <c r="D138" i="5"/>
  <c r="D130" i="5"/>
  <c r="D122" i="5"/>
  <c r="D628" i="5"/>
  <c r="D623" i="5"/>
  <c r="D614" i="5"/>
  <c r="D564" i="5"/>
  <c r="D556" i="5"/>
  <c r="D548" i="5"/>
  <c r="D540" i="5"/>
  <c r="D532" i="5"/>
  <c r="D524" i="5"/>
  <c r="D516" i="5"/>
  <c r="D420" i="5"/>
  <c r="D417" i="5"/>
  <c r="D367" i="5"/>
  <c r="D361" i="5"/>
  <c r="D353" i="5"/>
  <c r="D346" i="5"/>
  <c r="D337" i="5"/>
  <c r="D330" i="5"/>
  <c r="D321" i="5"/>
  <c r="D314" i="5"/>
  <c r="D305" i="5"/>
  <c r="D298" i="5"/>
  <c r="D289" i="5"/>
  <c r="D282" i="5"/>
  <c r="D273" i="5"/>
  <c r="D266" i="5"/>
  <c r="D257" i="5"/>
  <c r="D250" i="5"/>
  <c r="D245" i="5"/>
  <c r="D237" i="5"/>
  <c r="D229" i="5"/>
  <c r="D221" i="5"/>
  <c r="D664" i="5"/>
  <c r="D616" i="5"/>
  <c r="D561" i="5"/>
  <c r="D553" i="5"/>
  <c r="D545" i="5"/>
  <c r="D537" i="5"/>
  <c r="D529" i="5"/>
  <c r="D521" i="5"/>
  <c r="D513" i="5"/>
  <c r="D497" i="5"/>
  <c r="D481" i="5"/>
  <c r="D438" i="5"/>
  <c r="D404" i="5"/>
  <c r="D401" i="5"/>
  <c r="D350" i="5"/>
  <c r="D343" i="5"/>
  <c r="D334" i="5"/>
  <c r="D327" i="5"/>
  <c r="D318" i="5"/>
  <c r="D311" i="5"/>
  <c r="D302" i="5"/>
  <c r="D295" i="5"/>
  <c r="D286" i="5"/>
  <c r="D279" i="5"/>
  <c r="D270" i="5"/>
  <c r="D263" i="5"/>
  <c r="D254" i="5"/>
  <c r="D244" i="5"/>
  <c r="D236" i="5"/>
  <c r="D228" i="5"/>
  <c r="D551" i="5"/>
  <c r="D535" i="5"/>
  <c r="D519" i="5"/>
  <c r="D479" i="5"/>
  <c r="D452" i="5"/>
  <c r="D434" i="5"/>
  <c r="D387" i="5"/>
  <c r="D380" i="5"/>
  <c r="D374" i="5"/>
  <c r="D364" i="5"/>
  <c r="D358" i="5"/>
  <c r="D335" i="5"/>
  <c r="D326" i="5"/>
  <c r="D324" i="5"/>
  <c r="D301" i="5"/>
  <c r="D290" i="5"/>
  <c r="D281" i="5"/>
  <c r="D267" i="5"/>
  <c r="D173" i="5"/>
  <c r="D166" i="5"/>
  <c r="D157" i="5"/>
  <c r="D150" i="5"/>
  <c r="D141" i="5"/>
  <c r="D134" i="5"/>
  <c r="D125" i="5"/>
  <c r="D118" i="5"/>
  <c r="D108" i="5"/>
  <c r="D100" i="5"/>
  <c r="D92" i="5"/>
  <c r="D84" i="5"/>
  <c r="D76" i="5"/>
  <c r="D68" i="5"/>
  <c r="D60" i="5"/>
  <c r="D52" i="5"/>
  <c r="D44" i="5"/>
  <c r="D36" i="5"/>
  <c r="D28" i="5"/>
  <c r="D20" i="5"/>
  <c r="D582" i="5"/>
  <c r="D491" i="5"/>
  <c r="D475" i="5"/>
  <c r="D422" i="5"/>
  <c r="D349" i="5"/>
  <c r="D338" i="5"/>
  <c r="D329" i="5"/>
  <c r="D315" i="5"/>
  <c r="D255" i="5"/>
  <c r="D219" i="5"/>
  <c r="D217" i="5"/>
  <c r="D171" i="5"/>
  <c r="D164" i="5"/>
  <c r="D155" i="5"/>
  <c r="D148" i="5"/>
  <c r="D139" i="5"/>
  <c r="D132" i="5"/>
  <c r="D123" i="5"/>
  <c r="D116" i="5"/>
  <c r="D111" i="5"/>
  <c r="D103" i="5"/>
  <c r="D95" i="5"/>
  <c r="D87" i="5"/>
  <c r="D79" i="5"/>
  <c r="D71" i="5"/>
  <c r="D63" i="5"/>
  <c r="D55" i="5"/>
  <c r="D47" i="5"/>
  <c r="D39" i="5"/>
  <c r="D31" i="5"/>
  <c r="D23" i="5"/>
  <c r="D617" i="5"/>
  <c r="D550" i="5"/>
  <c r="D534" i="5"/>
  <c r="D518" i="5"/>
  <c r="D495" i="5"/>
  <c r="D447" i="5"/>
  <c r="D433" i="5"/>
  <c r="D402" i="5"/>
  <c r="D390" i="5"/>
  <c r="D370" i="5"/>
  <c r="D303" i="5"/>
  <c r="D294" i="5"/>
  <c r="D292" i="5"/>
  <c r="D269" i="5"/>
  <c r="D258" i="5"/>
  <c r="D249" i="5"/>
  <c r="D208" i="5"/>
  <c r="D200" i="5"/>
  <c r="D192" i="5"/>
  <c r="D184" i="5"/>
  <c r="D176" i="5"/>
  <c r="D169" i="5"/>
  <c r="D160" i="5"/>
  <c r="D153" i="5"/>
  <c r="D144" i="5"/>
  <c r="D137" i="5"/>
  <c r="D128" i="5"/>
  <c r="D121" i="5"/>
  <c r="D114" i="5"/>
  <c r="D106" i="5"/>
  <c r="D98" i="5"/>
  <c r="D652" i="5"/>
  <c r="D591" i="5"/>
  <c r="D507" i="5"/>
  <c r="D596" i="5"/>
  <c r="D559" i="5"/>
  <c r="D543" i="5"/>
  <c r="D527" i="5"/>
  <c r="D511" i="5"/>
  <c r="D489" i="5"/>
  <c r="D450" i="5"/>
  <c r="D473" i="5"/>
  <c r="D626" i="5"/>
  <c r="D605" i="5"/>
  <c r="D584" i="5"/>
  <c r="D558" i="5"/>
  <c r="D542" i="5"/>
  <c r="D526" i="5"/>
  <c r="D505" i="5"/>
  <c r="D467" i="5"/>
  <c r="D463" i="5"/>
  <c r="D399" i="5"/>
  <c r="D368" i="5"/>
  <c r="D347" i="5"/>
  <c r="D287" i="5"/>
  <c r="D278" i="5"/>
  <c r="D276" i="5"/>
  <c r="D253" i="5"/>
  <c r="D224" i="5"/>
  <c r="D222" i="5"/>
  <c r="D211" i="5"/>
  <c r="D209" i="5"/>
  <c r="D203" i="5"/>
  <c r="D201" i="5"/>
  <c r="D195" i="5"/>
  <c r="D193" i="5"/>
  <c r="D187" i="5"/>
  <c r="D185" i="5"/>
  <c r="D179" i="5"/>
  <c r="D177" i="5"/>
  <c r="D175" i="5"/>
  <c r="D159" i="5"/>
  <c r="D143" i="5"/>
  <c r="D127" i="5"/>
  <c r="D388" i="5"/>
  <c r="D351" i="5"/>
  <c r="D333" i="5"/>
  <c r="D310" i="5"/>
  <c r="D243" i="5"/>
  <c r="D182" i="5"/>
  <c r="D165" i="5"/>
  <c r="D140" i="5"/>
  <c r="D129" i="5"/>
  <c r="D126" i="5"/>
  <c r="D120" i="5"/>
  <c r="D113" i="5"/>
  <c r="D97" i="5"/>
  <c r="D17" i="5"/>
  <c r="D15" i="5"/>
  <c r="D13" i="5"/>
  <c r="D11" i="5"/>
  <c r="D9" i="5"/>
  <c r="D7" i="5"/>
  <c r="D5" i="5"/>
  <c r="D431" i="5"/>
  <c r="D427" i="5"/>
  <c r="D411" i="5"/>
  <c r="D378" i="5"/>
  <c r="D362" i="5"/>
  <c r="D340" i="5"/>
  <c r="D322" i="5"/>
  <c r="D299" i="5"/>
  <c r="D265" i="5"/>
  <c r="D232" i="5"/>
  <c r="D206" i="5"/>
  <c r="D197" i="5"/>
  <c r="D188" i="5"/>
  <c r="D167" i="5"/>
  <c r="D115" i="5"/>
  <c r="D101" i="5"/>
  <c r="D99" i="5"/>
  <c r="D436" i="5"/>
  <c r="D383" i="5"/>
  <c r="D306" i="5"/>
  <c r="D283" i="5"/>
  <c r="D246" i="5"/>
  <c r="D225" i="5"/>
  <c r="D212" i="5"/>
  <c r="D156" i="5"/>
  <c r="D145" i="5"/>
  <c r="D142" i="5"/>
  <c r="D136" i="5"/>
  <c r="D131" i="5"/>
  <c r="D117" i="5"/>
  <c r="D90" i="5"/>
  <c r="D82" i="5"/>
  <c r="D74" i="5"/>
  <c r="D66" i="5"/>
  <c r="D58" i="5"/>
  <c r="D50" i="5"/>
  <c r="D42" i="5"/>
  <c r="D34" i="5"/>
  <c r="D26" i="5"/>
  <c r="D354" i="5"/>
  <c r="D342" i="5"/>
  <c r="D317" i="5"/>
  <c r="D313" i="5"/>
  <c r="D271" i="5"/>
  <c r="D235" i="5"/>
  <c r="D190" i="5"/>
  <c r="D181" i="5"/>
  <c r="D119" i="5"/>
  <c r="D112" i="5"/>
  <c r="D110" i="5"/>
  <c r="D386" i="5"/>
  <c r="D449" i="5"/>
  <c r="D376" i="5"/>
  <c r="D345" i="5"/>
  <c r="D424" i="5"/>
  <c r="D408" i="5"/>
  <c r="D385" i="5"/>
  <c r="D372" i="5"/>
  <c r="D356" i="5"/>
  <c r="D285" i="5"/>
  <c r="D251" i="5"/>
  <c r="D240" i="5"/>
  <c r="D233" i="5"/>
  <c r="D230" i="5"/>
  <c r="D213" i="5"/>
  <c r="D204" i="5"/>
  <c r="D151" i="5"/>
  <c r="D104" i="5"/>
  <c r="D102" i="5"/>
  <c r="D91" i="5"/>
  <c r="D89" i="5"/>
  <c r="D83" i="5"/>
  <c r="D81" i="5"/>
  <c r="D75" i="5"/>
  <c r="D73" i="5"/>
  <c r="D67" i="5"/>
  <c r="D65" i="5"/>
  <c r="D59" i="5"/>
  <c r="D57" i="5"/>
  <c r="D51" i="5"/>
  <c r="D49" i="5"/>
  <c r="D43" i="5"/>
  <c r="D41" i="5"/>
  <c r="D35" i="5"/>
  <c r="D33" i="5"/>
  <c r="D27" i="5"/>
  <c r="D25" i="5"/>
  <c r="D19" i="5"/>
  <c r="D220" i="5"/>
  <c r="D158" i="5"/>
  <c r="D62" i="5"/>
  <c r="D56" i="5"/>
  <c r="D53" i="5"/>
  <c r="D14" i="5"/>
  <c r="D6" i="5"/>
  <c r="D308" i="5"/>
  <c r="D238" i="5"/>
  <c r="D174" i="5"/>
  <c r="D133" i="5"/>
  <c r="D109" i="5"/>
  <c r="D86" i="5"/>
  <c r="D80" i="5"/>
  <c r="D77" i="5"/>
  <c r="D22" i="5"/>
  <c r="D331" i="5"/>
  <c r="D274" i="5"/>
  <c r="D260" i="5"/>
  <c r="D214" i="5"/>
  <c r="D198" i="5"/>
  <c r="D105" i="5"/>
  <c r="D46" i="5"/>
  <c r="D40" i="5"/>
  <c r="D37" i="5"/>
  <c r="D16" i="5"/>
  <c r="D8" i="5"/>
  <c r="D297" i="5"/>
  <c r="D241" i="5"/>
  <c r="D189" i="5"/>
  <c r="D161" i="5"/>
  <c r="D149" i="5"/>
  <c r="D70" i="5"/>
  <c r="D64" i="5"/>
  <c r="D61" i="5"/>
  <c r="D18" i="5"/>
  <c r="D360" i="5"/>
  <c r="D227" i="5"/>
  <c r="D205" i="5"/>
  <c r="D180" i="5"/>
  <c r="D172" i="5"/>
  <c r="D168" i="5"/>
  <c r="D152" i="5"/>
  <c r="D124" i="5"/>
  <c r="D94" i="5"/>
  <c r="D88" i="5"/>
  <c r="D85" i="5"/>
  <c r="D30" i="5"/>
  <c r="D24" i="5"/>
  <c r="D21" i="5"/>
  <c r="D10" i="5"/>
  <c r="D319" i="5"/>
  <c r="D135" i="5"/>
  <c r="D54" i="5"/>
  <c r="D48" i="5"/>
  <c r="D45" i="5"/>
  <c r="D262" i="5"/>
  <c r="D248" i="5"/>
  <c r="D216" i="5"/>
  <c r="D196" i="5"/>
  <c r="D147" i="5"/>
  <c r="D107" i="5"/>
  <c r="D78" i="5"/>
  <c r="D72" i="5"/>
  <c r="D69" i="5"/>
  <c r="D12" i="5"/>
  <c r="D163" i="5"/>
  <c r="D96" i="5"/>
  <c r="D93" i="5"/>
  <c r="D38" i="5"/>
  <c r="D32" i="5"/>
  <c r="D29"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<sst xmlns="http://schemas.openxmlformats.org/spreadsheetml/2006/main" count="54" uniqueCount="40">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</sst>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numCache>
            </c:numRef>
          </c:val>
          <c:smooth val="0"/>
          <c:extLst>
            <c:ext xmlns:c16="http://schemas.microsoft.com/office/drawing/2014/chart" uri="{C3380CC4-5D6E-409C-BE32-E72D297353CC}">
              <c16:uniqueId val="{00000000-B5B7-0646-8EB3-0DDC2496DE06}"/>
            </c:ext>
          </c:extLst>
        </c:ser>
        <c:dLbls>
          <c:showLegendKey val="0"/>
          <c:showVal val="0"/>
          <c:showCatName val="0"/>
          <c:showSerName val="0"/>
          <c:showPercent val="0"/>
          <c:showBubbleSize val="0"/>
        </c:dLbls>
        <c:smooth val="0"/>
        <c:axId val="615699024"/>
        <c:axId val="495403552"/>
      </c:lineChart>
      <c:dateAx>
        <c:axId val="615699024"/>
        <c:scaling>
          <c:orientation val="minMax"/>
          <c:max val="44805"/>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6.3654234131705512E-2</c:v>
                </c:pt>
              </c:numCache>
            </c:numRef>
          </c:val>
          <c:smooth val="0"/>
          <c:extLst>
            <c:ext xmlns:c16="http://schemas.microsoft.com/office/drawing/2014/chart" uri="{C3380CC4-5D6E-409C-BE32-E72D297353CC}">
              <c16:uniqueId val="{00000000-04E6-9448-B907-0DA9CE807FFF}"/>
            </c:ext>
          </c:extLst>
        </c:ser>
        <c:dLbls>
          <c:showLegendKey val="0"/>
          <c:showVal val="0"/>
          <c:showCatName val="0"/>
          <c:showSerName val="0"/>
          <c:showPercent val="0"/>
          <c:showBubbleSize val="0"/>
        </c:dLbls>
        <c:smooth val="0"/>
        <c:axId val="502336976"/>
        <c:axId val="502336584"/>
      </c:lineChart>
      <c:dateAx>
        <c:axId val="50233697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Core'!$A$497:$A$786</c:f>
              <c:numCache>
                <c:formatCode>yyyy\-mm\-dd</c:formatCode>
                <c:ptCount val="29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'PCE Core'!$D$497:$D$786</c:f>
              <c:numCache>
                <c:formatCode>0.00%</c:formatCode>
                <c:ptCount val="290"/>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4.6684944529797726E-2</c:v>
                </c:pt>
                <c:pt idx="271">
                  <c:v>4.9112090626824312E-2</c:v>
                </c:pt>
              </c:numCache>
            </c:numRef>
          </c:val>
          <c:smooth val="0"/>
          <c:extLst>
            <c:ext xmlns:c16="http://schemas.microsoft.com/office/drawing/2014/chart" uri="{C3380CC4-5D6E-409C-BE32-E72D297353CC}">
              <c16:uniqueId val="{00000000-C709-5144-A3C2-67016A2DA3CE}"/>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Core'!$A$497:$A$786</c:f>
              <c:numCache>
                <c:formatCode>yyyy\-mm\-dd</c:formatCode>
                <c:ptCount val="29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'PCE Core'!$E$497:$E$769</c:f>
              <c:numCache>
                <c:formatCode>0%</c:formatCode>
                <c:ptCount val="27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numCache>
            </c:numRef>
          </c:val>
          <c:smooth val="0"/>
          <c:extLst>
            <c:ext xmlns:c16="http://schemas.microsoft.com/office/drawing/2014/chart" uri="{C3380CC4-5D6E-409C-BE32-E72D297353CC}">
              <c16:uniqueId val="{00000001-C709-5144-A3C2-67016A2DA3CE}"/>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Core'!$A$149:$A$784</c:f>
              <c:numCache>
                <c:formatCode>yyyy\-mm\-dd</c:formatCode>
                <c:ptCount val="63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'PCE Core'!$D$149:$D$784</c:f>
              <c:numCache>
                <c:formatCode>0.00%</c:formatCode>
                <c:ptCount val="636"/>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4.6684944529797726E-2</c:v>
                </c:pt>
                <c:pt idx="619">
                  <c:v>4.9112090626824312E-2</c:v>
                </c:pt>
              </c:numCache>
            </c:numRef>
          </c:val>
          <c:smooth val="0"/>
          <c:extLst>
            <c:ext xmlns:c16="http://schemas.microsoft.com/office/drawing/2014/chart" uri="{C3380CC4-5D6E-409C-BE32-E72D297353CC}">
              <c16:uniqueId val="{00000000-2A90-7F49-8D36-E84F003759B6}"/>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Core'!$A$149:$A$784</c:f>
              <c:numCache>
                <c:formatCode>yyyy\-mm\-dd</c:formatCode>
                <c:ptCount val="63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'PCE Core'!$F$149:$F$784</c:f>
              <c:numCache>
                <c:formatCode>General</c:formatCode>
                <c:ptCount val="636"/>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numCache>
            </c:numRef>
          </c:val>
          <c:smooth val="0"/>
          <c:extLst>
            <c:ext xmlns:c16="http://schemas.microsoft.com/office/drawing/2014/chart" uri="{C3380CC4-5D6E-409C-BE32-E72D297353CC}">
              <c16:uniqueId val="{00000001-2A90-7F49-8D36-E84F003759B6}"/>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123.31100000000001</c:v>
                </c:pt>
              </c:numCache>
            </c:numRef>
          </c:val>
          <c:smooth val="0"/>
          <c:extLst>
            <c:ext xmlns:c16="http://schemas.microsoft.com/office/drawing/2014/chart" uri="{C3380CC4-5D6E-409C-BE32-E72D297353CC}">
              <c16:uniqueId val="{00000000-A849-374E-ADE1-DCE6343FD4B1}"/>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numCache>
            </c:numRef>
          </c:val>
          <c:smooth val="0"/>
          <c:extLst>
            <c:ext xmlns:c16="http://schemas.microsoft.com/office/drawing/2014/chart" uri="{C3380CC4-5D6E-409C-BE32-E72D297353CC}">
              <c16:uniqueId val="{00000001-A849-374E-ADE1-DCE6343FD4B1}"/>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154.53280866208831</c:v>
                </c:pt>
              </c:numCache>
            </c:numRef>
          </c:val>
          <c:smooth val="0"/>
          <c:extLst>
            <c:ext xmlns:c16="http://schemas.microsoft.com/office/drawing/2014/chart" uri="{C3380CC4-5D6E-409C-BE32-E72D297353CC}">
              <c16:uniqueId val="{00000002-A849-374E-ADE1-DCE6343FD4B1}"/>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3-A849-374E-ADE1-DCE6343FD4B1}"/>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CPI'!$D$5:$D$769</c:f>
              <c:numCache>
                <c:formatCode>0.00</c:formatCode>
                <c:ptCount val="765"/>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154.53280866208831</c:v>
                </c:pt>
              </c:numCache>
            </c:numRef>
          </c:val>
          <c:smooth val="0"/>
          <c:extLst>
            <c:ext xmlns:c16="http://schemas.microsoft.com/office/drawing/2014/chart" uri="{C3380CC4-5D6E-409C-BE32-E72D297353CC}">
              <c16:uniqueId val="{00000000-2D24-9547-BF52-F119B9453F95}"/>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CPI'!$E$5:$E$769</c:f>
              <c:numCache>
                <c:formatCode>0.00</c:formatCode>
                <c:ptCount val="765"/>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1-2D24-9547-BF52-F119B9453F95}"/>
            </c:ext>
          </c:extLst>
        </c:ser>
        <c:dLbls>
          <c:showLegendKey val="0"/>
          <c:showVal val="0"/>
          <c:showCatName val="0"/>
          <c:showSerName val="0"/>
          <c:showPercent val="0"/>
          <c:showBubbleSize val="0"/>
        </c:dLbls>
        <c:smooth val="0"/>
        <c:axId val="716622040"/>
        <c:axId val="716620400"/>
      </c:lineChart>
      <c:dateAx>
        <c:axId val="716622040"/>
        <c:scaling>
          <c:orientation val="minMax"/>
          <c:max val="44805"/>
          <c:min val="40909"/>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7" totalsRowShown="0" headerRowDxfId="27" dataDxfId="25" headerRowBorderDxfId="26">
  <autoFilter ref="A4:D767" xr:uid="{00000000-0009-0000-0100-000001000000}"/>
  <tableColumns count="4">
    <tableColumn id="1" xr3:uid="{00000000-0010-0000-0000-000001000000}" name="Date" dataDxfId="24"/>
    <tableColumn id="2" xr3:uid="{00000000-0010-0000-0000-000002000000}" name="Value" dataDxfId="23">
      <calculatedColumnFormula>VLOOKUP(Table5345679103[[#This Row],[Date]],Database!A:E,MATCH($A$1,Database!$A$1:$E$1,),)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8" totalsRowShown="0" headerRowDxfId="20" dataDxfId="18" headerRowBorderDxfId="19">
  <autoFilter ref="A4:F768" xr:uid="{00000000-0009-0000-0100-000002000000}"/>
  <tableColumns count="6">
    <tableColumn id="1" xr3:uid="{00000000-0010-0000-0100-000001000000}" name="Date" dataDxfId="17"/>
    <tableColumn id="2" xr3:uid="{00000000-0010-0000-0100-000002000000}" name="Value" dataDxfId="16">
      <calculatedColumnFormula>VLOOKUP(Table534567910[[#This Row],[Date]],Database!A:E,MATCH($A$1,Database!$A$1:$E$1,),)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7" totalsRowShown="0" headerRowDxfId="11" dataDxfId="9" headerRowBorderDxfId="10" tableBorderDxfId="8" totalsRowBorderDxfId="7">
  <autoFilter ref="A4:G767" xr:uid="{00000000-0009-0000-0100-000003000000}"/>
  <tableColumns count="7">
    <tableColumn id="1" xr3:uid="{00000000-0010-0000-0200-000001000000}" name="Date" dataDxfId="6"/>
    <tableColumn id="2" xr3:uid="{00000000-0010-0000-0200-000002000000}" name="Core PCE" dataDxfId="5">
      <calculatedColumnFormula>VLOOKUP(Table3[[#This Row],[Date]],'PCE Core'!$A:$E,2,)</calculatedColumnFormula>
    </tableColumn>
    <tableColumn id="3" xr3:uid="{00000000-0010-0000-0200-000003000000}" name="Core CPI" dataDxfId="4">
      <calculatedColumnFormula>VLOOKUP(Table3[[#This Row],[Date]],Database!$A:$E,5)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J40" sqref="J40"/>
    </sheetView>
  </sheetViews>
  <sheetFormatPr baseColWidth="10" defaultColWidth="9.1640625" defaultRowHeight="15" x14ac:dyDescent="0.2"/>
  <cols>
    <col min="1" max="1" width="9.1640625" style="64" customWidth="1"/>
    <col min="2" max="10" width="12.83203125" style="64" customWidth="1"/>
    <col min="11" max="13" width="2.83203125" style="64" customWidth="1"/>
    <col min="14" max="14" width="19" style="64" customWidth="1"/>
    <col min="15" max="15" width="9.1640625" style="64" customWidth="1"/>
    <col min="16" max="19" width="12.33203125" style="64" customWidth="1"/>
    <col min="20" max="31" width="9.1640625" style="64" customWidth="1"/>
    <col min="32" max="16384" width="9.1640625" style="64"/>
  </cols>
  <sheetData>
    <row r="1" spans="2:19" x14ac:dyDescent="0.2">
      <c r="B1" s="67"/>
      <c r="C1" s="68"/>
      <c r="D1" s="68"/>
      <c r="E1" s="68"/>
      <c r="F1" s="68"/>
      <c r="G1" s="68"/>
      <c r="H1" s="68"/>
      <c r="I1" s="68"/>
      <c r="J1" s="68"/>
    </row>
    <row r="2" spans="2:19" ht="16" customHeight="1" thickBot="1" x14ac:dyDescent="0.25">
      <c r="B2" s="69"/>
      <c r="C2" s="69"/>
      <c r="D2" s="69"/>
      <c r="E2" s="69"/>
      <c r="F2" s="69"/>
      <c r="G2" s="69"/>
      <c r="H2" s="69"/>
      <c r="I2" s="69"/>
      <c r="J2" s="69"/>
    </row>
    <row r="3" spans="2:19" ht="16" customHeight="1" thickBot="1" x14ac:dyDescent="0.25">
      <c r="B3" s="70" t="s">
        <v>0</v>
      </c>
      <c r="C3" s="71"/>
      <c r="D3" s="71"/>
      <c r="E3" s="71"/>
      <c r="F3" s="71"/>
      <c r="G3" s="71"/>
      <c r="H3" s="71"/>
      <c r="I3" s="71"/>
      <c r="J3" s="72"/>
    </row>
    <row r="5" spans="2:19" x14ac:dyDescent="0.2">
      <c r="B5" s="73" t="s">
        <v>1</v>
      </c>
      <c r="C5" s="74"/>
      <c r="D5" s="74"/>
      <c r="E5" s="74"/>
      <c r="F5" s="74"/>
      <c r="G5" s="74"/>
      <c r="H5" s="74"/>
      <c r="I5" s="74"/>
      <c r="J5" s="75"/>
    </row>
    <row r="7" spans="2:19" x14ac:dyDescent="0.2">
      <c r="B7" s="76" t="s">
        <v>2</v>
      </c>
      <c r="C7" s="68"/>
      <c r="D7" s="68"/>
      <c r="E7" s="68"/>
      <c r="F7" s="68"/>
      <c r="G7" s="68"/>
      <c r="H7" s="68"/>
      <c r="I7" s="68"/>
      <c r="J7" s="68"/>
    </row>
    <row r="8" spans="2:19" x14ac:dyDescent="0.2">
      <c r="B8" s="81" t="s">
        <v>3</v>
      </c>
      <c r="C8" s="68"/>
      <c r="D8" s="68"/>
      <c r="E8" s="68"/>
      <c r="F8" s="68"/>
      <c r="G8" s="68"/>
      <c r="H8" s="68"/>
      <c r="I8" s="68"/>
      <c r="J8" s="68"/>
    </row>
    <row r="9" spans="2:19" x14ac:dyDescent="0.2">
      <c r="B9" s="35"/>
      <c r="C9" s="35"/>
      <c r="D9" s="35"/>
      <c r="E9" s="35"/>
    </row>
    <row r="10" spans="2:19" x14ac:dyDescent="0.2">
      <c r="B10" s="35"/>
      <c r="C10" s="35"/>
      <c r="D10" s="35"/>
      <c r="E10" s="35"/>
    </row>
    <row r="11" spans="2:19" x14ac:dyDescent="0.2">
      <c r="B11" s="35"/>
      <c r="C11" s="35"/>
      <c r="D11" s="35"/>
      <c r="E11" s="35"/>
    </row>
    <row r="12" spans="2:19" x14ac:dyDescent="0.2">
      <c r="B12" s="35"/>
      <c r="C12" s="35"/>
      <c r="D12" s="35"/>
      <c r="E12" s="35"/>
    </row>
    <row r="13" spans="2:19" x14ac:dyDescent="0.2">
      <c r="B13" s="35"/>
      <c r="C13" s="35"/>
      <c r="D13" s="35"/>
      <c r="E13" s="35"/>
    </row>
    <row r="14" spans="2:19" x14ac:dyDescent="0.2">
      <c r="B14" s="35"/>
      <c r="C14" s="35"/>
      <c r="D14" s="35"/>
      <c r="E14" s="35"/>
    </row>
    <row r="15" spans="2:19" x14ac:dyDescent="0.2">
      <c r="B15" s="35"/>
      <c r="C15" s="35"/>
      <c r="D15" s="35"/>
      <c r="E15" s="35"/>
    </row>
    <row r="16" spans="2:19" x14ac:dyDescent="0.2">
      <c r="B16" s="73" t="s">
        <v>4</v>
      </c>
      <c r="C16" s="74"/>
      <c r="D16" s="74"/>
      <c r="E16" s="74"/>
      <c r="F16" s="74"/>
      <c r="G16" s="74"/>
      <c r="H16" s="74"/>
      <c r="I16" s="74"/>
      <c r="J16" s="75"/>
      <c r="N16" s="73" t="s">
        <v>5</v>
      </c>
      <c r="O16" s="74"/>
      <c r="P16" s="74"/>
      <c r="Q16" s="74"/>
      <c r="R16" s="74"/>
      <c r="S16" s="75"/>
    </row>
    <row r="18" spans="2:19" x14ac:dyDescent="0.2">
      <c r="B18" s="73" t="s">
        <v>6</v>
      </c>
      <c r="C18" s="74"/>
      <c r="D18" s="74"/>
      <c r="E18" s="74"/>
      <c r="F18" s="75"/>
      <c r="G18" s="73" t="s">
        <v>7</v>
      </c>
      <c r="H18" s="74"/>
      <c r="I18" s="74"/>
      <c r="J18" s="75"/>
      <c r="N18" s="36" t="s">
        <v>8</v>
      </c>
    </row>
    <row r="19" spans="2:19" ht="16" customHeight="1" thickBot="1" x14ac:dyDescent="0.25"/>
    <row r="20" spans="2:19" x14ac:dyDescent="0.2">
      <c r="B20" s="64" t="s">
        <v>9</v>
      </c>
      <c r="G20" s="68"/>
      <c r="H20" s="68"/>
      <c r="I20" s="68"/>
      <c r="J20" s="68"/>
      <c r="P20" s="37">
        <v>44774</v>
      </c>
      <c r="Q20" s="38"/>
    </row>
    <row r="21" spans="2:19" ht="16" customHeight="1" thickBot="1" x14ac:dyDescent="0.25">
      <c r="B21" s="64" t="s">
        <v>10</v>
      </c>
      <c r="G21" s="68"/>
      <c r="H21" s="68"/>
      <c r="I21" s="68"/>
      <c r="J21" s="68"/>
      <c r="P21" s="39" t="s">
        <v>11</v>
      </c>
      <c r="Q21" s="39" t="s">
        <v>12</v>
      </c>
    </row>
    <row r="22" spans="2:19" x14ac:dyDescent="0.2">
      <c r="B22" s="64" t="s">
        <v>13</v>
      </c>
      <c r="G22" s="68"/>
      <c r="H22" s="68"/>
      <c r="I22" s="68"/>
      <c r="J22" s="68"/>
      <c r="N22" s="77" t="s">
        <v>14</v>
      </c>
      <c r="O22" s="78"/>
      <c r="P22" s="47">
        <f>(VLOOKUP($P$20,Database!A:C,MATCH(Note!S22,Database!A1:C1,),)-VLOOKUP($N$30,Database!A:C,MATCH(Note!S22,Database!A1:C1,),))/VLOOKUP($N$30,Database!A:C,MATCH(Note!S22,Database!A1:C1,),)</f>
        <v>2.8532289310929317E-3</v>
      </c>
      <c r="Q22" s="48">
        <f>(VLOOKUP($P$20,Database!A:C,MATCH(Note!S22,Database!A1:C1,),)-VLOOKUP($N$31,Database!A:C,MATCH(Note!S22,Database!A1:C1,),))/VLOOKUP($N$31,Database!A:C,MATCH(Note!S22,Database!A1:C1,),)</f>
        <v>6.2493559135721896E-2</v>
      </c>
      <c r="S22" s="40" t="s">
        <v>15</v>
      </c>
    </row>
    <row r="23" spans="2:19" ht="16" customHeight="1" thickBot="1" x14ac:dyDescent="0.25">
      <c r="B23" s="41" t="s">
        <v>15</v>
      </c>
      <c r="G23" s="82" t="s">
        <v>16</v>
      </c>
      <c r="H23" s="68"/>
      <c r="I23" s="68"/>
      <c r="J23" s="68"/>
      <c r="N23" s="79" t="s">
        <v>17</v>
      </c>
      <c r="O23" s="80"/>
      <c r="P23" s="49">
        <f>(VLOOKUP($P$20,Database!A:C,MATCH(Note!S23,Database!A1:C1,),)-VLOOKUP($N$30,Database!A:C,MATCH(Note!S23,Database!A1:C1,),))/VLOOKUP($N$30,Database!A:C,MATCH(Note!S23,Database!A1:C1,),)</f>
        <v>5.6199365831109778E-3</v>
      </c>
      <c r="Q23" s="50">
        <f>(VLOOKUP($P$20,Database!A:C,MATCH(Note!S23,Database!A1:C1,),)-VLOOKUP($N$31,Database!A:C,MATCH(Note!S23,Database!A1:C1,),))/VLOOKUP($N$31,Database!A:C,MATCH(Note!S23,Database!A1:C1,),)</f>
        <v>4.9112090626824312E-2</v>
      </c>
      <c r="S23" s="42" t="s">
        <v>18</v>
      </c>
    </row>
    <row r="24" spans="2:19" x14ac:dyDescent="0.2">
      <c r="B24" s="41" t="s">
        <v>18</v>
      </c>
      <c r="G24" s="82" t="s">
        <v>19</v>
      </c>
      <c r="H24" s="68"/>
      <c r="I24" s="68"/>
      <c r="J24" s="68"/>
    </row>
    <row r="25" spans="2:19" x14ac:dyDescent="0.2">
      <c r="B25" s="64" t="s">
        <v>20</v>
      </c>
      <c r="G25" s="64" t="s">
        <v>21</v>
      </c>
    </row>
    <row r="26" spans="2:19" x14ac:dyDescent="0.2">
      <c r="G26" s="64" t="s">
        <v>22</v>
      </c>
    </row>
    <row r="27" spans="2:19" x14ac:dyDescent="0.2">
      <c r="B27" s="64" t="s">
        <v>23</v>
      </c>
      <c r="G27" s="64" t="s">
        <v>24</v>
      </c>
    </row>
    <row r="29" spans="2:19" ht="16" customHeight="1" thickBot="1" x14ac:dyDescent="0.25">
      <c r="B29" s="43"/>
    </row>
    <row r="30" spans="2:19" ht="16" customHeight="1" thickBot="1" x14ac:dyDescent="0.25">
      <c r="B30" s="83"/>
      <c r="C30" s="68"/>
      <c r="D30" s="68"/>
      <c r="E30" s="68"/>
      <c r="F30" s="68"/>
      <c r="G30" s="68"/>
      <c r="H30" s="68"/>
      <c r="I30" s="68"/>
      <c r="J30" s="68"/>
      <c r="N30" s="38">
        <f>DATE(YEAR($P$20),MONTH($P$20)-1,DAY($P$20))</f>
        <v>44743</v>
      </c>
    </row>
    <row r="31" spans="2:19" ht="16" customHeight="1" thickBot="1" x14ac:dyDescent="0.25">
      <c r="B31" s="44"/>
      <c r="N31" s="45">
        <f>DATE(YEAR($P$20)-1,MONTH($P$20),DAY($P$20))</f>
        <v>44409</v>
      </c>
      <c r="P31" s="46"/>
      <c r="Q31" s="46"/>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35" priority="7" operator="lessThan">
      <formula>0</formula>
    </cfRule>
    <cfRule type="cellIs" dxfId="34" priority="8" operator="greaterThan">
      <formula>0</formula>
    </cfRule>
  </conditionalFormatting>
  <conditionalFormatting sqref="Q22">
    <cfRule type="cellIs" dxfId="33" priority="5" operator="lessThan">
      <formula>0</formula>
    </cfRule>
    <cfRule type="cellIs" dxfId="32" priority="6" operator="greaterThan">
      <formula>0</formula>
    </cfRule>
  </conditionalFormatting>
  <conditionalFormatting sqref="P23">
    <cfRule type="cellIs" dxfId="31" priority="3" operator="lessThan">
      <formula>0</formula>
    </cfRule>
    <cfRule type="cellIs" dxfId="30" priority="4" operator="greaterThan">
      <formula>0</formula>
    </cfRule>
  </conditionalFormatting>
  <conditionalFormatting sqref="Q23">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89"/>
  <sheetViews>
    <sheetView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105.408</v>
      </c>
      <c r="C722">
        <v>107.205</v>
      </c>
      <c r="D722">
        <v>0.75</v>
      </c>
      <c r="E722">
        <v>250.46700000000001</v>
      </c>
    </row>
    <row r="723" spans="1:5" x14ac:dyDescent="0.2">
      <c r="A723" s="66">
        <v>42767</v>
      </c>
      <c r="B723">
        <v>105.57</v>
      </c>
      <c r="C723">
        <v>107.414</v>
      </c>
      <c r="D723">
        <v>0.75</v>
      </c>
      <c r="E723">
        <v>250.99799999999999</v>
      </c>
    </row>
    <row r="724" spans="1:5" x14ac:dyDescent="0.2">
      <c r="A724" s="66">
        <v>42795</v>
      </c>
      <c r="B724">
        <v>105.512</v>
      </c>
      <c r="C724">
        <v>107.364</v>
      </c>
      <c r="D724">
        <v>0.75</v>
      </c>
      <c r="E724">
        <v>250.94399999999999</v>
      </c>
    </row>
    <row r="725" spans="1:5" x14ac:dyDescent="0.2">
      <c r="A725" s="66">
        <v>42826</v>
      </c>
      <c r="B725">
        <v>105.744</v>
      </c>
      <c r="C725">
        <v>107.62</v>
      </c>
      <c r="D725">
        <v>1</v>
      </c>
      <c r="E725">
        <v>251.227</v>
      </c>
    </row>
    <row r="726" spans="1:5" x14ac:dyDescent="0.2">
      <c r="A726" s="66">
        <v>42856</v>
      </c>
      <c r="B726">
        <v>105.714</v>
      </c>
      <c r="C726">
        <v>107.71899999999999</v>
      </c>
      <c r="D726">
        <v>1</v>
      </c>
      <c r="E726">
        <v>251.43</v>
      </c>
    </row>
    <row r="727" spans="1:5" x14ac:dyDescent="0.2">
      <c r="A727" s="66">
        <v>42887</v>
      </c>
      <c r="B727">
        <v>105.815</v>
      </c>
      <c r="C727">
        <v>107.876</v>
      </c>
      <c r="D727">
        <v>1</v>
      </c>
      <c r="E727">
        <v>251.74600000000001</v>
      </c>
    </row>
    <row r="728" spans="1:5" x14ac:dyDescent="0.2">
      <c r="A728" s="66">
        <v>42917</v>
      </c>
      <c r="B728">
        <v>105.842</v>
      </c>
      <c r="C728">
        <v>107.941</v>
      </c>
      <c r="D728">
        <v>1.25</v>
      </c>
      <c r="E728">
        <v>251.98500000000001</v>
      </c>
    </row>
    <row r="729" spans="1:5" x14ac:dyDescent="0.2">
      <c r="A729" s="66">
        <v>42948</v>
      </c>
      <c r="B729">
        <v>106.093</v>
      </c>
      <c r="C729">
        <v>108.074</v>
      </c>
      <c r="D729">
        <v>1.25</v>
      </c>
      <c r="E729">
        <v>252.535</v>
      </c>
    </row>
    <row r="730" spans="1:5" x14ac:dyDescent="0.2">
      <c r="A730" s="66">
        <v>42979</v>
      </c>
      <c r="B730">
        <v>106.491</v>
      </c>
      <c r="C730">
        <v>108.215</v>
      </c>
      <c r="D730">
        <v>1.25</v>
      </c>
      <c r="E730">
        <v>252.81200000000001</v>
      </c>
    </row>
    <row r="731" spans="1:5" x14ac:dyDescent="0.2">
      <c r="A731" s="66">
        <v>43009</v>
      </c>
      <c r="B731">
        <v>106.648</v>
      </c>
      <c r="C731">
        <v>108.499</v>
      </c>
      <c r="D731">
        <v>1.25</v>
      </c>
      <c r="E731">
        <v>253.52600000000001</v>
      </c>
    </row>
    <row r="732" spans="1:5" x14ac:dyDescent="0.2">
      <c r="A732" s="66">
        <v>43040</v>
      </c>
      <c r="B732">
        <v>106.825</v>
      </c>
      <c r="C732">
        <v>108.58199999999999</v>
      </c>
      <c r="D732">
        <v>1.25</v>
      </c>
      <c r="E732">
        <v>253.816</v>
      </c>
    </row>
    <row r="733" spans="1:5" x14ac:dyDescent="0.2">
      <c r="A733" s="66">
        <v>43070</v>
      </c>
      <c r="B733">
        <v>106.98</v>
      </c>
      <c r="C733">
        <v>108.742</v>
      </c>
      <c r="D733">
        <v>1.25</v>
      </c>
      <c r="E733">
        <v>254.34399999999999</v>
      </c>
    </row>
    <row r="734" spans="1:5" x14ac:dyDescent="0.2">
      <c r="A734" s="66">
        <v>43101</v>
      </c>
      <c r="B734">
        <v>107.36199999999999</v>
      </c>
      <c r="C734">
        <v>109.08</v>
      </c>
      <c r="D734">
        <v>1.5</v>
      </c>
      <c r="E734">
        <v>255.072</v>
      </c>
    </row>
    <row r="735" spans="1:5" x14ac:dyDescent="0.2">
      <c r="A735" s="66">
        <v>43132</v>
      </c>
      <c r="B735">
        <v>107.625</v>
      </c>
      <c r="C735">
        <v>109.31100000000001</v>
      </c>
      <c r="D735">
        <v>1.5</v>
      </c>
      <c r="E735">
        <v>255.56800000000001</v>
      </c>
    </row>
    <row r="736" spans="1:5" x14ac:dyDescent="0.2">
      <c r="A736" s="66">
        <v>43160</v>
      </c>
      <c r="B736">
        <v>107.777</v>
      </c>
      <c r="C736">
        <v>109.562</v>
      </c>
      <c r="D736">
        <v>1.5</v>
      </c>
      <c r="E736">
        <v>256.12799999999999</v>
      </c>
    </row>
    <row r="737" spans="1:5" x14ac:dyDescent="0.2">
      <c r="A737" s="66">
        <v>43191</v>
      </c>
      <c r="B737">
        <v>107.988</v>
      </c>
      <c r="C737">
        <v>109.75</v>
      </c>
      <c r="D737">
        <v>1.75</v>
      </c>
      <c r="E737">
        <v>256.60300000000001</v>
      </c>
    </row>
    <row r="738" spans="1:5" x14ac:dyDescent="0.2">
      <c r="A738" s="66">
        <v>43221</v>
      </c>
      <c r="B738">
        <v>108.193</v>
      </c>
      <c r="C738">
        <v>109.956</v>
      </c>
      <c r="D738">
        <v>1.75</v>
      </c>
      <c r="E738">
        <v>257.15100000000001</v>
      </c>
    </row>
    <row r="739" spans="1:5" x14ac:dyDescent="0.2">
      <c r="A739" s="66">
        <v>43252</v>
      </c>
      <c r="B739">
        <v>108.31699999999999</v>
      </c>
      <c r="C739">
        <v>110.07299999999999</v>
      </c>
      <c r="D739">
        <v>1.75</v>
      </c>
      <c r="E739">
        <v>257.44900000000001</v>
      </c>
    </row>
    <row r="740" spans="1:5" x14ac:dyDescent="0.2">
      <c r="A740" s="66">
        <v>43282</v>
      </c>
      <c r="B740">
        <v>108.417</v>
      </c>
      <c r="C740">
        <v>110.21899999999999</v>
      </c>
      <c r="D740">
        <v>2</v>
      </c>
      <c r="E740">
        <v>257.84800000000001</v>
      </c>
    </row>
    <row r="741" spans="1:5" x14ac:dyDescent="0.2">
      <c r="A741" s="66">
        <v>43313</v>
      </c>
      <c r="B741">
        <v>108.502</v>
      </c>
      <c r="C741">
        <v>110.246</v>
      </c>
      <c r="D741">
        <v>2</v>
      </c>
      <c r="E741">
        <v>258.02800000000002</v>
      </c>
    </row>
    <row r="742" spans="1:5" x14ac:dyDescent="0.2">
      <c r="A742" s="66">
        <v>43344</v>
      </c>
      <c r="B742">
        <v>108.738</v>
      </c>
      <c r="C742">
        <v>110.476</v>
      </c>
      <c r="D742">
        <v>2</v>
      </c>
      <c r="E742">
        <v>258.505</v>
      </c>
    </row>
    <row r="743" spans="1:5" x14ac:dyDescent="0.2">
      <c r="A743" s="66">
        <v>43374</v>
      </c>
      <c r="B743">
        <v>108.92400000000001</v>
      </c>
      <c r="C743">
        <v>110.626</v>
      </c>
      <c r="D743">
        <v>2.25</v>
      </c>
      <c r="E743">
        <v>258.99700000000001</v>
      </c>
    </row>
    <row r="744" spans="1:5" x14ac:dyDescent="0.2">
      <c r="A744" s="66">
        <v>43405</v>
      </c>
      <c r="B744">
        <v>108.96899999999999</v>
      </c>
      <c r="C744">
        <v>110.831</v>
      </c>
      <c r="D744">
        <v>2.25</v>
      </c>
      <c r="E744">
        <v>259.45499999999998</v>
      </c>
    </row>
    <row r="745" spans="1:5" x14ac:dyDescent="0.2">
      <c r="A745" s="66">
        <v>43435</v>
      </c>
      <c r="B745">
        <v>108.991</v>
      </c>
      <c r="C745">
        <v>111.009</v>
      </c>
      <c r="D745">
        <v>2.25</v>
      </c>
      <c r="E745">
        <v>259.93400000000003</v>
      </c>
    </row>
    <row r="746" spans="1:5" x14ac:dyDescent="0.2">
      <c r="A746" s="66">
        <v>43466</v>
      </c>
      <c r="B746">
        <v>108.977</v>
      </c>
      <c r="C746">
        <v>111.134</v>
      </c>
      <c r="D746">
        <v>2.5</v>
      </c>
      <c r="E746">
        <v>260.53399999999999</v>
      </c>
    </row>
    <row r="747" spans="1:5" x14ac:dyDescent="0.2">
      <c r="A747" s="66">
        <v>43497</v>
      </c>
      <c r="B747">
        <v>109.146</v>
      </c>
      <c r="C747">
        <v>111.20699999999999</v>
      </c>
      <c r="D747">
        <v>2.5</v>
      </c>
      <c r="E747">
        <v>260.88499999999999</v>
      </c>
    </row>
    <row r="748" spans="1:5" x14ac:dyDescent="0.2">
      <c r="A748" s="66">
        <v>43525</v>
      </c>
      <c r="B748">
        <v>109.443</v>
      </c>
      <c r="C748">
        <v>111.35</v>
      </c>
      <c r="D748">
        <v>2.5</v>
      </c>
      <c r="E748">
        <v>261.38200000000001</v>
      </c>
    </row>
    <row r="749" spans="1:5" x14ac:dyDescent="0.2">
      <c r="A749" s="66">
        <v>43556</v>
      </c>
      <c r="B749">
        <v>109.78</v>
      </c>
      <c r="C749">
        <v>111.65</v>
      </c>
      <c r="D749">
        <v>2.5</v>
      </c>
      <c r="E749">
        <v>261.95800000000003</v>
      </c>
    </row>
    <row r="750" spans="1:5" x14ac:dyDescent="0.2">
      <c r="A750" s="66">
        <v>43586</v>
      </c>
      <c r="B750">
        <v>109.85599999999999</v>
      </c>
      <c r="C750">
        <v>111.773</v>
      </c>
      <c r="D750">
        <v>2.5</v>
      </c>
      <c r="E750">
        <v>262.32100000000003</v>
      </c>
    </row>
    <row r="751" spans="1:5" x14ac:dyDescent="0.2">
      <c r="A751" s="66">
        <v>43617</v>
      </c>
      <c r="B751">
        <v>109.935</v>
      </c>
      <c r="C751">
        <v>112</v>
      </c>
      <c r="D751">
        <v>2.5</v>
      </c>
      <c r="E751">
        <v>262.94499999999999</v>
      </c>
    </row>
    <row r="752" spans="1:5" x14ac:dyDescent="0.2">
      <c r="A752" s="66">
        <v>43647</v>
      </c>
      <c r="B752">
        <v>110.09399999999999</v>
      </c>
      <c r="C752">
        <v>112.157</v>
      </c>
      <c r="D752">
        <v>2.5</v>
      </c>
      <c r="E752">
        <v>263.49099999999999</v>
      </c>
    </row>
    <row r="753" spans="1:5" x14ac:dyDescent="0.2">
      <c r="A753" s="66">
        <v>43678</v>
      </c>
      <c r="B753">
        <v>110.13200000000001</v>
      </c>
      <c r="C753">
        <v>112.27</v>
      </c>
      <c r="D753">
        <v>2.25</v>
      </c>
      <c r="E753">
        <v>264.13499999999999</v>
      </c>
    </row>
    <row r="754" spans="1:5" x14ac:dyDescent="0.2">
      <c r="A754" s="66">
        <v>43709</v>
      </c>
      <c r="B754">
        <v>110.20699999999999</v>
      </c>
      <c r="C754">
        <v>112.339</v>
      </c>
      <c r="D754">
        <v>2.25</v>
      </c>
      <c r="E754">
        <v>264.58800000000002</v>
      </c>
    </row>
    <row r="755" spans="1:5" x14ac:dyDescent="0.2">
      <c r="A755" s="66">
        <v>43739</v>
      </c>
      <c r="B755">
        <v>110.423</v>
      </c>
      <c r="C755">
        <v>112.496</v>
      </c>
      <c r="D755">
        <v>2</v>
      </c>
      <c r="E755">
        <v>265.01900000000001</v>
      </c>
    </row>
    <row r="756" spans="1:5" x14ac:dyDescent="0.2">
      <c r="A756" s="66">
        <v>43770</v>
      </c>
      <c r="B756">
        <v>110.46899999999999</v>
      </c>
      <c r="C756">
        <v>112.524</v>
      </c>
      <c r="D756">
        <v>1.75</v>
      </c>
      <c r="E756">
        <v>265.46100000000001</v>
      </c>
    </row>
    <row r="757" spans="1:5" x14ac:dyDescent="0.2">
      <c r="A757" s="66">
        <v>43800</v>
      </c>
      <c r="B757">
        <v>110.736</v>
      </c>
      <c r="C757">
        <v>112.77200000000001</v>
      </c>
      <c r="D757">
        <v>1.75</v>
      </c>
      <c r="E757">
        <v>265.74200000000002</v>
      </c>
    </row>
    <row r="758" spans="1:5" x14ac:dyDescent="0.2">
      <c r="A758" s="66">
        <v>43831</v>
      </c>
      <c r="B758">
        <v>110.944</v>
      </c>
      <c r="C758">
        <v>113.008</v>
      </c>
      <c r="D758">
        <v>1.75</v>
      </c>
      <c r="E758">
        <v>266.41800000000001</v>
      </c>
    </row>
    <row r="759" spans="1:5" x14ac:dyDescent="0.2">
      <c r="A759" s="66">
        <v>43862</v>
      </c>
      <c r="B759">
        <v>111.07</v>
      </c>
      <c r="C759">
        <v>113.206</v>
      </c>
      <c r="D759">
        <v>1.75</v>
      </c>
      <c r="E759">
        <v>267.08300000000003</v>
      </c>
    </row>
    <row r="760" spans="1:5" x14ac:dyDescent="0.2">
      <c r="A760" s="66">
        <v>43891</v>
      </c>
      <c r="B760">
        <v>110.824</v>
      </c>
      <c r="C760">
        <v>113.143</v>
      </c>
      <c r="D760">
        <v>1.75</v>
      </c>
      <c r="E760">
        <v>266.916</v>
      </c>
    </row>
    <row r="761" spans="1:5" x14ac:dyDescent="0.2">
      <c r="A761" s="66">
        <v>43922</v>
      </c>
      <c r="B761">
        <v>110.23699999999999</v>
      </c>
      <c r="C761">
        <v>112.66800000000001</v>
      </c>
      <c r="D761">
        <v>0.25</v>
      </c>
      <c r="E761">
        <v>265.77100000000002</v>
      </c>
    </row>
    <row r="762" spans="1:5" x14ac:dyDescent="0.2">
      <c r="A762" s="66">
        <v>43952</v>
      </c>
      <c r="B762">
        <v>110.35299999999999</v>
      </c>
      <c r="C762">
        <v>112.819</v>
      </c>
      <c r="D762">
        <v>0.25</v>
      </c>
      <c r="E762">
        <v>265.60599999999999</v>
      </c>
    </row>
    <row r="763" spans="1:5" x14ac:dyDescent="0.2">
      <c r="A763" s="66">
        <v>43983</v>
      </c>
      <c r="B763">
        <v>110.746</v>
      </c>
      <c r="C763">
        <v>113.051</v>
      </c>
      <c r="D763">
        <v>0.25</v>
      </c>
      <c r="E763">
        <v>266.08800000000002</v>
      </c>
    </row>
    <row r="764" spans="1:5" x14ac:dyDescent="0.2">
      <c r="A764" s="66">
        <v>44013</v>
      </c>
      <c r="B764">
        <v>111.072</v>
      </c>
      <c r="C764">
        <v>113.425</v>
      </c>
      <c r="D764">
        <v>0.25</v>
      </c>
      <c r="E764">
        <v>267.55200000000002</v>
      </c>
    </row>
    <row r="765" spans="1:5" x14ac:dyDescent="0.2">
      <c r="A765" s="66">
        <v>44044</v>
      </c>
      <c r="B765">
        <v>111.411</v>
      </c>
      <c r="C765">
        <v>113.782</v>
      </c>
      <c r="D765">
        <v>0.25</v>
      </c>
      <c r="E765">
        <v>268.66199999999998</v>
      </c>
    </row>
    <row r="766" spans="1:5" x14ac:dyDescent="0.2">
      <c r="A766" s="66">
        <v>44075</v>
      </c>
      <c r="B766">
        <v>111.613</v>
      </c>
      <c r="C766">
        <v>113.979</v>
      </c>
      <c r="D766">
        <v>0.25</v>
      </c>
      <c r="E766">
        <v>269.15199999999999</v>
      </c>
    </row>
    <row r="767" spans="1:5" x14ac:dyDescent="0.2">
      <c r="A767" s="66">
        <v>44105</v>
      </c>
      <c r="B767">
        <v>111.648</v>
      </c>
      <c r="C767">
        <v>114.017</v>
      </c>
      <c r="D767">
        <v>0.25</v>
      </c>
      <c r="E767">
        <v>269.33199999999999</v>
      </c>
    </row>
    <row r="768" spans="1:5" x14ac:dyDescent="0.2">
      <c r="A768" s="66">
        <v>44136</v>
      </c>
      <c r="B768">
        <v>111.666</v>
      </c>
      <c r="C768">
        <v>114.048</v>
      </c>
      <c r="D768">
        <v>0.25</v>
      </c>
      <c r="E768">
        <v>269.81599999999997</v>
      </c>
    </row>
    <row r="769" spans="1:5" x14ac:dyDescent="0.2">
      <c r="A769" s="66">
        <v>44166</v>
      </c>
      <c r="B769">
        <v>112.15</v>
      </c>
      <c r="C769">
        <v>114.422</v>
      </c>
      <c r="D769">
        <v>0.25</v>
      </c>
      <c r="E769">
        <v>269.98399999999998</v>
      </c>
    </row>
    <row r="770" spans="1:5" x14ac:dyDescent="0.2">
      <c r="A770" s="66">
        <v>44197</v>
      </c>
      <c r="B770">
        <v>112.583</v>
      </c>
      <c r="C770">
        <v>114.782</v>
      </c>
      <c r="D770">
        <v>0.25</v>
      </c>
      <c r="E770">
        <v>270.11399999999998</v>
      </c>
    </row>
    <row r="771" spans="1:5" x14ac:dyDescent="0.2">
      <c r="A771" s="66">
        <v>44228</v>
      </c>
      <c r="B771">
        <v>112.961</v>
      </c>
      <c r="C771">
        <v>114.97499999999999</v>
      </c>
      <c r="D771">
        <v>0.25</v>
      </c>
      <c r="E771">
        <v>270.52199999999999</v>
      </c>
    </row>
    <row r="772" spans="1:5" x14ac:dyDescent="0.2">
      <c r="A772" s="66">
        <v>44256</v>
      </c>
      <c r="B772">
        <v>113.63200000000001</v>
      </c>
      <c r="C772">
        <v>115.45699999999999</v>
      </c>
      <c r="D772">
        <v>0.25</v>
      </c>
      <c r="E772">
        <v>271.34699999999998</v>
      </c>
    </row>
    <row r="773" spans="1:5" x14ac:dyDescent="0.2">
      <c r="A773" s="66">
        <v>44287</v>
      </c>
      <c r="B773">
        <v>114.238</v>
      </c>
      <c r="C773">
        <v>116.18600000000001</v>
      </c>
      <c r="D773">
        <v>0.25</v>
      </c>
      <c r="E773">
        <v>273.66899999999998</v>
      </c>
    </row>
    <row r="774" spans="1:5" x14ac:dyDescent="0.2">
      <c r="A774" s="66">
        <v>44317</v>
      </c>
      <c r="B774">
        <v>114.819</v>
      </c>
      <c r="C774">
        <v>116.78700000000001</v>
      </c>
      <c r="D774">
        <v>0.25</v>
      </c>
      <c r="E774">
        <v>275.71499999999997</v>
      </c>
    </row>
    <row r="775" spans="1:5" x14ac:dyDescent="0.2">
      <c r="A775" s="66">
        <v>44348</v>
      </c>
      <c r="B775">
        <v>115.458</v>
      </c>
      <c r="C775">
        <v>117.349</v>
      </c>
      <c r="D775">
        <v>0.25</v>
      </c>
      <c r="E775">
        <v>277.92200000000003</v>
      </c>
    </row>
    <row r="776" spans="1:5" x14ac:dyDescent="0.2">
      <c r="A776" s="66">
        <v>44378</v>
      </c>
      <c r="B776">
        <v>115.986</v>
      </c>
      <c r="C776">
        <v>117.81100000000001</v>
      </c>
      <c r="D776">
        <v>0.25</v>
      </c>
      <c r="E776">
        <v>278.79399999999998</v>
      </c>
    </row>
    <row r="777" spans="1:5" x14ac:dyDescent="0.2">
      <c r="A777" s="66">
        <v>44409</v>
      </c>
      <c r="B777">
        <v>116.444</v>
      </c>
      <c r="C777">
        <v>118.199</v>
      </c>
      <c r="D777">
        <v>0.25</v>
      </c>
      <c r="E777">
        <v>279.30599999999998</v>
      </c>
    </row>
    <row r="778" spans="1:5" x14ac:dyDescent="0.2">
      <c r="A778" s="66">
        <v>44440</v>
      </c>
      <c r="B778">
        <v>116.80800000000001</v>
      </c>
      <c r="C778">
        <v>118.446</v>
      </c>
      <c r="D778">
        <v>0.25</v>
      </c>
      <c r="E778">
        <v>280.017</v>
      </c>
    </row>
    <row r="779" spans="1:5" x14ac:dyDescent="0.2">
      <c r="A779" s="66">
        <v>44470</v>
      </c>
      <c r="B779">
        <v>117.479</v>
      </c>
      <c r="C779">
        <v>118.929</v>
      </c>
      <c r="D779">
        <v>0.25</v>
      </c>
      <c r="E779">
        <v>281.70499999999998</v>
      </c>
    </row>
    <row r="780" spans="1:5" x14ac:dyDescent="0.2">
      <c r="A780" s="66">
        <v>44501</v>
      </c>
      <c r="B780">
        <v>118.2</v>
      </c>
      <c r="C780">
        <v>119.54300000000001</v>
      </c>
      <c r="D780">
        <v>0.25</v>
      </c>
      <c r="E780">
        <v>283.17899999999997</v>
      </c>
    </row>
    <row r="781" spans="1:5" x14ac:dyDescent="0.2">
      <c r="A781" s="66">
        <v>44531</v>
      </c>
      <c r="B781">
        <v>118.84099999999999</v>
      </c>
      <c r="C781">
        <v>120.193</v>
      </c>
      <c r="D781">
        <v>0.25</v>
      </c>
      <c r="E781">
        <v>284.77</v>
      </c>
    </row>
    <row r="782" spans="1:5" x14ac:dyDescent="0.2">
      <c r="A782" s="66">
        <v>44562</v>
      </c>
      <c r="B782">
        <v>119.46899999999999</v>
      </c>
      <c r="C782">
        <v>120.761</v>
      </c>
      <c r="D782">
        <v>0.25</v>
      </c>
      <c r="E782">
        <v>286.43099999999998</v>
      </c>
    </row>
    <row r="783" spans="1:5" x14ac:dyDescent="0.2">
      <c r="A783" s="66">
        <v>44593</v>
      </c>
      <c r="B783">
        <v>120.178</v>
      </c>
      <c r="C783">
        <v>121.205</v>
      </c>
      <c r="D783">
        <v>0.25</v>
      </c>
      <c r="E783">
        <v>287.87799999999999</v>
      </c>
    </row>
    <row r="784" spans="1:5" x14ac:dyDescent="0.2">
      <c r="A784" s="66">
        <v>44621</v>
      </c>
      <c r="B784">
        <v>121.321</v>
      </c>
      <c r="C784">
        <v>121.651</v>
      </c>
      <c r="D784">
        <v>0.25</v>
      </c>
      <c r="E784">
        <v>288.81099999999998</v>
      </c>
    </row>
    <row r="785" spans="1:5" x14ac:dyDescent="0.2">
      <c r="A785" s="66">
        <v>44652</v>
      </c>
      <c r="B785">
        <v>121.563</v>
      </c>
      <c r="C785">
        <v>122.03</v>
      </c>
      <c r="D785">
        <v>0.5</v>
      </c>
      <c r="E785">
        <v>290.45499999999998</v>
      </c>
    </row>
    <row r="786" spans="1:5" x14ac:dyDescent="0.2">
      <c r="A786" s="66">
        <v>44682</v>
      </c>
      <c r="B786">
        <v>122.3</v>
      </c>
      <c r="C786">
        <v>122.488</v>
      </c>
      <c r="D786">
        <v>0.5</v>
      </c>
      <c r="E786">
        <v>292.28899999999999</v>
      </c>
    </row>
    <row r="787" spans="1:5" x14ac:dyDescent="0.2">
      <c r="A787" s="66">
        <v>44713</v>
      </c>
      <c r="B787">
        <v>123.512</v>
      </c>
      <c r="C787">
        <v>123.258</v>
      </c>
      <c r="D787">
        <v>1</v>
      </c>
      <c r="E787">
        <v>294.35399999999998</v>
      </c>
    </row>
    <row r="788" spans="1:5" x14ac:dyDescent="0.2">
      <c r="A788" s="66">
        <v>44743</v>
      </c>
      <c r="B788">
        <v>123.369</v>
      </c>
      <c r="C788">
        <v>123.31100000000001</v>
      </c>
      <c r="D788">
        <v>1.75</v>
      </c>
      <c r="E788">
        <v>295.27499999999998</v>
      </c>
    </row>
    <row r="789" spans="1:5" x14ac:dyDescent="0.2">
      <c r="A789" s="66">
        <v>44774</v>
      </c>
      <c r="B789">
        <v>123.721</v>
      </c>
      <c r="C789">
        <v>124.004</v>
      </c>
      <c r="D789">
        <v>2.5</v>
      </c>
      <c r="E789">
        <v>296.95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topLeftCell="C1" zoomScale="160" zoomScaleNormal="160" workbookViewId="0">
      <pane ySplit="4" topLeftCell="A736" activePane="bottomLeft" state="frozen"/>
      <selection pane="bottomLeft" activeCell="R749" sqref="R74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6"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8" s="64" customFormat="1" x14ac:dyDescent="0.2">
      <c r="A1" s="52" t="s">
        <v>15</v>
      </c>
      <c r="B1" s="53"/>
      <c r="C1" s="4"/>
      <c r="D1" s="5"/>
    </row>
    <row r="2" spans="1:8" s="64" customFormat="1" x14ac:dyDescent="0.2">
      <c r="A2" s="10" t="s">
        <v>16</v>
      </c>
      <c r="B2" s="54"/>
      <c r="C2" s="4"/>
      <c r="D2" s="5"/>
      <c r="H2" s="55"/>
    </row>
    <row r="3" spans="1:8" s="64" customFormat="1" ht="16" customHeight="1" thickBot="1" x14ac:dyDescent="0.25">
      <c r="A3" s="6"/>
      <c r="B3" s="53"/>
      <c r="C3" s="4"/>
      <c r="D3" s="5"/>
    </row>
    <row r="4" spans="1:8" ht="23.25" customHeight="1" x14ac:dyDescent="0.2">
      <c r="A4" s="23" t="s">
        <v>28</v>
      </c>
      <c r="B4" s="56" t="s">
        <v>29</v>
      </c>
      <c r="C4" s="24" t="s">
        <v>30</v>
      </c>
      <c r="D4" s="25" t="s">
        <v>31</v>
      </c>
    </row>
    <row r="5" spans="1:8" x14ac:dyDescent="0.2">
      <c r="A5" s="57">
        <v>21551</v>
      </c>
      <c r="B5" s="58">
        <f>VLOOKUP(Table5345679103[[#This Row],[Date]],Database!A:E,MATCH($A$1,Database!$A$1:$E$1,),)</f>
        <v>16.042000000000002</v>
      </c>
      <c r="C5" s="7"/>
      <c r="D5" s="7"/>
    </row>
    <row r="6" spans="1:8" x14ac:dyDescent="0.2">
      <c r="A6" s="57">
        <v>21582</v>
      </c>
      <c r="B6" s="58">
        <f>VLOOKUP(Table5345679103[[#This Row],[Date]],Database!A:E,MATCH($A$1,Database!$A$1:$E$1,),)</f>
        <v>16.056999999999999</v>
      </c>
      <c r="C6" s="8">
        <f t="shared" ref="C6:C69" si="0">(B6-B5)/B5</f>
        <v>9.350455055477506E-4</v>
      </c>
      <c r="D6" s="7"/>
    </row>
    <row r="7" spans="1:8" x14ac:dyDescent="0.2">
      <c r="A7" s="57">
        <v>21610</v>
      </c>
      <c r="B7" s="58">
        <f>VLOOKUP(Table5345679103[[#This Row],[Date]],Database!A:E,MATCH($A$1,Database!$A$1:$E$1,),)</f>
        <v>16.068000000000001</v>
      </c>
      <c r="C7" s="8">
        <f t="shared" si="0"/>
        <v>6.8505947561828403E-4</v>
      </c>
      <c r="D7" s="7"/>
    </row>
    <row r="8" spans="1:8" x14ac:dyDescent="0.2">
      <c r="A8" s="57">
        <v>21641</v>
      </c>
      <c r="B8" s="58">
        <f>VLOOKUP(Table5345679103[[#This Row],[Date]],Database!A:E,MATCH($A$1,Database!$A$1:$E$1,),)</f>
        <v>16.100000000000001</v>
      </c>
      <c r="C8" s="8">
        <f t="shared" si="0"/>
        <v>1.9915359721184981E-3</v>
      </c>
      <c r="D8" s="7"/>
    </row>
    <row r="9" spans="1:8" x14ac:dyDescent="0.2">
      <c r="A9" s="57">
        <v>21671</v>
      </c>
      <c r="B9" s="58">
        <f>VLOOKUP(Table5345679103[[#This Row],[Date]],Database!A:E,MATCH($A$1,Database!$A$1:$E$1,),)</f>
        <v>16.109000000000002</v>
      </c>
      <c r="C9" s="8">
        <f t="shared" si="0"/>
        <v>5.5900621118014533E-4</v>
      </c>
      <c r="D9" s="7"/>
    </row>
    <row r="10" spans="1:8" x14ac:dyDescent="0.2">
      <c r="A10" s="57">
        <v>21702</v>
      </c>
      <c r="B10" s="58">
        <f>VLOOKUP(Table5345679103[[#This Row],[Date]],Database!A:E,MATCH($A$1,Database!$A$1:$E$1,),)</f>
        <v>16.155000000000001</v>
      </c>
      <c r="C10" s="8">
        <f t="shared" si="0"/>
        <v>2.8555465888633292E-3</v>
      </c>
      <c r="D10" s="7"/>
    </row>
    <row r="11" spans="1:8" x14ac:dyDescent="0.2">
      <c r="A11" s="57">
        <v>21732</v>
      </c>
      <c r="B11" s="58">
        <f>VLOOKUP(Table5345679103[[#This Row],[Date]],Database!A:E,MATCH($A$1,Database!$A$1:$E$1,),)</f>
        <v>16.189</v>
      </c>
      <c r="C11" s="8">
        <f t="shared" si="0"/>
        <v>2.1046115753635976E-3</v>
      </c>
      <c r="D11" s="7"/>
    </row>
    <row r="12" spans="1:8" x14ac:dyDescent="0.2">
      <c r="A12" s="57">
        <v>21763</v>
      </c>
      <c r="B12" s="58">
        <f>VLOOKUP(Table5345679103[[#This Row],[Date]],Database!A:E,MATCH($A$1,Database!$A$1:$E$1,),)</f>
        <v>16.212</v>
      </c>
      <c r="C12" s="8">
        <f t="shared" si="0"/>
        <v>1.4207177713261899E-3</v>
      </c>
      <c r="D12" s="7"/>
    </row>
    <row r="13" spans="1:8" x14ac:dyDescent="0.2">
      <c r="A13" s="57">
        <v>21794</v>
      </c>
      <c r="B13" s="58">
        <f>VLOOKUP(Table5345679103[[#This Row],[Date]],Database!A:E,MATCH($A$1,Database!$A$1:$E$1,),)</f>
        <v>16.254999999999999</v>
      </c>
      <c r="C13" s="8">
        <f t="shared" si="0"/>
        <v>2.6523562792992389E-3</v>
      </c>
      <c r="D13" s="7"/>
    </row>
    <row r="14" spans="1:8" x14ac:dyDescent="0.2">
      <c r="A14" s="57">
        <v>21824</v>
      </c>
      <c r="B14" s="58">
        <f>VLOOKUP(Table5345679103[[#This Row],[Date]],Database!A:E,MATCH($A$1,Database!$A$1:$E$1,),)</f>
        <v>16.294</v>
      </c>
      <c r="C14" s="8">
        <f t="shared" si="0"/>
        <v>2.3992617656106723E-3</v>
      </c>
      <c r="D14" s="7"/>
    </row>
    <row r="15" spans="1:8" x14ac:dyDescent="0.2">
      <c r="A15" s="57">
        <v>21855</v>
      </c>
      <c r="B15" s="58">
        <f>VLOOKUP(Table5345679103[[#This Row],[Date]],Database!A:E,MATCH($A$1,Database!$A$1:$E$1,),)</f>
        <v>16.303999999999998</v>
      </c>
      <c r="C15" s="8">
        <f t="shared" si="0"/>
        <v>6.1372284276408555E-4</v>
      </c>
      <c r="D15" s="7"/>
    </row>
    <row r="16" spans="1:8" x14ac:dyDescent="0.2">
      <c r="A16" s="57">
        <v>21885</v>
      </c>
      <c r="B16" s="58">
        <f>VLOOKUP(Table5345679103[[#This Row],[Date]],Database!A:E,MATCH($A$1,Database!$A$1:$E$1,),)</f>
        <v>16.323</v>
      </c>
      <c r="C16" s="8">
        <f t="shared" si="0"/>
        <v>1.1653581943082622E-3</v>
      </c>
      <c r="D16" s="7"/>
    </row>
    <row r="17" spans="1:4" x14ac:dyDescent="0.2">
      <c r="A17" s="57">
        <v>21916</v>
      </c>
      <c r="B17" s="58">
        <f>VLOOKUP(Table5345679103[[#This Row],[Date]],Database!A:E,MATCH($A$1,Database!$A$1:$E$1,),)</f>
        <v>16.314</v>
      </c>
      <c r="C17" s="8">
        <f t="shared" si="0"/>
        <v>-5.5136923359678613E-4</v>
      </c>
      <c r="D17" s="7">
        <f>(Table5345679103[[#This Row],[Value]]-B5)/B5</f>
        <v>1.6955491833935819E-2</v>
      </c>
    </row>
    <row r="18" spans="1:4" x14ac:dyDescent="0.2">
      <c r="A18" s="57">
        <v>21947</v>
      </c>
      <c r="B18" s="58">
        <f>VLOOKUP(Table5345679103[[#This Row],[Date]],Database!A:E,MATCH($A$1,Database!$A$1:$E$1,),)</f>
        <v>16.331</v>
      </c>
      <c r="C18" s="8">
        <f t="shared" si="0"/>
        <v>1.0420497732008987E-3</v>
      </c>
      <c r="D18" s="7">
        <f>(Table5345679103[[#This Row],[Value]]-B6)/B6</f>
        <v>1.706420875630572E-2</v>
      </c>
    </row>
    <row r="19" spans="1:4" x14ac:dyDescent="0.2">
      <c r="A19" s="57">
        <v>21976</v>
      </c>
      <c r="B19" s="58">
        <f>VLOOKUP(Table5345679103[[#This Row],[Date]],Database!A:E,MATCH($A$1,Database!$A$1:$E$1,),)</f>
        <v>16.34</v>
      </c>
      <c r="C19" s="8">
        <f t="shared" si="0"/>
        <v>5.5109913661137357E-4</v>
      </c>
      <c r="D19" s="7">
        <f>(Table5345679103[[#This Row],[Value]]-B7)/B7</f>
        <v>1.6928055763007124E-2</v>
      </c>
    </row>
    <row r="20" spans="1:4" x14ac:dyDescent="0.2">
      <c r="A20" s="57">
        <v>22007</v>
      </c>
      <c r="B20" s="58">
        <f>VLOOKUP(Table5345679103[[#This Row],[Date]],Database!A:E,MATCH($A$1,Database!$A$1:$E$1,),)</f>
        <v>16.399999999999999</v>
      </c>
      <c r="C20" s="8">
        <f t="shared" si="0"/>
        <v>3.6719706242349277E-3</v>
      </c>
      <c r="D20" s="7">
        <f>(Table5345679103[[#This Row],[Value]]-B8)/B8</f>
        <v>1.8633540372670631E-2</v>
      </c>
    </row>
    <row r="21" spans="1:4" x14ac:dyDescent="0.2">
      <c r="A21" s="57">
        <v>22037</v>
      </c>
      <c r="B21" s="58">
        <f>VLOOKUP(Table5345679103[[#This Row],[Date]],Database!A:E,MATCH($A$1,Database!$A$1:$E$1,),)</f>
        <v>16.417000000000002</v>
      </c>
      <c r="C21" s="8">
        <f t="shared" si="0"/>
        <v>1.0365853658538423E-3</v>
      </c>
      <c r="D21" s="7">
        <f>(Table5345679103[[#This Row],[Value]]-B9)/B9</f>
        <v>1.9119746725432974E-2</v>
      </c>
    </row>
    <row r="22" spans="1:4" x14ac:dyDescent="0.2">
      <c r="A22" s="57">
        <v>22068</v>
      </c>
      <c r="B22" s="58">
        <f>VLOOKUP(Table5345679103[[#This Row],[Date]],Database!A:E,MATCH($A$1,Database!$A$1:$E$1,),)</f>
        <v>16.423999999999999</v>
      </c>
      <c r="C22" s="8">
        <f t="shared" si="0"/>
        <v>4.2638728147639007E-4</v>
      </c>
      <c r="D22" s="7">
        <f>(Table5345679103[[#This Row],[Value]]-B10)/B10</f>
        <v>1.6651191581553596E-2</v>
      </c>
    </row>
    <row r="23" spans="1:4" x14ac:dyDescent="0.2">
      <c r="A23" s="57">
        <v>22098</v>
      </c>
      <c r="B23" s="58">
        <f>VLOOKUP(Table5345679103[[#This Row],[Date]],Database!A:E,MATCH($A$1,Database!$A$1:$E$1,),)</f>
        <v>16.452999999999999</v>
      </c>
      <c r="C23" s="8">
        <f t="shared" si="0"/>
        <v>1.765708718947876E-3</v>
      </c>
      <c r="D23" s="7">
        <f>(Table5345679103[[#This Row],[Value]]-B11)/B11</f>
        <v>1.6307369201309492E-2</v>
      </c>
    </row>
    <row r="24" spans="1:4" x14ac:dyDescent="0.2">
      <c r="A24" s="57">
        <v>22129</v>
      </c>
      <c r="B24" s="58">
        <f>VLOOKUP(Table5345679103[[#This Row],[Date]],Database!A:E,MATCH($A$1,Database!$A$1:$E$1,),)</f>
        <v>16.481000000000002</v>
      </c>
      <c r="C24" s="8">
        <f t="shared" si="0"/>
        <v>1.7018172977573845E-3</v>
      </c>
      <c r="D24" s="7">
        <f>(Table5345679103[[#This Row],[Value]]-B12)/B12</f>
        <v>1.6592647421663085E-2</v>
      </c>
    </row>
    <row r="25" spans="1:4" x14ac:dyDescent="0.2">
      <c r="A25" s="57">
        <v>22160</v>
      </c>
      <c r="B25" s="58">
        <f>VLOOKUP(Table5345679103[[#This Row],[Date]],Database!A:E,MATCH($A$1,Database!$A$1:$E$1,),)</f>
        <v>16.491</v>
      </c>
      <c r="C25" s="8">
        <f t="shared" si="0"/>
        <v>6.0675929858613001E-4</v>
      </c>
      <c r="D25" s="7">
        <f>(Table5345679103[[#This Row],[Value]]-B13)/B13</f>
        <v>1.4518609658566635E-2</v>
      </c>
    </row>
    <row r="26" spans="1:4" x14ac:dyDescent="0.2">
      <c r="A26" s="57">
        <v>22190</v>
      </c>
      <c r="B26" s="58">
        <f>VLOOKUP(Table5345679103[[#This Row],[Date]],Database!A:E,MATCH($A$1,Database!$A$1:$E$1,),)</f>
        <v>16.510000000000002</v>
      </c>
      <c r="C26" s="8">
        <f t="shared" si="0"/>
        <v>1.1521435934753444E-3</v>
      </c>
      <c r="D26" s="7">
        <f>(Table5345679103[[#This Row],[Value]]-B14)/B14</f>
        <v>1.3256413403706951E-2</v>
      </c>
    </row>
    <row r="27" spans="1:4" x14ac:dyDescent="0.2">
      <c r="A27" s="57">
        <v>22221</v>
      </c>
      <c r="B27" s="58">
        <f>VLOOKUP(Table5345679103[[#This Row],[Date]],Database!A:E,MATCH($A$1,Database!$A$1:$E$1,),)</f>
        <v>16.565000000000001</v>
      </c>
      <c r="C27" s="8">
        <f t="shared" si="0"/>
        <v>3.3313143549363847E-3</v>
      </c>
      <c r="D27" s="7">
        <f>(Table5345679103[[#This Row],[Value]]-B15)/B15</f>
        <v>1.6008341511285745E-2</v>
      </c>
    </row>
    <row r="28" spans="1:4" x14ac:dyDescent="0.2">
      <c r="A28" s="57">
        <v>22251</v>
      </c>
      <c r="B28" s="58">
        <f>VLOOKUP(Table5345679103[[#This Row],[Date]],Database!A:E,MATCH($A$1,Database!$A$1:$E$1,),)</f>
        <v>16.568999999999999</v>
      </c>
      <c r="C28" s="8">
        <f t="shared" si="0"/>
        <v>2.4147298520964581E-4</v>
      </c>
      <c r="D28" s="7">
        <f>(Table5345679103[[#This Row],[Value]]-B16)/B16</f>
        <v>1.5070759051644836E-2</v>
      </c>
    </row>
    <row r="29" spans="1:4" x14ac:dyDescent="0.2">
      <c r="A29" s="57">
        <v>22282</v>
      </c>
      <c r="B29" s="58">
        <f>VLOOKUP(Table5345679103[[#This Row],[Date]],Database!A:E,MATCH($A$1,Database!$A$1:$E$1,),)</f>
        <v>16.571000000000002</v>
      </c>
      <c r="C29" s="8">
        <f t="shared" si="0"/>
        <v>1.2070734504209333E-4</v>
      </c>
      <c r="D29" s="7">
        <f>(Table5345679103[[#This Row],[Value]]-B17)/B17</f>
        <v>1.5753340688978879E-2</v>
      </c>
    </row>
    <row r="30" spans="1:4" x14ac:dyDescent="0.2">
      <c r="A30" s="57">
        <v>22313</v>
      </c>
      <c r="B30" s="58">
        <f>VLOOKUP(Table5345679103[[#This Row],[Date]],Database!A:E,MATCH($A$1,Database!$A$1:$E$1,),)</f>
        <v>16.587</v>
      </c>
      <c r="C30" s="8">
        <f t="shared" si="0"/>
        <v>9.655422122984875E-4</v>
      </c>
      <c r="D30" s="7">
        <f>(Table5345679103[[#This Row],[Value]]-B18)/B18</f>
        <v>1.5675708774722935E-2</v>
      </c>
    </row>
    <row r="31" spans="1:4" x14ac:dyDescent="0.2">
      <c r="A31" s="57">
        <v>22341</v>
      </c>
      <c r="B31" s="58">
        <f>VLOOKUP(Table5345679103[[#This Row],[Date]],Database!A:E,MATCH($A$1,Database!$A$1:$E$1,),)</f>
        <v>16.577999999999999</v>
      </c>
      <c r="C31" s="8">
        <f t="shared" si="0"/>
        <v>-5.4259359739557134E-4</v>
      </c>
      <c r="D31" s="7">
        <f>(Table5345679103[[#This Row],[Value]]-B19)/B19</f>
        <v>1.4565483476132164E-2</v>
      </c>
    </row>
    <row r="32" spans="1:4" x14ac:dyDescent="0.2">
      <c r="A32" s="57">
        <v>22372</v>
      </c>
      <c r="B32" s="58">
        <f>VLOOKUP(Table5345679103[[#This Row],[Date]],Database!A:E,MATCH($A$1,Database!$A$1:$E$1,),)</f>
        <v>16.568000000000001</v>
      </c>
      <c r="C32" s="8">
        <f t="shared" si="0"/>
        <v>-6.0320907226432685E-4</v>
      </c>
      <c r="D32" s="7">
        <f>(Table5345679103[[#This Row],[Value]]-B20)/B20</f>
        <v>1.0243902439024562E-2</v>
      </c>
    </row>
    <row r="33" spans="1:4" x14ac:dyDescent="0.2">
      <c r="A33" s="57">
        <v>22402</v>
      </c>
      <c r="B33" s="58">
        <f>VLOOKUP(Table5345679103[[#This Row],[Date]],Database!A:E,MATCH($A$1,Database!$A$1:$E$1,),)</f>
        <v>16.577000000000002</v>
      </c>
      <c r="C33" s="8">
        <f t="shared" si="0"/>
        <v>5.4321583775955703E-4</v>
      </c>
      <c r="D33" s="7">
        <f>(Table5345679103[[#This Row],[Value]]-B21)/B21</f>
        <v>9.7459950051775671E-3</v>
      </c>
    </row>
    <row r="34" spans="1:4" x14ac:dyDescent="0.2">
      <c r="A34" s="57">
        <v>22433</v>
      </c>
      <c r="B34" s="58">
        <f>VLOOKUP(Table5345679103[[#This Row],[Date]],Database!A:E,MATCH($A$1,Database!$A$1:$E$1,),)</f>
        <v>16.585000000000001</v>
      </c>
      <c r="C34" s="8">
        <f t="shared" si="0"/>
        <v>4.825963684622741E-4</v>
      </c>
      <c r="D34" s="7">
        <f>(Table5345679103[[#This Row],[Value]]-B22)/B22</f>
        <v>9.8027277155383202E-3</v>
      </c>
    </row>
    <row r="35" spans="1:4" x14ac:dyDescent="0.2">
      <c r="A35" s="57">
        <v>22463</v>
      </c>
      <c r="B35" s="58">
        <f>VLOOKUP(Table5345679103[[#This Row],[Date]],Database!A:E,MATCH($A$1,Database!$A$1:$E$1,),)</f>
        <v>16.620999999999999</v>
      </c>
      <c r="C35" s="8">
        <f t="shared" si="0"/>
        <v>2.1706361169730364E-3</v>
      </c>
      <c r="D35" s="7">
        <f>(Table5345679103[[#This Row],[Value]]-B23)/B23</f>
        <v>1.0210903786543444E-2</v>
      </c>
    </row>
    <row r="36" spans="1:4" x14ac:dyDescent="0.2">
      <c r="A36" s="57">
        <v>22494</v>
      </c>
      <c r="B36" s="58">
        <f>VLOOKUP(Table5345679103[[#This Row],[Date]],Database!A:E,MATCH($A$1,Database!$A$1:$E$1,),)</f>
        <v>16.635000000000002</v>
      </c>
      <c r="C36" s="8">
        <f t="shared" si="0"/>
        <v>8.4230792371114255E-4</v>
      </c>
      <c r="D36" s="7">
        <f>(Table5345679103[[#This Row],[Value]]-B24)/B24</f>
        <v>9.3440931982282562E-3</v>
      </c>
    </row>
    <row r="37" spans="1:4" x14ac:dyDescent="0.2">
      <c r="A37" s="57">
        <v>22525</v>
      </c>
      <c r="B37" s="58">
        <f>VLOOKUP(Table5345679103[[#This Row],[Date]],Database!A:E,MATCH($A$1,Database!$A$1:$E$1,),)</f>
        <v>16.654</v>
      </c>
      <c r="C37" s="8">
        <f t="shared" si="0"/>
        <v>1.1421701232340457E-3</v>
      </c>
      <c r="D37" s="7">
        <f>(Table5345679103[[#This Row],[Value]]-B25)/B25</f>
        <v>9.8841792492875055E-3</v>
      </c>
    </row>
    <row r="38" spans="1:4" x14ac:dyDescent="0.2">
      <c r="A38" s="57">
        <v>22555</v>
      </c>
      <c r="B38" s="58">
        <f>VLOOKUP(Table5345679103[[#This Row],[Date]],Database!A:E,MATCH($A$1,Database!$A$1:$E$1,),)</f>
        <v>16.652000000000001</v>
      </c>
      <c r="C38" s="8">
        <f t="shared" si="0"/>
        <v>-1.2009126936465063E-4</v>
      </c>
      <c r="D38" s="7">
        <f>(Table5345679103[[#This Row],[Value]]-B26)/B26</f>
        <v>8.6008479709266776E-3</v>
      </c>
    </row>
    <row r="39" spans="1:4" x14ac:dyDescent="0.2">
      <c r="A39" s="57">
        <v>22586</v>
      </c>
      <c r="B39" s="58">
        <f>VLOOKUP(Table5345679103[[#This Row],[Date]],Database!A:E,MATCH($A$1,Database!$A$1:$E$1,),)</f>
        <v>16.652999999999999</v>
      </c>
      <c r="C39" s="8">
        <f t="shared" si="0"/>
        <v>6.0052846504784373E-5</v>
      </c>
      <c r="D39" s="7">
        <f>(Table5345679103[[#This Row],[Value]]-B27)/B27</f>
        <v>5.3124056746149959E-3</v>
      </c>
    </row>
    <row r="40" spans="1:4" x14ac:dyDescent="0.2">
      <c r="A40" s="57">
        <v>22616</v>
      </c>
      <c r="B40" s="58">
        <f>VLOOKUP(Table5345679103[[#This Row],[Date]],Database!A:E,MATCH($A$1,Database!$A$1:$E$1,),)</f>
        <v>16.658000000000001</v>
      </c>
      <c r="C40" s="8">
        <f t="shared" si="0"/>
        <v>3.0024620188569978E-4</v>
      </c>
      <c r="D40" s="7">
        <f>(Table5345679103[[#This Row],[Value]]-B28)/B28</f>
        <v>5.3714768543667206E-3</v>
      </c>
    </row>
    <row r="41" spans="1:4" x14ac:dyDescent="0.2">
      <c r="A41" s="57">
        <v>22647</v>
      </c>
      <c r="B41" s="58">
        <f>VLOOKUP(Table5345679103[[#This Row],[Date]],Database!A:E,MATCH($A$1,Database!$A$1:$E$1,),)</f>
        <v>16.689</v>
      </c>
      <c r="C41" s="8">
        <f t="shared" si="0"/>
        <v>1.8609677032055951E-3</v>
      </c>
      <c r="D41" s="7">
        <f>(Table5345679103[[#This Row],[Value]]-B29)/B29</f>
        <v>7.1208738157020422E-3</v>
      </c>
    </row>
    <row r="42" spans="1:4" x14ac:dyDescent="0.2">
      <c r="A42" s="57">
        <v>22678</v>
      </c>
      <c r="B42" s="58">
        <f>VLOOKUP(Table5345679103[[#This Row],[Date]],Database!A:E,MATCH($A$1,Database!$A$1:$E$1,),)</f>
        <v>16.734000000000002</v>
      </c>
      <c r="C42" s="8">
        <f t="shared" si="0"/>
        <v>2.6963868416323149E-3</v>
      </c>
      <c r="D42" s="7">
        <f>(Table5345679103[[#This Row],[Value]]-B30)/B30</f>
        <v>8.8623620907941174E-3</v>
      </c>
    </row>
    <row r="43" spans="1:4" x14ac:dyDescent="0.2">
      <c r="A43" s="57">
        <v>22706</v>
      </c>
      <c r="B43" s="58">
        <f>VLOOKUP(Table5345679103[[#This Row],[Date]],Database!A:E,MATCH($A$1,Database!$A$1:$E$1,),)</f>
        <v>16.756</v>
      </c>
      <c r="C43" s="8">
        <f t="shared" si="0"/>
        <v>1.3146886578223056E-3</v>
      </c>
      <c r="D43" s="7">
        <f>(Table5345679103[[#This Row],[Value]]-B31)/B31</f>
        <v>1.0737121486307203E-2</v>
      </c>
    </row>
    <row r="44" spans="1:4" x14ac:dyDescent="0.2">
      <c r="A44" s="57">
        <v>22737</v>
      </c>
      <c r="B44" s="58">
        <f>VLOOKUP(Table5345679103[[#This Row],[Date]],Database!A:E,MATCH($A$1,Database!$A$1:$E$1,),)</f>
        <v>16.774999999999999</v>
      </c>
      <c r="C44" s="8">
        <f t="shared" si="0"/>
        <v>1.1339221771304816E-3</v>
      </c>
      <c r="D44" s="7">
        <f>(Table5345679103[[#This Row],[Value]]-B32)/B32</f>
        <v>1.2493964268469167E-2</v>
      </c>
    </row>
    <row r="45" spans="1:4" x14ac:dyDescent="0.2">
      <c r="A45" s="57">
        <v>22767</v>
      </c>
      <c r="B45" s="58">
        <f>VLOOKUP(Table5345679103[[#This Row],[Date]],Database!A:E,MATCH($A$1,Database!$A$1:$E$1,),)</f>
        <v>16.786000000000001</v>
      </c>
      <c r="C45" s="8">
        <f t="shared" si="0"/>
        <v>6.5573770491819889E-4</v>
      </c>
      <c r="D45" s="7">
        <f>(Table5345679103[[#This Row],[Value]]-B33)/B33</f>
        <v>1.2607830126078278E-2</v>
      </c>
    </row>
    <row r="46" spans="1:4" x14ac:dyDescent="0.2">
      <c r="A46" s="57">
        <v>22798</v>
      </c>
      <c r="B46" s="58">
        <f>VLOOKUP(Table5345679103[[#This Row],[Date]],Database!A:E,MATCH($A$1,Database!$A$1:$E$1,),)</f>
        <v>16.795999999999999</v>
      </c>
      <c r="C46" s="8">
        <f t="shared" si="0"/>
        <v>5.9573454068855057E-4</v>
      </c>
      <c r="D46" s="7">
        <f>(Table5345679103[[#This Row],[Value]]-B34)/B34</f>
        <v>1.2722339463370426E-2</v>
      </c>
    </row>
    <row r="47" spans="1:4" x14ac:dyDescent="0.2">
      <c r="A47" s="57">
        <v>22828</v>
      </c>
      <c r="B47" s="58">
        <f>VLOOKUP(Table5345679103[[#This Row],[Date]],Database!A:E,MATCH($A$1,Database!$A$1:$E$1,),)</f>
        <v>16.786999999999999</v>
      </c>
      <c r="C47" s="8">
        <f t="shared" si="0"/>
        <v>-5.3584186711123731E-4</v>
      </c>
      <c r="D47" s="7">
        <f>(Table5345679103[[#This Row],[Value]]-B35)/B35</f>
        <v>9.9873653811443589E-3</v>
      </c>
    </row>
    <row r="48" spans="1:4" x14ac:dyDescent="0.2">
      <c r="A48" s="57">
        <v>22859</v>
      </c>
      <c r="B48" s="58">
        <f>VLOOKUP(Table5345679103[[#This Row],[Date]],Database!A:E,MATCH($A$1,Database!$A$1:$E$1,),)</f>
        <v>16.811</v>
      </c>
      <c r="C48" s="8">
        <f t="shared" si="0"/>
        <v>1.4296777268124686E-3</v>
      </c>
      <c r="D48" s="7">
        <f>(Table5345679103[[#This Row],[Value]]-B36)/B36</f>
        <v>1.0580102194168823E-2</v>
      </c>
    </row>
    <row r="49" spans="1:4" x14ac:dyDescent="0.2">
      <c r="A49" s="57">
        <v>22890</v>
      </c>
      <c r="B49" s="58">
        <f>VLOOKUP(Table5345679103[[#This Row],[Date]],Database!A:E,MATCH($A$1,Database!$A$1:$E$1,),)</f>
        <v>16.893999999999998</v>
      </c>
      <c r="C49" s="8">
        <f t="shared" si="0"/>
        <v>4.9372434715363994E-3</v>
      </c>
      <c r="D49" s="7">
        <f>(Table5345679103[[#This Row],[Value]]-B37)/B37</f>
        <v>1.4410952323765968E-2</v>
      </c>
    </row>
    <row r="50" spans="1:4" x14ac:dyDescent="0.2">
      <c r="A50" s="57">
        <v>22920</v>
      </c>
      <c r="B50" s="58">
        <f>VLOOKUP(Table5345679103[[#This Row],[Date]],Database!A:E,MATCH($A$1,Database!$A$1:$E$1,),)</f>
        <v>16.876000000000001</v>
      </c>
      <c r="C50" s="8">
        <f t="shared" si="0"/>
        <v>-1.0654670297145217E-3</v>
      </c>
      <c r="D50" s="7">
        <f>(Table5345679103[[#This Row],[Value]]-B38)/B38</f>
        <v>1.3451837617103063E-2</v>
      </c>
    </row>
    <row r="51" spans="1:4" x14ac:dyDescent="0.2">
      <c r="A51" s="57">
        <v>22951</v>
      </c>
      <c r="B51" s="58">
        <f>VLOOKUP(Table5345679103[[#This Row],[Date]],Database!A:E,MATCH($A$1,Database!$A$1:$E$1,),)</f>
        <v>16.888999999999999</v>
      </c>
      <c r="C51" s="8">
        <f t="shared" si="0"/>
        <v>7.7032472149787411E-4</v>
      </c>
      <c r="D51" s="7">
        <f>(Table5345679103[[#This Row],[Value]]-B39)/B39</f>
        <v>1.4171620728997818E-2</v>
      </c>
    </row>
    <row r="52" spans="1:4" x14ac:dyDescent="0.2">
      <c r="A52" s="57">
        <v>22981</v>
      </c>
      <c r="B52" s="58">
        <f>VLOOKUP(Table5345679103[[#This Row],[Date]],Database!A:E,MATCH($A$1,Database!$A$1:$E$1,),)</f>
        <v>16.882000000000001</v>
      </c>
      <c r="C52" s="8">
        <f t="shared" si="0"/>
        <v>-4.1447095742778712E-4</v>
      </c>
      <c r="D52" s="7">
        <f>(Table5345679103[[#This Row],[Value]]-B40)/B40</f>
        <v>1.3446992436066766E-2</v>
      </c>
    </row>
    <row r="53" spans="1:4" x14ac:dyDescent="0.2">
      <c r="A53" s="57">
        <v>23012</v>
      </c>
      <c r="B53" s="58">
        <f>VLOOKUP(Table5345679103[[#This Row],[Date]],Database!A:E,MATCH($A$1,Database!$A$1:$E$1,),)</f>
        <v>16.922999999999998</v>
      </c>
      <c r="C53" s="8">
        <f t="shared" si="0"/>
        <v>2.4286222011608112E-3</v>
      </c>
      <c r="D53" s="7">
        <f>(Table5345679103[[#This Row],[Value]]-B41)/B41</f>
        <v>1.40212115764874E-2</v>
      </c>
    </row>
    <row r="54" spans="1:4" x14ac:dyDescent="0.2">
      <c r="A54" s="57">
        <v>23043</v>
      </c>
      <c r="B54" s="58">
        <f>VLOOKUP(Table5345679103[[#This Row],[Date]],Database!A:E,MATCH($A$1,Database!$A$1:$E$1,),)</f>
        <v>16.940999999999999</v>
      </c>
      <c r="C54" s="8">
        <f t="shared" si="0"/>
        <v>1.063641198369124E-3</v>
      </c>
      <c r="D54" s="7">
        <f>(Table5345679103[[#This Row],[Value]]-B42)/B42</f>
        <v>1.2370025098601479E-2</v>
      </c>
    </row>
    <row r="55" spans="1:4" x14ac:dyDescent="0.2">
      <c r="A55" s="57">
        <v>23071</v>
      </c>
      <c r="B55" s="58">
        <f>VLOOKUP(Table5345679103[[#This Row],[Date]],Database!A:E,MATCH($A$1,Database!$A$1:$E$1,),)</f>
        <v>16.928000000000001</v>
      </c>
      <c r="C55" s="8">
        <f t="shared" si="0"/>
        <v>-7.6736910453917273E-4</v>
      </c>
      <c r="D55" s="7">
        <f>(Table5345679103[[#This Row],[Value]]-B43)/B43</f>
        <v>1.0264979708761076E-2</v>
      </c>
    </row>
    <row r="56" spans="1:4" x14ac:dyDescent="0.2">
      <c r="A56" s="57">
        <v>23102</v>
      </c>
      <c r="B56" s="58">
        <f>VLOOKUP(Table5345679103[[#This Row],[Date]],Database!A:E,MATCH($A$1,Database!$A$1:$E$1,),)</f>
        <v>16.927</v>
      </c>
      <c r="C56" s="8">
        <f t="shared" si="0"/>
        <v>-5.9073724007633633E-5</v>
      </c>
      <c r="D56" s="7">
        <f>(Table5345679103[[#This Row],[Value]]-B44)/B44</f>
        <v>9.0611028315946973E-3</v>
      </c>
    </row>
    <row r="57" spans="1:4" x14ac:dyDescent="0.2">
      <c r="A57" s="57">
        <v>23132</v>
      </c>
      <c r="B57" s="58">
        <f>VLOOKUP(Table5345679103[[#This Row],[Date]],Database!A:E,MATCH($A$1,Database!$A$1:$E$1,),)</f>
        <v>16.954000000000001</v>
      </c>
      <c r="C57" s="8">
        <f t="shared" si="0"/>
        <v>1.5950847758020336E-3</v>
      </c>
      <c r="D57" s="7">
        <f>(Table5345679103[[#This Row],[Value]]-B45)/B45</f>
        <v>1.0008340283569596E-2</v>
      </c>
    </row>
    <row r="58" spans="1:4" x14ac:dyDescent="0.2">
      <c r="A58" s="57">
        <v>23163</v>
      </c>
      <c r="B58" s="58">
        <f>VLOOKUP(Table5345679103[[#This Row],[Date]],Database!A:E,MATCH($A$1,Database!$A$1:$E$1,),)</f>
        <v>16.991</v>
      </c>
      <c r="C58" s="8">
        <f t="shared" si="0"/>
        <v>2.1823758405095572E-3</v>
      </c>
      <c r="D58" s="7">
        <f>(Table5345679103[[#This Row],[Value]]-B46)/B46</f>
        <v>1.1609907120743052E-2</v>
      </c>
    </row>
    <row r="59" spans="1:4" x14ac:dyDescent="0.2">
      <c r="A59" s="57">
        <v>23193</v>
      </c>
      <c r="B59" s="58">
        <f>VLOOKUP(Table5345679103[[#This Row],[Date]],Database!A:E,MATCH($A$1,Database!$A$1:$E$1,),)</f>
        <v>17.024999999999999</v>
      </c>
      <c r="C59" s="8">
        <f t="shared" si="0"/>
        <v>2.0010593843799024E-3</v>
      </c>
      <c r="D59" s="7">
        <f>(Table5345679103[[#This Row],[Value]]-B47)/B47</f>
        <v>1.4177637457556416E-2</v>
      </c>
    </row>
    <row r="60" spans="1:4" x14ac:dyDescent="0.2">
      <c r="A60" s="57">
        <v>23224</v>
      </c>
      <c r="B60" s="58">
        <f>VLOOKUP(Table5345679103[[#This Row],[Date]],Database!A:E,MATCH($A$1,Database!$A$1:$E$1,),)</f>
        <v>17.047999999999998</v>
      </c>
      <c r="C60" s="8">
        <f t="shared" si="0"/>
        <v>1.3509544787077643E-3</v>
      </c>
      <c r="D60" s="7">
        <f>(Table5345679103[[#This Row],[Value]]-B48)/B48</f>
        <v>1.409791208137519E-2</v>
      </c>
    </row>
    <row r="61" spans="1:4" x14ac:dyDescent="0.2">
      <c r="A61" s="57">
        <v>23255</v>
      </c>
      <c r="B61" s="58">
        <f>VLOOKUP(Table5345679103[[#This Row],[Date]],Database!A:E,MATCH($A$1,Database!$A$1:$E$1,),)</f>
        <v>17.044</v>
      </c>
      <c r="C61" s="8">
        <f t="shared" si="0"/>
        <v>-2.346316283433707E-4</v>
      </c>
      <c r="D61" s="7">
        <f>(Table5345679103[[#This Row],[Value]]-B49)/B49</f>
        <v>8.8788919142892241E-3</v>
      </c>
    </row>
    <row r="62" spans="1:4" x14ac:dyDescent="0.2">
      <c r="A62" s="57">
        <v>23285</v>
      </c>
      <c r="B62" s="58">
        <f>VLOOKUP(Table5345679103[[#This Row],[Date]],Database!A:E,MATCH($A$1,Database!$A$1:$E$1,),)</f>
        <v>17.077999999999999</v>
      </c>
      <c r="C62" s="8">
        <f t="shared" si="0"/>
        <v>1.9948368927481179E-3</v>
      </c>
      <c r="D62" s="7">
        <f>(Table5345679103[[#This Row],[Value]]-B50)/B50</f>
        <v>1.1969661057122433E-2</v>
      </c>
    </row>
    <row r="63" spans="1:4" x14ac:dyDescent="0.2">
      <c r="A63" s="57">
        <v>23316</v>
      </c>
      <c r="B63" s="58">
        <f>VLOOKUP(Table5345679103[[#This Row],[Date]],Database!A:E,MATCH($A$1,Database!$A$1:$E$1,),)</f>
        <v>17.102</v>
      </c>
      <c r="C63" s="8">
        <f t="shared" si="0"/>
        <v>1.4053167818246228E-3</v>
      </c>
      <c r="D63" s="7">
        <f>(Table5345679103[[#This Row],[Value]]-B51)/B51</f>
        <v>1.2611759133163656E-2</v>
      </c>
    </row>
    <row r="64" spans="1:4" x14ac:dyDescent="0.2">
      <c r="A64" s="57">
        <v>23346</v>
      </c>
      <c r="B64" s="58">
        <f>VLOOKUP(Table5345679103[[#This Row],[Date]],Database!A:E,MATCH($A$1,Database!$A$1:$E$1,),)</f>
        <v>17.126999999999999</v>
      </c>
      <c r="C64" s="8">
        <f t="shared" si="0"/>
        <v>1.4618173313061969E-3</v>
      </c>
      <c r="D64" s="7">
        <f>(Table5345679103[[#This Row],[Value]]-B52)/B52</f>
        <v>1.4512498519132652E-2</v>
      </c>
    </row>
    <row r="65" spans="1:4" x14ac:dyDescent="0.2">
      <c r="A65" s="57">
        <v>23377</v>
      </c>
      <c r="B65" s="58">
        <f>VLOOKUP(Table5345679103[[#This Row],[Date]],Database!A:E,MATCH($A$1,Database!$A$1:$E$1,),)</f>
        <v>17.163</v>
      </c>
      <c r="C65" s="8">
        <f t="shared" si="0"/>
        <v>2.1019442984761701E-3</v>
      </c>
      <c r="D65" s="7">
        <f>(Table5345679103[[#This Row],[Value]]-B53)/B53</f>
        <v>1.4181882644921233E-2</v>
      </c>
    </row>
    <row r="66" spans="1:4" x14ac:dyDescent="0.2">
      <c r="A66" s="57">
        <v>23408</v>
      </c>
      <c r="B66" s="58">
        <f>VLOOKUP(Table5345679103[[#This Row],[Date]],Database!A:E,MATCH($A$1,Database!$A$1:$E$1,),)</f>
        <v>17.187999999999999</v>
      </c>
      <c r="C66" s="8">
        <f t="shared" si="0"/>
        <v>1.4566218027150602E-3</v>
      </c>
      <c r="D66" s="7">
        <f>(Table5345679103[[#This Row],[Value]]-B54)/B54</f>
        <v>1.458001298624638E-2</v>
      </c>
    </row>
    <row r="67" spans="1:4" x14ac:dyDescent="0.2">
      <c r="A67" s="57">
        <v>23437</v>
      </c>
      <c r="B67" s="58">
        <f>VLOOKUP(Table5345679103[[#This Row],[Date]],Database!A:E,MATCH($A$1,Database!$A$1:$E$1,),)</f>
        <v>17.198</v>
      </c>
      <c r="C67" s="8">
        <f t="shared" si="0"/>
        <v>5.8180125669080539E-4</v>
      </c>
      <c r="D67" s="7">
        <f>(Table5345679103[[#This Row],[Value]]-B55)/B55</f>
        <v>1.5949905482041563E-2</v>
      </c>
    </row>
    <row r="68" spans="1:4" x14ac:dyDescent="0.2">
      <c r="A68" s="57">
        <v>23468</v>
      </c>
      <c r="B68" s="58">
        <f>VLOOKUP(Table5345679103[[#This Row],[Date]],Database!A:E,MATCH($A$1,Database!$A$1:$E$1,),)</f>
        <v>17.210999999999999</v>
      </c>
      <c r="C68" s="8">
        <f t="shared" si="0"/>
        <v>7.559018490521063E-4</v>
      </c>
      <c r="D68" s="7">
        <f>(Table5345679103[[#This Row],[Value]]-B56)/B56</f>
        <v>1.677792875287995E-2</v>
      </c>
    </row>
    <row r="69" spans="1:4" x14ac:dyDescent="0.2">
      <c r="A69" s="57">
        <v>23498</v>
      </c>
      <c r="B69" s="58">
        <f>VLOOKUP(Table5345679103[[#This Row],[Date]],Database!A:E,MATCH($A$1,Database!$A$1:$E$1,),)</f>
        <v>17.213000000000001</v>
      </c>
      <c r="C69" s="8">
        <f t="shared" si="0"/>
        <v>1.162047527745305E-4</v>
      </c>
      <c r="D69" s="7">
        <f>(Table5345679103[[#This Row],[Value]]-B57)/B57</f>
        <v>1.5276630883567319E-2</v>
      </c>
    </row>
    <row r="70" spans="1:4" x14ac:dyDescent="0.2">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2">
      <c r="A71" s="57">
        <v>23559</v>
      </c>
      <c r="B71" s="58">
        <f>VLOOKUP(Table5345679103[[#This Row],[Date]],Database!A:E,MATCH($A$1,Database!$A$1:$E$1,),)</f>
        <v>17.259</v>
      </c>
      <c r="C71" s="8">
        <f t="shared" si="1"/>
        <v>1.2763241863434484E-3</v>
      </c>
      <c r="D71" s="7">
        <f>(Table5345679103[[#This Row],[Value]]-B59)/B59</f>
        <v>1.374449339207059E-2</v>
      </c>
    </row>
    <row r="72" spans="1:4" x14ac:dyDescent="0.2">
      <c r="A72" s="57">
        <v>23590</v>
      </c>
      <c r="B72" s="58">
        <f>VLOOKUP(Table5345679103[[#This Row],[Date]],Database!A:E,MATCH($A$1,Database!$A$1:$E$1,),)</f>
        <v>17.273</v>
      </c>
      <c r="C72" s="8">
        <f t="shared" si="1"/>
        <v>8.111709832550754E-4</v>
      </c>
      <c r="D72" s="7">
        <f>(Table5345679103[[#This Row],[Value]]-B60)/B60</f>
        <v>1.3198029094322E-2</v>
      </c>
    </row>
    <row r="73" spans="1:4" x14ac:dyDescent="0.2">
      <c r="A73" s="57">
        <v>23621</v>
      </c>
      <c r="B73" s="58">
        <f>VLOOKUP(Table5345679103[[#This Row],[Date]],Database!A:E,MATCH($A$1,Database!$A$1:$E$1,),)</f>
        <v>17.298999999999999</v>
      </c>
      <c r="C73" s="8">
        <f t="shared" si="1"/>
        <v>1.5052393909569734E-3</v>
      </c>
      <c r="D73" s="7">
        <f>(Table5345679103[[#This Row],[Value]]-B61)/B61</f>
        <v>1.49612766956113E-2</v>
      </c>
    </row>
    <row r="74" spans="1:4" x14ac:dyDescent="0.2">
      <c r="A74" s="57">
        <v>23651</v>
      </c>
      <c r="B74" s="58">
        <f>VLOOKUP(Table5345679103[[#This Row],[Date]],Database!A:E,MATCH($A$1,Database!$A$1:$E$1,),)</f>
        <v>17.309999999999999</v>
      </c>
      <c r="C74" s="8">
        <f t="shared" si="1"/>
        <v>6.3587490606388996E-4</v>
      </c>
      <c r="D74" s="7">
        <f>(Table5345679103[[#This Row],[Value]]-B62)/B62</f>
        <v>1.35847288909708E-2</v>
      </c>
    </row>
    <row r="75" spans="1:4" x14ac:dyDescent="0.2">
      <c r="A75" s="57">
        <v>23682</v>
      </c>
      <c r="B75" s="58">
        <f>VLOOKUP(Table5345679103[[#This Row],[Date]],Database!A:E,MATCH($A$1,Database!$A$1:$E$1,),)</f>
        <v>17.334</v>
      </c>
      <c r="C75" s="8">
        <f t="shared" si="1"/>
        <v>1.3864818024263959E-3</v>
      </c>
      <c r="D75" s="7">
        <f>(Table5345679103[[#This Row],[Value]]-B63)/B63</f>
        <v>1.3565664834522238E-2</v>
      </c>
    </row>
    <row r="76" spans="1:4" x14ac:dyDescent="0.2">
      <c r="A76" s="57">
        <v>23712</v>
      </c>
      <c r="B76" s="58">
        <f>VLOOKUP(Table5345679103[[#This Row],[Date]],Database!A:E,MATCH($A$1,Database!$A$1:$E$1,),)</f>
        <v>17.359000000000002</v>
      </c>
      <c r="C76" s="8">
        <f t="shared" si="1"/>
        <v>1.4422522210685434E-3</v>
      </c>
      <c r="D76" s="7">
        <f>(Table5345679103[[#This Row],[Value]]-B64)/B64</f>
        <v>1.3545863256846084E-2</v>
      </c>
    </row>
    <row r="77" spans="1:4" x14ac:dyDescent="0.2">
      <c r="A77" s="57">
        <v>23743</v>
      </c>
      <c r="B77" s="58">
        <f>VLOOKUP(Table5345679103[[#This Row],[Date]],Database!A:E,MATCH($A$1,Database!$A$1:$E$1,),)</f>
        <v>17.378</v>
      </c>
      <c r="C77" s="8">
        <f t="shared" si="1"/>
        <v>1.0945330952242842E-3</v>
      </c>
      <c r="D77" s="7">
        <f>(Table5345679103[[#This Row],[Value]]-B65)/B65</f>
        <v>1.2526947503350221E-2</v>
      </c>
    </row>
    <row r="78" spans="1:4" x14ac:dyDescent="0.2">
      <c r="A78" s="57">
        <v>23774</v>
      </c>
      <c r="B78" s="58">
        <f>VLOOKUP(Table5345679103[[#This Row],[Date]],Database!A:E,MATCH($A$1,Database!$A$1:$E$1,),)</f>
        <v>17.385000000000002</v>
      </c>
      <c r="C78" s="8">
        <f t="shared" si="1"/>
        <v>4.0280814823348196E-4</v>
      </c>
      <c r="D78" s="7">
        <f>(Table5345679103[[#This Row],[Value]]-B66)/B66</f>
        <v>1.1461484756807234E-2</v>
      </c>
    </row>
    <row r="79" spans="1:4" x14ac:dyDescent="0.2">
      <c r="A79" s="57">
        <v>23802</v>
      </c>
      <c r="B79" s="58">
        <f>VLOOKUP(Table5345679103[[#This Row],[Date]],Database!A:E,MATCH($A$1,Database!$A$1:$E$1,),)</f>
        <v>17.408000000000001</v>
      </c>
      <c r="C79" s="8">
        <f t="shared" si="1"/>
        <v>1.3229795800977673E-3</v>
      </c>
      <c r="D79" s="7">
        <f>(Table5345679103[[#This Row],[Value]]-B67)/B67</f>
        <v>1.2210722176997375E-2</v>
      </c>
    </row>
    <row r="80" spans="1:4" x14ac:dyDescent="0.2">
      <c r="A80" s="57">
        <v>23833</v>
      </c>
      <c r="B80" s="58">
        <f>VLOOKUP(Table5345679103[[#This Row],[Date]],Database!A:E,MATCH($A$1,Database!$A$1:$E$1,),)</f>
        <v>17.434999999999999</v>
      </c>
      <c r="C80" s="8">
        <f t="shared" si="1"/>
        <v>1.5510110294116193E-3</v>
      </c>
      <c r="D80" s="7">
        <f>(Table5345679103[[#This Row],[Value]]-B68)/B68</f>
        <v>1.3014932310731522E-2</v>
      </c>
    </row>
    <row r="81" spans="1:4" x14ac:dyDescent="0.2">
      <c r="A81" s="57">
        <v>23863</v>
      </c>
      <c r="B81" s="58">
        <f>VLOOKUP(Table5345679103[[#This Row],[Date]],Database!A:E,MATCH($A$1,Database!$A$1:$E$1,),)</f>
        <v>17.474</v>
      </c>
      <c r="C81" s="8">
        <f t="shared" si="1"/>
        <v>2.2368798394035837E-3</v>
      </c>
      <c r="D81" s="7">
        <f>(Table5345679103[[#This Row],[Value]]-B69)/B69</f>
        <v>1.5162958229245292E-2</v>
      </c>
    </row>
    <row r="82" spans="1:4" x14ac:dyDescent="0.2">
      <c r="A82" s="57">
        <v>23894</v>
      </c>
      <c r="B82" s="58">
        <f>VLOOKUP(Table5345679103[[#This Row],[Date]],Database!A:E,MATCH($A$1,Database!$A$1:$E$1,),)</f>
        <v>17.524999999999999</v>
      </c>
      <c r="C82" s="8">
        <f t="shared" si="1"/>
        <v>2.9186219526152212E-3</v>
      </c>
      <c r="D82" s="7">
        <f>(Table5345679103[[#This Row],[Value]]-B70)/B70</f>
        <v>1.6708243893949079E-2</v>
      </c>
    </row>
    <row r="83" spans="1:4" x14ac:dyDescent="0.2">
      <c r="A83" s="57">
        <v>23924</v>
      </c>
      <c r="B83" s="58">
        <f>VLOOKUP(Table5345679103[[#This Row],[Date]],Database!A:E,MATCH($A$1,Database!$A$1:$E$1,),)</f>
        <v>17.538</v>
      </c>
      <c r="C83" s="8">
        <f t="shared" si="1"/>
        <v>7.4179743223975342E-4</v>
      </c>
      <c r="D83" s="7">
        <f>(Table5345679103[[#This Row],[Value]]-B71)/B71</f>
        <v>1.6165478880584037E-2</v>
      </c>
    </row>
    <row r="84" spans="1:4" x14ac:dyDescent="0.2">
      <c r="A84" s="57">
        <v>23955</v>
      </c>
      <c r="B84" s="58">
        <f>VLOOKUP(Table5345679103[[#This Row],[Date]],Database!A:E,MATCH($A$1,Database!$A$1:$E$1,),)</f>
        <v>17.542000000000002</v>
      </c>
      <c r="C84" s="8">
        <f t="shared" si="1"/>
        <v>2.2807617744334221E-4</v>
      </c>
      <c r="D84" s="7">
        <f>(Table5345679103[[#This Row],[Value]]-B72)/B72</f>
        <v>1.5573438314131993E-2</v>
      </c>
    </row>
    <row r="85" spans="1:4" x14ac:dyDescent="0.2">
      <c r="A85" s="57">
        <v>23986</v>
      </c>
      <c r="B85" s="58">
        <f>VLOOKUP(Table5345679103[[#This Row],[Date]],Database!A:E,MATCH($A$1,Database!$A$1:$E$1,),)</f>
        <v>17.55</v>
      </c>
      <c r="C85" s="8">
        <f t="shared" si="1"/>
        <v>4.5604834112410891E-4</v>
      </c>
      <c r="D85" s="7">
        <f>(Table5345679103[[#This Row],[Value]]-B73)/B73</f>
        <v>1.450950922018621E-2</v>
      </c>
    </row>
    <row r="86" spans="1:4" x14ac:dyDescent="0.2">
      <c r="A86" s="57">
        <v>24016</v>
      </c>
      <c r="B86" s="58">
        <f>VLOOKUP(Table5345679103[[#This Row],[Date]],Database!A:E,MATCH($A$1,Database!$A$1:$E$1,),)</f>
        <v>17.556000000000001</v>
      </c>
      <c r="C86" s="8">
        <f t="shared" si="1"/>
        <v>3.4188034188035484E-4</v>
      </c>
      <c r="D86" s="7">
        <f>(Table5345679103[[#This Row],[Value]]-B74)/B74</f>
        <v>1.4211438474870147E-2</v>
      </c>
    </row>
    <row r="87" spans="1:4" x14ac:dyDescent="0.2">
      <c r="A87" s="57">
        <v>24047</v>
      </c>
      <c r="B87" s="58">
        <f>VLOOKUP(Table5345679103[[#This Row],[Date]],Database!A:E,MATCH($A$1,Database!$A$1:$E$1,),)</f>
        <v>17.585000000000001</v>
      </c>
      <c r="C87" s="8">
        <f t="shared" si="1"/>
        <v>1.6518569150148048E-3</v>
      </c>
      <c r="D87" s="7">
        <f>(Table5345679103[[#This Row],[Value]]-B75)/B75</f>
        <v>1.4480212299527012E-2</v>
      </c>
    </row>
    <row r="88" spans="1:4" x14ac:dyDescent="0.2">
      <c r="A88" s="57">
        <v>24077</v>
      </c>
      <c r="B88" s="58">
        <f>VLOOKUP(Table5345679103[[#This Row],[Date]],Database!A:E,MATCH($A$1,Database!$A$1:$E$1,),)</f>
        <v>17.649000000000001</v>
      </c>
      <c r="C88" s="8">
        <f t="shared" si="1"/>
        <v>3.6394654535115184E-3</v>
      </c>
      <c r="D88" s="7">
        <f>(Table5345679103[[#This Row],[Value]]-B76)/B76</f>
        <v>1.6706031453424686E-2</v>
      </c>
    </row>
    <row r="89" spans="1:4" x14ac:dyDescent="0.2">
      <c r="A89" s="57">
        <v>24108</v>
      </c>
      <c r="B89" s="58">
        <f>VLOOKUP(Table5345679103[[#This Row],[Date]],Database!A:E,MATCH($A$1,Database!$A$1:$E$1,),)</f>
        <v>17.670000000000002</v>
      </c>
      <c r="C89" s="8">
        <f t="shared" si="1"/>
        <v>1.1898691143974614E-3</v>
      </c>
      <c r="D89" s="7">
        <f>(Table5345679103[[#This Row],[Value]]-B77)/B77</f>
        <v>1.6802854183450431E-2</v>
      </c>
    </row>
    <row r="90" spans="1:4" x14ac:dyDescent="0.2">
      <c r="A90" s="57">
        <v>24139</v>
      </c>
      <c r="B90" s="58">
        <f>VLOOKUP(Table5345679103[[#This Row],[Date]],Database!A:E,MATCH($A$1,Database!$A$1:$E$1,),)</f>
        <v>17.742999999999999</v>
      </c>
      <c r="C90" s="8">
        <f t="shared" si="1"/>
        <v>4.1312959818900303E-3</v>
      </c>
      <c r="D90" s="7">
        <f>(Table5345679103[[#This Row],[Value]]-B78)/B78</f>
        <v>2.0592464768478397E-2</v>
      </c>
    </row>
    <row r="91" spans="1:4" x14ac:dyDescent="0.2">
      <c r="A91" s="57">
        <v>24167</v>
      </c>
      <c r="B91" s="58">
        <f>VLOOKUP(Table5345679103[[#This Row],[Date]],Database!A:E,MATCH($A$1,Database!$A$1:$E$1,),)</f>
        <v>17.786000000000001</v>
      </c>
      <c r="C91" s="8">
        <f t="shared" si="1"/>
        <v>2.4234909541792716E-3</v>
      </c>
      <c r="D91" s="7">
        <f>(Table5345679103[[#This Row],[Value]]-B79)/B79</f>
        <v>2.1714154411764712E-2</v>
      </c>
    </row>
    <row r="92" spans="1:4" x14ac:dyDescent="0.2">
      <c r="A92" s="57">
        <v>24198</v>
      </c>
      <c r="B92" s="58">
        <f>VLOOKUP(Table5345679103[[#This Row],[Date]],Database!A:E,MATCH($A$1,Database!$A$1:$E$1,),)</f>
        <v>17.847999999999999</v>
      </c>
      <c r="C92" s="8">
        <f t="shared" si="1"/>
        <v>3.485887776903048E-3</v>
      </c>
      <c r="D92" s="7">
        <f>(Table5345679103[[#This Row],[Value]]-B80)/B80</f>
        <v>2.3687983940349887E-2</v>
      </c>
    </row>
    <row r="93" spans="1:4" x14ac:dyDescent="0.2">
      <c r="A93" s="57">
        <v>24228</v>
      </c>
      <c r="B93" s="58">
        <f>VLOOKUP(Table5345679103[[#This Row],[Date]],Database!A:E,MATCH($A$1,Database!$A$1:$E$1,),)</f>
        <v>17.87</v>
      </c>
      <c r="C93" s="8">
        <f t="shared" si="1"/>
        <v>1.2326311071269621E-3</v>
      </c>
      <c r="D93" s="7">
        <f>(Table5345679103[[#This Row],[Value]]-B81)/B81</f>
        <v>2.2662241043836604E-2</v>
      </c>
    </row>
    <row r="94" spans="1:4" x14ac:dyDescent="0.2">
      <c r="A94" s="57">
        <v>24259</v>
      </c>
      <c r="B94" s="58">
        <f>VLOOKUP(Table5345679103[[#This Row],[Date]],Database!A:E,MATCH($A$1,Database!$A$1:$E$1,),)</f>
        <v>17.914999999999999</v>
      </c>
      <c r="C94" s="8">
        <f t="shared" si="1"/>
        <v>2.5181869054279882E-3</v>
      </c>
      <c r="D94" s="7">
        <f>(Table5345679103[[#This Row],[Value]]-B82)/B82</f>
        <v>2.2253922967189765E-2</v>
      </c>
    </row>
    <row r="95" spans="1:4" x14ac:dyDescent="0.2">
      <c r="A95" s="57">
        <v>24289</v>
      </c>
      <c r="B95" s="58">
        <f>VLOOKUP(Table5345679103[[#This Row],[Date]],Database!A:E,MATCH($A$1,Database!$A$1:$E$1,),)</f>
        <v>17.949000000000002</v>
      </c>
      <c r="C95" s="8">
        <f t="shared" si="1"/>
        <v>1.897850962880406E-3</v>
      </c>
      <c r="D95" s="7">
        <f>(Table5345679103[[#This Row],[Value]]-B83)/B83</f>
        <v>2.3434827232295664E-2</v>
      </c>
    </row>
    <row r="96" spans="1:4" x14ac:dyDescent="0.2">
      <c r="A96" s="57">
        <v>24320</v>
      </c>
      <c r="B96" s="58">
        <f>VLOOKUP(Table5345679103[[#This Row],[Date]],Database!A:E,MATCH($A$1,Database!$A$1:$E$1,),)</f>
        <v>18.018000000000001</v>
      </c>
      <c r="C96" s="8">
        <f t="shared" si="1"/>
        <v>3.8442253050308683E-3</v>
      </c>
      <c r="D96" s="7">
        <f>(Table5345679103[[#This Row],[Value]]-B84)/B84</f>
        <v>2.7134876296887416E-2</v>
      </c>
    </row>
    <row r="97" spans="1:4" x14ac:dyDescent="0.2">
      <c r="A97" s="57">
        <v>24351</v>
      </c>
      <c r="B97" s="58">
        <f>VLOOKUP(Table5345679103[[#This Row],[Date]],Database!A:E,MATCH($A$1,Database!$A$1:$E$1,),)</f>
        <v>18.074999999999999</v>
      </c>
      <c r="C97" s="8">
        <f t="shared" si="1"/>
        <v>3.1635031635030863E-3</v>
      </c>
      <c r="D97" s="7">
        <f>(Table5345679103[[#This Row],[Value]]-B85)/B85</f>
        <v>2.9914529914529833E-2</v>
      </c>
    </row>
    <row r="98" spans="1:4" x14ac:dyDescent="0.2">
      <c r="A98" s="57">
        <v>24381</v>
      </c>
      <c r="B98" s="58">
        <f>VLOOKUP(Table5345679103[[#This Row],[Date]],Database!A:E,MATCH($A$1,Database!$A$1:$E$1,),)</f>
        <v>18.123000000000001</v>
      </c>
      <c r="C98" s="8">
        <f t="shared" si="1"/>
        <v>2.6556016597511379E-3</v>
      </c>
      <c r="D98" s="7">
        <f>(Table5345679103[[#This Row],[Value]]-B86)/B86</f>
        <v>3.2296650717703358E-2</v>
      </c>
    </row>
    <row r="99" spans="1:4" x14ac:dyDescent="0.2">
      <c r="A99" s="57">
        <v>24412</v>
      </c>
      <c r="B99" s="58">
        <f>VLOOKUP(Table5345679103[[#This Row],[Date]],Database!A:E,MATCH($A$1,Database!$A$1:$E$1,),)</f>
        <v>18.149999999999999</v>
      </c>
      <c r="C99" s="8">
        <f t="shared" si="1"/>
        <v>1.4898195662968311E-3</v>
      </c>
      <c r="D99" s="7">
        <f>(Table5345679103[[#This Row],[Value]]-B87)/B87</f>
        <v>3.2129655956781217E-2</v>
      </c>
    </row>
    <row r="100" spans="1:4" x14ac:dyDescent="0.2">
      <c r="A100" s="57">
        <v>24442</v>
      </c>
      <c r="B100" s="58">
        <f>VLOOKUP(Table5345679103[[#This Row],[Date]],Database!A:E,MATCH($A$1,Database!$A$1:$E$1,),)</f>
        <v>18.187000000000001</v>
      </c>
      <c r="C100" s="8">
        <f t="shared" si="1"/>
        <v>2.0385674931130905E-3</v>
      </c>
      <c r="D100" s="7">
        <f>(Table5345679103[[#This Row],[Value]]-B88)/B88</f>
        <v>3.048331350218144E-2</v>
      </c>
    </row>
    <row r="101" spans="1:4" x14ac:dyDescent="0.2">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2">
      <c r="A102" s="57">
        <v>24504</v>
      </c>
      <c r="B102" s="58">
        <f>VLOOKUP(Table5345679103[[#This Row],[Date]],Database!A:E,MATCH($A$1,Database!$A$1:$E$1,),)</f>
        <v>18.209</v>
      </c>
      <c r="C102" s="8">
        <f t="shared" si="1"/>
        <v>1.1546074334726631E-3</v>
      </c>
      <c r="D102" s="7">
        <f>(Table5345679103[[#This Row],[Value]]-B90)/B90</f>
        <v>2.6263878712731843E-2</v>
      </c>
    </row>
    <row r="103" spans="1:4" x14ac:dyDescent="0.2">
      <c r="A103" s="57">
        <v>24532</v>
      </c>
      <c r="B103" s="58">
        <f>VLOOKUP(Table5345679103[[#This Row],[Date]],Database!A:E,MATCH($A$1,Database!$A$1:$E$1,),)</f>
        <v>18.22</v>
      </c>
      <c r="C103" s="8">
        <f t="shared" si="1"/>
        <v>6.0409687517157631E-4</v>
      </c>
      <c r="D103" s="7">
        <f>(Table5345679103[[#This Row],[Value]]-B91)/B91</f>
        <v>2.4401214438322133E-2</v>
      </c>
    </row>
    <row r="104" spans="1:4" x14ac:dyDescent="0.2">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2">
      <c r="A105" s="57">
        <v>24593</v>
      </c>
      <c r="B105" s="58">
        <f>VLOOKUP(Table5345679103[[#This Row],[Date]],Database!A:E,MATCH($A$1,Database!$A$1:$E$1,),)</f>
        <v>18.285</v>
      </c>
      <c r="C105" s="8">
        <f t="shared" si="1"/>
        <v>1.972710833470402E-3</v>
      </c>
      <c r="D105" s="7">
        <f>(Table5345679103[[#This Row],[Value]]-B93)/B93</f>
        <v>2.322327923894791E-2</v>
      </c>
    </row>
    <row r="106" spans="1:4" x14ac:dyDescent="0.2">
      <c r="A106" s="57">
        <v>24624</v>
      </c>
      <c r="B106" s="58">
        <f>VLOOKUP(Table5345679103[[#This Row],[Date]],Database!A:E,MATCH($A$1,Database!$A$1:$E$1,),)</f>
        <v>18.343</v>
      </c>
      <c r="C106" s="8">
        <f t="shared" si="1"/>
        <v>3.1719989062072643E-3</v>
      </c>
      <c r="D106" s="7">
        <f>(Table5345679103[[#This Row],[Value]]-B94)/B94</f>
        <v>2.3890594473904597E-2</v>
      </c>
    </row>
    <row r="107" spans="1:4" x14ac:dyDescent="0.2">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2">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2">
      <c r="A109" s="57">
        <v>24716</v>
      </c>
      <c r="B109" s="58">
        <f>VLOOKUP(Table5345679103[[#This Row],[Date]],Database!A:E,MATCH($A$1,Database!$A$1:$E$1,),)</f>
        <v>18.518999999999998</v>
      </c>
      <c r="C109" s="8">
        <f t="shared" si="1"/>
        <v>3.033093213453793E-3</v>
      </c>
      <c r="D109" s="7">
        <f>(Table5345679103[[#This Row],[Value]]-B97)/B97</f>
        <v>2.4564315352697045E-2</v>
      </c>
    </row>
    <row r="110" spans="1:4" x14ac:dyDescent="0.2">
      <c r="A110" s="57">
        <v>24746</v>
      </c>
      <c r="B110" s="58">
        <f>VLOOKUP(Table5345679103[[#This Row],[Date]],Database!A:E,MATCH($A$1,Database!$A$1:$E$1,),)</f>
        <v>18.57</v>
      </c>
      <c r="C110" s="8">
        <f t="shared" si="1"/>
        <v>2.7539283978617601E-3</v>
      </c>
      <c r="D110" s="7">
        <f>(Table5345679103[[#This Row],[Value]]-B98)/B98</f>
        <v>2.4664790597583135E-2</v>
      </c>
    </row>
    <row r="111" spans="1:4" x14ac:dyDescent="0.2">
      <c r="A111" s="57">
        <v>24777</v>
      </c>
      <c r="B111" s="58">
        <f>VLOOKUP(Table5345679103[[#This Row],[Date]],Database!A:E,MATCH($A$1,Database!$A$1:$E$1,),)</f>
        <v>18.632000000000001</v>
      </c>
      <c r="C111" s="8">
        <f t="shared" si="1"/>
        <v>3.338718362951059E-3</v>
      </c>
      <c r="D111" s="7">
        <f>(Table5345679103[[#This Row],[Value]]-B99)/B99</f>
        <v>2.6556473829201264E-2</v>
      </c>
    </row>
    <row r="112" spans="1:4" x14ac:dyDescent="0.2">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2">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2">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2">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2">
      <c r="A116" s="57">
        <v>24929</v>
      </c>
      <c r="B116" s="58">
        <f>VLOOKUP(Table5345679103[[#This Row],[Date]],Database!A:E,MATCH($A$1,Database!$A$1:$E$1,),)</f>
        <v>18.945</v>
      </c>
      <c r="C116" s="8">
        <f t="shared" si="1"/>
        <v>3.1240072011014005E-3</v>
      </c>
      <c r="D116" s="7">
        <f>(Table5345679103[[#This Row],[Value]]-B104)/B104</f>
        <v>3.8139076113759746E-2</v>
      </c>
    </row>
    <row r="117" spans="1:4" x14ac:dyDescent="0.2">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2">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2">
      <c r="A119" s="57">
        <v>25020</v>
      </c>
      <c r="B119" s="58">
        <f>VLOOKUP(Table5345679103[[#This Row],[Date]],Database!A:E,MATCH($A$1,Database!$A$1:$E$1,),)</f>
        <v>19.134</v>
      </c>
      <c r="C119" s="8">
        <f t="shared" si="1"/>
        <v>3.0930537352556252E-3</v>
      </c>
      <c r="D119" s="7">
        <f>(Table5345679103[[#This Row],[Value]]-B107)/B107</f>
        <v>3.9608801955990175E-2</v>
      </c>
    </row>
    <row r="120" spans="1:4" x14ac:dyDescent="0.2">
      <c r="A120" s="57">
        <v>25051</v>
      </c>
      <c r="B120" s="58">
        <f>VLOOKUP(Table5345679103[[#This Row],[Date]],Database!A:E,MATCH($A$1,Database!$A$1:$E$1,),)</f>
        <v>19.212</v>
      </c>
      <c r="C120" s="8">
        <f t="shared" si="1"/>
        <v>4.0765130134838195E-3</v>
      </c>
      <c r="D120" s="7">
        <f>(Table5345679103[[#This Row],[Value]]-B108)/B108</f>
        <v>4.056762172994631E-2</v>
      </c>
    </row>
    <row r="121" spans="1:4" x14ac:dyDescent="0.2">
      <c r="A121" s="57">
        <v>25082</v>
      </c>
      <c r="B121" s="58">
        <f>VLOOKUP(Table5345679103[[#This Row],[Date]],Database!A:E,MATCH($A$1,Database!$A$1:$E$1,),)</f>
        <v>19.279</v>
      </c>
      <c r="C121" s="8">
        <f t="shared" si="1"/>
        <v>3.4874037060170816E-3</v>
      </c>
      <c r="D121" s="7">
        <f>(Table5345679103[[#This Row],[Value]]-B109)/B109</f>
        <v>4.1038932987742409E-2</v>
      </c>
    </row>
    <row r="122" spans="1:4" x14ac:dyDescent="0.2">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2">
      <c r="A123" s="57">
        <v>25143</v>
      </c>
      <c r="B123" s="58">
        <f>VLOOKUP(Table5345679103[[#This Row],[Date]],Database!A:E,MATCH($A$1,Database!$A$1:$E$1,),)</f>
        <v>19.43</v>
      </c>
      <c r="C123" s="8">
        <f t="shared" si="1"/>
        <v>3.4083866969633831E-3</v>
      </c>
      <c r="D123" s="7">
        <f>(Table5345679103[[#This Row],[Value]]-B111)/B111</f>
        <v>4.2829540575354132E-2</v>
      </c>
    </row>
    <row r="124" spans="1:4" x14ac:dyDescent="0.2">
      <c r="A124" s="57">
        <v>25173</v>
      </c>
      <c r="B124" s="58">
        <f>VLOOKUP(Table5345679103[[#This Row],[Date]],Database!A:E,MATCH($A$1,Database!$A$1:$E$1,),)</f>
        <v>19.47</v>
      </c>
      <c r="C124" s="8">
        <f t="shared" si="1"/>
        <v>2.0586721564590398E-3</v>
      </c>
      <c r="D124" s="7">
        <f>(Table5345679103[[#This Row],[Value]]-B112)/B112</f>
        <v>4.3352446278334358E-2</v>
      </c>
    </row>
    <row r="125" spans="1:4" x14ac:dyDescent="0.2">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2">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2">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2">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2">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2">
      <c r="A130" s="57">
        <v>25355</v>
      </c>
      <c r="B130" s="58">
        <f>VLOOKUP(Table5345679103[[#This Row],[Date]],Database!A:E,MATCH($A$1,Database!$A$1:$E$1,),)</f>
        <v>19.95</v>
      </c>
      <c r="C130" s="8">
        <f t="shared" si="1"/>
        <v>4.8352976730129992E-3</v>
      </c>
      <c r="D130" s="7">
        <f>(Table5345679103[[#This Row],[Value]]-B118)/B118</f>
        <v>4.5871559633027525E-2</v>
      </c>
    </row>
    <row r="131" spans="1:4" x14ac:dyDescent="0.2">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2">
      <c r="A132" s="57">
        <v>25416</v>
      </c>
      <c r="B132" s="58">
        <f>VLOOKUP(Table5345679103[[#This Row],[Date]],Database!A:E,MATCH($A$1,Database!$A$1:$E$1,),)</f>
        <v>20.093</v>
      </c>
      <c r="C132" s="8">
        <f t="shared" si="1"/>
        <v>2.7948295653042344E-3</v>
      </c>
      <c r="D132" s="7">
        <f>(Table5345679103[[#This Row],[Value]]-B120)/B120</f>
        <v>4.5856756194045403E-2</v>
      </c>
    </row>
    <row r="133" spans="1:4" x14ac:dyDescent="0.2">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2">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2">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2">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2">
      <c r="A138" s="57">
        <v>25600</v>
      </c>
      <c r="B138" s="58">
        <f>VLOOKUP(Table5345679103[[#This Row],[Date]],Database!A:E,MATCH($A$1,Database!$A$1:$E$1,),)</f>
        <v>20.58</v>
      </c>
      <c r="C138" s="8">
        <f t="shared" si="2"/>
        <v>3.9514122640128555E-3</v>
      </c>
      <c r="D138" s="7">
        <f>(Table5345679103[[#This Row],[Value]]-B126)/B126</f>
        <v>5.0267925491196706E-2</v>
      </c>
    </row>
    <row r="139" spans="1:4" x14ac:dyDescent="0.2">
      <c r="A139" s="57">
        <v>25628</v>
      </c>
      <c r="B139" s="58">
        <f>VLOOKUP(Table5345679103[[#This Row],[Date]],Database!A:E,MATCH($A$1,Database!$A$1:$E$1,),)</f>
        <v>20.631</v>
      </c>
      <c r="C139" s="8">
        <f t="shared" si="2"/>
        <v>2.478134110787266E-3</v>
      </c>
      <c r="D139" s="7">
        <f>(Table5345679103[[#This Row],[Value]]-B127)/B127</f>
        <v>4.7950424137755826E-2</v>
      </c>
    </row>
    <row r="140" spans="1:4" x14ac:dyDescent="0.2">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2">
      <c r="A141" s="57">
        <v>25689</v>
      </c>
      <c r="B141" s="58">
        <f>VLOOKUP(Table5345679103[[#This Row],[Date]],Database!A:E,MATCH($A$1,Database!$A$1:$E$1,),)</f>
        <v>20.802</v>
      </c>
      <c r="C141" s="8">
        <f t="shared" si="2"/>
        <v>3.1828703703703195E-3</v>
      </c>
      <c r="D141" s="7">
        <f>(Table5345679103[[#This Row],[Value]]-B129)/B129</f>
        <v>4.7748564521003345E-2</v>
      </c>
    </row>
    <row r="142" spans="1:4" x14ac:dyDescent="0.2">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2">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2">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2">
      <c r="A145" s="57">
        <v>25812</v>
      </c>
      <c r="B145" s="58">
        <f>VLOOKUP(Table5345679103[[#This Row],[Date]],Database!A:E,MATCH($A$1,Database!$A$1:$E$1,),)</f>
        <v>21.081</v>
      </c>
      <c r="C145" s="8">
        <f t="shared" si="2"/>
        <v>4.478963167675285E-3</v>
      </c>
      <c r="D145" s="7">
        <f>(Table5345679103[[#This Row],[Value]]-B133)/B133</f>
        <v>4.4855273592387057E-2</v>
      </c>
    </row>
    <row r="146" spans="1:4" x14ac:dyDescent="0.2">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2">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2">
      <c r="A148" s="57">
        <v>25903</v>
      </c>
      <c r="B148" s="58">
        <f>VLOOKUP(Table5345679103[[#This Row],[Date]],Database!A:E,MATCH($A$1,Database!$A$1:$E$1,),)</f>
        <v>21.363</v>
      </c>
      <c r="C148" s="8">
        <f t="shared" si="2"/>
        <v>4.4195777892708258E-3</v>
      </c>
      <c r="D148" s="7">
        <f>(Table5345679103[[#This Row],[Value]]-B136)/B136</f>
        <v>4.5872907079212828E-2</v>
      </c>
    </row>
    <row r="149" spans="1:4" x14ac:dyDescent="0.2">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2">
      <c r="A150" s="57">
        <v>25965</v>
      </c>
      <c r="B150" s="58">
        <f>VLOOKUP(Table5345679103[[#This Row],[Date]],Database!A:E,MATCH($A$1,Database!$A$1:$E$1,),)</f>
        <v>21.471</v>
      </c>
      <c r="C150" s="8">
        <f t="shared" si="2"/>
        <v>2.9428251121075689E-3</v>
      </c>
      <c r="D150" s="7">
        <f>(Table5345679103[[#This Row],[Value]]-B138)/B138</f>
        <v>4.329446064139951E-2</v>
      </c>
    </row>
    <row r="151" spans="1:4" x14ac:dyDescent="0.2">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2">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2">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2">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2">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2">
      <c r="A156" s="57">
        <v>26146</v>
      </c>
      <c r="B156" s="58">
        <f>VLOOKUP(Table5345679103[[#This Row],[Date]],Database!A:E,MATCH($A$1,Database!$A$1:$E$1,),)</f>
        <v>21.942</v>
      </c>
      <c r="C156" s="8">
        <f t="shared" si="2"/>
        <v>2.8794734677087086E-3</v>
      </c>
      <c r="D156" s="7">
        <f>(Table5345679103[[#This Row],[Value]]-B144)/B144</f>
        <v>4.5504359841806924E-2</v>
      </c>
    </row>
    <row r="157" spans="1:4" x14ac:dyDescent="0.2">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2">
      <c r="A158" s="57">
        <v>26207</v>
      </c>
      <c r="B158" s="58">
        <f>VLOOKUP(Table5345679103[[#This Row],[Date]],Database!A:E,MATCH($A$1,Database!$A$1:$E$1,),)</f>
        <v>22.009</v>
      </c>
      <c r="C158" s="8">
        <f t="shared" si="2"/>
        <v>1.5472127417519416E-3</v>
      </c>
      <c r="D158" s="7">
        <f>(Table5345679103[[#This Row],[Value]]-B146)/B146</f>
        <v>3.8895444890252616E-2</v>
      </c>
    </row>
    <row r="159" spans="1:4" x14ac:dyDescent="0.2">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2">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2">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2">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2">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2">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2">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2">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2">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2">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2">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2">
      <c r="A170" s="57">
        <v>26573</v>
      </c>
      <c r="B170" s="58">
        <f>VLOOKUP(Table5345679103[[#This Row],[Date]],Database!A:E,MATCH($A$1,Database!$A$1:$E$1,),)</f>
        <v>22.741</v>
      </c>
      <c r="C170" s="8">
        <f t="shared" si="2"/>
        <v>1.1005458707518303E-3</v>
      </c>
      <c r="D170" s="7">
        <f>(Table5345679103[[#This Row],[Value]]-B158)/B158</f>
        <v>3.3259121268571917E-2</v>
      </c>
    </row>
    <row r="171" spans="1:4" x14ac:dyDescent="0.2">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2">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2">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2">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2">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2">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2">
      <c r="A177" s="57">
        <v>26785</v>
      </c>
      <c r="B177" s="58">
        <f>VLOOKUP(Table5345679103[[#This Row],[Date]],Database!A:E,MATCH($A$1,Database!$A$1:$E$1,),)</f>
        <v>23.523</v>
      </c>
      <c r="C177" s="8">
        <f t="shared" si="2"/>
        <v>4.9128503075870824E-3</v>
      </c>
      <c r="D177" s="7">
        <f>(Table5345679103[[#This Row],[Value]]-B165)/B165</f>
        <v>4.8542391013639948E-2</v>
      </c>
    </row>
    <row r="178" spans="1:4" x14ac:dyDescent="0.2">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2">
      <c r="A179" s="57">
        <v>26846</v>
      </c>
      <c r="B179" s="58">
        <f>VLOOKUP(Table5345679103[[#This Row],[Date]],Database!A:E,MATCH($A$1,Database!$A$1:$E$1,),)</f>
        <v>23.744</v>
      </c>
      <c r="C179" s="8">
        <f t="shared" si="2"/>
        <v>3.6351339927296693E-3</v>
      </c>
      <c r="D179" s="7">
        <f>(Table5345679103[[#This Row],[Value]]-B167)/B167</f>
        <v>5.299569825712893E-2</v>
      </c>
    </row>
    <row r="180" spans="1:4" x14ac:dyDescent="0.2">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2">
      <c r="A181" s="57">
        <v>26908</v>
      </c>
      <c r="B181" s="58">
        <f>VLOOKUP(Table5345679103[[#This Row],[Date]],Database!A:E,MATCH($A$1,Database!$A$1:$E$1,),)</f>
        <v>24.113</v>
      </c>
      <c r="C181" s="8">
        <f t="shared" si="2"/>
        <v>3.9971686721905356E-3</v>
      </c>
      <c r="D181" s="7">
        <f>(Table5345679103[[#This Row],[Value]]-B169)/B169</f>
        <v>6.149850325761571E-2</v>
      </c>
    </row>
    <row r="182" spans="1:4" x14ac:dyDescent="0.2">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2">
      <c r="A183" s="57">
        <v>26969</v>
      </c>
      <c r="B183" s="58">
        <f>VLOOKUP(Table5345679103[[#This Row],[Date]],Database!A:E,MATCH($A$1,Database!$A$1:$E$1,),)</f>
        <v>24.448</v>
      </c>
      <c r="C183" s="8">
        <f t="shared" si="2"/>
        <v>8.2065239803703911E-3</v>
      </c>
      <c r="D183" s="7">
        <f>(Table5345679103[[#This Row],[Value]]-B171)/B171</f>
        <v>7.1857600070147715E-2</v>
      </c>
    </row>
    <row r="184" spans="1:4" x14ac:dyDescent="0.2">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2">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2">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2">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2">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2">
      <c r="A189" s="57">
        <v>27150</v>
      </c>
      <c r="B189" s="58">
        <f>VLOOKUP(Table5345679103[[#This Row],[Date]],Database!A:E,MATCH($A$1,Database!$A$1:$E$1,),)</f>
        <v>25.9</v>
      </c>
      <c r="C189" s="8">
        <f t="shared" si="2"/>
        <v>9.8647015245447861E-3</v>
      </c>
      <c r="D189" s="7">
        <f>(Table5345679103[[#This Row],[Value]]-B177)/B177</f>
        <v>0.1010500361348467</v>
      </c>
    </row>
    <row r="190" spans="1:4" x14ac:dyDescent="0.2">
      <c r="A190" s="57">
        <v>27181</v>
      </c>
      <c r="B190" s="58">
        <f>VLOOKUP(Table5345679103[[#This Row],[Date]],Database!A:E,MATCH($A$1,Database!$A$1:$E$1,),)</f>
        <v>26.119</v>
      </c>
      <c r="C190" s="8">
        <f t="shared" si="2"/>
        <v>8.4555984555985016E-3</v>
      </c>
      <c r="D190" s="7">
        <f>(Table5345679103[[#This Row],[Value]]-B178)/B178</f>
        <v>0.10402400879195191</v>
      </c>
    </row>
    <row r="191" spans="1:4" x14ac:dyDescent="0.2">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2">
      <c r="A192" s="57">
        <v>27242</v>
      </c>
      <c r="B192" s="58">
        <f>VLOOKUP(Table5345679103[[#This Row],[Date]],Database!A:E,MATCH($A$1,Database!$A$1:$E$1,),)</f>
        <v>26.587</v>
      </c>
      <c r="C192" s="8">
        <f t="shared" si="2"/>
        <v>1.0451505016722354E-2</v>
      </c>
      <c r="D192" s="7">
        <f>(Table5345679103[[#This Row],[Value]]-B180)/B180</f>
        <v>0.10700753632843404</v>
      </c>
    </row>
    <row r="193" spans="1:4" x14ac:dyDescent="0.2">
      <c r="A193" s="57">
        <v>27273</v>
      </c>
      <c r="B193" s="58">
        <f>VLOOKUP(Table5345679103[[#This Row],[Date]],Database!A:E,MATCH($A$1,Database!$A$1:$E$1,),)</f>
        <v>26.863</v>
      </c>
      <c r="C193" s="8">
        <f t="shared" si="2"/>
        <v>1.0381013277165525E-2</v>
      </c>
      <c r="D193" s="7">
        <f>(Table5345679103[[#This Row],[Value]]-B181)/B181</f>
        <v>0.11404636503131091</v>
      </c>
    </row>
    <row r="194" spans="1:4" x14ac:dyDescent="0.2">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2">
      <c r="A195" s="57">
        <v>27334</v>
      </c>
      <c r="B195" s="58">
        <f>VLOOKUP(Table5345679103[[#This Row],[Date]],Database!A:E,MATCH($A$1,Database!$A$1:$E$1,),)</f>
        <v>27.259</v>
      </c>
      <c r="C195" s="8">
        <f t="shared" si="2"/>
        <v>7.5029568302779201E-3</v>
      </c>
      <c r="D195" s="7">
        <f>(Table5345679103[[#This Row],[Value]]-B183)/B183</f>
        <v>0.11497873036649214</v>
      </c>
    </row>
    <row r="196" spans="1:4" x14ac:dyDescent="0.2">
      <c r="A196" s="57">
        <v>27364</v>
      </c>
      <c r="B196" s="58">
        <f>VLOOKUP(Table5345679103[[#This Row],[Date]],Database!A:E,MATCH($A$1,Database!$A$1:$E$1,),)</f>
        <v>27.474</v>
      </c>
      <c r="C196" s="8">
        <f t="shared" si="2"/>
        <v>7.8873032759822388E-3</v>
      </c>
      <c r="D196" s="7">
        <f>(Table5345679103[[#This Row],[Value]]-B184)/B184</f>
        <v>0.11460911193151849</v>
      </c>
    </row>
    <row r="197" spans="1:4" x14ac:dyDescent="0.2">
      <c r="A197" s="57">
        <v>27395</v>
      </c>
      <c r="B197" s="58">
        <f>VLOOKUP(Table5345679103[[#This Row],[Date]],Database!A:E,MATCH($A$1,Database!$A$1:$E$1,),)</f>
        <v>27.645</v>
      </c>
      <c r="C197" s="8">
        <f t="shared" si="2"/>
        <v>6.2240663900414708E-3</v>
      </c>
      <c r="D197" s="7">
        <f>(Table5345679103[[#This Row],[Value]]-B185)/B185</f>
        <v>0.11091018685955387</v>
      </c>
    </row>
    <row r="198" spans="1:4" x14ac:dyDescent="0.2">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2">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2">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2">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2">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2">
      <c r="A204" s="57">
        <v>27607</v>
      </c>
      <c r="B204" s="58">
        <f>VLOOKUP(Table5345679103[[#This Row],[Date]],Database!A:E,MATCH($A$1,Database!$A$1:$E$1,),)</f>
        <v>28.637</v>
      </c>
      <c r="C204" s="8">
        <f t="shared" si="3"/>
        <v>4.3136704776601358E-3</v>
      </c>
      <c r="D204" s="7">
        <f>(Table5345679103[[#This Row],[Value]]-B192)/B192</f>
        <v>7.7105352239816474E-2</v>
      </c>
    </row>
    <row r="205" spans="1:4" x14ac:dyDescent="0.2">
      <c r="A205" s="57">
        <v>27638</v>
      </c>
      <c r="B205" s="58">
        <f>VLOOKUP(Table5345679103[[#This Row],[Date]],Database!A:E,MATCH($A$1,Database!$A$1:$E$1,),)</f>
        <v>28.779</v>
      </c>
      <c r="C205" s="8">
        <f t="shared" si="3"/>
        <v>4.9586199671753138E-3</v>
      </c>
      <c r="D205" s="7">
        <f>(Table5345679103[[#This Row],[Value]]-B193)/B193</f>
        <v>7.1324870639913648E-2</v>
      </c>
    </row>
    <row r="206" spans="1:4" x14ac:dyDescent="0.2">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2">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2">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2">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2">
      <c r="A210" s="57">
        <v>27791</v>
      </c>
      <c r="B210" s="58">
        <f>VLOOKUP(Table5345679103[[#This Row],[Date]],Database!A:E,MATCH($A$1,Database!$A$1:$E$1,),)</f>
        <v>29.442</v>
      </c>
      <c r="C210" s="8">
        <f t="shared" si="3"/>
        <v>1.2582894065634768E-3</v>
      </c>
      <c r="D210" s="7">
        <f>(Table5345679103[[#This Row],[Value]]-B198)/B198</f>
        <v>5.9255261737722553E-2</v>
      </c>
    </row>
    <row r="211" spans="1:4" x14ac:dyDescent="0.2">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2">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2">
      <c r="A213" s="57">
        <v>27881</v>
      </c>
      <c r="B213" s="58">
        <f>VLOOKUP(Table5345679103[[#This Row],[Date]],Database!A:E,MATCH($A$1,Database!$A$1:$E$1,),)</f>
        <v>29.695</v>
      </c>
      <c r="C213" s="8">
        <f t="shared" si="3"/>
        <v>4.8049267417859254E-3</v>
      </c>
      <c r="D213" s="7">
        <f>(Table5345679103[[#This Row],[Value]]-B201)/B201</f>
        <v>5.6949635166399767E-2</v>
      </c>
    </row>
    <row r="214" spans="1:4" x14ac:dyDescent="0.2">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2">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2">
      <c r="A216" s="57">
        <v>27973</v>
      </c>
      <c r="B216" s="58">
        <f>VLOOKUP(Table5345679103[[#This Row],[Date]],Database!A:E,MATCH($A$1,Database!$A$1:$E$1,),)</f>
        <v>30.14</v>
      </c>
      <c r="C216" s="8">
        <f t="shared" si="3"/>
        <v>5.5045871559632744E-3</v>
      </c>
      <c r="D216" s="7">
        <f>(Table5345679103[[#This Row],[Value]]-B204)/B204</f>
        <v>5.2484547962426235E-2</v>
      </c>
    </row>
    <row r="217" spans="1:4" x14ac:dyDescent="0.2">
      <c r="A217" s="57">
        <v>28004</v>
      </c>
      <c r="B217" s="58">
        <f>VLOOKUP(Table5345679103[[#This Row],[Date]],Database!A:E,MATCH($A$1,Database!$A$1:$E$1,),)</f>
        <v>30.31</v>
      </c>
      <c r="C217" s="8">
        <f t="shared" si="3"/>
        <v>5.6403450564033895E-3</v>
      </c>
      <c r="D217" s="7">
        <f>(Table5345679103[[#This Row],[Value]]-B205)/B205</f>
        <v>5.3198512804475441E-2</v>
      </c>
    </row>
    <row r="218" spans="1:4" x14ac:dyDescent="0.2">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2">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2">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2">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2">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2">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2">
      <c r="A224" s="57">
        <v>28216</v>
      </c>
      <c r="B224" s="58">
        <f>VLOOKUP(Table5345679103[[#This Row],[Date]],Database!A:E,MATCH($A$1,Database!$A$1:$E$1,),)</f>
        <v>31.538</v>
      </c>
      <c r="C224" s="8">
        <f t="shared" si="3"/>
        <v>5.8043117744609836E-3</v>
      </c>
      <c r="D224" s="7">
        <f>(Table5345679103[[#This Row],[Value]]-B212)/B212</f>
        <v>6.7167461848204893E-2</v>
      </c>
    </row>
    <row r="225" spans="1:4" x14ac:dyDescent="0.2">
      <c r="A225" s="57">
        <v>28246</v>
      </c>
      <c r="B225" s="58">
        <f>VLOOKUP(Table5345679103[[#This Row],[Date]],Database!A:E,MATCH($A$1,Database!$A$1:$E$1,),)</f>
        <v>31.698</v>
      </c>
      <c r="C225" s="8">
        <f t="shared" si="3"/>
        <v>5.0732449743167022E-3</v>
      </c>
      <c r="D225" s="7">
        <f>(Table5345679103[[#This Row],[Value]]-B213)/B213</f>
        <v>6.7452433069540324E-2</v>
      </c>
    </row>
    <row r="226" spans="1:4" x14ac:dyDescent="0.2">
      <c r="A226" s="57">
        <v>28277</v>
      </c>
      <c r="B226" s="58">
        <f>VLOOKUP(Table5345679103[[#This Row],[Date]],Database!A:E,MATCH($A$1,Database!$A$1:$E$1,),)</f>
        <v>31.875</v>
      </c>
      <c r="C226" s="8">
        <f t="shared" si="3"/>
        <v>5.5839485141018236E-3</v>
      </c>
      <c r="D226" s="7">
        <f>(Table5345679103[[#This Row],[Value]]-B214)/B214</f>
        <v>6.8770118025751018E-2</v>
      </c>
    </row>
    <row r="227" spans="1:4" x14ac:dyDescent="0.2">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2">
      <c r="A228" s="57">
        <v>28338</v>
      </c>
      <c r="B228" s="58">
        <f>VLOOKUP(Table5345679103[[#This Row],[Date]],Database!A:E,MATCH($A$1,Database!$A$1:$E$1,),)</f>
        <v>32.19</v>
      </c>
      <c r="C228" s="8">
        <f t="shared" si="3"/>
        <v>4.650291813613836E-3</v>
      </c>
      <c r="D228" s="7">
        <f>(Table5345679103[[#This Row],[Value]]-B216)/B216</f>
        <v>6.8015925680159156E-2</v>
      </c>
    </row>
    <row r="229" spans="1:4" x14ac:dyDescent="0.2">
      <c r="A229" s="57">
        <v>28369</v>
      </c>
      <c r="B229" s="58">
        <f>VLOOKUP(Table5345679103[[#This Row],[Date]],Database!A:E,MATCH($A$1,Database!$A$1:$E$1,),)</f>
        <v>32.311</v>
      </c>
      <c r="C229" s="8">
        <f t="shared" si="3"/>
        <v>3.7589313451383108E-3</v>
      </c>
      <c r="D229" s="7">
        <f>(Table5345679103[[#This Row],[Value]]-B217)/B217</f>
        <v>6.60178159023425E-2</v>
      </c>
    </row>
    <row r="230" spans="1:4" x14ac:dyDescent="0.2">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2">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2">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2">
      <c r="A233" s="57">
        <v>28491</v>
      </c>
      <c r="B233" s="58">
        <f>VLOOKUP(Table5345679103[[#This Row],[Date]],Database!A:E,MATCH($A$1,Database!$A$1:$E$1,),)</f>
        <v>33</v>
      </c>
      <c r="C233" s="8">
        <f t="shared" si="3"/>
        <v>5.9135523989514915E-3</v>
      </c>
      <c r="D233" s="7">
        <f>(Table5345679103[[#This Row],[Value]]-B221)/B221</f>
        <v>6.5994766934780472E-2</v>
      </c>
    </row>
    <row r="234" spans="1:4" x14ac:dyDescent="0.2">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2">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2">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2">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2">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2">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2">
      <c r="A240" s="57">
        <v>28703</v>
      </c>
      <c r="B240" s="58">
        <f>VLOOKUP(Table5345679103[[#This Row],[Date]],Database!A:E,MATCH($A$1,Database!$A$1:$E$1,),)</f>
        <v>34.442</v>
      </c>
      <c r="C240" s="8">
        <f t="shared" si="3"/>
        <v>5.0482943768420975E-3</v>
      </c>
      <c r="D240" s="7">
        <f>(Table5345679103[[#This Row],[Value]]-B228)/B228</f>
        <v>6.9959614787201072E-2</v>
      </c>
    </row>
    <row r="241" spans="1:4" x14ac:dyDescent="0.2">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2">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2">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2">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2">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2">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2">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2">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2">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2">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2">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2">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2">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2">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2">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2">
      <c r="A256" s="57">
        <v>29190</v>
      </c>
      <c r="B256" s="58">
        <f>VLOOKUP(Table5345679103[[#This Row],[Date]],Database!A:E,MATCH($A$1,Database!$A$1:$E$1,),)</f>
        <v>38.866</v>
      </c>
      <c r="C256" s="8">
        <f t="shared" si="3"/>
        <v>8.4064137823672367E-3</v>
      </c>
      <c r="D256" s="7">
        <f>(Table5345679103[[#This Row],[Value]]-B244)/B244</f>
        <v>0.10176890803946015</v>
      </c>
    </row>
    <row r="257" spans="1:4" x14ac:dyDescent="0.2">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2">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2">
      <c r="A259" s="57">
        <v>29281</v>
      </c>
      <c r="B259" s="58">
        <f>VLOOKUP(Table5345679103[[#This Row],[Date]],Database!A:E,MATCH($A$1,Database!$A$1:$E$1,),)</f>
        <v>40.186</v>
      </c>
      <c r="C259" s="8">
        <f t="shared" si="3"/>
        <v>1.2267311519181891E-2</v>
      </c>
      <c r="D259" s="7">
        <f>(Table5345679103[[#This Row],[Value]]-B247)/B247</f>
        <v>0.11593679708977804</v>
      </c>
    </row>
    <row r="260" spans="1:4" x14ac:dyDescent="0.2">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2">
      <c r="A261" s="57">
        <v>29342</v>
      </c>
      <c r="B261" s="58">
        <f>VLOOKUP(Table5345679103[[#This Row],[Date]],Database!A:E,MATCH($A$1,Database!$A$1:$E$1,),)</f>
        <v>40.71</v>
      </c>
      <c r="C261" s="8">
        <f t="shared" si="3"/>
        <v>7.7730468363204292E-3</v>
      </c>
      <c r="D261" s="7">
        <f>(Table5345679103[[#This Row],[Value]]-B249)/B249</f>
        <v>0.10736338166090914</v>
      </c>
    </row>
    <row r="262" spans="1:4" x14ac:dyDescent="0.2">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2">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2">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2">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2">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2">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2">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2">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2">
      <c r="A271" s="57">
        <v>29646</v>
      </c>
      <c r="B271" s="58">
        <f>VLOOKUP(Table5345679103[[#This Row],[Date]],Database!A:E,MATCH($A$1,Database!$A$1:$E$1,),)</f>
        <v>44.13</v>
      </c>
      <c r="C271" s="8">
        <f t="shared" si="4"/>
        <v>6.9594980034226967E-3</v>
      </c>
      <c r="D271" s="7">
        <f>(Table5345679103[[#This Row],[Value]]-B259)/B259</f>
        <v>9.8143632110685372E-2</v>
      </c>
    </row>
    <row r="272" spans="1:4" x14ac:dyDescent="0.2">
      <c r="A272" s="57">
        <v>29677</v>
      </c>
      <c r="B272" s="58">
        <f>VLOOKUP(Table5345679103[[#This Row],[Date]],Database!A:E,MATCH($A$1,Database!$A$1:$E$1,),)</f>
        <v>44.323</v>
      </c>
      <c r="C272" s="8">
        <f t="shared" si="4"/>
        <v>4.3734421028778113E-3</v>
      </c>
      <c r="D272" s="7">
        <f>(Table5345679103[[#This Row],[Value]]-B260)/B260</f>
        <v>9.7212595306465976E-2</v>
      </c>
    </row>
    <row r="273" spans="1:4" x14ac:dyDescent="0.2">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2">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2">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2">
      <c r="A276" s="57">
        <v>29799</v>
      </c>
      <c r="B276" s="58">
        <f>VLOOKUP(Table5345679103[[#This Row],[Date]],Database!A:E,MATCH($A$1,Database!$A$1:$E$1,),)</f>
        <v>45.25</v>
      </c>
      <c r="C276" s="8">
        <f t="shared" si="4"/>
        <v>6.2487491382952429E-3</v>
      </c>
      <c r="D276" s="7">
        <f>(Table5345679103[[#This Row],[Value]]-B264)/B264</f>
        <v>8.6982632299598892E-2</v>
      </c>
    </row>
    <row r="277" spans="1:4" x14ac:dyDescent="0.2">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2">
      <c r="A278" s="57">
        <v>29860</v>
      </c>
      <c r="B278" s="58">
        <f>VLOOKUP(Table5345679103[[#This Row],[Date]],Database!A:E,MATCH($A$1,Database!$A$1:$E$1,),)</f>
        <v>45.73</v>
      </c>
      <c r="C278" s="8">
        <f t="shared" si="4"/>
        <v>4.5250856690975299E-3</v>
      </c>
      <c r="D278" s="7">
        <f>(Table5345679103[[#This Row],[Value]]-B266)/B266</f>
        <v>7.9785601284503266E-2</v>
      </c>
    </row>
    <row r="279" spans="1:4" x14ac:dyDescent="0.2">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2">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2">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2">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2">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2">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2">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2">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2">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2">
      <c r="A288" s="57">
        <v>30164</v>
      </c>
      <c r="B288" s="58">
        <f>VLOOKUP(Table5345679103[[#This Row],[Date]],Database!A:E,MATCH($A$1,Database!$A$1:$E$1,),)</f>
        <v>47.72</v>
      </c>
      <c r="C288" s="8">
        <f t="shared" si="4"/>
        <v>3.1110737408558842E-3</v>
      </c>
      <c r="D288" s="7">
        <f>(Table5345679103[[#This Row],[Value]]-B276)/B276</f>
        <v>5.4585635359115994E-2</v>
      </c>
    </row>
    <row r="289" spans="1:4" x14ac:dyDescent="0.2">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2">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2">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2">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2">
      <c r="A293" s="57">
        <v>30317</v>
      </c>
      <c r="B293" s="58">
        <f>VLOOKUP(Table5345679103[[#This Row],[Date]],Database!A:E,MATCH($A$1,Database!$A$1:$E$1,),)</f>
        <v>48.564</v>
      </c>
      <c r="C293" s="9">
        <f t="shared" si="4"/>
        <v>4.6754106500061874E-3</v>
      </c>
      <c r="D293" s="7">
        <f>(Table5345679103[[#This Row],[Value]]-B281)/B281</f>
        <v>4.6818416968442765E-2</v>
      </c>
    </row>
    <row r="294" spans="1:4" x14ac:dyDescent="0.2">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2">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2">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2">
      <c r="A297" s="57">
        <v>30437</v>
      </c>
      <c r="B297" s="58">
        <f>VLOOKUP(Table5345679103[[#This Row],[Date]],Database!A:E,MATCH($A$1,Database!$A$1:$E$1,),)</f>
        <v>49.07</v>
      </c>
      <c r="C297" s="9">
        <f t="shared" si="4"/>
        <v>2.8407349124277637E-3</v>
      </c>
      <c r="D297" s="7">
        <f>(Table5345679103[[#This Row],[Value]]-B285)/B285</f>
        <v>4.5132159059444947E-2</v>
      </c>
    </row>
    <row r="298" spans="1:4" x14ac:dyDescent="0.2">
      <c r="A298" s="57">
        <v>30468</v>
      </c>
      <c r="B298" s="58">
        <f>VLOOKUP(Table5345679103[[#This Row],[Date]],Database!A:E,MATCH($A$1,Database!$A$1:$E$1,),)</f>
        <v>49.253</v>
      </c>
      <c r="C298" s="9">
        <f t="shared" si="4"/>
        <v>3.729366211534539E-3</v>
      </c>
      <c r="D298" s="7">
        <f>(Table5345679103[[#This Row],[Value]]-B286)/B286</f>
        <v>4.1465787025289656E-2</v>
      </c>
    </row>
    <row r="299" spans="1:4" x14ac:dyDescent="0.2">
      <c r="A299" s="57">
        <v>30498</v>
      </c>
      <c r="B299" s="58">
        <f>VLOOKUP(Table5345679103[[#This Row],[Date]],Database!A:E,MATCH($A$1,Database!$A$1:$E$1,),)</f>
        <v>49.53</v>
      </c>
      <c r="C299" s="9">
        <f t="shared" si="4"/>
        <v>5.624022902158265E-3</v>
      </c>
      <c r="D299" s="7">
        <f>(Table5345679103[[#This Row],[Value]]-B287)/B287</f>
        <v>4.1158664760783621E-2</v>
      </c>
    </row>
    <row r="300" spans="1:4" x14ac:dyDescent="0.2">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2">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2">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2">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2">
      <c r="A304" s="57">
        <v>30651</v>
      </c>
      <c r="B304" s="58">
        <f>VLOOKUP(Table5345679103[[#This Row],[Date]],Database!A:E,MATCH($A$1,Database!$A$1:$E$1,),)</f>
        <v>50.1</v>
      </c>
      <c r="C304" s="9">
        <f t="shared" si="4"/>
        <v>5.5919475954622729E-4</v>
      </c>
      <c r="D304" s="7">
        <f>(Table5345679103[[#This Row],[Value]]-B292)/B292</f>
        <v>3.6451652943853705E-2</v>
      </c>
    </row>
    <row r="305" spans="1:4" x14ac:dyDescent="0.2">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2">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2">
      <c r="A307" s="57">
        <v>30742</v>
      </c>
      <c r="B307" s="58">
        <f>VLOOKUP(Table5345679103[[#This Row],[Date]],Database!A:E,MATCH($A$1,Database!$A$1:$E$1,),)</f>
        <v>50.823</v>
      </c>
      <c r="C307" s="9">
        <f t="shared" si="4"/>
        <v>3.2967466835123497E-3</v>
      </c>
      <c r="D307" s="7">
        <f>(Table5345679103[[#This Row],[Value]]-B295)/B295</f>
        <v>4.3400603584553103E-2</v>
      </c>
    </row>
    <row r="308" spans="1:4" x14ac:dyDescent="0.2">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2">
      <c r="A309" s="57">
        <v>30803</v>
      </c>
      <c r="B309" s="58">
        <f>VLOOKUP(Table5345679103[[#This Row],[Date]],Database!A:E,MATCH($A$1,Database!$A$1:$E$1,),)</f>
        <v>51.08</v>
      </c>
      <c r="C309" s="9">
        <f t="shared" si="4"/>
        <v>1.254508389524856E-3</v>
      </c>
      <c r="D309" s="7">
        <f>(Table5345679103[[#This Row],[Value]]-B297)/B297</f>
        <v>4.0961891175871165E-2</v>
      </c>
    </row>
    <row r="310" spans="1:4" x14ac:dyDescent="0.2">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2">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2">
      <c r="A312" s="57">
        <v>30895</v>
      </c>
      <c r="B312" s="58">
        <f>VLOOKUP(Table5345679103[[#This Row],[Date]],Database!A:E,MATCH($A$1,Database!$A$1:$E$1,),)</f>
        <v>51.512</v>
      </c>
      <c r="C312" s="9">
        <f t="shared" si="4"/>
        <v>3.076683413171345E-3</v>
      </c>
      <c r="D312" s="7">
        <f>(Table5345679103[[#This Row],[Value]]-B300)/B300</f>
        <v>3.5562792754759431E-2</v>
      </c>
    </row>
    <row r="313" spans="1:4" x14ac:dyDescent="0.2">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2">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2">
      <c r="A315" s="57">
        <v>30987</v>
      </c>
      <c r="B315" s="58">
        <f>VLOOKUP(Table5345679103[[#This Row],[Date]],Database!A:E,MATCH($A$1,Database!$A$1:$E$1,),)</f>
        <v>51.776000000000003</v>
      </c>
      <c r="C315" s="9">
        <f t="shared" si="4"/>
        <v>1.3925421630822128E-3</v>
      </c>
      <c r="D315" s="7">
        <f>(Table5345679103[[#This Row],[Value]]-B303)/B303</f>
        <v>3.4030995366672E-2</v>
      </c>
    </row>
    <row r="316" spans="1:4" x14ac:dyDescent="0.2">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2">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2">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2">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2">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2">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2">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2">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2">
      <c r="A324" s="57">
        <v>31260</v>
      </c>
      <c r="B324" s="58">
        <f>VLOOKUP(Table5345679103[[#This Row],[Date]],Database!A:E,MATCH($A$1,Database!$A$1:$E$1,),)</f>
        <v>53.28</v>
      </c>
      <c r="C324" s="9">
        <f t="shared" si="4"/>
        <v>3.3142512805062131E-3</v>
      </c>
      <c r="D324" s="7">
        <f>(Table5345679103[[#This Row],[Value]]-B312)/B312</f>
        <v>3.4322099704923135E-2</v>
      </c>
    </row>
    <row r="325" spans="1:4" x14ac:dyDescent="0.2">
      <c r="A325" s="57">
        <v>31291</v>
      </c>
      <c r="B325" s="58">
        <f>VLOOKUP(Table5345679103[[#This Row],[Date]],Database!A:E,MATCH($A$1,Database!$A$1:$E$1,),)</f>
        <v>53.37</v>
      </c>
      <c r="C325" s="9">
        <f t="shared" si="4"/>
        <v>1.6891891891891199E-3</v>
      </c>
      <c r="D325" s="7">
        <f>(Table5345679103[[#This Row],[Value]]-B313)/B313</f>
        <v>3.4663254623705876E-2</v>
      </c>
    </row>
    <row r="326" spans="1:4" x14ac:dyDescent="0.2">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2">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2">
      <c r="A329" s="57">
        <v>31413</v>
      </c>
      <c r="B329" s="58">
        <f>VLOOKUP(Table5345679103[[#This Row],[Date]],Database!A:E,MATCH($A$1,Database!$A$1:$E$1,),)</f>
        <v>54.042000000000002</v>
      </c>
      <c r="C329" s="9">
        <f t="shared" si="5"/>
        <v>4.591504786690211E-3</v>
      </c>
      <c r="D329" s="7">
        <f>(Table5345679103[[#This Row],[Value]]-B317)/B317</f>
        <v>3.56444751063585E-2</v>
      </c>
    </row>
    <row r="330" spans="1:4" x14ac:dyDescent="0.2">
      <c r="A330" s="57">
        <v>31444</v>
      </c>
      <c r="B330" s="58">
        <f>VLOOKUP(Table5345679103[[#This Row],[Date]],Database!A:E,MATCH($A$1,Database!$A$1:$E$1,),)</f>
        <v>54.042000000000002</v>
      </c>
      <c r="C330" s="9">
        <f t="shared" si="5"/>
        <v>0</v>
      </c>
      <c r="D330" s="7">
        <f>(Table5345679103[[#This Row],[Value]]-B318)/B318</f>
        <v>3.0863726537463797E-2</v>
      </c>
    </row>
    <row r="331" spans="1:4" x14ac:dyDescent="0.2">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2">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2">
      <c r="A333" s="57">
        <v>31533</v>
      </c>
      <c r="B333" s="58">
        <f>VLOOKUP(Table5345679103[[#This Row],[Date]],Database!A:E,MATCH($A$1,Database!$A$1:$E$1,),)</f>
        <v>53.911999999999999</v>
      </c>
      <c r="C333" s="9">
        <f t="shared" si="5"/>
        <v>1.8397041607046E-3</v>
      </c>
      <c r="D333" s="7">
        <f>(Table5345679103[[#This Row],[Value]]-B321)/B321</f>
        <v>2.0461471484544982E-2</v>
      </c>
    </row>
    <row r="334" spans="1:4" x14ac:dyDescent="0.2">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2">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2">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2">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2">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2">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2">
      <c r="A340" s="57">
        <v>31747</v>
      </c>
      <c r="B340" s="58">
        <f>VLOOKUP(Table5345679103[[#This Row],[Date]],Database!A:E,MATCH($A$1,Database!$A$1:$E$1,),)</f>
        <v>54.64</v>
      </c>
      <c r="C340" s="9">
        <f t="shared" si="5"/>
        <v>1.356155847963898E-3</v>
      </c>
      <c r="D340" s="7">
        <f>(Table5345679103[[#This Row],[Value]]-B328)/B328</f>
        <v>1.5707779533413863E-2</v>
      </c>
    </row>
    <row r="341" spans="1:4" x14ac:dyDescent="0.2">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2">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2">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2">
      <c r="A344" s="57">
        <v>31868</v>
      </c>
      <c r="B344" s="58">
        <f>VLOOKUP(Table5345679103[[#This Row],[Date]],Database!A:E,MATCH($A$1,Database!$A$1:$E$1,),)</f>
        <v>55.439</v>
      </c>
      <c r="C344" s="9">
        <f t="shared" si="5"/>
        <v>3.7296543732913854E-3</v>
      </c>
      <c r="D344" s="7">
        <f>(Table5345679103[[#This Row],[Value]]-B332)/B332</f>
        <v>3.0215747124300776E-2</v>
      </c>
    </row>
    <row r="345" spans="1:4" x14ac:dyDescent="0.2">
      <c r="A345" s="57">
        <v>31898</v>
      </c>
      <c r="B345" s="58">
        <f>VLOOKUP(Table5345679103[[#This Row],[Date]],Database!A:E,MATCH($A$1,Database!$A$1:$E$1,),)</f>
        <v>55.58</v>
      </c>
      <c r="C345" s="9">
        <f t="shared" si="5"/>
        <v>2.5433359187575218E-3</v>
      </c>
      <c r="D345" s="7">
        <f>(Table5345679103[[#This Row],[Value]]-B333)/B333</f>
        <v>3.0939308502745202E-2</v>
      </c>
    </row>
    <row r="346" spans="1:4" x14ac:dyDescent="0.2">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2">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2">
      <c r="A348" s="57">
        <v>31990</v>
      </c>
      <c r="B348" s="58">
        <f>VLOOKUP(Table5345679103[[#This Row],[Date]],Database!A:E,MATCH($A$1,Database!$A$1:$E$1,),)</f>
        <v>56.14</v>
      </c>
      <c r="C348" s="9">
        <f t="shared" si="5"/>
        <v>3.9521450669719356E-3</v>
      </c>
      <c r="D348" s="7">
        <f>(Table5345679103[[#This Row],[Value]]-B336)/B336</f>
        <v>3.5908034099715797E-2</v>
      </c>
    </row>
    <row r="349" spans="1:4" x14ac:dyDescent="0.2">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2">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2">
      <c r="A351" s="57">
        <v>32082</v>
      </c>
      <c r="B351" s="58">
        <f>VLOOKUP(Table5345679103[[#This Row],[Date]],Database!A:E,MATCH($A$1,Database!$A$1:$E$1,),)</f>
        <v>56.616</v>
      </c>
      <c r="C351" s="9">
        <f t="shared" si="5"/>
        <v>1.9112338076024099E-3</v>
      </c>
      <c r="D351" s="7">
        <f>(Table5345679103[[#This Row],[Value]]-B339)/B339</f>
        <v>3.7569182274676483E-2</v>
      </c>
    </row>
    <row r="352" spans="1:4" x14ac:dyDescent="0.2">
      <c r="A352" s="57">
        <v>32112</v>
      </c>
      <c r="B352" s="58">
        <f>VLOOKUP(Table5345679103[[#This Row],[Date]],Database!A:E,MATCH($A$1,Database!$A$1:$E$1,),)</f>
        <v>56.72</v>
      </c>
      <c r="C352" s="9">
        <f t="shared" si="5"/>
        <v>1.8369365550374311E-3</v>
      </c>
      <c r="D352" s="7">
        <f>(Table5345679103[[#This Row],[Value]]-B340)/B340</f>
        <v>3.8067349926793524E-2</v>
      </c>
    </row>
    <row r="353" spans="1:4" x14ac:dyDescent="0.2">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2">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2">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2">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2">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2">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2">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2">
      <c r="A360" s="57">
        <v>32356</v>
      </c>
      <c r="B360" s="58">
        <f>VLOOKUP(Table5345679103[[#This Row],[Date]],Database!A:E,MATCH($A$1,Database!$A$1:$E$1,),)</f>
        <v>58.366</v>
      </c>
      <c r="C360" s="9">
        <f t="shared" si="5"/>
        <v>2.972866152286389E-3</v>
      </c>
      <c r="D360" s="7">
        <f>(Table5345679103[[#This Row],[Value]]-B348)/B348</f>
        <v>3.9650872817955096E-2</v>
      </c>
    </row>
    <row r="361" spans="1:4" x14ac:dyDescent="0.2">
      <c r="A361" s="57">
        <v>32387</v>
      </c>
      <c r="B361" s="58">
        <f>VLOOKUP(Table5345679103[[#This Row],[Date]],Database!A:E,MATCH($A$1,Database!$A$1:$E$1,),)</f>
        <v>58.65</v>
      </c>
      <c r="C361" s="9">
        <f t="shared" si="5"/>
        <v>4.8658465545008897E-3</v>
      </c>
      <c r="D361" s="7">
        <f>(Table5345679103[[#This Row],[Value]]-B349)/B349</f>
        <v>4.1204352997567827E-2</v>
      </c>
    </row>
    <row r="362" spans="1:4" x14ac:dyDescent="0.2">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2">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2">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2">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2">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2">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2">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2">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2">
      <c r="A370" s="57">
        <v>32660</v>
      </c>
      <c r="B370" s="58">
        <f>VLOOKUP(Table5345679103[[#This Row],[Date]],Database!A:E,MATCH($A$1,Database!$A$1:$E$1,),)</f>
        <v>60.637</v>
      </c>
      <c r="C370" s="9">
        <f t="shared" si="5"/>
        <v>2.198201771783728E-3</v>
      </c>
      <c r="D370" s="7">
        <f>(Table5345679103[[#This Row],[Value]]-B358)/B358</f>
        <v>4.7054151125846135E-2</v>
      </c>
    </row>
    <row r="371" spans="1:4" x14ac:dyDescent="0.2">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2">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2">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2">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2">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2">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2">
      <c r="A377" s="57">
        <v>32874</v>
      </c>
      <c r="B377" s="58">
        <f>VLOOKUP(Table5345679103[[#This Row],[Date]],Database!A:E,MATCH($A$1,Database!$A$1:$E$1,),)</f>
        <v>61.939</v>
      </c>
      <c r="C377" s="9">
        <f t="shared" si="5"/>
        <v>7.5805638247686156E-3</v>
      </c>
      <c r="D377" s="7">
        <f>(Table5345679103[[#This Row],[Value]]-B365)/B365</f>
        <v>4.1604305053392694E-2</v>
      </c>
    </row>
    <row r="378" spans="1:4" x14ac:dyDescent="0.2">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2">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2">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2">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2">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2">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2">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2">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2">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2">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2">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2">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2">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2">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2">
      <c r="A392" s="57">
        <v>33329</v>
      </c>
      <c r="B392" s="58">
        <f>VLOOKUP(Table5345679103[[#This Row],[Date]],Database!A:E,MATCH($A$1,Database!$A$1:$E$1,),)</f>
        <v>64.878</v>
      </c>
      <c r="C392" s="9">
        <f t="shared" si="6"/>
        <v>1.822112415070954E-3</v>
      </c>
      <c r="D392" s="7">
        <f>(Table5345679103[[#This Row],[Value]]-B380)/B380</f>
        <v>3.6770698499448709E-2</v>
      </c>
    </row>
    <row r="393" spans="1:4" x14ac:dyDescent="0.2">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2">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2">
      <c r="A395" s="57">
        <v>33420</v>
      </c>
      <c r="B395" s="58">
        <f>VLOOKUP(Table5345679103[[#This Row],[Date]],Database!A:E,MATCH($A$1,Database!$A$1:$E$1,),)</f>
        <v>65.36</v>
      </c>
      <c r="C395" s="9">
        <f t="shared" si="6"/>
        <v>1.5783747337449533E-3</v>
      </c>
      <c r="D395" s="7">
        <f>(Table5345679103[[#This Row],[Value]]-B383)/B383</f>
        <v>3.4979651945337302E-2</v>
      </c>
    </row>
    <row r="396" spans="1:4" x14ac:dyDescent="0.2">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2">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2">
      <c r="A398" s="57">
        <v>33512</v>
      </c>
      <c r="B398" s="58">
        <f>VLOOKUP(Table5345679103[[#This Row],[Date]],Database!A:E,MATCH($A$1,Database!$A$1:$E$1,),)</f>
        <v>65.86</v>
      </c>
      <c r="C398" s="9">
        <f t="shared" si="6"/>
        <v>1.871092383284979E-3</v>
      </c>
      <c r="D398" s="7">
        <f>(Table5345679103[[#This Row],[Value]]-B386)/B386</f>
        <v>2.3831361636637825E-2</v>
      </c>
    </row>
    <row r="399" spans="1:4" x14ac:dyDescent="0.2">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2">
      <c r="A400" s="57">
        <v>33573</v>
      </c>
      <c r="B400" s="58">
        <f>VLOOKUP(Table5345679103[[#This Row],[Date]],Database!A:E,MATCH($A$1,Database!$A$1:$E$1,),)</f>
        <v>66.17</v>
      </c>
      <c r="C400" s="9">
        <f t="shared" si="6"/>
        <v>2.4998106204076396E-3</v>
      </c>
      <c r="D400" s="7">
        <f>(Table5345679103[[#This Row],[Value]]-B388)/B388</f>
        <v>2.6384774077463709E-2</v>
      </c>
    </row>
    <row r="401" spans="1:4" x14ac:dyDescent="0.2">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2">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2">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2">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2">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2">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2">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2">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2">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2">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2">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2">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2">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2">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2">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2">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2">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2">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2">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2">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2">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2">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2">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2">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2">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2">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2">
      <c r="A427" s="57">
        <v>34394</v>
      </c>
      <c r="B427" s="58">
        <f>VLOOKUP(Table5345679103[[#This Row],[Date]],Database!A:E,MATCH($A$1,Database!$A$1:$E$1,),)</f>
        <v>69.75</v>
      </c>
      <c r="C427" s="9">
        <f t="shared" si="6"/>
        <v>2.7602863797117952E-3</v>
      </c>
      <c r="D427" s="7">
        <f>(Table5345679103[[#This Row],[Value]]-B415)/B415</f>
        <v>2.1319588836501056E-2</v>
      </c>
    </row>
    <row r="428" spans="1:4" x14ac:dyDescent="0.2">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2">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2">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2">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2">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2">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2">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2">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2">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2">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2">
      <c r="A438" s="57">
        <v>34731</v>
      </c>
      <c r="B438" s="58">
        <f>VLOOKUP(Table5345679103[[#This Row],[Date]],Database!A:E,MATCH($A$1,Database!$A$1:$E$1,),)</f>
        <v>71.134</v>
      </c>
      <c r="C438" s="9">
        <f t="shared" si="6"/>
        <v>1.7744479495268811E-3</v>
      </c>
      <c r="D438" s="7">
        <f>(Table5345679103[[#This Row],[Value]]-B426)/B426</f>
        <v>2.2657350700135043E-2</v>
      </c>
    </row>
    <row r="439" spans="1:4" x14ac:dyDescent="0.2">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2">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2">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2">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2">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2">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2">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2">
      <c r="A446" s="57">
        <v>34973</v>
      </c>
      <c r="B446" s="58">
        <f>VLOOKUP(Table5345679103[[#This Row],[Date]],Database!A:E,MATCH($A$1,Database!$A$1:$E$1,),)</f>
        <v>72.113</v>
      </c>
      <c r="C446" s="9">
        <f t="shared" si="6"/>
        <v>2.5998943358451409E-3</v>
      </c>
      <c r="D446" s="7">
        <f>(Table5345679103[[#This Row],[Value]]-B434)/B434</f>
        <v>2.0216739290362769E-2</v>
      </c>
    </row>
    <row r="447" spans="1:4" x14ac:dyDescent="0.2">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2">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2">
      <c r="A449" s="57">
        <v>35065</v>
      </c>
      <c r="B449" s="58">
        <f>VLOOKUP(Table5345679103[[#This Row],[Date]],Database!A:E,MATCH($A$1,Database!$A$1:$E$1,),)</f>
        <v>72.41</v>
      </c>
      <c r="C449" s="9">
        <f t="shared" si="6"/>
        <v>2.2284045453916509E-3</v>
      </c>
      <c r="D449" s="7">
        <f>(Table5345679103[[#This Row],[Value]]-B437)/B437</f>
        <v>1.9744254168544403E-2</v>
      </c>
    </row>
    <row r="450" spans="1:4" x14ac:dyDescent="0.2">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2">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2">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2">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2">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57">
        <v>35247</v>
      </c>
      <c r="B455" s="58">
        <f>VLOOKUP(Table5345679103[[#This Row],[Date]],Database!A:E,MATCH($A$1,Database!$A$1:$E$1,),)</f>
        <v>73.241</v>
      </c>
      <c r="C455" s="9">
        <f t="shared" si="7"/>
        <v>2.1207892072353275E-3</v>
      </c>
      <c r="D455" s="7">
        <f>(Table5345679103[[#This Row],[Value]]-B443)/B443</f>
        <v>2.1178996681631933E-2</v>
      </c>
    </row>
    <row r="456" spans="1:4" x14ac:dyDescent="0.2">
      <c r="A456" s="57">
        <v>35278</v>
      </c>
      <c r="B456" s="58">
        <f>VLOOKUP(Table5345679103[[#This Row],[Date]],Database!A:E,MATCH($A$1,Database!$A$1:$E$1,),)</f>
        <v>73.31</v>
      </c>
      <c r="C456" s="9">
        <f t="shared" si="7"/>
        <v>9.4209527450475302E-4</v>
      </c>
      <c r="D456" s="7">
        <f>(Table5345679103[[#This Row],[Value]]-B444)/B444</f>
        <v>1.9936836540200717E-2</v>
      </c>
    </row>
    <row r="457" spans="1:4" x14ac:dyDescent="0.2">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2">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2">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2">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2">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2">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2">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2">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2">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2">
      <c r="A466" s="57">
        <v>35582</v>
      </c>
      <c r="B466" s="58">
        <f>VLOOKUP(Table5345679103[[#This Row],[Date]],Database!A:E,MATCH($A$1,Database!$A$1:$E$1,),)</f>
        <v>74.42</v>
      </c>
      <c r="C466" s="9">
        <f t="shared" si="7"/>
        <v>1.2916419998924122E-3</v>
      </c>
      <c r="D466" s="7">
        <f>(Table5345679103[[#This Row],[Value]]-B454)/B454</f>
        <v>1.8252469693238148E-2</v>
      </c>
    </row>
    <row r="467" spans="1:4" x14ac:dyDescent="0.2">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2">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2">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2">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2">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2">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2">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2">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2">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2">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2">
      <c r="A477" s="57">
        <v>35916</v>
      </c>
      <c r="B477" s="58">
        <f>VLOOKUP(Table5345679103[[#This Row],[Date]],Database!A:E,MATCH($A$1,Database!$A$1:$E$1,),)</f>
        <v>74.994</v>
      </c>
      <c r="C477" s="9">
        <f t="shared" si="7"/>
        <v>1.3753321493903731E-3</v>
      </c>
      <c r="D477" s="7">
        <f>(Table5345679103[[#This Row],[Value]]-B465)/B465</f>
        <v>9.0145847909154746E-3</v>
      </c>
    </row>
    <row r="478" spans="1:4" x14ac:dyDescent="0.2">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2">
      <c r="A479" s="57">
        <v>35977</v>
      </c>
      <c r="B479" s="58">
        <f>VLOOKUP(Table5345679103[[#This Row],[Date]],Database!A:E,MATCH($A$1,Database!$A$1:$E$1,),)</f>
        <v>75.116</v>
      </c>
      <c r="C479" s="9">
        <f t="shared" si="7"/>
        <v>2.4689380897092296E-3</v>
      </c>
      <c r="D479" s="7">
        <f>(Table5345679103[[#This Row],[Value]]-B467)/B467</f>
        <v>8.7559088955737139E-3</v>
      </c>
    </row>
    <row r="480" spans="1:4" x14ac:dyDescent="0.2">
      <c r="A480" s="57">
        <v>36008</v>
      </c>
      <c r="B480" s="58">
        <f>VLOOKUP(Table5345679103[[#This Row],[Date]],Database!A:E,MATCH($A$1,Database!$A$1:$E$1,),)</f>
        <v>75.22</v>
      </c>
      <c r="C480" s="9">
        <f t="shared" si="7"/>
        <v>1.3845252675861229E-3</v>
      </c>
      <c r="D480" s="7">
        <f>(Table5345679103[[#This Row],[Value]]-B468)/B468</f>
        <v>9.3392732542536359E-3</v>
      </c>
    </row>
    <row r="481" spans="1:4" x14ac:dyDescent="0.2">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2">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2">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2">
      <c r="A484" s="57">
        <v>36130</v>
      </c>
      <c r="B484" s="58">
        <f>VLOOKUP(Table5345679103[[#This Row],[Date]],Database!A:E,MATCH($A$1,Database!$A$1:$E$1,),)</f>
        <v>75.42</v>
      </c>
      <c r="C484" s="9">
        <f t="shared" si="7"/>
        <v>9.9542106310973317E-4</v>
      </c>
      <c r="D484" s="7">
        <f>(Table5345679103[[#This Row],[Value]]-B472)/B472</f>
        <v>8.4505535647430748E-3</v>
      </c>
    </row>
    <row r="485" spans="1:4" x14ac:dyDescent="0.2">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2">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2">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2">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2">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2">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2">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2">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2">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2">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2">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2">
      <c r="A496" s="57">
        <v>36495</v>
      </c>
      <c r="B496" s="58">
        <f>VLOOKUP(Table5345679103[[#This Row],[Date]],Database!A:E,MATCH($A$1,Database!$A$1:$E$1,),)</f>
        <v>76.97</v>
      </c>
      <c r="C496" s="9">
        <f t="shared" si="7"/>
        <v>2.3179497864360514E-3</v>
      </c>
      <c r="D496" s="7">
        <f>(Table5345679103[[#This Row],[Value]]-B484)/B484</f>
        <v>2.0551577830814068E-2</v>
      </c>
    </row>
    <row r="497" spans="1:4" x14ac:dyDescent="0.2">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2">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2">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2">
      <c r="A500" s="57">
        <v>36617</v>
      </c>
      <c r="B500" s="58">
        <f>VLOOKUP(Table5345679103[[#This Row],[Date]],Database!A:E,MATCH($A$1,Database!$A$1:$E$1,),)</f>
        <v>77.69</v>
      </c>
      <c r="C500" s="9">
        <f t="shared" si="7"/>
        <v>-8.3595910230850406E-4</v>
      </c>
      <c r="D500" s="7">
        <f>(Table5345679103[[#This Row],[Value]]-B488)/B488</f>
        <v>2.3502753405527779E-2</v>
      </c>
    </row>
    <row r="501" spans="1:4" x14ac:dyDescent="0.2">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2">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2">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2">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2">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2">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2">
      <c r="A507" s="57">
        <v>36831</v>
      </c>
      <c r="B507" s="58">
        <f>VLOOKUP(Table5345679103[[#This Row],[Date]],Database!A:E,MATCH($A$1,Database!$A$1:$E$1,),)</f>
        <v>78.762</v>
      </c>
      <c r="C507" s="9">
        <f t="shared" si="7"/>
        <v>1.398565834308084E-3</v>
      </c>
      <c r="D507" s="7">
        <f>(Table5345679103[[#This Row],[Value]]-B495)/B495</f>
        <v>2.5653713928534206E-2</v>
      </c>
    </row>
    <row r="508" spans="1:4" x14ac:dyDescent="0.2">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2">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2">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2">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2">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2">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2">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2">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2">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2">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2">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2">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2">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2">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2">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2">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2">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2">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2">
      <c r="A527" s="57">
        <v>37438</v>
      </c>
      <c r="B527" s="58">
        <f>VLOOKUP(Table5345679103[[#This Row],[Date]],Database!A:E,MATCH($A$1,Database!$A$1:$E$1,),)</f>
        <v>80.81</v>
      </c>
      <c r="C527" s="9">
        <f t="shared" si="8"/>
        <v>2.2075602738366564E-3</v>
      </c>
      <c r="D527" s="7">
        <f>(Table5345679103[[#This Row],[Value]]-B515)/B515</f>
        <v>1.1921160059104888E-2</v>
      </c>
    </row>
    <row r="528" spans="1:4" x14ac:dyDescent="0.2">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2">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2">
      <c r="A530" s="57">
        <v>37530</v>
      </c>
      <c r="B530" s="58">
        <f>VLOOKUP(Table5345679103[[#This Row],[Date]],Database!A:E,MATCH($A$1,Database!$A$1:$E$1,),)</f>
        <v>81.262</v>
      </c>
      <c r="C530" s="9">
        <f t="shared" si="8"/>
        <v>1.8122418788140983E-3</v>
      </c>
      <c r="D530" s="7">
        <f>(Table5345679103[[#This Row],[Value]]-B518)/B518</f>
        <v>1.7593949184166711E-2</v>
      </c>
    </row>
    <row r="531" spans="1:4" x14ac:dyDescent="0.2">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2">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2">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2">
      <c r="A534" s="57">
        <v>37653</v>
      </c>
      <c r="B534" s="58">
        <f>VLOOKUP(Table5345679103[[#This Row],[Date]],Database!A:E,MATCH($A$1,Database!$A$1:$E$1,),)</f>
        <v>82.009</v>
      </c>
      <c r="C534" s="9">
        <f t="shared" si="8"/>
        <v>4.2246277429466945E-3</v>
      </c>
      <c r="D534" s="7">
        <f>(Table5345679103[[#This Row],[Value]]-B522)/B522</f>
        <v>2.6061606986462458E-2</v>
      </c>
    </row>
    <row r="535" spans="1:4" x14ac:dyDescent="0.2">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2">
      <c r="A536" s="57">
        <v>37712</v>
      </c>
      <c r="B536" s="58">
        <f>VLOOKUP(Table5345679103[[#This Row],[Date]],Database!A:E,MATCH($A$1,Database!$A$1:$E$1,),)</f>
        <v>82.08</v>
      </c>
      <c r="C536" s="9">
        <f t="shared" si="8"/>
        <v>-1.690606794049986E-3</v>
      </c>
      <c r="D536" s="7">
        <f>(Table5345679103[[#This Row],[Value]]-B524)/B524</f>
        <v>1.9893388337330224E-2</v>
      </c>
    </row>
    <row r="537" spans="1:4" x14ac:dyDescent="0.2">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2">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2">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2">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2">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2">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2">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2">
      <c r="A544" s="57">
        <v>37956</v>
      </c>
      <c r="B544" s="58">
        <f>VLOOKUP(Table5345679103[[#This Row],[Date]],Database!A:E,MATCH($A$1,Database!$A$1:$E$1,),)</f>
        <v>83.15</v>
      </c>
      <c r="C544" s="9">
        <f t="shared" si="8"/>
        <v>2.2056962406740866E-3</v>
      </c>
      <c r="D544" s="7">
        <f>(Table5345679103[[#This Row],[Value]]-B532)/B532</f>
        <v>2.1235307844413593E-2</v>
      </c>
    </row>
    <row r="545" spans="1:4" x14ac:dyDescent="0.2">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2">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2">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2">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2">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2">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2">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2">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2">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2">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2">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2">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2">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2">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2">
      <c r="A559" s="57">
        <v>38412</v>
      </c>
      <c r="B559" s="58">
        <f>VLOOKUP(Table5345679103[[#This Row],[Date]],Database!A:E,MATCH($A$1,Database!$A$1:$E$1,),)</f>
        <v>86.08</v>
      </c>
      <c r="C559" s="9">
        <f t="shared" si="8"/>
        <v>2.9945352644396611E-3</v>
      </c>
      <c r="D559" s="7">
        <f>(Table5345679103[[#This Row],[Value]]-B547)/B547</f>
        <v>2.7477380696602834E-2</v>
      </c>
    </row>
    <row r="560" spans="1:4" x14ac:dyDescent="0.2">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2">
      <c r="A561" s="57">
        <v>38473</v>
      </c>
      <c r="B561" s="58">
        <f>VLOOKUP(Table5345679103[[#This Row],[Date]],Database!A:E,MATCH($A$1,Database!$A$1:$E$1,),)</f>
        <v>86.37</v>
      </c>
      <c r="C561" s="9">
        <f t="shared" si="8"/>
        <v>5.6764866023339164E-4</v>
      </c>
      <c r="D561" s="7">
        <f>(Table5345679103[[#This Row],[Value]]-B549)/B549</f>
        <v>2.5698881314870692E-2</v>
      </c>
    </row>
    <row r="562" spans="1:4" x14ac:dyDescent="0.2">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2">
      <c r="A563" s="57">
        <v>38534</v>
      </c>
      <c r="B563" s="58">
        <f>VLOOKUP(Table5345679103[[#This Row],[Date]],Database!A:E,MATCH($A$1,Database!$A$1:$E$1,),)</f>
        <v>86.79</v>
      </c>
      <c r="C563" s="9">
        <f t="shared" si="8"/>
        <v>4.2465547365863766E-3</v>
      </c>
      <c r="D563" s="7">
        <f>(Table5345679103[[#This Row],[Value]]-B551)/B551</f>
        <v>2.6796805678793261E-2</v>
      </c>
    </row>
    <row r="564" spans="1:4" x14ac:dyDescent="0.2">
      <c r="A564" s="57">
        <v>38565</v>
      </c>
      <c r="B564" s="58">
        <f>VLOOKUP(Table5345679103[[#This Row],[Date]],Database!A:E,MATCH($A$1,Database!$A$1:$E$1,),)</f>
        <v>87.14</v>
      </c>
      <c r="C564" s="9">
        <f t="shared" si="8"/>
        <v>4.0327226639013053E-3</v>
      </c>
      <c r="D564" s="7">
        <f>(Table5345679103[[#This Row],[Value]]-B552)/B552</f>
        <v>3.0401210845581689E-2</v>
      </c>
    </row>
    <row r="565" spans="1:4" x14ac:dyDescent="0.2">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2">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2">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2">
      <c r="A568" s="57">
        <v>38687</v>
      </c>
      <c r="B568" s="58">
        <f>VLOOKUP(Table5345679103[[#This Row],[Date]],Database!A:E,MATCH($A$1,Database!$A$1:$E$1,),)</f>
        <v>87.938000000000002</v>
      </c>
      <c r="C568" s="9">
        <f t="shared" si="8"/>
        <v>0</v>
      </c>
      <c r="D568" s="7">
        <f>(Table5345679103[[#This Row],[Value]]-B556)/B556</f>
        <v>2.883951657248492E-2</v>
      </c>
    </row>
    <row r="569" spans="1:4" x14ac:dyDescent="0.2">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2">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2">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2">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2">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2">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2">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2">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2">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2">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2">
      <c r="A579" s="57">
        <v>39022</v>
      </c>
      <c r="B579" s="58">
        <f>VLOOKUP(Table5345679103[[#This Row],[Date]],Database!A:E,MATCH($A$1,Database!$A$1:$E$1,),)</f>
        <v>89.63</v>
      </c>
      <c r="C579" s="9">
        <f t="shared" si="8"/>
        <v>3.4598600430799114E-4</v>
      </c>
      <c r="D579" s="7">
        <f>(Table5345679103[[#This Row],[Value]]-B567)/B567</f>
        <v>1.9240828765721224E-2</v>
      </c>
    </row>
    <row r="580" spans="1:4" x14ac:dyDescent="0.2">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2">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2">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2">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2">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2">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2">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2">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2">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2">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2">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2">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2">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2">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2">
      <c r="A595" s="57">
        <v>39508</v>
      </c>
      <c r="B595" s="58">
        <f>VLOOKUP(Table5345679103[[#This Row],[Date]],Database!A:E,MATCH($A$1,Database!$A$1:$E$1,),)</f>
        <v>93.76</v>
      </c>
      <c r="C595" s="9">
        <f t="shared" si="9"/>
        <v>2.8665554272023345E-3</v>
      </c>
      <c r="D595" s="7">
        <f>(Table5345679103[[#This Row],[Value]]-B583)/B583</f>
        <v>3.1905878209572872E-2</v>
      </c>
    </row>
    <row r="596" spans="1:4" x14ac:dyDescent="0.2">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2">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2">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2">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2">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2">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2">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2">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2">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2">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2">
      <c r="A606" s="57">
        <v>39845</v>
      </c>
      <c r="B606" s="58">
        <f>VLOOKUP(Table5345679103[[#This Row],[Date]],Database!A:E,MATCH($A$1,Database!$A$1:$E$1,),)</f>
        <v>93.369</v>
      </c>
      <c r="C606" s="9">
        <f t="shared" si="9"/>
        <v>1.7810585496174673E-3</v>
      </c>
      <c r="D606" s="7">
        <f>(Table5345679103[[#This Row],[Value]]-B594)/B594</f>
        <v>-1.3156205878578344E-3</v>
      </c>
    </row>
    <row r="607" spans="1:4" x14ac:dyDescent="0.2">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2">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2">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2">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2">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2">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2">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2">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2">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2">
      <c r="A616" s="57">
        <v>40148</v>
      </c>
      <c r="B616" s="58">
        <f>VLOOKUP(Table5345679103[[#This Row],[Date]],Database!A:E,MATCH($A$1,Database!$A$1:$E$1,),)</f>
        <v>95.14</v>
      </c>
      <c r="C616" s="9">
        <f t="shared" si="9"/>
        <v>5.8895292583397189E-4</v>
      </c>
      <c r="D616" s="7">
        <f>(Table5345679103[[#This Row],[Value]]-B604)/B604</f>
        <v>2.0903081809597473E-2</v>
      </c>
    </row>
    <row r="617" spans="1:4" x14ac:dyDescent="0.2">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2">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2">
      <c r="A619" s="57">
        <v>40238</v>
      </c>
      <c r="B619" s="58">
        <f>VLOOKUP(Table5345679103[[#This Row],[Date]],Database!A:E,MATCH($A$1,Database!$A$1:$E$1,),)</f>
        <v>95.48</v>
      </c>
      <c r="C619" s="9">
        <f t="shared" si="9"/>
        <v>1.41591064030631E-3</v>
      </c>
      <c r="D619" s="7">
        <f>(Table5345679103[[#This Row],[Value]]-B607)/B607</f>
        <v>2.3727577814232344E-2</v>
      </c>
    </row>
    <row r="620" spans="1:4" x14ac:dyDescent="0.2">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2">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2">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2">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2">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2">
      <c r="A625" s="57">
        <v>40422</v>
      </c>
      <c r="B625" s="58">
        <f>VLOOKUP(Table5345679103[[#This Row],[Date]],Database!A:E,MATCH($A$1,Database!$A$1:$E$1,),)</f>
        <v>95.83</v>
      </c>
      <c r="C625" s="9">
        <f t="shared" si="9"/>
        <v>9.9232255705853506E-4</v>
      </c>
      <c r="D625" s="7">
        <f>(Table5345679103[[#This Row],[Value]]-B613)/B613</f>
        <v>1.4192128184233021E-2</v>
      </c>
    </row>
    <row r="626" spans="1:4" x14ac:dyDescent="0.2">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2">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2">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2">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2">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2">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2">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2">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2">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2">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2">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2">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2">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2">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2">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2">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2">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2">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2">
      <c r="A644" s="57">
        <v>41000</v>
      </c>
      <c r="B644" s="58">
        <f>VLOOKUP(Table5345679103[[#This Row],[Date]],Database!A:E,MATCH($A$1,Database!$A$1:$E$1,),)</f>
        <v>99.866</v>
      </c>
      <c r="C644" s="9">
        <f t="shared" si="9"/>
        <v>1.3134807239183861E-3</v>
      </c>
      <c r="D644" s="7">
        <f>(Table5345679103[[#This Row],[Value]]-B632)/B632</f>
        <v>1.9998365812803839E-2</v>
      </c>
    </row>
    <row r="645" spans="1:4" x14ac:dyDescent="0.2">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2">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57">
        <v>41091</v>
      </c>
      <c r="B647" s="58">
        <f>VLOOKUP(Table5345679103[[#This Row],[Date]],Database!A:E,MATCH($A$1,Database!$A$1:$E$1,),)</f>
        <v>99.74</v>
      </c>
      <c r="C647" s="9">
        <f t="shared" si="10"/>
        <v>3.6106876354009235E-4</v>
      </c>
      <c r="D647" s="7">
        <f>(Table5345679103[[#This Row],[Value]]-B635)/B635</f>
        <v>1.4102264292904136E-2</v>
      </c>
    </row>
    <row r="648" spans="1:4" x14ac:dyDescent="0.2">
      <c r="A648" s="57">
        <v>41122</v>
      </c>
      <c r="B648" s="58">
        <f>VLOOKUP(Table5345679103[[#This Row],[Date]],Database!A:E,MATCH($A$1,Database!$A$1:$E$1,),)</f>
        <v>100.075</v>
      </c>
      <c r="C648" s="9">
        <f t="shared" si="10"/>
        <v>3.3587327050331661E-3</v>
      </c>
      <c r="D648" s="7">
        <f>(Table5345679103[[#This Row],[Value]]-B636)/B636</f>
        <v>1.5124158078389998E-2</v>
      </c>
    </row>
    <row r="649" spans="1:4" x14ac:dyDescent="0.2">
      <c r="A649" s="57">
        <v>41153</v>
      </c>
      <c r="B649" s="58">
        <f>VLOOKUP(Table5345679103[[#This Row],[Date]],Database!A:E,MATCH($A$1,Database!$A$1:$E$1,),)</f>
        <v>100.379</v>
      </c>
      <c r="C649" s="9">
        <f t="shared" si="10"/>
        <v>3.0377217087184816E-3</v>
      </c>
      <c r="D649" s="7">
        <f>(Table5345679103[[#This Row],[Value]]-B637)/B637</f>
        <v>1.6774206618518542E-2</v>
      </c>
    </row>
    <row r="650" spans="1:4" x14ac:dyDescent="0.2">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2">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2">
      <c r="A652" s="57">
        <v>41244</v>
      </c>
      <c r="B652" s="58">
        <f>VLOOKUP(Table5345679103[[#This Row],[Date]],Database!A:E,MATCH($A$1,Database!$A$1:$E$1,),)</f>
        <v>100.593</v>
      </c>
      <c r="C652" s="9">
        <f t="shared" si="10"/>
        <v>-1.5903149817601939E-4</v>
      </c>
      <c r="D652" s="7">
        <f>(Table5345679103[[#This Row],[Value]]-B640)/B640</f>
        <v>1.6255152347854289E-2</v>
      </c>
    </row>
    <row r="653" spans="1:4" x14ac:dyDescent="0.2">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2">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2">
      <c r="A655" s="57">
        <v>41334</v>
      </c>
      <c r="B655" s="58">
        <f>VLOOKUP(Table5345679103[[#This Row],[Date]],Database!A:E,MATCH($A$1,Database!$A$1:$E$1,),)</f>
        <v>101.023</v>
      </c>
      <c r="C655" s="9">
        <f t="shared" si="10"/>
        <v>-1.3148009015778576E-3</v>
      </c>
      <c r="D655" s="7">
        <f>(Table5345679103[[#This Row],[Value]]-B643)/B643</f>
        <v>1.2914222690128808E-2</v>
      </c>
    </row>
    <row r="656" spans="1:4" x14ac:dyDescent="0.2">
      <c r="A656" s="57">
        <v>41365</v>
      </c>
      <c r="B656" s="58">
        <f>VLOOKUP(Table5345679103[[#This Row],[Date]],Database!A:E,MATCH($A$1,Database!$A$1:$E$1,),)</f>
        <v>100.944</v>
      </c>
      <c r="C656" s="9">
        <f t="shared" si="10"/>
        <v>-7.8200013858223893E-4</v>
      </c>
      <c r="D656" s="7">
        <f>(Table5345679103[[#This Row],[Value]]-B644)/B644</f>
        <v>1.0794464582540634E-2</v>
      </c>
    </row>
    <row r="657" spans="1:4" x14ac:dyDescent="0.2">
      <c r="A657" s="57">
        <v>41395</v>
      </c>
      <c r="B657" s="58">
        <f>VLOOKUP(Table5345679103[[#This Row],[Date]],Database!A:E,MATCH($A$1,Database!$A$1:$E$1,),)</f>
        <v>101.01</v>
      </c>
      <c r="C657" s="9">
        <f t="shared" si="10"/>
        <v>6.5382786495485118E-4</v>
      </c>
      <c r="D657" s="7">
        <f>(Table5345679103[[#This Row],[Value]]-B645)/B645</f>
        <v>1.2590973795537024E-2</v>
      </c>
    </row>
    <row r="658" spans="1:4" x14ac:dyDescent="0.2">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2">
      <c r="A659" s="57">
        <v>41456</v>
      </c>
      <c r="B659" s="58">
        <f>VLOOKUP(Table5345679103[[#This Row],[Date]],Database!A:E,MATCH($A$1,Database!$A$1:$E$1,),)</f>
        <v>101.354</v>
      </c>
      <c r="C659" s="9">
        <f t="shared" si="10"/>
        <v>1.2447149010155764E-3</v>
      </c>
      <c r="D659" s="7">
        <f>(Table5345679103[[#This Row],[Value]]-B647)/B647</f>
        <v>1.6182073390816166E-2</v>
      </c>
    </row>
    <row r="660" spans="1:4" x14ac:dyDescent="0.2">
      <c r="A660" s="57">
        <v>41487</v>
      </c>
      <c r="B660" s="58">
        <f>VLOOKUP(Table5345679103[[#This Row],[Date]],Database!A:E,MATCH($A$1,Database!$A$1:$E$1,),)</f>
        <v>101.51</v>
      </c>
      <c r="C660" s="9">
        <f t="shared" si="10"/>
        <v>1.5391597766245626E-3</v>
      </c>
      <c r="D660" s="7">
        <f>(Table5345679103[[#This Row],[Value]]-B648)/B648</f>
        <v>1.4339245565825652E-2</v>
      </c>
    </row>
    <row r="661" spans="1:4" x14ac:dyDescent="0.2">
      <c r="A661" s="57">
        <v>41518</v>
      </c>
      <c r="B661" s="58">
        <f>VLOOKUP(Table5345679103[[#This Row],[Date]],Database!A:E,MATCH($A$1,Database!$A$1:$E$1,),)</f>
        <v>101.55</v>
      </c>
      <c r="C661" s="9">
        <f t="shared" si="10"/>
        <v>3.9404984730560577E-4</v>
      </c>
      <c r="D661" s="7">
        <f>(Table5345679103[[#This Row],[Value]]-B649)/B649</f>
        <v>1.1665786668526208E-2</v>
      </c>
    </row>
    <row r="662" spans="1:4" x14ac:dyDescent="0.2">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2">
      <c r="A663" s="57">
        <v>41579</v>
      </c>
      <c r="B663" s="58">
        <f>VLOOKUP(Table5345679103[[#This Row],[Date]],Database!A:E,MATCH($A$1,Database!$A$1:$E$1,),)</f>
        <v>101.881</v>
      </c>
      <c r="C663" s="9">
        <f t="shared" si="10"/>
        <v>1.5630836987083033E-3</v>
      </c>
      <c r="D663" s="7">
        <f>(Table5345679103[[#This Row],[Value]]-B651)/B651</f>
        <v>1.2643004105000603E-2</v>
      </c>
    </row>
    <row r="664" spans="1:4" x14ac:dyDescent="0.2">
      <c r="A664" s="57">
        <v>41609</v>
      </c>
      <c r="B664" s="58">
        <f>VLOOKUP(Table5345679103[[#This Row],[Date]],Database!A:E,MATCH($A$1,Database!$A$1:$E$1,),)</f>
        <v>102.084</v>
      </c>
      <c r="C664" s="9">
        <f t="shared" si="10"/>
        <v>1.9925206858982828E-3</v>
      </c>
      <c r="D664" s="7">
        <f>(Table5345679103[[#This Row],[Value]]-B652)/B652</f>
        <v>1.4822104917837222E-2</v>
      </c>
    </row>
    <row r="665" spans="1:4" x14ac:dyDescent="0.2">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2">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2">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2">
      <c r="A668" s="57">
        <v>41730</v>
      </c>
      <c r="B668" s="58">
        <f>VLOOKUP(Table5345679103[[#This Row],[Date]],Database!A:E,MATCH($A$1,Database!$A$1:$E$1,),)</f>
        <v>102.742</v>
      </c>
      <c r="C668" s="9">
        <f t="shared" si="10"/>
        <v>1.9406492885911087E-3</v>
      </c>
      <c r="D668" s="7">
        <f>(Table5345679103[[#This Row],[Value]]-B656)/B656</f>
        <v>1.7811856078617867E-2</v>
      </c>
    </row>
    <row r="669" spans="1:4" x14ac:dyDescent="0.2">
      <c r="A669" s="57">
        <v>41760</v>
      </c>
      <c r="B669" s="58">
        <f>VLOOKUP(Table5345679103[[#This Row],[Date]],Database!A:E,MATCH($A$1,Database!$A$1:$E$1,),)</f>
        <v>102.919</v>
      </c>
      <c r="C669" s="9">
        <f t="shared" si="10"/>
        <v>1.7227618695372145E-3</v>
      </c>
      <c r="D669" s="7">
        <f>(Table5345679103[[#This Row],[Value]]-B657)/B657</f>
        <v>1.8899118899118817E-2</v>
      </c>
    </row>
    <row r="670" spans="1:4" x14ac:dyDescent="0.2">
      <c r="A670" s="57">
        <v>41791</v>
      </c>
      <c r="B670" s="58">
        <f>VLOOKUP(Table5345679103[[#This Row],[Date]],Database!A:E,MATCH($A$1,Database!$A$1:$E$1,),)</f>
        <v>103.035</v>
      </c>
      <c r="C670" s="9">
        <f t="shared" si="10"/>
        <v>1.1270999523897401E-3</v>
      </c>
      <c r="D670" s="7">
        <f>(Table5345679103[[#This Row],[Value]]-B658)/B658</f>
        <v>1.7850792270913209E-2</v>
      </c>
    </row>
    <row r="671" spans="1:4" x14ac:dyDescent="0.2">
      <c r="A671" s="57">
        <v>41821</v>
      </c>
      <c r="B671" s="58">
        <f>VLOOKUP(Table5345679103[[#This Row],[Date]],Database!A:E,MATCH($A$1,Database!$A$1:$E$1,),)</f>
        <v>103.19</v>
      </c>
      <c r="C671" s="9">
        <f t="shared" si="10"/>
        <v>1.5043431843548419E-3</v>
      </c>
      <c r="D671" s="7">
        <f>(Table5345679103[[#This Row],[Value]]-B659)/B659</f>
        <v>1.8114726601811459E-2</v>
      </c>
    </row>
    <row r="672" spans="1:4" x14ac:dyDescent="0.2">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2">
      <c r="A673" s="57">
        <v>41883</v>
      </c>
      <c r="B673" s="58">
        <f>VLOOKUP(Table5345679103[[#This Row],[Date]],Database!A:E,MATCH($A$1,Database!$A$1:$E$1,),)</f>
        <v>103.203</v>
      </c>
      <c r="C673" s="9">
        <f t="shared" si="10"/>
        <v>2.519941459821108E-4</v>
      </c>
      <c r="D673" s="7">
        <f>(Table5345679103[[#This Row],[Value]]-B661)/B661</f>
        <v>1.627769571639592E-2</v>
      </c>
    </row>
    <row r="674" spans="1:4" x14ac:dyDescent="0.2">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2">
      <c r="A675" s="57">
        <v>41944</v>
      </c>
      <c r="B675" s="58">
        <f>VLOOKUP(Table5345679103[[#This Row],[Date]],Database!A:E,MATCH($A$1,Database!$A$1:$E$1,),)</f>
        <v>103.098</v>
      </c>
      <c r="C675" s="9">
        <f t="shared" si="10"/>
        <v>-7.6567452048429134E-4</v>
      </c>
      <c r="D675" s="7">
        <f>(Table5345679103[[#This Row],[Value]]-B663)/B663</f>
        <v>1.1945308742552573E-2</v>
      </c>
    </row>
    <row r="676" spans="1:4" x14ac:dyDescent="0.2">
      <c r="A676" s="57">
        <v>41974</v>
      </c>
      <c r="B676" s="58">
        <f>VLOOKUP(Table5345679103[[#This Row],[Date]],Database!A:E,MATCH($A$1,Database!$A$1:$E$1,),)</f>
        <v>102.94</v>
      </c>
      <c r="C676" s="9">
        <f t="shared" si="10"/>
        <v>-1.5325224543638214E-3</v>
      </c>
      <c r="D676" s="7">
        <f>(Table5345679103[[#This Row],[Value]]-B664)/B664</f>
        <v>8.3852513616237065E-3</v>
      </c>
    </row>
    <row r="677" spans="1:4" x14ac:dyDescent="0.2">
      <c r="A677" s="57">
        <v>42005</v>
      </c>
      <c r="B677" s="58">
        <f>VLOOKUP(Table5345679103[[#This Row],[Date]],Database!A:E,MATCH($A$1,Database!$A$1:$E$1,),)</f>
        <v>102.465</v>
      </c>
      <c r="C677" s="9">
        <f t="shared" si="10"/>
        <v>-4.6143384495822256E-3</v>
      </c>
      <c r="D677" s="7">
        <f>(Table5345679103[[#This Row],[Value]]-B665)/B665</f>
        <v>1.8283501828349948E-3</v>
      </c>
    </row>
    <row r="678" spans="1:4" x14ac:dyDescent="0.2">
      <c r="A678" s="57">
        <v>42036</v>
      </c>
      <c r="B678" s="58">
        <f>VLOOKUP(Table5345679103[[#This Row],[Date]],Database!A:E,MATCH($A$1,Database!$A$1:$E$1,),)</f>
        <v>102.634</v>
      </c>
      <c r="C678" s="9">
        <f t="shared" si="10"/>
        <v>1.6493436783291556E-3</v>
      </c>
      <c r="D678" s="7">
        <f>(Table5345679103[[#This Row],[Value]]-B666)/B666</f>
        <v>2.892376243428702E-3</v>
      </c>
    </row>
    <row r="679" spans="1:4" x14ac:dyDescent="0.2">
      <c r="A679" s="57">
        <v>42064</v>
      </c>
      <c r="B679" s="58">
        <f>VLOOKUP(Table5345679103[[#This Row],[Date]],Database!A:E,MATCH($A$1,Database!$A$1:$E$1,),)</f>
        <v>102.831</v>
      </c>
      <c r="C679" s="9">
        <f t="shared" si="10"/>
        <v>1.9194419003449414E-3</v>
      </c>
      <c r="D679" s="7">
        <f>(Table5345679103[[#This Row],[Value]]-B667)/B667</f>
        <v>2.8085778648956699E-3</v>
      </c>
    </row>
    <row r="680" spans="1:4" x14ac:dyDescent="0.2">
      <c r="A680" s="57">
        <v>42095</v>
      </c>
      <c r="B680" s="58">
        <f>VLOOKUP(Table5345679103[[#This Row],[Date]],Database!A:E,MATCH($A$1,Database!$A$1:$E$1,),)</f>
        <v>102.91</v>
      </c>
      <c r="C680" s="9">
        <f t="shared" si="10"/>
        <v>7.6825081930539929E-4</v>
      </c>
      <c r="D680" s="7">
        <f>(Table5345679103[[#This Row],[Value]]-B668)/B668</f>
        <v>1.6351638083742983E-3</v>
      </c>
    </row>
    <row r="681" spans="1:4" x14ac:dyDescent="0.2">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2">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2">
      <c r="A683" s="57">
        <v>42186</v>
      </c>
      <c r="B683" s="58">
        <f>VLOOKUP(Table5345679103[[#This Row],[Date]],Database!A:E,MATCH($A$1,Database!$A$1:$E$1,),)</f>
        <v>103.441</v>
      </c>
      <c r="C683" s="9">
        <f t="shared" si="10"/>
        <v>8.2240024768768106E-4</v>
      </c>
      <c r="D683" s="7">
        <f>(Table5345679103[[#This Row],[Value]]-B671)/B671</f>
        <v>2.4324062409148638E-3</v>
      </c>
    </row>
    <row r="684" spans="1:4" x14ac:dyDescent="0.2">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2">
      <c r="A685" s="57">
        <v>42248</v>
      </c>
      <c r="B685" s="58">
        <f>VLOOKUP(Table5345679103[[#This Row],[Date]],Database!A:E,MATCH($A$1,Database!$A$1:$E$1,),)</f>
        <v>103.289</v>
      </c>
      <c r="C685" s="9">
        <f t="shared" si="10"/>
        <v>-1.4790897314436264E-3</v>
      </c>
      <c r="D685" s="7">
        <f>(Table5345679103[[#This Row],[Value]]-B673)/B673</f>
        <v>8.3330910923130647E-4</v>
      </c>
    </row>
    <row r="686" spans="1:4" x14ac:dyDescent="0.2">
      <c r="A686" s="57">
        <v>42278</v>
      </c>
      <c r="B686" s="58">
        <f>VLOOKUP(Table5345679103[[#This Row],[Date]],Database!A:E,MATCH($A$1,Database!$A$1:$E$1,),)</f>
        <v>103.274</v>
      </c>
      <c r="C686" s="9">
        <f t="shared" si="10"/>
        <v>-1.452235959298722E-4</v>
      </c>
      <c r="D686" s="7">
        <f>(Table5345679103[[#This Row],[Value]]-B674)/B674</f>
        <v>9.4013200616410828E-4</v>
      </c>
    </row>
    <row r="687" spans="1:4" x14ac:dyDescent="0.2">
      <c r="A687" s="57">
        <v>42309</v>
      </c>
      <c r="B687" s="58">
        <f>VLOOKUP(Table5345679103[[#This Row],[Date]],Database!A:E,MATCH($A$1,Database!$A$1:$E$1,),)</f>
        <v>103.337</v>
      </c>
      <c r="C687" s="9">
        <f t="shared" si="10"/>
        <v>6.1002769332070398E-4</v>
      </c>
      <c r="D687" s="7">
        <f>(Table5345679103[[#This Row],[Value]]-B675)/B675</f>
        <v>2.3181826999554241E-3</v>
      </c>
    </row>
    <row r="688" spans="1:4" x14ac:dyDescent="0.2">
      <c r="A688" s="57">
        <v>42339</v>
      </c>
      <c r="B688" s="58">
        <f>VLOOKUP(Table5345679103[[#This Row],[Date]],Database!A:E,MATCH($A$1,Database!$A$1:$E$1,),)</f>
        <v>103.253</v>
      </c>
      <c r="C688" s="9">
        <f t="shared" si="10"/>
        <v>-8.1287438187680285E-4</v>
      </c>
      <c r="D688" s="7">
        <f>(Table5345679103[[#This Row],[Value]]-B676)/B676</f>
        <v>3.0406061783563474E-3</v>
      </c>
    </row>
    <row r="689" spans="1:4" x14ac:dyDescent="0.2">
      <c r="A689" s="57">
        <v>42370</v>
      </c>
      <c r="B689" s="58">
        <f>VLOOKUP(Table5345679103[[#This Row],[Date]],Database!A:E,MATCH($A$1,Database!$A$1:$E$1,),)</f>
        <v>103.306</v>
      </c>
      <c r="C689" s="9">
        <f t="shared" si="10"/>
        <v>5.1330227693139447E-4</v>
      </c>
      <c r="D689" s="7">
        <f>(Table5345679103[[#This Row],[Value]]-B677)/B677</f>
        <v>8.2076806714487284E-3</v>
      </c>
    </row>
    <row r="690" spans="1:4" x14ac:dyDescent="0.2">
      <c r="A690" s="57">
        <v>42401</v>
      </c>
      <c r="B690" s="58">
        <f>VLOOKUP(Table5345679103[[#This Row],[Date]],Database!A:E,MATCH($A$1,Database!$A$1:$E$1,),)</f>
        <v>103.242</v>
      </c>
      <c r="C690" s="9">
        <f t="shared" si="10"/>
        <v>-6.195187114010121E-4</v>
      </c>
      <c r="D690" s="7">
        <f>(Table5345679103[[#This Row],[Value]]-B678)/B678</f>
        <v>5.9239628193386608E-3</v>
      </c>
    </row>
    <row r="691" spans="1:4" x14ac:dyDescent="0.2">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2">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2">
      <c r="A693" s="57">
        <v>42491</v>
      </c>
      <c r="B693" s="58">
        <f>VLOOKUP(Table5345679103[[#This Row],[Date]],Database!A:E,MATCH($A$1,Database!$A$1:$E$1,),)</f>
        <v>103.977</v>
      </c>
      <c r="C693" s="9">
        <f t="shared" si="10"/>
        <v>1.4832936825174632E-3</v>
      </c>
      <c r="D693" s="7">
        <f>(Table5345679103[[#This Row],[Value]]-B681)/B681</f>
        <v>7.9588196517895032E-3</v>
      </c>
    </row>
    <row r="694" spans="1:4" x14ac:dyDescent="0.2">
      <c r="A694" s="57">
        <v>42522</v>
      </c>
      <c r="B694" s="58">
        <f>VLOOKUP(Table5345679103[[#This Row],[Date]],Database!A:E,MATCH($A$1,Database!$A$1:$E$1,),)</f>
        <v>104.175</v>
      </c>
      <c r="C694" s="9">
        <f t="shared" si="10"/>
        <v>1.9042672898813514E-3</v>
      </c>
      <c r="D694" s="7">
        <f>(Table5345679103[[#This Row],[Value]]-B682)/B682</f>
        <v>7.9240682688958806E-3</v>
      </c>
    </row>
    <row r="695" spans="1:4" x14ac:dyDescent="0.2">
      <c r="A695" s="57">
        <v>42552</v>
      </c>
      <c r="B695" s="58">
        <f>VLOOKUP(Table5345679103[[#This Row],[Date]],Database!A:E,MATCH($A$1,Database!$A$1:$E$1,),)</f>
        <v>104.218</v>
      </c>
      <c r="C695" s="9">
        <f t="shared" si="10"/>
        <v>4.1276697864176979E-4</v>
      </c>
      <c r="D695" s="7">
        <f>(Table5345679103[[#This Row],[Value]]-B683)/B683</f>
        <v>7.5115283108245379E-3</v>
      </c>
    </row>
    <row r="696" spans="1:4" x14ac:dyDescent="0.2">
      <c r="A696" s="57">
        <v>42583</v>
      </c>
      <c r="B696" s="58">
        <f>VLOOKUP(Table5345679103[[#This Row],[Date]],Database!A:E,MATCH($A$1,Database!$A$1:$E$1,),)</f>
        <v>104.374</v>
      </c>
      <c r="C696" s="9">
        <f t="shared" si="10"/>
        <v>1.4968623462356953E-3</v>
      </c>
      <c r="D696" s="7">
        <f>(Table5345679103[[#This Row],[Value]]-B684)/B684</f>
        <v>9.0098799327159394E-3</v>
      </c>
    </row>
    <row r="697" spans="1:4" x14ac:dyDescent="0.2">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2">
      <c r="A698" s="57">
        <v>42644</v>
      </c>
      <c r="B698" s="58">
        <f>VLOOKUP(Table5345679103[[#This Row],[Date]],Database!A:E,MATCH($A$1,Database!$A$1:$E$1,),)</f>
        <v>104.786</v>
      </c>
      <c r="C698" s="9">
        <f t="shared" si="10"/>
        <v>2.2093634928984219E-3</v>
      </c>
      <c r="D698" s="7">
        <f>(Table5345679103[[#This Row],[Value]]-B686)/B686</f>
        <v>1.4640664639696346E-2</v>
      </c>
    </row>
    <row r="699" spans="1:4" x14ac:dyDescent="0.2">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2">
      <c r="A700" s="57">
        <v>42705</v>
      </c>
      <c r="B700" s="58">
        <f>VLOOKUP(Table5345679103[[#This Row],[Date]],Database!A:E,MATCH($A$1,Database!$A$1:$E$1,),)</f>
        <v>105.017</v>
      </c>
      <c r="C700" s="9">
        <f t="shared" si="10"/>
        <v>1.8220670444355647E-3</v>
      </c>
      <c r="D700" s="7">
        <f>(Table5345679103[[#This Row],[Value]]-B688)/B688</f>
        <v>1.7084249368057063E-2</v>
      </c>
    </row>
    <row r="701" spans="1:4" x14ac:dyDescent="0.2">
      <c r="A701" s="57">
        <v>42736</v>
      </c>
      <c r="B701" s="58">
        <f>VLOOKUP(Table5345679103[[#This Row],[Date]],Database!A:E,MATCH($A$1,Database!$A$1:$E$1,),)</f>
        <v>105.408</v>
      </c>
      <c r="C701" s="9">
        <f t="shared" si="10"/>
        <v>3.7232067189122272E-3</v>
      </c>
      <c r="D701" s="7">
        <f>(Table5345679103[[#This Row],[Value]]-B689)/B689</f>
        <v>2.0347317677579267E-2</v>
      </c>
    </row>
    <row r="702" spans="1:4" x14ac:dyDescent="0.2">
      <c r="A702" s="57">
        <v>42767</v>
      </c>
      <c r="B702" s="58">
        <f>VLOOKUP(Table5345679103[[#This Row],[Date]],Database!A:E,MATCH($A$1,Database!$A$1:$E$1,),)</f>
        <v>105.57</v>
      </c>
      <c r="C702" s="9">
        <f t="shared" si="10"/>
        <v>1.5368852459015628E-3</v>
      </c>
      <c r="D702" s="7">
        <f>(Table5345679103[[#This Row],[Value]]-B690)/B690</f>
        <v>2.2548962631487077E-2</v>
      </c>
    </row>
    <row r="703" spans="1:4" x14ac:dyDescent="0.2">
      <c r="A703" s="57">
        <v>42795</v>
      </c>
      <c r="B703" s="58">
        <f>VLOOKUP(Table5345679103[[#This Row],[Date]],Database!A:E,MATCH($A$1,Database!$A$1:$E$1,),)</f>
        <v>105.512</v>
      </c>
      <c r="C703" s="9">
        <f t="shared" si="10"/>
        <v>-5.493985033626288E-4</v>
      </c>
      <c r="D703" s="7">
        <f>(Table5345679103[[#This Row],[Value]]-B691)/B691</f>
        <v>1.9626791391656496E-2</v>
      </c>
    </row>
    <row r="704" spans="1:4" x14ac:dyDescent="0.2">
      <c r="A704" s="57">
        <v>42826</v>
      </c>
      <c r="B704" s="58">
        <f>VLOOKUP(Table5345679103[[#This Row],[Date]],Database!A:E,MATCH($A$1,Database!$A$1:$E$1,),)</f>
        <v>105.744</v>
      </c>
      <c r="C704" s="9">
        <f t="shared" si="10"/>
        <v>2.1988020319963541E-3</v>
      </c>
      <c r="D704" s="7">
        <f>(Table5345679103[[#This Row],[Value]]-B692)/B692</f>
        <v>1.8502643922830266E-2</v>
      </c>
    </row>
    <row r="705" spans="1:4" x14ac:dyDescent="0.2">
      <c r="A705" s="57">
        <v>42856</v>
      </c>
      <c r="B705" s="58">
        <f>VLOOKUP(Table5345679103[[#This Row],[Date]],Database!A:E,MATCH($A$1,Database!$A$1:$E$1,),)</f>
        <v>105.714</v>
      </c>
      <c r="C705" s="9">
        <f t="shared" si="10"/>
        <v>-2.8370403994553957E-4</v>
      </c>
      <c r="D705" s="7">
        <f>(Table5345679103[[#This Row],[Value]]-B693)/B693</f>
        <v>1.6705617588505098E-2</v>
      </c>
    </row>
    <row r="706" spans="1:4" x14ac:dyDescent="0.2">
      <c r="A706" s="57">
        <v>42887</v>
      </c>
      <c r="B706" s="58">
        <f>VLOOKUP(Table5345679103[[#This Row],[Date]],Database!A:E,MATCH($A$1,Database!$A$1:$E$1,),)</f>
        <v>105.815</v>
      </c>
      <c r="C706" s="9">
        <f t="shared" si="10"/>
        <v>9.5540798758914709E-4</v>
      </c>
      <c r="D706" s="7">
        <f>(Table5345679103[[#This Row],[Value]]-B694)/B694</f>
        <v>1.5742740580753544E-2</v>
      </c>
    </row>
    <row r="707" spans="1:4" x14ac:dyDescent="0.2">
      <c r="A707" s="57">
        <v>42917</v>
      </c>
      <c r="B707" s="58">
        <f>VLOOKUP(Table5345679103[[#This Row],[Date]],Database!A:E,MATCH($A$1,Database!$A$1:$E$1,),)</f>
        <v>105.842</v>
      </c>
      <c r="C707" s="9">
        <f t="shared" si="10"/>
        <v>2.5516231158154347E-4</v>
      </c>
      <c r="D707" s="7">
        <f>(Table5345679103[[#This Row],[Value]]-B695)/B695</f>
        <v>1.558272083517238E-2</v>
      </c>
    </row>
    <row r="708" spans="1:4" x14ac:dyDescent="0.2">
      <c r="A708" s="57">
        <v>42948</v>
      </c>
      <c r="B708" s="58">
        <f>VLOOKUP(Table5345679103[[#This Row],[Date]],Database!A:E,MATCH($A$1,Database!$A$1:$E$1,),)</f>
        <v>106.093</v>
      </c>
      <c r="C708" s="9">
        <f t="shared" si="10"/>
        <v>2.3714593450615521E-3</v>
      </c>
      <c r="D708" s="7">
        <f>(Table5345679103[[#This Row],[Value]]-B696)/B696</f>
        <v>1.6469618870600038E-2</v>
      </c>
    </row>
    <row r="709" spans="1:4" x14ac:dyDescent="0.2">
      <c r="A709" s="57">
        <v>42979</v>
      </c>
      <c r="B709" s="58">
        <f>VLOOKUP(Table5345679103[[#This Row],[Date]],Database!A:E,MATCH($A$1,Database!$A$1:$E$1,),)</f>
        <v>106.491</v>
      </c>
      <c r="C709" s="9">
        <f t="shared" si="10"/>
        <v>3.7514256359985686E-3</v>
      </c>
      <c r="D709" s="7">
        <f>(Table5345679103[[#This Row],[Value]]-B697)/B697</f>
        <v>1.8516570226196669E-2</v>
      </c>
    </row>
    <row r="710" spans="1:4" x14ac:dyDescent="0.2">
      <c r="A710" s="57">
        <v>43009</v>
      </c>
      <c r="B710" s="58">
        <f>VLOOKUP(Table5345679103[[#This Row],[Date]],Database!A:E,MATCH($A$1,Database!$A$1:$E$1,),)</f>
        <v>106.648</v>
      </c>
      <c r="C710" s="9">
        <f t="shared" ref="C710:C767" si="11">(B710-B709)/B709</f>
        <v>1.4743029927411376E-3</v>
      </c>
      <c r="D710" s="7">
        <f>(Table5345679103[[#This Row],[Value]]-B698)/B698</f>
        <v>1.7769549367281839E-2</v>
      </c>
    </row>
    <row r="711" spans="1:4" x14ac:dyDescent="0.2">
      <c r="A711" s="57">
        <v>43040</v>
      </c>
      <c r="B711" s="58">
        <f>VLOOKUP(Table5345679103[[#This Row],[Date]],Database!A:E,MATCH($A$1,Database!$A$1:$E$1,),)</f>
        <v>106.825</v>
      </c>
      <c r="C711" s="9">
        <f t="shared" si="11"/>
        <v>1.659665441452317E-3</v>
      </c>
      <c r="D711" s="7">
        <f>(Table5345679103[[#This Row],[Value]]-B699)/B699</f>
        <v>1.9069696449354259E-2</v>
      </c>
    </row>
    <row r="712" spans="1:4" x14ac:dyDescent="0.2">
      <c r="A712" s="57">
        <v>43070</v>
      </c>
      <c r="B712" s="58">
        <f>VLOOKUP(Table5345679103[[#This Row],[Date]],Database!A:E,MATCH($A$1,Database!$A$1:$E$1,),)</f>
        <v>106.98</v>
      </c>
      <c r="C712" s="9">
        <f t="shared" si="11"/>
        <v>1.4509712146033337E-3</v>
      </c>
      <c r="D712" s="7">
        <f>(Table5345679103[[#This Row],[Value]]-B700)/B700</f>
        <v>1.8692211737147395E-2</v>
      </c>
    </row>
    <row r="713" spans="1:4" x14ac:dyDescent="0.2">
      <c r="A713" s="57">
        <v>43101</v>
      </c>
      <c r="B713" s="58">
        <f>VLOOKUP(Table5345679103[[#This Row],[Date]],Database!A:E,MATCH($A$1,Database!$A$1:$E$1,),)</f>
        <v>107.36199999999999</v>
      </c>
      <c r="C713" s="9">
        <f t="shared" si="11"/>
        <v>3.5707608898858738E-3</v>
      </c>
      <c r="D713" s="7">
        <f>(Table5345679103[[#This Row],[Value]]-B701)/B701</f>
        <v>1.8537492410443168E-2</v>
      </c>
    </row>
    <row r="714" spans="1:4" x14ac:dyDescent="0.2">
      <c r="A714" s="57">
        <v>43132</v>
      </c>
      <c r="B714" s="58">
        <f>VLOOKUP(Table5345679103[[#This Row],[Date]],Database!A:E,MATCH($A$1,Database!$A$1:$E$1,),)</f>
        <v>107.625</v>
      </c>
      <c r="C714" s="9">
        <f t="shared" si="11"/>
        <v>2.4496563029750306E-3</v>
      </c>
      <c r="D714" s="7">
        <f>(Table5345679103[[#This Row],[Value]]-B702)/B702</f>
        <v>1.9465757317419789E-2</v>
      </c>
    </row>
    <row r="715" spans="1:4" x14ac:dyDescent="0.2">
      <c r="A715" s="57">
        <v>43160</v>
      </c>
      <c r="B715" s="58">
        <f>VLOOKUP(Table5345679103[[#This Row],[Date]],Database!A:E,MATCH($A$1,Database!$A$1:$E$1,),)</f>
        <v>107.777</v>
      </c>
      <c r="C715" s="9">
        <f t="shared" si="11"/>
        <v>1.412311265969812E-3</v>
      </c>
      <c r="D715" s="7">
        <f>(Table5345679103[[#This Row],[Value]]-B703)/B703</f>
        <v>2.1466752596861025E-2</v>
      </c>
    </row>
    <row r="716" spans="1:4" x14ac:dyDescent="0.2">
      <c r="A716" s="57">
        <v>43191</v>
      </c>
      <c r="B716" s="58">
        <f>VLOOKUP(Table5345679103[[#This Row],[Date]],Database!A:E,MATCH($A$1,Database!$A$1:$E$1,),)</f>
        <v>107.988</v>
      </c>
      <c r="C716" s="9">
        <f t="shared" si="11"/>
        <v>1.957746086827417E-3</v>
      </c>
      <c r="D716" s="7">
        <f>(Table5345679103[[#This Row],[Value]]-B704)/B704</f>
        <v>2.1221062187925552E-2</v>
      </c>
    </row>
    <row r="717" spans="1:4" x14ac:dyDescent="0.2">
      <c r="A717" s="57">
        <v>43221</v>
      </c>
      <c r="B717" s="58">
        <f>VLOOKUP(Table5345679103[[#This Row],[Date]],Database!A:E,MATCH($A$1,Database!$A$1:$E$1,),)</f>
        <v>108.193</v>
      </c>
      <c r="C717" s="9">
        <f t="shared" si="11"/>
        <v>1.8983590769344584E-3</v>
      </c>
      <c r="D717" s="7">
        <f>(Table5345679103[[#This Row],[Value]]-B705)/B705</f>
        <v>2.3450063378549664E-2</v>
      </c>
    </row>
    <row r="718" spans="1:4" x14ac:dyDescent="0.2">
      <c r="A718" s="57">
        <v>43252</v>
      </c>
      <c r="B718" s="58">
        <f>VLOOKUP(Table5345679103[[#This Row],[Date]],Database!A:E,MATCH($A$1,Database!$A$1:$E$1,),)</f>
        <v>108.31699999999999</v>
      </c>
      <c r="C718" s="9">
        <f t="shared" si="11"/>
        <v>1.1461000249553598E-3</v>
      </c>
      <c r="D718" s="7">
        <f>(Table5345679103[[#This Row],[Value]]-B706)/B706</f>
        <v>2.3645040873222091E-2</v>
      </c>
    </row>
    <row r="719" spans="1:4" x14ac:dyDescent="0.2">
      <c r="A719" s="57">
        <v>43282</v>
      </c>
      <c r="B719" s="58">
        <f>VLOOKUP(Table5345679103[[#This Row],[Date]],Database!A:E,MATCH($A$1,Database!$A$1:$E$1,),)</f>
        <v>108.417</v>
      </c>
      <c r="C719" s="9">
        <f t="shared" si="11"/>
        <v>9.2321611566059376E-4</v>
      </c>
      <c r="D719" s="7">
        <f>(Table5345679103[[#This Row],[Value]]-B707)/B707</f>
        <v>2.4328716388579232E-2</v>
      </c>
    </row>
    <row r="720" spans="1:4" x14ac:dyDescent="0.2">
      <c r="A720" s="57">
        <v>43313</v>
      </c>
      <c r="B720" s="58">
        <f>VLOOKUP(Table5345679103[[#This Row],[Date]],Database!A:E,MATCH($A$1,Database!$A$1:$E$1,),)</f>
        <v>108.502</v>
      </c>
      <c r="C720" s="9">
        <f t="shared" si="11"/>
        <v>7.840098877481737E-4</v>
      </c>
      <c r="D720" s="7">
        <f>(Table5345679103[[#This Row],[Value]]-B708)/B708</f>
        <v>2.2706493359599518E-2</v>
      </c>
    </row>
    <row r="721" spans="1:4" x14ac:dyDescent="0.2">
      <c r="A721" s="57">
        <v>43344</v>
      </c>
      <c r="B721" s="58">
        <f>VLOOKUP(Table5345679103[[#This Row],[Date]],Database!A:E,MATCH($A$1,Database!$A$1:$E$1,),)</f>
        <v>108.738</v>
      </c>
      <c r="C721" s="9">
        <f t="shared" si="11"/>
        <v>2.1750751138228256E-3</v>
      </c>
      <c r="D721" s="7">
        <f>(Table5345679103[[#This Row],[Value]]-B709)/B709</f>
        <v>2.1100374679550383E-2</v>
      </c>
    </row>
    <row r="722" spans="1:4" x14ac:dyDescent="0.2">
      <c r="A722" s="57">
        <v>43374</v>
      </c>
      <c r="B722" s="58">
        <f>VLOOKUP(Table5345679103[[#This Row],[Date]],Database!A:E,MATCH($A$1,Database!$A$1:$E$1,),)</f>
        <v>108.92400000000001</v>
      </c>
      <c r="C722" s="9">
        <f t="shared" si="11"/>
        <v>1.7105335761188089E-3</v>
      </c>
      <c r="D722" s="7">
        <f>(Table5345679103[[#This Row],[Value]]-B710)/B710</f>
        <v>2.1341234716075411E-2</v>
      </c>
    </row>
    <row r="723" spans="1:4" x14ac:dyDescent="0.2">
      <c r="A723" s="57">
        <v>43405</v>
      </c>
      <c r="B723" s="58">
        <f>VLOOKUP(Table5345679103[[#This Row],[Date]],Database!A:E,MATCH($A$1,Database!$A$1:$E$1,),)</f>
        <v>108.96899999999999</v>
      </c>
      <c r="C723" s="9">
        <f t="shared" si="11"/>
        <v>4.1313209210079956E-4</v>
      </c>
      <c r="D723" s="7">
        <f>(Table5345679103[[#This Row],[Value]]-B711)/B711</f>
        <v>2.0070208284577496E-2</v>
      </c>
    </row>
    <row r="724" spans="1:4" x14ac:dyDescent="0.2">
      <c r="A724" s="57">
        <v>43435</v>
      </c>
      <c r="B724" s="58">
        <f>VLOOKUP(Table5345679103[[#This Row],[Date]],Database!A:E,MATCH($A$1,Database!$A$1:$E$1,),)</f>
        <v>108.991</v>
      </c>
      <c r="C724" s="9">
        <f t="shared" si="11"/>
        <v>2.018922812910605E-4</v>
      </c>
      <c r="D724" s="7">
        <f>(Table5345679103[[#This Row],[Value]]-B712)/B712</f>
        <v>1.8797906150682331E-2</v>
      </c>
    </row>
    <row r="725" spans="1:4" x14ac:dyDescent="0.2">
      <c r="A725" s="57">
        <v>43466</v>
      </c>
      <c r="B725" s="58">
        <f>VLOOKUP(Table5345679103[[#This Row],[Date]],Database!A:E,MATCH($A$1,Database!$A$1:$E$1,),)</f>
        <v>108.977</v>
      </c>
      <c r="C725" s="9">
        <f t="shared" si="11"/>
        <v>-1.2845097301608199E-4</v>
      </c>
      <c r="D725" s="7">
        <f>(Table5345679103[[#This Row],[Value]]-B713)/B713</f>
        <v>1.504256627112022E-2</v>
      </c>
    </row>
    <row r="726" spans="1:4" x14ac:dyDescent="0.2">
      <c r="A726" s="57">
        <v>43497</v>
      </c>
      <c r="B726" s="58">
        <f>VLOOKUP(Table5345679103[[#This Row],[Date]],Database!A:E,MATCH($A$1,Database!$A$1:$E$1,),)</f>
        <v>109.146</v>
      </c>
      <c r="C726" s="9">
        <f t="shared" si="11"/>
        <v>1.5507859456582299E-3</v>
      </c>
      <c r="D726" s="7">
        <f>(Table5345679103[[#This Row],[Value]]-B714)/B714</f>
        <v>1.4132404181184676E-2</v>
      </c>
    </row>
    <row r="727" spans="1:4" x14ac:dyDescent="0.2">
      <c r="A727" s="57">
        <v>43525</v>
      </c>
      <c r="B727" s="58">
        <f>VLOOKUP(Table5345679103[[#This Row],[Date]],Database!A:E,MATCH($A$1,Database!$A$1:$E$1,),)</f>
        <v>109.443</v>
      </c>
      <c r="C727" s="9">
        <f t="shared" si="11"/>
        <v>2.721125831455088E-3</v>
      </c>
      <c r="D727" s="7">
        <f>(Table5345679103[[#This Row],[Value]]-B715)/B715</f>
        <v>1.5457843510210869E-2</v>
      </c>
    </row>
    <row r="728" spans="1:4" x14ac:dyDescent="0.2">
      <c r="A728" s="57">
        <v>43556</v>
      </c>
      <c r="B728" s="58">
        <f>VLOOKUP(Table5345679103[[#This Row],[Date]],Database!A:E,MATCH($A$1,Database!$A$1:$E$1,),)</f>
        <v>109.78</v>
      </c>
      <c r="C728" s="9">
        <f t="shared" si="11"/>
        <v>3.0792284568223029E-3</v>
      </c>
      <c r="D728" s="7">
        <f>(Table5345679103[[#This Row],[Value]]-B716)/B716</f>
        <v>1.659443641886137E-2</v>
      </c>
    </row>
    <row r="729" spans="1:4" x14ac:dyDescent="0.2">
      <c r="A729" s="57">
        <v>43586</v>
      </c>
      <c r="B729" s="58">
        <f>VLOOKUP(Table5345679103[[#This Row],[Date]],Database!A:E,MATCH($A$1,Database!$A$1:$E$1,),)</f>
        <v>109.85599999999999</v>
      </c>
      <c r="C729" s="9">
        <f t="shared" si="11"/>
        <v>6.9229367826556206E-4</v>
      </c>
      <c r="D729" s="7">
        <f>(Table5345679103[[#This Row],[Value]]-B717)/B717</f>
        <v>1.5370680173393813E-2</v>
      </c>
    </row>
    <row r="730" spans="1:4" x14ac:dyDescent="0.2">
      <c r="A730" s="57">
        <v>43617</v>
      </c>
      <c r="B730" s="58">
        <f>VLOOKUP(Table5345679103[[#This Row],[Date]],Database!A:E,MATCH($A$1,Database!$A$1:$E$1,),)</f>
        <v>109.935</v>
      </c>
      <c r="C730" s="9">
        <f t="shared" si="11"/>
        <v>7.1912321584626903E-4</v>
      </c>
      <c r="D730" s="7">
        <f>(Table5345679103[[#This Row],[Value]]-B718)/B718</f>
        <v>1.4937636751387219E-2</v>
      </c>
    </row>
    <row r="731" spans="1:4" x14ac:dyDescent="0.2">
      <c r="A731" s="57">
        <v>43647</v>
      </c>
      <c r="B731" s="58">
        <f>VLOOKUP(Table5345679103[[#This Row],[Date]],Database!A:E,MATCH($A$1,Database!$A$1:$E$1,),)</f>
        <v>110.09399999999999</v>
      </c>
      <c r="C731" s="9">
        <f t="shared" si="11"/>
        <v>1.4463091826987929E-3</v>
      </c>
      <c r="D731" s="7">
        <f>(Table5345679103[[#This Row],[Value]]-B719)/B719</f>
        <v>1.5468053902985624E-2</v>
      </c>
    </row>
    <row r="732" spans="1:4" s="64" customFormat="1" x14ac:dyDescent="0.2">
      <c r="A732" s="57">
        <v>43678</v>
      </c>
      <c r="B732" s="58">
        <f>VLOOKUP(Table5345679103[[#This Row],[Date]],Database!A:E,MATCH($A$1,Database!$A$1:$E$1,),)</f>
        <v>110.13200000000001</v>
      </c>
      <c r="C732" s="9">
        <f t="shared" si="11"/>
        <v>3.4515959089515246E-4</v>
      </c>
      <c r="D732" s="7">
        <f>(Table5345679103[[#This Row],[Value]]-B720)/B720</f>
        <v>1.5022764557335439E-2</v>
      </c>
    </row>
    <row r="733" spans="1:4" s="64" customFormat="1" x14ac:dyDescent="0.2">
      <c r="A733" s="57">
        <v>43709</v>
      </c>
      <c r="B733" s="58">
        <f>VLOOKUP(Table5345679103[[#This Row],[Date]],Database!A:E,MATCH($A$1,Database!$A$1:$E$1,),)</f>
        <v>110.20699999999999</v>
      </c>
      <c r="C733" s="9">
        <f t="shared" si="11"/>
        <v>6.810009806413089E-4</v>
      </c>
      <c r="D733" s="7">
        <f>(Table5345679103[[#This Row],[Value]]-B721)/B721</f>
        <v>1.3509536684507661E-2</v>
      </c>
    </row>
    <row r="734" spans="1:4" s="64" customFormat="1" x14ac:dyDescent="0.2">
      <c r="A734" s="57">
        <v>43739</v>
      </c>
      <c r="B734" s="58">
        <f>VLOOKUP(Table5345679103[[#This Row],[Date]],Database!A:E,MATCH($A$1,Database!$A$1:$E$1,),)</f>
        <v>110.423</v>
      </c>
      <c r="C734" s="9">
        <f t="shared" si="11"/>
        <v>1.9599480976708211E-3</v>
      </c>
      <c r="D734" s="7">
        <f>(Table5345679103[[#This Row],[Value]]-B722)/B722</f>
        <v>1.3761889023539304E-2</v>
      </c>
    </row>
    <row r="735" spans="1:4" s="64" customFormat="1" x14ac:dyDescent="0.2">
      <c r="A735" s="57">
        <v>43770</v>
      </c>
      <c r="B735" s="58">
        <f>VLOOKUP(Table5345679103[[#This Row],[Date]],Database!A:E,MATCH($A$1,Database!$A$1:$E$1,),)</f>
        <v>110.46899999999999</v>
      </c>
      <c r="C735" s="9">
        <f t="shared" si="11"/>
        <v>4.16579879191765E-4</v>
      </c>
      <c r="D735" s="7">
        <f>(Table5345679103[[#This Row],[Value]]-B723)/B723</f>
        <v>1.3765382815296094E-2</v>
      </c>
    </row>
    <row r="736" spans="1:4" s="64" customFormat="1" x14ac:dyDescent="0.2">
      <c r="A736" s="57">
        <v>43800</v>
      </c>
      <c r="B736" s="58">
        <f>VLOOKUP(Table5345679103[[#This Row],[Date]],Database!A:E,MATCH($A$1,Database!$A$1:$E$1,),)</f>
        <v>110.736</v>
      </c>
      <c r="C736" s="9">
        <f t="shared" si="11"/>
        <v>2.4169676560846041E-3</v>
      </c>
      <c r="D736" s="7">
        <f>(Table5345679103[[#This Row],[Value]]-B724)/B724</f>
        <v>1.6010496279509359E-2</v>
      </c>
    </row>
    <row r="737" spans="1:4" s="64" customFormat="1" x14ac:dyDescent="0.2">
      <c r="A737" s="57">
        <v>43831</v>
      </c>
      <c r="B737" s="58">
        <f>VLOOKUP(Table5345679103[[#This Row],[Date]],Database!A:E,MATCH($A$1,Database!$A$1:$E$1,),)</f>
        <v>110.944</v>
      </c>
      <c r="C737" s="9">
        <f t="shared" si="11"/>
        <v>1.8783412801618119E-3</v>
      </c>
      <c r="D737" s="7">
        <f>(Table5345679103[[#This Row],[Value]]-B725)/B725</f>
        <v>1.8049680207750246E-2</v>
      </c>
    </row>
    <row r="738" spans="1:4" s="64" customFormat="1" x14ac:dyDescent="0.2">
      <c r="A738" s="57">
        <v>43862</v>
      </c>
      <c r="B738" s="58">
        <f>VLOOKUP(Table5345679103[[#This Row],[Date]],Database!A:E,MATCH($A$1,Database!$A$1:$E$1,),)</f>
        <v>111.07</v>
      </c>
      <c r="C738" s="9">
        <f t="shared" si="11"/>
        <v>1.1357081049898198E-3</v>
      </c>
      <c r="D738" s="7">
        <f>(Table5345679103[[#This Row],[Value]]-B726)/B726</f>
        <v>1.762776464552061E-2</v>
      </c>
    </row>
    <row r="739" spans="1:4" s="64" customFormat="1" x14ac:dyDescent="0.2">
      <c r="A739" s="57">
        <v>43891</v>
      </c>
      <c r="B739" s="58">
        <f>VLOOKUP(Table5345679103[[#This Row],[Date]],Database!A:E,MATCH($A$1,Database!$A$1:$E$1,),)</f>
        <v>110.824</v>
      </c>
      <c r="C739" s="9">
        <f t="shared" si="11"/>
        <v>-2.2148194832087432E-3</v>
      </c>
      <c r="D739" s="7">
        <f>(Table5345679103[[#This Row],[Value]]-B727)/B727</f>
        <v>1.2618440649470503E-2</v>
      </c>
    </row>
    <row r="740" spans="1:4" s="64" customFormat="1" x14ac:dyDescent="0.2">
      <c r="A740" s="57">
        <v>43922</v>
      </c>
      <c r="B740" s="58">
        <f>VLOOKUP(Table5345679103[[#This Row],[Date]],Database!A:E,MATCH($A$1,Database!$A$1:$E$1,),)</f>
        <v>110.23699999999999</v>
      </c>
      <c r="C740" s="9">
        <f t="shared" si="11"/>
        <v>-5.2966866382733284E-3</v>
      </c>
      <c r="D740" s="7">
        <f>(Table5345679103[[#This Row],[Value]]-B728)/B728</f>
        <v>4.1628711969392751E-3</v>
      </c>
    </row>
    <row r="741" spans="1:4" s="64" customFormat="1" x14ac:dyDescent="0.2">
      <c r="A741" s="57">
        <v>43952</v>
      </c>
      <c r="B741" s="58">
        <f>VLOOKUP(Table5345679103[[#This Row],[Date]],Database!A:E,MATCH($A$1,Database!$A$1:$E$1,),)</f>
        <v>110.35299999999999</v>
      </c>
      <c r="C741" s="9">
        <f t="shared" si="11"/>
        <v>1.0522782731750653E-3</v>
      </c>
      <c r="D741" s="7">
        <f>(Table5345679103[[#This Row],[Value]]-B729)/B729</f>
        <v>4.5241042819691227E-3</v>
      </c>
    </row>
    <row r="742" spans="1:4" s="64" customFormat="1" x14ac:dyDescent="0.2">
      <c r="A742" s="57">
        <v>43983</v>
      </c>
      <c r="B742" s="58">
        <f>VLOOKUP(Table5345679103[[#This Row],[Date]],Database!A:E,MATCH($A$1,Database!$A$1:$E$1,),)</f>
        <v>110.746</v>
      </c>
      <c r="C742" s="9">
        <f t="shared" si="11"/>
        <v>3.561298741311978E-3</v>
      </c>
      <c r="D742" s="7">
        <f>(Table5345679103[[#This Row],[Value]]-B730)/B730</f>
        <v>7.3770864601809504E-3</v>
      </c>
    </row>
    <row r="743" spans="1:4" s="64" customFormat="1" x14ac:dyDescent="0.2">
      <c r="A743" s="57">
        <v>44013</v>
      </c>
      <c r="B743" s="58">
        <f>VLOOKUP(Table5345679103[[#This Row],[Date]],Database!A:E,MATCH($A$1,Database!$A$1:$E$1,),)</f>
        <v>111.072</v>
      </c>
      <c r="C743" s="9">
        <f t="shared" si="11"/>
        <v>2.9436729091796331E-3</v>
      </c>
      <c r="D743" s="7">
        <f>(Table5345679103[[#This Row],[Value]]-B731)/B731</f>
        <v>8.8833178919832927E-3</v>
      </c>
    </row>
    <row r="744" spans="1:4" s="64" customFormat="1" x14ac:dyDescent="0.2">
      <c r="A744" s="57">
        <v>44044</v>
      </c>
      <c r="B744" s="58">
        <f>VLOOKUP(Table5345679103[[#This Row],[Date]],Database!A:E,MATCH($A$1,Database!$A$1:$E$1,),)</f>
        <v>111.411</v>
      </c>
      <c r="C744" s="9">
        <f t="shared" si="11"/>
        <v>3.0520743301642055E-3</v>
      </c>
      <c r="D744" s="7">
        <f>(Table5345679103[[#This Row],[Value]]-B732)/B732</f>
        <v>1.1613336723204849E-2</v>
      </c>
    </row>
    <row r="745" spans="1:4" s="64" customFormat="1" x14ac:dyDescent="0.2">
      <c r="A745" s="57">
        <v>44075</v>
      </c>
      <c r="B745" s="58">
        <f>VLOOKUP(Table5345679103[[#This Row],[Date]],Database!A:E,MATCH($A$1,Database!$A$1:$E$1,),)</f>
        <v>111.613</v>
      </c>
      <c r="C745" s="9">
        <f t="shared" si="11"/>
        <v>1.8131064257568658E-3</v>
      </c>
      <c r="D745" s="7">
        <f>(Table5345679103[[#This Row],[Value]]-B733)/B733</f>
        <v>1.2757810302430934E-2</v>
      </c>
    </row>
    <row r="746" spans="1:4" s="64" customFormat="1" x14ac:dyDescent="0.2">
      <c r="A746" s="57">
        <v>44105</v>
      </c>
      <c r="B746" s="58">
        <f>VLOOKUP(Table5345679103[[#This Row],[Date]],Database!A:E,MATCH($A$1,Database!$A$1:$E$1,),)</f>
        <v>111.648</v>
      </c>
      <c r="C746" s="9">
        <f t="shared" si="11"/>
        <v>3.135835431356257E-4</v>
      </c>
      <c r="D746" s="7">
        <f>(Table5345679103[[#This Row],[Value]]-B734)/B734</f>
        <v>1.1093703304565121E-2</v>
      </c>
    </row>
    <row r="747" spans="1:4" s="64" customFormat="1" x14ac:dyDescent="0.2">
      <c r="A747" s="57">
        <v>44136</v>
      </c>
      <c r="B747" s="58">
        <f>VLOOKUP(Table5345679103[[#This Row],[Date]],Database!A:E,MATCH($A$1,Database!$A$1:$E$1,),)</f>
        <v>111.666</v>
      </c>
      <c r="C747" s="9">
        <f t="shared" si="11"/>
        <v>1.6122098022356587E-4</v>
      </c>
      <c r="D747" s="7">
        <f>(Table5345679103[[#This Row],[Value]]-B735)/B735</f>
        <v>1.0835619042446322E-2</v>
      </c>
    </row>
    <row r="748" spans="1:4" s="64" customFormat="1" x14ac:dyDescent="0.2">
      <c r="A748" s="57">
        <v>44166</v>
      </c>
      <c r="B748" s="58">
        <f>VLOOKUP(Table5345679103[[#This Row],[Date]],Database!A:E,MATCH($A$1,Database!$A$1:$E$1,),)</f>
        <v>112.15</v>
      </c>
      <c r="C748" s="9">
        <f t="shared" si="11"/>
        <v>4.3343542349507363E-3</v>
      </c>
      <c r="D748" s="7">
        <f>(Table5345679103[[#This Row],[Value]]-B736)/B736</f>
        <v>1.276910851033089E-2</v>
      </c>
    </row>
    <row r="749" spans="1:4" s="64" customFormat="1" x14ac:dyDescent="0.2">
      <c r="A749" s="57">
        <v>44197</v>
      </c>
      <c r="B749" s="58">
        <f>VLOOKUP(Table5345679103[[#This Row],[Date]],Database!A:E,MATCH($A$1,Database!$A$1:$E$1,),)</f>
        <v>112.583</v>
      </c>
      <c r="C749" s="9">
        <f t="shared" si="11"/>
        <v>3.8609005795808534E-3</v>
      </c>
      <c r="D749" s="7">
        <f>(Table5345679103[[#This Row],[Value]]-B737)/B737</f>
        <v>1.4773218921257533E-2</v>
      </c>
    </row>
    <row r="750" spans="1:4" s="64" customFormat="1" x14ac:dyDescent="0.2">
      <c r="A750" s="57">
        <v>44228</v>
      </c>
      <c r="B750" s="58">
        <f>VLOOKUP(Table5345679103[[#This Row],[Date]],Database!A:E,MATCH($A$1,Database!$A$1:$E$1,),)</f>
        <v>112.961</v>
      </c>
      <c r="C750" s="9">
        <f t="shared" si="11"/>
        <v>3.357522894220265E-3</v>
      </c>
      <c r="D750" s="7">
        <f>(Table5345679103[[#This Row],[Value]]-B738)/B738</f>
        <v>1.7025299360763531E-2</v>
      </c>
    </row>
    <row r="751" spans="1:4" s="64" customFormat="1" x14ac:dyDescent="0.2">
      <c r="A751" s="57">
        <v>44256</v>
      </c>
      <c r="B751" s="58">
        <f>VLOOKUP(Table5345679103[[#This Row],[Date]],Database!A:E,MATCH($A$1,Database!$A$1:$E$1,),)</f>
        <v>113.63200000000001</v>
      </c>
      <c r="C751" s="9">
        <f t="shared" si="11"/>
        <v>5.9401032214658729E-3</v>
      </c>
      <c r="D751" s="7">
        <f>(Table5345679103[[#This Row],[Value]]-B739)/B739</f>
        <v>2.5337472027719691E-2</v>
      </c>
    </row>
    <row r="752" spans="1:4" s="64" customFormat="1" x14ac:dyDescent="0.2">
      <c r="A752" s="57">
        <v>44287</v>
      </c>
      <c r="B752" s="58">
        <f>VLOOKUP(Table5345679103[[#This Row],[Date]],Database!A:E,MATCH($A$1,Database!$A$1:$E$1,),)</f>
        <v>114.238</v>
      </c>
      <c r="C752" s="9">
        <f t="shared" si="11"/>
        <v>5.3330047873837872E-3</v>
      </c>
      <c r="D752" s="7">
        <f>(Table5345679103[[#This Row],[Value]]-B740)/B740</f>
        <v>3.6294529060115974E-2</v>
      </c>
    </row>
    <row r="753" spans="1:4" s="64" customFormat="1" x14ac:dyDescent="0.2">
      <c r="A753" s="57">
        <v>44317</v>
      </c>
      <c r="B753" s="58">
        <f>VLOOKUP(Table5345679103[[#This Row],[Date]],Database!A:E,MATCH($A$1,Database!$A$1:$E$1,),)</f>
        <v>114.819</v>
      </c>
      <c r="C753" s="9">
        <f t="shared" si="11"/>
        <v>5.085873352124539E-3</v>
      </c>
      <c r="D753" s="7">
        <f>(Table5345679103[[#This Row],[Value]]-B741)/B741</f>
        <v>4.0470127681168692E-2</v>
      </c>
    </row>
    <row r="754" spans="1:4" s="64" customFormat="1" x14ac:dyDescent="0.2">
      <c r="A754" s="57">
        <v>44348</v>
      </c>
      <c r="B754" s="58">
        <f>VLOOKUP(Table5345679103[[#This Row],[Date]],Database!A:E,MATCH($A$1,Database!$A$1:$E$1,),)</f>
        <v>115.458</v>
      </c>
      <c r="C754" s="9">
        <f t="shared" si="11"/>
        <v>5.5652810074987222E-3</v>
      </c>
      <c r="D754" s="7">
        <f>(Table5345679103[[#This Row],[Value]]-B742)/B742</f>
        <v>4.2547812110595447E-2</v>
      </c>
    </row>
    <row r="755" spans="1:4" s="64" customFormat="1" x14ac:dyDescent="0.2">
      <c r="A755" s="57">
        <v>44378</v>
      </c>
      <c r="B755" s="58">
        <f>VLOOKUP(Table5345679103[[#This Row],[Date]],Database!A:E,MATCH($A$1,Database!$A$1:$E$1,),)</f>
        <v>115.986</v>
      </c>
      <c r="C755" s="9">
        <f t="shared" si="11"/>
        <v>4.5730915137972752E-3</v>
      </c>
      <c r="D755" s="7">
        <f>(Table5345679103[[#This Row],[Value]]-B743)/B743</f>
        <v>4.4241573033707876E-2</v>
      </c>
    </row>
    <row r="756" spans="1:4" s="64" customFormat="1" x14ac:dyDescent="0.2">
      <c r="A756" s="57">
        <v>44409</v>
      </c>
      <c r="B756" s="58">
        <f>VLOOKUP(Table5345679103[[#This Row],[Date]],Database!A:E,MATCH($A$1,Database!$A$1:$E$1,),)</f>
        <v>116.444</v>
      </c>
      <c r="C756" s="9">
        <f t="shared" si="11"/>
        <v>3.9487524356387705E-3</v>
      </c>
      <c r="D756" s="7">
        <f>(Table5345679103[[#This Row],[Value]]-B744)/B744</f>
        <v>4.5175072479378166E-2</v>
      </c>
    </row>
    <row r="757" spans="1:4" s="64" customFormat="1" x14ac:dyDescent="0.2">
      <c r="A757" s="57">
        <v>44440</v>
      </c>
      <c r="B757" s="58">
        <f>VLOOKUP(Table5345679103[[#This Row],[Date]],Database!A:E,MATCH($A$1,Database!$A$1:$E$1,),)</f>
        <v>116.80800000000001</v>
      </c>
      <c r="C757" s="9">
        <f t="shared" si="11"/>
        <v>3.125966129641753E-3</v>
      </c>
      <c r="D757" s="7">
        <f>(Table5345679103[[#This Row],[Value]]-B745)/B745</f>
        <v>4.6544757331135327E-2</v>
      </c>
    </row>
    <row r="758" spans="1:4" s="64" customFormat="1" x14ac:dyDescent="0.2">
      <c r="A758" s="57">
        <v>44470</v>
      </c>
      <c r="B758" s="58">
        <f>VLOOKUP(Table5345679103[[#This Row],[Date]],Database!A:E,MATCH($A$1,Database!$A$1:$E$1,),)</f>
        <v>117.479</v>
      </c>
      <c r="C758" s="9">
        <f t="shared" si="11"/>
        <v>5.7444695568795992E-3</v>
      </c>
      <c r="D758" s="7">
        <f>(Table5345679103[[#This Row],[Value]]-B746)/B746</f>
        <v>5.2226640871309862E-2</v>
      </c>
    </row>
    <row r="759" spans="1:4" s="64" customFormat="1" x14ac:dyDescent="0.2">
      <c r="A759" s="57">
        <v>44501</v>
      </c>
      <c r="B759" s="58">
        <f>VLOOKUP(Table5345679103[[#This Row],[Date]],Database!A:E,MATCH($A$1,Database!$A$1:$E$1,),)</f>
        <v>118.2</v>
      </c>
      <c r="C759" s="9">
        <f t="shared" si="11"/>
        <v>6.1372670860324286E-3</v>
      </c>
      <c r="D759" s="7">
        <f>(Table5345679103[[#This Row],[Value]]-B747)/B747</f>
        <v>5.8513782171833915E-2</v>
      </c>
    </row>
    <row r="760" spans="1:4" s="64" customFormat="1" x14ac:dyDescent="0.2">
      <c r="A760" s="57">
        <v>44531</v>
      </c>
      <c r="B760" s="58">
        <f>VLOOKUP(Table5345679103[[#This Row],[Date]],Database!A:E,MATCH($A$1,Database!$A$1:$E$1,),)</f>
        <v>118.84099999999999</v>
      </c>
      <c r="C760" s="9">
        <f t="shared" si="11"/>
        <v>5.4230118443315658E-3</v>
      </c>
      <c r="D760" s="7">
        <f>(Table5345679103[[#This Row],[Value]]-B748)/B748</f>
        <v>5.9661168078466234E-2</v>
      </c>
    </row>
    <row r="761" spans="1:4" s="64" customFormat="1" x14ac:dyDescent="0.2">
      <c r="A761" s="57">
        <v>44562</v>
      </c>
      <c r="B761" s="58">
        <f>VLOOKUP(Table5345679103[[#This Row],[Date]],Database!A:E,MATCH($A$1,Database!$A$1:$E$1,),)</f>
        <v>119.46899999999999</v>
      </c>
      <c r="C761" s="9">
        <f t="shared" si="11"/>
        <v>5.2843715552713302E-3</v>
      </c>
      <c r="D761" s="7">
        <f>(Table5345679103[[#This Row],[Value]]-B749)/B749</f>
        <v>6.1163763623282338E-2</v>
      </c>
    </row>
    <row r="762" spans="1:4" s="64" customFormat="1" x14ac:dyDescent="0.2">
      <c r="A762" s="57">
        <v>44593</v>
      </c>
      <c r="B762" s="58">
        <f>VLOOKUP(Table5345679103[[#This Row],[Date]],Database!A:E,MATCH($A$1,Database!$A$1:$E$1,),)</f>
        <v>120.178</v>
      </c>
      <c r="C762" s="9">
        <f t="shared" si="11"/>
        <v>5.9345939113912664E-3</v>
      </c>
      <c r="D762" s="7">
        <f>(Table5345679103[[#This Row],[Value]]-B750)/B750</f>
        <v>6.3889306928940071E-2</v>
      </c>
    </row>
    <row r="763" spans="1:4" s="64" customFormat="1" x14ac:dyDescent="0.2">
      <c r="A763" s="57">
        <v>44621</v>
      </c>
      <c r="B763" s="58">
        <f>VLOOKUP(Table5345679103[[#This Row],[Date]],Database!A:E,MATCH($A$1,Database!$A$1:$E$1,),)</f>
        <v>121.321</v>
      </c>
      <c r="C763" s="9">
        <f t="shared" si="11"/>
        <v>9.5108921766047082E-3</v>
      </c>
      <c r="D763" s="7">
        <f>(Table5345679103[[#This Row],[Value]]-B751)/B751</f>
        <v>6.7665798366657218E-2</v>
      </c>
    </row>
    <row r="764" spans="1:4" s="64" customFormat="1" x14ac:dyDescent="0.2">
      <c r="A764" s="57">
        <v>44652</v>
      </c>
      <c r="B764" s="58">
        <f>VLOOKUP(Table5345679103[[#This Row],[Date]],Database!A:E,MATCH($A$1,Database!$A$1:$E$1,),)</f>
        <v>121.563</v>
      </c>
      <c r="C764" s="9">
        <f t="shared" si="11"/>
        <v>1.9947082533114994E-3</v>
      </c>
      <c r="D764" s="7">
        <f>(Table5345679103[[#This Row],[Value]]-B752)/B752</f>
        <v>6.4120520317232463E-2</v>
      </c>
    </row>
    <row r="765" spans="1:4" s="64" customFormat="1" x14ac:dyDescent="0.2">
      <c r="A765" s="57">
        <v>44682</v>
      </c>
      <c r="B765" s="58">
        <f>VLOOKUP(Table5345679103[[#This Row],[Date]],Database!A:E,MATCH($A$1,Database!$A$1:$E$1,),)</f>
        <v>122.3</v>
      </c>
      <c r="C765" s="9">
        <f t="shared" si="11"/>
        <v>6.0626999991773385E-3</v>
      </c>
      <c r="D765" s="7">
        <f>(Table5345679103[[#This Row],[Value]]-B753)/B753</f>
        <v>6.5154721779496369E-2</v>
      </c>
    </row>
    <row r="766" spans="1:4" s="64" customFormat="1" x14ac:dyDescent="0.2">
      <c r="A766" s="57">
        <v>44713</v>
      </c>
      <c r="B766" s="58">
        <f>VLOOKUP(Table5345679103[[#This Row],[Date]],Database!A:E,MATCH($A$1,Database!$A$1:$E$1,),)</f>
        <v>123.512</v>
      </c>
      <c r="C766" s="9">
        <f t="shared" si="11"/>
        <v>9.9100572363041966E-3</v>
      </c>
      <c r="D766" s="7">
        <f>(Table5345679103[[#This Row],[Value]]-B754)/B754</f>
        <v>6.9756967901747846E-2</v>
      </c>
    </row>
    <row r="767" spans="1:4" s="64" customFormat="1" x14ac:dyDescent="0.2">
      <c r="A767" s="57">
        <v>44743</v>
      </c>
      <c r="B767" s="58">
        <f>VLOOKUP(Table5345679103[[#This Row],[Date]],Database!A:E,MATCH($A$1,Database!$A$1:$E$1,),)</f>
        <v>123.369</v>
      </c>
      <c r="C767" s="9">
        <f t="shared" si="11"/>
        <v>-1.1577822397823749E-3</v>
      </c>
      <c r="D767" s="7">
        <f>(Table5345679103[[#This Row],[Value]]-B755)/B755</f>
        <v>6.3654234131705512E-2</v>
      </c>
    </row>
    <row r="768" spans="1:4" s="64" customFormat="1" x14ac:dyDescent="0.2">
      <c r="A768" s="6"/>
      <c r="B768" s="53"/>
      <c r="C768" s="4"/>
      <c r="D768" s="5"/>
    </row>
    <row r="769" spans="1:4" s="64" customFormat="1" x14ac:dyDescent="0.2">
      <c r="A769" s="6"/>
      <c r="B769" s="53"/>
      <c r="C769" s="4"/>
      <c r="D769" s="5"/>
    </row>
    <row r="770" spans="1:4" s="64" customFormat="1" x14ac:dyDescent="0.2">
      <c r="A770" s="6"/>
      <c r="B770" s="53"/>
      <c r="C770" s="4"/>
      <c r="D770" s="5"/>
    </row>
    <row r="771" spans="1:4" s="64" customFormat="1" x14ac:dyDescent="0.2">
      <c r="A771" s="6"/>
      <c r="B771" s="53"/>
      <c r="C771" s="4"/>
      <c r="D771" s="5"/>
    </row>
    <row r="772" spans="1:4" s="64" customFormat="1" x14ac:dyDescent="0.2">
      <c r="A772" s="6"/>
      <c r="B772" s="53"/>
      <c r="C772" s="4"/>
      <c r="D772" s="5"/>
    </row>
    <row r="773" spans="1:4" s="64" customFormat="1" x14ac:dyDescent="0.2">
      <c r="A773" s="6"/>
      <c r="B773" s="53"/>
      <c r="C773" s="4"/>
      <c r="D773" s="5"/>
    </row>
    <row r="774" spans="1:4" s="64" customFormat="1" x14ac:dyDescent="0.2">
      <c r="A774" s="6"/>
      <c r="B774" s="53"/>
      <c r="C774" s="4"/>
      <c r="D774" s="5"/>
    </row>
    <row r="775" spans="1:4" s="64" customFormat="1" x14ac:dyDescent="0.2">
      <c r="A775" s="6"/>
      <c r="B775" s="53"/>
      <c r="C775" s="4"/>
      <c r="D775" s="5"/>
    </row>
    <row r="776" spans="1:4" s="64" customFormat="1" x14ac:dyDescent="0.2">
      <c r="A776" s="6"/>
      <c r="B776" s="53"/>
      <c r="C776" s="4"/>
      <c r="D776" s="5"/>
    </row>
    <row r="777" spans="1:4" s="64" customFormat="1" x14ac:dyDescent="0.2">
      <c r="A777" s="6"/>
      <c r="B777" s="53"/>
      <c r="C777" s="4"/>
      <c r="D777" s="5"/>
    </row>
    <row r="778" spans="1:4" s="64" customFormat="1" x14ac:dyDescent="0.2">
      <c r="A778" s="6"/>
      <c r="B778" s="53"/>
      <c r="C778" s="4"/>
      <c r="D778" s="5"/>
    </row>
    <row r="779" spans="1:4" s="64" customFormat="1" x14ac:dyDescent="0.2">
      <c r="A779" s="6"/>
      <c r="B779" s="53"/>
      <c r="C779" s="4"/>
      <c r="D779" s="5"/>
    </row>
    <row r="780" spans="1:4" s="64" customFormat="1" x14ac:dyDescent="0.2">
      <c r="A780" s="6"/>
      <c r="B780" s="53"/>
      <c r="C780" s="4"/>
      <c r="D780" s="5"/>
    </row>
    <row r="781" spans="1:4" s="64" customFormat="1" x14ac:dyDescent="0.2">
      <c r="A781" s="6"/>
      <c r="B781" s="53"/>
      <c r="C781" s="4"/>
      <c r="D781" s="5"/>
    </row>
    <row r="782" spans="1:4" s="64" customFormat="1" x14ac:dyDescent="0.2">
      <c r="A782" s="6"/>
      <c r="B782" s="53"/>
      <c r="C782" s="4"/>
      <c r="D782" s="5"/>
    </row>
    <row r="783" spans="1:4" s="64" customFormat="1" x14ac:dyDescent="0.2">
      <c r="A783" s="6"/>
      <c r="B783" s="53"/>
      <c r="C783" s="4"/>
      <c r="D783" s="5"/>
    </row>
    <row r="784" spans="1:4" s="64" customFormat="1" x14ac:dyDescent="0.2">
      <c r="A784" s="6"/>
      <c r="B784" s="53"/>
      <c r="C784" s="4"/>
      <c r="D784" s="5"/>
    </row>
    <row r="785" spans="1:4" s="64" customFormat="1" x14ac:dyDescent="0.2">
      <c r="A785" s="6"/>
      <c r="B785" s="53"/>
      <c r="C785" s="4"/>
      <c r="D785" s="5"/>
    </row>
    <row r="786" spans="1:4" s="64" customFormat="1" x14ac:dyDescent="0.2">
      <c r="A786" s="6"/>
      <c r="B786" s="53"/>
      <c r="C786" s="4"/>
      <c r="D786" s="5"/>
    </row>
    <row r="787" spans="1:4" s="64" customFormat="1" x14ac:dyDescent="0.2">
      <c r="A787" s="6"/>
      <c r="B787" s="53"/>
      <c r="C787" s="4"/>
      <c r="D787" s="5"/>
    </row>
    <row r="788" spans="1:4" s="64" customFormat="1" x14ac:dyDescent="0.2">
      <c r="A788" s="6"/>
      <c r="B788" s="53"/>
      <c r="C788" s="4"/>
      <c r="D788" s="5"/>
    </row>
    <row r="789" spans="1:4" s="64" customFormat="1" x14ac:dyDescent="0.2">
      <c r="A789" s="6"/>
      <c r="B789" s="53"/>
      <c r="C789" s="4"/>
      <c r="D789" s="5"/>
    </row>
    <row r="790" spans="1:4" s="64" customFormat="1" x14ac:dyDescent="0.2">
      <c r="A790" s="6"/>
      <c r="B790" s="53"/>
      <c r="C790" s="4"/>
      <c r="D790" s="5"/>
    </row>
    <row r="791" spans="1:4" s="64" customFormat="1" x14ac:dyDescent="0.2">
      <c r="A791" s="6"/>
      <c r="B791" s="53"/>
      <c r="C791" s="4"/>
      <c r="D791" s="5"/>
    </row>
    <row r="792" spans="1:4" s="64" customFormat="1" x14ac:dyDescent="0.2">
      <c r="A792" s="6"/>
      <c r="B792" s="53"/>
      <c r="C792" s="4"/>
      <c r="D792" s="5"/>
    </row>
    <row r="793" spans="1:4" s="64" customFormat="1" x14ac:dyDescent="0.2">
      <c r="A793" s="6"/>
      <c r="B793" s="53"/>
      <c r="C793" s="4"/>
      <c r="D793" s="5"/>
    </row>
    <row r="794" spans="1:4" s="64" customFormat="1" x14ac:dyDescent="0.2">
      <c r="A794" s="6"/>
      <c r="B794" s="53"/>
      <c r="C794" s="4"/>
      <c r="D794" s="5"/>
    </row>
    <row r="795" spans="1:4" s="64" customFormat="1" x14ac:dyDescent="0.2">
      <c r="A795" s="6"/>
      <c r="B795" s="53"/>
      <c r="C795" s="4"/>
      <c r="D795" s="5"/>
    </row>
    <row r="796" spans="1:4" s="64" customFormat="1" x14ac:dyDescent="0.2">
      <c r="A796" s="6"/>
      <c r="B796" s="53"/>
      <c r="C796" s="4"/>
      <c r="D796" s="5"/>
    </row>
    <row r="797" spans="1:4" s="64" customFormat="1" x14ac:dyDescent="0.2">
      <c r="A797" s="6"/>
      <c r="B797" s="53"/>
      <c r="C797" s="4"/>
      <c r="D797" s="5"/>
    </row>
    <row r="798" spans="1:4" s="64" customFormat="1" x14ac:dyDescent="0.2">
      <c r="A798" s="6"/>
      <c r="B798" s="53"/>
      <c r="C798" s="4"/>
      <c r="D798" s="5"/>
    </row>
    <row r="799" spans="1:4" s="64" customFormat="1" x14ac:dyDescent="0.2">
      <c r="A799" s="6"/>
      <c r="B799" s="53"/>
      <c r="C799" s="4"/>
      <c r="D799" s="5"/>
    </row>
    <row r="800" spans="1:4" s="64" customFormat="1" x14ac:dyDescent="0.2">
      <c r="A800" s="6"/>
      <c r="B800" s="53"/>
      <c r="C800" s="4"/>
      <c r="D800" s="5"/>
    </row>
    <row r="801" spans="1:4" s="64" customFormat="1" x14ac:dyDescent="0.2">
      <c r="A801" s="6"/>
      <c r="B801" s="53"/>
      <c r="C801" s="4"/>
      <c r="D801" s="5"/>
    </row>
    <row r="802" spans="1:4" s="64" customFormat="1" x14ac:dyDescent="0.2">
      <c r="A802" s="6"/>
      <c r="B802" s="53"/>
      <c r="C802" s="4"/>
      <c r="D802" s="5"/>
    </row>
    <row r="803" spans="1:4" s="64" customFormat="1" x14ac:dyDescent="0.2">
      <c r="A803" s="6"/>
      <c r="B803" s="53"/>
      <c r="C803" s="4"/>
      <c r="D803" s="5"/>
    </row>
    <row r="804" spans="1:4" s="64" customFormat="1" x14ac:dyDescent="0.2">
      <c r="A804" s="6"/>
      <c r="B804" s="53"/>
      <c r="C804" s="4"/>
      <c r="D804" s="5"/>
    </row>
    <row r="805" spans="1:4" s="64" customFormat="1" x14ac:dyDescent="0.2">
      <c r="A805" s="6"/>
      <c r="B805" s="53"/>
      <c r="C805" s="4"/>
      <c r="D805" s="5"/>
    </row>
    <row r="806" spans="1:4" s="64" customFormat="1" x14ac:dyDescent="0.2">
      <c r="A806" s="6"/>
      <c r="B806" s="53"/>
      <c r="C806" s="4"/>
      <c r="D806" s="5"/>
    </row>
    <row r="807" spans="1:4" s="64" customFormat="1" x14ac:dyDescent="0.2">
      <c r="A807" s="6"/>
      <c r="B807" s="53"/>
      <c r="C807" s="4"/>
      <c r="D807" s="5"/>
    </row>
    <row r="808" spans="1:4" s="64" customFormat="1" x14ac:dyDescent="0.2">
      <c r="A808" s="6"/>
      <c r="B808" s="53"/>
      <c r="C808" s="4"/>
      <c r="D808" s="5"/>
    </row>
    <row r="809" spans="1:4" s="64" customFormat="1" x14ac:dyDescent="0.2">
      <c r="A809" s="6"/>
      <c r="B809" s="53"/>
      <c r="C809" s="4"/>
      <c r="D809" s="5"/>
    </row>
    <row r="810" spans="1:4" s="64" customFormat="1" x14ac:dyDescent="0.2">
      <c r="A810" s="6"/>
      <c r="B810" s="53"/>
      <c r="C810" s="4"/>
      <c r="D810" s="5"/>
    </row>
    <row r="811" spans="1:4" s="64" customFormat="1" x14ac:dyDescent="0.2">
      <c r="A811" s="6"/>
      <c r="B811" s="53"/>
      <c r="C811" s="4"/>
      <c r="D811" s="5"/>
    </row>
    <row r="812" spans="1:4" s="64" customFormat="1" x14ac:dyDescent="0.2">
      <c r="A812" s="6"/>
      <c r="B812" s="53"/>
      <c r="C812" s="4"/>
      <c r="D812" s="5"/>
    </row>
    <row r="813" spans="1:4" s="64" customFormat="1" x14ac:dyDescent="0.2">
      <c r="A813" s="6"/>
      <c r="B813" s="53"/>
      <c r="C813" s="4"/>
      <c r="D813" s="5"/>
    </row>
    <row r="814" spans="1:4" s="64" customFormat="1" x14ac:dyDescent="0.2">
      <c r="A814" s="6"/>
      <c r="B814" s="53"/>
      <c r="C814" s="4"/>
      <c r="D814" s="5"/>
    </row>
    <row r="815" spans="1:4" s="64" customFormat="1" x14ac:dyDescent="0.2">
      <c r="A815" s="6"/>
      <c r="B815" s="53"/>
      <c r="C815" s="4"/>
      <c r="D815" s="5"/>
    </row>
    <row r="816" spans="1:4" s="64" customFormat="1" x14ac:dyDescent="0.2">
      <c r="A816" s="6"/>
      <c r="B816" s="53"/>
      <c r="C816" s="4"/>
      <c r="D816" s="5"/>
    </row>
    <row r="817" spans="1:4" s="64" customFormat="1" x14ac:dyDescent="0.2">
      <c r="A817" s="6"/>
      <c r="B817" s="53"/>
      <c r="C817" s="4"/>
      <c r="D817" s="5"/>
    </row>
    <row r="818" spans="1:4" s="64" customFormat="1" x14ac:dyDescent="0.2">
      <c r="A818" s="6"/>
      <c r="B818" s="53"/>
      <c r="C818" s="4"/>
      <c r="D818" s="5"/>
    </row>
    <row r="819" spans="1:4" s="64" customFormat="1" x14ac:dyDescent="0.2">
      <c r="A819" s="6"/>
      <c r="B819" s="53"/>
      <c r="C819" s="4"/>
      <c r="D819" s="5"/>
    </row>
    <row r="820" spans="1:4" s="64" customFormat="1" x14ac:dyDescent="0.2">
      <c r="A820" s="6"/>
      <c r="B820" s="53"/>
      <c r="C820" s="4"/>
      <c r="D820" s="5"/>
    </row>
    <row r="821" spans="1:4" s="64" customFormat="1" x14ac:dyDescent="0.2">
      <c r="A821" s="6"/>
      <c r="B821" s="53"/>
      <c r="C821" s="4"/>
      <c r="D821" s="5"/>
    </row>
    <row r="822" spans="1:4" s="64" customFormat="1" x14ac:dyDescent="0.2">
      <c r="A822" s="6"/>
      <c r="B822" s="53"/>
      <c r="C822" s="4"/>
      <c r="D822" s="5"/>
    </row>
    <row r="823" spans="1:4" s="64" customFormat="1" x14ac:dyDescent="0.2">
      <c r="A823" s="6"/>
      <c r="B823" s="53"/>
      <c r="C823" s="4"/>
      <c r="D823" s="5"/>
    </row>
    <row r="824" spans="1:4" s="64" customFormat="1" x14ac:dyDescent="0.2">
      <c r="A824" s="6"/>
      <c r="B824" s="53"/>
      <c r="C824" s="4"/>
      <c r="D824" s="5"/>
    </row>
    <row r="825" spans="1:4" s="64" customFormat="1" x14ac:dyDescent="0.2">
      <c r="A825" s="6"/>
      <c r="B825" s="53"/>
      <c r="C825" s="4"/>
      <c r="D825" s="5"/>
    </row>
    <row r="826" spans="1:4" s="64" customFormat="1" x14ac:dyDescent="0.2">
      <c r="A826" s="6"/>
      <c r="B826" s="53"/>
      <c r="C826" s="4"/>
      <c r="D826" s="5"/>
    </row>
    <row r="827" spans="1:4" s="64" customFormat="1" x14ac:dyDescent="0.2">
      <c r="A827" s="6"/>
      <c r="B827" s="53"/>
      <c r="C827" s="4"/>
      <c r="D827" s="5"/>
    </row>
    <row r="828" spans="1:4" s="64" customFormat="1" x14ac:dyDescent="0.2">
      <c r="A828" s="6"/>
      <c r="B828" s="53"/>
      <c r="C828" s="4"/>
      <c r="D828" s="5"/>
    </row>
    <row r="829" spans="1:4" s="64" customFormat="1" x14ac:dyDescent="0.2">
      <c r="A829" s="6"/>
      <c r="B829" s="53"/>
      <c r="C829" s="4"/>
      <c r="D829" s="5"/>
    </row>
    <row r="830" spans="1:4" s="64" customFormat="1" x14ac:dyDescent="0.2">
      <c r="A830" s="6"/>
      <c r="B830" s="53"/>
      <c r="C830" s="4"/>
      <c r="D830" s="5"/>
    </row>
    <row r="831" spans="1:4" s="64" customFormat="1" x14ac:dyDescent="0.2">
      <c r="A831" s="6"/>
      <c r="B831" s="53"/>
      <c r="C831" s="4"/>
      <c r="D831" s="5"/>
    </row>
    <row r="832" spans="1:4" s="64" customFormat="1" x14ac:dyDescent="0.2">
      <c r="A832" s="6"/>
      <c r="B832" s="53"/>
      <c r="C832" s="4"/>
      <c r="D832" s="5"/>
    </row>
    <row r="833" spans="1:4" s="64" customFormat="1" x14ac:dyDescent="0.2">
      <c r="A833" s="6"/>
      <c r="B833" s="53"/>
      <c r="C833" s="4"/>
      <c r="D833" s="5"/>
    </row>
    <row r="834" spans="1:4" s="64" customFormat="1" x14ac:dyDescent="0.2">
      <c r="A834" s="6"/>
      <c r="B834" s="53"/>
      <c r="C834" s="4"/>
      <c r="D834" s="5"/>
    </row>
    <row r="835" spans="1:4" s="64" customFormat="1" x14ac:dyDescent="0.2">
      <c r="A835" s="6"/>
      <c r="B835" s="53"/>
      <c r="C835" s="4"/>
      <c r="D835" s="5"/>
    </row>
    <row r="836" spans="1:4" s="64" customFormat="1" x14ac:dyDescent="0.2">
      <c r="A836" s="6"/>
      <c r="B836" s="53"/>
      <c r="C836" s="4"/>
      <c r="D836" s="5"/>
    </row>
    <row r="837" spans="1:4" s="64" customFormat="1" x14ac:dyDescent="0.2">
      <c r="A837" s="6"/>
      <c r="B837" s="53"/>
      <c r="C837" s="4"/>
      <c r="D837" s="5"/>
    </row>
    <row r="838" spans="1:4" s="64" customFormat="1" x14ac:dyDescent="0.2">
      <c r="A838" s="6"/>
      <c r="B838" s="53"/>
      <c r="C838" s="4"/>
      <c r="D838" s="5"/>
    </row>
    <row r="839" spans="1:4" s="64" customFormat="1" x14ac:dyDescent="0.2">
      <c r="A839" s="6"/>
      <c r="B839" s="53"/>
      <c r="C839" s="4"/>
      <c r="D839" s="5"/>
    </row>
    <row r="840" spans="1:4" s="64" customFormat="1" x14ac:dyDescent="0.2">
      <c r="A840" s="6"/>
      <c r="B840" s="53"/>
      <c r="C840" s="4"/>
      <c r="D840" s="5"/>
    </row>
    <row r="841" spans="1:4" s="64" customFormat="1" x14ac:dyDescent="0.2">
      <c r="A841" s="6"/>
      <c r="B841" s="53"/>
      <c r="C841" s="4"/>
      <c r="D841" s="5"/>
    </row>
    <row r="842" spans="1:4" s="64" customFormat="1" x14ac:dyDescent="0.2">
      <c r="A842" s="6"/>
      <c r="B842" s="53"/>
      <c r="C842" s="4"/>
      <c r="D842" s="5"/>
    </row>
    <row r="843" spans="1:4" s="64" customFormat="1" x14ac:dyDescent="0.2">
      <c r="A843" s="6"/>
      <c r="B843" s="53"/>
      <c r="C843" s="4"/>
      <c r="D843" s="5"/>
    </row>
    <row r="844" spans="1:4" s="64" customFormat="1" x14ac:dyDescent="0.2">
      <c r="A844" s="6"/>
      <c r="B844" s="53"/>
      <c r="C844" s="4"/>
      <c r="D844" s="5"/>
    </row>
    <row r="845" spans="1:4" s="64" customFormat="1" x14ac:dyDescent="0.2">
      <c r="A845" s="6"/>
      <c r="B845" s="53"/>
      <c r="C845" s="4"/>
      <c r="D845" s="5"/>
    </row>
    <row r="846" spans="1:4" s="64" customFormat="1" x14ac:dyDescent="0.2">
      <c r="A846" s="6"/>
      <c r="B846" s="53"/>
      <c r="C846" s="4"/>
      <c r="D846" s="5"/>
    </row>
    <row r="847" spans="1:4" s="64" customFormat="1" x14ac:dyDescent="0.2">
      <c r="A847" s="6"/>
      <c r="B847" s="53"/>
      <c r="C847" s="4"/>
      <c r="D847" s="5"/>
    </row>
    <row r="848" spans="1:4" s="64" customFormat="1" x14ac:dyDescent="0.2">
      <c r="A848" s="6"/>
      <c r="B848" s="53"/>
      <c r="C848" s="4"/>
      <c r="D848" s="5"/>
    </row>
    <row r="849" spans="1:4" s="64" customFormat="1" x14ac:dyDescent="0.2">
      <c r="A849" s="6"/>
      <c r="B849" s="53"/>
      <c r="C849" s="4"/>
      <c r="D849" s="5"/>
    </row>
    <row r="850" spans="1:4" s="64" customFormat="1" x14ac:dyDescent="0.2">
      <c r="A850" s="6"/>
      <c r="B850" s="53"/>
      <c r="C850" s="4"/>
      <c r="D850" s="5"/>
    </row>
    <row r="851" spans="1:4" s="64" customFormat="1" x14ac:dyDescent="0.2">
      <c r="A851" s="6"/>
      <c r="B851" s="53"/>
      <c r="C851" s="4"/>
      <c r="D851" s="5"/>
    </row>
    <row r="852" spans="1:4" s="64" customFormat="1" x14ac:dyDescent="0.2">
      <c r="A852" s="6"/>
      <c r="B852" s="53"/>
      <c r="C852" s="4"/>
      <c r="D852" s="5"/>
    </row>
    <row r="853" spans="1:4" s="64" customFormat="1" x14ac:dyDescent="0.2">
      <c r="A853" s="6"/>
      <c r="B853" s="53"/>
      <c r="C853" s="4"/>
      <c r="D853" s="5"/>
    </row>
    <row r="854" spans="1:4" s="64" customFormat="1" x14ac:dyDescent="0.2">
      <c r="A854" s="6"/>
      <c r="B854" s="53"/>
      <c r="C854" s="4"/>
      <c r="D854" s="5"/>
    </row>
    <row r="855" spans="1:4" s="64" customFormat="1" x14ac:dyDescent="0.2">
      <c r="A855" s="6"/>
      <c r="B855" s="53"/>
      <c r="C855" s="4"/>
      <c r="D855" s="5"/>
    </row>
    <row r="856" spans="1:4" s="64" customFormat="1" x14ac:dyDescent="0.2">
      <c r="A856" s="6"/>
      <c r="B856" s="53"/>
      <c r="C856" s="4"/>
      <c r="D856" s="5"/>
    </row>
    <row r="857" spans="1:4" s="64" customFormat="1" x14ac:dyDescent="0.2">
      <c r="A857" s="6"/>
      <c r="B857" s="53"/>
      <c r="C857" s="4"/>
      <c r="D857" s="5"/>
    </row>
    <row r="858" spans="1:4" s="64" customFormat="1" x14ac:dyDescent="0.2">
      <c r="A858" s="6"/>
      <c r="B858" s="53"/>
      <c r="C858" s="4"/>
      <c r="D858" s="5"/>
    </row>
    <row r="859" spans="1:4" s="64" customFormat="1" x14ac:dyDescent="0.2">
      <c r="A859" s="6"/>
      <c r="B859" s="53"/>
      <c r="C859" s="4"/>
      <c r="D859" s="5"/>
    </row>
    <row r="860" spans="1:4" s="64" customFormat="1" x14ac:dyDescent="0.2">
      <c r="A860" s="6"/>
      <c r="B860" s="53"/>
      <c r="C860" s="4"/>
      <c r="D860" s="5"/>
    </row>
    <row r="861" spans="1:4" s="64" customFormat="1" x14ac:dyDescent="0.2">
      <c r="A861" s="6"/>
      <c r="B861" s="53"/>
      <c r="C861" s="4"/>
      <c r="D861" s="5"/>
    </row>
    <row r="862" spans="1:4" s="64" customFormat="1" x14ac:dyDescent="0.2">
      <c r="A862" s="6"/>
      <c r="B862" s="53"/>
      <c r="C862" s="4"/>
      <c r="D862" s="5"/>
    </row>
    <row r="863" spans="1:4" s="64" customFormat="1" x14ac:dyDescent="0.2">
      <c r="A863" s="6"/>
      <c r="B863" s="53"/>
      <c r="C863" s="4"/>
      <c r="D863" s="5"/>
    </row>
    <row r="864" spans="1:4" s="64" customFormat="1" x14ac:dyDescent="0.2">
      <c r="A864" s="6"/>
      <c r="B864" s="53"/>
      <c r="C864" s="4"/>
      <c r="D864" s="5"/>
    </row>
    <row r="865" spans="1:4" s="64" customFormat="1" x14ac:dyDescent="0.2">
      <c r="A865" s="6"/>
      <c r="B865" s="53"/>
      <c r="C865" s="4"/>
      <c r="D865" s="5"/>
    </row>
    <row r="866" spans="1:4" s="64" customFormat="1" x14ac:dyDescent="0.2">
      <c r="A866" s="6"/>
      <c r="B866" s="53"/>
      <c r="C866" s="4"/>
      <c r="D866" s="5"/>
    </row>
    <row r="867" spans="1:4" s="64" customFormat="1" x14ac:dyDescent="0.2">
      <c r="A867" s="6"/>
      <c r="B867" s="53"/>
      <c r="C867" s="4"/>
      <c r="D867" s="5"/>
    </row>
    <row r="868" spans="1:4" s="64" customFormat="1" x14ac:dyDescent="0.2">
      <c r="A868" s="6"/>
      <c r="B868" s="53"/>
      <c r="C868" s="4"/>
      <c r="D868" s="5"/>
    </row>
    <row r="869" spans="1:4" s="64" customFormat="1" x14ac:dyDescent="0.2">
      <c r="A869" s="6"/>
      <c r="B869" s="53"/>
      <c r="C869" s="4"/>
      <c r="D869" s="5"/>
    </row>
    <row r="870" spans="1:4" s="64" customFormat="1" x14ac:dyDescent="0.2">
      <c r="A870" s="6"/>
      <c r="B870" s="53"/>
      <c r="C870" s="4"/>
      <c r="D870" s="5"/>
    </row>
    <row r="871" spans="1:4" s="64" customFormat="1" x14ac:dyDescent="0.2">
      <c r="A871" s="6"/>
      <c r="B871" s="53"/>
      <c r="C871" s="4"/>
      <c r="D871" s="5"/>
    </row>
    <row r="872" spans="1:4" s="64" customFormat="1" x14ac:dyDescent="0.2">
      <c r="A872" s="6"/>
      <c r="B872" s="53"/>
      <c r="C872" s="4"/>
      <c r="D872" s="5"/>
    </row>
    <row r="873" spans="1:4" s="64" customFormat="1" x14ac:dyDescent="0.2">
      <c r="A873" s="6"/>
      <c r="B873" s="53"/>
      <c r="C873" s="4"/>
      <c r="D873" s="5"/>
    </row>
    <row r="874" spans="1:4" s="64" customFormat="1" x14ac:dyDescent="0.2">
      <c r="A874" s="6"/>
      <c r="B874" s="53"/>
      <c r="C874" s="4"/>
      <c r="D874" s="5"/>
    </row>
    <row r="875" spans="1:4" s="64" customFormat="1" x14ac:dyDescent="0.2">
      <c r="A875" s="6"/>
      <c r="B875" s="53"/>
      <c r="C875" s="4"/>
      <c r="D875" s="5"/>
    </row>
    <row r="876" spans="1:4" s="64" customFormat="1" x14ac:dyDescent="0.2">
      <c r="A876" s="6"/>
      <c r="B876" s="53"/>
      <c r="C876" s="4"/>
      <c r="D876" s="5"/>
    </row>
    <row r="877" spans="1:4" s="64" customFormat="1" x14ac:dyDescent="0.2">
      <c r="A877" s="6"/>
      <c r="B877" s="53"/>
      <c r="C877" s="4"/>
      <c r="D877" s="5"/>
    </row>
    <row r="878" spans="1:4" s="64" customFormat="1" x14ac:dyDescent="0.2">
      <c r="A878" s="6"/>
      <c r="B878" s="53"/>
      <c r="C878" s="4"/>
      <c r="D878" s="5"/>
    </row>
    <row r="879" spans="1:4" s="64" customFormat="1" x14ac:dyDescent="0.2">
      <c r="A879" s="6"/>
      <c r="B879" s="53"/>
      <c r="C879" s="4"/>
      <c r="D879" s="5"/>
    </row>
    <row r="880" spans="1:4" s="64" customFormat="1" x14ac:dyDescent="0.2">
      <c r="A880" s="6"/>
      <c r="B880" s="53"/>
      <c r="C880" s="4"/>
      <c r="D880" s="5"/>
    </row>
    <row r="881" spans="1:4" s="64" customFormat="1" x14ac:dyDescent="0.2">
      <c r="A881" s="6"/>
      <c r="B881" s="53"/>
      <c r="C881" s="4"/>
      <c r="D881" s="5"/>
    </row>
    <row r="882" spans="1:4" s="64" customFormat="1" x14ac:dyDescent="0.2">
      <c r="A882" s="6"/>
      <c r="B882" s="53"/>
      <c r="C882" s="4"/>
      <c r="D882" s="5"/>
    </row>
    <row r="883" spans="1:4" s="64" customFormat="1" x14ac:dyDescent="0.2">
      <c r="A883" s="6"/>
      <c r="B883" s="53"/>
      <c r="C883" s="4"/>
      <c r="D883" s="5"/>
    </row>
    <row r="884" spans="1:4" s="64" customFormat="1" x14ac:dyDescent="0.2">
      <c r="A884" s="6"/>
      <c r="B884" s="53"/>
      <c r="C884" s="4"/>
      <c r="D884" s="5"/>
    </row>
    <row r="885" spans="1:4" s="64" customFormat="1" x14ac:dyDescent="0.2">
      <c r="A885" s="6"/>
      <c r="B885" s="53"/>
      <c r="C885" s="4"/>
      <c r="D885" s="5"/>
    </row>
    <row r="886" spans="1:4" s="64" customFormat="1" x14ac:dyDescent="0.2">
      <c r="A886" s="6"/>
      <c r="B886" s="53"/>
      <c r="C886" s="4"/>
      <c r="D886" s="5"/>
    </row>
    <row r="887" spans="1:4" s="64" customFormat="1" x14ac:dyDescent="0.2">
      <c r="A887" s="6"/>
      <c r="B887" s="53"/>
      <c r="C887" s="4"/>
      <c r="D887" s="5"/>
    </row>
    <row r="888" spans="1:4" s="64" customFormat="1" x14ac:dyDescent="0.2">
      <c r="A888" s="6"/>
      <c r="B888" s="53"/>
      <c r="C888" s="4"/>
      <c r="D888" s="5"/>
    </row>
    <row r="889" spans="1:4" s="64" customFormat="1" x14ac:dyDescent="0.2">
      <c r="A889" s="6"/>
      <c r="B889" s="53"/>
      <c r="C889" s="4"/>
      <c r="D889" s="5"/>
    </row>
    <row r="890" spans="1:4" s="64" customFormat="1" x14ac:dyDescent="0.2">
      <c r="A890" s="6"/>
      <c r="B890" s="53"/>
      <c r="C890" s="4"/>
      <c r="D890" s="5"/>
    </row>
    <row r="891" spans="1:4" s="64" customFormat="1" x14ac:dyDescent="0.2">
      <c r="A891" s="6"/>
      <c r="B891" s="53"/>
      <c r="C891" s="4"/>
      <c r="D891" s="5"/>
    </row>
    <row r="892" spans="1:4" s="64" customFormat="1" x14ac:dyDescent="0.2">
      <c r="A892" s="6"/>
      <c r="B892" s="53"/>
      <c r="C892" s="4"/>
      <c r="D892" s="5"/>
    </row>
    <row r="893" spans="1:4" s="64" customFormat="1" x14ac:dyDescent="0.2">
      <c r="A893" s="6"/>
      <c r="B893" s="53"/>
      <c r="C893" s="4"/>
      <c r="D893" s="5"/>
    </row>
    <row r="894" spans="1:4" s="64" customFormat="1" x14ac:dyDescent="0.2">
      <c r="A894" s="6"/>
      <c r="B894" s="53"/>
      <c r="C894" s="4"/>
      <c r="D894" s="5"/>
    </row>
    <row r="895" spans="1:4" s="64" customFormat="1" x14ac:dyDescent="0.2">
      <c r="A895" s="6"/>
      <c r="B895" s="53"/>
      <c r="C895" s="4"/>
      <c r="D895" s="5"/>
    </row>
    <row r="896" spans="1:4" s="64" customFormat="1" x14ac:dyDescent="0.2">
      <c r="A896" s="6"/>
      <c r="B896" s="53"/>
      <c r="C896" s="4"/>
      <c r="D896" s="5"/>
    </row>
    <row r="897" spans="1:4" s="64" customFormat="1" x14ac:dyDescent="0.2">
      <c r="A897" s="6"/>
      <c r="B897" s="53"/>
      <c r="C897" s="4"/>
      <c r="D897" s="5"/>
    </row>
    <row r="898" spans="1:4" s="64" customFormat="1" x14ac:dyDescent="0.2">
      <c r="A898" s="6"/>
      <c r="B898" s="53"/>
      <c r="C898" s="4"/>
      <c r="D898" s="5"/>
    </row>
    <row r="899" spans="1:4" s="64" customFormat="1" x14ac:dyDescent="0.2">
      <c r="A899" s="6"/>
      <c r="B899" s="53"/>
      <c r="C899" s="4"/>
      <c r="D899" s="5"/>
    </row>
    <row r="900" spans="1:4" s="64" customFormat="1" x14ac:dyDescent="0.2">
      <c r="A900" s="6"/>
      <c r="B900" s="53"/>
      <c r="C900" s="4"/>
      <c r="D900" s="5"/>
    </row>
    <row r="901" spans="1:4" s="64" customFormat="1" x14ac:dyDescent="0.2">
      <c r="A901" s="6"/>
      <c r="B901" s="53"/>
      <c r="C901" s="4"/>
      <c r="D901" s="5"/>
    </row>
    <row r="902" spans="1:4" s="64" customFormat="1" x14ac:dyDescent="0.2">
      <c r="A902" s="6"/>
      <c r="B902" s="53"/>
      <c r="C902" s="4"/>
      <c r="D902" s="5"/>
    </row>
    <row r="903" spans="1:4" s="64" customFormat="1" x14ac:dyDescent="0.2">
      <c r="A903" s="6"/>
      <c r="B903" s="53"/>
      <c r="C903" s="4"/>
      <c r="D903" s="5"/>
    </row>
    <row r="904" spans="1:4" s="64" customFormat="1" x14ac:dyDescent="0.2">
      <c r="A904" s="6"/>
      <c r="B904" s="53"/>
      <c r="C904" s="4"/>
      <c r="D904" s="5"/>
    </row>
    <row r="905" spans="1:4" s="64" customFormat="1" x14ac:dyDescent="0.2">
      <c r="A905" s="6"/>
      <c r="B905" s="53"/>
      <c r="C905" s="4"/>
      <c r="D905" s="5"/>
    </row>
    <row r="906" spans="1:4" s="64" customFormat="1" x14ac:dyDescent="0.2">
      <c r="A906" s="6"/>
      <c r="B906" s="53"/>
      <c r="C906" s="4"/>
      <c r="D906" s="5"/>
    </row>
    <row r="907" spans="1:4" s="64" customFormat="1" x14ac:dyDescent="0.2">
      <c r="A907" s="6"/>
      <c r="B907" s="53"/>
      <c r="C907" s="4"/>
      <c r="D907" s="5"/>
    </row>
    <row r="908" spans="1:4" s="64" customFormat="1" x14ac:dyDescent="0.2">
      <c r="A908" s="6"/>
      <c r="B908" s="53"/>
      <c r="C908" s="4"/>
      <c r="D908" s="5"/>
    </row>
    <row r="909" spans="1:4" s="64" customFormat="1" x14ac:dyDescent="0.2">
      <c r="A909" s="6"/>
      <c r="B909" s="53"/>
      <c r="C909" s="4"/>
      <c r="D909" s="5"/>
    </row>
    <row r="910" spans="1:4" s="64" customFormat="1" x14ac:dyDescent="0.2">
      <c r="A910" s="6"/>
      <c r="B910" s="53"/>
      <c r="C910" s="4"/>
      <c r="D910" s="5"/>
    </row>
    <row r="911" spans="1:4" s="64" customFormat="1" x14ac:dyDescent="0.2">
      <c r="A911" s="6"/>
      <c r="B911" s="53"/>
      <c r="C911" s="4"/>
      <c r="D911" s="5"/>
    </row>
    <row r="912" spans="1:4" s="64" customFormat="1" x14ac:dyDescent="0.2">
      <c r="A912" s="6"/>
      <c r="B912" s="53"/>
      <c r="C912" s="4"/>
      <c r="D912" s="5"/>
    </row>
    <row r="913" spans="1:4" s="64" customFormat="1" x14ac:dyDescent="0.2">
      <c r="A913" s="6"/>
      <c r="B913" s="53"/>
      <c r="C913" s="4"/>
      <c r="D913" s="5"/>
    </row>
    <row r="914" spans="1:4" s="64" customFormat="1" x14ac:dyDescent="0.2">
      <c r="A914" s="6"/>
      <c r="B914" s="53"/>
      <c r="C914" s="4"/>
      <c r="D914" s="5"/>
    </row>
    <row r="915" spans="1:4" s="64" customFormat="1" x14ac:dyDescent="0.2">
      <c r="A915" s="6"/>
      <c r="B915" s="53"/>
      <c r="C915" s="4"/>
      <c r="D915" s="5"/>
    </row>
    <row r="916" spans="1:4" s="64" customFormat="1" x14ac:dyDescent="0.2">
      <c r="A916" s="6"/>
      <c r="B916" s="53"/>
      <c r="C916" s="4"/>
      <c r="D916" s="5"/>
    </row>
    <row r="917" spans="1:4" s="64" customFormat="1" x14ac:dyDescent="0.2">
      <c r="A917" s="6"/>
      <c r="B917" s="53"/>
      <c r="C917" s="4"/>
      <c r="D917" s="5"/>
    </row>
    <row r="918" spans="1:4" s="64" customFormat="1" x14ac:dyDescent="0.2">
      <c r="A918" s="6"/>
      <c r="B918" s="53"/>
      <c r="C918" s="4"/>
      <c r="D918" s="5"/>
    </row>
    <row r="919" spans="1:4" s="64" customFormat="1" x14ac:dyDescent="0.2">
      <c r="A919" s="6"/>
      <c r="B919" s="53"/>
      <c r="C919" s="4"/>
      <c r="D919" s="5"/>
    </row>
    <row r="920" spans="1:4" s="64" customFormat="1" x14ac:dyDescent="0.2">
      <c r="A920" s="6"/>
      <c r="B920" s="53"/>
      <c r="C920" s="4"/>
      <c r="D920" s="5"/>
    </row>
    <row r="921" spans="1:4" s="64" customFormat="1" x14ac:dyDescent="0.2">
      <c r="A921" s="6"/>
      <c r="B921" s="53"/>
      <c r="C921" s="4"/>
      <c r="D921" s="5"/>
    </row>
    <row r="922" spans="1:4" s="64" customFormat="1" x14ac:dyDescent="0.2">
      <c r="A922" s="6"/>
      <c r="B922" s="53"/>
      <c r="C922" s="4"/>
      <c r="D922" s="5"/>
    </row>
    <row r="923" spans="1:4" s="64" customFormat="1" x14ac:dyDescent="0.2">
      <c r="A923" s="6"/>
      <c r="B923" s="53"/>
      <c r="C923" s="4"/>
      <c r="D923" s="5"/>
    </row>
    <row r="924" spans="1:4" s="64" customFormat="1" x14ac:dyDescent="0.2">
      <c r="A924" s="6"/>
      <c r="B924" s="53"/>
      <c r="C924" s="4"/>
      <c r="D924" s="5"/>
    </row>
    <row r="925" spans="1:4" s="64" customFormat="1" x14ac:dyDescent="0.2">
      <c r="A925" s="6"/>
      <c r="B925" s="53"/>
      <c r="C925" s="4"/>
      <c r="D925" s="5"/>
    </row>
    <row r="926" spans="1:4" s="64" customFormat="1" x14ac:dyDescent="0.2">
      <c r="A926" s="6"/>
      <c r="B926" s="53"/>
      <c r="C926" s="4"/>
      <c r="D926" s="5"/>
    </row>
    <row r="927" spans="1:4" s="64" customFormat="1" x14ac:dyDescent="0.2">
      <c r="A927" s="6"/>
      <c r="B927" s="53"/>
      <c r="C927" s="4"/>
      <c r="D927" s="5"/>
    </row>
    <row r="928" spans="1:4" s="64" customFormat="1" x14ac:dyDescent="0.2">
      <c r="A928" s="6"/>
      <c r="B928" s="53"/>
      <c r="C928" s="4"/>
      <c r="D928" s="5"/>
    </row>
    <row r="929" spans="1:4" s="64" customFormat="1" x14ac:dyDescent="0.2">
      <c r="A929" s="6"/>
      <c r="B929" s="53"/>
      <c r="C929" s="4"/>
      <c r="D929" s="5"/>
    </row>
    <row r="930" spans="1:4" s="64" customFormat="1" x14ac:dyDescent="0.2">
      <c r="A930" s="6"/>
      <c r="B930" s="53"/>
      <c r="C930" s="4"/>
      <c r="D930" s="5"/>
    </row>
    <row r="931" spans="1:4" s="64" customFormat="1" x14ac:dyDescent="0.2">
      <c r="A931" s="6"/>
      <c r="B931" s="53"/>
      <c r="C931" s="4"/>
      <c r="D931" s="5"/>
    </row>
    <row r="932" spans="1:4" s="64" customFormat="1" x14ac:dyDescent="0.2">
      <c r="A932" s="6"/>
      <c r="B932" s="53"/>
      <c r="C932" s="4"/>
      <c r="D932" s="5"/>
    </row>
    <row r="933" spans="1:4" s="64" customFormat="1" x14ac:dyDescent="0.2">
      <c r="A933" s="6"/>
      <c r="B933" s="53"/>
      <c r="C933" s="4"/>
      <c r="D933" s="5"/>
    </row>
    <row r="934" spans="1:4" s="64" customFormat="1" x14ac:dyDescent="0.2">
      <c r="A934" s="6"/>
      <c r="B934" s="53"/>
      <c r="C934" s="4"/>
      <c r="D934" s="5"/>
    </row>
    <row r="935" spans="1:4" s="64" customFormat="1" x14ac:dyDescent="0.2">
      <c r="A935" s="6"/>
      <c r="B935" s="53"/>
      <c r="C935" s="4"/>
      <c r="D935" s="5"/>
    </row>
    <row r="936" spans="1:4" s="64" customFormat="1" x14ac:dyDescent="0.2">
      <c r="A936" s="6"/>
      <c r="B936" s="53"/>
      <c r="C936" s="4"/>
      <c r="D936" s="5"/>
    </row>
    <row r="937" spans="1:4" s="64" customFormat="1" x14ac:dyDescent="0.2">
      <c r="A937" s="6"/>
      <c r="B937" s="53"/>
      <c r="C937" s="4"/>
      <c r="D937" s="5"/>
    </row>
    <row r="938" spans="1:4" s="64" customFormat="1" x14ac:dyDescent="0.2">
      <c r="A938" s="6"/>
      <c r="B938" s="53"/>
      <c r="C938" s="4"/>
      <c r="D938" s="5"/>
    </row>
    <row r="939" spans="1:4" s="64" customFormat="1" x14ac:dyDescent="0.2">
      <c r="A939" s="6"/>
      <c r="B939" s="53"/>
      <c r="C939" s="4"/>
      <c r="D939" s="5"/>
    </row>
    <row r="940" spans="1:4" s="64" customFormat="1" x14ac:dyDescent="0.2">
      <c r="A940" s="6"/>
      <c r="B940" s="53"/>
      <c r="C940" s="4"/>
      <c r="D940" s="5"/>
    </row>
    <row r="941" spans="1:4" s="64" customFormat="1" x14ac:dyDescent="0.2">
      <c r="A941" s="6"/>
      <c r="B941" s="53"/>
      <c r="C941" s="4"/>
      <c r="D941" s="5"/>
    </row>
    <row r="942" spans="1:4" s="64" customFormat="1" x14ac:dyDescent="0.2">
      <c r="A942" s="6"/>
      <c r="B942" s="53"/>
      <c r="C942" s="4"/>
      <c r="D942" s="5"/>
    </row>
    <row r="943" spans="1:4" s="64" customFormat="1" x14ac:dyDescent="0.2">
      <c r="A943" s="6"/>
      <c r="B943" s="53"/>
      <c r="C943" s="4"/>
      <c r="D943" s="5"/>
    </row>
    <row r="944" spans="1:4" s="64" customFormat="1" x14ac:dyDescent="0.2">
      <c r="A944" s="6"/>
      <c r="B944" s="53"/>
      <c r="C944" s="4"/>
      <c r="D944" s="5"/>
    </row>
    <row r="945" spans="1:4" s="64" customFormat="1" x14ac:dyDescent="0.2">
      <c r="A945" s="6"/>
      <c r="B945" s="53"/>
      <c r="C945" s="4"/>
      <c r="D945" s="5"/>
    </row>
    <row r="946" spans="1:4" s="64" customFormat="1" x14ac:dyDescent="0.2">
      <c r="A946" s="6"/>
      <c r="B946" s="53"/>
      <c r="C946" s="4"/>
      <c r="D946" s="5"/>
    </row>
    <row r="947" spans="1:4" s="64" customFormat="1" x14ac:dyDescent="0.2">
      <c r="A947" s="6"/>
      <c r="B947" s="53"/>
      <c r="C947" s="4"/>
      <c r="D947" s="5"/>
    </row>
    <row r="948" spans="1:4" s="64" customFormat="1" x14ac:dyDescent="0.2">
      <c r="A948" s="6"/>
      <c r="B948" s="53"/>
      <c r="C948" s="4"/>
      <c r="D948" s="5"/>
    </row>
    <row r="949" spans="1:4" s="64" customFormat="1" x14ac:dyDescent="0.2">
      <c r="A949" s="6"/>
      <c r="B949" s="53"/>
      <c r="C949" s="4"/>
      <c r="D949" s="5"/>
    </row>
    <row r="950" spans="1:4" s="64" customFormat="1" x14ac:dyDescent="0.2">
      <c r="A950" s="6"/>
      <c r="B950" s="53"/>
      <c r="C950" s="4"/>
      <c r="D950" s="5"/>
    </row>
    <row r="951" spans="1:4" s="64" customFormat="1" x14ac:dyDescent="0.2">
      <c r="A951" s="6"/>
      <c r="B951" s="53"/>
      <c r="C951" s="4"/>
      <c r="D951" s="5"/>
    </row>
    <row r="952" spans="1:4" s="64" customFormat="1" x14ac:dyDescent="0.2">
      <c r="A952" s="6"/>
      <c r="B952" s="53"/>
      <c r="C952" s="4"/>
      <c r="D952" s="5"/>
    </row>
    <row r="953" spans="1:4" s="64" customFormat="1" x14ac:dyDescent="0.2">
      <c r="A953" s="6"/>
      <c r="B953" s="53"/>
      <c r="C953" s="4"/>
      <c r="D953" s="5"/>
    </row>
    <row r="954" spans="1:4" s="64" customFormat="1" x14ac:dyDescent="0.2">
      <c r="A954" s="6"/>
      <c r="B954" s="53"/>
      <c r="C954" s="4"/>
      <c r="D954" s="5"/>
    </row>
    <row r="955" spans="1:4" s="64" customFormat="1" x14ac:dyDescent="0.2">
      <c r="A955" s="6"/>
      <c r="B955" s="53"/>
      <c r="C955" s="4"/>
      <c r="D955" s="5"/>
    </row>
    <row r="956" spans="1:4" s="64" customFormat="1" x14ac:dyDescent="0.2">
      <c r="A956" s="6"/>
      <c r="B956" s="53"/>
      <c r="C956" s="4"/>
      <c r="D956" s="5"/>
    </row>
    <row r="957" spans="1:4" s="64" customFormat="1" x14ac:dyDescent="0.2">
      <c r="A957" s="6"/>
      <c r="B957" s="53"/>
      <c r="C957" s="4"/>
      <c r="D957" s="5"/>
    </row>
    <row r="958" spans="1:4" s="64" customFormat="1" x14ac:dyDescent="0.2">
      <c r="A958" s="6"/>
      <c r="B958" s="53"/>
      <c r="C958" s="4"/>
      <c r="D958" s="5"/>
    </row>
    <row r="959" spans="1:4" s="64" customFormat="1" x14ac:dyDescent="0.2">
      <c r="A959" s="6"/>
      <c r="B959" s="53"/>
      <c r="C959" s="4"/>
      <c r="D959" s="5"/>
    </row>
    <row r="960" spans="1:4" s="64" customFormat="1" x14ac:dyDescent="0.2">
      <c r="A960" s="6"/>
      <c r="B960" s="53"/>
      <c r="C960" s="4"/>
      <c r="D960" s="5"/>
    </row>
    <row r="961" spans="1:4" s="64" customFormat="1" x14ac:dyDescent="0.2">
      <c r="A961" s="6"/>
      <c r="B961" s="53"/>
      <c r="C961" s="4"/>
      <c r="D961" s="5"/>
    </row>
    <row r="962" spans="1:4" s="64" customFormat="1" x14ac:dyDescent="0.2">
      <c r="A962" s="6"/>
      <c r="B962" s="53"/>
      <c r="C962" s="4"/>
      <c r="D962" s="5"/>
    </row>
    <row r="963" spans="1:4" s="64" customFormat="1" x14ac:dyDescent="0.2">
      <c r="A963" s="6"/>
      <c r="B963" s="53"/>
      <c r="C963" s="4"/>
      <c r="D963" s="5"/>
    </row>
    <row r="964" spans="1:4" s="64" customFormat="1" x14ac:dyDescent="0.2">
      <c r="A964" s="6"/>
      <c r="B964" s="53"/>
      <c r="C964" s="4"/>
      <c r="D964" s="5"/>
    </row>
    <row r="965" spans="1:4" s="64" customFormat="1" x14ac:dyDescent="0.2">
      <c r="A965" s="6"/>
      <c r="B965" s="53"/>
      <c r="C965" s="4"/>
      <c r="D965" s="5"/>
    </row>
    <row r="966" spans="1:4" s="64" customFormat="1" x14ac:dyDescent="0.2">
      <c r="A966" s="6"/>
      <c r="B966" s="53"/>
      <c r="C966" s="4"/>
      <c r="D966" s="5"/>
    </row>
    <row r="967" spans="1:4" s="64" customFormat="1" x14ac:dyDescent="0.2">
      <c r="A967" s="6"/>
      <c r="B967" s="53"/>
      <c r="C967" s="4"/>
      <c r="D967" s="5"/>
    </row>
    <row r="968" spans="1:4" s="64" customFormat="1" x14ac:dyDescent="0.2">
      <c r="A968" s="6"/>
      <c r="B968" s="53"/>
      <c r="C968" s="4"/>
      <c r="D968" s="5"/>
    </row>
    <row r="969" spans="1:4" s="64" customFormat="1" x14ac:dyDescent="0.2">
      <c r="A969" s="6"/>
      <c r="B969" s="53"/>
      <c r="C969" s="4"/>
      <c r="D969" s="5"/>
    </row>
    <row r="970" spans="1:4" s="64" customFormat="1" x14ac:dyDescent="0.2">
      <c r="A970" s="6"/>
      <c r="B970" s="53"/>
      <c r="C970" s="4"/>
      <c r="D970" s="5"/>
    </row>
    <row r="971" spans="1:4" s="64" customFormat="1" x14ac:dyDescent="0.2">
      <c r="A971" s="6"/>
      <c r="B971" s="53"/>
      <c r="C971" s="4"/>
      <c r="D971" s="5"/>
    </row>
    <row r="972" spans="1:4" s="64" customFormat="1" x14ac:dyDescent="0.2">
      <c r="A972" s="6"/>
      <c r="B972" s="53"/>
      <c r="C972" s="4"/>
      <c r="D972" s="5"/>
    </row>
    <row r="973" spans="1:4" s="64" customFormat="1" x14ac:dyDescent="0.2">
      <c r="A973" s="6"/>
      <c r="B973" s="53"/>
      <c r="C973" s="4"/>
      <c r="D973" s="5"/>
    </row>
    <row r="974" spans="1:4" s="64" customFormat="1" x14ac:dyDescent="0.2">
      <c r="A974" s="6"/>
      <c r="B974" s="53"/>
      <c r="C974" s="4"/>
      <c r="D974" s="5"/>
    </row>
    <row r="975" spans="1:4" s="64" customFormat="1" x14ac:dyDescent="0.2">
      <c r="A975" s="6"/>
      <c r="B975" s="53"/>
      <c r="C975" s="4"/>
      <c r="D975" s="5"/>
    </row>
    <row r="976" spans="1:4" s="64" customFormat="1" x14ac:dyDescent="0.2">
      <c r="A976" s="6"/>
      <c r="B976" s="53"/>
      <c r="C976" s="4"/>
      <c r="D976" s="5"/>
    </row>
    <row r="977" spans="1:4" s="64" customFormat="1" x14ac:dyDescent="0.2">
      <c r="A977" s="6"/>
      <c r="B977" s="53"/>
      <c r="C977" s="4"/>
      <c r="D977" s="5"/>
    </row>
    <row r="978" spans="1:4" s="64" customFormat="1" x14ac:dyDescent="0.2">
      <c r="A978" s="6"/>
      <c r="B978" s="53"/>
      <c r="C978" s="4"/>
      <c r="D978" s="5"/>
    </row>
    <row r="979" spans="1:4" s="64" customFormat="1" x14ac:dyDescent="0.2">
      <c r="A979" s="6"/>
      <c r="B979" s="53"/>
      <c r="C979" s="4"/>
      <c r="D979" s="5"/>
    </row>
    <row r="980" spans="1:4" s="64" customFormat="1" x14ac:dyDescent="0.2">
      <c r="A980" s="6"/>
      <c r="B980" s="53"/>
      <c r="C980" s="4"/>
      <c r="D980" s="5"/>
    </row>
    <row r="981" spans="1:4" s="64" customFormat="1" x14ac:dyDescent="0.2">
      <c r="A981" s="6"/>
      <c r="B981" s="53"/>
      <c r="C981" s="4"/>
      <c r="D981" s="5"/>
    </row>
    <row r="982" spans="1:4" s="64" customFormat="1" x14ac:dyDescent="0.2">
      <c r="A982" s="6"/>
      <c r="B982" s="53"/>
      <c r="C982" s="4"/>
      <c r="D982" s="5"/>
    </row>
    <row r="983" spans="1:4" s="64" customFormat="1" x14ac:dyDescent="0.2">
      <c r="A983" s="6"/>
      <c r="B983" s="53"/>
      <c r="C983" s="4"/>
      <c r="D983" s="5"/>
    </row>
    <row r="984" spans="1:4" s="64" customFormat="1" x14ac:dyDescent="0.2">
      <c r="A984" s="6"/>
      <c r="B984" s="53"/>
      <c r="C984" s="4"/>
      <c r="D984" s="5"/>
    </row>
    <row r="985" spans="1:4" s="64" customFormat="1" x14ac:dyDescent="0.2">
      <c r="A985" s="6"/>
      <c r="B985" s="53"/>
      <c r="C985" s="4"/>
      <c r="D985" s="5"/>
    </row>
    <row r="986" spans="1:4" s="64" customFormat="1" x14ac:dyDescent="0.2">
      <c r="A986" s="6"/>
      <c r="B986" s="53"/>
      <c r="C986" s="4"/>
      <c r="D986" s="5"/>
    </row>
    <row r="987" spans="1:4" s="64" customFormat="1" x14ac:dyDescent="0.2">
      <c r="A987" s="6"/>
      <c r="B987" s="53"/>
      <c r="C987" s="4"/>
      <c r="D987" s="5"/>
    </row>
    <row r="988" spans="1:4" s="64" customFormat="1" x14ac:dyDescent="0.2">
      <c r="A988" s="6"/>
      <c r="B988" s="53"/>
      <c r="C988" s="4"/>
      <c r="D988" s="5"/>
    </row>
    <row r="989" spans="1:4" s="64" customFormat="1" x14ac:dyDescent="0.2">
      <c r="A989" s="6"/>
      <c r="B989" s="53"/>
      <c r="C989" s="4"/>
      <c r="D989" s="5"/>
    </row>
    <row r="990" spans="1:4" s="64" customFormat="1" x14ac:dyDescent="0.2">
      <c r="A990" s="6"/>
      <c r="B990" s="53"/>
      <c r="C990" s="4"/>
      <c r="D990" s="5"/>
    </row>
    <row r="991" spans="1:4" s="64" customFormat="1" x14ac:dyDescent="0.2">
      <c r="A991" s="6"/>
      <c r="B991" s="53"/>
      <c r="C991" s="4"/>
      <c r="D991" s="5"/>
    </row>
    <row r="992" spans="1:4" s="64" customFormat="1" x14ac:dyDescent="0.2">
      <c r="A992" s="6"/>
      <c r="B992" s="53"/>
      <c r="C992" s="4"/>
      <c r="D992" s="5"/>
    </row>
    <row r="993" spans="1:4" s="64" customFormat="1" x14ac:dyDescent="0.2">
      <c r="A993" s="6"/>
      <c r="B993" s="53"/>
      <c r="C993" s="4"/>
      <c r="D993" s="5"/>
    </row>
    <row r="994" spans="1:4" s="64" customFormat="1" x14ac:dyDescent="0.2">
      <c r="A994" s="6"/>
      <c r="B994" s="53"/>
      <c r="C994" s="4"/>
      <c r="D994" s="5"/>
    </row>
    <row r="995" spans="1:4" s="64" customFormat="1" x14ac:dyDescent="0.2">
      <c r="A995" s="6"/>
      <c r="B995" s="53"/>
      <c r="C995" s="4"/>
      <c r="D995" s="5"/>
    </row>
    <row r="996" spans="1:4" s="64" customFormat="1" x14ac:dyDescent="0.2">
      <c r="A996" s="6"/>
      <c r="B996" s="53"/>
      <c r="C996" s="4"/>
      <c r="D996" s="5"/>
    </row>
    <row r="997" spans="1:4" s="64" customFormat="1" x14ac:dyDescent="0.2">
      <c r="A997" s="6"/>
      <c r="B997" s="53"/>
      <c r="C997" s="4"/>
      <c r="D997" s="5"/>
    </row>
    <row r="998" spans="1:4" s="64" customFormat="1" x14ac:dyDescent="0.2">
      <c r="A998" s="6"/>
      <c r="B998" s="53"/>
      <c r="C998" s="4"/>
      <c r="D998" s="5"/>
    </row>
    <row r="999" spans="1:4" s="64" customFormat="1" x14ac:dyDescent="0.2">
      <c r="A999" s="6"/>
      <c r="B999" s="53"/>
      <c r="C999" s="4"/>
      <c r="D999" s="5"/>
    </row>
    <row r="1000" spans="1:4" s="64" customFormat="1" x14ac:dyDescent="0.2">
      <c r="A1000" s="6"/>
      <c r="B1000" s="53"/>
      <c r="C1000" s="4"/>
      <c r="D1000" s="5"/>
    </row>
    <row r="1001" spans="1:4" s="64" customFormat="1" x14ac:dyDescent="0.2">
      <c r="A1001" s="6"/>
      <c r="B1001" s="53"/>
      <c r="C1001" s="4"/>
      <c r="D1001" s="5"/>
    </row>
    <row r="1002" spans="1:4" s="64" customFormat="1" x14ac:dyDescent="0.2">
      <c r="A1002" s="6"/>
      <c r="B1002" s="53"/>
      <c r="C1002" s="4"/>
      <c r="D1002" s="5"/>
    </row>
    <row r="1003" spans="1:4" s="64" customFormat="1" x14ac:dyDescent="0.2">
      <c r="A1003" s="6"/>
      <c r="B1003" s="53"/>
      <c r="C1003" s="4"/>
      <c r="D1003" s="5"/>
    </row>
    <row r="1004" spans="1:4" s="64" customFormat="1" x14ac:dyDescent="0.2">
      <c r="A1004" s="6"/>
      <c r="B1004" s="53"/>
      <c r="C1004" s="4"/>
      <c r="D1004" s="5"/>
    </row>
    <row r="1005" spans="1:4" s="64" customFormat="1" x14ac:dyDescent="0.2">
      <c r="A1005" s="6"/>
      <c r="B1005" s="53"/>
      <c r="C1005" s="4"/>
      <c r="D1005" s="5"/>
    </row>
    <row r="1006" spans="1:4" s="64" customFormat="1" x14ac:dyDescent="0.2">
      <c r="A1006" s="6"/>
      <c r="B1006" s="53"/>
      <c r="C1006" s="4"/>
      <c r="D1006" s="5"/>
    </row>
    <row r="1007" spans="1:4" s="64" customFormat="1" x14ac:dyDescent="0.2">
      <c r="A1007" s="6"/>
      <c r="B1007" s="53"/>
      <c r="C1007" s="4"/>
      <c r="D1007" s="5"/>
    </row>
    <row r="1008" spans="1:4" s="64" customFormat="1" x14ac:dyDescent="0.2">
      <c r="A1008" s="6"/>
      <c r="B1008" s="53"/>
      <c r="C1008" s="4"/>
      <c r="D1008" s="5"/>
    </row>
    <row r="1009" spans="1:4" s="64" customFormat="1" x14ac:dyDescent="0.2">
      <c r="A1009" s="6"/>
      <c r="B1009" s="53"/>
      <c r="C1009" s="4"/>
      <c r="D1009" s="5"/>
    </row>
    <row r="1010" spans="1:4" s="64" customFormat="1" x14ac:dyDescent="0.2">
      <c r="A1010" s="6"/>
      <c r="B1010" s="53"/>
      <c r="C1010" s="4"/>
      <c r="D1010" s="5"/>
    </row>
    <row r="1011" spans="1:4" s="64" customFormat="1" x14ac:dyDescent="0.2">
      <c r="A1011" s="6"/>
      <c r="B1011" s="53"/>
      <c r="C1011" s="4"/>
      <c r="D1011" s="5"/>
    </row>
    <row r="1012" spans="1:4" s="64" customFormat="1" x14ac:dyDescent="0.2">
      <c r="A1012" s="6"/>
      <c r="B1012" s="53"/>
      <c r="C1012" s="4"/>
      <c r="D1012" s="5"/>
    </row>
    <row r="1013" spans="1:4" s="64" customFormat="1" x14ac:dyDescent="0.2">
      <c r="A1013" s="6"/>
      <c r="B1013" s="53"/>
      <c r="C1013" s="4"/>
      <c r="D1013" s="5"/>
    </row>
    <row r="1014" spans="1:4" s="64" customFormat="1" x14ac:dyDescent="0.2">
      <c r="A1014" s="6"/>
      <c r="B1014" s="53"/>
      <c r="C1014" s="4"/>
      <c r="D1014" s="5"/>
    </row>
    <row r="1015" spans="1:4" s="64" customFormat="1" x14ac:dyDescent="0.2">
      <c r="A1015" s="6"/>
      <c r="B1015" s="53"/>
      <c r="C1015" s="4"/>
      <c r="D1015" s="5"/>
    </row>
    <row r="1016" spans="1:4" s="64" customFormat="1" x14ac:dyDescent="0.2">
      <c r="A1016" s="6"/>
      <c r="B1016" s="53"/>
      <c r="C1016" s="4"/>
      <c r="D1016" s="5"/>
    </row>
    <row r="1017" spans="1:4" s="64" customFormat="1" x14ac:dyDescent="0.2">
      <c r="A1017" s="6"/>
      <c r="B1017" s="53"/>
      <c r="C1017" s="4"/>
      <c r="D1017" s="5"/>
    </row>
    <row r="1018" spans="1:4" s="64" customFormat="1" x14ac:dyDescent="0.2">
      <c r="A1018" s="6"/>
      <c r="B1018" s="53"/>
      <c r="C1018" s="4"/>
      <c r="D1018" s="5"/>
    </row>
    <row r="1019" spans="1:4" s="64" customFormat="1" x14ac:dyDescent="0.2">
      <c r="A1019" s="6"/>
      <c r="B1019" s="53"/>
      <c r="C1019" s="4"/>
      <c r="D1019" s="5"/>
    </row>
    <row r="1020" spans="1:4" s="64" customFormat="1" x14ac:dyDescent="0.2">
      <c r="A1020" s="6"/>
      <c r="B1020" s="53"/>
      <c r="C1020" s="4"/>
      <c r="D1020" s="5"/>
    </row>
    <row r="1021" spans="1:4" s="64" customFormat="1" x14ac:dyDescent="0.2">
      <c r="A1021" s="6"/>
      <c r="B1021" s="53"/>
      <c r="C1021" s="4"/>
      <c r="D1021" s="5"/>
    </row>
    <row r="1022" spans="1:4" s="64" customFormat="1" x14ac:dyDescent="0.2">
      <c r="A1022" s="6"/>
      <c r="B1022" s="53"/>
      <c r="C1022" s="4"/>
      <c r="D1022" s="5"/>
    </row>
    <row r="1023" spans="1:4" s="64" customFormat="1" x14ac:dyDescent="0.2">
      <c r="A1023" s="6"/>
      <c r="B1023" s="53"/>
      <c r="C1023" s="4"/>
      <c r="D1023" s="5"/>
    </row>
    <row r="1024" spans="1:4" s="64" customFormat="1" x14ac:dyDescent="0.2">
      <c r="A1024" s="6"/>
      <c r="B1024" s="53"/>
      <c r="C1024" s="4"/>
      <c r="D1024" s="5"/>
    </row>
    <row r="1025" spans="1:4" s="64" customFormat="1" x14ac:dyDescent="0.2">
      <c r="A1025" s="6"/>
      <c r="B1025" s="53"/>
      <c r="C1025" s="4"/>
      <c r="D1025" s="5"/>
    </row>
    <row r="1026" spans="1:4" s="64" customFormat="1" x14ac:dyDescent="0.2">
      <c r="A1026" s="6"/>
      <c r="B1026" s="53"/>
      <c r="C1026" s="4"/>
      <c r="D1026" s="5"/>
    </row>
    <row r="1027" spans="1:4" s="64" customFormat="1" x14ac:dyDescent="0.2">
      <c r="A1027" s="6"/>
      <c r="B1027" s="53"/>
      <c r="C1027" s="4"/>
      <c r="D1027" s="5"/>
    </row>
    <row r="1028" spans="1:4" s="64" customFormat="1" x14ac:dyDescent="0.2">
      <c r="A1028" s="6"/>
      <c r="B1028" s="53"/>
      <c r="C1028" s="4"/>
      <c r="D1028" s="5"/>
    </row>
    <row r="1029" spans="1:4" s="64" customFormat="1" x14ac:dyDescent="0.2">
      <c r="A1029" s="6"/>
      <c r="B1029" s="53"/>
      <c r="C1029" s="4"/>
      <c r="D1029" s="5"/>
    </row>
    <row r="1030" spans="1:4" s="64" customFormat="1" x14ac:dyDescent="0.2">
      <c r="A1030" s="6"/>
      <c r="B1030" s="53"/>
      <c r="C1030" s="4"/>
      <c r="D1030" s="5"/>
    </row>
    <row r="1031" spans="1:4" s="64" customFormat="1" x14ac:dyDescent="0.2">
      <c r="A1031" s="6"/>
      <c r="B1031" s="53"/>
      <c r="C1031" s="4"/>
      <c r="D1031" s="5"/>
    </row>
    <row r="1032" spans="1:4" s="64" customFormat="1" x14ac:dyDescent="0.2">
      <c r="A1032" s="6"/>
      <c r="B1032" s="53"/>
      <c r="C1032" s="4"/>
      <c r="D1032" s="5"/>
    </row>
    <row r="1033" spans="1:4" s="64" customFormat="1" x14ac:dyDescent="0.2">
      <c r="A1033" s="6"/>
      <c r="B1033" s="53"/>
      <c r="C1033" s="4"/>
      <c r="D1033" s="5"/>
    </row>
    <row r="1034" spans="1:4" s="64" customFormat="1" x14ac:dyDescent="0.2">
      <c r="A1034" s="6"/>
      <c r="B1034" s="53"/>
      <c r="C1034" s="4"/>
      <c r="D1034" s="5"/>
    </row>
    <row r="1035" spans="1:4" s="64" customFormat="1" x14ac:dyDescent="0.2">
      <c r="A1035" s="6"/>
      <c r="B1035" s="53"/>
      <c r="C1035" s="4"/>
      <c r="D1035" s="5"/>
    </row>
    <row r="1036" spans="1:4" s="64" customFormat="1" x14ac:dyDescent="0.2">
      <c r="A1036" s="6"/>
      <c r="B1036" s="53"/>
      <c r="C1036" s="4"/>
      <c r="D1036" s="5"/>
    </row>
    <row r="1037" spans="1:4" s="64" customFormat="1" x14ac:dyDescent="0.2">
      <c r="A1037" s="6"/>
      <c r="B1037" s="53"/>
      <c r="C1037" s="4"/>
      <c r="D1037" s="5"/>
    </row>
    <row r="1038" spans="1:4" s="64" customFormat="1" x14ac:dyDescent="0.2">
      <c r="A1038" s="6"/>
      <c r="B1038" s="53"/>
      <c r="C1038" s="4"/>
      <c r="D1038" s="5"/>
    </row>
    <row r="1039" spans="1:4" s="64" customFormat="1" x14ac:dyDescent="0.2">
      <c r="A1039" s="6"/>
      <c r="B1039" s="53"/>
      <c r="C1039" s="4"/>
      <c r="D1039" s="5"/>
    </row>
    <row r="1040" spans="1:4" s="64" customFormat="1" x14ac:dyDescent="0.2">
      <c r="A1040" s="6"/>
      <c r="B1040" s="53"/>
      <c r="C1040" s="4"/>
      <c r="D1040" s="5"/>
    </row>
    <row r="1041" spans="1:4" s="64" customFormat="1" x14ac:dyDescent="0.2">
      <c r="A1041" s="6"/>
      <c r="B1041" s="53"/>
      <c r="C1041" s="4"/>
      <c r="D1041" s="5"/>
    </row>
    <row r="1042" spans="1:4" s="64" customFormat="1" x14ac:dyDescent="0.2">
      <c r="A1042" s="6"/>
      <c r="B1042" s="53"/>
      <c r="C1042" s="4"/>
      <c r="D1042" s="5"/>
    </row>
    <row r="1043" spans="1:4" s="64" customFormat="1" x14ac:dyDescent="0.2">
      <c r="A1043" s="6"/>
      <c r="B1043" s="53"/>
      <c r="C1043" s="4"/>
      <c r="D1043" s="5"/>
    </row>
    <row r="1044" spans="1:4" s="64" customFormat="1" x14ac:dyDescent="0.2">
      <c r="A1044" s="6"/>
      <c r="B1044" s="53"/>
      <c r="C1044" s="4"/>
      <c r="D1044" s="5"/>
    </row>
    <row r="1045" spans="1:4" s="64" customFormat="1" x14ac:dyDescent="0.2">
      <c r="A1045" s="6"/>
      <c r="B1045" s="53"/>
      <c r="C1045" s="4"/>
      <c r="D1045" s="5"/>
    </row>
    <row r="1046" spans="1:4" s="64" customFormat="1" x14ac:dyDescent="0.2">
      <c r="A1046" s="6"/>
      <c r="B1046" s="53"/>
      <c r="C1046" s="4"/>
      <c r="D1046" s="5"/>
    </row>
    <row r="1047" spans="1:4" s="64" customFormat="1" x14ac:dyDescent="0.2">
      <c r="A1047" s="6"/>
      <c r="B1047" s="53"/>
      <c r="C1047" s="4"/>
      <c r="D1047" s="5"/>
    </row>
    <row r="1048" spans="1:4" s="64" customFormat="1" x14ac:dyDescent="0.2">
      <c r="A1048" s="6"/>
      <c r="B1048" s="53"/>
      <c r="C1048" s="4"/>
      <c r="D1048" s="5"/>
    </row>
    <row r="1049" spans="1:4" s="64" customFormat="1" x14ac:dyDescent="0.2">
      <c r="A1049" s="6"/>
      <c r="B1049" s="53"/>
      <c r="C1049" s="4"/>
      <c r="D1049" s="5"/>
    </row>
    <row r="1050" spans="1:4" s="64" customFormat="1" x14ac:dyDescent="0.2">
      <c r="A1050" s="6"/>
      <c r="B1050" s="53"/>
      <c r="C1050" s="4"/>
      <c r="D1050" s="5"/>
    </row>
    <row r="1051" spans="1:4" s="64" customFormat="1" x14ac:dyDescent="0.2">
      <c r="A1051" s="6"/>
      <c r="B1051" s="53"/>
      <c r="C1051" s="4"/>
      <c r="D1051" s="5"/>
    </row>
    <row r="1052" spans="1:4" s="64" customFormat="1" x14ac:dyDescent="0.2">
      <c r="A1052" s="6"/>
      <c r="B1052" s="53"/>
      <c r="C1052" s="4"/>
      <c r="D1052" s="5"/>
    </row>
    <row r="1053" spans="1:4" s="64" customFormat="1" x14ac:dyDescent="0.2">
      <c r="A1053" s="6"/>
      <c r="B1053" s="53"/>
      <c r="C1053" s="4"/>
      <c r="D1053" s="5"/>
    </row>
    <row r="1054" spans="1:4" s="64" customFormat="1" x14ac:dyDescent="0.2">
      <c r="A1054" s="6"/>
      <c r="B1054" s="53"/>
      <c r="C1054" s="4"/>
      <c r="D1054" s="5"/>
    </row>
    <row r="1055" spans="1:4" s="64" customFormat="1" x14ac:dyDescent="0.2">
      <c r="A1055" s="6"/>
      <c r="B1055" s="53"/>
      <c r="C1055" s="4"/>
      <c r="D1055" s="5"/>
    </row>
    <row r="1056" spans="1:4" s="64" customFormat="1" x14ac:dyDescent="0.2">
      <c r="A1056" s="6"/>
      <c r="B1056" s="53"/>
      <c r="C1056" s="4"/>
      <c r="D1056" s="5"/>
    </row>
    <row r="1057" spans="1:4" s="64" customFormat="1" x14ac:dyDescent="0.2">
      <c r="A1057" s="6"/>
      <c r="B1057" s="53"/>
      <c r="C1057" s="4"/>
      <c r="D1057" s="5"/>
    </row>
    <row r="1058" spans="1:4" s="64" customFormat="1" x14ac:dyDescent="0.2">
      <c r="A1058" s="6"/>
      <c r="B1058" s="53"/>
      <c r="C1058" s="4"/>
      <c r="D1058" s="5"/>
    </row>
    <row r="1059" spans="1:4" s="64" customFormat="1" x14ac:dyDescent="0.2">
      <c r="A1059" s="6"/>
      <c r="B1059" s="53"/>
      <c r="C1059" s="4"/>
      <c r="D1059" s="5"/>
    </row>
    <row r="1060" spans="1:4" s="64" customFormat="1" x14ac:dyDescent="0.2">
      <c r="A1060" s="6"/>
      <c r="B1060" s="53"/>
      <c r="C1060" s="4"/>
      <c r="D1060" s="5"/>
    </row>
    <row r="1061" spans="1:4" s="64" customFormat="1" x14ac:dyDescent="0.2">
      <c r="A1061" s="6"/>
      <c r="B1061" s="53"/>
      <c r="C1061" s="4"/>
      <c r="D1061" s="5"/>
    </row>
    <row r="1062" spans="1:4" s="64" customFormat="1" x14ac:dyDescent="0.2">
      <c r="A1062" s="6"/>
      <c r="B1062" s="53"/>
      <c r="C1062" s="4"/>
      <c r="D1062" s="5"/>
    </row>
    <row r="1063" spans="1:4" s="64" customFormat="1" x14ac:dyDescent="0.2">
      <c r="A1063" s="6"/>
      <c r="B1063" s="53"/>
      <c r="C1063" s="4"/>
      <c r="D1063" s="5"/>
    </row>
    <row r="1064" spans="1:4" s="64" customFormat="1" x14ac:dyDescent="0.2">
      <c r="A1064" s="6"/>
      <c r="B1064" s="53"/>
      <c r="C1064" s="4"/>
      <c r="D1064" s="5"/>
    </row>
    <row r="1065" spans="1:4" s="64" customFormat="1" x14ac:dyDescent="0.2">
      <c r="A1065" s="6"/>
      <c r="B1065" s="53"/>
      <c r="C1065" s="4"/>
      <c r="D1065" s="5"/>
    </row>
    <row r="1066" spans="1:4" s="64" customFormat="1" x14ac:dyDescent="0.2">
      <c r="A1066" s="6"/>
      <c r="B1066" s="53"/>
      <c r="C1066" s="4"/>
      <c r="D1066" s="5"/>
    </row>
    <row r="1067" spans="1:4" s="64" customFormat="1" x14ac:dyDescent="0.2">
      <c r="A1067" s="6"/>
      <c r="B1067" s="53"/>
      <c r="C1067" s="4"/>
      <c r="D1067" s="5"/>
    </row>
    <row r="1068" spans="1:4" s="64" customFormat="1" x14ac:dyDescent="0.2">
      <c r="A1068" s="6"/>
      <c r="B1068" s="53"/>
      <c r="C1068" s="4"/>
      <c r="D1068" s="5"/>
    </row>
    <row r="1069" spans="1:4" s="64" customFormat="1" x14ac:dyDescent="0.2">
      <c r="A1069" s="6"/>
      <c r="B1069" s="53"/>
      <c r="C1069" s="4"/>
      <c r="D1069" s="5"/>
    </row>
    <row r="1070" spans="1:4" s="64" customFormat="1" x14ac:dyDescent="0.2">
      <c r="A1070" s="6"/>
      <c r="B1070" s="53"/>
      <c r="C1070" s="4"/>
      <c r="D1070" s="5"/>
    </row>
    <row r="1071" spans="1:4" s="64" customFormat="1" x14ac:dyDescent="0.2">
      <c r="A1071" s="6"/>
      <c r="B1071" s="53"/>
      <c r="C1071" s="4"/>
      <c r="D1071" s="5"/>
    </row>
    <row r="1072" spans="1:4" s="64" customFormat="1" x14ac:dyDescent="0.2">
      <c r="A1072" s="6"/>
      <c r="B1072" s="53"/>
      <c r="C1072" s="4"/>
      <c r="D1072" s="5"/>
    </row>
    <row r="1073" spans="1:4" s="64" customFormat="1" x14ac:dyDescent="0.2">
      <c r="A1073" s="6"/>
      <c r="B1073" s="53"/>
      <c r="C1073" s="4"/>
      <c r="D1073" s="5"/>
    </row>
    <row r="1074" spans="1:4" s="64" customFormat="1" x14ac:dyDescent="0.2">
      <c r="A1074" s="6"/>
      <c r="B1074" s="53"/>
      <c r="C1074" s="4"/>
      <c r="D1074" s="5"/>
    </row>
    <row r="1075" spans="1:4" s="64" customFormat="1" x14ac:dyDescent="0.2">
      <c r="A1075" s="6"/>
      <c r="B1075" s="53"/>
      <c r="C1075" s="4"/>
      <c r="D1075" s="5"/>
    </row>
    <row r="1076" spans="1:4" s="64" customFormat="1" x14ac:dyDescent="0.2">
      <c r="A1076" s="6"/>
      <c r="B1076" s="53"/>
      <c r="C1076" s="4"/>
      <c r="D1076" s="5"/>
    </row>
    <row r="1077" spans="1:4" s="64" customFormat="1" x14ac:dyDescent="0.2">
      <c r="A1077" s="6"/>
      <c r="B1077" s="53"/>
      <c r="C1077" s="4"/>
      <c r="D1077" s="5"/>
    </row>
    <row r="1078" spans="1:4" s="64" customFormat="1" x14ac:dyDescent="0.2">
      <c r="A1078" s="6"/>
      <c r="B1078" s="53"/>
      <c r="C1078" s="4"/>
      <c r="D1078" s="5"/>
    </row>
    <row r="1079" spans="1:4" s="64" customFormat="1" x14ac:dyDescent="0.2">
      <c r="A1079" s="6"/>
      <c r="B1079" s="53"/>
      <c r="C1079" s="4"/>
      <c r="D1079" s="5"/>
    </row>
    <row r="1080" spans="1:4" s="64" customFormat="1" x14ac:dyDescent="0.2">
      <c r="A1080" s="6"/>
      <c r="B1080" s="53"/>
      <c r="C1080" s="4"/>
      <c r="D1080" s="5"/>
    </row>
    <row r="1081" spans="1:4" s="64" customFormat="1" x14ac:dyDescent="0.2">
      <c r="A1081" s="6"/>
      <c r="B1081" s="53"/>
      <c r="C1081" s="4"/>
      <c r="D1081" s="5"/>
    </row>
    <row r="1082" spans="1:4" s="64" customFormat="1" x14ac:dyDescent="0.2">
      <c r="A1082" s="6"/>
      <c r="B1082" s="53"/>
      <c r="C1082" s="4"/>
      <c r="D1082" s="5"/>
    </row>
    <row r="1083" spans="1:4" s="64" customFormat="1" x14ac:dyDescent="0.2">
      <c r="A1083" s="6"/>
      <c r="B1083" s="53"/>
      <c r="C1083" s="4"/>
      <c r="D1083" s="5"/>
    </row>
    <row r="1084" spans="1:4" s="64" customFormat="1" x14ac:dyDescent="0.2">
      <c r="A1084" s="6"/>
      <c r="B1084" s="53"/>
      <c r="C1084" s="4"/>
      <c r="D1084" s="5"/>
    </row>
    <row r="1085" spans="1:4" s="64" customFormat="1" x14ac:dyDescent="0.2">
      <c r="A1085" s="6"/>
      <c r="B1085" s="53"/>
      <c r="C1085" s="4"/>
      <c r="D1085" s="5"/>
    </row>
    <row r="1086" spans="1:4" s="64" customFormat="1" x14ac:dyDescent="0.2">
      <c r="A1086" s="6"/>
      <c r="B1086" s="53"/>
      <c r="C1086" s="4"/>
      <c r="D1086" s="5"/>
    </row>
    <row r="1087" spans="1:4" s="64" customFormat="1" x14ac:dyDescent="0.2">
      <c r="A1087" s="6"/>
      <c r="B1087" s="53"/>
      <c r="C1087" s="4"/>
      <c r="D1087" s="5"/>
    </row>
    <row r="1088" spans="1:4" s="64" customFormat="1" x14ac:dyDescent="0.2">
      <c r="A1088" s="6"/>
      <c r="B1088" s="53"/>
      <c r="C1088" s="4"/>
      <c r="D1088" s="5"/>
    </row>
    <row r="1089" spans="1:4" s="64" customFormat="1" x14ac:dyDescent="0.2">
      <c r="A1089" s="6"/>
      <c r="B1089" s="53"/>
      <c r="C1089" s="4"/>
      <c r="D1089" s="5"/>
    </row>
    <row r="1090" spans="1:4" s="64" customFormat="1" x14ac:dyDescent="0.2">
      <c r="A1090" s="6"/>
      <c r="B1090" s="53"/>
      <c r="C1090" s="4"/>
      <c r="D1090" s="5"/>
    </row>
    <row r="1091" spans="1:4" s="64" customFormat="1" x14ac:dyDescent="0.2">
      <c r="A1091" s="6"/>
      <c r="B1091" s="53"/>
      <c r="C1091" s="4"/>
      <c r="D1091" s="5"/>
    </row>
    <row r="1092" spans="1:4" s="64" customFormat="1" x14ac:dyDescent="0.2">
      <c r="A1092" s="6"/>
      <c r="B1092" s="53"/>
      <c r="C1092" s="4"/>
      <c r="D1092" s="5"/>
    </row>
    <row r="1093" spans="1:4" s="64" customFormat="1" x14ac:dyDescent="0.2">
      <c r="A1093" s="6"/>
      <c r="B1093" s="53"/>
      <c r="C1093" s="4"/>
      <c r="D1093" s="5"/>
    </row>
    <row r="1094" spans="1:4" s="64" customFormat="1" x14ac:dyDescent="0.2">
      <c r="A1094" s="6"/>
      <c r="B1094" s="53"/>
      <c r="C1094" s="4"/>
      <c r="D1094" s="5"/>
    </row>
    <row r="1095" spans="1:4" s="64" customFormat="1" x14ac:dyDescent="0.2">
      <c r="A1095" s="6"/>
      <c r="B1095" s="53"/>
      <c r="C1095" s="4"/>
      <c r="D1095" s="5"/>
    </row>
    <row r="1096" spans="1:4" s="64" customFormat="1" x14ac:dyDescent="0.2">
      <c r="A1096" s="6"/>
      <c r="B1096" s="53"/>
      <c r="C1096" s="4"/>
      <c r="D1096" s="5"/>
    </row>
    <row r="1097" spans="1:4" s="64" customFormat="1" x14ac:dyDescent="0.2">
      <c r="A1097" s="6"/>
      <c r="B1097" s="53"/>
      <c r="C1097" s="4"/>
      <c r="D1097" s="5"/>
    </row>
    <row r="1098" spans="1:4" s="64" customFormat="1" x14ac:dyDescent="0.2">
      <c r="A1098" s="6"/>
      <c r="B1098" s="53"/>
      <c r="C1098" s="4"/>
      <c r="D1098" s="5"/>
    </row>
    <row r="1099" spans="1:4" s="64" customFormat="1" x14ac:dyDescent="0.2">
      <c r="A1099" s="6"/>
      <c r="B1099" s="53"/>
      <c r="C1099" s="4"/>
      <c r="D1099" s="5"/>
    </row>
    <row r="1100" spans="1:4" s="64" customFormat="1" x14ac:dyDescent="0.2">
      <c r="A1100" s="6"/>
      <c r="B1100" s="53"/>
      <c r="C1100" s="4"/>
      <c r="D1100" s="5"/>
    </row>
    <row r="1101" spans="1:4" s="64" customFormat="1" x14ac:dyDescent="0.2">
      <c r="A1101" s="6"/>
      <c r="B1101" s="53"/>
      <c r="C1101" s="4"/>
      <c r="D1101" s="5"/>
    </row>
    <row r="1102" spans="1:4" s="64" customFormat="1" x14ac:dyDescent="0.2">
      <c r="A1102" s="6"/>
      <c r="B1102" s="53"/>
      <c r="C1102" s="4"/>
      <c r="D1102" s="5"/>
    </row>
    <row r="1103" spans="1:4" s="64" customFormat="1" x14ac:dyDescent="0.2">
      <c r="A1103" s="6"/>
      <c r="B1103" s="53"/>
      <c r="C1103" s="4"/>
      <c r="D1103" s="5"/>
    </row>
    <row r="1104" spans="1:4" s="64" customFormat="1" x14ac:dyDescent="0.2">
      <c r="A1104" s="6"/>
      <c r="B1104" s="53"/>
      <c r="C1104" s="4"/>
      <c r="D1104" s="5"/>
    </row>
    <row r="1105" spans="1:4" s="64" customFormat="1" x14ac:dyDescent="0.2">
      <c r="A1105" s="6"/>
      <c r="B1105" s="53"/>
      <c r="C1105" s="4"/>
      <c r="D1105" s="5"/>
    </row>
    <row r="1106" spans="1:4" s="64" customFormat="1" x14ac:dyDescent="0.2">
      <c r="A1106" s="6"/>
      <c r="B1106" s="53"/>
      <c r="C1106" s="4"/>
      <c r="D1106" s="5"/>
    </row>
    <row r="1107" spans="1:4" s="64" customFormat="1" x14ac:dyDescent="0.2">
      <c r="A1107" s="6"/>
      <c r="B1107" s="53"/>
      <c r="C1107" s="4"/>
      <c r="D1107" s="5"/>
    </row>
    <row r="1108" spans="1:4" s="64" customFormat="1" x14ac:dyDescent="0.2">
      <c r="A1108" s="6"/>
      <c r="B1108" s="53"/>
      <c r="C1108" s="4"/>
      <c r="D1108" s="5"/>
    </row>
    <row r="1109" spans="1:4" s="64" customFormat="1" x14ac:dyDescent="0.2">
      <c r="A1109" s="6"/>
      <c r="B1109" s="53"/>
      <c r="C1109" s="4"/>
      <c r="D1109" s="5"/>
    </row>
    <row r="1110" spans="1:4" s="64" customFormat="1" x14ac:dyDescent="0.2">
      <c r="A1110" s="6"/>
      <c r="B1110" s="53"/>
      <c r="C1110" s="4"/>
      <c r="D1110" s="5"/>
    </row>
    <row r="1111" spans="1:4" s="64" customFormat="1" x14ac:dyDescent="0.2">
      <c r="A1111" s="6"/>
      <c r="B1111" s="53"/>
      <c r="C1111" s="4"/>
      <c r="D1111" s="5"/>
    </row>
    <row r="1112" spans="1:4" s="64" customFormat="1" x14ac:dyDescent="0.2">
      <c r="A1112" s="6"/>
      <c r="B1112" s="53"/>
      <c r="C1112" s="4"/>
      <c r="D1112" s="5"/>
    </row>
    <row r="1113" spans="1:4" s="64" customFormat="1" x14ac:dyDescent="0.2">
      <c r="A1113" s="6"/>
      <c r="B1113" s="53"/>
      <c r="C1113" s="4"/>
      <c r="D1113" s="5"/>
    </row>
    <row r="1114" spans="1:4" s="64" customFormat="1" x14ac:dyDescent="0.2">
      <c r="A1114" s="6"/>
      <c r="B1114" s="53"/>
      <c r="C1114" s="4"/>
      <c r="D1114" s="5"/>
    </row>
    <row r="1115" spans="1:4" s="64" customFormat="1" x14ac:dyDescent="0.2">
      <c r="A1115" s="6"/>
      <c r="B1115" s="53"/>
      <c r="C1115" s="4"/>
      <c r="D1115" s="5"/>
    </row>
    <row r="1116" spans="1:4" s="64" customFormat="1" x14ac:dyDescent="0.2">
      <c r="A1116" s="6"/>
      <c r="B1116" s="53"/>
      <c r="C1116" s="4"/>
      <c r="D1116" s="5"/>
    </row>
    <row r="1117" spans="1:4" s="64" customFormat="1" x14ac:dyDescent="0.2">
      <c r="A1117" s="6"/>
      <c r="B1117" s="53"/>
      <c r="C1117" s="4"/>
      <c r="D1117" s="5"/>
    </row>
    <row r="1118" spans="1:4" s="64" customFormat="1" x14ac:dyDescent="0.2">
      <c r="A1118" s="6"/>
      <c r="B1118" s="53"/>
      <c r="C1118" s="4"/>
      <c r="D1118" s="5"/>
    </row>
    <row r="1119" spans="1:4" s="64" customFormat="1" x14ac:dyDescent="0.2">
      <c r="A1119" s="6"/>
      <c r="B1119" s="53"/>
      <c r="C1119" s="4"/>
      <c r="D1119" s="5"/>
    </row>
    <row r="1120" spans="1:4" s="64" customFormat="1" x14ac:dyDescent="0.2">
      <c r="A1120" s="6"/>
      <c r="B1120" s="53"/>
      <c r="C1120" s="4"/>
      <c r="D1120" s="5"/>
    </row>
    <row r="1121" spans="1:4" s="64" customFormat="1" x14ac:dyDescent="0.2">
      <c r="A1121" s="6"/>
      <c r="B1121" s="53"/>
      <c r="C1121" s="4"/>
      <c r="D1121" s="5"/>
    </row>
    <row r="1122" spans="1:4" s="64" customFormat="1" x14ac:dyDescent="0.2">
      <c r="A1122" s="6"/>
      <c r="B1122" s="53"/>
      <c r="C1122" s="4"/>
      <c r="D1122" s="5"/>
    </row>
    <row r="1123" spans="1:4" s="64" customFormat="1" x14ac:dyDescent="0.2">
      <c r="A1123" s="6"/>
      <c r="B1123" s="53"/>
      <c r="C1123" s="4"/>
      <c r="D1123" s="5"/>
    </row>
    <row r="1124" spans="1:4" s="64" customFormat="1" x14ac:dyDescent="0.2">
      <c r="A1124" s="6"/>
      <c r="B1124" s="53"/>
      <c r="C1124" s="4"/>
      <c r="D1124" s="5"/>
    </row>
    <row r="1125" spans="1:4" s="64" customFormat="1" x14ac:dyDescent="0.2">
      <c r="A1125" s="6"/>
      <c r="B1125" s="53"/>
      <c r="C1125" s="4"/>
      <c r="D1125" s="5"/>
    </row>
    <row r="1126" spans="1:4" s="64" customFormat="1" x14ac:dyDescent="0.2">
      <c r="A1126" s="6"/>
      <c r="B1126" s="53"/>
      <c r="C1126" s="4"/>
      <c r="D1126" s="5"/>
    </row>
    <row r="1127" spans="1:4" s="64" customFormat="1" x14ac:dyDescent="0.2">
      <c r="A1127" s="6"/>
      <c r="B1127" s="53"/>
      <c r="C1127" s="4"/>
      <c r="D1127" s="5"/>
    </row>
    <row r="1128" spans="1:4" s="64" customFormat="1" x14ac:dyDescent="0.2">
      <c r="A1128" s="6"/>
      <c r="B1128" s="53"/>
      <c r="C1128" s="4"/>
      <c r="D1128" s="5"/>
    </row>
    <row r="1129" spans="1:4" s="64" customFormat="1" x14ac:dyDescent="0.2">
      <c r="A1129" s="6"/>
      <c r="B1129" s="53"/>
      <c r="C1129" s="4"/>
      <c r="D1129" s="5"/>
    </row>
    <row r="1130" spans="1:4" s="64" customFormat="1" x14ac:dyDescent="0.2">
      <c r="A1130" s="6"/>
      <c r="B1130" s="53"/>
      <c r="C1130" s="4"/>
      <c r="D1130" s="5"/>
    </row>
    <row r="1131" spans="1:4" s="64" customFormat="1" x14ac:dyDescent="0.2">
      <c r="A1131" s="6"/>
      <c r="B1131" s="53"/>
      <c r="C1131" s="4"/>
      <c r="D1131" s="5"/>
    </row>
    <row r="1132" spans="1:4" s="64" customFormat="1" x14ac:dyDescent="0.2">
      <c r="A1132" s="6"/>
      <c r="B1132" s="53"/>
      <c r="C1132" s="4"/>
      <c r="D1132" s="5"/>
    </row>
    <row r="1133" spans="1:4" s="64" customFormat="1" x14ac:dyDescent="0.2">
      <c r="A1133" s="6"/>
      <c r="B1133" s="53"/>
      <c r="C1133" s="4"/>
      <c r="D1133" s="5"/>
    </row>
    <row r="1134" spans="1:4" s="64" customFormat="1" x14ac:dyDescent="0.2">
      <c r="A1134" s="6"/>
      <c r="B1134" s="53"/>
      <c r="C1134" s="4"/>
      <c r="D1134" s="5"/>
    </row>
    <row r="1135" spans="1:4" s="64" customFormat="1" x14ac:dyDescent="0.2">
      <c r="A1135" s="6"/>
      <c r="B1135" s="53"/>
      <c r="C1135" s="4"/>
      <c r="D1135" s="5"/>
    </row>
    <row r="1136" spans="1:4" s="64" customFormat="1" x14ac:dyDescent="0.2">
      <c r="A1136" s="6"/>
      <c r="B1136" s="53"/>
      <c r="C1136" s="4"/>
      <c r="D1136" s="5"/>
    </row>
    <row r="1137" spans="1:4" s="64" customFormat="1" x14ac:dyDescent="0.2">
      <c r="A1137" s="6"/>
      <c r="B1137" s="53"/>
      <c r="C1137" s="4"/>
      <c r="D1137" s="5"/>
    </row>
    <row r="1138" spans="1:4" s="64" customFormat="1" x14ac:dyDescent="0.2">
      <c r="A1138" s="6"/>
      <c r="B1138" s="53"/>
      <c r="C1138" s="4"/>
      <c r="D1138" s="5"/>
    </row>
    <row r="1139" spans="1:4" s="64" customFormat="1" x14ac:dyDescent="0.2">
      <c r="A1139" s="6"/>
      <c r="B1139" s="53"/>
      <c r="C1139" s="4"/>
      <c r="D1139" s="5"/>
    </row>
    <row r="1140" spans="1:4" s="64" customFormat="1" x14ac:dyDescent="0.2">
      <c r="A1140" s="6"/>
      <c r="B1140" s="53"/>
      <c r="C1140" s="4"/>
      <c r="D1140" s="5"/>
    </row>
    <row r="1141" spans="1:4" s="64" customFormat="1" x14ac:dyDescent="0.2">
      <c r="A1141" s="6"/>
      <c r="B1141" s="53"/>
      <c r="C1141" s="4"/>
      <c r="D1141" s="5"/>
    </row>
    <row r="1142" spans="1:4" s="64" customFormat="1" x14ac:dyDescent="0.2">
      <c r="A1142" s="6"/>
      <c r="B1142" s="53"/>
      <c r="C1142" s="4"/>
      <c r="D1142" s="5"/>
    </row>
    <row r="1143" spans="1:4" s="64" customFormat="1" x14ac:dyDescent="0.2">
      <c r="A1143" s="6"/>
      <c r="B1143" s="53"/>
      <c r="C1143" s="4"/>
      <c r="D1143" s="5"/>
    </row>
    <row r="1144" spans="1:4" s="64" customFormat="1" x14ac:dyDescent="0.2">
      <c r="A1144" s="6"/>
      <c r="B1144" s="53"/>
      <c r="C1144" s="4"/>
      <c r="D1144" s="5"/>
    </row>
    <row r="1145" spans="1:4" s="64" customFormat="1" x14ac:dyDescent="0.2">
      <c r="A1145" s="6"/>
      <c r="B1145" s="53"/>
      <c r="C1145" s="4"/>
      <c r="D1145" s="5"/>
    </row>
    <row r="1146" spans="1:4" s="64" customFormat="1" x14ac:dyDescent="0.2">
      <c r="A1146" s="6"/>
      <c r="B1146" s="53"/>
      <c r="C1146" s="4"/>
      <c r="D1146" s="5"/>
    </row>
    <row r="1147" spans="1:4" s="64" customFormat="1" x14ac:dyDescent="0.2">
      <c r="A1147" s="6"/>
      <c r="B1147" s="53"/>
      <c r="C1147" s="4"/>
      <c r="D1147" s="5"/>
    </row>
    <row r="1148" spans="1:4" s="64" customFormat="1" x14ac:dyDescent="0.2">
      <c r="A1148" s="6"/>
      <c r="B1148" s="53"/>
      <c r="C1148" s="4"/>
      <c r="D1148" s="5"/>
    </row>
    <row r="1149" spans="1:4" s="64" customFormat="1" x14ac:dyDescent="0.2">
      <c r="A1149" s="6"/>
      <c r="B1149" s="53"/>
      <c r="C1149" s="4"/>
      <c r="D1149" s="5"/>
    </row>
    <row r="1150" spans="1:4" s="64" customFormat="1" x14ac:dyDescent="0.2">
      <c r="A1150" s="6"/>
      <c r="B1150" s="53"/>
      <c r="C1150" s="4"/>
      <c r="D1150" s="5"/>
    </row>
    <row r="1151" spans="1:4" s="64" customFormat="1" x14ac:dyDescent="0.2">
      <c r="A1151" s="6"/>
      <c r="B1151" s="53"/>
      <c r="C1151" s="4"/>
      <c r="D1151" s="5"/>
    </row>
    <row r="1152" spans="1:4" s="64" customFormat="1" x14ac:dyDescent="0.2">
      <c r="A1152" s="6"/>
      <c r="B1152" s="53"/>
      <c r="C1152" s="4"/>
      <c r="D1152" s="5"/>
    </row>
    <row r="1153" spans="1:4" s="64" customFormat="1" x14ac:dyDescent="0.2">
      <c r="A1153" s="6"/>
      <c r="B1153" s="53"/>
      <c r="C1153" s="4"/>
      <c r="D1153" s="5"/>
    </row>
    <row r="1154" spans="1:4" s="64" customFormat="1" x14ac:dyDescent="0.2">
      <c r="A1154" s="6"/>
      <c r="B1154" s="53"/>
      <c r="C1154" s="4"/>
      <c r="D1154" s="5"/>
    </row>
    <row r="1155" spans="1:4" s="64" customFormat="1" x14ac:dyDescent="0.2">
      <c r="A1155" s="6"/>
      <c r="B1155" s="53"/>
      <c r="C1155" s="4"/>
      <c r="D1155" s="5"/>
    </row>
    <row r="1156" spans="1:4" s="64" customFormat="1" x14ac:dyDescent="0.2">
      <c r="A1156" s="6"/>
      <c r="B1156" s="53"/>
      <c r="C1156" s="4"/>
      <c r="D1156" s="5"/>
    </row>
    <row r="1157" spans="1:4" s="64" customFormat="1" x14ac:dyDescent="0.2">
      <c r="A1157" s="6"/>
      <c r="B1157" s="53"/>
      <c r="C1157" s="4"/>
      <c r="D1157" s="5"/>
    </row>
    <row r="1158" spans="1:4" s="64" customFormat="1" x14ac:dyDescent="0.2">
      <c r="A1158" s="6"/>
      <c r="B1158" s="53"/>
      <c r="C1158" s="4"/>
      <c r="D1158" s="5"/>
    </row>
    <row r="1159" spans="1:4" s="64" customFormat="1" x14ac:dyDescent="0.2">
      <c r="A1159" s="6"/>
      <c r="B1159" s="53"/>
      <c r="C1159" s="4"/>
      <c r="D1159" s="5"/>
    </row>
    <row r="1160" spans="1:4" s="64" customFormat="1" x14ac:dyDescent="0.2">
      <c r="A1160" s="6"/>
      <c r="B1160" s="53"/>
      <c r="C1160" s="4"/>
      <c r="D1160" s="5"/>
    </row>
    <row r="1161" spans="1:4" s="64" customFormat="1" x14ac:dyDescent="0.2">
      <c r="A1161" s="6"/>
      <c r="B1161" s="53"/>
      <c r="C1161" s="4"/>
      <c r="D1161" s="5"/>
    </row>
    <row r="1162" spans="1:4" s="64" customFormat="1" x14ac:dyDescent="0.2">
      <c r="A1162" s="6"/>
      <c r="B1162" s="53"/>
      <c r="C1162" s="4"/>
      <c r="D1162" s="5"/>
    </row>
    <row r="1163" spans="1:4" s="64" customFormat="1" x14ac:dyDescent="0.2">
      <c r="A1163" s="6"/>
      <c r="B1163" s="53"/>
      <c r="C1163" s="4"/>
      <c r="D1163" s="5"/>
    </row>
    <row r="1164" spans="1:4" s="64" customFormat="1" x14ac:dyDescent="0.2">
      <c r="A1164" s="6"/>
      <c r="B1164" s="53"/>
      <c r="C1164" s="4"/>
      <c r="D1164" s="5"/>
    </row>
    <row r="1165" spans="1:4" s="64" customFormat="1" x14ac:dyDescent="0.2">
      <c r="A1165" s="6"/>
      <c r="B1165" s="53"/>
      <c r="C1165" s="4"/>
      <c r="D1165" s="5"/>
    </row>
    <row r="1166" spans="1:4" s="64" customFormat="1" x14ac:dyDescent="0.2">
      <c r="A1166" s="6"/>
      <c r="B1166" s="53"/>
      <c r="C1166" s="4"/>
      <c r="D1166" s="5"/>
    </row>
    <row r="1167" spans="1:4" s="64" customFormat="1" x14ac:dyDescent="0.2">
      <c r="A1167" s="6"/>
      <c r="B1167" s="53"/>
      <c r="C1167" s="4"/>
      <c r="D1167" s="5"/>
    </row>
    <row r="1168" spans="1:4" s="64" customFormat="1" x14ac:dyDescent="0.2">
      <c r="A1168" s="6"/>
      <c r="B1168" s="53"/>
      <c r="C1168" s="4"/>
      <c r="D1168" s="5"/>
    </row>
    <row r="1169" spans="1:4" s="64" customFormat="1" x14ac:dyDescent="0.2">
      <c r="A1169" s="6"/>
      <c r="B1169" s="53"/>
      <c r="C1169" s="4"/>
      <c r="D1169" s="5"/>
    </row>
    <row r="1170" spans="1:4" s="64" customFormat="1" x14ac:dyDescent="0.2">
      <c r="A1170" s="6"/>
      <c r="B1170" s="53"/>
      <c r="C1170" s="4"/>
      <c r="D1170" s="5"/>
    </row>
    <row r="1171" spans="1:4" s="64" customFormat="1" x14ac:dyDescent="0.2">
      <c r="A1171" s="6"/>
      <c r="B1171" s="53"/>
      <c r="C1171" s="4"/>
      <c r="D1171" s="5"/>
    </row>
    <row r="1172" spans="1:4" s="64" customFormat="1" x14ac:dyDescent="0.2">
      <c r="A1172" s="6"/>
      <c r="B1172" s="53"/>
      <c r="C1172" s="4"/>
      <c r="D1172" s="5"/>
    </row>
    <row r="1173" spans="1:4" s="64" customFormat="1" x14ac:dyDescent="0.2">
      <c r="A1173" s="6"/>
      <c r="B1173" s="53"/>
      <c r="C1173" s="4"/>
      <c r="D1173" s="5"/>
    </row>
    <row r="1174" spans="1:4" s="64" customFormat="1" x14ac:dyDescent="0.2">
      <c r="A1174" s="6"/>
      <c r="B1174" s="53"/>
      <c r="C1174" s="4"/>
      <c r="D1174" s="5"/>
    </row>
    <row r="1175" spans="1:4" s="64" customFormat="1" x14ac:dyDescent="0.2">
      <c r="A1175" s="6"/>
      <c r="B1175" s="53"/>
      <c r="C1175" s="4"/>
      <c r="D1175" s="5"/>
    </row>
    <row r="1176" spans="1:4" s="64" customFormat="1" x14ac:dyDescent="0.2">
      <c r="A1176" s="6"/>
      <c r="B1176" s="53"/>
      <c r="C1176" s="4"/>
      <c r="D1176" s="5"/>
    </row>
    <row r="1177" spans="1:4" s="64" customFormat="1" x14ac:dyDescent="0.2">
      <c r="A1177" s="6"/>
      <c r="B1177" s="53"/>
      <c r="C1177" s="4"/>
      <c r="D1177" s="5"/>
    </row>
    <row r="1178" spans="1:4" s="64" customFormat="1" x14ac:dyDescent="0.2">
      <c r="A1178" s="6"/>
      <c r="B1178" s="53"/>
      <c r="C1178" s="4"/>
      <c r="D1178" s="5"/>
    </row>
    <row r="1179" spans="1:4" s="64" customFormat="1" x14ac:dyDescent="0.2">
      <c r="A1179" s="6"/>
      <c r="B1179" s="53"/>
      <c r="C1179" s="4"/>
      <c r="D1179" s="5"/>
    </row>
    <row r="1180" spans="1:4" s="64" customFormat="1" x14ac:dyDescent="0.2">
      <c r="A1180" s="6"/>
      <c r="B1180" s="53"/>
      <c r="C1180" s="4"/>
      <c r="D1180" s="5"/>
    </row>
    <row r="1181" spans="1:4" s="64" customFormat="1" x14ac:dyDescent="0.2">
      <c r="A1181" s="6"/>
      <c r="B1181" s="53"/>
      <c r="C1181" s="4"/>
      <c r="D1181" s="5"/>
    </row>
    <row r="1182" spans="1:4" s="64" customFormat="1" x14ac:dyDescent="0.2">
      <c r="A1182" s="6"/>
      <c r="B1182" s="53"/>
      <c r="C1182" s="4"/>
      <c r="D1182" s="5"/>
    </row>
    <row r="1183" spans="1:4" s="64" customFormat="1" x14ac:dyDescent="0.2">
      <c r="A1183" s="6"/>
      <c r="B1183" s="53"/>
      <c r="C1183" s="4"/>
      <c r="D1183" s="5"/>
    </row>
    <row r="1184" spans="1:4" s="64" customFormat="1" x14ac:dyDescent="0.2">
      <c r="A1184" s="6"/>
      <c r="B1184" s="53"/>
      <c r="C1184" s="4"/>
      <c r="D1184" s="5"/>
    </row>
    <row r="1185" spans="1:4" s="64" customFormat="1" x14ac:dyDescent="0.2">
      <c r="A1185" s="6"/>
      <c r="B1185" s="53"/>
      <c r="C1185" s="4"/>
      <c r="D1185" s="5"/>
    </row>
    <row r="1186" spans="1:4" s="64" customFormat="1" x14ac:dyDescent="0.2">
      <c r="A1186" s="6"/>
      <c r="B1186" s="53"/>
      <c r="C1186" s="4"/>
      <c r="D1186" s="5"/>
    </row>
    <row r="1187" spans="1:4" s="64" customFormat="1" x14ac:dyDescent="0.2">
      <c r="A1187" s="6"/>
      <c r="B1187" s="53"/>
      <c r="C1187" s="4"/>
      <c r="D1187" s="5"/>
    </row>
    <row r="1188" spans="1:4" s="64" customFormat="1" x14ac:dyDescent="0.2">
      <c r="A1188" s="6"/>
      <c r="B1188" s="53"/>
      <c r="C1188" s="4"/>
      <c r="D1188" s="5"/>
    </row>
    <row r="1189" spans="1:4" s="64" customFormat="1" x14ac:dyDescent="0.2">
      <c r="A1189" s="6"/>
      <c r="B1189" s="53"/>
      <c r="C1189" s="4"/>
      <c r="D1189" s="5"/>
    </row>
    <row r="1190" spans="1:4" s="64" customFormat="1" x14ac:dyDescent="0.2">
      <c r="A1190" s="6"/>
      <c r="B1190" s="53"/>
      <c r="C1190" s="4"/>
      <c r="D1190" s="5"/>
    </row>
    <row r="1191" spans="1:4" s="64" customFormat="1" x14ac:dyDescent="0.2">
      <c r="A1191" s="6"/>
      <c r="B1191" s="53"/>
      <c r="C1191" s="4"/>
      <c r="D1191" s="5"/>
    </row>
    <row r="1192" spans="1:4" s="64" customFormat="1" x14ac:dyDescent="0.2">
      <c r="A1192" s="6"/>
      <c r="B1192" s="53"/>
      <c r="C1192" s="4"/>
      <c r="D1192" s="5"/>
    </row>
    <row r="1193" spans="1:4" s="64" customFormat="1" x14ac:dyDescent="0.2">
      <c r="A1193" s="6"/>
      <c r="B1193" s="53"/>
      <c r="C1193" s="4"/>
      <c r="D1193" s="5"/>
    </row>
    <row r="1194" spans="1:4" s="64" customFormat="1" x14ac:dyDescent="0.2">
      <c r="A1194" s="6"/>
      <c r="B1194" s="53"/>
      <c r="C1194" s="4"/>
      <c r="D1194" s="5"/>
    </row>
    <row r="1195" spans="1:4" s="64" customFormat="1" x14ac:dyDescent="0.2">
      <c r="A1195" s="6"/>
      <c r="B1195" s="53"/>
      <c r="C1195" s="4"/>
      <c r="D1195" s="5"/>
    </row>
    <row r="1196" spans="1:4" s="64" customFormat="1" x14ac:dyDescent="0.2">
      <c r="A1196" s="6"/>
      <c r="B1196" s="53"/>
      <c r="C1196" s="4"/>
      <c r="D1196" s="5"/>
    </row>
    <row r="1197" spans="1:4" s="64" customFormat="1" x14ac:dyDescent="0.2">
      <c r="A1197" s="6"/>
      <c r="B1197" s="53"/>
      <c r="C1197" s="4"/>
      <c r="D1197" s="5"/>
    </row>
    <row r="1198" spans="1:4" s="64" customFormat="1" x14ac:dyDescent="0.2">
      <c r="A1198" s="6"/>
      <c r="B1198" s="53"/>
      <c r="C1198" s="4"/>
      <c r="D1198" s="5"/>
    </row>
    <row r="1199" spans="1:4" s="64" customFormat="1" x14ac:dyDescent="0.2">
      <c r="A1199" s="6"/>
      <c r="B1199" s="53"/>
      <c r="C1199" s="4"/>
      <c r="D1199" s="5"/>
    </row>
    <row r="1200" spans="1:4" s="64" customFormat="1" x14ac:dyDescent="0.2">
      <c r="A1200" s="6"/>
      <c r="B1200" s="53"/>
      <c r="C1200" s="4"/>
      <c r="D1200" s="5"/>
    </row>
    <row r="1201" spans="1:4" s="64" customFormat="1" x14ac:dyDescent="0.2">
      <c r="A1201" s="6"/>
      <c r="B1201" s="53"/>
      <c r="C1201" s="4"/>
      <c r="D1201" s="5"/>
    </row>
    <row r="1202" spans="1:4" s="64" customFormat="1" x14ac:dyDescent="0.2">
      <c r="A1202" s="6"/>
      <c r="B1202" s="53"/>
      <c r="C1202" s="4"/>
      <c r="D1202" s="5"/>
    </row>
    <row r="1203" spans="1:4" s="64" customFormat="1" x14ac:dyDescent="0.2">
      <c r="A1203" s="6"/>
      <c r="B1203" s="53"/>
      <c r="C1203" s="4"/>
      <c r="D1203" s="5"/>
    </row>
  </sheetData>
  <conditionalFormatting sqref="D692:D767">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3"/>
  <sheetViews>
    <sheetView zoomScale="170" zoomScaleNormal="170" workbookViewId="0">
      <pane ySplit="4" topLeftCell="A745" activePane="bottomLeft" state="frozen"/>
      <selection activeCell="I12" sqref="I12"/>
      <selection pane="bottomLeft" activeCell="H769" sqref="H76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 width="9.1640625" style="13" customWidth="1"/>
    <col min="7" max="122"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11" s="64" customFormat="1" x14ac:dyDescent="0.2">
      <c r="A1" s="52" t="s">
        <v>18</v>
      </c>
      <c r="B1" s="53"/>
      <c r="C1" s="4"/>
      <c r="D1" s="5"/>
      <c r="E1" s="12"/>
      <c r="F1" s="12"/>
    </row>
    <row r="2" spans="1:11" s="64" customFormat="1" x14ac:dyDescent="0.2">
      <c r="A2" s="14" t="s">
        <v>19</v>
      </c>
      <c r="B2" s="54"/>
      <c r="C2" s="4"/>
      <c r="D2" s="5"/>
      <c r="E2" s="12"/>
      <c r="F2" s="12"/>
      <c r="H2" s="55"/>
      <c r="J2" s="11"/>
    </row>
    <row r="3" spans="1:11" s="64" customFormat="1" ht="16" customHeight="1" thickBot="1" x14ac:dyDescent="0.25">
      <c r="A3" s="6"/>
      <c r="B3" s="53"/>
      <c r="C3" s="4"/>
      <c r="D3" s="5"/>
      <c r="E3" s="12"/>
      <c r="F3" s="12" t="s">
        <v>22</v>
      </c>
      <c r="K3" s="65"/>
    </row>
    <row r="4" spans="1:11" ht="30.75" customHeight="1" x14ac:dyDescent="0.2">
      <c r="A4" s="18" t="s">
        <v>28</v>
      </c>
      <c r="B4" s="59" t="s">
        <v>29</v>
      </c>
      <c r="C4" s="19" t="s">
        <v>30</v>
      </c>
      <c r="D4" s="20" t="s">
        <v>31</v>
      </c>
      <c r="E4" s="21" t="s">
        <v>32</v>
      </c>
      <c r="F4" s="22" t="s">
        <v>33</v>
      </c>
    </row>
    <row r="5" spans="1:11" x14ac:dyDescent="0.2">
      <c r="A5" s="60">
        <v>21551</v>
      </c>
      <c r="B5" s="58">
        <f>VLOOKUP(Table534567910[[#This Row],[Date]],Database!A:E,MATCH($A$1,Database!$A$1:$E$1,),)</f>
        <v>16.687999999999999</v>
      </c>
      <c r="C5" s="7"/>
      <c r="D5" s="7"/>
      <c r="E5" s="15"/>
      <c r="F5" s="15"/>
    </row>
    <row r="6" spans="1:11" x14ac:dyDescent="0.2">
      <c r="A6" s="60">
        <v>21582</v>
      </c>
      <c r="B6" s="58">
        <f>VLOOKUP(Table534567910[[#This Row],[Date]],Database!A:E,MATCH($A$1,Database!$A$1:$E$1,),)</f>
        <v>16.701000000000001</v>
      </c>
      <c r="C6" s="8">
        <f t="shared" ref="C6:C69" si="0">(B6-B5)/B5</f>
        <v>7.7900287631841312E-4</v>
      </c>
      <c r="D6" s="7"/>
      <c r="E6" s="15"/>
      <c r="F6" s="15"/>
    </row>
    <row r="7" spans="1:11" x14ac:dyDescent="0.2">
      <c r="A7" s="60">
        <v>21610</v>
      </c>
      <c r="B7" s="58">
        <f>VLOOKUP(Table534567910[[#This Row],[Date]],Database!A:E,MATCH($A$1,Database!$A$1:$E$1,),)</f>
        <v>16.719000000000001</v>
      </c>
      <c r="C7" s="8">
        <f t="shared" si="0"/>
        <v>1.0777797736662884E-3</v>
      </c>
      <c r="D7" s="7"/>
      <c r="E7" s="15"/>
      <c r="F7" s="15"/>
    </row>
    <row r="8" spans="1:11" x14ac:dyDescent="0.2">
      <c r="A8" s="60">
        <v>21641</v>
      </c>
      <c r="B8" s="58">
        <f>VLOOKUP(Table534567910[[#This Row],[Date]],Database!A:E,MATCH($A$1,Database!$A$1:$E$1,),)</f>
        <v>16.762</v>
      </c>
      <c r="C8" s="8">
        <f t="shared" si="0"/>
        <v>2.5719241581433853E-3</v>
      </c>
      <c r="D8" s="7"/>
      <c r="E8" s="15"/>
      <c r="F8" s="15"/>
    </row>
    <row r="9" spans="1:11" x14ac:dyDescent="0.2">
      <c r="A9" s="60">
        <v>21671</v>
      </c>
      <c r="B9" s="58">
        <f>VLOOKUP(Table534567910[[#This Row],[Date]],Database!A:E,MATCH($A$1,Database!$A$1:$E$1,),)</f>
        <v>16.783000000000001</v>
      </c>
      <c r="C9" s="8">
        <f t="shared" si="0"/>
        <v>1.2528337907171457E-3</v>
      </c>
      <c r="D9" s="7"/>
      <c r="E9" s="15"/>
      <c r="F9" s="15"/>
    </row>
    <row r="10" spans="1:11" x14ac:dyDescent="0.2">
      <c r="A10" s="60">
        <v>21702</v>
      </c>
      <c r="B10" s="58">
        <f>VLOOKUP(Table534567910[[#This Row],[Date]],Database!A:E,MATCH($A$1,Database!$A$1:$E$1,),)</f>
        <v>16.832000000000001</v>
      </c>
      <c r="C10" s="8">
        <f t="shared" si="0"/>
        <v>2.9196210451051352E-3</v>
      </c>
      <c r="D10" s="7"/>
      <c r="E10" s="15"/>
      <c r="F10" s="15"/>
    </row>
    <row r="11" spans="1:11" x14ac:dyDescent="0.2">
      <c r="A11" s="60">
        <v>21732</v>
      </c>
      <c r="B11" s="58">
        <f>VLOOKUP(Table534567910[[#This Row],[Date]],Database!A:E,MATCH($A$1,Database!$A$1:$E$1,),)</f>
        <v>16.870999999999999</v>
      </c>
      <c r="C11" s="8">
        <f t="shared" si="0"/>
        <v>2.317015209125352E-3</v>
      </c>
      <c r="D11" s="7"/>
      <c r="E11" s="15"/>
      <c r="F11" s="15"/>
    </row>
    <row r="12" spans="1:11" x14ac:dyDescent="0.2">
      <c r="A12" s="60">
        <v>21763</v>
      </c>
      <c r="B12" s="58">
        <f>VLOOKUP(Table534567910[[#This Row],[Date]],Database!A:E,MATCH($A$1,Database!$A$1:$E$1,),)</f>
        <v>16.899000000000001</v>
      </c>
      <c r="C12" s="8">
        <f t="shared" si="0"/>
        <v>1.6596526584080522E-3</v>
      </c>
      <c r="D12" s="7"/>
      <c r="E12" s="15"/>
      <c r="F12" s="15"/>
    </row>
    <row r="13" spans="1:11" x14ac:dyDescent="0.2">
      <c r="A13" s="60">
        <v>21794</v>
      </c>
      <c r="B13" s="58">
        <f>VLOOKUP(Table534567910[[#This Row],[Date]],Database!A:E,MATCH($A$1,Database!$A$1:$E$1,),)</f>
        <v>16.943000000000001</v>
      </c>
      <c r="C13" s="8">
        <f t="shared" si="0"/>
        <v>2.6037043612048335E-3</v>
      </c>
      <c r="D13" s="7"/>
      <c r="E13" s="15"/>
      <c r="F13" s="15"/>
    </row>
    <row r="14" spans="1:11" x14ac:dyDescent="0.2">
      <c r="A14" s="60">
        <v>21824</v>
      </c>
      <c r="B14" s="58">
        <f>VLOOKUP(Table534567910[[#This Row],[Date]],Database!A:E,MATCH($A$1,Database!$A$1:$E$1,),)</f>
        <v>16.972000000000001</v>
      </c>
      <c r="C14" s="8">
        <f t="shared" si="0"/>
        <v>1.7116213185386243E-3</v>
      </c>
      <c r="D14" s="7"/>
      <c r="E14" s="15"/>
      <c r="F14" s="15"/>
    </row>
    <row r="15" spans="1:11" x14ac:dyDescent="0.2">
      <c r="A15" s="60">
        <v>21855</v>
      </c>
      <c r="B15" s="58">
        <f>VLOOKUP(Table534567910[[#This Row],[Date]],Database!A:E,MATCH($A$1,Database!$A$1:$E$1,),)</f>
        <v>17.003</v>
      </c>
      <c r="C15" s="8">
        <f t="shared" si="0"/>
        <v>1.8265378270091212E-3</v>
      </c>
      <c r="D15" s="7"/>
      <c r="E15" s="15"/>
      <c r="F15" s="15"/>
    </row>
    <row r="16" spans="1:11" x14ac:dyDescent="0.2">
      <c r="A16" s="60">
        <v>21885</v>
      </c>
      <c r="B16" s="58">
        <f>VLOOKUP(Table534567910[[#This Row],[Date]],Database!A:E,MATCH($A$1,Database!$A$1:$E$1,),)</f>
        <v>17.029</v>
      </c>
      <c r="C16" s="8">
        <f t="shared" si="0"/>
        <v>1.5291419161324355E-3</v>
      </c>
      <c r="D16" s="7"/>
      <c r="E16" s="15"/>
      <c r="F16" s="15"/>
    </row>
    <row r="17" spans="1:6" x14ac:dyDescent="0.2">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2">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2">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2">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2">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2">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2">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2">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2">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2">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2">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2">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2">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2">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2">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2">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2">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2">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2">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2">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2">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2">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2">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2">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2">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2">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2">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2">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2">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2">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2">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2">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2">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2">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2">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2">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2">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60">
        <v>42736</v>
      </c>
      <c r="B701" s="58">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2">
      <c r="A702" s="60">
        <v>42767</v>
      </c>
      <c r="B702" s="58">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2">
      <c r="A703" s="60">
        <v>42795</v>
      </c>
      <c r="B703" s="58">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2">
      <c r="A704" s="60">
        <v>42826</v>
      </c>
      <c r="B704" s="58">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2">
      <c r="A705" s="60">
        <v>42856</v>
      </c>
      <c r="B705" s="58">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2">
      <c r="A706" s="60">
        <v>42887</v>
      </c>
      <c r="B706" s="58">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2">
      <c r="A707" s="60">
        <v>42917</v>
      </c>
      <c r="B707" s="58">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2">
      <c r="A708" s="60">
        <v>42948</v>
      </c>
      <c r="B708" s="58">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2">
      <c r="A709" s="60">
        <v>42979</v>
      </c>
      <c r="B709" s="58">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2">
      <c r="A710" s="60">
        <v>43009</v>
      </c>
      <c r="B710" s="58">
        <f>VLOOKUP(Table534567910[[#This Row],[Date]],Database!A:E,MATCH($A$1,Database!$A$1:$E$1,),)</f>
        <v>108.499</v>
      </c>
      <c r="C710" s="9">
        <f t="shared" ref="C710:C768" si="11">(B710-B709)/B709</f>
        <v>2.6244051194380799E-3</v>
      </c>
      <c r="D710" s="7">
        <f>(Table534567910[[#This Row],[Value]]-B698)/B698</f>
        <v>1.6507865126432264E-2</v>
      </c>
      <c r="E710" s="16">
        <v>0.02</v>
      </c>
      <c r="F710" s="15">
        <f>VLOOKUP(Table534567910[[#This Row],[Date]],Database!A:E,4)</f>
        <v>1.25</v>
      </c>
    </row>
    <row r="711" spans="1:6" x14ac:dyDescent="0.2">
      <c r="A711" s="60">
        <v>43040</v>
      </c>
      <c r="B711" s="58">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2">
      <c r="A712" s="60">
        <v>43070</v>
      </c>
      <c r="B712" s="58">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2">
      <c r="A713" s="60">
        <v>43101</v>
      </c>
      <c r="B713" s="58">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2">
      <c r="A714" s="60">
        <v>43132</v>
      </c>
      <c r="B714" s="58">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2">
      <c r="A715" s="60">
        <v>43160</v>
      </c>
      <c r="B715" s="58">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2">
      <c r="A716" s="60">
        <v>43191</v>
      </c>
      <c r="B716" s="58">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2">
      <c r="A717" s="60">
        <v>43221</v>
      </c>
      <c r="B717" s="58">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2">
      <c r="A718" s="60">
        <v>43252</v>
      </c>
      <c r="B718" s="58">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2">
      <c r="A719" s="60">
        <v>43282</v>
      </c>
      <c r="B719" s="58">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2">
      <c r="A720" s="60">
        <v>43313</v>
      </c>
      <c r="B720" s="58">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2">
      <c r="A721" s="60">
        <v>43344</v>
      </c>
      <c r="B721" s="58">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2">
      <c r="A722" s="60">
        <v>43374</v>
      </c>
      <c r="B722" s="58">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2">
      <c r="A723" s="60">
        <v>43405</v>
      </c>
      <c r="B723" s="58">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2">
      <c r="A724" s="60">
        <v>43435</v>
      </c>
      <c r="B724" s="58">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2">
      <c r="A725" s="60">
        <v>43466</v>
      </c>
      <c r="B725" s="58">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2">
      <c r="A726" s="60">
        <v>43497</v>
      </c>
      <c r="B726" s="58">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2">
      <c r="A727" s="60">
        <v>43525</v>
      </c>
      <c r="B727" s="58">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2">
      <c r="A728" s="60">
        <v>43556</v>
      </c>
      <c r="B728" s="58">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2">
      <c r="A729" s="60">
        <v>43586</v>
      </c>
      <c r="B729" s="58">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2">
      <c r="A730" s="60">
        <v>43617</v>
      </c>
      <c r="B730" s="58">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2">
      <c r="A731" s="60">
        <v>43647</v>
      </c>
      <c r="B731" s="58">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4" customFormat="1" x14ac:dyDescent="0.2">
      <c r="A732" s="60">
        <v>43678</v>
      </c>
      <c r="B732" s="58">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4" customFormat="1" x14ac:dyDescent="0.2">
      <c r="A733" s="60">
        <v>43709</v>
      </c>
      <c r="B733" s="58">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4" customFormat="1" x14ac:dyDescent="0.2">
      <c r="A734" s="60">
        <v>43739</v>
      </c>
      <c r="B734" s="58">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4" customFormat="1" x14ac:dyDescent="0.2">
      <c r="A735" s="60">
        <v>43770</v>
      </c>
      <c r="B735" s="58">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4" customFormat="1" x14ac:dyDescent="0.2">
      <c r="A736" s="60">
        <v>43800</v>
      </c>
      <c r="B736" s="58">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4" customFormat="1" x14ac:dyDescent="0.2">
      <c r="A737" s="60">
        <v>43831</v>
      </c>
      <c r="B737" s="58">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4" customFormat="1" x14ac:dyDescent="0.2">
      <c r="A738" s="60">
        <v>43862</v>
      </c>
      <c r="B738" s="58">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4" customFormat="1" x14ac:dyDescent="0.2">
      <c r="A739" s="60">
        <v>43891</v>
      </c>
      <c r="B739" s="58">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4" customFormat="1" x14ac:dyDescent="0.2">
      <c r="A740" s="60">
        <v>43922</v>
      </c>
      <c r="B740" s="58">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4" customFormat="1" x14ac:dyDescent="0.2">
      <c r="A741" s="60">
        <v>43952</v>
      </c>
      <c r="B741" s="58">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4" customFormat="1" x14ac:dyDescent="0.2">
      <c r="A742" s="60">
        <v>43983</v>
      </c>
      <c r="B742" s="58">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4" customFormat="1" x14ac:dyDescent="0.2">
      <c r="A743" s="60">
        <v>44013</v>
      </c>
      <c r="B743" s="58">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4" customFormat="1" x14ac:dyDescent="0.2">
      <c r="A744" s="60">
        <v>44044</v>
      </c>
      <c r="B744" s="58">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4" customFormat="1" x14ac:dyDescent="0.2">
      <c r="A745" s="60">
        <v>44075</v>
      </c>
      <c r="B745" s="58">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4" customFormat="1" x14ac:dyDescent="0.2">
      <c r="A746" s="60">
        <v>44105</v>
      </c>
      <c r="B746" s="58">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4" customFormat="1" x14ac:dyDescent="0.2">
      <c r="A747" s="60">
        <v>44136</v>
      </c>
      <c r="B747" s="58">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4" customFormat="1" x14ac:dyDescent="0.2">
      <c r="A748" s="60">
        <v>44166</v>
      </c>
      <c r="B748" s="58">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4" customFormat="1" x14ac:dyDescent="0.2">
      <c r="A749" s="60">
        <v>44197</v>
      </c>
      <c r="B749" s="58">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4" customFormat="1" x14ac:dyDescent="0.2">
      <c r="A750" s="60">
        <v>44228</v>
      </c>
      <c r="B750" s="58">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4" customFormat="1" x14ac:dyDescent="0.2">
      <c r="A751" s="60">
        <v>44256</v>
      </c>
      <c r="B751" s="58">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4" customFormat="1" x14ac:dyDescent="0.2">
      <c r="A752" s="60">
        <v>44287</v>
      </c>
      <c r="B752" s="58">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4" customFormat="1" x14ac:dyDescent="0.2">
      <c r="A753" s="60">
        <v>44317</v>
      </c>
      <c r="B753" s="58">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4" customFormat="1" x14ac:dyDescent="0.2">
      <c r="A754" s="60">
        <v>44348</v>
      </c>
      <c r="B754" s="58">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4" customFormat="1" x14ac:dyDescent="0.2">
      <c r="A755" s="60">
        <v>44378</v>
      </c>
      <c r="B755" s="58">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4" customFormat="1" x14ac:dyDescent="0.2">
      <c r="A756" s="60">
        <v>44409</v>
      </c>
      <c r="B756" s="58">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4" customFormat="1" x14ac:dyDescent="0.2">
      <c r="A757" s="60">
        <v>44440</v>
      </c>
      <c r="B757" s="58">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4" customFormat="1" x14ac:dyDescent="0.2">
      <c r="A758" s="60">
        <v>44470</v>
      </c>
      <c r="B758" s="58">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4" customFormat="1" x14ac:dyDescent="0.2">
      <c r="A759" s="60">
        <v>44501</v>
      </c>
      <c r="B759" s="58">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4" customFormat="1" x14ac:dyDescent="0.2">
      <c r="A760" s="60">
        <v>44531</v>
      </c>
      <c r="B760" s="58">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4" customFormat="1" x14ac:dyDescent="0.2">
      <c r="A761" s="60">
        <v>44562</v>
      </c>
      <c r="B761" s="58">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4" customFormat="1" x14ac:dyDescent="0.2">
      <c r="A762" s="60">
        <v>44593</v>
      </c>
      <c r="B762" s="58">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4" customFormat="1" x14ac:dyDescent="0.2">
      <c r="A763" s="60">
        <v>44621</v>
      </c>
      <c r="B763" s="58">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4" customFormat="1" x14ac:dyDescent="0.2">
      <c r="A764" s="60">
        <v>44652</v>
      </c>
      <c r="B764" s="58">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4" customFormat="1" x14ac:dyDescent="0.2">
      <c r="A765" s="60">
        <v>44682</v>
      </c>
      <c r="B765" s="58">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4" customFormat="1" x14ac:dyDescent="0.2">
      <c r="A766" s="60">
        <v>44713</v>
      </c>
      <c r="B766" s="58">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4" customFormat="1" x14ac:dyDescent="0.2">
      <c r="A767" s="60">
        <v>44743</v>
      </c>
      <c r="B767" s="58">
        <f>VLOOKUP(Table534567910[[#This Row],[Date]],Database!A:E,MATCH($A$1,Database!$A$1:$E$1,),)</f>
        <v>123.31100000000001</v>
      </c>
      <c r="C767" s="9">
        <f t="shared" si="11"/>
        <v>4.299923737202574E-4</v>
      </c>
      <c r="D767" s="7">
        <f>(Table534567910[[#This Row],[Value]]-B755)/B755</f>
        <v>4.6684944529797726E-2</v>
      </c>
      <c r="E767" s="16">
        <v>0.02</v>
      </c>
      <c r="F767" s="15">
        <f>VLOOKUP(Table534567910[[#This Row],[Date]],Database!A:E,4)</f>
        <v>1.75</v>
      </c>
    </row>
    <row r="768" spans="1:6" s="64" customFormat="1" x14ac:dyDescent="0.2">
      <c r="A768" s="60">
        <v>44774</v>
      </c>
      <c r="B768" s="58">
        <f>VLOOKUP(Table534567910[[#This Row],[Date]],Database!A:E,MATCH($A$1,Database!$A$1:$E$1,),)</f>
        <v>124.004</v>
      </c>
      <c r="C768" s="9">
        <f t="shared" si="11"/>
        <v>5.6199365831109778E-3</v>
      </c>
      <c r="D768" s="7">
        <f>(Table534567910[[#This Row],[Value]]-B756)/B756</f>
        <v>4.9112090626824312E-2</v>
      </c>
      <c r="E768" s="16">
        <v>0.02</v>
      </c>
      <c r="F768" s="15">
        <f>VLOOKUP(Table534567910[[#This Row],[Date]],Database!A:E,4)</f>
        <v>2.5</v>
      </c>
    </row>
    <row r="769" spans="1:6" s="64" customFormat="1" x14ac:dyDescent="0.2">
      <c r="A769" s="6"/>
      <c r="B769" s="53"/>
      <c r="C769" s="4"/>
      <c r="D769" s="5"/>
      <c r="E769" s="12"/>
      <c r="F769" s="12"/>
    </row>
    <row r="770" spans="1:6" s="64" customFormat="1" x14ac:dyDescent="0.2">
      <c r="A770" s="6"/>
      <c r="B770" s="53"/>
      <c r="C770" s="4"/>
      <c r="D770" s="5"/>
      <c r="E770" s="12"/>
      <c r="F770" s="12"/>
    </row>
    <row r="771" spans="1:6" s="64" customFormat="1" x14ac:dyDescent="0.2">
      <c r="A771" s="6"/>
      <c r="B771" s="53"/>
      <c r="C771" s="4"/>
      <c r="D771" s="5"/>
      <c r="E771" s="12"/>
      <c r="F771" s="12"/>
    </row>
    <row r="772" spans="1:6" s="64" customFormat="1" x14ac:dyDescent="0.2">
      <c r="A772" s="6"/>
      <c r="B772" s="53"/>
      <c r="C772" s="4"/>
      <c r="D772" s="5"/>
      <c r="E772" s="12"/>
      <c r="F772" s="12"/>
    </row>
    <row r="773" spans="1:6" s="64" customFormat="1" x14ac:dyDescent="0.2">
      <c r="A773" s="6"/>
      <c r="B773" s="53"/>
      <c r="C773" s="4"/>
      <c r="D773" s="5"/>
      <c r="E773" s="12"/>
      <c r="F773" s="12"/>
    </row>
    <row r="774" spans="1:6" s="64" customFormat="1" x14ac:dyDescent="0.2">
      <c r="A774" s="6"/>
      <c r="B774" s="53"/>
      <c r="C774" s="4"/>
      <c r="D774" s="5"/>
      <c r="E774" s="12"/>
      <c r="F774" s="12"/>
    </row>
    <row r="775" spans="1:6" s="64" customFormat="1" x14ac:dyDescent="0.2">
      <c r="A775" s="6"/>
      <c r="B775" s="53"/>
      <c r="C775" s="4"/>
      <c r="D775" s="5"/>
      <c r="E775" s="12"/>
      <c r="F775" s="12"/>
    </row>
    <row r="776" spans="1:6" s="64" customFormat="1" x14ac:dyDescent="0.2">
      <c r="A776" s="6"/>
      <c r="B776" s="53"/>
      <c r="C776" s="4"/>
      <c r="D776" s="5"/>
      <c r="E776" s="12"/>
      <c r="F776" s="12"/>
    </row>
    <row r="777" spans="1:6" s="64" customFormat="1" x14ac:dyDescent="0.2">
      <c r="A777" s="6"/>
      <c r="B777" s="53"/>
      <c r="C777" s="4"/>
      <c r="D777" s="5"/>
      <c r="E777" s="12"/>
      <c r="F777" s="12"/>
    </row>
    <row r="778" spans="1:6" s="64" customFormat="1" x14ac:dyDescent="0.2">
      <c r="A778" s="6"/>
      <c r="B778" s="53"/>
      <c r="C778" s="4"/>
      <c r="D778" s="5"/>
      <c r="E778" s="12"/>
      <c r="F778" s="12"/>
    </row>
    <row r="779" spans="1:6" s="64" customFormat="1" x14ac:dyDescent="0.2">
      <c r="A779" s="6"/>
      <c r="B779" s="53"/>
      <c r="C779" s="4"/>
      <c r="D779" s="5"/>
      <c r="E779" s="12"/>
      <c r="F779" s="12"/>
    </row>
    <row r="780" spans="1:6" s="64" customFormat="1" x14ac:dyDescent="0.2">
      <c r="A780" s="6"/>
      <c r="B780" s="53"/>
      <c r="C780" s="4"/>
      <c r="D780" s="5"/>
      <c r="E780" s="12"/>
      <c r="F780" s="12"/>
    </row>
    <row r="781" spans="1:6" s="64" customFormat="1" x14ac:dyDescent="0.2">
      <c r="A781" s="6"/>
      <c r="B781" s="53"/>
      <c r="C781" s="4"/>
      <c r="D781" s="5"/>
      <c r="E781" s="12"/>
      <c r="F781" s="12"/>
    </row>
    <row r="782" spans="1:6" s="64" customFormat="1" x14ac:dyDescent="0.2">
      <c r="A782" s="6"/>
      <c r="B782" s="53"/>
      <c r="C782" s="4"/>
      <c r="D782" s="5"/>
      <c r="E782" s="12"/>
      <c r="F782" s="12"/>
    </row>
    <row r="783" spans="1:6" s="64" customFormat="1" x14ac:dyDescent="0.2">
      <c r="A783" s="6"/>
      <c r="B783" s="53"/>
      <c r="C783" s="4"/>
      <c r="D783" s="5"/>
      <c r="E783" s="12"/>
      <c r="F783" s="12"/>
    </row>
    <row r="784" spans="1:6" s="64" customFormat="1" x14ac:dyDescent="0.2">
      <c r="A784" s="6"/>
      <c r="B784" s="53"/>
      <c r="C784" s="4"/>
      <c r="D784" s="5"/>
      <c r="E784" s="12"/>
      <c r="F784" s="12"/>
    </row>
    <row r="785" spans="1:6" s="64" customFormat="1" x14ac:dyDescent="0.2">
      <c r="A785" s="6"/>
      <c r="B785" s="53"/>
      <c r="C785" s="4"/>
      <c r="D785" s="5"/>
      <c r="E785" s="12"/>
      <c r="F785" s="12"/>
    </row>
    <row r="786" spans="1:6" s="64" customFormat="1" x14ac:dyDescent="0.2">
      <c r="A786" s="6"/>
      <c r="B786" s="53"/>
      <c r="C786" s="4"/>
      <c r="D786" s="5"/>
      <c r="E786" s="12"/>
      <c r="F786" s="12"/>
    </row>
    <row r="787" spans="1:6" s="64" customFormat="1" x14ac:dyDescent="0.2">
      <c r="A787" s="6"/>
      <c r="B787" s="53"/>
      <c r="C787" s="4"/>
      <c r="D787" s="5"/>
      <c r="E787" s="12"/>
      <c r="F787" s="12"/>
    </row>
    <row r="788" spans="1:6" s="64" customFormat="1" x14ac:dyDescent="0.2">
      <c r="A788" s="6"/>
      <c r="B788" s="53"/>
      <c r="C788" s="4"/>
      <c r="D788" s="5"/>
      <c r="E788" s="12"/>
      <c r="F788" s="12"/>
    </row>
    <row r="789" spans="1:6" s="64" customFormat="1" x14ac:dyDescent="0.2">
      <c r="A789" s="6"/>
      <c r="B789" s="53"/>
      <c r="C789" s="4"/>
      <c r="D789" s="5"/>
      <c r="E789" s="12"/>
      <c r="F789" s="12"/>
    </row>
    <row r="790" spans="1:6" s="64" customFormat="1" x14ac:dyDescent="0.2">
      <c r="A790" s="6"/>
      <c r="B790" s="53"/>
      <c r="C790" s="4"/>
      <c r="D790" s="5"/>
      <c r="E790" s="12"/>
      <c r="F790" s="12"/>
    </row>
    <row r="791" spans="1:6" s="64" customFormat="1" x14ac:dyDescent="0.2">
      <c r="A791" s="6"/>
      <c r="B791" s="53"/>
      <c r="C791" s="4"/>
      <c r="D791" s="5"/>
      <c r="E791" s="12"/>
      <c r="F791" s="12"/>
    </row>
    <row r="792" spans="1:6" s="64" customFormat="1" x14ac:dyDescent="0.2">
      <c r="A792" s="6"/>
      <c r="B792" s="53"/>
      <c r="C792" s="4"/>
      <c r="D792" s="5"/>
      <c r="E792" s="12"/>
      <c r="F792" s="12"/>
    </row>
    <row r="793" spans="1:6" s="64" customFormat="1" x14ac:dyDescent="0.2">
      <c r="A793" s="6"/>
      <c r="B793" s="53"/>
      <c r="C793" s="4"/>
      <c r="D793" s="5"/>
      <c r="E793" s="12"/>
      <c r="F793" s="12"/>
    </row>
    <row r="794" spans="1:6" s="64" customFormat="1" x14ac:dyDescent="0.2">
      <c r="A794" s="6"/>
      <c r="B794" s="53"/>
      <c r="C794" s="4"/>
      <c r="D794" s="5"/>
      <c r="E794" s="12"/>
      <c r="F794" s="12"/>
    </row>
    <row r="795" spans="1:6" s="64" customFormat="1" x14ac:dyDescent="0.2">
      <c r="A795" s="6"/>
      <c r="B795" s="53"/>
      <c r="C795" s="4"/>
      <c r="D795" s="5"/>
      <c r="E795" s="12"/>
      <c r="F795" s="12"/>
    </row>
    <row r="796" spans="1:6" s="64" customFormat="1" x14ac:dyDescent="0.2">
      <c r="A796" s="6"/>
      <c r="B796" s="53"/>
      <c r="C796" s="4"/>
      <c r="D796" s="5"/>
      <c r="E796" s="12"/>
      <c r="F796" s="12"/>
    </row>
    <row r="797" spans="1:6" s="64" customFormat="1" x14ac:dyDescent="0.2">
      <c r="A797" s="6"/>
      <c r="B797" s="53"/>
      <c r="C797" s="4"/>
      <c r="D797" s="5"/>
      <c r="E797" s="12"/>
      <c r="F797" s="12"/>
    </row>
    <row r="798" spans="1:6" s="64" customFormat="1" x14ac:dyDescent="0.2">
      <c r="A798" s="6"/>
      <c r="B798" s="53"/>
      <c r="C798" s="4"/>
      <c r="D798" s="5"/>
      <c r="E798" s="12"/>
      <c r="F798" s="12"/>
    </row>
    <row r="799" spans="1:6" s="64" customFormat="1" x14ac:dyDescent="0.2">
      <c r="A799" s="6"/>
      <c r="B799" s="53"/>
      <c r="C799" s="4"/>
      <c r="D799" s="5"/>
      <c r="E799" s="12"/>
      <c r="F799" s="12"/>
    </row>
    <row r="800" spans="1:6" s="64" customFormat="1" x14ac:dyDescent="0.2">
      <c r="A800" s="6"/>
      <c r="B800" s="53"/>
      <c r="C800" s="4"/>
      <c r="D800" s="5"/>
      <c r="E800" s="12"/>
      <c r="F800" s="12"/>
    </row>
    <row r="801" spans="1:6" s="64" customFormat="1" x14ac:dyDescent="0.2">
      <c r="A801" s="6"/>
      <c r="B801" s="53"/>
      <c r="C801" s="4"/>
      <c r="D801" s="5"/>
      <c r="E801" s="12"/>
      <c r="F801" s="12"/>
    </row>
    <row r="802" spans="1:6" s="64" customFormat="1" x14ac:dyDescent="0.2">
      <c r="A802" s="6"/>
      <c r="B802" s="53"/>
      <c r="C802" s="4"/>
      <c r="D802" s="5"/>
      <c r="E802" s="12"/>
      <c r="F802" s="12"/>
    </row>
    <row r="803" spans="1:6" s="64" customFormat="1" x14ac:dyDescent="0.2">
      <c r="A803" s="6"/>
      <c r="B803" s="53"/>
      <c r="C803" s="4"/>
      <c r="D803" s="5"/>
      <c r="E803" s="12"/>
      <c r="F803" s="12"/>
    </row>
    <row r="804" spans="1:6" s="64" customFormat="1" x14ac:dyDescent="0.2">
      <c r="A804" s="6"/>
      <c r="B804" s="53"/>
      <c r="C804" s="4"/>
      <c r="D804" s="5"/>
      <c r="E804" s="12"/>
      <c r="F804" s="12"/>
    </row>
    <row r="805" spans="1:6" s="64" customFormat="1" x14ac:dyDescent="0.2">
      <c r="A805" s="6"/>
      <c r="B805" s="53"/>
      <c r="C805" s="4"/>
      <c r="D805" s="5"/>
      <c r="E805" s="12"/>
      <c r="F805" s="12"/>
    </row>
    <row r="806" spans="1:6" s="64" customFormat="1" x14ac:dyDescent="0.2">
      <c r="A806" s="6"/>
      <c r="B806" s="53"/>
      <c r="C806" s="4"/>
      <c r="D806" s="5"/>
      <c r="E806" s="12"/>
      <c r="F806" s="12"/>
    </row>
    <row r="807" spans="1:6" s="64" customFormat="1" x14ac:dyDescent="0.2">
      <c r="A807" s="6"/>
      <c r="B807" s="53"/>
      <c r="C807" s="4"/>
      <c r="D807" s="5"/>
      <c r="E807" s="12"/>
      <c r="F807" s="12"/>
    </row>
    <row r="808" spans="1:6" s="64" customFormat="1" x14ac:dyDescent="0.2">
      <c r="A808" s="6"/>
      <c r="B808" s="53"/>
      <c r="C808" s="4"/>
      <c r="D808" s="5"/>
      <c r="E808" s="12"/>
      <c r="F808" s="12"/>
    </row>
    <row r="809" spans="1:6" s="64" customFormat="1" x14ac:dyDescent="0.2">
      <c r="A809" s="6"/>
      <c r="B809" s="53"/>
      <c r="C809" s="4"/>
      <c r="D809" s="5"/>
      <c r="E809" s="12"/>
      <c r="F809" s="12"/>
    </row>
    <row r="810" spans="1:6" s="64" customFormat="1" x14ac:dyDescent="0.2">
      <c r="A810" s="6"/>
      <c r="B810" s="53"/>
      <c r="C810" s="4"/>
      <c r="D810" s="5"/>
      <c r="E810" s="12"/>
      <c r="F810" s="12"/>
    </row>
    <row r="811" spans="1:6" s="64" customFormat="1" x14ac:dyDescent="0.2">
      <c r="A811" s="6"/>
      <c r="B811" s="53"/>
      <c r="C811" s="4"/>
      <c r="D811" s="5"/>
      <c r="E811" s="12"/>
      <c r="F811" s="12"/>
    </row>
    <row r="812" spans="1:6" s="64" customFormat="1" x14ac:dyDescent="0.2">
      <c r="A812" s="6"/>
      <c r="B812" s="53"/>
      <c r="C812" s="4"/>
      <c r="D812" s="5"/>
      <c r="E812" s="12"/>
      <c r="F812" s="12"/>
    </row>
    <row r="813" spans="1:6" s="64" customFormat="1" x14ac:dyDescent="0.2">
      <c r="A813" s="6"/>
      <c r="B813" s="53"/>
      <c r="C813" s="4"/>
      <c r="D813" s="5"/>
      <c r="E813" s="12"/>
      <c r="F813" s="12"/>
    </row>
    <row r="814" spans="1:6" s="64" customFormat="1" x14ac:dyDescent="0.2">
      <c r="A814" s="6"/>
      <c r="B814" s="53"/>
      <c r="C814" s="4"/>
      <c r="D814" s="5"/>
      <c r="E814" s="12"/>
      <c r="F814" s="12"/>
    </row>
    <row r="815" spans="1:6" s="64" customFormat="1" x14ac:dyDescent="0.2">
      <c r="A815" s="6"/>
      <c r="B815" s="53"/>
      <c r="C815" s="4"/>
      <c r="D815" s="5"/>
      <c r="E815" s="12"/>
      <c r="F815" s="12"/>
    </row>
    <row r="816" spans="1:6" s="64" customFormat="1" x14ac:dyDescent="0.2">
      <c r="A816" s="6"/>
      <c r="B816" s="53"/>
      <c r="C816" s="4"/>
      <c r="D816" s="5"/>
      <c r="E816" s="12"/>
      <c r="F816" s="12"/>
    </row>
    <row r="817" spans="1:6" s="64" customFormat="1" x14ac:dyDescent="0.2">
      <c r="A817" s="6"/>
      <c r="B817" s="53"/>
      <c r="C817" s="4"/>
      <c r="D817" s="5"/>
      <c r="E817" s="12"/>
      <c r="F817" s="12"/>
    </row>
    <row r="818" spans="1:6" s="64" customFormat="1" x14ac:dyDescent="0.2">
      <c r="A818" s="6"/>
      <c r="B818" s="53"/>
      <c r="C818" s="4"/>
      <c r="D818" s="5"/>
      <c r="E818" s="12"/>
      <c r="F818" s="12"/>
    </row>
    <row r="819" spans="1:6" s="64" customFormat="1" x14ac:dyDescent="0.2">
      <c r="A819" s="6"/>
      <c r="B819" s="53"/>
      <c r="C819" s="4"/>
      <c r="D819" s="5"/>
      <c r="E819" s="12"/>
      <c r="F819" s="12"/>
    </row>
    <row r="820" spans="1:6" s="64" customFormat="1" x14ac:dyDescent="0.2">
      <c r="A820" s="6"/>
      <c r="B820" s="53"/>
      <c r="C820" s="4"/>
      <c r="D820" s="5"/>
      <c r="E820" s="12"/>
      <c r="F820" s="12"/>
    </row>
    <row r="821" spans="1:6" s="64" customFormat="1" x14ac:dyDescent="0.2">
      <c r="A821" s="6"/>
      <c r="B821" s="53"/>
      <c r="C821" s="4"/>
      <c r="D821" s="5"/>
      <c r="E821" s="12"/>
      <c r="F821" s="12"/>
    </row>
    <row r="822" spans="1:6" s="64" customFormat="1" x14ac:dyDescent="0.2">
      <c r="A822" s="6"/>
      <c r="B822" s="53"/>
      <c r="C822" s="4"/>
      <c r="D822" s="5"/>
      <c r="E822" s="12"/>
      <c r="F822" s="12"/>
    </row>
    <row r="823" spans="1:6" s="64" customFormat="1" x14ac:dyDescent="0.2">
      <c r="A823" s="6"/>
      <c r="B823" s="53"/>
      <c r="C823" s="4"/>
      <c r="D823" s="5"/>
      <c r="E823" s="12"/>
      <c r="F823" s="12"/>
    </row>
    <row r="824" spans="1:6" s="64" customFormat="1" x14ac:dyDescent="0.2">
      <c r="A824" s="6"/>
      <c r="B824" s="53"/>
      <c r="C824" s="4"/>
      <c r="D824" s="5"/>
      <c r="E824" s="12"/>
      <c r="F824" s="12"/>
    </row>
    <row r="825" spans="1:6" s="64" customFormat="1" x14ac:dyDescent="0.2">
      <c r="A825" s="6"/>
      <c r="B825" s="53"/>
      <c r="C825" s="4"/>
      <c r="D825" s="5"/>
      <c r="E825" s="12"/>
      <c r="F825" s="12"/>
    </row>
    <row r="826" spans="1:6" s="64" customFormat="1" x14ac:dyDescent="0.2">
      <c r="A826" s="6"/>
      <c r="B826" s="53"/>
      <c r="C826" s="4"/>
      <c r="D826" s="5"/>
      <c r="E826" s="12"/>
      <c r="F826" s="12"/>
    </row>
    <row r="827" spans="1:6" s="64" customFormat="1" x14ac:dyDescent="0.2">
      <c r="A827" s="6"/>
      <c r="B827" s="53"/>
      <c r="C827" s="4"/>
      <c r="D827" s="5"/>
      <c r="E827" s="12"/>
      <c r="F827" s="12"/>
    </row>
    <row r="828" spans="1:6" s="64" customFormat="1" x14ac:dyDescent="0.2">
      <c r="A828" s="6"/>
      <c r="B828" s="53"/>
      <c r="C828" s="4"/>
      <c r="D828" s="5"/>
      <c r="E828" s="12"/>
      <c r="F828" s="12"/>
    </row>
    <row r="829" spans="1:6" s="64" customFormat="1" x14ac:dyDescent="0.2">
      <c r="A829" s="6"/>
      <c r="B829" s="53"/>
      <c r="C829" s="4"/>
      <c r="D829" s="5"/>
      <c r="E829" s="12"/>
      <c r="F829" s="12"/>
    </row>
    <row r="830" spans="1:6" s="64" customFormat="1" x14ac:dyDescent="0.2">
      <c r="A830" s="6"/>
      <c r="B830" s="53"/>
      <c r="C830" s="4"/>
      <c r="D830" s="5"/>
      <c r="E830" s="12"/>
      <c r="F830" s="12"/>
    </row>
    <row r="831" spans="1:6" s="64" customFormat="1" x14ac:dyDescent="0.2">
      <c r="A831" s="6"/>
      <c r="B831" s="53"/>
      <c r="C831" s="4"/>
      <c r="D831" s="5"/>
      <c r="E831" s="12"/>
      <c r="F831" s="12"/>
    </row>
    <row r="832" spans="1:6" s="64" customFormat="1" x14ac:dyDescent="0.2">
      <c r="A832" s="6"/>
      <c r="B832" s="53"/>
      <c r="C832" s="4"/>
      <c r="D832" s="5"/>
      <c r="E832" s="12"/>
      <c r="F832" s="12"/>
    </row>
    <row r="833" spans="1:6" s="64" customFormat="1" x14ac:dyDescent="0.2">
      <c r="A833" s="6"/>
      <c r="B833" s="53"/>
      <c r="C833" s="4"/>
      <c r="D833" s="5"/>
      <c r="E833" s="12"/>
      <c r="F833" s="12"/>
    </row>
    <row r="834" spans="1:6" s="64" customFormat="1" x14ac:dyDescent="0.2">
      <c r="A834" s="6"/>
      <c r="B834" s="53"/>
      <c r="C834" s="4"/>
      <c r="D834" s="5"/>
      <c r="E834" s="12"/>
      <c r="F834" s="12"/>
    </row>
    <row r="835" spans="1:6" s="64" customFormat="1" x14ac:dyDescent="0.2">
      <c r="A835" s="6"/>
      <c r="B835" s="53"/>
      <c r="C835" s="4"/>
      <c r="D835" s="5"/>
      <c r="E835" s="12"/>
      <c r="F835" s="12"/>
    </row>
    <row r="836" spans="1:6" s="64" customFormat="1" x14ac:dyDescent="0.2">
      <c r="A836" s="6"/>
      <c r="B836" s="53"/>
      <c r="C836" s="4"/>
      <c r="D836" s="5"/>
      <c r="E836" s="12"/>
      <c r="F836" s="12"/>
    </row>
    <row r="837" spans="1:6" s="64" customFormat="1" x14ac:dyDescent="0.2">
      <c r="A837" s="6"/>
      <c r="B837" s="53"/>
      <c r="C837" s="4"/>
      <c r="D837" s="5"/>
      <c r="E837" s="12"/>
      <c r="F837" s="12"/>
    </row>
    <row r="838" spans="1:6" s="64" customFormat="1" x14ac:dyDescent="0.2">
      <c r="A838" s="6"/>
      <c r="B838" s="53"/>
      <c r="C838" s="4"/>
      <c r="D838" s="5"/>
      <c r="E838" s="12"/>
      <c r="F838" s="12"/>
    </row>
    <row r="839" spans="1:6" s="64" customFormat="1" x14ac:dyDescent="0.2">
      <c r="A839" s="6"/>
      <c r="B839" s="53"/>
      <c r="C839" s="4"/>
      <c r="D839" s="5"/>
      <c r="E839" s="12"/>
      <c r="F839" s="12"/>
    </row>
    <row r="840" spans="1:6" s="64" customFormat="1" x14ac:dyDescent="0.2">
      <c r="A840" s="6"/>
      <c r="B840" s="53"/>
      <c r="C840" s="4"/>
      <c r="D840" s="5"/>
      <c r="E840" s="12"/>
      <c r="F840" s="12"/>
    </row>
    <row r="841" spans="1:6" s="64" customFormat="1" x14ac:dyDescent="0.2">
      <c r="A841" s="6"/>
      <c r="B841" s="53"/>
      <c r="C841" s="4"/>
      <c r="D841" s="5"/>
      <c r="E841" s="12"/>
      <c r="F841" s="12"/>
    </row>
    <row r="842" spans="1:6" s="64" customFormat="1" x14ac:dyDescent="0.2">
      <c r="A842" s="6"/>
      <c r="B842" s="53"/>
      <c r="C842" s="4"/>
      <c r="D842" s="5"/>
      <c r="E842" s="12"/>
      <c r="F842" s="12"/>
    </row>
    <row r="843" spans="1:6" s="64" customFormat="1" x14ac:dyDescent="0.2">
      <c r="A843" s="6"/>
      <c r="B843" s="53"/>
      <c r="C843" s="4"/>
      <c r="D843" s="5"/>
      <c r="E843" s="12"/>
      <c r="F843" s="12"/>
    </row>
    <row r="844" spans="1:6" s="64" customFormat="1" x14ac:dyDescent="0.2">
      <c r="A844" s="6"/>
      <c r="B844" s="53"/>
      <c r="C844" s="4"/>
      <c r="D844" s="5"/>
      <c r="E844" s="12"/>
      <c r="F844" s="12"/>
    </row>
    <row r="845" spans="1:6" s="64" customFormat="1" x14ac:dyDescent="0.2">
      <c r="A845" s="6"/>
      <c r="B845" s="53"/>
      <c r="C845" s="4"/>
      <c r="D845" s="5"/>
      <c r="E845" s="12"/>
      <c r="F845" s="12"/>
    </row>
    <row r="846" spans="1:6" s="64" customFormat="1" x14ac:dyDescent="0.2">
      <c r="A846" s="6"/>
      <c r="B846" s="53"/>
      <c r="C846" s="4"/>
      <c r="D846" s="5"/>
      <c r="E846" s="12"/>
      <c r="F846" s="12"/>
    </row>
    <row r="847" spans="1:6" s="64" customFormat="1" x14ac:dyDescent="0.2">
      <c r="A847" s="6"/>
      <c r="B847" s="53"/>
      <c r="C847" s="4"/>
      <c r="D847" s="5"/>
      <c r="E847" s="12"/>
      <c r="F847" s="12"/>
    </row>
    <row r="848" spans="1:6" s="64" customFormat="1" x14ac:dyDescent="0.2">
      <c r="A848" s="6"/>
      <c r="B848" s="53"/>
      <c r="C848" s="4"/>
      <c r="D848" s="5"/>
      <c r="E848" s="12"/>
      <c r="F848" s="12"/>
    </row>
    <row r="849" spans="1:6" s="64" customFormat="1" x14ac:dyDescent="0.2">
      <c r="A849" s="6"/>
      <c r="B849" s="53"/>
      <c r="C849" s="4"/>
      <c r="D849" s="5"/>
      <c r="E849" s="12"/>
      <c r="F849" s="12"/>
    </row>
    <row r="850" spans="1:6" s="64" customFormat="1" x14ac:dyDescent="0.2">
      <c r="A850" s="6"/>
      <c r="B850" s="53"/>
      <c r="C850" s="4"/>
      <c r="D850" s="5"/>
      <c r="E850" s="12"/>
      <c r="F850" s="12"/>
    </row>
    <row r="851" spans="1:6" s="64" customFormat="1" x14ac:dyDescent="0.2">
      <c r="A851" s="6"/>
      <c r="B851" s="53"/>
      <c r="C851" s="4"/>
      <c r="D851" s="5"/>
      <c r="E851" s="12"/>
      <c r="F851" s="12"/>
    </row>
    <row r="852" spans="1:6" s="64" customFormat="1" x14ac:dyDescent="0.2">
      <c r="A852" s="6"/>
      <c r="B852" s="53"/>
      <c r="C852" s="4"/>
      <c r="D852" s="5"/>
      <c r="E852" s="12"/>
      <c r="F852" s="12"/>
    </row>
    <row r="853" spans="1:6" s="64" customFormat="1" x14ac:dyDescent="0.2">
      <c r="A853" s="6"/>
      <c r="B853" s="53"/>
      <c r="C853" s="4"/>
      <c r="D853" s="5"/>
      <c r="E853" s="12"/>
      <c r="F853" s="12"/>
    </row>
    <row r="854" spans="1:6" s="64" customFormat="1" x14ac:dyDescent="0.2">
      <c r="A854" s="6"/>
      <c r="B854" s="53"/>
      <c r="C854" s="4"/>
      <c r="D854" s="5"/>
      <c r="E854" s="12"/>
      <c r="F854" s="12"/>
    </row>
    <row r="855" spans="1:6" s="64" customFormat="1" x14ac:dyDescent="0.2">
      <c r="A855" s="6"/>
      <c r="B855" s="53"/>
      <c r="C855" s="4"/>
      <c r="D855" s="5"/>
      <c r="E855" s="12"/>
      <c r="F855" s="12"/>
    </row>
    <row r="856" spans="1:6" s="64" customFormat="1" x14ac:dyDescent="0.2">
      <c r="A856" s="6"/>
      <c r="B856" s="53"/>
      <c r="C856" s="4"/>
      <c r="D856" s="5"/>
      <c r="E856" s="12"/>
      <c r="F856" s="12"/>
    </row>
    <row r="857" spans="1:6" s="64" customFormat="1" x14ac:dyDescent="0.2">
      <c r="A857" s="6"/>
      <c r="B857" s="53"/>
      <c r="C857" s="4"/>
      <c r="D857" s="5"/>
      <c r="E857" s="12"/>
      <c r="F857" s="12"/>
    </row>
    <row r="858" spans="1:6" s="64" customFormat="1" x14ac:dyDescent="0.2">
      <c r="A858" s="6"/>
      <c r="B858" s="53"/>
      <c r="C858" s="4"/>
      <c r="D858" s="5"/>
      <c r="E858" s="12"/>
      <c r="F858" s="12"/>
    </row>
    <row r="859" spans="1:6" s="64" customFormat="1" x14ac:dyDescent="0.2">
      <c r="A859" s="6"/>
      <c r="B859" s="53"/>
      <c r="C859" s="4"/>
      <c r="D859" s="5"/>
      <c r="E859" s="12"/>
      <c r="F859" s="12"/>
    </row>
    <row r="860" spans="1:6" s="64" customFormat="1" x14ac:dyDescent="0.2">
      <c r="A860" s="6"/>
      <c r="B860" s="53"/>
      <c r="C860" s="4"/>
      <c r="D860" s="5"/>
      <c r="E860" s="12"/>
      <c r="F860" s="12"/>
    </row>
    <row r="861" spans="1:6" s="64" customFormat="1" x14ac:dyDescent="0.2">
      <c r="A861" s="6"/>
      <c r="B861" s="53"/>
      <c r="C861" s="4"/>
      <c r="D861" s="5"/>
      <c r="E861" s="12"/>
      <c r="F861" s="12"/>
    </row>
    <row r="862" spans="1:6" s="64" customFormat="1" x14ac:dyDescent="0.2">
      <c r="A862" s="6"/>
      <c r="B862" s="53"/>
      <c r="C862" s="4"/>
      <c r="D862" s="5"/>
      <c r="E862" s="12"/>
      <c r="F862" s="12"/>
    </row>
    <row r="863" spans="1:6" s="64" customFormat="1" x14ac:dyDescent="0.2">
      <c r="A863" s="6"/>
      <c r="B863" s="53"/>
      <c r="C863" s="4"/>
      <c r="D863" s="5"/>
      <c r="E863" s="12"/>
      <c r="F863" s="12"/>
    </row>
    <row r="864" spans="1:6" s="64" customFormat="1" x14ac:dyDescent="0.2">
      <c r="A864" s="6"/>
      <c r="B864" s="53"/>
      <c r="C864" s="4"/>
      <c r="D864" s="5"/>
      <c r="E864" s="12"/>
      <c r="F864" s="12"/>
    </row>
    <row r="865" spans="1:6" s="64" customFormat="1" x14ac:dyDescent="0.2">
      <c r="A865" s="6"/>
      <c r="B865" s="53"/>
      <c r="C865" s="4"/>
      <c r="D865" s="5"/>
      <c r="E865" s="12"/>
      <c r="F865" s="12"/>
    </row>
    <row r="866" spans="1:6" s="64" customFormat="1" x14ac:dyDescent="0.2">
      <c r="A866" s="6"/>
      <c r="B866" s="53"/>
      <c r="C866" s="4"/>
      <c r="D866" s="5"/>
      <c r="E866" s="12"/>
      <c r="F866" s="12"/>
    </row>
    <row r="867" spans="1:6" s="64" customFormat="1" x14ac:dyDescent="0.2">
      <c r="A867" s="6"/>
      <c r="B867" s="53"/>
      <c r="C867" s="4"/>
      <c r="D867" s="5"/>
      <c r="E867" s="12"/>
      <c r="F867" s="12"/>
    </row>
    <row r="868" spans="1:6" s="64" customFormat="1" x14ac:dyDescent="0.2">
      <c r="A868" s="6"/>
      <c r="B868" s="53"/>
      <c r="C868" s="4"/>
      <c r="D868" s="5"/>
      <c r="E868" s="12"/>
      <c r="F868" s="12"/>
    </row>
    <row r="869" spans="1:6" s="64" customFormat="1" x14ac:dyDescent="0.2">
      <c r="A869" s="6"/>
      <c r="B869" s="53"/>
      <c r="C869" s="4"/>
      <c r="D869" s="5"/>
      <c r="E869" s="12"/>
      <c r="F869" s="12"/>
    </row>
    <row r="870" spans="1:6" s="64" customFormat="1" x14ac:dyDescent="0.2">
      <c r="A870" s="6"/>
      <c r="B870" s="53"/>
      <c r="C870" s="4"/>
      <c r="D870" s="5"/>
      <c r="E870" s="12"/>
      <c r="F870" s="12"/>
    </row>
    <row r="871" spans="1:6" s="64" customFormat="1" x14ac:dyDescent="0.2">
      <c r="A871" s="6"/>
      <c r="B871" s="53"/>
      <c r="C871" s="4"/>
      <c r="D871" s="5"/>
      <c r="E871" s="12"/>
      <c r="F871" s="12"/>
    </row>
    <row r="872" spans="1:6" s="64" customFormat="1" x14ac:dyDescent="0.2">
      <c r="A872" s="6"/>
      <c r="B872" s="53"/>
      <c r="C872" s="4"/>
      <c r="D872" s="5"/>
      <c r="E872" s="12"/>
      <c r="F872" s="12"/>
    </row>
    <row r="873" spans="1:6" s="64" customFormat="1" x14ac:dyDescent="0.2">
      <c r="A873" s="6"/>
      <c r="B873" s="53"/>
      <c r="C873" s="4"/>
      <c r="D873" s="5"/>
      <c r="E873" s="12"/>
      <c r="F873" s="12"/>
    </row>
    <row r="874" spans="1:6" s="64" customFormat="1" x14ac:dyDescent="0.2">
      <c r="A874" s="6"/>
      <c r="B874" s="53"/>
      <c r="C874" s="4"/>
      <c r="D874" s="5"/>
      <c r="E874" s="12"/>
      <c r="F874" s="12"/>
    </row>
    <row r="875" spans="1:6" s="64" customFormat="1" x14ac:dyDescent="0.2">
      <c r="A875" s="6"/>
      <c r="B875" s="53"/>
      <c r="C875" s="4"/>
      <c r="D875" s="5"/>
      <c r="E875" s="12"/>
      <c r="F875" s="12"/>
    </row>
    <row r="876" spans="1:6" s="64" customFormat="1" x14ac:dyDescent="0.2">
      <c r="A876" s="6"/>
      <c r="B876" s="53"/>
      <c r="C876" s="4"/>
      <c r="D876" s="5"/>
      <c r="E876" s="12"/>
      <c r="F876" s="12"/>
    </row>
    <row r="877" spans="1:6" s="64" customFormat="1" x14ac:dyDescent="0.2">
      <c r="A877" s="6"/>
      <c r="B877" s="53"/>
      <c r="C877" s="4"/>
      <c r="D877" s="5"/>
      <c r="E877" s="12"/>
      <c r="F877" s="12"/>
    </row>
    <row r="878" spans="1:6" s="64" customFormat="1" x14ac:dyDescent="0.2">
      <c r="A878" s="6"/>
      <c r="B878" s="53"/>
      <c r="C878" s="4"/>
      <c r="D878" s="5"/>
      <c r="E878" s="12"/>
      <c r="F878" s="12"/>
    </row>
    <row r="879" spans="1:6" s="64" customFormat="1" x14ac:dyDescent="0.2">
      <c r="A879" s="6"/>
      <c r="B879" s="53"/>
      <c r="C879" s="4"/>
      <c r="D879" s="5"/>
      <c r="E879" s="12"/>
      <c r="F879" s="12"/>
    </row>
    <row r="880" spans="1:6" s="64" customFormat="1" x14ac:dyDescent="0.2">
      <c r="A880" s="6"/>
      <c r="B880" s="53"/>
      <c r="C880" s="4"/>
      <c r="D880" s="5"/>
      <c r="E880" s="12"/>
      <c r="F880" s="12"/>
    </row>
    <row r="881" spans="1:6" s="64" customFormat="1" x14ac:dyDescent="0.2">
      <c r="A881" s="6"/>
      <c r="B881" s="53"/>
      <c r="C881" s="4"/>
      <c r="D881" s="5"/>
      <c r="E881" s="12"/>
      <c r="F881" s="12"/>
    </row>
    <row r="882" spans="1:6" s="64" customFormat="1" x14ac:dyDescent="0.2">
      <c r="A882" s="6"/>
      <c r="B882" s="53"/>
      <c r="C882" s="4"/>
      <c r="D882" s="5"/>
      <c r="E882" s="12"/>
      <c r="F882" s="12"/>
    </row>
    <row r="883" spans="1:6" s="64" customFormat="1" x14ac:dyDescent="0.2">
      <c r="A883" s="6"/>
      <c r="B883" s="53"/>
      <c r="C883" s="4"/>
      <c r="D883" s="5"/>
      <c r="E883" s="12"/>
      <c r="F883" s="12"/>
    </row>
    <row r="884" spans="1:6" s="64" customFormat="1" x14ac:dyDescent="0.2">
      <c r="A884" s="6"/>
      <c r="B884" s="53"/>
      <c r="C884" s="4"/>
      <c r="D884" s="5"/>
      <c r="E884" s="12"/>
      <c r="F884" s="12"/>
    </row>
    <row r="885" spans="1:6" s="64" customFormat="1" x14ac:dyDescent="0.2">
      <c r="A885" s="6"/>
      <c r="B885" s="53"/>
      <c r="C885" s="4"/>
      <c r="D885" s="5"/>
      <c r="E885" s="12"/>
      <c r="F885" s="12"/>
    </row>
    <row r="886" spans="1:6" s="64" customFormat="1" x14ac:dyDescent="0.2">
      <c r="A886" s="6"/>
      <c r="B886" s="53"/>
      <c r="C886" s="4"/>
      <c r="D886" s="5"/>
      <c r="E886" s="12"/>
      <c r="F886" s="12"/>
    </row>
    <row r="887" spans="1:6" s="64" customFormat="1" x14ac:dyDescent="0.2">
      <c r="A887" s="6"/>
      <c r="B887" s="53"/>
      <c r="C887" s="4"/>
      <c r="D887" s="5"/>
      <c r="E887" s="12"/>
      <c r="F887" s="12"/>
    </row>
    <row r="888" spans="1:6" s="64" customFormat="1" x14ac:dyDescent="0.2">
      <c r="A888" s="6"/>
      <c r="B888" s="53"/>
      <c r="C888" s="4"/>
      <c r="D888" s="5"/>
      <c r="E888" s="12"/>
      <c r="F888" s="12"/>
    </row>
    <row r="889" spans="1:6" s="64" customFormat="1" x14ac:dyDescent="0.2">
      <c r="A889" s="6"/>
      <c r="B889" s="53"/>
      <c r="C889" s="4"/>
      <c r="D889" s="5"/>
      <c r="E889" s="12"/>
      <c r="F889" s="12"/>
    </row>
    <row r="890" spans="1:6" s="64" customFormat="1" x14ac:dyDescent="0.2">
      <c r="A890" s="6"/>
      <c r="B890" s="53"/>
      <c r="C890" s="4"/>
      <c r="D890" s="5"/>
      <c r="E890" s="12"/>
      <c r="F890" s="12"/>
    </row>
    <row r="891" spans="1:6" s="64" customFormat="1" x14ac:dyDescent="0.2">
      <c r="A891" s="6"/>
      <c r="B891" s="53"/>
      <c r="C891" s="4"/>
      <c r="D891" s="5"/>
      <c r="E891" s="12"/>
      <c r="F891" s="12"/>
    </row>
    <row r="892" spans="1:6" s="64" customFormat="1" x14ac:dyDescent="0.2">
      <c r="A892" s="6"/>
      <c r="B892" s="53"/>
      <c r="C892" s="4"/>
      <c r="D892" s="5"/>
      <c r="E892" s="12"/>
      <c r="F892" s="12"/>
    </row>
    <row r="893" spans="1:6" s="64" customFormat="1" x14ac:dyDescent="0.2">
      <c r="A893" s="6"/>
      <c r="B893" s="53"/>
      <c r="C893" s="4"/>
      <c r="D893" s="5"/>
      <c r="E893" s="12"/>
      <c r="F893" s="12"/>
    </row>
    <row r="894" spans="1:6" s="64" customFormat="1" x14ac:dyDescent="0.2">
      <c r="A894" s="6"/>
      <c r="B894" s="53"/>
      <c r="C894" s="4"/>
      <c r="D894" s="5"/>
      <c r="E894" s="12"/>
      <c r="F894" s="12"/>
    </row>
    <row r="895" spans="1:6" s="64" customFormat="1" x14ac:dyDescent="0.2">
      <c r="A895" s="6"/>
      <c r="B895" s="53"/>
      <c r="C895" s="4"/>
      <c r="D895" s="5"/>
      <c r="E895" s="12"/>
      <c r="F895" s="12"/>
    </row>
    <row r="896" spans="1:6" s="64" customFormat="1" x14ac:dyDescent="0.2">
      <c r="A896" s="6"/>
      <c r="B896" s="53"/>
      <c r="C896" s="4"/>
      <c r="D896" s="5"/>
      <c r="E896" s="12"/>
      <c r="F896" s="12"/>
    </row>
    <row r="897" spans="1:6" s="64" customFormat="1" x14ac:dyDescent="0.2">
      <c r="A897" s="6"/>
      <c r="B897" s="53"/>
      <c r="C897" s="4"/>
      <c r="D897" s="5"/>
      <c r="E897" s="12"/>
      <c r="F897" s="12"/>
    </row>
    <row r="898" spans="1:6" s="64" customFormat="1" x14ac:dyDescent="0.2">
      <c r="A898" s="6"/>
      <c r="B898" s="53"/>
      <c r="C898" s="4"/>
      <c r="D898" s="5"/>
      <c r="E898" s="12"/>
      <c r="F898" s="12"/>
    </row>
    <row r="899" spans="1:6" s="64" customFormat="1" x14ac:dyDescent="0.2">
      <c r="A899" s="6"/>
      <c r="B899" s="53"/>
      <c r="C899" s="4"/>
      <c r="D899" s="5"/>
      <c r="E899" s="12"/>
      <c r="F899" s="12"/>
    </row>
    <row r="900" spans="1:6" s="64" customFormat="1" x14ac:dyDescent="0.2">
      <c r="A900" s="6"/>
      <c r="B900" s="53"/>
      <c r="C900" s="4"/>
      <c r="D900" s="5"/>
      <c r="E900" s="12"/>
      <c r="F900" s="12"/>
    </row>
    <row r="901" spans="1:6" s="64" customFormat="1" x14ac:dyDescent="0.2">
      <c r="A901" s="6"/>
      <c r="B901" s="53"/>
      <c r="C901" s="4"/>
      <c r="D901" s="5"/>
      <c r="E901" s="12"/>
      <c r="F901" s="12"/>
    </row>
    <row r="902" spans="1:6" s="64" customFormat="1" x14ac:dyDescent="0.2">
      <c r="A902" s="6"/>
      <c r="B902" s="53"/>
      <c r="C902" s="4"/>
      <c r="D902" s="5"/>
      <c r="E902" s="12"/>
      <c r="F902" s="12"/>
    </row>
    <row r="903" spans="1:6" s="64" customFormat="1" x14ac:dyDescent="0.2">
      <c r="A903" s="6"/>
      <c r="B903" s="53"/>
      <c r="C903" s="4"/>
      <c r="D903" s="5"/>
      <c r="E903" s="12"/>
      <c r="F903" s="12"/>
    </row>
    <row r="904" spans="1:6" s="64" customFormat="1" x14ac:dyDescent="0.2">
      <c r="A904" s="6"/>
      <c r="B904" s="53"/>
      <c r="C904" s="4"/>
      <c r="D904" s="5"/>
      <c r="E904" s="12"/>
      <c r="F904" s="12"/>
    </row>
    <row r="905" spans="1:6" s="64" customFormat="1" x14ac:dyDescent="0.2">
      <c r="A905" s="6"/>
      <c r="B905" s="53"/>
      <c r="C905" s="4"/>
      <c r="D905" s="5"/>
      <c r="E905" s="12"/>
      <c r="F905" s="12"/>
    </row>
    <row r="906" spans="1:6" s="64" customFormat="1" x14ac:dyDescent="0.2">
      <c r="A906" s="6"/>
      <c r="B906" s="53"/>
      <c r="C906" s="4"/>
      <c r="D906" s="5"/>
      <c r="E906" s="12"/>
      <c r="F906" s="12"/>
    </row>
    <row r="907" spans="1:6" s="64" customFormat="1" x14ac:dyDescent="0.2">
      <c r="A907" s="6"/>
      <c r="B907" s="53"/>
      <c r="C907" s="4"/>
      <c r="D907" s="5"/>
      <c r="E907" s="12"/>
      <c r="F907" s="12"/>
    </row>
    <row r="908" spans="1:6" s="64" customFormat="1" x14ac:dyDescent="0.2">
      <c r="A908" s="6"/>
      <c r="B908" s="53"/>
      <c r="C908" s="4"/>
      <c r="D908" s="5"/>
      <c r="E908" s="12"/>
      <c r="F908" s="12"/>
    </row>
    <row r="909" spans="1:6" s="64" customFormat="1" x14ac:dyDescent="0.2">
      <c r="A909" s="6"/>
      <c r="B909" s="53"/>
      <c r="C909" s="4"/>
      <c r="D909" s="5"/>
      <c r="E909" s="12"/>
      <c r="F909" s="12"/>
    </row>
    <row r="910" spans="1:6" s="64" customFormat="1" x14ac:dyDescent="0.2">
      <c r="A910" s="6"/>
      <c r="B910" s="53"/>
      <c r="C910" s="4"/>
      <c r="D910" s="5"/>
      <c r="E910" s="12"/>
      <c r="F910" s="12"/>
    </row>
    <row r="911" spans="1:6" s="64" customFormat="1" x14ac:dyDescent="0.2">
      <c r="A911" s="6"/>
      <c r="B911" s="53"/>
      <c r="C911" s="4"/>
      <c r="D911" s="5"/>
      <c r="E911" s="12"/>
      <c r="F911" s="12"/>
    </row>
    <row r="912" spans="1:6" s="64" customFormat="1" x14ac:dyDescent="0.2">
      <c r="A912" s="6"/>
      <c r="B912" s="53"/>
      <c r="C912" s="4"/>
      <c r="D912" s="5"/>
      <c r="E912" s="12"/>
      <c r="F912" s="12"/>
    </row>
    <row r="913" spans="1:6" s="64" customFormat="1" x14ac:dyDescent="0.2">
      <c r="A913" s="6"/>
      <c r="B913" s="53"/>
      <c r="C913" s="4"/>
      <c r="D913" s="5"/>
      <c r="E913" s="12"/>
      <c r="F913" s="12"/>
    </row>
    <row r="914" spans="1:6" s="64" customFormat="1" x14ac:dyDescent="0.2">
      <c r="A914" s="6"/>
      <c r="B914" s="53"/>
      <c r="C914" s="4"/>
      <c r="D914" s="5"/>
      <c r="E914" s="12"/>
      <c r="F914" s="12"/>
    </row>
    <row r="915" spans="1:6" s="64" customFormat="1" x14ac:dyDescent="0.2">
      <c r="A915" s="6"/>
      <c r="B915" s="53"/>
      <c r="C915" s="4"/>
      <c r="D915" s="5"/>
      <c r="E915" s="12"/>
      <c r="F915" s="12"/>
    </row>
    <row r="916" spans="1:6" s="64" customFormat="1" x14ac:dyDescent="0.2">
      <c r="A916" s="6"/>
      <c r="B916" s="53"/>
      <c r="C916" s="4"/>
      <c r="D916" s="5"/>
      <c r="E916" s="12"/>
      <c r="F916" s="12"/>
    </row>
    <row r="917" spans="1:6" s="64" customFormat="1" x14ac:dyDescent="0.2">
      <c r="A917" s="6"/>
      <c r="B917" s="53"/>
      <c r="C917" s="4"/>
      <c r="D917" s="5"/>
      <c r="E917" s="12"/>
      <c r="F917" s="12"/>
    </row>
    <row r="918" spans="1:6" s="64" customFormat="1" x14ac:dyDescent="0.2">
      <c r="A918" s="6"/>
      <c r="B918" s="53"/>
      <c r="C918" s="4"/>
      <c r="D918" s="5"/>
      <c r="E918" s="12"/>
      <c r="F918" s="12"/>
    </row>
    <row r="919" spans="1:6" s="64" customFormat="1" x14ac:dyDescent="0.2">
      <c r="A919" s="6"/>
      <c r="B919" s="53"/>
      <c r="C919" s="4"/>
      <c r="D919" s="5"/>
      <c r="E919" s="12"/>
      <c r="F919" s="12"/>
    </row>
    <row r="920" spans="1:6" s="64" customFormat="1" x14ac:dyDescent="0.2">
      <c r="A920" s="6"/>
      <c r="B920" s="53"/>
      <c r="C920" s="4"/>
      <c r="D920" s="5"/>
      <c r="E920" s="12"/>
      <c r="F920" s="12"/>
    </row>
    <row r="921" spans="1:6" s="64" customFormat="1" x14ac:dyDescent="0.2">
      <c r="A921" s="6"/>
      <c r="B921" s="53"/>
      <c r="C921" s="4"/>
      <c r="D921" s="5"/>
      <c r="E921" s="12"/>
      <c r="F921" s="12"/>
    </row>
    <row r="922" spans="1:6" s="64" customFormat="1" x14ac:dyDescent="0.2">
      <c r="A922" s="6"/>
      <c r="B922" s="53"/>
      <c r="C922" s="4"/>
      <c r="D922" s="5"/>
      <c r="E922" s="12"/>
      <c r="F922" s="12"/>
    </row>
    <row r="923" spans="1:6" s="64" customFormat="1" x14ac:dyDescent="0.2">
      <c r="A923" s="6"/>
      <c r="B923" s="53"/>
      <c r="C923" s="4"/>
      <c r="D923" s="5"/>
      <c r="E923" s="12"/>
      <c r="F923" s="12"/>
    </row>
    <row r="924" spans="1:6" s="64" customFormat="1" x14ac:dyDescent="0.2">
      <c r="A924" s="6"/>
      <c r="B924" s="53"/>
      <c r="C924" s="4"/>
      <c r="D924" s="5"/>
      <c r="E924" s="12"/>
      <c r="F924" s="12"/>
    </row>
    <row r="925" spans="1:6" s="64" customFormat="1" x14ac:dyDescent="0.2">
      <c r="A925" s="6"/>
      <c r="B925" s="53"/>
      <c r="C925" s="4"/>
      <c r="D925" s="5"/>
      <c r="E925" s="12"/>
      <c r="F925" s="12"/>
    </row>
    <row r="926" spans="1:6" s="64" customFormat="1" x14ac:dyDescent="0.2">
      <c r="A926" s="6"/>
      <c r="B926" s="53"/>
      <c r="C926" s="4"/>
      <c r="D926" s="5"/>
      <c r="E926" s="12"/>
      <c r="F926" s="12"/>
    </row>
    <row r="927" spans="1:6" s="64" customFormat="1" x14ac:dyDescent="0.2">
      <c r="A927" s="6"/>
      <c r="B927" s="53"/>
      <c r="C927" s="4"/>
      <c r="D927" s="5"/>
      <c r="E927" s="12"/>
      <c r="F927" s="12"/>
    </row>
    <row r="928" spans="1:6" s="64" customFormat="1" x14ac:dyDescent="0.2">
      <c r="A928" s="6"/>
      <c r="B928" s="53"/>
      <c r="C928" s="4"/>
      <c r="D928" s="5"/>
      <c r="E928" s="12"/>
      <c r="F928" s="12"/>
    </row>
    <row r="929" spans="1:6" s="64" customFormat="1" x14ac:dyDescent="0.2">
      <c r="A929" s="6"/>
      <c r="B929" s="53"/>
      <c r="C929" s="4"/>
      <c r="D929" s="5"/>
      <c r="E929" s="12"/>
      <c r="F929" s="12"/>
    </row>
    <row r="930" spans="1:6" s="64" customFormat="1" x14ac:dyDescent="0.2">
      <c r="A930" s="6"/>
      <c r="B930" s="53"/>
      <c r="C930" s="4"/>
      <c r="D930" s="5"/>
      <c r="E930" s="12"/>
      <c r="F930" s="12"/>
    </row>
    <row r="931" spans="1:6" s="64" customFormat="1" x14ac:dyDescent="0.2">
      <c r="A931" s="6"/>
      <c r="B931" s="53"/>
      <c r="C931" s="4"/>
      <c r="D931" s="5"/>
      <c r="E931" s="12"/>
      <c r="F931" s="12"/>
    </row>
    <row r="932" spans="1:6" s="64" customFormat="1" x14ac:dyDescent="0.2">
      <c r="A932" s="6"/>
      <c r="B932" s="53"/>
      <c r="C932" s="4"/>
      <c r="D932" s="5"/>
      <c r="E932" s="12"/>
      <c r="F932" s="12"/>
    </row>
    <row r="933" spans="1:6" s="64" customFormat="1" x14ac:dyDescent="0.2">
      <c r="A933" s="6"/>
      <c r="B933" s="53"/>
      <c r="C933" s="4"/>
      <c r="D933" s="5"/>
      <c r="E933" s="12"/>
      <c r="F933" s="12"/>
    </row>
    <row r="934" spans="1:6" s="64" customFormat="1" x14ac:dyDescent="0.2">
      <c r="A934" s="6"/>
      <c r="B934" s="53"/>
      <c r="C934" s="4"/>
      <c r="D934" s="5"/>
      <c r="E934" s="12"/>
      <c r="F934" s="12"/>
    </row>
    <row r="935" spans="1:6" s="64" customFormat="1" x14ac:dyDescent="0.2">
      <c r="A935" s="6"/>
      <c r="B935" s="53"/>
      <c r="C935" s="4"/>
      <c r="D935" s="5"/>
      <c r="E935" s="12"/>
      <c r="F935" s="12"/>
    </row>
    <row r="936" spans="1:6" s="64" customFormat="1" x14ac:dyDescent="0.2">
      <c r="A936" s="6"/>
      <c r="B936" s="53"/>
      <c r="C936" s="4"/>
      <c r="D936" s="5"/>
      <c r="E936" s="12"/>
      <c r="F936" s="12"/>
    </row>
    <row r="937" spans="1:6" s="64" customFormat="1" x14ac:dyDescent="0.2">
      <c r="A937" s="6"/>
      <c r="B937" s="53"/>
      <c r="C937" s="4"/>
      <c r="D937" s="5"/>
      <c r="E937" s="12"/>
      <c r="F937" s="12"/>
    </row>
    <row r="938" spans="1:6" s="64" customFormat="1" x14ac:dyDescent="0.2">
      <c r="A938" s="6"/>
      <c r="B938" s="53"/>
      <c r="C938" s="4"/>
      <c r="D938" s="5"/>
      <c r="E938" s="12"/>
      <c r="F938" s="12"/>
    </row>
    <row r="939" spans="1:6" s="64" customFormat="1" x14ac:dyDescent="0.2">
      <c r="A939" s="6"/>
      <c r="B939" s="53"/>
      <c r="C939" s="4"/>
      <c r="D939" s="5"/>
      <c r="E939" s="12"/>
      <c r="F939" s="12"/>
    </row>
    <row r="940" spans="1:6" s="64" customFormat="1" x14ac:dyDescent="0.2">
      <c r="A940" s="6"/>
      <c r="B940" s="53"/>
      <c r="C940" s="4"/>
      <c r="D940" s="5"/>
      <c r="E940" s="12"/>
      <c r="F940" s="12"/>
    </row>
    <row r="941" spans="1:6" s="64" customFormat="1" x14ac:dyDescent="0.2">
      <c r="A941" s="6"/>
      <c r="B941" s="53"/>
      <c r="C941" s="4"/>
      <c r="D941" s="5"/>
      <c r="E941" s="12"/>
      <c r="F941" s="12"/>
    </row>
    <row r="942" spans="1:6" s="64" customFormat="1" x14ac:dyDescent="0.2">
      <c r="A942" s="6"/>
      <c r="B942" s="53"/>
      <c r="C942" s="4"/>
      <c r="D942" s="5"/>
      <c r="E942" s="12"/>
      <c r="F942" s="12"/>
    </row>
    <row r="943" spans="1:6" s="64" customFormat="1" x14ac:dyDescent="0.2">
      <c r="A943" s="6"/>
      <c r="B943" s="53"/>
      <c r="C943" s="4"/>
      <c r="D943" s="5"/>
      <c r="E943" s="12"/>
      <c r="F943" s="12"/>
    </row>
    <row r="944" spans="1:6" s="64" customFormat="1" x14ac:dyDescent="0.2">
      <c r="A944" s="6"/>
      <c r="B944" s="53"/>
      <c r="C944" s="4"/>
      <c r="D944" s="5"/>
      <c r="E944" s="12"/>
      <c r="F944" s="12"/>
    </row>
    <row r="945" spans="1:6" s="64" customFormat="1" x14ac:dyDescent="0.2">
      <c r="A945" s="6"/>
      <c r="B945" s="53"/>
      <c r="C945" s="4"/>
      <c r="D945" s="5"/>
      <c r="E945" s="12"/>
      <c r="F945" s="12"/>
    </row>
    <row r="946" spans="1:6" s="64" customFormat="1" x14ac:dyDescent="0.2">
      <c r="A946" s="6"/>
      <c r="B946" s="53"/>
      <c r="C946" s="4"/>
      <c r="D946" s="5"/>
      <c r="E946" s="12"/>
      <c r="F946" s="12"/>
    </row>
    <row r="947" spans="1:6" s="64" customFormat="1" x14ac:dyDescent="0.2">
      <c r="A947" s="6"/>
      <c r="B947" s="53"/>
      <c r="C947" s="4"/>
      <c r="D947" s="5"/>
      <c r="E947" s="12"/>
      <c r="F947" s="12"/>
    </row>
    <row r="948" spans="1:6" s="64" customFormat="1" x14ac:dyDescent="0.2">
      <c r="A948" s="6"/>
      <c r="B948" s="53"/>
      <c r="C948" s="4"/>
      <c r="D948" s="5"/>
      <c r="E948" s="12"/>
      <c r="F948" s="12"/>
    </row>
    <row r="949" spans="1:6" s="64" customFormat="1" x14ac:dyDescent="0.2">
      <c r="A949" s="6"/>
      <c r="B949" s="53"/>
      <c r="C949" s="4"/>
      <c r="D949" s="5"/>
      <c r="E949" s="12"/>
      <c r="F949" s="12"/>
    </row>
    <row r="950" spans="1:6" s="64" customFormat="1" x14ac:dyDescent="0.2">
      <c r="A950" s="6"/>
      <c r="B950" s="53"/>
      <c r="C950" s="4"/>
      <c r="D950" s="5"/>
      <c r="E950" s="12"/>
      <c r="F950" s="12"/>
    </row>
    <row r="951" spans="1:6" s="64" customFormat="1" x14ac:dyDescent="0.2">
      <c r="A951" s="6"/>
      <c r="B951" s="53"/>
      <c r="C951" s="4"/>
      <c r="D951" s="5"/>
      <c r="E951" s="12"/>
      <c r="F951" s="12"/>
    </row>
    <row r="952" spans="1:6" s="64" customFormat="1" x14ac:dyDescent="0.2">
      <c r="A952" s="6"/>
      <c r="B952" s="53"/>
      <c r="C952" s="4"/>
      <c r="D952" s="5"/>
      <c r="E952" s="12"/>
      <c r="F952" s="12"/>
    </row>
    <row r="953" spans="1:6" s="64" customFormat="1" x14ac:dyDescent="0.2">
      <c r="A953" s="6"/>
      <c r="B953" s="53"/>
      <c r="C953" s="4"/>
      <c r="D953" s="5"/>
      <c r="E953" s="12"/>
      <c r="F953" s="12"/>
    </row>
    <row r="954" spans="1:6" s="64" customFormat="1" x14ac:dyDescent="0.2">
      <c r="A954" s="6"/>
      <c r="B954" s="53"/>
      <c r="C954" s="4"/>
      <c r="D954" s="5"/>
      <c r="E954" s="12"/>
      <c r="F954" s="12"/>
    </row>
    <row r="955" spans="1:6" s="64" customFormat="1" x14ac:dyDescent="0.2">
      <c r="A955" s="6"/>
      <c r="B955" s="53"/>
      <c r="C955" s="4"/>
      <c r="D955" s="5"/>
      <c r="E955" s="12"/>
      <c r="F955" s="12"/>
    </row>
    <row r="956" spans="1:6" s="64" customFormat="1" x14ac:dyDescent="0.2">
      <c r="A956" s="6"/>
      <c r="B956" s="53"/>
      <c r="C956" s="4"/>
      <c r="D956" s="5"/>
      <c r="E956" s="12"/>
      <c r="F956" s="12"/>
    </row>
    <row r="957" spans="1:6" s="64" customFormat="1" x14ac:dyDescent="0.2">
      <c r="A957" s="6"/>
      <c r="B957" s="53"/>
      <c r="C957" s="4"/>
      <c r="D957" s="5"/>
      <c r="E957" s="12"/>
      <c r="F957" s="12"/>
    </row>
    <row r="958" spans="1:6" s="64" customFormat="1" x14ac:dyDescent="0.2">
      <c r="A958" s="6"/>
      <c r="B958" s="53"/>
      <c r="C958" s="4"/>
      <c r="D958" s="5"/>
      <c r="E958" s="12"/>
      <c r="F958" s="12"/>
    </row>
    <row r="959" spans="1:6" s="64" customFormat="1" x14ac:dyDescent="0.2">
      <c r="A959" s="6"/>
      <c r="B959" s="53"/>
      <c r="C959" s="4"/>
      <c r="D959" s="5"/>
      <c r="E959" s="12"/>
      <c r="F959" s="12"/>
    </row>
    <row r="960" spans="1:6" s="64" customFormat="1" x14ac:dyDescent="0.2">
      <c r="A960" s="6"/>
      <c r="B960" s="53"/>
      <c r="C960" s="4"/>
      <c r="D960" s="5"/>
      <c r="E960" s="12"/>
      <c r="F960" s="12"/>
    </row>
    <row r="961" spans="1:6" s="64" customFormat="1" x14ac:dyDescent="0.2">
      <c r="A961" s="6"/>
      <c r="B961" s="53"/>
      <c r="C961" s="4"/>
      <c r="D961" s="5"/>
      <c r="E961" s="12"/>
      <c r="F961" s="12"/>
    </row>
    <row r="962" spans="1:6" s="64" customFormat="1" x14ac:dyDescent="0.2">
      <c r="A962" s="6"/>
      <c r="B962" s="53"/>
      <c r="C962" s="4"/>
      <c r="D962" s="5"/>
      <c r="E962" s="12"/>
      <c r="F962" s="12"/>
    </row>
    <row r="963" spans="1:6" s="64" customFormat="1" x14ac:dyDescent="0.2">
      <c r="A963" s="6"/>
      <c r="B963" s="53"/>
      <c r="C963" s="4"/>
      <c r="D963" s="5"/>
      <c r="E963" s="12"/>
      <c r="F963" s="12"/>
    </row>
    <row r="964" spans="1:6" s="64" customFormat="1" x14ac:dyDescent="0.2">
      <c r="A964" s="6"/>
      <c r="B964" s="53"/>
      <c r="C964" s="4"/>
      <c r="D964" s="5"/>
      <c r="E964" s="12"/>
      <c r="F964" s="12"/>
    </row>
    <row r="965" spans="1:6" s="64" customFormat="1" x14ac:dyDescent="0.2">
      <c r="A965" s="6"/>
      <c r="B965" s="53"/>
      <c r="C965" s="4"/>
      <c r="D965" s="5"/>
      <c r="E965" s="12"/>
      <c r="F965" s="12"/>
    </row>
    <row r="966" spans="1:6" s="64" customFormat="1" x14ac:dyDescent="0.2">
      <c r="A966" s="6"/>
      <c r="B966" s="53"/>
      <c r="C966" s="4"/>
      <c r="D966" s="5"/>
      <c r="E966" s="12"/>
      <c r="F966" s="12"/>
    </row>
    <row r="967" spans="1:6" s="64" customFormat="1" x14ac:dyDescent="0.2">
      <c r="A967" s="6"/>
      <c r="B967" s="53"/>
      <c r="C967" s="4"/>
      <c r="D967" s="5"/>
      <c r="E967" s="12"/>
      <c r="F967" s="12"/>
    </row>
    <row r="968" spans="1:6" s="64" customFormat="1" x14ac:dyDescent="0.2">
      <c r="A968" s="6"/>
      <c r="B968" s="53"/>
      <c r="C968" s="4"/>
      <c r="D968" s="5"/>
      <c r="E968" s="12"/>
      <c r="F968" s="12"/>
    </row>
    <row r="969" spans="1:6" s="64" customFormat="1" x14ac:dyDescent="0.2">
      <c r="A969" s="6"/>
      <c r="B969" s="53"/>
      <c r="C969" s="4"/>
      <c r="D969" s="5"/>
      <c r="E969" s="12"/>
      <c r="F969" s="12"/>
    </row>
    <row r="970" spans="1:6" s="64" customFormat="1" x14ac:dyDescent="0.2">
      <c r="A970" s="6"/>
      <c r="B970" s="53"/>
      <c r="C970" s="4"/>
      <c r="D970" s="5"/>
      <c r="E970" s="12"/>
      <c r="F970" s="12"/>
    </row>
    <row r="971" spans="1:6" s="64" customFormat="1" x14ac:dyDescent="0.2">
      <c r="A971" s="6"/>
      <c r="B971" s="53"/>
      <c r="C971" s="4"/>
      <c r="D971" s="5"/>
      <c r="E971" s="12"/>
      <c r="F971" s="12"/>
    </row>
    <row r="972" spans="1:6" s="64" customFormat="1" x14ac:dyDescent="0.2">
      <c r="A972" s="6"/>
      <c r="B972" s="53"/>
      <c r="C972" s="4"/>
      <c r="D972" s="5"/>
      <c r="E972" s="12"/>
      <c r="F972" s="12"/>
    </row>
    <row r="973" spans="1:6" s="64" customFormat="1" x14ac:dyDescent="0.2">
      <c r="A973" s="6"/>
      <c r="B973" s="53"/>
      <c r="C973" s="4"/>
      <c r="D973" s="5"/>
      <c r="E973" s="12"/>
      <c r="F973" s="12"/>
    </row>
    <row r="974" spans="1:6" s="64" customFormat="1" x14ac:dyDescent="0.2">
      <c r="A974" s="6"/>
      <c r="B974" s="53"/>
      <c r="C974" s="4"/>
      <c r="D974" s="5"/>
      <c r="E974" s="12"/>
      <c r="F974" s="12"/>
    </row>
    <row r="975" spans="1:6" s="64" customFormat="1" x14ac:dyDescent="0.2">
      <c r="A975" s="6"/>
      <c r="B975" s="53"/>
      <c r="C975" s="4"/>
      <c r="D975" s="5"/>
      <c r="E975" s="12"/>
      <c r="F975" s="12"/>
    </row>
    <row r="976" spans="1:6" s="64" customFormat="1" x14ac:dyDescent="0.2">
      <c r="A976" s="6"/>
      <c r="B976" s="53"/>
      <c r="C976" s="4"/>
      <c r="D976" s="5"/>
      <c r="E976" s="12"/>
      <c r="F976" s="12"/>
    </row>
    <row r="977" spans="1:6" s="64" customFormat="1" x14ac:dyDescent="0.2">
      <c r="A977" s="6"/>
      <c r="B977" s="53"/>
      <c r="C977" s="4"/>
      <c r="D977" s="5"/>
      <c r="E977" s="12"/>
      <c r="F977" s="12"/>
    </row>
    <row r="978" spans="1:6" s="64" customFormat="1" x14ac:dyDescent="0.2">
      <c r="A978" s="6"/>
      <c r="B978" s="53"/>
      <c r="C978" s="4"/>
      <c r="D978" s="5"/>
      <c r="E978" s="12"/>
      <c r="F978" s="12"/>
    </row>
    <row r="979" spans="1:6" s="64" customFormat="1" x14ac:dyDescent="0.2">
      <c r="A979" s="6"/>
      <c r="B979" s="53"/>
      <c r="C979" s="4"/>
      <c r="D979" s="5"/>
      <c r="E979" s="12"/>
      <c r="F979" s="12"/>
    </row>
    <row r="980" spans="1:6" s="64" customFormat="1" x14ac:dyDescent="0.2">
      <c r="A980" s="6"/>
      <c r="B980" s="53"/>
      <c r="C980" s="4"/>
      <c r="D980" s="5"/>
      <c r="E980" s="12"/>
      <c r="F980" s="12"/>
    </row>
    <row r="981" spans="1:6" s="64" customFormat="1" x14ac:dyDescent="0.2">
      <c r="A981" s="6"/>
      <c r="B981" s="53"/>
      <c r="C981" s="4"/>
      <c r="D981" s="5"/>
      <c r="E981" s="12"/>
      <c r="F981" s="12"/>
    </row>
    <row r="982" spans="1:6" s="64" customFormat="1" x14ac:dyDescent="0.2">
      <c r="A982" s="6"/>
      <c r="B982" s="53"/>
      <c r="C982" s="4"/>
      <c r="D982" s="5"/>
      <c r="E982" s="12"/>
      <c r="F982" s="12"/>
    </row>
    <row r="983" spans="1:6" s="64" customFormat="1" x14ac:dyDescent="0.2">
      <c r="A983" s="6"/>
      <c r="B983" s="53"/>
      <c r="C983" s="4"/>
      <c r="D983" s="5"/>
      <c r="E983" s="12"/>
      <c r="F983" s="12"/>
    </row>
    <row r="984" spans="1:6" s="64" customFormat="1" x14ac:dyDescent="0.2">
      <c r="A984" s="6"/>
      <c r="B984" s="53"/>
      <c r="C984" s="4"/>
      <c r="D984" s="5"/>
      <c r="E984" s="12"/>
      <c r="F984" s="12"/>
    </row>
    <row r="985" spans="1:6" s="64" customFormat="1" x14ac:dyDescent="0.2">
      <c r="A985" s="6"/>
      <c r="B985" s="53"/>
      <c r="C985" s="4"/>
      <c r="D985" s="5"/>
      <c r="E985" s="12"/>
      <c r="F985" s="12"/>
    </row>
    <row r="986" spans="1:6" s="64" customFormat="1" x14ac:dyDescent="0.2">
      <c r="A986" s="6"/>
      <c r="B986" s="53"/>
      <c r="C986" s="4"/>
      <c r="D986" s="5"/>
      <c r="E986" s="12"/>
      <c r="F986" s="12"/>
    </row>
    <row r="987" spans="1:6" s="64" customFormat="1" x14ac:dyDescent="0.2">
      <c r="A987" s="6"/>
      <c r="B987" s="53"/>
      <c r="C987" s="4"/>
      <c r="D987" s="5"/>
      <c r="E987" s="12"/>
      <c r="F987" s="12"/>
    </row>
    <row r="988" spans="1:6" s="64" customFormat="1" x14ac:dyDescent="0.2">
      <c r="A988" s="6"/>
      <c r="B988" s="53"/>
      <c r="C988" s="4"/>
      <c r="D988" s="5"/>
      <c r="E988" s="12"/>
      <c r="F988" s="12"/>
    </row>
    <row r="989" spans="1:6" s="64" customFormat="1" x14ac:dyDescent="0.2">
      <c r="A989" s="6"/>
      <c r="B989" s="53"/>
      <c r="C989" s="4"/>
      <c r="D989" s="5"/>
      <c r="E989" s="12"/>
      <c r="F989" s="12"/>
    </row>
    <row r="990" spans="1:6" s="64" customFormat="1" x14ac:dyDescent="0.2">
      <c r="A990" s="6"/>
      <c r="B990" s="53"/>
      <c r="C990" s="4"/>
      <c r="D990" s="5"/>
      <c r="E990" s="12"/>
      <c r="F990" s="12"/>
    </row>
    <row r="991" spans="1:6" s="64" customFormat="1" x14ac:dyDescent="0.2">
      <c r="A991" s="6"/>
      <c r="B991" s="53"/>
      <c r="C991" s="4"/>
      <c r="D991" s="5"/>
      <c r="E991" s="12"/>
      <c r="F991" s="12"/>
    </row>
    <row r="992" spans="1:6" s="64" customFormat="1" x14ac:dyDescent="0.2">
      <c r="A992" s="6"/>
      <c r="B992" s="53"/>
      <c r="C992" s="4"/>
      <c r="D992" s="5"/>
      <c r="E992" s="12"/>
      <c r="F992" s="12"/>
    </row>
    <row r="993" spans="1:6" s="64" customFormat="1" x14ac:dyDescent="0.2">
      <c r="A993" s="6"/>
      <c r="B993" s="53"/>
      <c r="C993" s="4"/>
      <c r="D993" s="5"/>
      <c r="E993" s="12"/>
      <c r="F993" s="12"/>
    </row>
    <row r="994" spans="1:6" s="64" customFormat="1" x14ac:dyDescent="0.2">
      <c r="A994" s="6"/>
      <c r="B994" s="53"/>
      <c r="C994" s="4"/>
      <c r="D994" s="5"/>
      <c r="E994" s="12"/>
      <c r="F994" s="12"/>
    </row>
    <row r="995" spans="1:6" s="64" customFormat="1" x14ac:dyDescent="0.2">
      <c r="A995" s="6"/>
      <c r="B995" s="53"/>
      <c r="C995" s="4"/>
      <c r="D995" s="5"/>
      <c r="E995" s="12"/>
      <c r="F995" s="12"/>
    </row>
    <row r="996" spans="1:6" s="64" customFormat="1" x14ac:dyDescent="0.2">
      <c r="A996" s="6"/>
      <c r="B996" s="53"/>
      <c r="C996" s="4"/>
      <c r="D996" s="5"/>
      <c r="E996" s="12"/>
      <c r="F996" s="12"/>
    </row>
    <row r="997" spans="1:6" s="64" customFormat="1" x14ac:dyDescent="0.2">
      <c r="A997" s="6"/>
      <c r="B997" s="53"/>
      <c r="C997" s="4"/>
      <c r="D997" s="5"/>
      <c r="E997" s="12"/>
      <c r="F997" s="12"/>
    </row>
    <row r="998" spans="1:6" s="64" customFormat="1" x14ac:dyDescent="0.2">
      <c r="A998" s="6"/>
      <c r="B998" s="53"/>
      <c r="C998" s="4"/>
      <c r="D998" s="5"/>
      <c r="E998" s="12"/>
      <c r="F998" s="12"/>
    </row>
    <row r="999" spans="1:6" s="64" customFormat="1" x14ac:dyDescent="0.2">
      <c r="A999" s="6"/>
      <c r="B999" s="53"/>
      <c r="C999" s="4"/>
      <c r="D999" s="5"/>
      <c r="E999" s="12"/>
      <c r="F999" s="12"/>
    </row>
    <row r="1000" spans="1:6" s="64" customFormat="1" x14ac:dyDescent="0.2">
      <c r="A1000" s="6"/>
      <c r="B1000" s="53"/>
      <c r="C1000" s="4"/>
      <c r="D1000" s="5"/>
      <c r="E1000" s="12"/>
      <c r="F1000" s="12"/>
    </row>
    <row r="1001" spans="1:6" s="64" customFormat="1" x14ac:dyDescent="0.2">
      <c r="A1001" s="6"/>
      <c r="B1001" s="53"/>
      <c r="C1001" s="4"/>
      <c r="D1001" s="5"/>
      <c r="E1001" s="12"/>
      <c r="F1001" s="12"/>
    </row>
    <row r="1002" spans="1:6" s="64" customFormat="1" x14ac:dyDescent="0.2">
      <c r="A1002" s="6"/>
      <c r="B1002" s="53"/>
      <c r="C1002" s="4"/>
      <c r="D1002" s="5"/>
      <c r="E1002" s="12"/>
      <c r="F1002" s="12"/>
    </row>
    <row r="1003" spans="1:6" s="64" customFormat="1" x14ac:dyDescent="0.2">
      <c r="A1003" s="6"/>
      <c r="B1003" s="53"/>
      <c r="C1003" s="4"/>
      <c r="D1003" s="5"/>
      <c r="E1003" s="12"/>
      <c r="F1003" s="12"/>
    </row>
    <row r="1004" spans="1:6" s="64" customFormat="1" x14ac:dyDescent="0.2">
      <c r="A1004" s="6"/>
      <c r="B1004" s="53"/>
      <c r="C1004" s="4"/>
      <c r="D1004" s="5"/>
      <c r="E1004" s="12"/>
      <c r="F1004" s="12"/>
    </row>
    <row r="1005" spans="1:6" s="64" customFormat="1" x14ac:dyDescent="0.2">
      <c r="A1005" s="6"/>
      <c r="B1005" s="53"/>
      <c r="C1005" s="4"/>
      <c r="D1005" s="5"/>
      <c r="E1005" s="12"/>
      <c r="F1005" s="12"/>
    </row>
    <row r="1006" spans="1:6" s="64" customFormat="1" x14ac:dyDescent="0.2">
      <c r="A1006" s="6"/>
      <c r="B1006" s="53"/>
      <c r="C1006" s="4"/>
      <c r="D1006" s="5"/>
      <c r="E1006" s="12"/>
      <c r="F1006" s="12"/>
    </row>
    <row r="1007" spans="1:6" s="64" customFormat="1" x14ac:dyDescent="0.2">
      <c r="A1007" s="6"/>
      <c r="B1007" s="53"/>
      <c r="C1007" s="4"/>
      <c r="D1007" s="5"/>
      <c r="E1007" s="12"/>
      <c r="F1007" s="12"/>
    </row>
    <row r="1008" spans="1:6" s="64" customFormat="1" x14ac:dyDescent="0.2">
      <c r="A1008" s="6"/>
      <c r="B1008" s="53"/>
      <c r="C1008" s="4"/>
      <c r="D1008" s="5"/>
      <c r="E1008" s="12"/>
      <c r="F1008" s="12"/>
    </row>
    <row r="1009" spans="1:6" s="64" customFormat="1" x14ac:dyDescent="0.2">
      <c r="A1009" s="6"/>
      <c r="B1009" s="53"/>
      <c r="C1009" s="4"/>
      <c r="D1009" s="5"/>
      <c r="E1009" s="12"/>
      <c r="F1009" s="12"/>
    </row>
    <row r="1010" spans="1:6" s="64" customFormat="1" x14ac:dyDescent="0.2">
      <c r="A1010" s="6"/>
      <c r="B1010" s="53"/>
      <c r="C1010" s="4"/>
      <c r="D1010" s="5"/>
      <c r="E1010" s="12"/>
      <c r="F1010" s="12"/>
    </row>
    <row r="1011" spans="1:6" s="64" customFormat="1" x14ac:dyDescent="0.2">
      <c r="A1011" s="6"/>
      <c r="B1011" s="53"/>
      <c r="C1011" s="4"/>
      <c r="D1011" s="5"/>
      <c r="E1011" s="12"/>
      <c r="F1011" s="12"/>
    </row>
    <row r="1012" spans="1:6" s="64" customFormat="1" x14ac:dyDescent="0.2">
      <c r="A1012" s="6"/>
      <c r="B1012" s="53"/>
      <c r="C1012" s="4"/>
      <c r="D1012" s="5"/>
      <c r="E1012" s="12"/>
      <c r="F1012" s="12"/>
    </row>
    <row r="1013" spans="1:6" s="64" customFormat="1" x14ac:dyDescent="0.2">
      <c r="A1013" s="6"/>
      <c r="B1013" s="53"/>
      <c r="C1013" s="4"/>
      <c r="D1013" s="5"/>
      <c r="E1013" s="12"/>
      <c r="F1013" s="12"/>
    </row>
    <row r="1014" spans="1:6" s="64" customFormat="1" x14ac:dyDescent="0.2">
      <c r="A1014" s="6"/>
      <c r="B1014" s="53"/>
      <c r="C1014" s="4"/>
      <c r="D1014" s="5"/>
      <c r="E1014" s="12"/>
      <c r="F1014" s="12"/>
    </row>
    <row r="1015" spans="1:6" s="64" customFormat="1" x14ac:dyDescent="0.2">
      <c r="A1015" s="6"/>
      <c r="B1015" s="53"/>
      <c r="C1015" s="4"/>
      <c r="D1015" s="5"/>
      <c r="E1015" s="12"/>
      <c r="F1015" s="12"/>
    </row>
    <row r="1016" spans="1:6" s="64" customFormat="1" x14ac:dyDescent="0.2">
      <c r="A1016" s="6"/>
      <c r="B1016" s="53"/>
      <c r="C1016" s="4"/>
      <c r="D1016" s="5"/>
      <c r="E1016" s="12"/>
      <c r="F1016" s="12"/>
    </row>
    <row r="1017" spans="1:6" s="64" customFormat="1" x14ac:dyDescent="0.2">
      <c r="A1017" s="6"/>
      <c r="B1017" s="53"/>
      <c r="C1017" s="4"/>
      <c r="D1017" s="5"/>
      <c r="E1017" s="12"/>
      <c r="F1017" s="12"/>
    </row>
    <row r="1018" spans="1:6" s="64" customFormat="1" x14ac:dyDescent="0.2">
      <c r="A1018" s="6"/>
      <c r="B1018" s="53"/>
      <c r="C1018" s="4"/>
      <c r="D1018" s="5"/>
      <c r="E1018" s="12"/>
      <c r="F1018" s="12"/>
    </row>
    <row r="1019" spans="1:6" s="64" customFormat="1" x14ac:dyDescent="0.2">
      <c r="A1019" s="6"/>
      <c r="B1019" s="53"/>
      <c r="C1019" s="4"/>
      <c r="D1019" s="5"/>
      <c r="E1019" s="12"/>
      <c r="F1019" s="12"/>
    </row>
    <row r="1020" spans="1:6" s="64" customFormat="1" x14ac:dyDescent="0.2">
      <c r="A1020" s="6"/>
      <c r="B1020" s="53"/>
      <c r="C1020" s="4"/>
      <c r="D1020" s="5"/>
      <c r="E1020" s="12"/>
      <c r="F1020" s="12"/>
    </row>
    <row r="1021" spans="1:6" s="64" customFormat="1" x14ac:dyDescent="0.2">
      <c r="A1021" s="6"/>
      <c r="B1021" s="53"/>
      <c r="C1021" s="4"/>
      <c r="D1021" s="5"/>
      <c r="E1021" s="12"/>
      <c r="F1021" s="12"/>
    </row>
    <row r="1022" spans="1:6" s="64" customFormat="1" x14ac:dyDescent="0.2">
      <c r="A1022" s="6"/>
      <c r="B1022" s="53"/>
      <c r="C1022" s="4"/>
      <c r="D1022" s="5"/>
      <c r="E1022" s="12"/>
      <c r="F1022" s="12"/>
    </row>
    <row r="1023" spans="1:6" s="64" customFormat="1" x14ac:dyDescent="0.2">
      <c r="A1023" s="6"/>
      <c r="B1023" s="53"/>
      <c r="C1023" s="4"/>
      <c r="D1023" s="5"/>
      <c r="E1023" s="12"/>
      <c r="F1023" s="12"/>
    </row>
    <row r="1024" spans="1:6" s="64" customFormat="1" x14ac:dyDescent="0.2">
      <c r="A1024" s="6"/>
      <c r="B1024" s="53"/>
      <c r="C1024" s="4"/>
      <c r="D1024" s="5"/>
      <c r="E1024" s="12"/>
      <c r="F1024" s="12"/>
    </row>
    <row r="1025" spans="1:6" s="64" customFormat="1" x14ac:dyDescent="0.2">
      <c r="A1025" s="6"/>
      <c r="B1025" s="53"/>
      <c r="C1025" s="4"/>
      <c r="D1025" s="5"/>
      <c r="E1025" s="12"/>
      <c r="F1025" s="12"/>
    </row>
    <row r="1026" spans="1:6" s="64" customFormat="1" x14ac:dyDescent="0.2">
      <c r="A1026" s="6"/>
      <c r="B1026" s="53"/>
      <c r="C1026" s="4"/>
      <c r="D1026" s="5"/>
      <c r="E1026" s="12"/>
      <c r="F1026" s="12"/>
    </row>
    <row r="1027" spans="1:6" s="64" customFormat="1" x14ac:dyDescent="0.2">
      <c r="A1027" s="6"/>
      <c r="B1027" s="53"/>
      <c r="C1027" s="4"/>
      <c r="D1027" s="5"/>
      <c r="E1027" s="12"/>
      <c r="F1027" s="12"/>
    </row>
    <row r="1028" spans="1:6" s="64" customFormat="1" x14ac:dyDescent="0.2">
      <c r="A1028" s="6"/>
      <c r="B1028" s="53"/>
      <c r="C1028" s="4"/>
      <c r="D1028" s="5"/>
      <c r="E1028" s="12"/>
      <c r="F1028" s="12"/>
    </row>
    <row r="1029" spans="1:6" s="64" customFormat="1" x14ac:dyDescent="0.2">
      <c r="A1029" s="6"/>
      <c r="B1029" s="53"/>
      <c r="C1029" s="4"/>
      <c r="D1029" s="5"/>
      <c r="E1029" s="12"/>
      <c r="F1029" s="12"/>
    </row>
    <row r="1030" spans="1:6" s="64" customFormat="1" x14ac:dyDescent="0.2">
      <c r="A1030" s="6"/>
      <c r="B1030" s="53"/>
      <c r="C1030" s="4"/>
      <c r="D1030" s="5"/>
      <c r="E1030" s="12"/>
      <c r="F1030" s="12"/>
    </row>
    <row r="1031" spans="1:6" s="64" customFormat="1" x14ac:dyDescent="0.2">
      <c r="A1031" s="6"/>
      <c r="B1031" s="53"/>
      <c r="C1031" s="4"/>
      <c r="D1031" s="5"/>
      <c r="E1031" s="12"/>
      <c r="F1031" s="12"/>
    </row>
    <row r="1032" spans="1:6" s="64" customFormat="1" x14ac:dyDescent="0.2">
      <c r="A1032" s="6"/>
      <c r="B1032" s="53"/>
      <c r="C1032" s="4"/>
      <c r="D1032" s="5"/>
      <c r="E1032" s="12"/>
      <c r="F1032" s="12"/>
    </row>
    <row r="1033" spans="1:6" s="64" customFormat="1" x14ac:dyDescent="0.2">
      <c r="A1033" s="6"/>
      <c r="B1033" s="53"/>
      <c r="C1033" s="4"/>
      <c r="D1033" s="5"/>
      <c r="E1033" s="12"/>
      <c r="F1033" s="12"/>
    </row>
    <row r="1034" spans="1:6" s="64" customFormat="1" x14ac:dyDescent="0.2">
      <c r="A1034" s="6"/>
      <c r="B1034" s="53"/>
      <c r="C1034" s="4"/>
      <c r="D1034" s="5"/>
      <c r="E1034" s="12"/>
      <c r="F1034" s="12"/>
    </row>
    <row r="1035" spans="1:6" s="64" customFormat="1" x14ac:dyDescent="0.2">
      <c r="A1035" s="6"/>
      <c r="B1035" s="53"/>
      <c r="C1035" s="4"/>
      <c r="D1035" s="5"/>
      <c r="E1035" s="12"/>
      <c r="F1035" s="12"/>
    </row>
    <row r="1036" spans="1:6" s="64" customFormat="1" x14ac:dyDescent="0.2">
      <c r="A1036" s="6"/>
      <c r="B1036" s="53"/>
      <c r="C1036" s="4"/>
      <c r="D1036" s="5"/>
      <c r="E1036" s="12"/>
      <c r="F1036" s="12"/>
    </row>
    <row r="1037" spans="1:6" s="64" customFormat="1" x14ac:dyDescent="0.2">
      <c r="A1037" s="6"/>
      <c r="B1037" s="53"/>
      <c r="C1037" s="4"/>
      <c r="D1037" s="5"/>
      <c r="E1037" s="12"/>
      <c r="F1037" s="12"/>
    </row>
    <row r="1038" spans="1:6" s="64" customFormat="1" x14ac:dyDescent="0.2">
      <c r="A1038" s="6"/>
      <c r="B1038" s="53"/>
      <c r="C1038" s="4"/>
      <c r="D1038" s="5"/>
      <c r="E1038" s="12"/>
      <c r="F1038" s="12"/>
    </row>
    <row r="1039" spans="1:6" s="64" customFormat="1" x14ac:dyDescent="0.2">
      <c r="A1039" s="6"/>
      <c r="B1039" s="53"/>
      <c r="C1039" s="4"/>
      <c r="D1039" s="5"/>
      <c r="E1039" s="12"/>
      <c r="F1039" s="12"/>
    </row>
    <row r="1040" spans="1:6" s="64" customFormat="1" x14ac:dyDescent="0.2">
      <c r="A1040" s="6"/>
      <c r="B1040" s="53"/>
      <c r="C1040" s="4"/>
      <c r="D1040" s="5"/>
      <c r="E1040" s="12"/>
      <c r="F1040" s="12"/>
    </row>
    <row r="1041" spans="1:6" s="64" customFormat="1" x14ac:dyDescent="0.2">
      <c r="A1041" s="6"/>
      <c r="B1041" s="53"/>
      <c r="C1041" s="4"/>
      <c r="D1041" s="5"/>
      <c r="E1041" s="12"/>
      <c r="F1041" s="12"/>
    </row>
    <row r="1042" spans="1:6" s="64" customFormat="1" x14ac:dyDescent="0.2">
      <c r="A1042" s="6"/>
      <c r="B1042" s="53"/>
      <c r="C1042" s="4"/>
      <c r="D1042" s="5"/>
      <c r="E1042" s="12"/>
      <c r="F1042" s="12"/>
    </row>
    <row r="1043" spans="1:6" s="64" customFormat="1" x14ac:dyDescent="0.2">
      <c r="A1043" s="6"/>
      <c r="B1043" s="53"/>
      <c r="C1043" s="4"/>
      <c r="D1043" s="5"/>
      <c r="E1043" s="12"/>
      <c r="F1043" s="12"/>
    </row>
    <row r="1044" spans="1:6" s="64" customFormat="1" x14ac:dyDescent="0.2">
      <c r="A1044" s="6"/>
      <c r="B1044" s="53"/>
      <c r="C1044" s="4"/>
      <c r="D1044" s="5"/>
      <c r="E1044" s="12"/>
      <c r="F1044" s="12"/>
    </row>
    <row r="1045" spans="1:6" s="64" customFormat="1" x14ac:dyDescent="0.2">
      <c r="A1045" s="6"/>
      <c r="B1045" s="53"/>
      <c r="C1045" s="4"/>
      <c r="D1045" s="5"/>
      <c r="E1045" s="12"/>
      <c r="F1045" s="12"/>
    </row>
    <row r="1046" spans="1:6" s="64" customFormat="1" x14ac:dyDescent="0.2">
      <c r="A1046" s="6"/>
      <c r="B1046" s="53"/>
      <c r="C1046" s="4"/>
      <c r="D1046" s="5"/>
      <c r="E1046" s="12"/>
      <c r="F1046" s="12"/>
    </row>
    <row r="1047" spans="1:6" s="64" customFormat="1" x14ac:dyDescent="0.2">
      <c r="A1047" s="6"/>
      <c r="B1047" s="53"/>
      <c r="C1047" s="4"/>
      <c r="D1047" s="5"/>
      <c r="E1047" s="12"/>
      <c r="F1047" s="12"/>
    </row>
    <row r="1048" spans="1:6" s="64" customFormat="1" x14ac:dyDescent="0.2">
      <c r="A1048" s="6"/>
      <c r="B1048" s="53"/>
      <c r="C1048" s="4"/>
      <c r="D1048" s="5"/>
      <c r="E1048" s="12"/>
      <c r="F1048" s="12"/>
    </row>
    <row r="1049" spans="1:6" s="64" customFormat="1" x14ac:dyDescent="0.2">
      <c r="A1049" s="6"/>
      <c r="B1049" s="53"/>
      <c r="C1049" s="4"/>
      <c r="D1049" s="5"/>
      <c r="E1049" s="12"/>
      <c r="F1049" s="12"/>
    </row>
    <row r="1050" spans="1:6" s="64" customFormat="1" x14ac:dyDescent="0.2">
      <c r="A1050" s="6"/>
      <c r="B1050" s="53"/>
      <c r="C1050" s="4"/>
      <c r="D1050" s="5"/>
      <c r="E1050" s="12"/>
      <c r="F1050" s="12"/>
    </row>
    <row r="1051" spans="1:6" s="64" customFormat="1" x14ac:dyDescent="0.2">
      <c r="A1051" s="6"/>
      <c r="B1051" s="53"/>
      <c r="C1051" s="4"/>
      <c r="D1051" s="5"/>
      <c r="E1051" s="12"/>
      <c r="F1051" s="12"/>
    </row>
    <row r="1052" spans="1:6" s="64" customFormat="1" x14ac:dyDescent="0.2">
      <c r="A1052" s="6"/>
      <c r="B1052" s="53"/>
      <c r="C1052" s="4"/>
      <c r="D1052" s="5"/>
      <c r="E1052" s="12"/>
      <c r="F1052" s="12"/>
    </row>
    <row r="1053" spans="1:6" s="64" customFormat="1" x14ac:dyDescent="0.2">
      <c r="A1053" s="6"/>
      <c r="B1053" s="53"/>
      <c r="C1053" s="4"/>
      <c r="D1053" s="5"/>
      <c r="E1053" s="12"/>
      <c r="F1053" s="12"/>
    </row>
    <row r="1054" spans="1:6" s="64" customFormat="1" x14ac:dyDescent="0.2">
      <c r="A1054" s="6"/>
      <c r="B1054" s="53"/>
      <c r="C1054" s="4"/>
      <c r="D1054" s="5"/>
      <c r="E1054" s="12"/>
      <c r="F1054" s="12"/>
    </row>
    <row r="1055" spans="1:6" x14ac:dyDescent="0.2">
      <c r="A1055" s="6"/>
      <c r="B1055" s="53"/>
      <c r="C1055" s="4"/>
      <c r="D1055" s="5"/>
      <c r="E1055" s="12"/>
      <c r="F1055" s="12"/>
    </row>
    <row r="1056" spans="1:6" x14ac:dyDescent="0.2">
      <c r="A1056" s="6"/>
      <c r="B1056" s="53"/>
      <c r="C1056" s="4"/>
      <c r="D1056" s="5"/>
      <c r="E1056" s="12"/>
      <c r="F1056" s="12"/>
    </row>
    <row r="1057" spans="1:6" x14ac:dyDescent="0.2">
      <c r="A1057" s="6"/>
      <c r="B1057" s="53"/>
      <c r="C1057" s="4"/>
      <c r="D1057" s="5"/>
      <c r="E1057" s="12"/>
      <c r="F1057" s="12"/>
    </row>
    <row r="1058" spans="1:6" x14ac:dyDescent="0.2">
      <c r="A1058" s="6"/>
      <c r="B1058" s="53"/>
      <c r="C1058" s="4"/>
      <c r="D1058" s="5"/>
      <c r="E1058" s="12"/>
      <c r="F1058" s="12"/>
    </row>
    <row r="1059" spans="1:6" x14ac:dyDescent="0.2">
      <c r="A1059" s="6"/>
      <c r="B1059" s="53"/>
      <c r="C1059" s="4"/>
      <c r="D1059" s="5"/>
      <c r="E1059" s="12"/>
      <c r="F1059" s="12"/>
    </row>
    <row r="1060" spans="1:6" x14ac:dyDescent="0.2">
      <c r="A1060" s="6"/>
      <c r="B1060" s="53"/>
      <c r="C1060" s="4"/>
      <c r="D1060" s="5"/>
      <c r="E1060" s="12"/>
      <c r="F1060" s="12"/>
    </row>
    <row r="1061" spans="1:6" x14ac:dyDescent="0.2">
      <c r="A1061" s="6"/>
      <c r="B1061" s="53"/>
      <c r="C1061" s="4"/>
      <c r="D1061" s="5"/>
      <c r="E1061" s="12"/>
      <c r="F1061" s="12"/>
    </row>
    <row r="1062" spans="1:6" x14ac:dyDescent="0.2">
      <c r="A1062" s="6"/>
      <c r="B1062" s="53"/>
      <c r="C1062" s="4"/>
      <c r="D1062" s="5"/>
      <c r="E1062" s="12"/>
      <c r="F1062" s="12"/>
    </row>
    <row r="1063" spans="1:6" x14ac:dyDescent="0.2">
      <c r="A1063" s="6"/>
      <c r="B1063" s="53"/>
      <c r="C1063" s="4"/>
      <c r="D1063" s="5"/>
      <c r="E1063" s="12"/>
      <c r="F1063" s="12"/>
    </row>
    <row r="1064" spans="1:6" x14ac:dyDescent="0.2">
      <c r="A1064" s="6"/>
      <c r="B1064" s="53"/>
      <c r="C1064" s="4"/>
      <c r="D1064" s="5"/>
      <c r="E1064" s="12"/>
      <c r="F1064" s="12"/>
    </row>
    <row r="1065" spans="1:6" x14ac:dyDescent="0.2">
      <c r="A1065" s="6"/>
      <c r="B1065" s="53"/>
      <c r="C1065" s="4"/>
      <c r="D1065" s="5"/>
      <c r="E1065" s="12"/>
      <c r="F1065" s="12"/>
    </row>
    <row r="1066" spans="1:6" x14ac:dyDescent="0.2">
      <c r="A1066" s="6"/>
      <c r="B1066" s="53"/>
      <c r="C1066" s="4"/>
      <c r="D1066" s="5"/>
      <c r="E1066" s="12"/>
      <c r="F1066" s="12"/>
    </row>
    <row r="1067" spans="1:6" x14ac:dyDescent="0.2">
      <c r="A1067" s="6"/>
      <c r="B1067" s="53"/>
      <c r="C1067" s="4"/>
      <c r="D1067" s="5"/>
      <c r="E1067" s="12"/>
      <c r="F1067" s="12"/>
    </row>
    <row r="1068" spans="1:6" x14ac:dyDescent="0.2">
      <c r="A1068" s="6"/>
      <c r="B1068" s="53"/>
      <c r="C1068" s="4"/>
      <c r="D1068" s="5"/>
      <c r="E1068" s="12"/>
      <c r="F1068" s="12"/>
    </row>
    <row r="1069" spans="1:6" x14ac:dyDescent="0.2">
      <c r="A1069" s="6"/>
      <c r="B1069" s="53"/>
      <c r="C1069" s="4"/>
      <c r="D1069" s="5"/>
      <c r="E1069" s="12"/>
      <c r="F1069" s="12"/>
    </row>
    <row r="1070" spans="1:6" x14ac:dyDescent="0.2">
      <c r="A1070" s="6"/>
      <c r="B1070" s="53"/>
      <c r="C1070" s="4"/>
      <c r="D1070" s="5"/>
      <c r="E1070" s="12"/>
      <c r="F1070" s="12"/>
    </row>
    <row r="1071" spans="1:6" x14ac:dyDescent="0.2">
      <c r="A1071" s="6"/>
      <c r="B1071" s="53"/>
      <c r="C1071" s="4"/>
      <c r="D1071" s="5"/>
      <c r="E1071" s="12"/>
      <c r="F1071" s="12"/>
    </row>
    <row r="1072" spans="1:6" x14ac:dyDescent="0.2">
      <c r="A1072" s="6"/>
      <c r="B1072" s="53"/>
      <c r="C1072" s="4"/>
      <c r="D1072" s="5"/>
      <c r="E1072" s="12"/>
      <c r="F1072" s="12"/>
    </row>
    <row r="1073" spans="1:6" x14ac:dyDescent="0.2">
      <c r="A1073" s="6"/>
      <c r="B1073" s="53"/>
      <c r="C1073" s="4"/>
      <c r="D1073" s="5"/>
      <c r="E1073" s="12"/>
      <c r="F1073" s="12"/>
    </row>
    <row r="1074" spans="1:6" x14ac:dyDescent="0.2">
      <c r="A1074" s="6"/>
      <c r="B1074" s="53"/>
      <c r="C1074" s="4"/>
      <c r="D1074" s="5"/>
      <c r="E1074" s="12"/>
      <c r="F1074" s="12"/>
    </row>
    <row r="1075" spans="1:6" x14ac:dyDescent="0.2">
      <c r="A1075" s="6"/>
      <c r="B1075" s="53"/>
      <c r="C1075" s="4"/>
      <c r="D1075" s="5"/>
      <c r="E1075" s="12"/>
      <c r="F1075" s="12"/>
    </row>
    <row r="1076" spans="1:6" x14ac:dyDescent="0.2">
      <c r="A1076" s="6"/>
      <c r="B1076" s="53"/>
      <c r="C1076" s="4"/>
      <c r="D1076" s="5"/>
      <c r="E1076" s="12"/>
      <c r="F1076" s="12"/>
    </row>
    <row r="1077" spans="1:6" x14ac:dyDescent="0.2">
      <c r="A1077" s="6"/>
      <c r="B1077" s="53"/>
      <c r="C1077" s="4"/>
      <c r="D1077" s="5"/>
      <c r="E1077" s="12"/>
      <c r="F1077" s="12"/>
    </row>
    <row r="1078" spans="1:6" x14ac:dyDescent="0.2">
      <c r="A1078" s="6"/>
      <c r="B1078" s="53"/>
      <c r="C1078" s="4"/>
      <c r="D1078" s="5"/>
      <c r="E1078" s="12"/>
      <c r="F1078" s="12"/>
    </row>
    <row r="1079" spans="1:6" x14ac:dyDescent="0.2">
      <c r="A1079" s="6"/>
      <c r="B1079" s="53"/>
      <c r="C1079" s="4"/>
      <c r="D1079" s="5"/>
      <c r="E1079" s="12"/>
      <c r="F1079" s="12"/>
    </row>
    <row r="1080" spans="1:6" x14ac:dyDescent="0.2">
      <c r="A1080" s="6"/>
      <c r="B1080" s="53"/>
      <c r="C1080" s="4"/>
      <c r="D1080" s="5"/>
      <c r="E1080" s="12"/>
      <c r="F1080" s="12"/>
    </row>
    <row r="1081" spans="1:6" x14ac:dyDescent="0.2">
      <c r="A1081" s="6"/>
      <c r="B1081" s="53"/>
      <c r="C1081" s="4"/>
      <c r="D1081" s="5"/>
      <c r="E1081" s="12"/>
      <c r="F1081" s="12"/>
    </row>
    <row r="1082" spans="1:6" x14ac:dyDescent="0.2">
      <c r="A1082" s="6"/>
      <c r="B1082" s="53"/>
      <c r="C1082" s="4"/>
      <c r="D1082" s="5"/>
      <c r="E1082" s="12"/>
      <c r="F1082" s="12"/>
    </row>
    <row r="1083" spans="1:6" x14ac:dyDescent="0.2">
      <c r="A1083" s="6"/>
      <c r="B1083" s="53"/>
      <c r="C1083" s="4"/>
      <c r="D1083" s="5"/>
      <c r="E1083" s="12"/>
      <c r="F1083" s="12"/>
    </row>
    <row r="1084" spans="1:6" x14ac:dyDescent="0.2">
      <c r="A1084" s="6"/>
      <c r="B1084" s="53"/>
      <c r="C1084" s="4"/>
      <c r="D1084" s="5"/>
      <c r="E1084" s="12"/>
      <c r="F1084" s="12"/>
    </row>
    <row r="1085" spans="1:6" x14ac:dyDescent="0.2">
      <c r="A1085" s="6"/>
      <c r="B1085" s="53"/>
      <c r="C1085" s="4"/>
      <c r="D1085" s="5"/>
      <c r="E1085" s="12"/>
      <c r="F1085" s="12"/>
    </row>
    <row r="1086" spans="1:6" x14ac:dyDescent="0.2">
      <c r="A1086" s="6"/>
      <c r="B1086" s="53"/>
      <c r="C1086" s="4"/>
      <c r="D1086" s="5"/>
      <c r="E1086" s="12"/>
      <c r="F1086" s="12"/>
    </row>
    <row r="1087" spans="1:6" x14ac:dyDescent="0.2">
      <c r="A1087" s="6"/>
      <c r="B1087" s="53"/>
      <c r="C1087" s="4"/>
      <c r="D1087" s="5"/>
      <c r="E1087" s="12"/>
      <c r="F1087" s="12"/>
    </row>
    <row r="1088" spans="1:6" x14ac:dyDescent="0.2">
      <c r="A1088" s="6"/>
      <c r="B1088" s="53"/>
      <c r="C1088" s="4"/>
      <c r="D1088" s="5"/>
      <c r="E1088" s="12"/>
      <c r="F1088" s="12"/>
    </row>
    <row r="1089" spans="1:6" x14ac:dyDescent="0.2">
      <c r="A1089" s="6"/>
      <c r="B1089" s="53"/>
      <c r="C1089" s="4"/>
      <c r="D1089" s="5"/>
      <c r="E1089" s="12"/>
      <c r="F1089" s="12"/>
    </row>
    <row r="1090" spans="1:6" x14ac:dyDescent="0.2">
      <c r="A1090" s="6"/>
      <c r="B1090" s="53"/>
      <c r="C1090" s="4"/>
      <c r="D1090" s="5"/>
      <c r="E1090" s="12"/>
      <c r="F1090" s="12"/>
    </row>
    <row r="1091" spans="1:6" x14ac:dyDescent="0.2">
      <c r="A1091" s="6"/>
      <c r="B1091" s="53"/>
      <c r="C1091" s="4"/>
      <c r="D1091" s="5"/>
      <c r="E1091" s="12"/>
      <c r="F1091" s="12"/>
    </row>
    <row r="1092" spans="1:6" x14ac:dyDescent="0.2">
      <c r="A1092" s="6"/>
      <c r="B1092" s="53"/>
      <c r="C1092" s="4"/>
      <c r="D1092" s="5"/>
      <c r="E1092" s="12"/>
      <c r="F1092" s="12"/>
    </row>
    <row r="1093" spans="1:6" x14ac:dyDescent="0.2">
      <c r="A1093" s="6"/>
      <c r="B1093" s="53"/>
      <c r="C1093" s="4"/>
      <c r="D1093" s="5"/>
      <c r="E1093" s="12"/>
      <c r="F1093" s="12"/>
    </row>
  </sheetData>
  <conditionalFormatting sqref="D692:D768">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opLeftCell="F1" zoomScale="160" zoomScaleNormal="160" workbookViewId="0">
      <pane ySplit="4" topLeftCell="A738" activePane="bottomLeft" state="frozen"/>
      <selection activeCell="H29" sqref="H29"/>
      <selection pane="bottomLeft" activeCell="R728" sqref="R728"/>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64" customWidth="1"/>
  </cols>
  <sheetData>
    <row r="1" spans="1:7" s="64" customFormat="1" x14ac:dyDescent="0.2">
      <c r="A1" s="12"/>
      <c r="B1" s="12"/>
      <c r="C1" s="12"/>
      <c r="D1" s="12"/>
      <c r="E1" s="12"/>
      <c r="F1" s="12"/>
      <c r="G1" s="12"/>
    </row>
    <row r="2" spans="1:7" s="64" customFormat="1" x14ac:dyDescent="0.2">
      <c r="A2" s="12"/>
      <c r="B2" s="12"/>
      <c r="C2" s="12"/>
      <c r="D2" s="12"/>
      <c r="E2" s="12"/>
      <c r="F2" s="12"/>
      <c r="G2" s="12"/>
    </row>
    <row r="3" spans="1:7" s="64"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2">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2">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2">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2">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2">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2">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2">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2">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2">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2">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2">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2">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2">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2">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2">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2">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2">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2">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2">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2">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2">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2">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2">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2">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2">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2">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2">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2">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2">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2">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2">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2">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2">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2">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2">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2">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2">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2">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2">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2">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2">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2">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2">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2">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2">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2">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2">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2">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2">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2">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2">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2">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2">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2">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2">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2">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2">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2">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2">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2">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2">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2">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2">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2">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2">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2">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2">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2">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2">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2">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2">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2">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2">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2">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2">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2">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2">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2">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2">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2">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2">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2">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2">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2">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2">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2">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2">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2">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2">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2">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2">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2">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2">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2">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2">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2">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3">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2">
      <c r="A702" s="60">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2">
      <c r="A703" s="63">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2">
      <c r="A704" s="60">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2">
      <c r="A705" s="63">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2">
      <c r="A706" s="60">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2">
      <c r="A707" s="63">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2">
      <c r="A708" s="60">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2">
      <c r="A709" s="63">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2">
      <c r="A710" s="60">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2">
      <c r="A711" s="63">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2">
      <c r="A712" s="60">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2">
      <c r="A713" s="63">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2">
      <c r="A714" s="60">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2">
      <c r="A715" s="63">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2">
      <c r="A716" s="60">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2">
      <c r="A717" s="63">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2">
      <c r="A718" s="60">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2">
      <c r="A719" s="63">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2">
      <c r="A720" s="60">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2">
      <c r="A721" s="63">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2">
      <c r="A722" s="60">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2">
      <c r="A723" s="63">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2">
      <c r="A724" s="60">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2">
      <c r="A725" s="63">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2">
      <c r="A726" s="60">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2">
      <c r="A727" s="63">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2">
      <c r="A728" s="60">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2">
      <c r="A729" s="63">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2">
      <c r="A730" s="60">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4" customFormat="1" x14ac:dyDescent="0.2">
      <c r="A731" s="63">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4" customFormat="1" x14ac:dyDescent="0.2">
      <c r="A732" s="60">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4" customFormat="1" x14ac:dyDescent="0.2">
      <c r="A733" s="63">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4" customFormat="1" x14ac:dyDescent="0.2">
      <c r="A734" s="60">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4" customFormat="1" x14ac:dyDescent="0.2">
      <c r="A735" s="63">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4" customFormat="1" x14ac:dyDescent="0.2">
      <c r="A736" s="60">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4" customFormat="1" x14ac:dyDescent="0.2">
      <c r="A737" s="63">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4" customFormat="1" x14ac:dyDescent="0.2">
      <c r="A738" s="60">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4" customFormat="1" x14ac:dyDescent="0.2">
      <c r="A739" s="63">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4" customFormat="1" x14ac:dyDescent="0.2">
      <c r="A740" s="60">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4" customFormat="1" x14ac:dyDescent="0.2">
      <c r="A741" s="63">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4" customFormat="1" x14ac:dyDescent="0.2">
      <c r="A742" s="60">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4" customFormat="1" x14ac:dyDescent="0.2">
      <c r="A743" s="63">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4" customFormat="1" x14ac:dyDescent="0.2">
      <c r="A744" s="60">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4" customFormat="1" x14ac:dyDescent="0.2">
      <c r="A745" s="63">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4" customFormat="1" x14ac:dyDescent="0.2">
      <c r="A746" s="60">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4" customFormat="1" x14ac:dyDescent="0.2">
      <c r="A747" s="63">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4" customFormat="1" x14ac:dyDescent="0.2">
      <c r="A748" s="60">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4" customFormat="1" x14ac:dyDescent="0.2">
      <c r="A749" s="63">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4" customFormat="1" x14ac:dyDescent="0.2">
      <c r="A750" s="60">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4" customFormat="1" x14ac:dyDescent="0.2">
      <c r="A751" s="63">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4" customFormat="1" x14ac:dyDescent="0.2">
      <c r="A752" s="60">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4" customFormat="1" x14ac:dyDescent="0.2">
      <c r="A753" s="63">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4" customFormat="1" x14ac:dyDescent="0.2">
      <c r="A754" s="60">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4" customFormat="1" x14ac:dyDescent="0.2">
      <c r="A755" s="60">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4" customFormat="1" x14ac:dyDescent="0.2">
      <c r="A756" s="63">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4" customFormat="1" x14ac:dyDescent="0.2">
      <c r="A757" s="60">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4" customFormat="1" x14ac:dyDescent="0.2">
      <c r="A758" s="63">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4" customFormat="1" x14ac:dyDescent="0.2">
      <c r="A759" s="60">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4" customFormat="1" x14ac:dyDescent="0.2">
      <c r="A760" s="63">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4" customFormat="1" x14ac:dyDescent="0.2">
      <c r="A761" s="60">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4" customFormat="1" x14ac:dyDescent="0.2">
      <c r="A762" s="63">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4" customFormat="1" x14ac:dyDescent="0.2">
      <c r="A763" s="63">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4" customFormat="1" x14ac:dyDescent="0.2">
      <c r="A764" s="60">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4" customFormat="1" x14ac:dyDescent="0.2">
      <c r="A765" s="63">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4" customFormat="1" x14ac:dyDescent="0.2">
      <c r="A766" s="63">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4" customFormat="1" x14ac:dyDescent="0.2">
      <c r="A767" s="60">
        <v>44743</v>
      </c>
      <c r="B767" s="28">
        <f>VLOOKUP(Table3[[#This Row],[Date]],'PCE Core'!$A:$E,2,)</f>
        <v>123.31100000000001</v>
      </c>
      <c r="C767" s="28">
        <f>VLOOKUP(Table3[[#This Row],[Date]],Database!$A:$E,5)</f>
        <v>295.27499999999998</v>
      </c>
      <c r="D767" s="26">
        <f>(((Table3[[#This Row],[Core PCE]]-$B$496)/$B$496)*100)+100</f>
        <v>154.53280866208831</v>
      </c>
      <c r="E767" s="26">
        <f>(((Table3[[#This Row],[Core CPI]]-$C$496)/$C$496)*100)+100</f>
        <v>165.23503077783994</v>
      </c>
      <c r="F767" s="27">
        <f>(Table3[[#This Row],[Core CPI]]-C755)/C755</f>
        <v>5.9115332467700149E-2</v>
      </c>
      <c r="G767" s="27">
        <f>VLOOKUP(Table3[[#This Row],[Date]],'PCE Core'!A:D,4,)</f>
        <v>4.6684944529797726E-2</v>
      </c>
    </row>
    <row r="768" spans="1:7" s="64" customFormat="1" x14ac:dyDescent="0.2">
      <c r="A768" s="12"/>
      <c r="B768" s="12"/>
      <c r="C768" s="12"/>
      <c r="D768" s="12"/>
      <c r="E768" s="12"/>
      <c r="F768" s="12"/>
      <c r="G768" s="12"/>
    </row>
    <row r="769" spans="1:7" s="64" customFormat="1" x14ac:dyDescent="0.2">
      <c r="A769" s="12"/>
      <c r="B769" s="12"/>
      <c r="C769" s="12"/>
      <c r="D769" s="12"/>
      <c r="E769" s="12"/>
      <c r="F769" s="12"/>
      <c r="G769" s="12"/>
    </row>
    <row r="770" spans="1:7" s="64" customFormat="1" x14ac:dyDescent="0.2">
      <c r="A770" s="12"/>
      <c r="B770" s="12"/>
      <c r="C770" s="12"/>
      <c r="D770" s="12"/>
      <c r="E770" s="12"/>
      <c r="F770" s="12"/>
      <c r="G770" s="12"/>
    </row>
    <row r="771" spans="1:7" s="64" customFormat="1" x14ac:dyDescent="0.2">
      <c r="A771" s="12"/>
      <c r="B771" s="12"/>
      <c r="C771" s="12"/>
      <c r="D771" s="12"/>
      <c r="E771" s="12"/>
      <c r="F771" s="12"/>
      <c r="G771" s="12"/>
    </row>
    <row r="772" spans="1:7" s="64" customFormat="1" x14ac:dyDescent="0.2">
      <c r="A772" s="12"/>
      <c r="B772" s="12"/>
      <c r="C772" s="12"/>
      <c r="D772" s="12"/>
      <c r="E772" s="12"/>
      <c r="F772" s="12"/>
      <c r="G772" s="12"/>
    </row>
    <row r="773" spans="1:7" s="64" customFormat="1" x14ac:dyDescent="0.2">
      <c r="A773" s="12"/>
      <c r="B773" s="12"/>
      <c r="C773" s="12"/>
      <c r="D773" s="12"/>
      <c r="E773" s="12"/>
      <c r="F773" s="12"/>
      <c r="G773" s="12"/>
    </row>
    <row r="774" spans="1:7" s="64" customFormat="1" x14ac:dyDescent="0.2">
      <c r="A774" s="12"/>
      <c r="B774" s="12"/>
      <c r="C774" s="12"/>
      <c r="D774" s="12"/>
      <c r="E774" s="12"/>
      <c r="F774" s="12"/>
      <c r="G774" s="12"/>
    </row>
    <row r="775" spans="1:7" s="64" customFormat="1" x14ac:dyDescent="0.2">
      <c r="A775" s="12"/>
      <c r="B775" s="12"/>
      <c r="C775" s="12"/>
      <c r="D775" s="12"/>
      <c r="E775" s="12"/>
      <c r="F775" s="12"/>
      <c r="G775" s="12"/>
    </row>
    <row r="776" spans="1:7" s="64" customFormat="1" x14ac:dyDescent="0.2">
      <c r="A776" s="12"/>
      <c r="B776" s="12"/>
      <c r="C776" s="12"/>
      <c r="D776" s="12"/>
      <c r="E776" s="12"/>
      <c r="F776" s="12"/>
      <c r="G776" s="12"/>
    </row>
    <row r="777" spans="1:7" s="64" customFormat="1" x14ac:dyDescent="0.2">
      <c r="A777" s="12"/>
      <c r="B777" s="12"/>
      <c r="C777" s="12"/>
      <c r="D777" s="12"/>
      <c r="E777" s="12"/>
      <c r="F777" s="12"/>
      <c r="G777" s="12"/>
    </row>
    <row r="778" spans="1:7" s="64" customFormat="1" x14ac:dyDescent="0.2">
      <c r="A778" s="12"/>
      <c r="B778" s="12"/>
      <c r="C778" s="12"/>
      <c r="D778" s="12"/>
      <c r="E778" s="12"/>
      <c r="F778" s="12"/>
      <c r="G778" s="12"/>
    </row>
    <row r="779" spans="1:7" s="64" customFormat="1" x14ac:dyDescent="0.2">
      <c r="A779" s="12"/>
      <c r="B779" s="12"/>
      <c r="C779" s="12"/>
      <c r="D779" s="12"/>
      <c r="E779" s="12"/>
      <c r="F779" s="12"/>
      <c r="G779" s="12"/>
    </row>
    <row r="780" spans="1:7" s="64" customFormat="1" x14ac:dyDescent="0.2">
      <c r="A780" s="12"/>
      <c r="B780" s="12"/>
      <c r="C780" s="12"/>
      <c r="D780" s="12"/>
      <c r="E780" s="12"/>
      <c r="F780" s="12"/>
      <c r="G780" s="12"/>
    </row>
    <row r="781" spans="1:7" s="64" customFormat="1" x14ac:dyDescent="0.2">
      <c r="A781" s="12"/>
      <c r="B781" s="12"/>
      <c r="C781" s="12"/>
      <c r="D781" s="12"/>
      <c r="E781" s="12"/>
      <c r="F781" s="12"/>
      <c r="G781" s="12"/>
    </row>
    <row r="782" spans="1:7" s="64" customFormat="1" x14ac:dyDescent="0.2">
      <c r="A782" s="12"/>
      <c r="B782" s="12"/>
      <c r="C782" s="12"/>
      <c r="D782" s="12"/>
      <c r="E782" s="12"/>
      <c r="F782" s="12"/>
      <c r="G782" s="12"/>
    </row>
    <row r="783" spans="1:7" s="64" customFormat="1" x14ac:dyDescent="0.2">
      <c r="A783" s="12"/>
      <c r="B783" s="12"/>
      <c r="C783" s="12"/>
      <c r="D783" s="12"/>
      <c r="E783" s="12"/>
      <c r="F783" s="12"/>
      <c r="G783" s="12"/>
    </row>
    <row r="784" spans="1:7" s="64" customFormat="1" x14ac:dyDescent="0.2">
      <c r="A784" s="12"/>
      <c r="B784" s="12"/>
      <c r="C784" s="12"/>
      <c r="D784" s="12"/>
      <c r="E784" s="12"/>
      <c r="F784" s="12"/>
      <c r="G784" s="12"/>
    </row>
    <row r="785" spans="1:7" s="64" customFormat="1" x14ac:dyDescent="0.2">
      <c r="A785" s="12"/>
      <c r="B785" s="12"/>
      <c r="C785" s="12"/>
      <c r="D785" s="12"/>
      <c r="E785" s="12"/>
      <c r="F785" s="12"/>
      <c r="G785" s="12"/>
    </row>
    <row r="786" spans="1:7" s="64" customFormat="1" x14ac:dyDescent="0.2">
      <c r="A786" s="12"/>
      <c r="B786" s="12"/>
      <c r="C786" s="12"/>
      <c r="D786" s="12"/>
      <c r="E786" s="12"/>
      <c r="F786" s="12"/>
      <c r="G786" s="12"/>
    </row>
    <row r="787" spans="1:7" s="64" customFormat="1" x14ac:dyDescent="0.2">
      <c r="A787" s="12"/>
      <c r="B787" s="12"/>
      <c r="C787" s="12"/>
      <c r="D787" s="12"/>
      <c r="E787" s="12"/>
      <c r="F787" s="12"/>
      <c r="G787" s="12"/>
    </row>
    <row r="788" spans="1:7" s="64" customFormat="1" x14ac:dyDescent="0.2">
      <c r="A788" s="12"/>
      <c r="B788" s="12"/>
      <c r="C788" s="12"/>
      <c r="D788" s="12"/>
      <c r="E788" s="12"/>
      <c r="F788" s="12"/>
      <c r="G788" s="12"/>
    </row>
    <row r="789" spans="1:7" s="64" customFormat="1" x14ac:dyDescent="0.2">
      <c r="A789" s="12"/>
      <c r="B789" s="12"/>
      <c r="C789" s="12"/>
      <c r="D789" s="12"/>
      <c r="E789" s="12"/>
      <c r="F789" s="12"/>
      <c r="G789" s="12"/>
    </row>
    <row r="790" spans="1:7" s="64" customFormat="1" x14ac:dyDescent="0.2">
      <c r="A790" s="12"/>
      <c r="B790" s="12"/>
      <c r="C790" s="12"/>
      <c r="D790" s="12"/>
      <c r="E790" s="12"/>
      <c r="F790" s="12"/>
      <c r="G790" s="12"/>
    </row>
    <row r="791" spans="1:7" s="64" customFormat="1" x14ac:dyDescent="0.2">
      <c r="A791" s="12"/>
      <c r="B791" s="12"/>
      <c r="C791" s="12"/>
      <c r="D791" s="12"/>
      <c r="E791" s="12"/>
      <c r="F791" s="12"/>
      <c r="G791" s="12"/>
    </row>
    <row r="792" spans="1:7" s="64" customFormat="1" x14ac:dyDescent="0.2">
      <c r="A792" s="12"/>
      <c r="B792" s="12"/>
      <c r="C792" s="12"/>
      <c r="D792" s="12"/>
      <c r="E792" s="12"/>
      <c r="F792" s="12"/>
      <c r="G792" s="12"/>
    </row>
    <row r="793" spans="1:7" s="64" customFormat="1" x14ac:dyDescent="0.2">
      <c r="A793" s="12"/>
      <c r="B793" s="12"/>
      <c r="C793" s="12"/>
      <c r="D793" s="12"/>
      <c r="E793" s="12"/>
      <c r="F793" s="12"/>
      <c r="G793" s="12"/>
    </row>
    <row r="794" spans="1:7" s="64" customFormat="1" x14ac:dyDescent="0.2">
      <c r="A794" s="12"/>
      <c r="B794" s="12"/>
      <c r="C794" s="12"/>
      <c r="D794" s="12"/>
      <c r="E794" s="12"/>
      <c r="F794" s="12"/>
      <c r="G794" s="12"/>
    </row>
    <row r="795" spans="1:7" s="64" customFormat="1" x14ac:dyDescent="0.2">
      <c r="A795" s="12"/>
      <c r="B795" s="12"/>
      <c r="C795" s="12"/>
      <c r="D795" s="12"/>
      <c r="E795" s="12"/>
      <c r="F795" s="12"/>
      <c r="G795" s="12"/>
    </row>
    <row r="796" spans="1:7" s="64" customFormat="1" x14ac:dyDescent="0.2">
      <c r="A796" s="12"/>
      <c r="B796" s="12"/>
      <c r="C796" s="12"/>
      <c r="D796" s="12"/>
      <c r="E796" s="12"/>
      <c r="F796" s="12"/>
      <c r="G796" s="12"/>
    </row>
    <row r="797" spans="1:7" s="64" customFormat="1" x14ac:dyDescent="0.2">
      <c r="A797" s="12"/>
      <c r="B797" s="12"/>
      <c r="C797" s="12"/>
      <c r="D797" s="12"/>
      <c r="E797" s="12"/>
      <c r="F797" s="12"/>
      <c r="G797" s="12"/>
    </row>
    <row r="798" spans="1:7" s="64" customFormat="1" x14ac:dyDescent="0.2">
      <c r="A798" s="12"/>
      <c r="B798" s="12"/>
      <c r="C798" s="12"/>
      <c r="D798" s="12"/>
      <c r="E798" s="12"/>
      <c r="F798" s="12"/>
      <c r="G798" s="12"/>
    </row>
    <row r="799" spans="1:7" s="64" customFormat="1" x14ac:dyDescent="0.2">
      <c r="A799" s="12"/>
      <c r="B799" s="12"/>
      <c r="C799" s="12"/>
      <c r="D799" s="12"/>
      <c r="E799" s="12"/>
      <c r="F799" s="12"/>
      <c r="G799" s="12"/>
    </row>
    <row r="800" spans="1:7" s="64" customFormat="1" x14ac:dyDescent="0.2">
      <c r="A800" s="12"/>
      <c r="B800" s="12"/>
      <c r="C800" s="12"/>
      <c r="D800" s="12"/>
      <c r="E800" s="12"/>
      <c r="F800" s="12"/>
      <c r="G800" s="12"/>
    </row>
    <row r="801" spans="1:7" s="64" customFormat="1" x14ac:dyDescent="0.2">
      <c r="A801" s="12"/>
      <c r="B801" s="12"/>
      <c r="C801" s="12"/>
      <c r="D801" s="12"/>
      <c r="E801" s="12"/>
      <c r="F801" s="12"/>
      <c r="G801" s="12"/>
    </row>
    <row r="802" spans="1:7" s="64" customFormat="1" x14ac:dyDescent="0.2">
      <c r="A802" s="12"/>
      <c r="B802" s="12"/>
      <c r="C802" s="12"/>
      <c r="D802" s="12"/>
      <c r="E802" s="12"/>
      <c r="F802" s="12"/>
      <c r="G802" s="12"/>
    </row>
    <row r="803" spans="1:7" s="64" customFormat="1" x14ac:dyDescent="0.2">
      <c r="A803" s="12"/>
      <c r="B803" s="12"/>
      <c r="C803" s="12"/>
      <c r="D803" s="12"/>
      <c r="E803" s="12"/>
      <c r="F803" s="12"/>
      <c r="G803" s="12"/>
    </row>
    <row r="804" spans="1:7" s="64" customFormat="1" x14ac:dyDescent="0.2">
      <c r="A804" s="12"/>
      <c r="B804" s="12"/>
      <c r="C804" s="12"/>
      <c r="D804" s="12"/>
      <c r="E804" s="12"/>
      <c r="F804" s="12"/>
      <c r="G804" s="12"/>
    </row>
    <row r="805" spans="1:7" s="64" customFormat="1" x14ac:dyDescent="0.2">
      <c r="A805" s="12"/>
      <c r="B805" s="12"/>
      <c r="C805" s="12"/>
      <c r="D805" s="12"/>
      <c r="E805" s="12"/>
      <c r="F805" s="12"/>
      <c r="G805" s="12"/>
    </row>
    <row r="806" spans="1:7" s="64" customFormat="1" x14ac:dyDescent="0.2">
      <c r="A806" s="12"/>
      <c r="B806" s="12"/>
      <c r="C806" s="12"/>
      <c r="D806" s="12"/>
      <c r="E806" s="12"/>
      <c r="F806" s="12"/>
      <c r="G806" s="12"/>
    </row>
    <row r="807" spans="1:7" s="64" customFormat="1" x14ac:dyDescent="0.2">
      <c r="A807" s="12"/>
      <c r="B807" s="12"/>
      <c r="C807" s="12"/>
      <c r="D807" s="12"/>
      <c r="E807" s="12"/>
      <c r="F807" s="12"/>
      <c r="G807" s="12"/>
    </row>
    <row r="808" spans="1:7" s="64" customFormat="1" x14ac:dyDescent="0.2">
      <c r="A808" s="12"/>
      <c r="B808" s="12"/>
      <c r="C808" s="12"/>
      <c r="D808" s="12"/>
      <c r="E808" s="12"/>
      <c r="F808" s="12"/>
      <c r="G808" s="12"/>
    </row>
    <row r="809" spans="1:7" s="64" customFormat="1" x14ac:dyDescent="0.2">
      <c r="A809" s="12"/>
      <c r="B809" s="12"/>
      <c r="C809" s="12"/>
      <c r="D809" s="12"/>
      <c r="E809" s="12"/>
      <c r="F809" s="12"/>
      <c r="G809" s="12"/>
    </row>
    <row r="810" spans="1:7" s="64" customFormat="1" x14ac:dyDescent="0.2">
      <c r="A810" s="12"/>
      <c r="B810" s="12"/>
      <c r="C810" s="12"/>
      <c r="D810" s="12"/>
      <c r="E810" s="12"/>
      <c r="F810" s="12"/>
      <c r="G810" s="12"/>
    </row>
    <row r="811" spans="1:7" s="64" customFormat="1" x14ac:dyDescent="0.2">
      <c r="A811" s="12"/>
      <c r="B811" s="12"/>
      <c r="C811" s="12"/>
      <c r="D811" s="12"/>
      <c r="E811" s="12"/>
      <c r="F811" s="12"/>
      <c r="G811" s="12"/>
    </row>
    <row r="812" spans="1:7" s="64" customFormat="1" x14ac:dyDescent="0.2">
      <c r="A812" s="12"/>
      <c r="B812" s="12"/>
      <c r="C812" s="12"/>
      <c r="D812" s="12"/>
      <c r="E812" s="12"/>
      <c r="F812" s="12"/>
      <c r="G812" s="12"/>
    </row>
    <row r="813" spans="1:7" s="64" customFormat="1" x14ac:dyDescent="0.2">
      <c r="A813" s="12"/>
      <c r="B813" s="12"/>
      <c r="C813" s="12"/>
      <c r="D813" s="12"/>
      <c r="E813" s="12"/>
      <c r="F813" s="12"/>
      <c r="G813" s="12"/>
    </row>
    <row r="814" spans="1:7" s="64" customFormat="1" x14ac:dyDescent="0.2">
      <c r="A814" s="12"/>
      <c r="B814" s="12"/>
      <c r="C814" s="12"/>
      <c r="D814" s="12"/>
      <c r="E814" s="12"/>
      <c r="F814" s="12"/>
      <c r="G814" s="12"/>
    </row>
    <row r="815" spans="1:7" s="64" customFormat="1" x14ac:dyDescent="0.2">
      <c r="A815" s="12"/>
      <c r="B815" s="12"/>
      <c r="C815" s="12"/>
      <c r="D815" s="12"/>
      <c r="E815" s="12"/>
      <c r="F815" s="12"/>
      <c r="G815" s="12"/>
    </row>
    <row r="816" spans="1:7" s="64" customFormat="1" x14ac:dyDescent="0.2">
      <c r="A816" s="12"/>
      <c r="B816" s="12"/>
      <c r="C816" s="12"/>
      <c r="D816" s="12"/>
      <c r="E816" s="12"/>
      <c r="F816" s="12"/>
      <c r="G816" s="12"/>
    </row>
    <row r="817" spans="1:7" s="64" customFormat="1" x14ac:dyDescent="0.2">
      <c r="A817" s="12"/>
      <c r="B817" s="12"/>
      <c r="C817" s="12"/>
      <c r="D817" s="12"/>
      <c r="E817" s="12"/>
      <c r="F817" s="12"/>
      <c r="G817" s="12"/>
    </row>
    <row r="818" spans="1:7" s="64" customFormat="1" x14ac:dyDescent="0.2">
      <c r="A818" s="12"/>
      <c r="B818" s="12"/>
      <c r="C818" s="12"/>
      <c r="D818" s="12"/>
      <c r="E818" s="12"/>
      <c r="F818" s="12"/>
      <c r="G818" s="12"/>
    </row>
    <row r="819" spans="1:7" s="64" customFormat="1" x14ac:dyDescent="0.2">
      <c r="A819" s="12"/>
      <c r="B819" s="12"/>
      <c r="C819" s="12"/>
      <c r="D819" s="12"/>
      <c r="E819" s="12"/>
      <c r="F819" s="12"/>
      <c r="G819" s="12"/>
    </row>
    <row r="820" spans="1:7" s="64" customFormat="1" x14ac:dyDescent="0.2">
      <c r="A820" s="12"/>
      <c r="B820" s="12"/>
      <c r="C820" s="12"/>
      <c r="D820" s="12"/>
      <c r="E820" s="12"/>
      <c r="F820" s="12"/>
      <c r="G820" s="12"/>
    </row>
    <row r="821" spans="1:7" s="64" customFormat="1" x14ac:dyDescent="0.2">
      <c r="A821" s="12"/>
      <c r="B821" s="12"/>
      <c r="C821" s="12"/>
      <c r="D821" s="12"/>
      <c r="E821" s="12"/>
      <c r="F821" s="12"/>
      <c r="G821" s="12"/>
    </row>
    <row r="822" spans="1:7" s="64" customFormat="1" x14ac:dyDescent="0.2">
      <c r="A822" s="12"/>
      <c r="B822" s="12"/>
      <c r="C822" s="12"/>
      <c r="D822" s="12"/>
      <c r="E822" s="12"/>
      <c r="F822" s="12"/>
      <c r="G822" s="12"/>
    </row>
    <row r="823" spans="1:7" s="64" customFormat="1" x14ac:dyDescent="0.2">
      <c r="A823" s="12"/>
      <c r="B823" s="12"/>
      <c r="C823" s="12"/>
      <c r="D823" s="12"/>
      <c r="E823" s="12"/>
      <c r="F823" s="12"/>
      <c r="G823" s="12"/>
    </row>
    <row r="824" spans="1:7" s="64" customFormat="1" x14ac:dyDescent="0.2">
      <c r="A824" s="12"/>
      <c r="B824" s="12"/>
      <c r="C824" s="12"/>
      <c r="D824" s="12"/>
      <c r="E824" s="12"/>
      <c r="F824" s="12"/>
      <c r="G824" s="12"/>
    </row>
    <row r="825" spans="1:7" s="64" customFormat="1" x14ac:dyDescent="0.2">
      <c r="A825" s="12"/>
      <c r="B825" s="12"/>
      <c r="C825" s="12"/>
      <c r="D825" s="12"/>
      <c r="E825" s="12"/>
      <c r="F825" s="12"/>
      <c r="G825" s="12"/>
    </row>
    <row r="826" spans="1:7" s="64" customFormat="1" x14ac:dyDescent="0.2">
      <c r="A826" s="12"/>
      <c r="B826" s="12"/>
      <c r="C826" s="12"/>
      <c r="D826" s="12"/>
      <c r="E826" s="12"/>
      <c r="F826" s="12"/>
      <c r="G826" s="12"/>
    </row>
    <row r="827" spans="1:7" s="64" customFormat="1" x14ac:dyDescent="0.2">
      <c r="A827" s="12"/>
      <c r="B827" s="12"/>
      <c r="C827" s="12"/>
      <c r="D827" s="12"/>
      <c r="E827" s="12"/>
      <c r="F827" s="12"/>
      <c r="G827" s="12"/>
    </row>
    <row r="828" spans="1:7" s="64" customFormat="1" x14ac:dyDescent="0.2">
      <c r="A828" s="12"/>
      <c r="B828" s="12"/>
      <c r="C828" s="12"/>
      <c r="D828" s="12"/>
      <c r="E828" s="12"/>
      <c r="F828" s="12"/>
      <c r="G828" s="12"/>
    </row>
    <row r="829" spans="1:7" s="64" customFormat="1" x14ac:dyDescent="0.2">
      <c r="A829" s="12"/>
      <c r="B829" s="12"/>
      <c r="C829" s="12"/>
      <c r="D829" s="12"/>
      <c r="E829" s="12"/>
      <c r="F829" s="12"/>
      <c r="G829" s="12"/>
    </row>
    <row r="830" spans="1:7" s="64" customFormat="1" x14ac:dyDescent="0.2">
      <c r="A830" s="12"/>
      <c r="B830" s="12"/>
      <c r="C830" s="12"/>
      <c r="D830" s="12"/>
      <c r="E830" s="12"/>
      <c r="F830" s="12"/>
      <c r="G830" s="12"/>
    </row>
    <row r="831" spans="1:7" s="64" customFormat="1" x14ac:dyDescent="0.2">
      <c r="A831" s="12"/>
      <c r="B831" s="12"/>
      <c r="C831" s="12"/>
      <c r="D831" s="12"/>
      <c r="E831" s="12"/>
      <c r="F831" s="12"/>
      <c r="G831" s="12"/>
    </row>
    <row r="832" spans="1:7" s="64" customFormat="1" x14ac:dyDescent="0.2">
      <c r="A832" s="12"/>
      <c r="B832" s="12"/>
      <c r="C832" s="12"/>
      <c r="D832" s="12"/>
      <c r="E832" s="12"/>
      <c r="F832" s="12"/>
      <c r="G832" s="12"/>
    </row>
    <row r="833" spans="1:7" s="64" customFormat="1" x14ac:dyDescent="0.2">
      <c r="A833" s="12"/>
      <c r="B833" s="12"/>
      <c r="C833" s="12"/>
      <c r="D833" s="12"/>
      <c r="E833" s="12"/>
      <c r="F833" s="12"/>
      <c r="G833" s="12"/>
    </row>
    <row r="834" spans="1:7" s="64" customFormat="1" x14ac:dyDescent="0.2">
      <c r="A834" s="12"/>
      <c r="B834" s="12"/>
      <c r="C834" s="12"/>
      <c r="D834" s="12"/>
      <c r="E834" s="12"/>
      <c r="F834" s="12"/>
      <c r="G834" s="12"/>
    </row>
    <row r="835" spans="1:7" s="64" customFormat="1" x14ac:dyDescent="0.2">
      <c r="A835" s="12"/>
      <c r="B835" s="12"/>
      <c r="C835" s="12"/>
      <c r="D835" s="12"/>
      <c r="E835" s="12"/>
      <c r="F835" s="12"/>
      <c r="G835" s="12"/>
    </row>
    <row r="836" spans="1:7" s="64" customFormat="1" x14ac:dyDescent="0.2">
      <c r="A836" s="12"/>
      <c r="B836" s="12"/>
      <c r="C836" s="12"/>
      <c r="D836" s="12"/>
      <c r="E836" s="12"/>
      <c r="F836" s="12"/>
      <c r="G836" s="12"/>
    </row>
    <row r="837" spans="1:7" s="64" customFormat="1" x14ac:dyDescent="0.2">
      <c r="A837" s="12"/>
      <c r="B837" s="12"/>
      <c r="C837" s="12"/>
      <c r="D837" s="12"/>
      <c r="E837" s="12"/>
      <c r="F837" s="12"/>
      <c r="G837" s="12"/>
    </row>
    <row r="838" spans="1:7" s="64" customFormat="1" x14ac:dyDescent="0.2">
      <c r="A838" s="12"/>
      <c r="B838" s="12"/>
      <c r="C838" s="12"/>
      <c r="D838" s="12"/>
      <c r="E838" s="12"/>
      <c r="F838" s="12"/>
      <c r="G838" s="12"/>
    </row>
    <row r="839" spans="1:7" s="64" customFormat="1" x14ac:dyDescent="0.2">
      <c r="A839" s="12"/>
      <c r="B839" s="12"/>
      <c r="C839" s="12"/>
      <c r="D839" s="12"/>
      <c r="E839" s="12"/>
      <c r="F839" s="12"/>
      <c r="G839" s="12"/>
    </row>
    <row r="840" spans="1:7" s="64" customFormat="1" x14ac:dyDescent="0.2">
      <c r="A840" s="12"/>
      <c r="B840" s="12"/>
      <c r="C840" s="12"/>
      <c r="D840" s="12"/>
      <c r="E840" s="12"/>
      <c r="F840" s="12"/>
      <c r="G840" s="12"/>
    </row>
    <row r="841" spans="1:7" s="64" customFormat="1" x14ac:dyDescent="0.2">
      <c r="A841" s="12"/>
      <c r="B841" s="12"/>
      <c r="C841" s="12"/>
      <c r="D841" s="12"/>
      <c r="E841" s="12"/>
      <c r="F841" s="12"/>
      <c r="G841" s="12"/>
    </row>
    <row r="842" spans="1:7" s="64" customFormat="1" x14ac:dyDescent="0.2">
      <c r="A842" s="12"/>
      <c r="B842" s="12"/>
      <c r="C842" s="12"/>
      <c r="D842" s="12"/>
      <c r="E842" s="12"/>
      <c r="F842" s="12"/>
      <c r="G842" s="12"/>
    </row>
    <row r="843" spans="1:7" s="64" customFormat="1" x14ac:dyDescent="0.2">
      <c r="A843" s="12"/>
      <c r="B843" s="12"/>
      <c r="C843" s="12"/>
      <c r="D843" s="12"/>
      <c r="E843" s="12"/>
      <c r="F843" s="12"/>
      <c r="G843" s="12"/>
    </row>
    <row r="844" spans="1:7" s="64" customFormat="1" x14ac:dyDescent="0.2">
      <c r="A844" s="12"/>
      <c r="B844" s="12"/>
      <c r="C844" s="12"/>
      <c r="D844" s="12"/>
      <c r="E844" s="12"/>
      <c r="F844" s="12"/>
      <c r="G844" s="12"/>
    </row>
    <row r="845" spans="1:7" s="64" customFormat="1" x14ac:dyDescent="0.2">
      <c r="A845" s="12"/>
      <c r="B845" s="12"/>
      <c r="C845" s="12"/>
      <c r="D845" s="12"/>
      <c r="E845" s="12"/>
      <c r="F845" s="12"/>
      <c r="G845" s="12"/>
    </row>
    <row r="846" spans="1:7" s="64" customFormat="1" x14ac:dyDescent="0.2">
      <c r="A846" s="12"/>
      <c r="B846" s="12"/>
      <c r="C846" s="12"/>
      <c r="D846" s="12"/>
      <c r="E846" s="12"/>
      <c r="F846" s="12"/>
      <c r="G846" s="12"/>
    </row>
    <row r="847" spans="1:7" s="64" customFormat="1" x14ac:dyDescent="0.2">
      <c r="A847" s="12"/>
      <c r="B847" s="12"/>
      <c r="C847" s="12"/>
      <c r="D847" s="12"/>
      <c r="E847" s="12"/>
      <c r="F847" s="12"/>
      <c r="G847" s="12"/>
    </row>
    <row r="848" spans="1:7" s="64" customFormat="1" x14ac:dyDescent="0.2">
      <c r="A848" s="12"/>
      <c r="B848" s="12"/>
      <c r="C848" s="12"/>
      <c r="D848" s="12"/>
      <c r="E848" s="12"/>
      <c r="F848" s="12"/>
      <c r="G848" s="12"/>
    </row>
    <row r="849" spans="1:7" s="64" customFormat="1" x14ac:dyDescent="0.2">
      <c r="A849" s="12"/>
      <c r="B849" s="12"/>
      <c r="C849" s="12"/>
      <c r="D849" s="12"/>
      <c r="E849" s="12"/>
      <c r="F849" s="12"/>
      <c r="G849" s="12"/>
    </row>
    <row r="850" spans="1:7" s="64" customFormat="1" x14ac:dyDescent="0.2">
      <c r="A850" s="12"/>
      <c r="B850" s="12"/>
      <c r="C850" s="12"/>
      <c r="D850" s="12"/>
      <c r="E850" s="12"/>
      <c r="F850" s="12"/>
      <c r="G850" s="12"/>
    </row>
    <row r="851" spans="1:7" s="64" customFormat="1" x14ac:dyDescent="0.2">
      <c r="A851" s="12"/>
      <c r="B851" s="12"/>
      <c r="C851" s="12"/>
      <c r="D851" s="12"/>
      <c r="E851" s="12"/>
      <c r="F851" s="12"/>
      <c r="G851" s="12"/>
    </row>
    <row r="852" spans="1:7" s="64" customFormat="1" x14ac:dyDescent="0.2">
      <c r="A852" s="12"/>
      <c r="B852" s="12"/>
      <c r="C852" s="12"/>
      <c r="D852" s="12"/>
      <c r="E852" s="12"/>
      <c r="F852" s="12"/>
      <c r="G852" s="12"/>
    </row>
    <row r="853" spans="1:7" s="64" customFormat="1" x14ac:dyDescent="0.2">
      <c r="A853" s="12"/>
      <c r="B853" s="12"/>
      <c r="C853" s="12"/>
      <c r="D853" s="12"/>
      <c r="E853" s="12"/>
      <c r="F853" s="12"/>
      <c r="G853" s="12"/>
    </row>
    <row r="854" spans="1:7" s="64" customFormat="1" x14ac:dyDescent="0.2">
      <c r="A854" s="12"/>
      <c r="B854" s="12"/>
      <c r="C854" s="12"/>
      <c r="D854" s="12"/>
      <c r="E854" s="12"/>
      <c r="F854" s="12"/>
      <c r="G854" s="12"/>
    </row>
    <row r="855" spans="1:7" s="64" customFormat="1" x14ac:dyDescent="0.2">
      <c r="A855" s="12"/>
      <c r="B855" s="12"/>
      <c r="C855" s="12"/>
      <c r="D855" s="12"/>
      <c r="E855" s="12"/>
      <c r="F855" s="12"/>
      <c r="G855" s="12"/>
    </row>
    <row r="856" spans="1:7" s="64" customFormat="1" x14ac:dyDescent="0.2">
      <c r="A856" s="12"/>
      <c r="B856" s="12"/>
      <c r="C856" s="12"/>
      <c r="D856" s="12"/>
      <c r="E856" s="12"/>
      <c r="F856" s="12"/>
      <c r="G856" s="12"/>
    </row>
    <row r="857" spans="1:7" s="64" customFormat="1" x14ac:dyDescent="0.2">
      <c r="A857" s="12"/>
      <c r="B857" s="12"/>
      <c r="C857" s="12"/>
      <c r="D857" s="12"/>
      <c r="E857" s="12"/>
      <c r="F857" s="12"/>
      <c r="G857" s="12"/>
    </row>
    <row r="858" spans="1:7" s="64" customFormat="1" x14ac:dyDescent="0.2">
      <c r="A858" s="12"/>
      <c r="B858" s="12"/>
      <c r="C858" s="12"/>
      <c r="D858" s="12"/>
      <c r="E858" s="12"/>
      <c r="F858" s="12"/>
      <c r="G858" s="12"/>
    </row>
    <row r="859" spans="1:7" s="64" customFormat="1" x14ac:dyDescent="0.2">
      <c r="A859" s="12"/>
      <c r="B859" s="12"/>
      <c r="C859" s="12"/>
      <c r="D859" s="12"/>
      <c r="E859" s="12"/>
      <c r="F859" s="12"/>
      <c r="G859" s="12"/>
    </row>
    <row r="860" spans="1:7" s="64" customFormat="1" x14ac:dyDescent="0.2">
      <c r="A860" s="12"/>
      <c r="B860" s="12"/>
      <c r="C860" s="12"/>
      <c r="D860" s="12"/>
      <c r="E860" s="12"/>
      <c r="F860" s="12"/>
      <c r="G860" s="12"/>
    </row>
    <row r="861" spans="1:7" s="64" customFormat="1" x14ac:dyDescent="0.2">
      <c r="A861" s="12"/>
      <c r="B861" s="12"/>
      <c r="C861" s="12"/>
      <c r="D861" s="12"/>
      <c r="E861" s="12"/>
      <c r="F861" s="12"/>
      <c r="G861" s="12"/>
    </row>
    <row r="862" spans="1:7" s="64" customFormat="1" x14ac:dyDescent="0.2">
      <c r="A862" s="12"/>
      <c r="B862" s="12"/>
      <c r="C862" s="12"/>
      <c r="D862" s="12"/>
      <c r="E862" s="12"/>
      <c r="F862" s="12"/>
      <c r="G862" s="12"/>
    </row>
    <row r="863" spans="1:7" s="64" customFormat="1" x14ac:dyDescent="0.2">
      <c r="A863" s="12"/>
      <c r="B863" s="12"/>
      <c r="C863" s="12"/>
      <c r="D863" s="12"/>
      <c r="E863" s="12"/>
      <c r="F863" s="12"/>
      <c r="G863" s="12"/>
    </row>
    <row r="864" spans="1:7" s="64" customFormat="1" x14ac:dyDescent="0.2">
      <c r="A864" s="12"/>
      <c r="B864" s="12"/>
      <c r="C864" s="12"/>
      <c r="D864" s="12"/>
      <c r="E864" s="12"/>
      <c r="F864" s="12"/>
      <c r="G864" s="12"/>
    </row>
    <row r="865" spans="1:7" s="64" customFormat="1" x14ac:dyDescent="0.2">
      <c r="A865" s="12"/>
      <c r="B865" s="12"/>
      <c r="C865" s="12"/>
      <c r="D865" s="12"/>
      <c r="E865" s="12"/>
      <c r="F865" s="12"/>
      <c r="G865" s="12"/>
    </row>
    <row r="866" spans="1:7" s="64" customFormat="1" x14ac:dyDescent="0.2">
      <c r="A866" s="12"/>
      <c r="B866" s="12"/>
      <c r="C866" s="12"/>
      <c r="D866" s="12"/>
      <c r="E866" s="12"/>
      <c r="F866" s="12"/>
      <c r="G866" s="12"/>
    </row>
    <row r="867" spans="1:7" s="64" customFormat="1" x14ac:dyDescent="0.2">
      <c r="A867" s="12"/>
      <c r="B867" s="12"/>
      <c r="C867" s="12"/>
      <c r="D867" s="12"/>
      <c r="E867" s="12"/>
      <c r="F867" s="12"/>
      <c r="G867" s="12"/>
    </row>
    <row r="868" spans="1:7" s="64" customFormat="1" x14ac:dyDescent="0.2">
      <c r="A868" s="12"/>
      <c r="B868" s="12"/>
      <c r="C868" s="12"/>
      <c r="D868" s="12"/>
      <c r="E868" s="12"/>
      <c r="F868" s="12"/>
      <c r="G868" s="12"/>
    </row>
    <row r="869" spans="1:7" s="64" customFormat="1" x14ac:dyDescent="0.2">
      <c r="A869" s="12"/>
      <c r="B869" s="12"/>
      <c r="C869" s="12"/>
      <c r="D869" s="12"/>
      <c r="E869" s="12"/>
      <c r="F869" s="12"/>
      <c r="G869" s="12"/>
    </row>
    <row r="870" spans="1:7" s="64" customFormat="1" x14ac:dyDescent="0.2">
      <c r="A870" s="12"/>
      <c r="B870" s="12"/>
      <c r="C870" s="12"/>
      <c r="D870" s="12"/>
      <c r="E870" s="12"/>
      <c r="F870" s="12"/>
      <c r="G870" s="12"/>
    </row>
    <row r="871" spans="1:7" s="64" customFormat="1" x14ac:dyDescent="0.2">
      <c r="A871" s="12"/>
      <c r="B871" s="12"/>
      <c r="C871" s="12"/>
      <c r="D871" s="12"/>
      <c r="E871" s="12"/>
      <c r="F871" s="12"/>
      <c r="G871" s="12"/>
    </row>
    <row r="872" spans="1:7" s="64" customFormat="1" x14ac:dyDescent="0.2">
      <c r="A872" s="12"/>
      <c r="B872" s="12"/>
      <c r="C872" s="12"/>
      <c r="D872" s="12"/>
      <c r="E872" s="12"/>
      <c r="F872" s="12"/>
      <c r="G872" s="12"/>
    </row>
    <row r="873" spans="1:7" s="64" customFormat="1" x14ac:dyDescent="0.2">
      <c r="A873" s="12"/>
      <c r="B873" s="12"/>
      <c r="C873" s="12"/>
      <c r="D873" s="12"/>
      <c r="E873" s="12"/>
      <c r="F873" s="12"/>
      <c r="G873" s="12"/>
    </row>
    <row r="874" spans="1:7" s="64" customFormat="1" x14ac:dyDescent="0.2">
      <c r="A874" s="12"/>
      <c r="B874" s="12"/>
      <c r="C874" s="12"/>
      <c r="D874" s="12"/>
      <c r="E874" s="12"/>
      <c r="F874" s="12"/>
      <c r="G874" s="12"/>
    </row>
    <row r="875" spans="1:7" s="64" customFormat="1" x14ac:dyDescent="0.2">
      <c r="A875" s="12"/>
      <c r="B875" s="12"/>
      <c r="C875" s="12"/>
      <c r="D875" s="12"/>
      <c r="E875" s="12"/>
      <c r="F875" s="12"/>
      <c r="G875" s="12"/>
    </row>
    <row r="876" spans="1:7" s="64" customFormat="1" x14ac:dyDescent="0.2">
      <c r="A876" s="12"/>
      <c r="B876" s="12"/>
      <c r="C876" s="12"/>
      <c r="D876" s="12"/>
      <c r="E876" s="12"/>
      <c r="F876" s="12"/>
      <c r="G876" s="12"/>
    </row>
    <row r="877" spans="1:7" s="64" customFormat="1" x14ac:dyDescent="0.2">
      <c r="A877" s="12"/>
      <c r="B877" s="12"/>
      <c r="C877" s="12"/>
      <c r="D877" s="12"/>
      <c r="E877" s="12"/>
      <c r="F877" s="12"/>
      <c r="G877" s="12"/>
    </row>
    <row r="878" spans="1:7" s="64" customFormat="1" x14ac:dyDescent="0.2">
      <c r="A878" s="12"/>
      <c r="B878" s="12"/>
      <c r="C878" s="12"/>
      <c r="D878" s="12"/>
      <c r="E878" s="12"/>
      <c r="F878" s="12"/>
      <c r="G878" s="12"/>
    </row>
    <row r="879" spans="1:7" s="64" customFormat="1" x14ac:dyDescent="0.2">
      <c r="A879" s="12"/>
      <c r="B879" s="12"/>
      <c r="C879" s="12"/>
      <c r="D879" s="12"/>
      <c r="E879" s="12"/>
      <c r="F879" s="12"/>
      <c r="G879" s="12"/>
    </row>
    <row r="880" spans="1:7" s="64" customFormat="1" x14ac:dyDescent="0.2">
      <c r="A880" s="12"/>
      <c r="B880" s="12"/>
      <c r="C880" s="12"/>
      <c r="D880" s="12"/>
      <c r="E880" s="12"/>
      <c r="F880" s="12"/>
      <c r="G880" s="12"/>
    </row>
    <row r="881" spans="1:7" s="64" customFormat="1" x14ac:dyDescent="0.2">
      <c r="A881" s="12"/>
      <c r="B881" s="12"/>
      <c r="C881" s="12"/>
      <c r="D881" s="12"/>
      <c r="E881" s="12"/>
      <c r="F881" s="12"/>
      <c r="G881" s="12"/>
    </row>
    <row r="882" spans="1:7" s="64" customFormat="1" x14ac:dyDescent="0.2">
      <c r="A882" s="12"/>
      <c r="B882" s="12"/>
      <c r="C882" s="12"/>
      <c r="D882" s="12"/>
      <c r="E882" s="12"/>
      <c r="F882" s="12"/>
      <c r="G882" s="12"/>
    </row>
    <row r="883" spans="1:7" s="64" customFormat="1" x14ac:dyDescent="0.2">
      <c r="A883" s="12"/>
      <c r="B883" s="12"/>
      <c r="C883" s="12"/>
      <c r="D883" s="12"/>
      <c r="E883" s="12"/>
      <c r="F883" s="12"/>
      <c r="G883" s="12"/>
    </row>
    <row r="884" spans="1:7" s="64" customFormat="1" x14ac:dyDescent="0.2">
      <c r="A884" s="12"/>
      <c r="B884" s="12"/>
      <c r="C884" s="12"/>
      <c r="D884" s="12"/>
      <c r="E884" s="12"/>
      <c r="F884" s="12"/>
      <c r="G884" s="12"/>
    </row>
    <row r="885" spans="1:7" s="64" customFormat="1" x14ac:dyDescent="0.2">
      <c r="A885" s="12"/>
      <c r="B885" s="12"/>
      <c r="C885" s="12"/>
      <c r="D885" s="12"/>
      <c r="E885" s="12"/>
      <c r="F885" s="12"/>
      <c r="G885" s="12"/>
    </row>
    <row r="886" spans="1:7" s="64" customFormat="1" x14ac:dyDescent="0.2">
      <c r="A886" s="12"/>
      <c r="B886" s="12"/>
      <c r="C886" s="12"/>
      <c r="D886" s="12"/>
      <c r="E886" s="12"/>
      <c r="F886" s="12"/>
      <c r="G886" s="12"/>
    </row>
    <row r="887" spans="1:7" s="64" customFormat="1" x14ac:dyDescent="0.2">
      <c r="A887" s="12"/>
      <c r="B887" s="12"/>
      <c r="C887" s="12"/>
      <c r="D887" s="12"/>
      <c r="E887" s="12"/>
      <c r="F887" s="12"/>
      <c r="G887" s="12"/>
    </row>
    <row r="888" spans="1:7" s="64" customFormat="1" x14ac:dyDescent="0.2">
      <c r="A888" s="12"/>
      <c r="B888" s="12"/>
      <c r="C888" s="12"/>
      <c r="D888" s="12"/>
      <c r="E888" s="12"/>
      <c r="F888" s="12"/>
      <c r="G888" s="12"/>
    </row>
    <row r="889" spans="1:7" s="64" customFormat="1" x14ac:dyDescent="0.2">
      <c r="A889" s="12"/>
      <c r="B889" s="12"/>
      <c r="C889" s="12"/>
      <c r="D889" s="12"/>
      <c r="E889" s="12"/>
      <c r="F889" s="12"/>
      <c r="G889" s="12"/>
    </row>
    <row r="890" spans="1:7" s="64" customFormat="1" x14ac:dyDescent="0.2">
      <c r="A890" s="12"/>
      <c r="B890" s="12"/>
      <c r="C890" s="12"/>
      <c r="D890" s="12"/>
      <c r="E890" s="12"/>
      <c r="F890" s="12"/>
      <c r="G890" s="12"/>
    </row>
    <row r="891" spans="1:7" s="64" customFormat="1" x14ac:dyDescent="0.2">
      <c r="A891" s="12"/>
      <c r="B891" s="12"/>
      <c r="C891" s="12"/>
      <c r="D891" s="12"/>
      <c r="E891" s="12"/>
      <c r="F891" s="12"/>
      <c r="G891" s="12"/>
    </row>
    <row r="892" spans="1:7" s="64" customFormat="1" x14ac:dyDescent="0.2">
      <c r="A892" s="12"/>
      <c r="B892" s="12"/>
      <c r="C892" s="12"/>
      <c r="D892" s="12"/>
      <c r="E892" s="12"/>
      <c r="F892" s="12"/>
      <c r="G892" s="12"/>
    </row>
    <row r="893" spans="1:7" s="64" customFormat="1" x14ac:dyDescent="0.2">
      <c r="A893" s="12"/>
      <c r="B893" s="12"/>
      <c r="C893" s="12"/>
      <c r="D893" s="12"/>
      <c r="E893" s="12"/>
      <c r="F893" s="12"/>
      <c r="G893" s="12"/>
    </row>
    <row r="894" spans="1:7" s="64" customFormat="1" x14ac:dyDescent="0.2">
      <c r="A894" s="12"/>
      <c r="B894" s="12"/>
      <c r="C894" s="12"/>
      <c r="D894" s="12"/>
      <c r="E894" s="12"/>
      <c r="F894" s="12"/>
      <c r="G894" s="12"/>
    </row>
    <row r="895" spans="1:7" s="64" customFormat="1" x14ac:dyDescent="0.2">
      <c r="A895" s="12"/>
      <c r="B895" s="12"/>
      <c r="C895" s="12"/>
      <c r="D895" s="12"/>
      <c r="E895" s="12"/>
      <c r="F895" s="12"/>
      <c r="G895" s="12"/>
    </row>
    <row r="896" spans="1:7" s="64" customFormat="1" x14ac:dyDescent="0.2">
      <c r="A896" s="12"/>
      <c r="B896" s="12"/>
      <c r="C896" s="12"/>
      <c r="D896" s="12"/>
      <c r="E896" s="12"/>
      <c r="F896" s="12"/>
      <c r="G896" s="12"/>
    </row>
    <row r="897" spans="1:7" s="64" customFormat="1" x14ac:dyDescent="0.2">
      <c r="A897" s="12"/>
      <c r="B897" s="12"/>
      <c r="C897" s="12"/>
      <c r="D897" s="12"/>
      <c r="E897" s="12"/>
      <c r="F897" s="12"/>
      <c r="G897" s="12"/>
    </row>
    <row r="898" spans="1:7" s="64" customFormat="1" x14ac:dyDescent="0.2">
      <c r="A898" s="12"/>
      <c r="B898" s="12"/>
      <c r="C898" s="12"/>
      <c r="D898" s="12"/>
      <c r="E898" s="12"/>
      <c r="F898" s="12"/>
      <c r="G898" s="12"/>
    </row>
    <row r="899" spans="1:7" s="64" customFormat="1" x14ac:dyDescent="0.2">
      <c r="A899" s="12"/>
      <c r="B899" s="12"/>
      <c r="C899" s="12"/>
      <c r="D899" s="12"/>
      <c r="E899" s="12"/>
      <c r="F899" s="12"/>
      <c r="G899" s="12"/>
    </row>
    <row r="900" spans="1:7" s="64" customFormat="1" x14ac:dyDescent="0.2">
      <c r="A900" s="12"/>
      <c r="B900" s="12"/>
      <c r="C900" s="12"/>
      <c r="D900" s="12"/>
      <c r="E900" s="12"/>
      <c r="F900" s="12"/>
      <c r="G900" s="12"/>
    </row>
    <row r="901" spans="1:7" s="64" customFormat="1" x14ac:dyDescent="0.2">
      <c r="A901" s="12"/>
      <c r="B901" s="12"/>
      <c r="C901" s="12"/>
      <c r="D901" s="12"/>
      <c r="E901" s="12"/>
      <c r="F901" s="12"/>
      <c r="G901" s="12"/>
    </row>
    <row r="902" spans="1:7" s="64" customFormat="1" x14ac:dyDescent="0.2">
      <c r="A902" s="12"/>
      <c r="B902" s="12"/>
      <c r="C902" s="12"/>
      <c r="D902" s="12"/>
      <c r="E902" s="12"/>
      <c r="F902" s="12"/>
      <c r="G902" s="12"/>
    </row>
    <row r="903" spans="1:7" s="64" customFormat="1" x14ac:dyDescent="0.2">
      <c r="A903" s="12"/>
      <c r="B903" s="12"/>
      <c r="C903" s="12"/>
      <c r="D903" s="12"/>
      <c r="E903" s="12"/>
      <c r="F903" s="12"/>
      <c r="G903" s="12"/>
    </row>
    <row r="904" spans="1:7" s="64" customFormat="1" x14ac:dyDescent="0.2">
      <c r="A904" s="12"/>
      <c r="B904" s="12"/>
      <c r="C904" s="12"/>
      <c r="D904" s="12"/>
      <c r="E904" s="12"/>
      <c r="F904" s="12"/>
      <c r="G904" s="12"/>
    </row>
    <row r="905" spans="1:7" s="64" customFormat="1" x14ac:dyDescent="0.2">
      <c r="A905" s="12"/>
      <c r="B905" s="12"/>
      <c r="C905" s="12"/>
      <c r="D905" s="12"/>
      <c r="E905" s="12"/>
      <c r="F905" s="12"/>
      <c r="G905" s="12"/>
    </row>
    <row r="906" spans="1:7" s="64" customFormat="1" x14ac:dyDescent="0.2">
      <c r="A906" s="12"/>
      <c r="B906" s="12"/>
      <c r="C906" s="12"/>
      <c r="D906" s="12"/>
      <c r="E906" s="12"/>
      <c r="F906" s="12"/>
      <c r="G906" s="12"/>
    </row>
    <row r="907" spans="1:7" s="64" customFormat="1" x14ac:dyDescent="0.2">
      <c r="A907" s="12"/>
      <c r="B907" s="12"/>
      <c r="C907" s="12"/>
      <c r="D907" s="12"/>
      <c r="E907" s="12"/>
      <c r="F907" s="12"/>
      <c r="G907" s="12"/>
    </row>
    <row r="908" spans="1:7" s="64" customFormat="1" x14ac:dyDescent="0.2">
      <c r="A908" s="12"/>
      <c r="B908" s="12"/>
      <c r="C908" s="12"/>
      <c r="D908" s="12"/>
      <c r="E908" s="12"/>
      <c r="F908" s="12"/>
      <c r="G908" s="12"/>
    </row>
    <row r="909" spans="1:7" s="64" customFormat="1" x14ac:dyDescent="0.2">
      <c r="A909" s="12"/>
      <c r="B909" s="12"/>
      <c r="C909" s="12"/>
      <c r="D909" s="12"/>
      <c r="E909" s="12"/>
      <c r="F909" s="12"/>
      <c r="G909" s="12"/>
    </row>
    <row r="910" spans="1:7" s="64" customFormat="1" x14ac:dyDescent="0.2">
      <c r="A910" s="12"/>
      <c r="B910" s="12"/>
      <c r="C910" s="12"/>
      <c r="D910" s="12"/>
      <c r="E910" s="12"/>
      <c r="F910" s="12"/>
      <c r="G910" s="12"/>
    </row>
    <row r="911" spans="1:7" s="64" customFormat="1" x14ac:dyDescent="0.2">
      <c r="A911" s="12"/>
      <c r="B911" s="12"/>
      <c r="C911" s="12"/>
      <c r="D911" s="12"/>
      <c r="E911" s="12"/>
      <c r="F911" s="12"/>
      <c r="G911" s="12"/>
    </row>
    <row r="912" spans="1:7" s="64" customFormat="1" x14ac:dyDescent="0.2">
      <c r="A912" s="12"/>
      <c r="B912" s="12"/>
      <c r="C912" s="12"/>
      <c r="D912" s="12"/>
      <c r="E912" s="12"/>
      <c r="F912" s="12"/>
      <c r="G912" s="12"/>
    </row>
    <row r="913" spans="1:7" s="64" customFormat="1" x14ac:dyDescent="0.2">
      <c r="A913" s="12"/>
      <c r="B913" s="12"/>
      <c r="C913" s="12"/>
      <c r="D913" s="12"/>
      <c r="E913" s="12"/>
      <c r="F913" s="12"/>
      <c r="G913" s="12"/>
    </row>
    <row r="914" spans="1:7" s="64" customFormat="1" x14ac:dyDescent="0.2">
      <c r="A914" s="12"/>
      <c r="B914" s="12"/>
      <c r="C914" s="12"/>
      <c r="D914" s="12"/>
      <c r="E914" s="12"/>
      <c r="F914" s="12"/>
      <c r="G914" s="12"/>
    </row>
    <row r="915" spans="1:7" s="64" customFormat="1" x14ac:dyDescent="0.2">
      <c r="A915" s="12"/>
      <c r="B915" s="12"/>
      <c r="C915" s="12"/>
      <c r="D915" s="12"/>
      <c r="E915" s="12"/>
      <c r="F915" s="12"/>
      <c r="G915" s="12"/>
    </row>
    <row r="916" spans="1:7" s="64" customFormat="1" x14ac:dyDescent="0.2">
      <c r="A916" s="12"/>
      <c r="B916" s="12"/>
      <c r="C916" s="12"/>
      <c r="D916" s="12"/>
      <c r="E916" s="12"/>
      <c r="F916" s="12"/>
      <c r="G916" s="12"/>
    </row>
    <row r="917" spans="1:7" s="64" customFormat="1" x14ac:dyDescent="0.2">
      <c r="A917" s="12"/>
      <c r="B917" s="12"/>
      <c r="C917" s="12"/>
      <c r="D917" s="12"/>
      <c r="E917" s="12"/>
      <c r="F917" s="12"/>
      <c r="G917" s="12"/>
    </row>
    <row r="918" spans="1:7" s="64" customFormat="1" x14ac:dyDescent="0.2">
      <c r="A918" s="12"/>
      <c r="B918" s="12"/>
      <c r="C918" s="12"/>
      <c r="D918" s="12"/>
      <c r="E918" s="12"/>
      <c r="F918" s="12"/>
      <c r="G918" s="12"/>
    </row>
    <row r="919" spans="1:7" s="64" customFormat="1" x14ac:dyDescent="0.2">
      <c r="A919" s="12"/>
      <c r="B919" s="12"/>
      <c r="C919" s="12"/>
      <c r="D919" s="12"/>
      <c r="E919" s="12"/>
      <c r="F919" s="12"/>
      <c r="G919" s="12"/>
    </row>
    <row r="920" spans="1:7" s="64" customFormat="1" x14ac:dyDescent="0.2">
      <c r="A920" s="12"/>
      <c r="B920" s="12"/>
      <c r="C920" s="12"/>
      <c r="D920" s="12"/>
      <c r="E920" s="12"/>
      <c r="F920" s="12"/>
      <c r="G920" s="12"/>
    </row>
    <row r="921" spans="1:7" s="64" customFormat="1" x14ac:dyDescent="0.2">
      <c r="A921" s="12"/>
      <c r="B921" s="12"/>
      <c r="C921" s="12"/>
      <c r="D921" s="12"/>
      <c r="E921" s="12"/>
      <c r="F921" s="12"/>
      <c r="G921" s="12"/>
    </row>
    <row r="922" spans="1:7" s="64" customFormat="1" x14ac:dyDescent="0.2">
      <c r="A922" s="12"/>
      <c r="B922" s="12"/>
      <c r="C922" s="12"/>
      <c r="D922" s="12"/>
      <c r="E922" s="12"/>
      <c r="F922" s="12"/>
      <c r="G922" s="12"/>
    </row>
    <row r="923" spans="1:7" s="64" customFormat="1" x14ac:dyDescent="0.2">
      <c r="A923" s="12"/>
      <c r="B923" s="12"/>
      <c r="C923" s="12"/>
      <c r="D923" s="12"/>
      <c r="E923" s="12"/>
      <c r="F923" s="12"/>
      <c r="G923" s="12"/>
    </row>
    <row r="924" spans="1:7" s="64" customFormat="1" x14ac:dyDescent="0.2">
      <c r="A924" s="12"/>
      <c r="B924" s="12"/>
      <c r="C924" s="12"/>
      <c r="D924" s="12"/>
      <c r="E924" s="12"/>
      <c r="F924" s="12"/>
      <c r="G924" s="12"/>
    </row>
    <row r="925" spans="1:7" s="64" customFormat="1" x14ac:dyDescent="0.2">
      <c r="A925" s="12"/>
      <c r="B925" s="12"/>
      <c r="C925" s="12"/>
      <c r="D925" s="12"/>
      <c r="E925" s="12"/>
      <c r="F925" s="12"/>
      <c r="G925" s="12"/>
    </row>
    <row r="926" spans="1:7" s="64" customFormat="1" x14ac:dyDescent="0.2">
      <c r="A926" s="12"/>
      <c r="B926" s="12"/>
      <c r="C926" s="12"/>
      <c r="D926" s="12"/>
      <c r="E926" s="12"/>
      <c r="F926" s="12"/>
      <c r="G926" s="12"/>
    </row>
    <row r="927" spans="1:7" s="64" customFormat="1" x14ac:dyDescent="0.2">
      <c r="A927" s="12"/>
      <c r="B927" s="12"/>
      <c r="C927" s="12"/>
      <c r="D927" s="12"/>
      <c r="E927" s="12"/>
      <c r="F927" s="12"/>
      <c r="G927" s="12"/>
    </row>
    <row r="928" spans="1:7" s="64" customFormat="1" x14ac:dyDescent="0.2">
      <c r="A928" s="12"/>
      <c r="B928" s="12"/>
      <c r="C928" s="12"/>
      <c r="D928" s="12"/>
      <c r="E928" s="12"/>
      <c r="F928" s="12"/>
      <c r="G928" s="12"/>
    </row>
    <row r="929" spans="1:7" s="64" customFormat="1" x14ac:dyDescent="0.2">
      <c r="A929" s="12"/>
      <c r="B929" s="12"/>
      <c r="C929" s="12"/>
      <c r="D929" s="12"/>
      <c r="E929" s="12"/>
      <c r="F929" s="12"/>
      <c r="G929" s="12"/>
    </row>
    <row r="930" spans="1:7" s="64" customFormat="1" x14ac:dyDescent="0.2">
      <c r="A930" s="12"/>
      <c r="B930" s="12"/>
      <c r="C930" s="12"/>
      <c r="D930" s="12"/>
      <c r="E930" s="12"/>
      <c r="F930" s="12"/>
      <c r="G930" s="12"/>
    </row>
    <row r="931" spans="1:7" s="64" customFormat="1" x14ac:dyDescent="0.2">
      <c r="A931" s="12"/>
      <c r="B931" s="12"/>
      <c r="C931" s="12"/>
      <c r="D931" s="12"/>
      <c r="E931" s="12"/>
      <c r="F931" s="12"/>
      <c r="G931" s="12"/>
    </row>
    <row r="932" spans="1:7" s="64" customFormat="1" x14ac:dyDescent="0.2">
      <c r="A932" s="12"/>
      <c r="B932" s="12"/>
      <c r="C932" s="12"/>
      <c r="D932" s="12"/>
      <c r="E932" s="12"/>
      <c r="F932" s="12"/>
      <c r="G932" s="12"/>
    </row>
    <row r="933" spans="1:7" s="64" customFormat="1" x14ac:dyDescent="0.2">
      <c r="A933" s="12"/>
      <c r="B933" s="12"/>
      <c r="C933" s="12"/>
      <c r="D933" s="12"/>
      <c r="E933" s="12"/>
      <c r="F933" s="12"/>
      <c r="G933" s="12"/>
    </row>
    <row r="934" spans="1:7" s="64" customFormat="1" x14ac:dyDescent="0.2">
      <c r="A934" s="12"/>
      <c r="B934" s="12"/>
      <c r="C934" s="12"/>
      <c r="D934" s="12"/>
      <c r="E934" s="12"/>
      <c r="F934" s="12"/>
      <c r="G934" s="12"/>
    </row>
    <row r="935" spans="1:7" s="64" customFormat="1" x14ac:dyDescent="0.2">
      <c r="A935" s="12"/>
      <c r="B935" s="12"/>
      <c r="C935" s="12"/>
      <c r="D935" s="12"/>
      <c r="E935" s="12"/>
      <c r="F935" s="12"/>
      <c r="G935" s="12"/>
    </row>
    <row r="936" spans="1:7" s="64" customFormat="1" x14ac:dyDescent="0.2">
      <c r="A936" s="12"/>
      <c r="B936" s="12"/>
      <c r="C936" s="12"/>
      <c r="D936" s="12"/>
      <c r="E936" s="12"/>
      <c r="F936" s="12"/>
      <c r="G936" s="12"/>
    </row>
    <row r="937" spans="1:7" s="64" customFormat="1" x14ac:dyDescent="0.2">
      <c r="A937" s="12"/>
      <c r="B937" s="12"/>
      <c r="C937" s="12"/>
      <c r="D937" s="12"/>
      <c r="E937" s="12"/>
      <c r="F937" s="12"/>
      <c r="G937" s="12"/>
    </row>
    <row r="938" spans="1:7" s="64" customFormat="1" x14ac:dyDescent="0.2">
      <c r="A938" s="12"/>
      <c r="B938" s="12"/>
      <c r="C938" s="12"/>
      <c r="D938" s="12"/>
      <c r="E938" s="12"/>
      <c r="F938" s="12"/>
      <c r="G938" s="12"/>
    </row>
    <row r="939" spans="1:7" s="64" customFormat="1" x14ac:dyDescent="0.2">
      <c r="A939" s="12"/>
      <c r="B939" s="12"/>
      <c r="C939" s="12"/>
      <c r="D939" s="12"/>
      <c r="E939" s="12"/>
      <c r="F939" s="12"/>
      <c r="G939" s="12"/>
    </row>
    <row r="940" spans="1:7" s="64" customFormat="1" x14ac:dyDescent="0.2">
      <c r="A940" s="12"/>
      <c r="B940" s="12"/>
      <c r="C940" s="12"/>
      <c r="D940" s="12"/>
      <c r="E940" s="12"/>
      <c r="F940" s="12"/>
      <c r="G940" s="12"/>
    </row>
    <row r="941" spans="1:7" s="64" customFormat="1" x14ac:dyDescent="0.2">
      <c r="A941" s="12"/>
      <c r="B941" s="12"/>
      <c r="C941" s="12"/>
      <c r="D941" s="12"/>
      <c r="E941" s="12"/>
      <c r="F941" s="12"/>
      <c r="G941" s="12"/>
    </row>
    <row r="942" spans="1:7" s="64" customFormat="1" x14ac:dyDescent="0.2">
      <c r="A942" s="12"/>
      <c r="B942" s="12"/>
      <c r="C942" s="12"/>
      <c r="D942" s="12"/>
      <c r="E942" s="12"/>
      <c r="F942" s="12"/>
      <c r="G942" s="12"/>
    </row>
    <row r="943" spans="1:7" s="64" customFormat="1" x14ac:dyDescent="0.2">
      <c r="A943" s="12"/>
      <c r="B943" s="12"/>
      <c r="C943" s="12"/>
      <c r="D943" s="12"/>
      <c r="E943" s="12"/>
      <c r="F943" s="12"/>
      <c r="G943" s="12"/>
    </row>
    <row r="944" spans="1:7" s="64" customFormat="1" x14ac:dyDescent="0.2">
      <c r="A944" s="12"/>
      <c r="B944" s="12"/>
      <c r="C944" s="12"/>
      <c r="D944" s="12"/>
      <c r="E944" s="12"/>
      <c r="F944" s="12"/>
      <c r="G944" s="12"/>
    </row>
    <row r="945" spans="1:7" s="64" customFormat="1" x14ac:dyDescent="0.2">
      <c r="A945" s="12"/>
      <c r="B945" s="12"/>
      <c r="C945" s="12"/>
      <c r="D945" s="12"/>
      <c r="E945" s="12"/>
      <c r="F945" s="12"/>
      <c r="G945" s="12"/>
    </row>
    <row r="946" spans="1:7" s="64" customFormat="1" x14ac:dyDescent="0.2">
      <c r="A946" s="12"/>
      <c r="B946" s="12"/>
      <c r="C946" s="12"/>
      <c r="D946" s="12"/>
      <c r="E946" s="12"/>
      <c r="F946" s="12"/>
      <c r="G946" s="12"/>
    </row>
    <row r="947" spans="1:7" s="64" customFormat="1" x14ac:dyDescent="0.2">
      <c r="A947" s="12"/>
      <c r="B947" s="12"/>
      <c r="C947" s="12"/>
      <c r="D947" s="12"/>
      <c r="E947" s="12"/>
      <c r="F947" s="12"/>
      <c r="G947" s="12"/>
    </row>
    <row r="948" spans="1:7" s="64" customFormat="1" x14ac:dyDescent="0.2">
      <c r="A948" s="12"/>
      <c r="B948" s="12"/>
      <c r="C948" s="12"/>
      <c r="D948" s="12"/>
      <c r="E948" s="12"/>
      <c r="F948" s="12"/>
      <c r="G948" s="12"/>
    </row>
    <row r="949" spans="1:7" s="64" customFormat="1" x14ac:dyDescent="0.2">
      <c r="A949" s="12"/>
      <c r="B949" s="12"/>
      <c r="C949" s="12"/>
      <c r="D949" s="12"/>
      <c r="E949" s="12"/>
      <c r="F949" s="12"/>
      <c r="G949" s="12"/>
    </row>
    <row r="950" spans="1:7" s="64" customFormat="1" x14ac:dyDescent="0.2">
      <c r="A950" s="12"/>
      <c r="B950" s="12"/>
      <c r="C950" s="12"/>
      <c r="D950" s="12"/>
      <c r="E950" s="12"/>
      <c r="F950" s="12"/>
      <c r="G950" s="12"/>
    </row>
    <row r="951" spans="1:7" s="64" customFormat="1" x14ac:dyDescent="0.2">
      <c r="A951" s="12"/>
      <c r="B951" s="12"/>
      <c r="C951" s="12"/>
      <c r="D951" s="12"/>
      <c r="E951" s="12"/>
      <c r="F951" s="12"/>
      <c r="G951" s="12"/>
    </row>
    <row r="952" spans="1:7" s="64" customFormat="1" x14ac:dyDescent="0.2">
      <c r="A952" s="12"/>
      <c r="B952" s="12"/>
      <c r="C952" s="12"/>
      <c r="D952" s="12"/>
      <c r="E952" s="12"/>
      <c r="F952" s="12"/>
      <c r="G952" s="12"/>
    </row>
    <row r="953" spans="1:7" s="64" customFormat="1" x14ac:dyDescent="0.2">
      <c r="A953" s="12"/>
      <c r="B953" s="12"/>
      <c r="C953" s="12"/>
      <c r="D953" s="12"/>
      <c r="E953" s="12"/>
      <c r="F953" s="12"/>
      <c r="G953" s="12"/>
    </row>
    <row r="954" spans="1:7" s="64" customFormat="1" x14ac:dyDescent="0.2">
      <c r="A954" s="12"/>
      <c r="B954" s="12"/>
      <c r="C954" s="12"/>
      <c r="D954" s="12"/>
      <c r="E954" s="12"/>
      <c r="F954" s="12"/>
      <c r="G954" s="12"/>
    </row>
    <row r="955" spans="1:7" s="64" customFormat="1" x14ac:dyDescent="0.2">
      <c r="A955" s="12"/>
      <c r="B955" s="12"/>
      <c r="C955" s="12"/>
      <c r="D955" s="12"/>
      <c r="E955" s="12"/>
      <c r="F955" s="12"/>
      <c r="G955" s="12"/>
    </row>
    <row r="956" spans="1:7" s="64" customFormat="1" x14ac:dyDescent="0.2">
      <c r="A956" s="12"/>
      <c r="B956" s="12"/>
      <c r="C956" s="12"/>
      <c r="D956" s="12"/>
      <c r="E956" s="12"/>
      <c r="F956" s="12"/>
      <c r="G956" s="12"/>
    </row>
    <row r="957" spans="1:7" s="64" customFormat="1" x14ac:dyDescent="0.2">
      <c r="A957" s="12"/>
      <c r="B957" s="12"/>
      <c r="C957" s="12"/>
      <c r="D957" s="12"/>
      <c r="E957" s="12"/>
      <c r="F957" s="12"/>
      <c r="G957" s="12"/>
    </row>
    <row r="958" spans="1:7" s="64" customFormat="1" x14ac:dyDescent="0.2">
      <c r="A958" s="12"/>
      <c r="B958" s="12"/>
      <c r="C958" s="12"/>
      <c r="D958" s="12"/>
      <c r="E958" s="12"/>
      <c r="F958" s="12"/>
      <c r="G958" s="12"/>
    </row>
    <row r="959" spans="1:7" s="64" customFormat="1" x14ac:dyDescent="0.2">
      <c r="A959" s="12"/>
      <c r="B959" s="12"/>
      <c r="C959" s="12"/>
      <c r="D959" s="12"/>
      <c r="E959" s="12"/>
      <c r="F959" s="12"/>
      <c r="G959" s="12"/>
    </row>
    <row r="960" spans="1:7" s="64" customFormat="1" x14ac:dyDescent="0.2">
      <c r="A960" s="12"/>
      <c r="B960" s="12"/>
      <c r="C960" s="12"/>
      <c r="D960" s="12"/>
      <c r="E960" s="12"/>
      <c r="F960" s="12"/>
      <c r="G960" s="12"/>
    </row>
    <row r="961" spans="1:7" s="64" customFormat="1" x14ac:dyDescent="0.2">
      <c r="A961" s="12"/>
      <c r="B961" s="12"/>
      <c r="C961" s="12"/>
      <c r="D961" s="12"/>
      <c r="E961" s="12"/>
      <c r="F961" s="12"/>
      <c r="G961" s="12"/>
    </row>
    <row r="962" spans="1:7" s="64" customFormat="1" x14ac:dyDescent="0.2">
      <c r="A962" s="12"/>
      <c r="B962" s="12"/>
      <c r="C962" s="12"/>
      <c r="D962" s="12"/>
      <c r="E962" s="12"/>
      <c r="F962" s="12"/>
      <c r="G962" s="12"/>
    </row>
    <row r="963" spans="1:7" s="64" customFormat="1" x14ac:dyDescent="0.2">
      <c r="A963" s="12"/>
      <c r="B963" s="12"/>
      <c r="C963" s="12"/>
      <c r="D963" s="12"/>
      <c r="E963" s="12"/>
      <c r="F963" s="12"/>
      <c r="G963" s="12"/>
    </row>
    <row r="964" spans="1:7" s="64" customFormat="1" x14ac:dyDescent="0.2">
      <c r="A964" s="12"/>
      <c r="B964" s="12"/>
      <c r="C964" s="12"/>
      <c r="D964" s="12"/>
      <c r="E964" s="12"/>
      <c r="F964" s="12"/>
      <c r="G964" s="12"/>
    </row>
    <row r="965" spans="1:7" s="64" customFormat="1" x14ac:dyDescent="0.2">
      <c r="A965" s="12"/>
      <c r="B965" s="12"/>
      <c r="C965" s="12"/>
      <c r="D965" s="12"/>
      <c r="E965" s="12"/>
      <c r="F965" s="12"/>
      <c r="G965" s="12"/>
    </row>
    <row r="966" spans="1:7" s="64" customFormat="1" x14ac:dyDescent="0.2">
      <c r="A966" s="12"/>
      <c r="B966" s="12"/>
      <c r="C966" s="12"/>
      <c r="D966" s="12"/>
      <c r="E966" s="12"/>
      <c r="F966" s="12"/>
      <c r="G966" s="12"/>
    </row>
    <row r="967" spans="1:7" s="64" customFormat="1" x14ac:dyDescent="0.2">
      <c r="A967" s="12"/>
      <c r="B967" s="12"/>
      <c r="C967" s="12"/>
      <c r="D967" s="12"/>
      <c r="E967" s="12"/>
      <c r="F967" s="12"/>
      <c r="G967" s="12"/>
    </row>
    <row r="968" spans="1:7" s="64" customFormat="1" x14ac:dyDescent="0.2">
      <c r="A968" s="12"/>
      <c r="B968" s="12"/>
      <c r="C968" s="12"/>
      <c r="D968" s="12"/>
      <c r="E968" s="12"/>
      <c r="F968" s="12"/>
      <c r="G968" s="12"/>
    </row>
    <row r="969" spans="1:7" s="64" customFormat="1" x14ac:dyDescent="0.2">
      <c r="A969" s="12"/>
      <c r="B969" s="12"/>
      <c r="C969" s="12"/>
      <c r="D969" s="12"/>
      <c r="E969" s="12"/>
      <c r="F969" s="12"/>
      <c r="G969" s="12"/>
    </row>
    <row r="970" spans="1:7" s="64" customFormat="1" x14ac:dyDescent="0.2">
      <c r="A970" s="12"/>
      <c r="B970" s="12"/>
      <c r="C970" s="12"/>
      <c r="D970" s="12"/>
      <c r="E970" s="12"/>
      <c r="F970" s="12"/>
      <c r="G970" s="12"/>
    </row>
    <row r="971" spans="1:7" s="64" customFormat="1" x14ac:dyDescent="0.2">
      <c r="A971" s="12"/>
      <c r="B971" s="12"/>
      <c r="C971" s="12"/>
      <c r="D971" s="12"/>
      <c r="E971" s="12"/>
      <c r="F971" s="12"/>
      <c r="G971" s="12"/>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2022-10-03T08:54:52Z</dcterms:modified>
</cp:coreProperties>
</file>