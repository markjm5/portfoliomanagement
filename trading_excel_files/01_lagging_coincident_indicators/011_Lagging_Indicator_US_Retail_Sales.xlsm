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70" yWindow="-14350" windowWidth="26180" windowHeight="13260" tabRatio="86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cent" xfId="8" builtinId="5"/>
  </cellStyles>
  <dxfs count="59">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Gas'!$A$8:$A$387</f>
              <numCache>
                <formatCode>[$-409]mmm\-yy;@</formatCode>
                <ptCount val="38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pt idx="373">
                  <v>44986</v>
                </pt>
              </numCache>
            </numRef>
          </cat>
          <val>
            <numRef>
              <f>'Retail Sales ex Auto and Gas'!$C$8:$C$387</f>
              <numCache>
                <formatCode>0.00%</formatCode>
                <ptCount val="380"/>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0.006216096714009943</v>
                </pt>
                <pt idx="358">
                  <v>-0.01527489887828311</v>
                </pt>
                <pt idx="359">
                  <v>0.01632378518516906</v>
                </pt>
                <pt idx="360">
                  <v>0.008288890316776971</v>
                </pt>
                <pt idx="361">
                  <v>0.01719772283116662</v>
                </pt>
                <pt idx="362">
                  <v>0.002574886813572347</v>
                </pt>
                <pt idx="363">
                  <v>0.007598591094567882</v>
                </pt>
                <pt idx="364">
                  <v>0.009174406754083314</v>
                </pt>
                <pt idx="365">
                  <v>0.002247144978747376</v>
                </pt>
                <pt idx="366">
                  <v>0.008821269150901747</v>
                </pt>
                <pt idx="367">
                  <v>0.004220118803536553</v>
                </pt>
                <pt idx="368">
                  <v>0.006641502125401729</v>
                </pt>
                <pt idx="369">
                  <v>-0.007333209075622842</v>
                </pt>
                <pt idx="370">
                  <v>-7.873952158674269e-05</v>
                </pt>
                <pt idx="371">
                  <v>0.02768618820227555</v>
                </pt>
                <pt idx="372">
                  <v>0.0004676046265351873</v>
                </pt>
                <pt idx="373">
                  <v>-0.00308514085405968</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Gas'!$A$8:$A$384</f>
              <numCache>
                <formatCode>[$-409]mmm\-yy;@</formatCode>
                <ptCount val="37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pt idx="373">
                  <v>44986</v>
                </pt>
              </numCache>
            </numRef>
          </cat>
          <val>
            <numRef>
              <f>'Retail Sales ex Auto and Gas'!$C$8:$C$384</f>
              <numCache>
                <formatCode>0.00%</formatCode>
                <ptCount val="377"/>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0.006216096714009943</v>
                </pt>
                <pt idx="358">
                  <v>-0.01527489887828311</v>
                </pt>
                <pt idx="359">
                  <v>0.01632378518516906</v>
                </pt>
                <pt idx="360">
                  <v>0.008288890316776971</v>
                </pt>
                <pt idx="361">
                  <v>0.01719772283116662</v>
                </pt>
                <pt idx="362">
                  <v>0.002574886813572347</v>
                </pt>
                <pt idx="363">
                  <v>0.007598591094567882</v>
                </pt>
                <pt idx="364">
                  <v>0.009174406754083314</v>
                </pt>
                <pt idx="365">
                  <v>0.002247144978747376</v>
                </pt>
                <pt idx="366">
                  <v>0.008821269150901747</v>
                </pt>
                <pt idx="367">
                  <v>0.004220118803536553</v>
                </pt>
                <pt idx="368">
                  <v>0.006641502125401729</v>
                </pt>
                <pt idx="369">
                  <v>-0.007333209075622842</v>
                </pt>
                <pt idx="370">
                  <v>-7.873952158674269e-05</v>
                </pt>
                <pt idx="371">
                  <v>0.02768618820227555</v>
                </pt>
                <pt idx="372">
                  <v>0.0004676046265351873</v>
                </pt>
                <pt idx="373">
                  <v>-0.00308514085405968</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Gas'!$A$19:$A$384</f>
              <numCache>
                <formatCode>[$-409]mmm\-yy;@</formatCode>
                <ptCount val="366"/>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pt idx="360">
                  <v>44927</v>
                </pt>
                <pt idx="361">
                  <v>44958</v>
                </pt>
                <pt idx="362">
                  <v>44986</v>
                </pt>
              </numCache>
            </numRef>
          </cat>
          <val>
            <numRef>
              <f>'Retail Sales ex Auto and Gas'!$D$19:$D$384</f>
              <numCache>
                <formatCode>0.00%</formatCode>
                <ptCount val="366"/>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0.1514276277066813</v>
                </pt>
                <pt idx="346">
                  <v>0.1700542243312249</v>
                </pt>
                <pt idx="347">
                  <v>0.170235096022804</v>
                </pt>
                <pt idx="348">
                  <v>0.1204840095419573</v>
                </pt>
                <pt idx="349">
                  <v>0.1533457954915733</v>
                </pt>
                <pt idx="350">
                  <v>0.06773100249732429</v>
                </pt>
                <pt idx="351">
                  <v>0.07545132580806305</v>
                </pt>
                <pt idx="352">
                  <v>0.08566125560799787</v>
                </pt>
                <pt idx="353">
                  <v>0.07264333771318834</v>
                </pt>
                <pt idx="354">
                  <v>0.09011752910377095</v>
                </pt>
                <pt idx="355">
                  <v>0.08362513913373744</v>
                </pt>
                <pt idx="356">
                  <v>0.08063721429132038</v>
                </pt>
                <pt idx="357">
                  <v>0.07619787117020932</v>
                </pt>
                <pt idx="358">
                  <v>0.06170621863726295</v>
                </pt>
                <pt idx="359">
                  <v>0.07809034134321308</v>
                </pt>
                <pt idx="360">
                  <v>0.09014328856904195</v>
                </pt>
                <pt idx="361">
                  <v>0.08168705922338347</v>
                </pt>
                <pt idx="362">
                  <v>0.06011828190520741</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'Retail Sales ex Auto and Gas'!$B$7:$B$384</f>
              <numCache>
                <formatCode>#,##0</formatCode>
                <ptCount val="378"/>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463635</v>
                </pt>
                <pt idx="358">
                  <v>466517</v>
                </pt>
                <pt idx="359">
                  <v>459391</v>
                </pt>
                <pt idx="360">
                  <v>466890</v>
                </pt>
                <pt idx="361">
                  <v>470760</v>
                </pt>
                <pt idx="362">
                  <v>478856</v>
                </pt>
                <pt idx="363">
                  <v>480089</v>
                </pt>
                <pt idx="364">
                  <v>483737</v>
                </pt>
                <pt idx="365">
                  <v>488175</v>
                </pt>
                <pt idx="366">
                  <v>489272</v>
                </pt>
                <pt idx="367">
                  <v>493588</v>
                </pt>
                <pt idx="368">
                  <v>495671</v>
                </pt>
                <pt idx="369">
                  <v>498963</v>
                </pt>
                <pt idx="370">
                  <v>495304</v>
                </pt>
                <pt idx="371">
                  <v>495265</v>
                </pt>
                <pt idx="372">
                  <v>508977</v>
                </pt>
                <pt idx="373">
                  <v>509215</v>
                </pt>
                <pt idx="374">
                  <v>507644</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'Retail Sales'!$D$7:$D$386</f>
              <numCache>
                <formatCode>General</formatCode>
                <ptCount val="380"/>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0.164485345851006</v>
                </pt>
                <pt idx="358">
                  <formatCode>0.00%</formatCode>
                  <v>0.1881051938643042</v>
                </pt>
                <pt idx="359">
                  <formatCode>0.00%</formatCode>
                  <v>0.1774241079157626</v>
                </pt>
                <pt idx="360">
                  <formatCode>0.00%</formatCode>
                  <v>0.1359235504222952</v>
                </pt>
                <pt idx="361">
                  <formatCode>0.00%</formatCode>
                  <v>0.1725580519152778</v>
                </pt>
                <pt idx="362">
                  <formatCode>0.00%</formatCode>
                  <v>0.07379049463747202</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0.08387920128316573</v>
                </pt>
                <pt idx="369">
                  <formatCode>0.00%</formatCode>
                  <v>0.08012190019421599</v>
                </pt>
                <pt idx="370">
                  <formatCode>0.00%</formatCode>
                  <v>0.05924331251199445</v>
                </pt>
                <pt idx="371">
                  <formatCode>0.00%</formatCode>
                  <v>0.06185463800285637</v>
                </pt>
                <pt idx="372">
                  <formatCode>0.00%</formatCode>
                  <v>0.07587423657024475</v>
                </pt>
                <pt idx="373">
                  <formatCode>0.00%</formatCode>
                  <v>0.05879214649687321</v>
                </pt>
                <pt idx="374">
                  <formatCode>0.00%</formatCode>
                  <v>0.02941938134019146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Sales'!$A$7:$A$389</f>
              <numCache>
                <formatCode>[$-409]mmm\-yy;@</formatCode>
                <ptCount val="38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'Retail Sales'!$B$7:$B$389</f>
              <numCache>
                <formatCode>#,##0</formatCode>
                <ptCount val="383"/>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640524</v>
                </pt>
                <pt idx="358">
                  <v>646132</v>
                </pt>
                <pt idx="359">
                  <v>639273</v>
                </pt>
                <pt idx="360">
                  <v>650682</v>
                </pt>
                <pt idx="361">
                  <v>659782</v>
                </pt>
                <pt idx="362">
                  <v>671904</v>
                </pt>
                <pt idx="363">
                  <v>674719</v>
                </pt>
                <pt idx="364">
                  <v>677115</v>
                </pt>
                <pt idx="365">
                  <v>684084</v>
                </pt>
                <pt idx="366">
                  <v>681108</v>
                </pt>
                <pt idx="367">
                  <v>685685</v>
                </pt>
                <pt idx="368">
                  <v>684538</v>
                </pt>
                <pt idx="369">
                  <v>691844</v>
                </pt>
                <pt idx="370">
                  <v>684411</v>
                </pt>
                <pt idx="371">
                  <v>678815</v>
                </pt>
                <pt idx="372">
                  <v>700052</v>
                </pt>
                <pt idx="373">
                  <v>698572</v>
                </pt>
                <pt idx="374">
                  <v>691671</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Auto'!$A$19:$A$386</f>
              <numCache>
                <formatCode>[$-409]mmm\-yy;@</formatCode>
                <ptCount val="368"/>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pt idx="360">
                  <v>44927</v>
                </pt>
                <pt idx="361">
                  <v>44958</v>
                </pt>
                <pt idx="362">
                  <v>44986</v>
                </pt>
              </numCache>
            </numRef>
          </cat>
          <val>
            <numRef>
              <f>'Retail Sales ex Auto'!$C$19:$C$386</f>
              <numCache>
                <formatCode>0.00%</formatCode>
                <ptCount val="368"/>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0.01441022114870384</v>
                </pt>
                <pt idx="346">
                  <v>0.00696950912177233</v>
                </pt>
                <pt idx="347">
                  <v>-0.01000122737977432</v>
                </pt>
                <pt idx="348">
                  <v>0.01215177220609003</v>
                </pt>
                <pt idx="349">
                  <v>0.01407480277285481</v>
                </pt>
                <pt idx="350">
                  <v>0.0251789192372152</v>
                </pt>
                <pt idx="351">
                  <v>0.001323664507197311</v>
                </pt>
                <pt idx="352">
                  <v>0.01253336961397883</v>
                </pt>
                <pt idx="353">
                  <v>0.01135775568568705</v>
                </pt>
                <pt idx="354">
                  <v>-0.0007630435563215915</v>
                </pt>
                <pt idx="355">
                  <v>0.001762629030374357</v>
                </pt>
                <pt idx="356">
                  <v>-0.0008053291626011593</v>
                </pt>
                <pt idx="357">
                  <v>0.009592756607136767</v>
                </pt>
                <pt idx="358">
                  <v>-0.008130775152863196</v>
                </pt>
                <pt idx="359">
                  <v>-0.005859914171706778</v>
                </pt>
                <pt idx="360">
                  <v>0.02299360427271367</v>
                </pt>
                <pt idx="361">
                  <v>0.0003930616683793345</v>
                </pt>
                <pt idx="362">
                  <v>-0.008376147888167679</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Auto'!$A$7:$A$388</f>
              <numCache>
                <formatCode>[$-409]mmm\-yy;@</formatCode>
                <ptCount val="38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'Retail Sales ex Auto'!$B$7:$B$388</f>
              <numCache>
                <formatCode>#,##0</formatCode>
                <ptCount val="382"/>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517827</v>
                </pt>
                <pt idx="358">
                  <v>521436</v>
                </pt>
                <pt idx="359">
                  <v>516221</v>
                </pt>
                <pt idx="360">
                  <v>522494</v>
                </pt>
                <pt idx="361">
                  <v>529848</v>
                </pt>
                <pt idx="362">
                  <v>543189</v>
                </pt>
                <pt idx="363">
                  <v>543908</v>
                </pt>
                <pt idx="364">
                  <v>550725</v>
                </pt>
                <pt idx="365">
                  <v>556980</v>
                </pt>
                <pt idx="366">
                  <v>556555</v>
                </pt>
                <pt idx="367">
                  <v>557536</v>
                </pt>
                <pt idx="368">
                  <v>557087</v>
                </pt>
                <pt idx="369">
                  <v>562431</v>
                </pt>
                <pt idx="370">
                  <v>557858</v>
                </pt>
                <pt idx="371">
                  <v>554589</v>
                </pt>
                <pt idx="372">
                  <v>567341</v>
                </pt>
                <pt idx="373">
                  <v>567564</v>
                </pt>
                <pt idx="374">
                  <v>562810</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Auto'!$A$7:$A$389</f>
              <numCache>
                <formatCode>[$-409]mmm\-yy;@</formatCode>
                <ptCount val="38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'Retail Sales ex Auto'!$D$7:$D$389</f>
              <numCache>
                <formatCode>General</formatCode>
                <ptCount val="383"/>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0.1779852452415563</v>
                </pt>
                <pt idx="358">
                  <formatCode>0.00%</formatCode>
                  <v>0.1989597776076265</v>
                </pt>
                <pt idx="359">
                  <formatCode>0.00%</formatCode>
                  <v>0.1953544700085214</v>
                </pt>
                <pt idx="360">
                  <formatCode>0.00%</formatCode>
                  <v>0.1413399156818629</v>
                </pt>
                <pt idx="361">
                  <formatCode>0.00%</formatCode>
                  <v>0.1750637599520969</v>
                </pt>
                <pt idx="362">
                  <formatCode>0.00%</formatCode>
                  <v>0.09818125209754441</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0.09131958524578282</v>
                </pt>
                <pt idx="369">
                  <formatCode>0.00%</formatCode>
                  <v>0.08613687582918619</v>
                </pt>
                <pt idx="370">
                  <formatCode>0.00%</formatCode>
                  <v>0.06984941584393867</v>
                </pt>
                <pt idx="371">
                  <formatCode>0.00%</formatCode>
                  <v>0.07432475625749436</v>
                </pt>
                <pt idx="372">
                  <formatCode>0.00%</formatCode>
                  <v>0.08583256458447369</v>
                </pt>
                <pt idx="373">
                  <formatCode>0.00%</formatCode>
                  <v>0.07118267880599718</v>
                </pt>
                <pt idx="374">
                  <formatCode>0.00%</formatCode>
                  <v>0.03612186550169462</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pt idx="360">
                  <v>44927</v>
                </pt>
                <pt idx="361">
                  <v>44958</v>
                </pt>
                <pt idx="362">
                  <v>44986</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0.08102174069024898</v>
                </pt>
                <pt idx="346">
                  <v>0.0718381017257039</v>
                </pt>
                <pt idx="347">
                  <v>0.08679250675163969</v>
                </pt>
                <pt idx="348">
                  <v>0.07901749834322697</v>
                </pt>
                <pt idx="349">
                  <v>0.08042948329552339</v>
                </pt>
                <pt idx="350">
                  <v>0.0851645654826179</v>
                </pt>
                <pt idx="351">
                  <v>0.07343298510780173</v>
                </pt>
                <pt idx="352">
                  <v>0.07694747001240866</v>
                </pt>
                <pt idx="353">
                  <v>0.08047486186334045</v>
                </pt>
                <pt idx="354">
                  <v>0.08308873954190098</v>
                </pt>
                <pt idx="355">
                  <v>0.07062158331646082</v>
                </pt>
                <pt idx="356">
                  <v>0.07080795233951402</v>
                </pt>
                <pt idx="357">
                  <v>0.07468372914205307</v>
                </pt>
                <pt idx="358">
                  <v>0.0770860365966687</v>
                </pt>
                <pt idx="359">
                  <v>0.06375481546734686</v>
                </pt>
                <pt idx="360">
                  <v>0.05451813132963084</v>
                </pt>
                <pt idx="361">
                  <v>0.06087875112484839</v>
                </pt>
                <pt idx="362">
                  <v>0.0501925512393063</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'Food and Beverage'!$B$7:$B$381</f>
              <numCache>
                <formatCode>#,##0</formatCode>
                <ptCount val="375"/>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75331</v>
                </pt>
                <pt idx="358">
                  <v>75526</v>
                </pt>
                <pt idx="359">
                  <v>76057</v>
                </pt>
                <pt idx="360">
                  <v>76525</v>
                </pt>
                <pt idx="361">
                  <v>76677</v>
                </pt>
                <pt idx="362">
                  <v>77382</v>
                </pt>
                <pt idx="363">
                  <v>77270</v>
                </pt>
                <pt idx="364">
                  <v>78111</v>
                </pt>
                <pt idx="365">
                  <v>79000</v>
                </pt>
                <pt idx="366">
                  <v>78968</v>
                </pt>
                <pt idx="367">
                  <v>79317</v>
                </pt>
                <pt idx="368">
                  <v>79984</v>
                </pt>
                <pt idx="369">
                  <v>80957</v>
                </pt>
                <pt idx="370">
                  <v>81348</v>
                </pt>
                <pt idx="371">
                  <v>80906</v>
                </pt>
                <pt idx="372">
                  <v>80697</v>
                </pt>
                <pt idx="373">
                  <v>81345</v>
                </pt>
                <pt idx="374">
                  <v>81266</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'Non Store Retail'!$B$7:$B$380</f>
              <numCache>
                <formatCode>#,##0</formatCode>
                <ptCount val="374"/>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99875</v>
                </pt>
                <pt idx="358">
                  <v>100838</v>
                </pt>
                <pt idx="359">
                  <v>95635</v>
                </pt>
                <pt idx="360">
                  <v>103873</v>
                </pt>
                <pt idx="361">
                  <v>103925</v>
                </pt>
                <pt idx="362">
                  <v>102879</v>
                </pt>
                <pt idx="363">
                  <v>104003</v>
                </pt>
                <pt idx="364">
                  <v>106789</v>
                </pt>
                <pt idx="365">
                  <v>107157</v>
                </pt>
                <pt idx="366">
                  <v>108939</v>
                </pt>
                <pt idx="367">
                  <v>109557</v>
                </pt>
                <pt idx="368">
                  <v>109410</v>
                </pt>
                <pt idx="369">
                  <v>110472</v>
                </pt>
                <pt idx="370">
                  <v>109436</v>
                </pt>
                <pt idx="371">
                  <v>109017</v>
                </pt>
                <pt idx="372">
                  <v>112010</v>
                </pt>
                <pt idx="373">
                  <v>113453</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'Non Store Retail'!$D$7:$D$383</f>
              <numCache>
                <formatCode>General</formatCode>
                <ptCount val="377"/>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0.1260753385272795</v>
                </pt>
                <pt idx="358">
                  <formatCode>0.00%</formatCode>
                  <v>0.1398632227434579</v>
                </pt>
                <pt idx="359">
                  <formatCode>0.00%</formatCode>
                  <v>0.1237823292323239</v>
                </pt>
                <pt idx="360">
                  <formatCode>0.00%</formatCode>
                  <v>0.1404464158276699</v>
                </pt>
                <pt idx="361">
                  <formatCode>0.00%</formatCode>
                  <v>0.1420706177126718</v>
                </pt>
                <pt idx="362">
                  <formatCode>0.00%</formatCode>
                  <v>0.03551046290424857</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0.1201548006634314</v>
                </pt>
                <pt idx="369">
                  <formatCode>0.00%</formatCode>
                  <v>0.1061026282853567</v>
                </pt>
                <pt idx="370">
                  <formatCode>0.00%</formatCode>
                  <v>0.08526547531684484</v>
                </pt>
                <pt idx="371">
                  <formatCode>0.00%</formatCode>
                  <v>0.1399278506822816</v>
                </pt>
                <pt idx="372">
                  <formatCode>0.00%</formatCode>
                  <v>0.07833604497800198</v>
                </pt>
                <pt idx="373">
                  <formatCode>0.00%</formatCode>
                  <v>0.09168150108251143</v>
                </pt>
                <pt idx="374">
                  <formatCode>0.00%</formatCode>
                  <v>0.1233293480690909</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Health!$B$7:$B$384</f>
              <numCache>
                <formatCode>#,##0</formatCode>
                <ptCount val="378"/>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32444</v>
                </pt>
                <pt idx="358">
                  <v>32628</v>
                </pt>
                <pt idx="359">
                  <v>32855</v>
                </pt>
                <pt idx="360">
                  <v>32815</v>
                </pt>
                <pt idx="361">
                  <v>32270</v>
                </pt>
                <pt idx="362">
                  <v>32700</v>
                </pt>
                <pt idx="363">
                  <v>32962</v>
                </pt>
                <pt idx="364">
                  <v>32985</v>
                </pt>
                <pt idx="365">
                  <v>33426</v>
                </pt>
                <pt idx="366">
                  <v>33641</v>
                </pt>
                <pt idx="367">
                  <v>33649</v>
                </pt>
                <pt idx="368">
                  <v>33932</v>
                </pt>
                <pt idx="369">
                  <v>33869</v>
                </pt>
                <pt idx="370">
                  <v>33971</v>
                </pt>
                <pt idx="371">
                  <v>33460</v>
                </pt>
                <pt idx="372">
                  <v>34537</v>
                </pt>
                <pt idx="373">
                  <v>34915</v>
                </pt>
                <pt idx="374">
                  <v>35010</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0.07537288697381504</v>
                </pt>
                <pt idx="358">
                  <formatCode>0.00%</formatCode>
                  <v>0.09865984241363054</v>
                </pt>
                <pt idx="359">
                  <formatCode>0.00%</formatCode>
                  <v>0.09706825163616936</v>
                </pt>
                <pt idx="360">
                  <formatCode>0.00%</formatCode>
                  <v>0.09467258231310671</v>
                </pt>
                <pt idx="361">
                  <formatCode>0.00%</formatCode>
                  <v>0.08507061197041023</v>
                </pt>
                <pt idx="362">
                  <formatCode>0.00%</formatCode>
                  <v>0.00978908686656579</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0.04050780411517586</v>
                </pt>
                <pt idx="369">
                  <formatCode>0.00%</formatCode>
                  <v>0.04392183454567871</v>
                </pt>
                <pt idx="370">
                  <formatCode>0.00%</formatCode>
                  <v>0.04116096604143681</v>
                </pt>
                <pt idx="371">
                  <formatCode>0.00%</formatCode>
                  <v>0.01841424440724395</v>
                </pt>
                <pt idx="372">
                  <formatCode>0.00%</formatCode>
                  <v>0.05247600182843212</v>
                </pt>
                <pt idx="373">
                  <formatCode>0.00%</formatCode>
                  <v>0.08196467307096374</v>
                </pt>
                <pt idx="374">
                  <formatCode>0.00%</formatCode>
                  <v>0.07064220183486239</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'Sporting Goods'!$B$7:$B$383</f>
              <numCache>
                <formatCode>#,##0</formatCode>
                <ptCount val="377"/>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8954</v>
                </pt>
                <pt idx="358">
                  <v>9236</v>
                </pt>
                <pt idx="359">
                  <v>8999</v>
                </pt>
                <pt idx="360">
                  <v>8738</v>
                </pt>
                <pt idx="361">
                  <v>9041</v>
                </pt>
                <pt idx="362">
                  <v>9113</v>
                </pt>
                <pt idx="363">
                  <v>9069</v>
                </pt>
                <pt idx="364">
                  <v>9153</v>
                </pt>
                <pt idx="365">
                  <v>9233</v>
                </pt>
                <pt idx="366">
                  <v>9236</v>
                </pt>
                <pt idx="367">
                  <v>9335</v>
                </pt>
                <pt idx="368">
                  <v>9295</v>
                </pt>
                <pt idx="369">
                  <v>9354</v>
                </pt>
                <pt idx="370">
                  <v>9368</v>
                </pt>
                <pt idx="371">
                  <v>9387</v>
                </pt>
                <pt idx="372">
                  <v>9433</v>
                </pt>
                <pt idx="373">
                  <v>9369</v>
                </pt>
                <pt idx="374">
                  <v>9387</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'Sporting Goods'!$D$7:$D$384</f>
              <numCache>
                <formatCode>General</formatCode>
                <ptCount val="378"/>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0.1532715095311695</v>
                </pt>
                <pt idx="358">
                  <formatCode>0.00%</formatCode>
                  <v>0.2051148225469729</v>
                </pt>
                <pt idx="359">
                  <formatCode>0.00%</formatCode>
                  <v>0.1670341071196991</v>
                </pt>
                <pt idx="360">
                  <formatCode>0.00%</formatCode>
                  <v>0.02258630778232885</v>
                </pt>
                <pt idx="361">
                  <formatCode>0.00%</formatCode>
                  <v>0.154661558109834</v>
                </pt>
                <pt idx="362">
                  <formatCode>0.00%</formatCode>
                  <v>-0.04204772416692946</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0.04391284815813118</v>
                </pt>
                <pt idx="369">
                  <formatCode>0.00%</formatCode>
                  <v>0.04467277194549922</v>
                </pt>
                <pt idx="370">
                  <formatCode>0.00%</formatCode>
                  <v>0.01429190125595496</v>
                </pt>
                <pt idx="371">
                  <formatCode>0.00%</formatCode>
                  <v>0.04311590176686299</v>
                </pt>
                <pt idx="372">
                  <formatCode>0.00%</formatCode>
                  <v>0.07953765163653009</v>
                </pt>
                <pt idx="373">
                  <formatCode>0.00%</formatCode>
                  <v>0.03627917265789182</v>
                </pt>
                <pt idx="374">
                  <formatCode>0.00%</formatCode>
                  <v>0.03006693734225831</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Merchandising'!$A$7:$A$387</f>
              <numCache>
                <formatCode>[$-409]mmm\-yy;@</formatCode>
                <ptCount val="38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'General Merchandising'!$B$7:$B$387</f>
              <numCache>
                <formatCode>#,##0</formatCode>
                <ptCount val="381"/>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68323</v>
                </pt>
                <pt idx="358">
                  <v>68086</v>
                </pt>
                <pt idx="359">
                  <v>66890</v>
                </pt>
                <pt idx="360">
                  <v>68308</v>
                </pt>
                <pt idx="361">
                  <v>66543</v>
                </pt>
                <pt idx="362">
                  <v>69670</v>
                </pt>
                <pt idx="363">
                  <v>68026</v>
                </pt>
                <pt idx="364">
                  <v>68053</v>
                </pt>
                <pt idx="365">
                  <v>69621</v>
                </pt>
                <pt idx="366">
                  <v>69346</v>
                </pt>
                <pt idx="367">
                  <v>69558</v>
                </pt>
                <pt idx="368">
                  <v>70343</v>
                </pt>
                <pt idx="369">
                  <v>70128</v>
                </pt>
                <pt idx="370">
                  <v>70003</v>
                </pt>
                <pt idx="371">
                  <v>70349</v>
                </pt>
                <pt idx="372">
                  <v>72957</v>
                </pt>
                <pt idx="373">
                  <v>73592</v>
                </pt>
                <pt idx="374">
                  <v>71353</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'General Merchandising'!$D$7:$D$385</f>
              <numCache>
                <formatCode>General</formatCode>
                <ptCount val="379"/>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0.1115756934840966</v>
                </pt>
                <pt idx="358">
                  <formatCode>0.00%</formatCode>
                  <v>0.1081345008300511</v>
                </pt>
                <pt idx="359">
                  <formatCode>0.00%</formatCode>
                  <v>0.1057477724695419</v>
                </pt>
                <pt idx="360">
                  <formatCode>0.00%</formatCode>
                  <v>0.03871536753748366</v>
                </pt>
                <pt idx="361">
                  <formatCode>0.00%</formatCode>
                  <v>0.05988882340761034</v>
                </pt>
                <pt idx="362">
                  <formatCode>0.00%</formatCode>
                  <v>0.001739780586349193</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0.04148591226070091</v>
                </pt>
                <pt idx="369">
                  <formatCode>0.00%</formatCode>
                  <v>0.02641862915855568</v>
                </pt>
                <pt idx="370">
                  <formatCode>0.00%</formatCode>
                  <v>0.02815556795817055</v>
                </pt>
                <pt idx="371">
                  <formatCode>0.00%</formatCode>
                  <v>0.05171176558528928</v>
                </pt>
                <pt idx="372">
                  <formatCode>0.00%</formatCode>
                  <v>0.06805937811090941</v>
                </pt>
                <pt idx="373">
                  <formatCode>0.00%</formatCode>
                  <v>0.1059315029379499</v>
                </pt>
                <pt idx="374">
                  <formatCode>0.00%</formatCode>
                  <v>0.02415673891201378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'Food Services'!$B$7:$B$382</f>
              <numCache>
                <formatCode>#,##0</formatCode>
                <ptCount val="376"/>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78967</v>
                </pt>
                <pt idx="359">
                  <v>78432</v>
                </pt>
                <pt idx="360">
                  <v>76217</v>
                </pt>
                <pt idx="361">
                  <v>80197</v>
                </pt>
                <pt idx="362">
                  <v>82388</v>
                </pt>
                <pt idx="363">
                  <v>84481</v>
                </pt>
                <pt idx="364">
                  <v>85322</v>
                </pt>
                <pt idx="365">
                  <v>85939</v>
                </pt>
                <pt idx="366">
                  <v>85214</v>
                </pt>
                <pt idx="367">
                  <v>87305</v>
                </pt>
                <pt idx="368">
                  <v>88196</v>
                </pt>
                <pt idx="369">
                  <v>89261</v>
                </pt>
                <pt idx="370">
                  <v>89083</v>
                </pt>
                <pt idx="371">
                  <v>89785</v>
                </pt>
                <pt idx="372">
                  <v>94464</v>
                </pt>
                <pt idx="373">
                  <v>92947</v>
                </pt>
                <pt idx="374">
                  <v>93083</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'Food Services'!$D$7:$D$384</f>
              <numCache>
                <formatCode>General</formatCode>
                <ptCount val="378"/>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0.3853616603217487</v>
                </pt>
                <pt idx="359">
                  <formatCode>0.00%</formatCode>
                  <v>0.4506714016202419</v>
                </pt>
                <pt idx="360">
                  <formatCode>0.00%</formatCode>
                  <v>0.2798179772639497</v>
                </pt>
                <pt idx="361">
                  <formatCode>0.00%</formatCode>
                  <v>0.3584423063893218</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0.126558348661353</v>
                </pt>
                <pt idx="369">
                  <formatCode>0.00%</formatCode>
                  <v>0.1378220244999936</v>
                </pt>
                <pt idx="370">
                  <formatCode>0.00%</formatCode>
                  <v>0.128104144769334</v>
                </pt>
                <pt idx="371">
                  <formatCode>0.00%</formatCode>
                  <v>0.144749592003264</v>
                </pt>
                <pt idx="372">
                  <formatCode>0.00%</formatCode>
                  <v>0.2394085309051786</v>
                </pt>
                <pt idx="373">
                  <formatCode>0.00%</formatCode>
                  <v>0.1589835031235582</v>
                </pt>
                <pt idx="374">
                  <formatCode>0.00%</formatCode>
                  <v>0.1298125940670971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'Gas Station'!$B$7:$B$382</f>
              <numCache>
                <formatCode>#,##0</formatCode>
                <ptCount val="376"/>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54192</v>
                </pt>
                <pt idx="358">
                  <v>54919</v>
                </pt>
                <pt idx="359">
                  <v>56830</v>
                </pt>
                <pt idx="360">
                  <v>55604</v>
                </pt>
                <pt idx="361">
                  <v>59088</v>
                </pt>
                <pt idx="362">
                  <v>64333</v>
                </pt>
                <pt idx="363">
                  <v>63819</v>
                </pt>
                <pt idx="364">
                  <v>66988</v>
                </pt>
                <pt idx="365">
                  <v>68805</v>
                </pt>
                <pt idx="366">
                  <v>67283</v>
                </pt>
                <pt idx="367">
                  <v>63948</v>
                </pt>
                <pt idx="368">
                  <v>61416</v>
                </pt>
                <pt idx="369">
                  <v>63468</v>
                </pt>
                <pt idx="370">
                  <v>62554</v>
                </pt>
                <pt idx="371">
                  <v>59324</v>
                </pt>
                <pt idx="372">
                  <v>58364</v>
                </pt>
                <pt idx="373">
                  <v>58349</v>
                </pt>
                <pt idx="374">
                  <v>55166</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'Gas Station'!$D$7:$D$381</f>
              <numCache>
                <formatCode>General</formatCode>
                <ptCount val="375"/>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0.4675838162812111</v>
                </pt>
                <pt idx="358">
                  <formatCode>0.00%</formatCode>
                  <v>0.5173928660238167</v>
                </pt>
                <pt idx="359">
                  <formatCode>0.00%</formatCode>
                  <v>0.4463135927518896</v>
                </pt>
                <pt idx="360">
                  <formatCode>0.00%</formatCode>
                  <v>0.3527637212923316</v>
                </pt>
                <pt idx="361">
                  <formatCode>0.00%</formatCode>
                  <v>0.3824664841721064</v>
                </pt>
                <pt idx="362">
                  <formatCode>0.00%</formatCode>
                  <v>0.3941186668400295</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0.1859346940351826</v>
                </pt>
                <pt idx="369">
                  <formatCode>0.00%</formatCode>
                  <v>0.1711691762621789</v>
                </pt>
                <pt idx="370">
                  <formatCode>0.00%</formatCode>
                  <v>0.1390229246708789</v>
                </pt>
                <pt idx="371">
                  <formatCode>0.00%</formatCode>
                  <v>0.0438852718634524</v>
                </pt>
                <pt idx="372">
                  <formatCode>0.00%</formatCode>
                  <v>0.04963671678296525</v>
                </pt>
                <pt idx="373">
                  <formatCode>0.00%</formatCode>
                  <v>-0.01250676956404008</v>
                </pt>
                <pt idx="374">
                  <formatCode>0.00%</formatCode>
                  <v>-0.1424929662847994</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Motor!$B$7:$B$381</f>
              <numCache>
                <formatCode>#,##0</formatCode>
                <ptCount val="375"/>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122697</v>
                </pt>
                <pt idx="358">
                  <v>124696</v>
                </pt>
                <pt idx="359">
                  <v>123052</v>
                </pt>
                <pt idx="360">
                  <v>128188</v>
                </pt>
                <pt idx="361">
                  <v>129934</v>
                </pt>
                <pt idx="362">
                  <v>128715</v>
                </pt>
                <pt idx="363">
                  <v>130811</v>
                </pt>
                <pt idx="364">
                  <v>126390</v>
                </pt>
                <pt idx="365">
                  <v>127104</v>
                </pt>
                <pt idx="366">
                  <v>124553</v>
                </pt>
                <pt idx="367">
                  <v>128149</v>
                </pt>
                <pt idx="368">
                  <v>127451</v>
                </pt>
                <pt idx="369">
                  <v>129413</v>
                </pt>
                <pt idx="370">
                  <v>126553</v>
                </pt>
                <pt idx="371">
                  <v>124226</v>
                </pt>
                <pt idx="372">
                  <v>132711</v>
                </pt>
                <pt idx="373">
                  <v>131008</v>
                </pt>
                <pt idx="374">
                  <v>128861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Motor!$D$7:$D$386</f>
              <numCache>
                <formatCode>General</formatCode>
                <ptCount val="38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0.1107620720247687</v>
                </pt>
                <pt idx="358">
                  <formatCode>0.00%</formatCode>
                  <v>0.1447666786012651</v>
                </pt>
                <pt idx="359">
                  <formatCode>0.00%</formatCode>
                  <v>0.1077183443458222</v>
                </pt>
                <pt idx="360">
                  <formatCode>0.00%</formatCode>
                  <v>0.114368175811948</v>
                </pt>
                <pt idx="361">
                  <formatCode>0.00%</formatCode>
                  <v>0.1624498997995992</v>
                </pt>
                <pt idx="362">
                  <formatCode>0.00%</formatCode>
                  <v>-0.01822966324701575</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0.05251379116704654</v>
                </pt>
                <pt idx="369">
                  <formatCode>0.00%</formatCode>
                  <v>0.05473646462423694</v>
                </pt>
                <pt idx="370">
                  <formatCode>0.00%</formatCode>
                  <v>0.01489221787386925</v>
                </pt>
                <pt idx="371">
                  <formatCode>0.00%</formatCode>
                  <v>0.009540681988102592</v>
                </pt>
                <pt idx="372">
                  <formatCode>0.00%</formatCode>
                  <v>0.03528411395762474</v>
                </pt>
                <pt idx="373">
                  <formatCode>0.00%</formatCode>
                  <v>0.00826573491157049</v>
                </pt>
                <pt idx="374">
                  <formatCode>0.00%</formatCode>
                  <v>0.001134288932913802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Housing!$A$7:$A$389</f>
              <numCache>
                <formatCode>[$-409]mmm\-yy;@</formatCode>
                <ptCount val="38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Housing!$B$7:$B$389</f>
              <numCache>
                <formatCode>#,##0</formatCode>
                <ptCount val="383"/>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39895</v>
                </pt>
                <pt idx="358">
                  <v>41108</v>
                </pt>
                <pt idx="359">
                  <v>41347</v>
                </pt>
                <pt idx="360">
                  <v>42025</v>
                </pt>
                <pt idx="361">
                  <v>42068</v>
                </pt>
                <pt idx="362">
                  <v>43028</v>
                </pt>
                <pt idx="363">
                  <v>42168</v>
                </pt>
                <pt idx="364">
                  <v>42257</v>
                </pt>
                <pt idx="365">
                  <v>42131</v>
                </pt>
                <pt idx="366">
                  <v>42597</v>
                </pt>
                <pt idx="367">
                  <v>43314</v>
                </pt>
                <pt idx="368">
                  <v>43000</v>
                </pt>
                <pt idx="369">
                  <v>43516</v>
                </pt>
                <pt idx="370">
                  <v>42074</v>
                </pt>
                <pt idx="371">
                  <v>42477</v>
                </pt>
                <pt idx="372">
                  <v>42392</v>
                </pt>
                <pt idx="373">
                  <v>42437</v>
                </pt>
                <pt idx="374">
                  <v>41532</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Housing!$A$7:$A$388</f>
              <numCache>
                <formatCode>[$-409]mmm\-yy;@</formatCode>
                <ptCount val="38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Housing!$D$7:$D$388</f>
              <numCache>
                <formatCode>General</formatCode>
                <ptCount val="382"/>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0.09307359307359307</v>
                </pt>
                <pt idx="358">
                  <formatCode>0.00%</formatCode>
                  <v>0.1244905216511202</v>
                </pt>
                <pt idx="359">
                  <formatCode>0.00%</formatCode>
                  <v>0.1319261936049058</v>
                </pt>
                <pt idx="360">
                  <formatCode>0.00%</formatCode>
                  <v>0.08642262551057339</v>
                </pt>
                <pt idx="361">
                  <formatCode>0.00%</formatCode>
                  <v>0.1370651674460091</v>
                </pt>
                <pt idx="362">
                  <formatCode>0.00%</formatCode>
                  <v>0.03053672789979163</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0.09523445658541556</v>
                </pt>
                <pt idx="369">
                  <formatCode>0.00%</formatCode>
                  <v>0.09076325354054393</v>
                </pt>
                <pt idx="370">
                  <formatCode>0.00%</formatCode>
                  <v>0.02349907560572151</v>
                </pt>
                <pt idx="371">
                  <formatCode>0.00%</formatCode>
                  <v>0.02732967325319854</v>
                </pt>
                <pt idx="372">
                  <formatCode>0.00%</formatCode>
                  <v>0.008732897085068412</v>
                </pt>
                <pt idx="373">
                  <formatCode>0.00%</formatCode>
                  <v>0.008771512788818103</v>
                </pt>
                <pt idx="374">
                  <formatCode>0.00%</formatCode>
                  <v>-0.03476805800873849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Home'!$A$7:$A$387</f>
              <numCache>
                <formatCode>[$-409]mmm\-yy;@</formatCode>
                <ptCount val="38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'Furniture Home'!$B$7:$B$387</f>
              <numCache>
                <formatCode>#,##0</formatCode>
                <ptCount val="381"/>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20328</v>
                </pt>
                <pt idx="358">
                  <v>19398</v>
                </pt>
                <pt idx="359">
                  <v>19249</v>
                </pt>
                <pt idx="360">
                  <v>19008</v>
                </pt>
                <pt idx="361">
                  <v>19361</v>
                </pt>
                <pt idx="362">
                  <v>19802</v>
                </pt>
                <pt idx="363">
                  <v>20080</v>
                </pt>
                <pt idx="364">
                  <v>19740</v>
                </pt>
                <pt idx="365">
                  <v>19554</v>
                </pt>
                <pt idx="366">
                  <v>19544</v>
                </pt>
                <pt idx="367">
                  <v>19474</v>
                </pt>
                <pt idx="368">
                  <v>19116</v>
                </pt>
                <pt idx="369">
                  <v>19259</v>
                </pt>
                <pt idx="370">
                  <v>18701</v>
                </pt>
                <pt idx="371">
                  <v>18443</v>
                </pt>
                <pt idx="372">
                  <v>19470</v>
                </pt>
                <pt idx="373">
                  <v>19023</v>
                </pt>
                <pt idx="374">
                  <v>18726</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Home'!$A$7:$A$388</f>
              <numCache>
                <formatCode>[$-409]mmm\-yy;@</formatCode>
                <ptCount val="38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'Furniture Home'!$D$7:$D$388</f>
              <numCache>
                <formatCode>General</formatCode>
                <ptCount val="382"/>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0.1518585675430644</v>
                </pt>
                <pt idx="358">
                  <formatCode>0.00%</formatCode>
                  <v>0.1293008092216336</v>
                </pt>
                <pt idx="359">
                  <formatCode>0.00%</formatCode>
                  <v>0.1373788702434413</v>
                </pt>
                <pt idx="360">
                  <formatCode>0.00%</formatCode>
                  <v>-0.01190414305764932</v>
                </pt>
                <pt idx="361">
                  <formatCode>0.00%</formatCode>
                  <v>0.05734258096226312</v>
                </pt>
                <pt idx="362">
                  <formatCode>0.00%</formatCode>
                  <v>-0.01340242140401574</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-0.04625056129321958</v>
                </pt>
                <pt idx="369">
                  <formatCode>0.00%</formatCode>
                  <v>-0.05258756395120032</v>
                </pt>
                <pt idx="370">
                  <formatCode>0.00%</formatCode>
                  <v>-0.03593153933395195</v>
                </pt>
                <pt idx="371">
                  <formatCode>0.00%</formatCode>
                  <v>-0.04187230505480804</v>
                </pt>
                <pt idx="372">
                  <formatCode>0.00%</formatCode>
                  <v>0.02430555555555556</v>
                </pt>
                <pt idx="373">
                  <formatCode>0.00%</formatCode>
                  <v>-0.01745777594132535</v>
                </pt>
                <pt idx="374">
                  <formatCode>0.00%</formatCode>
                  <v>-0.05433794566205434</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'Miscellaneous stores retailers'!$B$7:$B$386</f>
              <numCache>
                <formatCode>#,##0</formatCode>
                <ptCount val="380"/>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14616</v>
                </pt>
                <pt idx="358">
                  <v>14583</v>
                </pt>
                <pt idx="359">
                  <v>14611</v>
                </pt>
                <pt idx="360">
                  <v>14652</v>
                </pt>
                <pt idx="361">
                  <v>15202</v>
                </pt>
                <pt idx="362">
                  <v>15527</v>
                </pt>
                <pt idx="363">
                  <v>15864</v>
                </pt>
                <pt idx="364">
                  <v>15515</v>
                </pt>
                <pt idx="365">
                  <v>16110</v>
                </pt>
                <pt idx="366">
                  <v>15898</v>
                </pt>
                <pt idx="367">
                  <v>15934</v>
                </pt>
                <pt idx="368">
                  <v>15992</v>
                </pt>
                <pt idx="369">
                  <v>15837</v>
                </pt>
                <pt idx="370">
                  <v>15072</v>
                </pt>
                <pt idx="371">
                  <v>15294</v>
                </pt>
                <pt idx="372">
                  <v>16129</v>
                </pt>
                <pt idx="373">
                  <v>15788</v>
                </pt>
                <pt idx="374">
                  <v>15827</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'Miscellaneous stores retailers'!$D$7:$D$386</f>
              <numCache>
                <formatCode>General</formatCode>
                <ptCount val="380"/>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0.3036032821976454</v>
                </pt>
                <pt idx="358">
                  <formatCode>0.00%</formatCode>
                  <v>0.2986908896607</v>
                </pt>
                <pt idx="359">
                  <formatCode>0.00%</formatCode>
                  <v>0.2380105066937807</v>
                </pt>
                <pt idx="360">
                  <formatCode>0.00%</formatCode>
                  <v>0.2380228136882129</v>
                </pt>
                <pt idx="361">
                  <formatCode>0.00%</formatCode>
                  <v>0.3102913290811929</v>
                </pt>
                <pt idx="362">
                  <formatCode>0.00%</formatCode>
                  <v>0.1789673500379651</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0.110324238005971</v>
                </pt>
                <pt idx="369">
                  <formatCode>0.00%</formatCode>
                  <v>0.08353858784893267</v>
                </pt>
                <pt idx="370">
                  <formatCode>0.00%</formatCode>
                  <v>0.03353219502160049</v>
                </pt>
                <pt idx="371">
                  <formatCode>0.00%</formatCode>
                  <v>0.04674560262815687</v>
                </pt>
                <pt idx="372">
                  <formatCode>0.00%</formatCode>
                  <v>0.1008053508053508</v>
                </pt>
                <pt idx="373">
                  <formatCode>0.00%</formatCode>
                  <v>0.03854755953164057</v>
                </pt>
                <pt idx="374">
                  <formatCode>0.00%</formatCode>
                  <v>0.01932118245636633</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access'!$A$7:$A$387</f>
              <numCache>
                <formatCode>[$-409]mmm\-yy;@</formatCode>
                <ptCount val="38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pt idx="374">
                  <v>44986</v>
                </pt>
              </numCache>
            </numRef>
          </cat>
          <val>
            <numRef>
              <f>'Clothing and clothing access'!$B$7:$B$387</f>
              <numCache>
                <formatCode>#,##0</formatCode>
                <ptCount val="381"/>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25420</v>
                </pt>
                <pt idx="358">
                  <v>26147</v>
                </pt>
                <pt idx="359">
                  <v>25316</v>
                </pt>
                <pt idx="360">
                  <v>24729</v>
                </pt>
                <pt idx="361">
                  <v>25476</v>
                </pt>
                <pt idx="362">
                  <v>26367</v>
                </pt>
                <pt idx="363">
                  <v>26166</v>
                </pt>
                <pt idx="364">
                  <v>25812</v>
                </pt>
                <pt idx="365">
                  <v>26004</v>
                </pt>
                <pt idx="366">
                  <v>25889</v>
                </pt>
                <pt idx="367">
                  <v>26145</v>
                </pt>
                <pt idx="368">
                  <v>26403</v>
                </pt>
                <pt idx="369">
                  <v>26310</v>
                </pt>
                <pt idx="370">
                  <v>26248</v>
                </pt>
                <pt idx="371">
                  <v>26147</v>
                </pt>
                <pt idx="372">
                  <v>26888</v>
                </pt>
                <pt idx="373">
                  <v>26346</v>
                </pt>
                <pt idx="374">
                  <v>25893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access'!$A$19:$A$388</f>
              <numCache>
                <formatCode>[$-409]mmm\-yy;@</formatCode>
                <ptCount val="370"/>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pt idx="360">
                  <v>44927</v>
                </pt>
                <pt idx="361">
                  <v>44958</v>
                </pt>
                <pt idx="362">
                  <v>44986</v>
                </pt>
              </numCache>
            </numRef>
          </cat>
          <val>
            <numRef>
              <f>'Clothing and clothing access'!$D$19:$D$388</f>
              <numCache>
                <formatCode>0.00%</formatCode>
                <ptCount val="370"/>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0.2520317194503275</v>
                </pt>
                <pt idx="346">
                  <v>0.3749276962717569</v>
                </pt>
                <pt idx="347">
                  <v>0.2653571250062478</v>
                </pt>
                <pt idx="348">
                  <v>0.1723794623808846</v>
                </pt>
                <pt idx="349">
                  <v>0.279943729903537</v>
                </pt>
                <pt idx="350">
                  <v>0.09775594321162413</v>
                </pt>
                <pt idx="351">
                  <v>0.0870793518903199</v>
                </pt>
                <pt idx="352">
                  <v>0.04126830448989471</v>
                </pt>
                <pt idx="353">
                  <v>0.007946044420326369</v>
                </pt>
                <pt idx="354">
                  <v>0.01937236681497815</v>
                </pt>
                <pt idx="355">
                  <v>0.05109753155905765</v>
                </pt>
                <pt idx="356">
                  <v>0.04508391386953768</v>
                </pt>
                <pt idx="357">
                  <v>0.03501180173092053</v>
                </pt>
                <pt idx="358">
                  <v>0.003862775844265116</v>
                </pt>
                <pt idx="359">
                  <v>0.03282509085163533</v>
                </pt>
                <pt idx="360">
                  <v>0.0873064013910793</v>
                </pt>
                <pt idx="361">
                  <v>0.0341497880357984</v>
                </pt>
                <pt idx="362">
                  <v>-0.01797701672545227</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264706</colOff>
      <row>346</row>
      <rowOff>48993</rowOff>
    </from>
    <to>
      <col>11</col>
      <colOff>521883</colOff>
      <row>363</row>
      <rowOff>29943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259943</colOff>
      <row>363</row>
      <rowOff>48993</rowOff>
    </from>
    <to>
      <col>11</col>
      <colOff>531407</colOff>
      <row>379</row>
      <rowOff>138453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26582</colOff>
      <row>363</row>
      <rowOff>11453</rowOff>
    </from>
    <to>
      <col>20</col>
      <colOff>148166</colOff>
      <row>379</row>
      <rowOff>190498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330200</colOff>
      <row>358</row>
      <rowOff>177800</rowOff>
    </from>
    <to>
      <col>16</col>
      <colOff>571499</colOff>
      <row>380</row>
      <rowOff>144461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346074</colOff>
      <row>335</row>
      <rowOff>63500</rowOff>
    </from>
    <to>
      <col>16</col>
      <colOff>558800</colOff>
      <row>358</row>
      <rowOff>23811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197907</colOff>
      <row>361</row>
      <rowOff>18520</rowOff>
    </from>
    <to>
      <col>14</col>
      <colOff>542396</colOff>
      <row>384</row>
      <rowOff>153458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223570</colOff>
      <row>360</row>
      <rowOff>181503</rowOff>
    </from>
    <to>
      <col>26</col>
      <colOff>71437</colOff>
      <row>384</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13</col>
      <colOff>571499</colOff>
      <row>354</row>
      <rowOff>3677</rowOff>
    </from>
    <to>
      <col>23</col>
      <colOff>526393</colOff>
      <row>377</row>
      <rowOff>136071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222250</colOff>
      <row>354</row>
      <rowOff>19049</rowOff>
    </from>
    <to>
      <col>13</col>
      <colOff>417286</colOff>
      <row>377</row>
      <rowOff>145143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13</col>
      <colOff>489857</colOff>
      <row>356</row>
      <rowOff>117929</rowOff>
    </from>
    <to>
      <col>23</col>
      <colOff>116795</colOff>
      <row>378</row>
      <rowOff>172357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78922</colOff>
      <row>356</row>
      <rowOff>123825</rowOff>
    </from>
    <to>
      <col>13</col>
      <colOff>426357</colOff>
      <row>379</row>
      <rowOff>54429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14</col>
      <colOff>571500</colOff>
      <row>356</row>
      <rowOff>0</rowOff>
    </from>
    <to>
      <col>26</col>
      <colOff>563800</colOff>
      <row>379</row>
      <rowOff>73177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121783</colOff>
      <row>355</row>
      <rowOff>172357</rowOff>
    </from>
    <to>
      <col>14</col>
      <colOff>480786</colOff>
      <row>379</row>
      <rowOff>63500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12</col>
      <colOff>572381</colOff>
      <row>359</row>
      <rowOff>103187</rowOff>
    </from>
    <to>
      <col>21</col>
      <colOff>269875</colOff>
      <row>378</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73126</colOff>
      <row>359</row>
      <rowOff>77611</rowOff>
    </from>
    <to>
      <col>12</col>
      <colOff>465666</colOff>
      <row>378</row>
      <rowOff>176389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12</col>
      <colOff>265326</colOff>
      <row>362</row>
      <rowOff>179916</rowOff>
    </from>
    <to>
      <col>20</col>
      <colOff>598713</colOff>
      <row>380</row>
      <rowOff>172357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143990</colOff>
      <row>362</row>
      <rowOff>155222</rowOff>
    </from>
    <to>
      <col>12</col>
      <colOff>174625</colOff>
      <row>380</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13</col>
      <colOff>535214</colOff>
      <row>357</row>
      <rowOff>172357</rowOff>
    </from>
    <to>
      <col>22</col>
      <colOff>635000</colOff>
      <row>379</row>
      <rowOff>117929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79159</colOff>
      <row>357</row>
      <rowOff>172357</rowOff>
    </from>
    <to>
      <col>13</col>
      <colOff>444500</colOff>
      <row>379</row>
      <rowOff>90715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13</col>
      <colOff>321582</colOff>
      <row>354</row>
      <rowOff>177800</rowOff>
    </from>
    <to>
      <col>23</col>
      <colOff>81644</colOff>
      <row>378</row>
      <rowOff>9071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120648</colOff>
      <row>355</row>
      <rowOff>34924</rowOff>
    </from>
    <to>
      <col>13</col>
      <colOff>226785</colOff>
      <row>378</row>
      <rowOff>9071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13</col>
      <colOff>497340</colOff>
      <row>357</row>
      <rowOff>168505</rowOff>
    </from>
    <to>
      <col>22</col>
      <colOff>598715</colOff>
      <row>380</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108252</colOff>
      <row>357</row>
      <rowOff>162604</rowOff>
    </from>
    <to>
      <col>13</col>
      <colOff>417286</colOff>
      <row>380</row>
      <rowOff>81642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12</col>
      <colOff>606349</colOff>
      <row>357</row>
      <rowOff>102053</rowOff>
    </from>
    <to>
      <col>22</col>
      <colOff>199572</colOff>
      <row>379</row>
      <rowOff>163286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133954</colOff>
      <row>357</row>
      <rowOff>79677</rowOff>
    </from>
    <to>
      <col>12</col>
      <colOff>547687</colOff>
      <row>379</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12</col>
      <colOff>230186</colOff>
      <row>362</row>
      <rowOff>80390</rowOff>
    </from>
    <to>
      <col>20</col>
      <colOff>-1</colOff>
      <row>380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64195</colOff>
      <row>362</row>
      <rowOff>64633</rowOff>
    </from>
    <to>
      <col>12</col>
      <colOff>127000</colOff>
      <row>380</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13</col>
      <colOff>471714</colOff>
      <row>363</row>
      <rowOff>108858</rowOff>
    </from>
    <to>
      <col>22</col>
      <colOff>449540</colOff>
      <row>384</row>
      <rowOff>69548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98777</colOff>
      <row>363</row>
      <rowOff>154215</rowOff>
    </from>
    <to>
      <col>13</col>
      <colOff>317500</colOff>
      <row>384</row>
      <rowOff>42333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81" headerRowCount="1" totalsRowShown="0" headerRowDxfId="58" dataDxfId="56" headerRowBorderDxfId="57" tableBorderDxfId="55">
  <autoFilter ref="A6:D381"/>
  <tableColumns count="4">
    <tableColumn id="1" name="Date" dataDxfId="54"/>
    <tableColumn id="2" name="Retail Sales mil$" dataDxfId="53" dataCellStyle="Normal 2">
      <calculatedColumnFormula>VLOOKUP(A7,Database!A:M,MATCH($A$1,Database!$A$1:$M$1,),)</calculatedColumnFormula>
    </tableColumn>
    <tableColumn id="3" name="mom" dataDxfId="52">
      <calculatedColumnFormula>(B7-B6)/B6</calculatedColumnFormula>
    </tableColumn>
    <tableColumn id="4" name="yoy" dataDxfId="51"/>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81" headerRowCount="1" totalsRowShown="0" headerRowDxfId="50" dataDxfId="48" headerRowBorderDxfId="49" tableBorderDxfId="47">
  <autoFilter ref="A6:D381"/>
  <tableColumns count="4">
    <tableColumn id="1" name="Date" dataDxfId="46"/>
    <tableColumn id="2" name="Retail Sales (RSAFS), Millions of Dollars" dataDxfId="45" dataCellStyle="Normal 2">
      <calculatedColumnFormula>VLOOKUP(A7,Database!A:K,MATCH('Retail Sales'!$A$1,Database!$A$1:$K$1,),)</calculatedColumnFormula>
    </tableColumn>
    <tableColumn id="3" name="mom %" dataDxfId="44">
      <calculatedColumnFormula>(B7-B6)/B6</calculatedColumnFormula>
    </tableColumn>
    <tableColumn id="4" name="yoy %" dataDxfId="43"/>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81" headerRowCount="1" totalsRowShown="0" headerRowDxfId="42" dataDxfId="40" headerRowBorderDxfId="41" tableBorderDxfId="39">
  <autoFilter ref="A6:D381"/>
  <tableColumns count="4">
    <tableColumn id="1" name="Date" dataDxfId="38"/>
    <tableColumn id="2" name="Retail and Food Services Excluding Motor Vehicles and Parts Dealers, Retail Sales mil$" dataDxfId="37" dataCellStyle="Normal 2">
      <calculatedColumnFormula>VLOOKUP(A7,Database!A:M,MATCH($A$1,Database!$A$1:$M$1,),)</calculatedColumnFormula>
    </tableColumn>
    <tableColumn id="3" name="mom %" dataDxfId="36">
      <calculatedColumnFormula>(B7-B6)/B6</calculatedColumnFormula>
    </tableColumn>
    <tableColumn id="4" name="yoy %" dataDxfId="35"/>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81" headerRowCount="1" totalsRowShown="0" headerRowDxfId="34" headerRowBorderDxfId="33" tableBorderDxfId="32">
  <autoFilter ref="A6:D381"/>
  <tableColumns count="4">
    <tableColumn id="1" name="Date" dataDxfId="31"/>
    <tableColumn id="2" name="Building Materials. mil$" dataDxfId="30" dataCellStyle="Normal 2">
      <calculatedColumnFormula>VLOOKUP(A7,Database!A:K,MATCH($A$1,Database!$A$1:$K$1,),)</calculatedColumnFormula>
    </tableColumn>
    <tableColumn id="3" name="Change m/m" dataDxfId="29">
      <calculatedColumnFormula>(B7-B6)/B6</calculatedColumnFormula>
    </tableColumn>
    <tableColumn id="4" name="Change y/y " dataDxfId="28"/>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81" headerRowCount="1" totalsRowShown="0" headerRowDxfId="27" tableBorderDxfId="26">
  <autoFilter ref="A6:D381"/>
  <tableColumns count="4">
    <tableColumn id="1" name="Date" dataDxfId="25"/>
    <tableColumn id="2" name="Retail Sales mil$" dataDxfId="24" dataCellStyle="Normal 2">
      <calculatedColumnFormula>VLOOKUP(A7,Database!A:K,MATCH($A$1,Database!$A$1:$K$1,),)+VLOOKUP(A7,Database!A:K,MATCH($B$1,Database!$A$1:$K$1,),)</calculatedColumnFormula>
    </tableColumn>
    <tableColumn id="3" name="mom" dataDxfId="23">
      <calculatedColumnFormula>(B7-B6)/B6</calculatedColumnFormula>
    </tableColumn>
    <tableColumn id="4" name="yoy" dataDxfId="22"/>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81" headerRowCount="1" totalsRowShown="0" headerRowDxfId="21" headerRowBorderDxfId="20" tableBorderDxfId="19">
  <autoFilter ref="A6:D381"/>
  <tableColumns count="4">
    <tableColumn id="1" name="Date" dataDxfId="18"/>
    <tableColumn id="2" name=" Miscellaneous stores retailers, mil$" dataDxfId="17" dataCellStyle="Normal 2">
      <calculatedColumnFormula>VLOOKUP(A7,Database!A:Q,MATCH($A$1,Database!$A$1:$Q$1,),)</calculatedColumnFormula>
    </tableColumn>
    <tableColumn id="3" name="mom" dataDxfId="16">
      <calculatedColumnFormula>(B7-B6)/B6</calculatedColumnFormula>
    </tableColumn>
    <tableColumn id="4" name="yoy" dataDxfId="15"/>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81" headerRowCount="1" totalsRowShown="0" headerRowDxfId="14" headerRowBorderDxfId="13" tableBorderDxfId="12">
  <autoFilter ref="A6:D381"/>
  <tableColumns count="4">
    <tableColumn id="1" name="Date" dataDxfId="11"/>
    <tableColumn id="2" name="Clothing and clothing access. Stores, mil$" dataDxfId="10" dataCellStyle="Normal 2">
      <calculatedColumnFormula>VLOOKUP(A7,Database!A:Q,MATCH($A$1,Database!$A$1:$Q$1,),)</calculatedColumnFormula>
    </tableColumn>
    <tableColumn id="3" name="mom" dataDxfId="9">
      <calculatedColumnFormula>(B7-B6)/B6</calculatedColumnFormula>
    </tableColumn>
    <tableColumn id="4" name="yoy"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70" zoomScaleNormal="70" workbookViewId="0">
      <selection activeCell="T12" sqref="T12"/>
    </sheetView>
  </sheetViews>
  <sheetFormatPr baseColWidth="8" defaultColWidth="9.1796875" defaultRowHeight="14.5"/>
  <cols>
    <col width="9.1796875" customWidth="1" style="113" min="1" max="1"/>
    <col width="12.81640625" customWidth="1" style="113" min="2" max="10"/>
    <col width="3.36328125" customWidth="1" style="113" min="11" max="13"/>
    <col width="18.6328125" customWidth="1" style="113" min="14" max="14"/>
    <col width="30.36328125" customWidth="1" style="113" min="15" max="15"/>
    <col width="12.36328125" customWidth="1" style="113" min="16" max="19"/>
    <col width="9.1796875" customWidth="1" style="113" min="20" max="45"/>
    <col width="9.1796875" customWidth="1" style="113" min="46" max="16384"/>
  </cols>
  <sheetData>
    <row r="1">
      <c r="B1" s="122" t="n"/>
    </row>
    <row r="2" ht="16" customHeight="1" thickBot="1">
      <c r="B2" s="123" t="n"/>
      <c r="C2" s="123" t="n"/>
      <c r="D2" s="123" t="n"/>
      <c r="E2" s="123" t="n"/>
      <c r="F2" s="123" t="n"/>
      <c r="G2" s="123" t="n"/>
      <c r="H2" s="123" t="n"/>
      <c r="I2" s="123" t="n"/>
      <c r="J2" s="123" t="n"/>
    </row>
    <row r="3" ht="16" customHeight="1" thickBot="1">
      <c r="B3" s="124" t="inlineStr">
        <is>
          <t>Retail Sales</t>
        </is>
      </c>
      <c r="C3" s="125" t="n"/>
      <c r="D3" s="125" t="n"/>
      <c r="E3" s="125" t="n"/>
      <c r="F3" s="125" t="n"/>
      <c r="G3" s="125" t="n"/>
      <c r="H3" s="125" t="n"/>
      <c r="I3" s="125" t="n"/>
      <c r="J3" s="126" t="n"/>
    </row>
    <row r="5">
      <c r="B5" s="116" t="inlineStr">
        <is>
          <t>Definition</t>
        </is>
      </c>
      <c r="C5" s="117" t="n"/>
      <c r="D5" s="117" t="n"/>
      <c r="E5" s="117" t="n"/>
      <c r="F5" s="117" t="n"/>
      <c r="G5" s="117" t="n"/>
      <c r="H5" s="117" t="n"/>
      <c r="I5" s="117" t="n"/>
      <c r="J5" s="118" t="n"/>
    </row>
    <row r="7" ht="147.75" customHeight="1">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c r="B8" s="128" t="inlineStr">
        <is>
          <t>https://www.census.gov/retail/index.html</t>
        </is>
      </c>
    </row>
    <row r="9">
      <c r="B9" s="65" t="n"/>
      <c r="C9" s="65" t="n"/>
      <c r="D9" s="65" t="n"/>
      <c r="E9" s="65" t="n"/>
    </row>
    <row r="10">
      <c r="B10" s="116" t="inlineStr">
        <is>
          <t>Process / TO DO LIST</t>
        </is>
      </c>
      <c r="C10" s="117" t="n"/>
      <c r="D10" s="117" t="n"/>
      <c r="E10" s="117" t="n"/>
      <c r="F10" s="117" t="n"/>
      <c r="G10" s="117" t="n"/>
      <c r="H10" s="117" t="n"/>
      <c r="I10" s="117" t="n"/>
      <c r="J10" s="118" t="n"/>
      <c r="N10" s="116" t="inlineStr">
        <is>
          <t>Summary</t>
        </is>
      </c>
      <c r="O10" s="117" t="n"/>
      <c r="P10" s="117" t="n"/>
      <c r="Q10" s="118" t="n"/>
    </row>
    <row r="12">
      <c r="B12" s="116" t="inlineStr">
        <is>
          <t>TO DO LIST</t>
        </is>
      </c>
      <c r="C12" s="117" t="n"/>
      <c r="D12" s="117" t="n"/>
      <c r="E12" s="117" t="n"/>
      <c r="F12" s="118" t="n"/>
      <c r="G12" s="116" t="inlineStr">
        <is>
          <t>Comments</t>
        </is>
      </c>
      <c r="H12" s="117" t="n"/>
      <c r="I12" s="117" t="n"/>
      <c r="J12" s="118" t="n"/>
      <c r="N12" s="8" t="inlineStr">
        <is>
          <t>* To modify</t>
        </is>
      </c>
    </row>
    <row r="13" ht="16" customHeight="1" thickBot="1"/>
    <row r="14">
      <c r="B14" s="113" t="inlineStr">
        <is>
          <t>Database</t>
        </is>
      </c>
      <c r="G14" s="113" t="n"/>
      <c r="P14" s="68" t="n">
        <v>44986</v>
      </c>
      <c r="Q14" s="69" t="n"/>
    </row>
    <row r="15" ht="16" customHeight="1" thickBot="1">
      <c r="B15" s="113" t="inlineStr">
        <is>
          <t>Create data on Fred</t>
        </is>
      </c>
      <c r="G15" s="113" t="n"/>
      <c r="N15" s="128" t="n"/>
      <c r="P15" s="70" t="inlineStr">
        <is>
          <t>mom</t>
        </is>
      </c>
      <c r="Q15" s="70" t="inlineStr">
        <is>
          <t>yoy</t>
        </is>
      </c>
    </row>
    <row r="16" ht="15.75" customHeight="1">
      <c r="B16" s="113" t="inlineStr">
        <is>
          <t>https://research.stlouisfed.org/useraccount/datalists</t>
        </is>
      </c>
      <c r="G16" s="115" t="n"/>
      <c r="N16" s="119" t="inlineStr">
        <is>
          <t>Retail Sales</t>
        </is>
      </c>
      <c r="O16" s="120" t="n"/>
      <c r="P16" s="95">
        <f>Recap!F7</f>
        <v/>
      </c>
      <c r="Q16" s="96">
        <f>Recap!G7</f>
        <v/>
      </c>
      <c r="S16" s="71" t="n"/>
    </row>
    <row r="17" ht="15.75" customHeight="1">
      <c r="G17" s="115" t="n"/>
      <c r="N17" s="121" t="inlineStr">
        <is>
          <t>Retail Sales ex Auto</t>
        </is>
      </c>
      <c r="O17" s="118" t="n"/>
      <c r="P17" s="97">
        <f>Recap!F8</f>
        <v/>
      </c>
      <c r="Q17" s="98">
        <f>Recap!G8</f>
        <v/>
      </c>
      <c r="S17" s="71" t="n"/>
    </row>
    <row r="18" ht="15.75" customHeight="1">
      <c r="B18" s="113" t="inlineStr">
        <is>
          <t>https://fred.stlouisfed.org/series/RSAFs</t>
        </is>
      </c>
      <c r="G18" s="99" t="inlineStr">
        <is>
          <t>Retail Sales</t>
        </is>
      </c>
      <c r="H18" s="67" t="n"/>
      <c r="I18" s="67" t="n"/>
      <c r="J18" s="67" t="n"/>
      <c r="N18" s="121" t="inlineStr">
        <is>
          <t>Retail Sales ex Auto and Gas</t>
        </is>
      </c>
      <c r="O18" s="118" t="n"/>
      <c r="P18" s="97">
        <f>Recap!F9</f>
        <v/>
      </c>
      <c r="Q18" s="98">
        <f>Recap!G9</f>
        <v/>
      </c>
      <c r="S18" s="71" t="n"/>
    </row>
    <row r="19" ht="15.75" customHeight="1">
      <c r="B19" s="113" t="inlineStr">
        <is>
          <t>https://fred.stlouisfed.org/series/RSFSXMV</t>
        </is>
      </c>
      <c r="G19" s="99" t="inlineStr">
        <is>
          <t>Retail Sales ex Auto</t>
        </is>
      </c>
      <c r="H19" s="67" t="n"/>
      <c r="I19" s="67" t="n"/>
      <c r="J19" s="67" t="n"/>
      <c r="N19" s="121" t="inlineStr">
        <is>
          <t>Motor Vechicle</t>
        </is>
      </c>
      <c r="O19" s="118" t="n"/>
      <c r="P19" s="97">
        <f>Recap!F10</f>
        <v/>
      </c>
      <c r="Q19" s="98">
        <f>Recap!G10</f>
        <v/>
      </c>
      <c r="S19" s="71" t="n"/>
    </row>
    <row r="20" ht="15.75" customHeight="1">
      <c r="B20" s="113" t="inlineStr">
        <is>
          <t>https://fred.stlouisfed.org/series/MARTSSM44W72USS</t>
        </is>
      </c>
      <c r="G20" s="99" t="inlineStr">
        <is>
          <t>Retail Sales ex Auto and Gas</t>
        </is>
      </c>
      <c r="H20" s="67" t="n"/>
      <c r="I20" s="67" t="n"/>
      <c r="J20" s="67" t="n"/>
      <c r="N20" s="121" t="inlineStr">
        <is>
          <t>Non Store</t>
        </is>
      </c>
      <c r="O20" s="118" t="n"/>
      <c r="P20" s="97">
        <f>Recap!F11</f>
        <v/>
      </c>
      <c r="Q20" s="98">
        <f>Recap!G11</f>
        <v/>
      </c>
    </row>
    <row r="21" ht="15.75" customHeight="1">
      <c r="B21" s="113" t="inlineStr">
        <is>
          <t>https://fred.stlouisfed.org/series/RSDBs</t>
        </is>
      </c>
      <c r="G21" s="99" t="inlineStr">
        <is>
          <t>Food&amp;Beverage</t>
        </is>
      </c>
      <c r="H21" s="67" t="n"/>
      <c r="I21" s="67" t="n"/>
      <c r="J21" s="67" t="n"/>
      <c r="N21" s="121" t="inlineStr">
        <is>
          <t>Food &amp; Beverage</t>
        </is>
      </c>
      <c r="O21" s="118" t="n"/>
      <c r="P21" s="97">
        <f>Recap!F12</f>
        <v/>
      </c>
      <c r="Q21" s="98">
        <f>Recap!G12</f>
        <v/>
      </c>
    </row>
    <row r="22" ht="15.75" customHeight="1">
      <c r="B22" s="113" t="inlineStr">
        <is>
          <t>https://fred.stlouisfed.org/series/RSNSr</t>
        </is>
      </c>
      <c r="G22" s="99" t="inlineStr">
        <is>
          <t>NonStore</t>
        </is>
      </c>
      <c r="H22" s="67" t="n"/>
      <c r="I22" s="67" t="n"/>
      <c r="J22" s="67" t="n"/>
      <c r="N22" s="121" t="inlineStr">
        <is>
          <t>Food Services</t>
        </is>
      </c>
      <c r="O22" s="118" t="n"/>
      <c r="P22" s="97">
        <f>Recap!F13</f>
        <v/>
      </c>
      <c r="Q22" s="98">
        <f>Recap!G13</f>
        <v/>
      </c>
    </row>
    <row r="23" ht="15.75" customHeight="1">
      <c r="B23" s="113" t="inlineStr">
        <is>
          <t>https://fred.stlouisfed.org/series/RSHPCs</t>
        </is>
      </c>
      <c r="G23" s="99" t="inlineStr">
        <is>
          <t>HealthCare</t>
        </is>
      </c>
      <c r="H23" s="67" t="n"/>
      <c r="I23" s="67" t="n"/>
      <c r="J23" s="67" t="n"/>
      <c r="N23" s="121" t="inlineStr">
        <is>
          <t>General Merchandising</t>
        </is>
      </c>
      <c r="O23" s="118" t="n"/>
      <c r="P23" s="97">
        <f>Recap!F14</f>
        <v/>
      </c>
      <c r="Q23" s="98">
        <f>Recap!G14</f>
        <v/>
      </c>
    </row>
    <row r="24" ht="15.75" customHeight="1">
      <c r="B24" s="113" t="inlineStr">
        <is>
          <t>https://fred.stlouisfed.org/series/RSSGHBMs</t>
        </is>
      </c>
      <c r="G24" s="99" t="inlineStr">
        <is>
          <t>Clothing, Sport</t>
        </is>
      </c>
      <c r="H24" s="67" t="n"/>
      <c r="I24" s="67" t="n"/>
      <c r="J24" s="67" t="n"/>
      <c r="N24" s="121" t="inlineStr">
        <is>
          <t>Gasoline Stations</t>
        </is>
      </c>
      <c r="O24" s="118" t="n"/>
      <c r="P24" s="97">
        <f>Recap!F15</f>
        <v/>
      </c>
      <c r="Q24" s="98">
        <f>Recap!G15</f>
        <v/>
      </c>
    </row>
    <row r="25" ht="15.75" customHeight="1">
      <c r="B25" s="113" t="inlineStr">
        <is>
          <t>https://fred.stlouisfed.org/series/RSGMs</t>
        </is>
      </c>
      <c r="G25" s="99" t="inlineStr">
        <is>
          <t>General Merch</t>
        </is>
      </c>
      <c r="H25" s="67" t="n"/>
      <c r="I25" s="67" t="n"/>
      <c r="J25" s="67" t="n"/>
      <c r="N25" s="121" t="inlineStr">
        <is>
          <t>Housing Supplies</t>
        </is>
      </c>
      <c r="O25" s="118" t="n"/>
      <c r="P25" s="97">
        <f>Recap!F16</f>
        <v/>
      </c>
      <c r="Q25" s="98">
        <f>Recap!G16</f>
        <v/>
      </c>
    </row>
    <row r="26" ht="15.75" customHeight="1">
      <c r="B26" s="113" t="inlineStr">
        <is>
          <t>https://fred.stlouisfed.org/series/RSFSDp</t>
        </is>
      </c>
      <c r="G26" s="100" t="inlineStr">
        <is>
          <t>FoodServices</t>
        </is>
      </c>
      <c r="H26" s="67" t="n"/>
      <c r="I26" s="67" t="n"/>
      <c r="J26" s="67" t="n"/>
      <c r="N26" s="121" t="inlineStr">
        <is>
          <t>HealthCare</t>
        </is>
      </c>
      <c r="O26" s="118" t="n"/>
      <c r="P26" s="97">
        <f>Recap!F17</f>
        <v/>
      </c>
      <c r="Q26" s="98">
        <f>Recap!G17</f>
        <v/>
      </c>
    </row>
    <row r="27" ht="15.75" customHeight="1">
      <c r="B27" s="113" t="inlineStr">
        <is>
          <t>https://fred.stlouisfed.org/series/RSGASs</t>
        </is>
      </c>
      <c r="G27" s="99" t="inlineStr">
        <is>
          <t>Gasoline St</t>
        </is>
      </c>
      <c r="H27" s="67" t="n"/>
      <c r="I27" s="67" t="n"/>
      <c r="J27" s="67" t="n"/>
      <c r="N27" s="121" t="inlineStr">
        <is>
          <t>Clothing and clothing access. stores</t>
        </is>
      </c>
      <c r="O27" s="118" t="n"/>
      <c r="P27" s="97">
        <f>Recap!F18</f>
        <v/>
      </c>
      <c r="Q27" s="98">
        <f>Recap!G18</f>
        <v/>
      </c>
    </row>
    <row r="28" ht="15.75" customHeight="1">
      <c r="B28" s="113" t="inlineStr">
        <is>
          <t>https://fred.stlouisfed.org/series/RSMVPd</t>
        </is>
      </c>
      <c r="G28" s="99" t="inlineStr">
        <is>
          <t>Motor Vechicle</t>
        </is>
      </c>
      <c r="H28" s="67" t="n"/>
      <c r="I28" s="67" t="n"/>
      <c r="J28" s="67" t="n"/>
      <c r="N28" s="121" t="inlineStr">
        <is>
          <t>Furniture, home furn, electronics, and appliance stores</t>
        </is>
      </c>
      <c r="O28" s="118" t="n"/>
      <c r="P28" s="97">
        <f>Recap!F19</f>
        <v/>
      </c>
      <c r="Q28" s="98">
        <f>Recap!G19</f>
        <v/>
      </c>
    </row>
    <row r="29" ht="15.75" customHeight="1">
      <c r="B29" s="113" t="inlineStr">
        <is>
          <t>https://fred.stlouisfed.org/series/RSBMGESD</t>
        </is>
      </c>
      <c r="G29" s="99" t="inlineStr">
        <is>
          <t>Housing Supplies</t>
        </is>
      </c>
      <c r="H29" s="67" t="n"/>
      <c r="I29" s="67" t="n"/>
      <c r="J29" s="67" t="n"/>
      <c r="N29" s="121" t="inlineStr">
        <is>
          <t>Miscellaneous stores retailers</t>
        </is>
      </c>
      <c r="O29" s="118" t="n"/>
      <c r="P29" s="97">
        <f>Recap!F20</f>
        <v/>
      </c>
      <c r="Q29" s="98">
        <f>Recap!G20</f>
        <v/>
      </c>
    </row>
    <row r="30" ht="15.75" customHeight="1" thickBot="1">
      <c r="B30" s="113" t="inlineStr">
        <is>
          <t>https://fred.stlouisfed.org/series/RSFHFS</t>
        </is>
      </c>
      <c r="G30" s="99" t="inlineStr">
        <is>
          <t>Furniture, home furn, electronics, and appliance stores</t>
        </is>
      </c>
      <c r="H30" s="67" t="n"/>
      <c r="I30" s="67" t="n"/>
      <c r="J30" s="67" t="n"/>
      <c r="N30" s="129" t="inlineStr">
        <is>
          <t>Clothing, Sport</t>
        </is>
      </c>
      <c r="O30" s="130" t="n"/>
      <c r="P30" s="101">
        <f>Recap!F21</f>
        <v/>
      </c>
      <c r="Q30" s="102">
        <f>Recap!G21</f>
        <v/>
      </c>
    </row>
    <row r="31" ht="15.75" customHeight="1">
      <c r="B31" s="113" t="inlineStr">
        <is>
          <t>https://fred.stlouisfed.org/series/RSCCAS</t>
        </is>
      </c>
      <c r="G31" s="99" t="inlineStr">
        <is>
          <t>Clothing and clothing access. stores</t>
        </is>
      </c>
      <c r="H31" s="67" t="n"/>
      <c r="I31" s="67" t="n"/>
      <c r="J31" s="67" t="n"/>
    </row>
    <row r="32" ht="15.75" customHeight="1">
      <c r="B32" s="113" t="inlineStr">
        <is>
          <t>https://fred.stlouisfed.org/series/RSMSR</t>
        </is>
      </c>
      <c r="G32" s="99" t="inlineStr">
        <is>
          <t>Miscellaneous stores retailers</t>
        </is>
      </c>
      <c r="H32" s="67" t="n"/>
      <c r="I32" s="67" t="n"/>
      <c r="J32" s="67" t="n"/>
    </row>
    <row r="33" ht="14.25" customHeight="1" thickBot="1">
      <c r="B33" s="114" t="n"/>
      <c r="G33" s="115" t="n"/>
    </row>
    <row r="34" ht="16" customHeight="1" thickBot="1">
      <c r="B34" s="27" t="n"/>
      <c r="N34" s="69">
        <f>DATE(YEAR($P$14),MONTH($P$14)-1,DAY($P$14))</f>
        <v/>
      </c>
    </row>
    <row r="35" ht="33.75" customHeight="1" thickBot="1">
      <c r="B35" s="112"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7">
      <formula>0</formula>
    </cfRule>
    <cfRule type="cellIs" priority="2" operator="greaterThan" dxfId="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2">
    <tabColor theme="1" tint="0.499984740745262"/>
    <outlinePr summaryBelow="1" summaryRight="1"/>
    <pageSetUpPr/>
  </sheetPr>
  <dimension ref="A1:Q378"/>
  <sheetViews>
    <sheetView topLeftCell="A340" zoomScale="70" zoomScaleNormal="70" workbookViewId="0">
      <selection activeCell="P30" sqref="P30"/>
    </sheetView>
  </sheetViews>
  <sheetFormatPr baseColWidth="8" defaultColWidth="8.81640625" defaultRowHeight="14.5"/>
  <cols>
    <col width="12.6328125" customWidth="1" min="1" max="1"/>
    <col width="15.6328125" customWidth="1" min="2" max="2"/>
    <col width="9.6328125" customWidth="1" min="3" max="3"/>
    <col width="8.6328125" customWidth="1" min="4" max="6"/>
    <col width="7.6328125" customWidth="1" min="7" max="7"/>
    <col width="8.6328125" customWidth="1" min="8" max="9"/>
    <col width="9.6328125" customWidth="1" min="10" max="10"/>
    <col width="8.6328125" customWidth="1" min="11" max="14"/>
    <col width="9.6328125" customWidth="1" min="15" max="15"/>
    <col width="8.6328125" customWidth="1" min="16" max="17"/>
    <col width="9.1796875" customWidth="1" min="18" max="256"/>
    <col width="12.6328125" customWidth="1" min="257" max="257"/>
    <col width="15.6328125" customWidth="1" min="258" max="258"/>
    <col width="9.6328125" customWidth="1" min="259" max="259"/>
    <col width="8.6328125" customWidth="1" min="260" max="262"/>
    <col width="7.6328125" customWidth="1" min="263" max="263"/>
    <col width="8.6328125" customWidth="1" min="264" max="265"/>
    <col width="9.6328125" customWidth="1" min="266" max="266"/>
    <col width="8.6328125" customWidth="1" min="267" max="270"/>
    <col width="9.6328125" customWidth="1" min="271" max="271"/>
    <col width="8.6328125" customWidth="1" min="272" max="273"/>
    <col width="9.1796875" customWidth="1" min="274" max="512"/>
    <col width="12.6328125" customWidth="1" min="513" max="513"/>
    <col width="15.6328125" customWidth="1" min="514" max="514"/>
    <col width="9.6328125" customWidth="1" min="515" max="515"/>
    <col width="8.6328125" customWidth="1" min="516" max="518"/>
    <col width="7.6328125" customWidth="1" min="519" max="519"/>
    <col width="8.6328125" customWidth="1" min="520" max="521"/>
    <col width="9.6328125" customWidth="1" min="522" max="522"/>
    <col width="8.6328125" customWidth="1" min="523" max="526"/>
    <col width="9.6328125" customWidth="1" min="527" max="527"/>
    <col width="8.6328125" customWidth="1" min="528" max="529"/>
    <col width="9.1796875" customWidth="1" min="530" max="768"/>
    <col width="12.6328125" customWidth="1" min="769" max="769"/>
    <col width="15.6328125" customWidth="1" min="770" max="770"/>
    <col width="9.6328125" customWidth="1" min="771" max="771"/>
    <col width="8.6328125" customWidth="1" min="772" max="774"/>
    <col width="7.6328125" customWidth="1" min="775" max="775"/>
    <col width="8.6328125" customWidth="1" min="776" max="777"/>
    <col width="9.6328125" customWidth="1" min="778" max="778"/>
    <col width="8.6328125" customWidth="1" min="779" max="782"/>
    <col width="9.6328125" customWidth="1" min="783" max="783"/>
    <col width="8.6328125" customWidth="1" min="784" max="785"/>
    <col width="9.1796875" customWidth="1" min="786" max="1024"/>
    <col width="12.6328125" customWidth="1" min="1025" max="1025"/>
    <col width="15.6328125" customWidth="1" min="1026" max="1026"/>
    <col width="9.6328125" customWidth="1" min="1027" max="1027"/>
    <col width="8.6328125" customWidth="1" min="1028" max="1030"/>
    <col width="7.6328125" customWidth="1" min="1031" max="1031"/>
    <col width="8.6328125" customWidth="1" min="1032" max="1033"/>
    <col width="9.6328125" customWidth="1" min="1034" max="1034"/>
    <col width="8.6328125" customWidth="1" min="1035" max="1038"/>
    <col width="9.6328125" customWidth="1" min="1039" max="1039"/>
    <col width="8.6328125" customWidth="1" min="1040" max="1041"/>
    <col width="9.1796875" customWidth="1" min="1042" max="1280"/>
    <col width="12.6328125" customWidth="1" min="1281" max="1281"/>
    <col width="15.6328125" customWidth="1" min="1282" max="1282"/>
    <col width="9.6328125" customWidth="1" min="1283" max="1283"/>
    <col width="8.6328125" customWidth="1" min="1284" max="1286"/>
    <col width="7.6328125" customWidth="1" min="1287" max="1287"/>
    <col width="8.6328125" customWidth="1" min="1288" max="1289"/>
    <col width="9.6328125" customWidth="1" min="1290" max="1290"/>
    <col width="8.6328125" customWidth="1" min="1291" max="1294"/>
    <col width="9.6328125" customWidth="1" min="1295" max="1295"/>
    <col width="8.6328125" customWidth="1" min="1296" max="1297"/>
    <col width="9.1796875" customWidth="1" min="1298" max="1536"/>
    <col width="12.6328125" customWidth="1" min="1537" max="1537"/>
    <col width="15.6328125" customWidth="1" min="1538" max="1538"/>
    <col width="9.6328125" customWidth="1" min="1539" max="1539"/>
    <col width="8.6328125" customWidth="1" min="1540" max="1542"/>
    <col width="7.6328125" customWidth="1" min="1543" max="1543"/>
    <col width="8.6328125" customWidth="1" min="1544" max="1545"/>
    <col width="9.6328125" customWidth="1" min="1546" max="1546"/>
    <col width="8.6328125" customWidth="1" min="1547" max="1550"/>
    <col width="9.6328125" customWidth="1" min="1551" max="1551"/>
    <col width="8.6328125" customWidth="1" min="1552" max="1553"/>
    <col width="9.1796875" customWidth="1" min="1554" max="1792"/>
    <col width="12.6328125" customWidth="1" min="1793" max="1793"/>
    <col width="15.6328125" customWidth="1" min="1794" max="1794"/>
    <col width="9.6328125" customWidth="1" min="1795" max="1795"/>
    <col width="8.6328125" customWidth="1" min="1796" max="1798"/>
    <col width="7.6328125" customWidth="1" min="1799" max="1799"/>
    <col width="8.6328125" customWidth="1" min="1800" max="1801"/>
    <col width="9.6328125" customWidth="1" min="1802" max="1802"/>
    <col width="8.6328125" customWidth="1" min="1803" max="1806"/>
    <col width="9.6328125" customWidth="1" min="1807" max="1807"/>
    <col width="8.6328125" customWidth="1" min="1808" max="1809"/>
    <col width="9.1796875" customWidth="1" min="1810" max="2048"/>
    <col width="12.6328125" customWidth="1" min="2049" max="2049"/>
    <col width="15.6328125" customWidth="1" min="2050" max="2050"/>
    <col width="9.6328125" customWidth="1" min="2051" max="2051"/>
    <col width="8.6328125" customWidth="1" min="2052" max="2054"/>
    <col width="7.6328125" customWidth="1" min="2055" max="2055"/>
    <col width="8.6328125" customWidth="1" min="2056" max="2057"/>
    <col width="9.6328125" customWidth="1" min="2058" max="2058"/>
    <col width="8.6328125" customWidth="1" min="2059" max="2062"/>
    <col width="9.6328125" customWidth="1" min="2063" max="2063"/>
    <col width="8.6328125" customWidth="1" min="2064" max="2065"/>
    <col width="9.1796875" customWidth="1" min="2066" max="2304"/>
    <col width="12.6328125" customWidth="1" min="2305" max="2305"/>
    <col width="15.6328125" customWidth="1" min="2306" max="2306"/>
    <col width="9.6328125" customWidth="1" min="2307" max="2307"/>
    <col width="8.6328125" customWidth="1" min="2308" max="2310"/>
    <col width="7.6328125" customWidth="1" min="2311" max="2311"/>
    <col width="8.6328125" customWidth="1" min="2312" max="2313"/>
    <col width="9.6328125" customWidth="1" min="2314" max="2314"/>
    <col width="8.6328125" customWidth="1" min="2315" max="2318"/>
    <col width="9.6328125" customWidth="1" min="2319" max="2319"/>
    <col width="8.6328125" customWidth="1" min="2320" max="2321"/>
    <col width="9.1796875" customWidth="1" min="2322" max="2560"/>
    <col width="12.6328125" customWidth="1" min="2561" max="2561"/>
    <col width="15.6328125" customWidth="1" min="2562" max="2562"/>
    <col width="9.6328125" customWidth="1" min="2563" max="2563"/>
    <col width="8.6328125" customWidth="1" min="2564" max="2566"/>
    <col width="7.6328125" customWidth="1" min="2567" max="2567"/>
    <col width="8.6328125" customWidth="1" min="2568" max="2569"/>
    <col width="9.6328125" customWidth="1" min="2570" max="2570"/>
    <col width="8.6328125" customWidth="1" min="2571" max="2574"/>
    <col width="9.6328125" customWidth="1" min="2575" max="2575"/>
    <col width="8.6328125" customWidth="1" min="2576" max="2577"/>
    <col width="9.1796875" customWidth="1" min="2578" max="2816"/>
    <col width="12.6328125" customWidth="1" min="2817" max="2817"/>
    <col width="15.6328125" customWidth="1" min="2818" max="2818"/>
    <col width="9.6328125" customWidth="1" min="2819" max="2819"/>
    <col width="8.6328125" customWidth="1" min="2820" max="2822"/>
    <col width="7.6328125" customWidth="1" min="2823" max="2823"/>
    <col width="8.6328125" customWidth="1" min="2824" max="2825"/>
    <col width="9.6328125" customWidth="1" min="2826" max="2826"/>
    <col width="8.6328125" customWidth="1" min="2827" max="2830"/>
    <col width="9.6328125" customWidth="1" min="2831" max="2831"/>
    <col width="8.6328125" customWidth="1" min="2832" max="2833"/>
    <col width="9.1796875" customWidth="1" min="2834" max="3072"/>
    <col width="12.6328125" customWidth="1" min="3073" max="3073"/>
    <col width="15.6328125" customWidth="1" min="3074" max="3074"/>
    <col width="9.6328125" customWidth="1" min="3075" max="3075"/>
    <col width="8.6328125" customWidth="1" min="3076" max="3078"/>
    <col width="7.6328125" customWidth="1" min="3079" max="3079"/>
    <col width="8.6328125" customWidth="1" min="3080" max="3081"/>
    <col width="9.6328125" customWidth="1" min="3082" max="3082"/>
    <col width="8.6328125" customWidth="1" min="3083" max="3086"/>
    <col width="9.6328125" customWidth="1" min="3087" max="3087"/>
    <col width="8.6328125" customWidth="1" min="3088" max="3089"/>
    <col width="9.1796875" customWidth="1" min="3090" max="3328"/>
    <col width="12.6328125" customWidth="1" min="3329" max="3329"/>
    <col width="15.6328125" customWidth="1" min="3330" max="3330"/>
    <col width="9.6328125" customWidth="1" min="3331" max="3331"/>
    <col width="8.6328125" customWidth="1" min="3332" max="3334"/>
    <col width="7.6328125" customWidth="1" min="3335" max="3335"/>
    <col width="8.6328125" customWidth="1" min="3336" max="3337"/>
    <col width="9.6328125" customWidth="1" min="3338" max="3338"/>
    <col width="8.6328125" customWidth="1" min="3339" max="3342"/>
    <col width="9.6328125" customWidth="1" min="3343" max="3343"/>
    <col width="8.6328125" customWidth="1" min="3344" max="3345"/>
    <col width="9.1796875" customWidth="1" min="3346" max="3584"/>
    <col width="12.6328125" customWidth="1" min="3585" max="3585"/>
    <col width="15.6328125" customWidth="1" min="3586" max="3586"/>
    <col width="9.6328125" customWidth="1" min="3587" max="3587"/>
    <col width="8.6328125" customWidth="1" min="3588" max="3590"/>
    <col width="7.6328125" customWidth="1" min="3591" max="3591"/>
    <col width="8.6328125" customWidth="1" min="3592" max="3593"/>
    <col width="9.6328125" customWidth="1" min="3594" max="3594"/>
    <col width="8.6328125" customWidth="1" min="3595" max="3598"/>
    <col width="9.6328125" customWidth="1" min="3599" max="3599"/>
    <col width="8.6328125" customWidth="1" min="3600" max="3601"/>
    <col width="9.1796875" customWidth="1" min="3602" max="3840"/>
    <col width="12.6328125" customWidth="1" min="3841" max="3841"/>
    <col width="15.6328125" customWidth="1" min="3842" max="3842"/>
    <col width="9.6328125" customWidth="1" min="3843" max="3843"/>
    <col width="8.6328125" customWidth="1" min="3844" max="3846"/>
    <col width="7.6328125" customWidth="1" min="3847" max="3847"/>
    <col width="8.6328125" customWidth="1" min="3848" max="3849"/>
    <col width="9.6328125" customWidth="1" min="3850" max="3850"/>
    <col width="8.6328125" customWidth="1" min="3851" max="3854"/>
    <col width="9.6328125" customWidth="1" min="3855" max="3855"/>
    <col width="8.6328125" customWidth="1" min="3856" max="3857"/>
    <col width="9.1796875" customWidth="1" min="3858" max="4096"/>
    <col width="12.6328125" customWidth="1" min="4097" max="4097"/>
    <col width="15.6328125" customWidth="1" min="4098" max="4098"/>
    <col width="9.6328125" customWidth="1" min="4099" max="4099"/>
    <col width="8.6328125" customWidth="1" min="4100" max="4102"/>
    <col width="7.6328125" customWidth="1" min="4103" max="4103"/>
    <col width="8.6328125" customWidth="1" min="4104" max="4105"/>
    <col width="9.6328125" customWidth="1" min="4106" max="4106"/>
    <col width="8.6328125" customWidth="1" min="4107" max="4110"/>
    <col width="9.6328125" customWidth="1" min="4111" max="4111"/>
    <col width="8.6328125" customWidth="1" min="4112" max="4113"/>
    <col width="9.1796875" customWidth="1" min="4114" max="4352"/>
    <col width="12.6328125" customWidth="1" min="4353" max="4353"/>
    <col width="15.6328125" customWidth="1" min="4354" max="4354"/>
    <col width="9.6328125" customWidth="1" min="4355" max="4355"/>
    <col width="8.6328125" customWidth="1" min="4356" max="4358"/>
    <col width="7.6328125" customWidth="1" min="4359" max="4359"/>
    <col width="8.6328125" customWidth="1" min="4360" max="4361"/>
    <col width="9.6328125" customWidth="1" min="4362" max="4362"/>
    <col width="8.6328125" customWidth="1" min="4363" max="4366"/>
    <col width="9.6328125" customWidth="1" min="4367" max="4367"/>
    <col width="8.6328125" customWidth="1" min="4368" max="4369"/>
    <col width="9.1796875" customWidth="1" min="4370" max="4608"/>
    <col width="12.6328125" customWidth="1" min="4609" max="4609"/>
    <col width="15.6328125" customWidth="1" min="4610" max="4610"/>
    <col width="9.6328125" customWidth="1" min="4611" max="4611"/>
    <col width="8.6328125" customWidth="1" min="4612" max="4614"/>
    <col width="7.6328125" customWidth="1" min="4615" max="4615"/>
    <col width="8.6328125" customWidth="1" min="4616" max="4617"/>
    <col width="9.6328125" customWidth="1" min="4618" max="4618"/>
    <col width="8.6328125" customWidth="1" min="4619" max="4622"/>
    <col width="9.6328125" customWidth="1" min="4623" max="4623"/>
    <col width="8.6328125" customWidth="1" min="4624" max="4625"/>
    <col width="9.1796875" customWidth="1" min="4626" max="4864"/>
    <col width="12.6328125" customWidth="1" min="4865" max="4865"/>
    <col width="15.6328125" customWidth="1" min="4866" max="4866"/>
    <col width="9.6328125" customWidth="1" min="4867" max="4867"/>
    <col width="8.6328125" customWidth="1" min="4868" max="4870"/>
    <col width="7.6328125" customWidth="1" min="4871" max="4871"/>
    <col width="8.6328125" customWidth="1" min="4872" max="4873"/>
    <col width="9.6328125" customWidth="1" min="4874" max="4874"/>
    <col width="8.6328125" customWidth="1" min="4875" max="4878"/>
    <col width="9.6328125" customWidth="1" min="4879" max="4879"/>
    <col width="8.6328125" customWidth="1" min="4880" max="4881"/>
    <col width="9.1796875" customWidth="1" min="4882" max="5120"/>
    <col width="12.6328125" customWidth="1" min="5121" max="5121"/>
    <col width="15.6328125" customWidth="1" min="5122" max="5122"/>
    <col width="9.6328125" customWidth="1" min="5123" max="5123"/>
    <col width="8.6328125" customWidth="1" min="5124" max="5126"/>
    <col width="7.6328125" customWidth="1" min="5127" max="5127"/>
    <col width="8.6328125" customWidth="1" min="5128" max="5129"/>
    <col width="9.6328125" customWidth="1" min="5130" max="5130"/>
    <col width="8.6328125" customWidth="1" min="5131" max="5134"/>
    <col width="9.6328125" customWidth="1" min="5135" max="5135"/>
    <col width="8.6328125" customWidth="1" min="5136" max="5137"/>
    <col width="9.1796875" customWidth="1" min="5138" max="5376"/>
    <col width="12.6328125" customWidth="1" min="5377" max="5377"/>
    <col width="15.6328125" customWidth="1" min="5378" max="5378"/>
    <col width="9.6328125" customWidth="1" min="5379" max="5379"/>
    <col width="8.6328125" customWidth="1" min="5380" max="5382"/>
    <col width="7.6328125" customWidth="1" min="5383" max="5383"/>
    <col width="8.6328125" customWidth="1" min="5384" max="5385"/>
    <col width="9.6328125" customWidth="1" min="5386" max="5386"/>
    <col width="8.6328125" customWidth="1" min="5387" max="5390"/>
    <col width="9.6328125" customWidth="1" min="5391" max="5391"/>
    <col width="8.6328125" customWidth="1" min="5392" max="5393"/>
    <col width="9.1796875" customWidth="1" min="5394" max="5632"/>
    <col width="12.6328125" customWidth="1" min="5633" max="5633"/>
    <col width="15.6328125" customWidth="1" min="5634" max="5634"/>
    <col width="9.6328125" customWidth="1" min="5635" max="5635"/>
    <col width="8.6328125" customWidth="1" min="5636" max="5638"/>
    <col width="7.6328125" customWidth="1" min="5639" max="5639"/>
    <col width="8.6328125" customWidth="1" min="5640" max="5641"/>
    <col width="9.6328125" customWidth="1" min="5642" max="5642"/>
    <col width="8.6328125" customWidth="1" min="5643" max="5646"/>
    <col width="9.6328125" customWidth="1" min="5647" max="5647"/>
    <col width="8.6328125" customWidth="1" min="5648" max="5649"/>
    <col width="9.1796875" customWidth="1" min="5650" max="5888"/>
    <col width="12.6328125" customWidth="1" min="5889" max="5889"/>
    <col width="15.6328125" customWidth="1" min="5890" max="5890"/>
    <col width="9.6328125" customWidth="1" min="5891" max="5891"/>
    <col width="8.6328125" customWidth="1" min="5892" max="5894"/>
    <col width="7.6328125" customWidth="1" min="5895" max="5895"/>
    <col width="8.6328125" customWidth="1" min="5896" max="5897"/>
    <col width="9.6328125" customWidth="1" min="5898" max="5898"/>
    <col width="8.6328125" customWidth="1" min="5899" max="5902"/>
    <col width="9.6328125" customWidth="1" min="5903" max="5903"/>
    <col width="8.6328125" customWidth="1" min="5904" max="5905"/>
    <col width="9.1796875" customWidth="1" min="5906" max="6144"/>
    <col width="12.6328125" customWidth="1" min="6145" max="6145"/>
    <col width="15.6328125" customWidth="1" min="6146" max="6146"/>
    <col width="9.6328125" customWidth="1" min="6147" max="6147"/>
    <col width="8.6328125" customWidth="1" min="6148" max="6150"/>
    <col width="7.6328125" customWidth="1" min="6151" max="6151"/>
    <col width="8.6328125" customWidth="1" min="6152" max="6153"/>
    <col width="9.6328125" customWidth="1" min="6154" max="6154"/>
    <col width="8.6328125" customWidth="1" min="6155" max="6158"/>
    <col width="9.6328125" customWidth="1" min="6159" max="6159"/>
    <col width="8.6328125" customWidth="1" min="6160" max="6161"/>
    <col width="9.1796875" customWidth="1" min="6162" max="6400"/>
    <col width="12.6328125" customWidth="1" min="6401" max="6401"/>
    <col width="15.6328125" customWidth="1" min="6402" max="6402"/>
    <col width="9.6328125" customWidth="1" min="6403" max="6403"/>
    <col width="8.6328125" customWidth="1" min="6404" max="6406"/>
    <col width="7.6328125" customWidth="1" min="6407" max="6407"/>
    <col width="8.6328125" customWidth="1" min="6408" max="6409"/>
    <col width="9.6328125" customWidth="1" min="6410" max="6410"/>
    <col width="8.6328125" customWidth="1" min="6411" max="6414"/>
    <col width="9.6328125" customWidth="1" min="6415" max="6415"/>
    <col width="8.6328125" customWidth="1" min="6416" max="6417"/>
    <col width="9.1796875" customWidth="1" min="6418" max="6656"/>
    <col width="12.6328125" customWidth="1" min="6657" max="6657"/>
    <col width="15.6328125" customWidth="1" min="6658" max="6658"/>
    <col width="9.6328125" customWidth="1" min="6659" max="6659"/>
    <col width="8.6328125" customWidth="1" min="6660" max="6662"/>
    <col width="7.6328125" customWidth="1" min="6663" max="6663"/>
    <col width="8.6328125" customWidth="1" min="6664" max="6665"/>
    <col width="9.6328125" customWidth="1" min="6666" max="6666"/>
    <col width="8.6328125" customWidth="1" min="6667" max="6670"/>
    <col width="9.6328125" customWidth="1" min="6671" max="6671"/>
    <col width="8.6328125" customWidth="1" min="6672" max="6673"/>
    <col width="9.1796875" customWidth="1" min="6674" max="6912"/>
    <col width="12.6328125" customWidth="1" min="6913" max="6913"/>
    <col width="15.6328125" customWidth="1" min="6914" max="6914"/>
    <col width="9.6328125" customWidth="1" min="6915" max="6915"/>
    <col width="8.6328125" customWidth="1" min="6916" max="6918"/>
    <col width="7.6328125" customWidth="1" min="6919" max="6919"/>
    <col width="8.6328125" customWidth="1" min="6920" max="6921"/>
    <col width="9.6328125" customWidth="1" min="6922" max="6922"/>
    <col width="8.6328125" customWidth="1" min="6923" max="6926"/>
    <col width="9.6328125" customWidth="1" min="6927" max="6927"/>
    <col width="8.6328125" customWidth="1" min="6928" max="6929"/>
    <col width="9.1796875" customWidth="1" min="6930" max="7168"/>
    <col width="12.6328125" customWidth="1" min="7169" max="7169"/>
    <col width="15.6328125" customWidth="1" min="7170" max="7170"/>
    <col width="9.6328125" customWidth="1" min="7171" max="7171"/>
    <col width="8.6328125" customWidth="1" min="7172" max="7174"/>
    <col width="7.6328125" customWidth="1" min="7175" max="7175"/>
    <col width="8.6328125" customWidth="1" min="7176" max="7177"/>
    <col width="9.6328125" customWidth="1" min="7178" max="7178"/>
    <col width="8.6328125" customWidth="1" min="7179" max="7182"/>
    <col width="9.6328125" customWidth="1" min="7183" max="7183"/>
    <col width="8.6328125" customWidth="1" min="7184" max="7185"/>
    <col width="9.1796875" customWidth="1" min="7186" max="7424"/>
    <col width="12.6328125" customWidth="1" min="7425" max="7425"/>
    <col width="15.6328125" customWidth="1" min="7426" max="7426"/>
    <col width="9.6328125" customWidth="1" min="7427" max="7427"/>
    <col width="8.6328125" customWidth="1" min="7428" max="7430"/>
    <col width="7.6328125" customWidth="1" min="7431" max="7431"/>
    <col width="8.6328125" customWidth="1" min="7432" max="7433"/>
    <col width="9.6328125" customWidth="1" min="7434" max="7434"/>
    <col width="8.6328125" customWidth="1" min="7435" max="7438"/>
    <col width="9.6328125" customWidth="1" min="7439" max="7439"/>
    <col width="8.6328125" customWidth="1" min="7440" max="7441"/>
    <col width="9.1796875" customWidth="1" min="7442" max="7680"/>
    <col width="12.6328125" customWidth="1" min="7681" max="7681"/>
    <col width="15.6328125" customWidth="1" min="7682" max="7682"/>
    <col width="9.6328125" customWidth="1" min="7683" max="7683"/>
    <col width="8.6328125" customWidth="1" min="7684" max="7686"/>
    <col width="7.6328125" customWidth="1" min="7687" max="7687"/>
    <col width="8.6328125" customWidth="1" min="7688" max="7689"/>
    <col width="9.6328125" customWidth="1" min="7690" max="7690"/>
    <col width="8.6328125" customWidth="1" min="7691" max="7694"/>
    <col width="9.6328125" customWidth="1" min="7695" max="7695"/>
    <col width="8.6328125" customWidth="1" min="7696" max="7697"/>
    <col width="9.1796875" customWidth="1" min="7698" max="7936"/>
    <col width="12.6328125" customWidth="1" min="7937" max="7937"/>
    <col width="15.6328125" customWidth="1" min="7938" max="7938"/>
    <col width="9.6328125" customWidth="1" min="7939" max="7939"/>
    <col width="8.6328125" customWidth="1" min="7940" max="7942"/>
    <col width="7.6328125" customWidth="1" min="7943" max="7943"/>
    <col width="8.6328125" customWidth="1" min="7944" max="7945"/>
    <col width="9.6328125" customWidth="1" min="7946" max="7946"/>
    <col width="8.6328125" customWidth="1" min="7947" max="7950"/>
    <col width="9.6328125" customWidth="1" min="7951" max="7951"/>
    <col width="8.6328125" customWidth="1" min="7952" max="7953"/>
    <col width="9.1796875" customWidth="1" min="7954" max="8192"/>
    <col width="12.6328125" customWidth="1" min="8193" max="8193"/>
    <col width="15.6328125" customWidth="1" min="8194" max="8194"/>
    <col width="9.6328125" customWidth="1" min="8195" max="8195"/>
    <col width="8.6328125" customWidth="1" min="8196" max="8198"/>
    <col width="7.6328125" customWidth="1" min="8199" max="8199"/>
    <col width="8.6328125" customWidth="1" min="8200" max="8201"/>
    <col width="9.6328125" customWidth="1" min="8202" max="8202"/>
    <col width="8.6328125" customWidth="1" min="8203" max="8206"/>
    <col width="9.6328125" customWidth="1" min="8207" max="8207"/>
    <col width="8.6328125" customWidth="1" min="8208" max="8209"/>
    <col width="9.1796875" customWidth="1" min="8210" max="8448"/>
    <col width="12.6328125" customWidth="1" min="8449" max="8449"/>
    <col width="15.6328125" customWidth="1" min="8450" max="8450"/>
    <col width="9.6328125" customWidth="1" min="8451" max="8451"/>
    <col width="8.6328125" customWidth="1" min="8452" max="8454"/>
    <col width="7.6328125" customWidth="1" min="8455" max="8455"/>
    <col width="8.6328125" customWidth="1" min="8456" max="8457"/>
    <col width="9.6328125" customWidth="1" min="8458" max="8458"/>
    <col width="8.6328125" customWidth="1" min="8459" max="8462"/>
    <col width="9.6328125" customWidth="1" min="8463" max="8463"/>
    <col width="8.6328125" customWidth="1" min="8464" max="8465"/>
    <col width="9.1796875" customWidth="1" min="8466" max="8704"/>
    <col width="12.6328125" customWidth="1" min="8705" max="8705"/>
    <col width="15.6328125" customWidth="1" min="8706" max="8706"/>
    <col width="9.6328125" customWidth="1" min="8707" max="8707"/>
    <col width="8.6328125" customWidth="1" min="8708" max="8710"/>
    <col width="7.6328125" customWidth="1" min="8711" max="8711"/>
    <col width="8.6328125" customWidth="1" min="8712" max="8713"/>
    <col width="9.6328125" customWidth="1" min="8714" max="8714"/>
    <col width="8.6328125" customWidth="1" min="8715" max="8718"/>
    <col width="9.6328125" customWidth="1" min="8719" max="8719"/>
    <col width="8.6328125" customWidth="1" min="8720" max="8721"/>
    <col width="9.1796875" customWidth="1" min="8722" max="8960"/>
    <col width="12.6328125" customWidth="1" min="8961" max="8961"/>
    <col width="15.6328125" customWidth="1" min="8962" max="8962"/>
    <col width="9.6328125" customWidth="1" min="8963" max="8963"/>
    <col width="8.6328125" customWidth="1" min="8964" max="8966"/>
    <col width="7.6328125" customWidth="1" min="8967" max="8967"/>
    <col width="8.6328125" customWidth="1" min="8968" max="8969"/>
    <col width="9.6328125" customWidth="1" min="8970" max="8970"/>
    <col width="8.6328125" customWidth="1" min="8971" max="8974"/>
    <col width="9.6328125" customWidth="1" min="8975" max="8975"/>
    <col width="8.6328125" customWidth="1" min="8976" max="8977"/>
    <col width="9.1796875" customWidth="1" min="8978" max="9216"/>
    <col width="12.6328125" customWidth="1" min="9217" max="9217"/>
    <col width="15.6328125" customWidth="1" min="9218" max="9218"/>
    <col width="9.6328125" customWidth="1" min="9219" max="9219"/>
    <col width="8.6328125" customWidth="1" min="9220" max="9222"/>
    <col width="7.6328125" customWidth="1" min="9223" max="9223"/>
    <col width="8.6328125" customWidth="1" min="9224" max="9225"/>
    <col width="9.6328125" customWidth="1" min="9226" max="9226"/>
    <col width="8.6328125" customWidth="1" min="9227" max="9230"/>
    <col width="9.6328125" customWidth="1" min="9231" max="9231"/>
    <col width="8.6328125" customWidth="1" min="9232" max="9233"/>
    <col width="9.1796875" customWidth="1" min="9234" max="9472"/>
    <col width="12.6328125" customWidth="1" min="9473" max="9473"/>
    <col width="15.6328125" customWidth="1" min="9474" max="9474"/>
    <col width="9.6328125" customWidth="1" min="9475" max="9475"/>
    <col width="8.6328125" customWidth="1" min="9476" max="9478"/>
    <col width="7.6328125" customWidth="1" min="9479" max="9479"/>
    <col width="8.6328125" customWidth="1" min="9480" max="9481"/>
    <col width="9.6328125" customWidth="1" min="9482" max="9482"/>
    <col width="8.6328125" customWidth="1" min="9483" max="9486"/>
    <col width="9.6328125" customWidth="1" min="9487" max="9487"/>
    <col width="8.6328125" customWidth="1" min="9488" max="9489"/>
    <col width="9.1796875" customWidth="1" min="9490" max="9728"/>
    <col width="12.6328125" customWidth="1" min="9729" max="9729"/>
    <col width="15.6328125" customWidth="1" min="9730" max="9730"/>
    <col width="9.6328125" customWidth="1" min="9731" max="9731"/>
    <col width="8.6328125" customWidth="1" min="9732" max="9734"/>
    <col width="7.6328125" customWidth="1" min="9735" max="9735"/>
    <col width="8.6328125" customWidth="1" min="9736" max="9737"/>
    <col width="9.6328125" customWidth="1" min="9738" max="9738"/>
    <col width="8.6328125" customWidth="1" min="9739" max="9742"/>
    <col width="9.6328125" customWidth="1" min="9743" max="9743"/>
    <col width="8.6328125" customWidth="1" min="9744" max="9745"/>
    <col width="9.1796875" customWidth="1" min="9746" max="9984"/>
    <col width="12.6328125" customWidth="1" min="9985" max="9985"/>
    <col width="15.6328125" customWidth="1" min="9986" max="9986"/>
    <col width="9.6328125" customWidth="1" min="9987" max="9987"/>
    <col width="8.6328125" customWidth="1" min="9988" max="9990"/>
    <col width="7.6328125" customWidth="1" min="9991" max="9991"/>
    <col width="8.6328125" customWidth="1" min="9992" max="9993"/>
    <col width="9.6328125" customWidth="1" min="9994" max="9994"/>
    <col width="8.6328125" customWidth="1" min="9995" max="9998"/>
    <col width="9.6328125" customWidth="1" min="9999" max="9999"/>
    <col width="8.6328125" customWidth="1" min="10000" max="10001"/>
    <col width="9.1796875" customWidth="1" min="10002" max="10240"/>
    <col width="12.6328125" customWidth="1" min="10241" max="10241"/>
    <col width="15.6328125" customWidth="1" min="10242" max="10242"/>
    <col width="9.6328125" customWidth="1" min="10243" max="10243"/>
    <col width="8.6328125" customWidth="1" min="10244" max="10246"/>
    <col width="7.6328125" customWidth="1" min="10247" max="10247"/>
    <col width="8.6328125" customWidth="1" min="10248" max="10249"/>
    <col width="9.6328125" customWidth="1" min="10250" max="10250"/>
    <col width="8.6328125" customWidth="1" min="10251" max="10254"/>
    <col width="9.6328125" customWidth="1" min="10255" max="10255"/>
    <col width="8.6328125" customWidth="1" min="10256" max="10257"/>
    <col width="9.1796875" customWidth="1" min="10258" max="10496"/>
    <col width="12.6328125" customWidth="1" min="10497" max="10497"/>
    <col width="15.6328125" customWidth="1" min="10498" max="10498"/>
    <col width="9.6328125" customWidth="1" min="10499" max="10499"/>
    <col width="8.6328125" customWidth="1" min="10500" max="10502"/>
    <col width="7.6328125" customWidth="1" min="10503" max="10503"/>
    <col width="8.6328125" customWidth="1" min="10504" max="10505"/>
    <col width="9.6328125" customWidth="1" min="10506" max="10506"/>
    <col width="8.6328125" customWidth="1" min="10507" max="10510"/>
    <col width="9.6328125" customWidth="1" min="10511" max="10511"/>
    <col width="8.6328125" customWidth="1" min="10512" max="10513"/>
    <col width="9.1796875" customWidth="1" min="10514" max="10752"/>
    <col width="12.6328125" customWidth="1" min="10753" max="10753"/>
    <col width="15.6328125" customWidth="1" min="10754" max="10754"/>
    <col width="9.6328125" customWidth="1" min="10755" max="10755"/>
    <col width="8.6328125" customWidth="1" min="10756" max="10758"/>
    <col width="7.6328125" customWidth="1" min="10759" max="10759"/>
    <col width="8.6328125" customWidth="1" min="10760" max="10761"/>
    <col width="9.6328125" customWidth="1" min="10762" max="10762"/>
    <col width="8.6328125" customWidth="1" min="10763" max="10766"/>
    <col width="9.6328125" customWidth="1" min="10767" max="10767"/>
    <col width="8.6328125" customWidth="1" min="10768" max="10769"/>
    <col width="9.1796875" customWidth="1" min="10770" max="11008"/>
    <col width="12.6328125" customWidth="1" min="11009" max="11009"/>
    <col width="15.6328125" customWidth="1" min="11010" max="11010"/>
    <col width="9.6328125" customWidth="1" min="11011" max="11011"/>
    <col width="8.6328125" customWidth="1" min="11012" max="11014"/>
    <col width="7.6328125" customWidth="1" min="11015" max="11015"/>
    <col width="8.6328125" customWidth="1" min="11016" max="11017"/>
    <col width="9.6328125" customWidth="1" min="11018" max="11018"/>
    <col width="8.6328125" customWidth="1" min="11019" max="11022"/>
    <col width="9.6328125" customWidth="1" min="11023" max="11023"/>
    <col width="8.6328125" customWidth="1" min="11024" max="11025"/>
    <col width="9.1796875" customWidth="1" min="11026" max="11264"/>
    <col width="12.6328125" customWidth="1" min="11265" max="11265"/>
    <col width="15.6328125" customWidth="1" min="11266" max="11266"/>
    <col width="9.6328125" customWidth="1" min="11267" max="11267"/>
    <col width="8.6328125" customWidth="1" min="11268" max="11270"/>
    <col width="7.6328125" customWidth="1" min="11271" max="11271"/>
    <col width="8.6328125" customWidth="1" min="11272" max="11273"/>
    <col width="9.6328125" customWidth="1" min="11274" max="11274"/>
    <col width="8.6328125" customWidth="1" min="11275" max="11278"/>
    <col width="9.6328125" customWidth="1" min="11279" max="11279"/>
    <col width="8.6328125" customWidth="1" min="11280" max="11281"/>
    <col width="9.1796875" customWidth="1" min="11282" max="11520"/>
    <col width="12.6328125" customWidth="1" min="11521" max="11521"/>
    <col width="15.6328125" customWidth="1" min="11522" max="11522"/>
    <col width="9.6328125" customWidth="1" min="11523" max="11523"/>
    <col width="8.6328125" customWidth="1" min="11524" max="11526"/>
    <col width="7.6328125" customWidth="1" min="11527" max="11527"/>
    <col width="8.6328125" customWidth="1" min="11528" max="11529"/>
    <col width="9.6328125" customWidth="1" min="11530" max="11530"/>
    <col width="8.6328125" customWidth="1" min="11531" max="11534"/>
    <col width="9.6328125" customWidth="1" min="11535" max="11535"/>
    <col width="8.6328125" customWidth="1" min="11536" max="11537"/>
    <col width="9.1796875" customWidth="1" min="11538" max="11776"/>
    <col width="12.6328125" customWidth="1" min="11777" max="11777"/>
    <col width="15.6328125" customWidth="1" min="11778" max="11778"/>
    <col width="9.6328125" customWidth="1" min="11779" max="11779"/>
    <col width="8.6328125" customWidth="1" min="11780" max="11782"/>
    <col width="7.6328125" customWidth="1" min="11783" max="11783"/>
    <col width="8.6328125" customWidth="1" min="11784" max="11785"/>
    <col width="9.6328125" customWidth="1" min="11786" max="11786"/>
    <col width="8.6328125" customWidth="1" min="11787" max="11790"/>
    <col width="9.6328125" customWidth="1" min="11791" max="11791"/>
    <col width="8.6328125" customWidth="1" min="11792" max="11793"/>
    <col width="9.1796875" customWidth="1" min="11794" max="12032"/>
    <col width="12.6328125" customWidth="1" min="12033" max="12033"/>
    <col width="15.6328125" customWidth="1" min="12034" max="12034"/>
    <col width="9.6328125" customWidth="1" min="12035" max="12035"/>
    <col width="8.6328125" customWidth="1" min="12036" max="12038"/>
    <col width="7.6328125" customWidth="1" min="12039" max="12039"/>
    <col width="8.6328125" customWidth="1" min="12040" max="12041"/>
    <col width="9.6328125" customWidth="1" min="12042" max="12042"/>
    <col width="8.6328125" customWidth="1" min="12043" max="12046"/>
    <col width="9.6328125" customWidth="1" min="12047" max="12047"/>
    <col width="8.6328125" customWidth="1" min="12048" max="12049"/>
    <col width="9.1796875" customWidth="1" min="12050" max="12288"/>
    <col width="12.6328125" customWidth="1" min="12289" max="12289"/>
    <col width="15.6328125" customWidth="1" min="12290" max="12290"/>
    <col width="9.6328125" customWidth="1" min="12291" max="12291"/>
    <col width="8.6328125" customWidth="1" min="12292" max="12294"/>
    <col width="7.6328125" customWidth="1" min="12295" max="12295"/>
    <col width="8.6328125" customWidth="1" min="12296" max="12297"/>
    <col width="9.6328125" customWidth="1" min="12298" max="12298"/>
    <col width="8.6328125" customWidth="1" min="12299" max="12302"/>
    <col width="9.6328125" customWidth="1" min="12303" max="12303"/>
    <col width="8.6328125" customWidth="1" min="12304" max="12305"/>
    <col width="9.1796875" customWidth="1" min="12306" max="12544"/>
    <col width="12.6328125" customWidth="1" min="12545" max="12545"/>
    <col width="15.6328125" customWidth="1" min="12546" max="12546"/>
    <col width="9.6328125" customWidth="1" min="12547" max="12547"/>
    <col width="8.6328125" customWidth="1" min="12548" max="12550"/>
    <col width="7.6328125" customWidth="1" min="12551" max="12551"/>
    <col width="8.6328125" customWidth="1" min="12552" max="12553"/>
    <col width="9.6328125" customWidth="1" min="12554" max="12554"/>
    <col width="8.6328125" customWidth="1" min="12555" max="12558"/>
    <col width="9.6328125" customWidth="1" min="12559" max="12559"/>
    <col width="8.6328125" customWidth="1" min="12560" max="12561"/>
    <col width="9.1796875" customWidth="1" min="12562" max="12800"/>
    <col width="12.6328125" customWidth="1" min="12801" max="12801"/>
    <col width="15.6328125" customWidth="1" min="12802" max="12802"/>
    <col width="9.6328125" customWidth="1" min="12803" max="12803"/>
    <col width="8.6328125" customWidth="1" min="12804" max="12806"/>
    <col width="7.6328125" customWidth="1" min="12807" max="12807"/>
    <col width="8.6328125" customWidth="1" min="12808" max="12809"/>
    <col width="9.6328125" customWidth="1" min="12810" max="12810"/>
    <col width="8.6328125" customWidth="1" min="12811" max="12814"/>
    <col width="9.6328125" customWidth="1" min="12815" max="12815"/>
    <col width="8.6328125" customWidth="1" min="12816" max="12817"/>
    <col width="9.1796875" customWidth="1" min="12818" max="13056"/>
    <col width="12.6328125" customWidth="1" min="13057" max="13057"/>
    <col width="15.6328125" customWidth="1" min="13058" max="13058"/>
    <col width="9.6328125" customWidth="1" min="13059" max="13059"/>
    <col width="8.6328125" customWidth="1" min="13060" max="13062"/>
    <col width="7.6328125" customWidth="1" min="13063" max="13063"/>
    <col width="8.6328125" customWidth="1" min="13064" max="13065"/>
    <col width="9.6328125" customWidth="1" min="13066" max="13066"/>
    <col width="8.6328125" customWidth="1" min="13067" max="13070"/>
    <col width="9.6328125" customWidth="1" min="13071" max="13071"/>
    <col width="8.6328125" customWidth="1" min="13072" max="13073"/>
    <col width="9.1796875" customWidth="1" min="13074" max="13312"/>
    <col width="12.6328125" customWidth="1" min="13313" max="13313"/>
    <col width="15.6328125" customWidth="1" min="13314" max="13314"/>
    <col width="9.6328125" customWidth="1" min="13315" max="13315"/>
    <col width="8.6328125" customWidth="1" min="13316" max="13318"/>
    <col width="7.6328125" customWidth="1" min="13319" max="13319"/>
    <col width="8.6328125" customWidth="1" min="13320" max="13321"/>
    <col width="9.6328125" customWidth="1" min="13322" max="13322"/>
    <col width="8.6328125" customWidth="1" min="13323" max="13326"/>
    <col width="9.6328125" customWidth="1" min="13327" max="13327"/>
    <col width="8.6328125" customWidth="1" min="13328" max="13329"/>
    <col width="9.1796875" customWidth="1" min="13330" max="13568"/>
    <col width="12.6328125" customWidth="1" min="13569" max="13569"/>
    <col width="15.6328125" customWidth="1" min="13570" max="13570"/>
    <col width="9.6328125" customWidth="1" min="13571" max="13571"/>
    <col width="8.6328125" customWidth="1" min="13572" max="13574"/>
    <col width="7.6328125" customWidth="1" min="13575" max="13575"/>
    <col width="8.6328125" customWidth="1" min="13576" max="13577"/>
    <col width="9.6328125" customWidth="1" min="13578" max="13578"/>
    <col width="8.6328125" customWidth="1" min="13579" max="13582"/>
    <col width="9.6328125" customWidth="1" min="13583" max="13583"/>
    <col width="8.6328125" customWidth="1" min="13584" max="13585"/>
    <col width="9.1796875" customWidth="1" min="13586" max="13824"/>
    <col width="12.6328125" customWidth="1" min="13825" max="13825"/>
    <col width="15.6328125" customWidth="1" min="13826" max="13826"/>
    <col width="9.6328125" customWidth="1" min="13827" max="13827"/>
    <col width="8.6328125" customWidth="1" min="13828" max="13830"/>
    <col width="7.6328125" customWidth="1" min="13831" max="13831"/>
    <col width="8.6328125" customWidth="1" min="13832" max="13833"/>
    <col width="9.6328125" customWidth="1" min="13834" max="13834"/>
    <col width="8.6328125" customWidth="1" min="13835" max="13838"/>
    <col width="9.6328125" customWidth="1" min="13839" max="13839"/>
    <col width="8.6328125" customWidth="1" min="13840" max="13841"/>
    <col width="9.1796875" customWidth="1" min="13842" max="14080"/>
    <col width="12.6328125" customWidth="1" min="14081" max="14081"/>
    <col width="15.6328125" customWidth="1" min="14082" max="14082"/>
    <col width="9.6328125" customWidth="1" min="14083" max="14083"/>
    <col width="8.6328125" customWidth="1" min="14084" max="14086"/>
    <col width="7.6328125" customWidth="1" min="14087" max="14087"/>
    <col width="8.6328125" customWidth="1" min="14088" max="14089"/>
    <col width="9.6328125" customWidth="1" min="14090" max="14090"/>
    <col width="8.6328125" customWidth="1" min="14091" max="14094"/>
    <col width="9.6328125" customWidth="1" min="14095" max="14095"/>
    <col width="8.6328125" customWidth="1" min="14096" max="14097"/>
    <col width="9.1796875" customWidth="1" min="14098" max="14336"/>
    <col width="12.6328125" customWidth="1" min="14337" max="14337"/>
    <col width="15.6328125" customWidth="1" min="14338" max="14338"/>
    <col width="9.6328125" customWidth="1" min="14339" max="14339"/>
    <col width="8.6328125" customWidth="1" min="14340" max="14342"/>
    <col width="7.6328125" customWidth="1" min="14343" max="14343"/>
    <col width="8.6328125" customWidth="1" min="14344" max="14345"/>
    <col width="9.6328125" customWidth="1" min="14346" max="14346"/>
    <col width="8.6328125" customWidth="1" min="14347" max="14350"/>
    <col width="9.6328125" customWidth="1" min="14351" max="14351"/>
    <col width="8.6328125" customWidth="1" min="14352" max="14353"/>
    <col width="9.1796875" customWidth="1" min="14354" max="14592"/>
    <col width="12.6328125" customWidth="1" min="14593" max="14593"/>
    <col width="15.6328125" customWidth="1" min="14594" max="14594"/>
    <col width="9.6328125" customWidth="1" min="14595" max="14595"/>
    <col width="8.6328125" customWidth="1" min="14596" max="14598"/>
    <col width="7.6328125" customWidth="1" min="14599" max="14599"/>
    <col width="8.6328125" customWidth="1" min="14600" max="14601"/>
    <col width="9.6328125" customWidth="1" min="14602" max="14602"/>
    <col width="8.6328125" customWidth="1" min="14603" max="14606"/>
    <col width="9.6328125" customWidth="1" min="14607" max="14607"/>
    <col width="8.6328125" customWidth="1" min="14608" max="14609"/>
    <col width="9.1796875" customWidth="1" min="14610" max="14848"/>
    <col width="12.6328125" customWidth="1" min="14849" max="14849"/>
    <col width="15.6328125" customWidth="1" min="14850" max="14850"/>
    <col width="9.6328125" customWidth="1" min="14851" max="14851"/>
    <col width="8.6328125" customWidth="1" min="14852" max="14854"/>
    <col width="7.6328125" customWidth="1" min="14855" max="14855"/>
    <col width="8.6328125" customWidth="1" min="14856" max="14857"/>
    <col width="9.6328125" customWidth="1" min="14858" max="14858"/>
    <col width="8.6328125" customWidth="1" min="14859" max="14862"/>
    <col width="9.6328125" customWidth="1" min="14863" max="14863"/>
    <col width="8.6328125" customWidth="1" min="14864" max="14865"/>
    <col width="9.1796875" customWidth="1" min="14866" max="15104"/>
    <col width="12.6328125" customWidth="1" min="15105" max="15105"/>
    <col width="15.6328125" customWidth="1" min="15106" max="15106"/>
    <col width="9.6328125" customWidth="1" min="15107" max="15107"/>
    <col width="8.6328125" customWidth="1" min="15108" max="15110"/>
    <col width="7.6328125" customWidth="1" min="15111" max="15111"/>
    <col width="8.6328125" customWidth="1" min="15112" max="15113"/>
    <col width="9.6328125" customWidth="1" min="15114" max="15114"/>
    <col width="8.6328125" customWidth="1" min="15115" max="15118"/>
    <col width="9.6328125" customWidth="1" min="15119" max="15119"/>
    <col width="8.6328125" customWidth="1" min="15120" max="15121"/>
    <col width="9.1796875" customWidth="1" min="15122" max="15360"/>
    <col width="12.6328125" customWidth="1" min="15361" max="15361"/>
    <col width="15.6328125" customWidth="1" min="15362" max="15362"/>
    <col width="9.6328125" customWidth="1" min="15363" max="15363"/>
    <col width="8.6328125" customWidth="1" min="15364" max="15366"/>
    <col width="7.6328125" customWidth="1" min="15367" max="15367"/>
    <col width="8.6328125" customWidth="1" min="15368" max="15369"/>
    <col width="9.6328125" customWidth="1" min="15370" max="15370"/>
    <col width="8.6328125" customWidth="1" min="15371" max="15374"/>
    <col width="9.6328125" customWidth="1" min="15375" max="15375"/>
    <col width="8.6328125" customWidth="1" min="15376" max="15377"/>
    <col width="9.1796875" customWidth="1" min="15378" max="15616"/>
    <col width="12.6328125" customWidth="1" min="15617" max="15617"/>
    <col width="15.6328125" customWidth="1" min="15618" max="15618"/>
    <col width="9.6328125" customWidth="1" min="15619" max="15619"/>
    <col width="8.6328125" customWidth="1" min="15620" max="15622"/>
    <col width="7.6328125" customWidth="1" min="15623" max="15623"/>
    <col width="8.6328125" customWidth="1" min="15624" max="15625"/>
    <col width="9.6328125" customWidth="1" min="15626" max="15626"/>
    <col width="8.6328125" customWidth="1" min="15627" max="15630"/>
    <col width="9.6328125" customWidth="1" min="15631" max="15631"/>
    <col width="8.6328125" customWidth="1" min="15632" max="15633"/>
    <col width="9.1796875" customWidth="1" min="15634" max="15872"/>
    <col width="12.6328125" customWidth="1" min="15873" max="15873"/>
    <col width="15.6328125" customWidth="1" min="15874" max="15874"/>
    <col width="9.6328125" customWidth="1" min="15875" max="15875"/>
    <col width="8.6328125" customWidth="1" min="15876" max="15878"/>
    <col width="7.6328125" customWidth="1" min="15879" max="15879"/>
    <col width="8.6328125" customWidth="1" min="15880" max="15881"/>
    <col width="9.6328125" customWidth="1" min="15882" max="15882"/>
    <col width="8.6328125" customWidth="1" min="15883" max="15886"/>
    <col width="9.6328125" customWidth="1" min="15887" max="15887"/>
    <col width="8.6328125" customWidth="1" min="15888" max="15889"/>
    <col width="9.1796875" customWidth="1" min="15890" max="16128"/>
    <col width="12.6328125" customWidth="1" min="16129" max="16129"/>
    <col width="15.6328125" customWidth="1" min="16130" max="16130"/>
    <col width="9.6328125" customWidth="1" min="16131" max="16131"/>
    <col width="8.6328125" customWidth="1" min="16132" max="16134"/>
    <col width="7.6328125" customWidth="1" min="16135" max="16135"/>
    <col width="8.6328125" customWidth="1" min="16136" max="16137"/>
    <col width="9.6328125" customWidth="1" min="16138" max="16138"/>
    <col width="8.6328125" customWidth="1" min="16139" max="16142"/>
    <col width="9.6328125" customWidth="1" min="16143" max="16143"/>
    <col width="8.6328125" customWidth="1" min="16144" max="16145"/>
    <col width="9.1796875" customWidth="1"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251791</v>
      </c>
      <c r="C218" t="n">
        <v>346046</v>
      </c>
      <c r="D218" t="n">
        <v>20557</v>
      </c>
      <c r="E218" t="n">
        <v>17358</v>
      </c>
      <c r="F218" t="n">
        <v>47876</v>
      </c>
      <c r="G218" t="n">
        <v>8214</v>
      </c>
      <c r="H218" t="n">
        <v>7011</v>
      </c>
      <c r="I218" t="n">
        <v>37700</v>
      </c>
      <c r="J218" t="n">
        <v>289190</v>
      </c>
      <c r="K218" t="n">
        <v>37399</v>
      </c>
      <c r="L218" t="n">
        <v>49814</v>
      </c>
      <c r="M218" t="n">
        <v>21187</v>
      </c>
      <c r="N218" t="n">
        <v>8367</v>
      </c>
      <c r="O218" t="n">
        <v>56856</v>
      </c>
      <c r="P218" t="n">
        <v>27200</v>
      </c>
      <c r="Q218" t="n">
        <v>6507</v>
      </c>
    </row>
    <row r="219">
      <c r="A219" s="134" t="n">
        <v>40210</v>
      </c>
      <c r="B219" t="n">
        <v>253949</v>
      </c>
      <c r="C219" t="n">
        <v>346702</v>
      </c>
      <c r="D219" t="n">
        <v>20443</v>
      </c>
      <c r="E219" t="n">
        <v>17399</v>
      </c>
      <c r="F219" t="n">
        <v>48699</v>
      </c>
      <c r="G219" t="n">
        <v>8482</v>
      </c>
      <c r="H219" t="n">
        <v>7131</v>
      </c>
      <c r="I219" t="n">
        <v>38267</v>
      </c>
      <c r="J219" t="n">
        <v>290899</v>
      </c>
      <c r="K219" t="n">
        <v>36950</v>
      </c>
      <c r="L219" t="n">
        <v>50490</v>
      </c>
      <c r="M219" t="n">
        <v>21199</v>
      </c>
      <c r="N219" t="n">
        <v>8248</v>
      </c>
      <c r="O219" t="n">
        <v>55803</v>
      </c>
      <c r="P219" t="n">
        <v>27179</v>
      </c>
      <c r="Q219" t="n">
        <v>6412</v>
      </c>
    </row>
    <row r="220">
      <c r="A220" s="134" t="n">
        <v>40238</v>
      </c>
      <c r="B220" t="n">
        <v>256132</v>
      </c>
      <c r="C220" t="n">
        <v>354147</v>
      </c>
      <c r="D220" t="n">
        <v>21870</v>
      </c>
      <c r="E220" t="n">
        <v>17910</v>
      </c>
      <c r="F220" t="n">
        <v>48269</v>
      </c>
      <c r="G220" t="n">
        <v>8139</v>
      </c>
      <c r="H220" t="n">
        <v>7235</v>
      </c>
      <c r="I220" t="n">
        <v>38376</v>
      </c>
      <c r="J220" t="n">
        <v>293292</v>
      </c>
      <c r="K220" t="n">
        <v>37160</v>
      </c>
      <c r="L220" t="n">
        <v>50023</v>
      </c>
      <c r="M220" t="n">
        <v>21343</v>
      </c>
      <c r="N220" t="n">
        <v>8667</v>
      </c>
      <c r="O220" t="n">
        <v>60855</v>
      </c>
      <c r="P220" t="n">
        <v>27785</v>
      </c>
      <c r="Q220" t="n">
        <v>6515</v>
      </c>
    </row>
    <row r="221">
      <c r="A221" s="134" t="n">
        <v>40269</v>
      </c>
      <c r="B221" t="n">
        <v>258306</v>
      </c>
      <c r="C221" t="n">
        <v>357304</v>
      </c>
      <c r="D221" t="n">
        <v>23549</v>
      </c>
      <c r="E221" t="n">
        <v>17719</v>
      </c>
      <c r="F221" t="n">
        <v>48217</v>
      </c>
      <c r="G221" t="n">
        <v>8280</v>
      </c>
      <c r="H221" t="n">
        <v>7128</v>
      </c>
      <c r="I221" t="n">
        <v>38658</v>
      </c>
      <c r="J221" t="n">
        <v>295488</v>
      </c>
      <c r="K221" t="n">
        <v>37182</v>
      </c>
      <c r="L221" t="n">
        <v>50586</v>
      </c>
      <c r="M221" t="n">
        <v>21471</v>
      </c>
      <c r="N221" t="n">
        <v>8604</v>
      </c>
      <c r="O221" t="n">
        <v>61816</v>
      </c>
      <c r="P221" t="n">
        <v>27685</v>
      </c>
      <c r="Q221" t="n">
        <v>6409</v>
      </c>
    </row>
    <row r="222">
      <c r="A222" s="134" t="n">
        <v>40299</v>
      </c>
      <c r="B222" t="n">
        <v>255890</v>
      </c>
      <c r="C222" t="n">
        <v>354015</v>
      </c>
      <c r="D222" t="n">
        <v>21724</v>
      </c>
      <c r="E222" t="n">
        <v>17662</v>
      </c>
      <c r="F222" t="n">
        <v>48191</v>
      </c>
      <c r="G222" t="n">
        <v>8375</v>
      </c>
      <c r="H222" t="n">
        <v>7110</v>
      </c>
      <c r="I222" t="n">
        <v>38659</v>
      </c>
      <c r="J222" t="n">
        <v>292496</v>
      </c>
      <c r="K222" t="n">
        <v>36606</v>
      </c>
      <c r="L222" t="n">
        <v>49957</v>
      </c>
      <c r="M222" t="n">
        <v>21399</v>
      </c>
      <c r="N222" t="n">
        <v>8626</v>
      </c>
      <c r="O222" t="n">
        <v>61519</v>
      </c>
      <c r="P222" t="n">
        <v>27691</v>
      </c>
      <c r="Q222" t="n">
        <v>6496</v>
      </c>
    </row>
    <row r="223">
      <c r="A223" s="134" t="n">
        <v>40330</v>
      </c>
      <c r="B223" t="n">
        <v>256635</v>
      </c>
      <c r="C223" t="n">
        <v>353683</v>
      </c>
      <c r="D223" t="n">
        <v>21518</v>
      </c>
      <c r="E223" t="n">
        <v>17499</v>
      </c>
      <c r="F223" t="n">
        <v>47907</v>
      </c>
      <c r="G223" t="n">
        <v>8483</v>
      </c>
      <c r="H223" t="n">
        <v>7072</v>
      </c>
      <c r="I223" t="n">
        <v>38877</v>
      </c>
      <c r="J223" t="n">
        <v>292310</v>
      </c>
      <c r="K223" t="n">
        <v>35675</v>
      </c>
      <c r="L223" t="n">
        <v>49950</v>
      </c>
      <c r="M223" t="n">
        <v>21661</v>
      </c>
      <c r="N223" t="n">
        <v>8797</v>
      </c>
      <c r="O223" t="n">
        <v>61373</v>
      </c>
      <c r="P223" t="n">
        <v>28374</v>
      </c>
      <c r="Q223" t="n">
        <v>6497</v>
      </c>
    </row>
    <row r="224">
      <c r="A224" s="134" t="n">
        <v>40360</v>
      </c>
      <c r="B224" t="n">
        <v>256146</v>
      </c>
      <c r="C224" t="n">
        <v>354622</v>
      </c>
      <c r="D224" t="n">
        <v>21475</v>
      </c>
      <c r="E224" t="n">
        <v>17568</v>
      </c>
      <c r="F224" t="n">
        <v>47957</v>
      </c>
      <c r="G224" t="n">
        <v>8361</v>
      </c>
      <c r="H224" t="n">
        <v>7101</v>
      </c>
      <c r="I224" t="n">
        <v>39033</v>
      </c>
      <c r="J224" t="n">
        <v>291943</v>
      </c>
      <c r="K224" t="n">
        <v>35797</v>
      </c>
      <c r="L224" t="n">
        <v>49816</v>
      </c>
      <c r="M224" t="n">
        <v>21733</v>
      </c>
      <c r="N224" t="n">
        <v>8616</v>
      </c>
      <c r="O224" t="n">
        <v>62679</v>
      </c>
      <c r="P224" t="n">
        <v>27970</v>
      </c>
      <c r="Q224" t="n">
        <v>6516</v>
      </c>
    </row>
    <row r="225">
      <c r="A225" s="134" t="n">
        <v>40391</v>
      </c>
      <c r="B225" t="n">
        <v>257792</v>
      </c>
      <c r="C225" t="n">
        <v>356573</v>
      </c>
      <c r="D225" t="n">
        <v>21296</v>
      </c>
      <c r="E225" t="n">
        <v>17635</v>
      </c>
      <c r="F225" t="n">
        <v>48260</v>
      </c>
      <c r="G225" t="n">
        <v>8329</v>
      </c>
      <c r="H225" t="n">
        <v>7123</v>
      </c>
      <c r="I225" t="n">
        <v>39402</v>
      </c>
      <c r="J225" t="n">
        <v>293981</v>
      </c>
      <c r="K225" t="n">
        <v>36189</v>
      </c>
      <c r="L225" t="n">
        <v>50116</v>
      </c>
      <c r="M225" t="n">
        <v>21863</v>
      </c>
      <c r="N225" t="n">
        <v>8647</v>
      </c>
      <c r="O225" t="n">
        <v>62592</v>
      </c>
      <c r="P225" t="n">
        <v>28680</v>
      </c>
      <c r="Q225" t="n">
        <v>6441</v>
      </c>
    </row>
    <row r="226">
      <c r="A226" s="134" t="n">
        <v>40422</v>
      </c>
      <c r="B226" t="n">
        <v>258671</v>
      </c>
      <c r="C226" t="n">
        <v>359257</v>
      </c>
      <c r="D226" t="n">
        <v>21351</v>
      </c>
      <c r="E226" t="n">
        <v>17711</v>
      </c>
      <c r="F226" t="n">
        <v>48673</v>
      </c>
      <c r="G226" t="n">
        <v>8383</v>
      </c>
      <c r="H226" t="n">
        <v>7108</v>
      </c>
      <c r="I226" t="n">
        <v>39345</v>
      </c>
      <c r="J226" t="n">
        <v>295990</v>
      </c>
      <c r="K226" t="n">
        <v>37319</v>
      </c>
      <c r="L226" t="n">
        <v>50208</v>
      </c>
      <c r="M226" t="n">
        <v>21888</v>
      </c>
      <c r="N226" t="n">
        <v>8757</v>
      </c>
      <c r="O226" t="n">
        <v>63267</v>
      </c>
      <c r="P226" t="n">
        <v>28778</v>
      </c>
      <c r="Q226" t="n">
        <v>6469</v>
      </c>
    </row>
    <row r="227">
      <c r="A227" s="134" t="n">
        <v>40452</v>
      </c>
      <c r="B227" t="n">
        <v>260161</v>
      </c>
      <c r="C227" t="n">
        <v>363557</v>
      </c>
      <c r="D227" t="n">
        <v>22066</v>
      </c>
      <c r="E227" t="n">
        <v>18010</v>
      </c>
      <c r="F227" t="n">
        <v>48574</v>
      </c>
      <c r="G227" t="n">
        <v>8265</v>
      </c>
      <c r="H227" t="n">
        <v>7039</v>
      </c>
      <c r="I227" t="n">
        <v>39479</v>
      </c>
      <c r="J227" t="n">
        <v>298641</v>
      </c>
      <c r="K227" t="n">
        <v>38480</v>
      </c>
      <c r="L227" t="n">
        <v>50235</v>
      </c>
      <c r="M227" t="n">
        <v>22128</v>
      </c>
      <c r="N227" t="n">
        <v>8928</v>
      </c>
      <c r="O227" t="n">
        <v>64916</v>
      </c>
      <c r="P227" t="n">
        <v>28858</v>
      </c>
      <c r="Q227" t="n">
        <v>6579</v>
      </c>
    </row>
    <row r="228">
      <c r="A228" s="134" t="n">
        <v>40483</v>
      </c>
      <c r="B228" t="n">
        <v>262405</v>
      </c>
      <c r="C228" t="n">
        <v>367050</v>
      </c>
      <c r="D228" t="n">
        <v>21931</v>
      </c>
      <c r="E228" t="n">
        <v>18409</v>
      </c>
      <c r="F228" t="n">
        <v>49175</v>
      </c>
      <c r="G228" t="n">
        <v>8114</v>
      </c>
      <c r="H228" t="n">
        <v>7098</v>
      </c>
      <c r="I228" t="n">
        <v>39710</v>
      </c>
      <c r="J228" t="n">
        <v>301677</v>
      </c>
      <c r="K228" t="n">
        <v>39272</v>
      </c>
      <c r="L228" t="n">
        <v>51313</v>
      </c>
      <c r="M228" t="n">
        <v>22180</v>
      </c>
      <c r="N228" t="n">
        <v>8909</v>
      </c>
      <c r="O228" t="n">
        <v>65373</v>
      </c>
      <c r="P228" t="n">
        <v>28843</v>
      </c>
      <c r="Q228" t="n">
        <v>6723</v>
      </c>
    </row>
    <row r="229">
      <c r="A229" s="134" t="n">
        <v>40513</v>
      </c>
      <c r="B229" t="n">
        <v>262617</v>
      </c>
      <c r="C229" t="n">
        <v>369192</v>
      </c>
      <c r="D229" t="n">
        <v>22171</v>
      </c>
      <c r="E229" t="n">
        <v>18219</v>
      </c>
      <c r="F229" t="n">
        <v>49186</v>
      </c>
      <c r="G229" t="n">
        <v>8269</v>
      </c>
      <c r="H229" t="n">
        <v>7057</v>
      </c>
      <c r="I229" t="n">
        <v>39508</v>
      </c>
      <c r="J229" t="n">
        <v>303896</v>
      </c>
      <c r="K229" t="n">
        <v>41279</v>
      </c>
      <c r="L229" t="n">
        <v>50896</v>
      </c>
      <c r="M229" t="n">
        <v>22272</v>
      </c>
      <c r="N229" t="n">
        <v>8889</v>
      </c>
      <c r="O229" t="n">
        <v>65296</v>
      </c>
      <c r="P229" t="n">
        <v>29562</v>
      </c>
      <c r="Q229" t="n">
        <v>6588</v>
      </c>
    </row>
    <row r="230">
      <c r="A230" s="134" t="n">
        <v>40544</v>
      </c>
      <c r="B230" t="n">
        <v>263786</v>
      </c>
      <c r="C230" t="n">
        <v>371782</v>
      </c>
      <c r="D230" t="n">
        <v>21479</v>
      </c>
      <c r="E230" t="n">
        <v>18358</v>
      </c>
      <c r="F230" t="n">
        <v>49671</v>
      </c>
      <c r="G230" t="n">
        <v>8218</v>
      </c>
      <c r="H230" t="n">
        <v>6984</v>
      </c>
      <c r="I230" t="n">
        <v>39700</v>
      </c>
      <c r="J230" t="n">
        <v>305564</v>
      </c>
      <c r="K230" t="n">
        <v>41778</v>
      </c>
      <c r="L230" t="n">
        <v>50834</v>
      </c>
      <c r="M230" t="n">
        <v>22695</v>
      </c>
      <c r="N230" t="n">
        <v>8822</v>
      </c>
      <c r="O230" t="n">
        <v>66218</v>
      </c>
      <c r="P230" t="n">
        <v>30460</v>
      </c>
      <c r="Q230" t="n">
        <v>6565</v>
      </c>
    </row>
    <row r="231">
      <c r="A231" s="134" t="n">
        <v>40575</v>
      </c>
      <c r="B231" t="n">
        <v>265387</v>
      </c>
      <c r="C231" t="n">
        <v>375001</v>
      </c>
      <c r="D231" t="n">
        <v>21197</v>
      </c>
      <c r="E231" t="n">
        <v>18582</v>
      </c>
      <c r="F231" t="n">
        <v>50066</v>
      </c>
      <c r="G231" t="n">
        <v>8356</v>
      </c>
      <c r="H231" t="n">
        <v>7145</v>
      </c>
      <c r="I231" t="n">
        <v>40382</v>
      </c>
      <c r="J231" t="n">
        <v>307681</v>
      </c>
      <c r="K231" t="n">
        <v>42294</v>
      </c>
      <c r="L231" t="n">
        <v>51466</v>
      </c>
      <c r="M231" t="n">
        <v>22428</v>
      </c>
      <c r="N231" t="n">
        <v>9115</v>
      </c>
      <c r="O231" t="n">
        <v>67320</v>
      </c>
      <c r="P231" t="n">
        <v>30039</v>
      </c>
      <c r="Q231" t="n">
        <v>6611</v>
      </c>
    </row>
    <row r="232">
      <c r="A232" s="134" t="n">
        <v>40603</v>
      </c>
      <c r="B232" t="n">
        <v>267030</v>
      </c>
      <c r="C232" t="n">
        <v>378434</v>
      </c>
      <c r="D232" t="n">
        <v>21863</v>
      </c>
      <c r="E232" t="n">
        <v>18700</v>
      </c>
      <c r="F232" t="n">
        <v>50076</v>
      </c>
      <c r="G232" t="n">
        <v>8468</v>
      </c>
      <c r="H232" t="n">
        <v>7411</v>
      </c>
      <c r="I232" t="n">
        <v>40575</v>
      </c>
      <c r="J232" t="n">
        <v>310853</v>
      </c>
      <c r="K232" t="n">
        <v>43823</v>
      </c>
      <c r="L232" t="n">
        <v>51593</v>
      </c>
      <c r="M232" t="n">
        <v>22563</v>
      </c>
      <c r="N232" t="n">
        <v>8838</v>
      </c>
      <c r="O232" t="n">
        <v>67581</v>
      </c>
      <c r="P232" t="n">
        <v>30384</v>
      </c>
      <c r="Q232" t="n">
        <v>6559</v>
      </c>
    </row>
    <row r="233">
      <c r="A233" s="134" t="n">
        <v>40634</v>
      </c>
      <c r="B233" t="n">
        <v>269038</v>
      </c>
      <c r="C233" t="n">
        <v>380295</v>
      </c>
      <c r="D233" t="n">
        <v>22051</v>
      </c>
      <c r="E233" t="n">
        <v>18954</v>
      </c>
      <c r="F233" t="n">
        <v>50840</v>
      </c>
      <c r="G233" t="n">
        <v>8519</v>
      </c>
      <c r="H233" t="n">
        <v>7313</v>
      </c>
      <c r="I233" t="n">
        <v>40624</v>
      </c>
      <c r="J233" t="n">
        <v>313642</v>
      </c>
      <c r="K233" t="n">
        <v>44604</v>
      </c>
      <c r="L233" t="n">
        <v>51965</v>
      </c>
      <c r="M233" t="n">
        <v>22448</v>
      </c>
      <c r="N233" t="n">
        <v>9065</v>
      </c>
      <c r="O233" t="n">
        <v>66653</v>
      </c>
      <c r="P233" t="n">
        <v>30644</v>
      </c>
      <c r="Q233" t="n">
        <v>6615</v>
      </c>
    </row>
    <row r="234">
      <c r="A234" s="134" t="n">
        <v>40664</v>
      </c>
      <c r="B234" t="n">
        <v>268936</v>
      </c>
      <c r="C234" t="n">
        <v>380140</v>
      </c>
      <c r="D234" t="n">
        <v>22305</v>
      </c>
      <c r="E234" t="n">
        <v>18816</v>
      </c>
      <c r="F234" t="n">
        <v>50382</v>
      </c>
      <c r="G234" t="n">
        <v>8416</v>
      </c>
      <c r="H234" t="n">
        <v>7245</v>
      </c>
      <c r="I234" t="n">
        <v>41050</v>
      </c>
      <c r="J234" t="n">
        <v>314236</v>
      </c>
      <c r="K234" t="n">
        <v>45300</v>
      </c>
      <c r="L234" t="n">
        <v>51680</v>
      </c>
      <c r="M234" t="n">
        <v>22630</v>
      </c>
      <c r="N234" t="n">
        <v>8972</v>
      </c>
      <c r="O234" t="n">
        <v>65904</v>
      </c>
      <c r="P234" t="n">
        <v>30905</v>
      </c>
      <c r="Q234" t="n">
        <v>6535</v>
      </c>
    </row>
    <row r="235">
      <c r="A235" s="134" t="n">
        <v>40695</v>
      </c>
      <c r="B235" t="n">
        <v>271711</v>
      </c>
      <c r="C235" t="n">
        <v>383141</v>
      </c>
      <c r="D235" t="n">
        <v>22728</v>
      </c>
      <c r="E235" t="n">
        <v>19190</v>
      </c>
      <c r="F235" t="n">
        <v>50942</v>
      </c>
      <c r="G235" t="n">
        <v>8439</v>
      </c>
      <c r="H235" t="n">
        <v>7234</v>
      </c>
      <c r="I235" t="n">
        <v>41540</v>
      </c>
      <c r="J235" t="n">
        <v>316367</v>
      </c>
      <c r="K235" t="n">
        <v>44656</v>
      </c>
      <c r="L235" t="n">
        <v>52351</v>
      </c>
      <c r="M235" t="n">
        <v>22607</v>
      </c>
      <c r="N235" t="n">
        <v>9051</v>
      </c>
      <c r="O235" t="n">
        <v>66774</v>
      </c>
      <c r="P235" t="n">
        <v>31044</v>
      </c>
      <c r="Q235" t="n">
        <v>6585</v>
      </c>
    </row>
    <row r="236">
      <c r="A236" s="134" t="n">
        <v>40725</v>
      </c>
      <c r="B236" t="n">
        <v>271550</v>
      </c>
      <c r="C236" t="n">
        <v>382882</v>
      </c>
      <c r="D236" t="n">
        <v>22763</v>
      </c>
      <c r="E236" t="n">
        <v>19004</v>
      </c>
      <c r="F236" t="n">
        <v>50946</v>
      </c>
      <c r="G236" t="n">
        <v>8548</v>
      </c>
      <c r="H236" t="n">
        <v>7263</v>
      </c>
      <c r="I236" t="n">
        <v>41516</v>
      </c>
      <c r="J236" t="n">
        <v>316346</v>
      </c>
      <c r="K236" t="n">
        <v>44796</v>
      </c>
      <c r="L236" t="n">
        <v>52069</v>
      </c>
      <c r="M236" t="n">
        <v>22728</v>
      </c>
      <c r="N236" t="n">
        <v>9164</v>
      </c>
      <c r="O236" t="n">
        <v>66536</v>
      </c>
      <c r="P236" t="n">
        <v>31080</v>
      </c>
      <c r="Q236" t="n">
        <v>6469</v>
      </c>
    </row>
    <row r="237">
      <c r="A237" s="134" t="n">
        <v>40756</v>
      </c>
      <c r="B237" t="n">
        <v>272850</v>
      </c>
      <c r="C237" t="n">
        <v>383682</v>
      </c>
      <c r="D237" t="n">
        <v>22767</v>
      </c>
      <c r="E237" t="n">
        <v>18907</v>
      </c>
      <c r="F237" t="n">
        <v>51177</v>
      </c>
      <c r="G237" t="n">
        <v>8615</v>
      </c>
      <c r="H237" t="n">
        <v>7326</v>
      </c>
      <c r="I237" t="n">
        <v>41718</v>
      </c>
      <c r="J237" t="n">
        <v>317925</v>
      </c>
      <c r="K237" t="n">
        <v>45075</v>
      </c>
      <c r="L237" t="n">
        <v>52084</v>
      </c>
      <c r="M237" t="n">
        <v>22822</v>
      </c>
      <c r="N237" t="n">
        <v>9229</v>
      </c>
      <c r="O237" t="n">
        <v>65757</v>
      </c>
      <c r="P237" t="n">
        <v>31544</v>
      </c>
      <c r="Q237" t="n">
        <v>6661</v>
      </c>
    </row>
    <row r="238">
      <c r="A238" s="134" t="n">
        <v>40787</v>
      </c>
      <c r="B238" t="n">
        <v>273558</v>
      </c>
      <c r="C238" t="n">
        <v>387558</v>
      </c>
      <c r="D238" t="n">
        <v>22636</v>
      </c>
      <c r="E238" t="n">
        <v>19512</v>
      </c>
      <c r="F238" t="n">
        <v>51098</v>
      </c>
      <c r="G238" t="n">
        <v>8484</v>
      </c>
      <c r="H238" t="n">
        <v>7391</v>
      </c>
      <c r="I238" t="n">
        <v>42013</v>
      </c>
      <c r="J238" t="n">
        <v>318685</v>
      </c>
      <c r="K238" t="n">
        <v>45127</v>
      </c>
      <c r="L238" t="n">
        <v>52503</v>
      </c>
      <c r="M238" t="n">
        <v>22718</v>
      </c>
      <c r="N238" t="n">
        <v>9159</v>
      </c>
      <c r="O238" t="n">
        <v>68873</v>
      </c>
      <c r="P238" t="n">
        <v>31358</v>
      </c>
      <c r="Q238" t="n">
        <v>6686</v>
      </c>
    </row>
    <row r="239">
      <c r="A239" s="134" t="n">
        <v>40817</v>
      </c>
      <c r="B239" t="n">
        <v>275157</v>
      </c>
      <c r="C239" t="n">
        <v>389844</v>
      </c>
      <c r="D239" t="n">
        <v>23244</v>
      </c>
      <c r="E239" t="n">
        <v>19122</v>
      </c>
      <c r="F239" t="n">
        <v>51276</v>
      </c>
      <c r="G239" t="n">
        <v>8815</v>
      </c>
      <c r="H239" t="n">
        <v>7295</v>
      </c>
      <c r="I239" t="n">
        <v>42162</v>
      </c>
      <c r="J239" t="n">
        <v>319958</v>
      </c>
      <c r="K239" t="n">
        <v>44801</v>
      </c>
      <c r="L239" t="n">
        <v>52396</v>
      </c>
      <c r="M239" t="n">
        <v>22830</v>
      </c>
      <c r="N239" t="n">
        <v>9066</v>
      </c>
      <c r="O239" t="n">
        <v>69886</v>
      </c>
      <c r="P239" t="n">
        <v>32346</v>
      </c>
      <c r="Q239" t="n">
        <v>6605</v>
      </c>
    </row>
    <row r="240">
      <c r="A240" s="134" t="n">
        <v>40848</v>
      </c>
      <c r="B240" t="n">
        <v>275433</v>
      </c>
      <c r="C240" t="n">
        <v>391167</v>
      </c>
      <c r="D240" t="n">
        <v>22920</v>
      </c>
      <c r="E240" t="n">
        <v>19288</v>
      </c>
      <c r="F240" t="n">
        <v>51364</v>
      </c>
      <c r="G240" t="n">
        <v>8631</v>
      </c>
      <c r="H240" t="n">
        <v>7385</v>
      </c>
      <c r="I240" t="n">
        <v>42237</v>
      </c>
      <c r="J240" t="n">
        <v>321007</v>
      </c>
      <c r="K240" t="n">
        <v>45574</v>
      </c>
      <c r="L240" t="n">
        <v>52647</v>
      </c>
      <c r="M240" t="n">
        <v>22735</v>
      </c>
      <c r="N240" t="n">
        <v>9043</v>
      </c>
      <c r="O240" t="n">
        <v>70160</v>
      </c>
      <c r="P240" t="n">
        <v>32657</v>
      </c>
      <c r="Q240" t="n">
        <v>6526</v>
      </c>
    </row>
    <row r="241">
      <c r="A241" s="134" t="n">
        <v>40878</v>
      </c>
      <c r="B241" t="n">
        <v>274711</v>
      </c>
      <c r="C241" t="n">
        <v>391535</v>
      </c>
      <c r="D241" t="n">
        <v>23465</v>
      </c>
      <c r="E241" t="n">
        <v>19516</v>
      </c>
      <c r="F241" t="n">
        <v>51266</v>
      </c>
      <c r="G241" t="n">
        <v>8456</v>
      </c>
      <c r="H241" t="n">
        <v>7518</v>
      </c>
      <c r="I241" t="n">
        <v>41864</v>
      </c>
      <c r="J241" t="n">
        <v>320050</v>
      </c>
      <c r="K241" t="n">
        <v>45339</v>
      </c>
      <c r="L241" t="n">
        <v>52399</v>
      </c>
      <c r="M241" t="n">
        <v>22656</v>
      </c>
      <c r="N241" t="n">
        <v>8891</v>
      </c>
      <c r="O241" t="n">
        <v>71485</v>
      </c>
      <c r="P241" t="n">
        <v>32319</v>
      </c>
      <c r="Q241" t="n">
        <v>6361</v>
      </c>
    </row>
    <row r="242">
      <c r="A242" s="134" t="n">
        <v>40909</v>
      </c>
      <c r="B242" t="n">
        <v>278045</v>
      </c>
      <c r="C242" t="n">
        <v>395459</v>
      </c>
      <c r="D242" t="n">
        <v>23620</v>
      </c>
      <c r="E242" t="n">
        <v>19565</v>
      </c>
      <c r="F242" t="n">
        <v>51535</v>
      </c>
      <c r="G242" t="n">
        <v>8513</v>
      </c>
      <c r="H242" t="n">
        <v>7646</v>
      </c>
      <c r="I242" t="n">
        <v>42905</v>
      </c>
      <c r="J242" t="n">
        <v>323747</v>
      </c>
      <c r="K242" t="n">
        <v>45702</v>
      </c>
      <c r="L242" t="n">
        <v>53057</v>
      </c>
      <c r="M242" t="n">
        <v>22973</v>
      </c>
      <c r="N242" t="n">
        <v>9306</v>
      </c>
      <c r="O242" t="n">
        <v>71712</v>
      </c>
      <c r="P242" t="n">
        <v>32357</v>
      </c>
      <c r="Q242" t="n">
        <v>6568</v>
      </c>
    </row>
    <row r="243">
      <c r="A243" s="134" t="n">
        <v>40940</v>
      </c>
      <c r="B243" t="n">
        <v>280440</v>
      </c>
      <c r="C243" t="n">
        <v>400155</v>
      </c>
      <c r="D243" t="n">
        <v>23608</v>
      </c>
      <c r="E243" t="n">
        <v>20281</v>
      </c>
      <c r="F243" t="n">
        <v>51652</v>
      </c>
      <c r="G243" t="n">
        <v>8529</v>
      </c>
      <c r="H243" t="n">
        <v>7627</v>
      </c>
      <c r="I243" t="n">
        <v>42950</v>
      </c>
      <c r="J243" t="n">
        <v>327558</v>
      </c>
      <c r="K243" t="n">
        <v>47118</v>
      </c>
      <c r="L243" t="n">
        <v>53916</v>
      </c>
      <c r="M243" t="n">
        <v>22976</v>
      </c>
      <c r="N243" t="n">
        <v>9411</v>
      </c>
      <c r="O243" t="n">
        <v>72597</v>
      </c>
      <c r="P243" t="n">
        <v>32815</v>
      </c>
      <c r="Q243" t="n">
        <v>6675</v>
      </c>
    </row>
    <row r="244">
      <c r="A244" s="134" t="n">
        <v>40969</v>
      </c>
      <c r="B244" t="n">
        <v>281317</v>
      </c>
      <c r="C244" t="n">
        <v>401556</v>
      </c>
      <c r="D244" t="n">
        <v>24591</v>
      </c>
      <c r="E244" t="n">
        <v>20062</v>
      </c>
      <c r="F244" t="n">
        <v>52108</v>
      </c>
      <c r="G244" t="n">
        <v>8716</v>
      </c>
      <c r="H244" t="n">
        <v>7594</v>
      </c>
      <c r="I244" t="n">
        <v>42942</v>
      </c>
      <c r="J244" t="n">
        <v>328905</v>
      </c>
      <c r="K244" t="n">
        <v>47588</v>
      </c>
      <c r="L244" t="n">
        <v>53592</v>
      </c>
      <c r="M244" t="n">
        <v>22945</v>
      </c>
      <c r="N244" t="n">
        <v>9185</v>
      </c>
      <c r="O244" t="n">
        <v>72651</v>
      </c>
      <c r="P244" t="n">
        <v>32767</v>
      </c>
      <c r="Q244" t="n">
        <v>6815</v>
      </c>
    </row>
    <row r="245">
      <c r="A245" s="134" t="n">
        <v>41000</v>
      </c>
      <c r="B245" t="n">
        <v>280056</v>
      </c>
      <c r="C245" t="n">
        <v>399953</v>
      </c>
      <c r="D245" t="n">
        <v>23420</v>
      </c>
      <c r="E245" t="n">
        <v>19552</v>
      </c>
      <c r="F245" t="n">
        <v>52249</v>
      </c>
      <c r="G245" t="n">
        <v>8559</v>
      </c>
      <c r="H245" t="n">
        <v>7502</v>
      </c>
      <c r="I245" t="n">
        <v>43365</v>
      </c>
      <c r="J245" t="n">
        <v>327016</v>
      </c>
      <c r="K245" t="n">
        <v>46960</v>
      </c>
      <c r="L245" t="n">
        <v>53213</v>
      </c>
      <c r="M245" t="n">
        <v>23045</v>
      </c>
      <c r="N245" t="n">
        <v>9200</v>
      </c>
      <c r="O245" t="n">
        <v>72937</v>
      </c>
      <c r="P245" t="n">
        <v>33100</v>
      </c>
      <c r="Q245" t="n">
        <v>6851</v>
      </c>
    </row>
    <row r="246">
      <c r="A246" s="134" t="n">
        <v>41030</v>
      </c>
      <c r="B246" t="n">
        <v>279755</v>
      </c>
      <c r="C246" t="n">
        <v>399106</v>
      </c>
      <c r="D246" t="n">
        <v>22719</v>
      </c>
      <c r="E246" t="n">
        <v>19628</v>
      </c>
      <c r="F246" t="n">
        <v>52281</v>
      </c>
      <c r="G246" t="n">
        <v>8713</v>
      </c>
      <c r="H246" t="n">
        <v>7652</v>
      </c>
      <c r="I246" t="n">
        <v>43313</v>
      </c>
      <c r="J246" t="n">
        <v>325521</v>
      </c>
      <c r="K246" t="n">
        <v>45766</v>
      </c>
      <c r="L246" t="n">
        <v>53101</v>
      </c>
      <c r="M246" t="n">
        <v>22883</v>
      </c>
      <c r="N246" t="n">
        <v>8895</v>
      </c>
      <c r="O246" t="n">
        <v>73585</v>
      </c>
      <c r="P246" t="n">
        <v>33708</v>
      </c>
      <c r="Q246" t="n">
        <v>6862</v>
      </c>
    </row>
    <row r="247">
      <c r="A247" s="134" t="n">
        <v>41061</v>
      </c>
      <c r="B247" t="n">
        <v>279475</v>
      </c>
      <c r="C247" t="n">
        <v>395630</v>
      </c>
      <c r="D247" t="n">
        <v>22520</v>
      </c>
      <c r="E247" t="n">
        <v>19867</v>
      </c>
      <c r="F247" t="n">
        <v>52251</v>
      </c>
      <c r="G247" t="n">
        <v>8658</v>
      </c>
      <c r="H247" t="n">
        <v>7552</v>
      </c>
      <c r="I247" t="n">
        <v>43542</v>
      </c>
      <c r="J247" t="n">
        <v>323244</v>
      </c>
      <c r="K247" t="n">
        <v>43769</v>
      </c>
      <c r="L247" t="n">
        <v>53114</v>
      </c>
      <c r="M247" t="n">
        <v>22449</v>
      </c>
      <c r="N247" t="n">
        <v>9087</v>
      </c>
      <c r="O247" t="n">
        <v>72386</v>
      </c>
      <c r="P247" t="n">
        <v>33638</v>
      </c>
      <c r="Q247" t="n">
        <v>6797</v>
      </c>
    </row>
    <row r="248">
      <c r="A248" s="134" t="n">
        <v>41091</v>
      </c>
      <c r="B248" t="n">
        <v>280725</v>
      </c>
      <c r="C248" t="n">
        <v>397399</v>
      </c>
      <c r="D248" t="n">
        <v>22681</v>
      </c>
      <c r="E248" t="n">
        <v>19695</v>
      </c>
      <c r="F248" t="n">
        <v>52231</v>
      </c>
      <c r="G248" t="n">
        <v>8750</v>
      </c>
      <c r="H248" t="n">
        <v>7650</v>
      </c>
      <c r="I248" t="n">
        <v>43676</v>
      </c>
      <c r="J248" t="n">
        <v>324209</v>
      </c>
      <c r="K248" t="n">
        <v>43484</v>
      </c>
      <c r="L248" t="n">
        <v>53191</v>
      </c>
      <c r="M248" t="n">
        <v>22793</v>
      </c>
      <c r="N248" t="n">
        <v>9179</v>
      </c>
      <c r="O248" t="n">
        <v>73190</v>
      </c>
      <c r="P248" t="n">
        <v>34074</v>
      </c>
      <c r="Q248" t="n">
        <v>6805</v>
      </c>
    </row>
    <row r="249">
      <c r="A249" s="134" t="n">
        <v>41122</v>
      </c>
      <c r="B249" t="n">
        <v>281791</v>
      </c>
      <c r="C249" t="n">
        <v>402164</v>
      </c>
      <c r="D249" t="n">
        <v>23127</v>
      </c>
      <c r="E249" t="n">
        <v>19979</v>
      </c>
      <c r="F249" t="n">
        <v>52361</v>
      </c>
      <c r="G249" t="n">
        <v>8638</v>
      </c>
      <c r="H249" t="n">
        <v>7608</v>
      </c>
      <c r="I249" t="n">
        <v>43712</v>
      </c>
      <c r="J249" t="n">
        <v>328182</v>
      </c>
      <c r="K249" t="n">
        <v>46391</v>
      </c>
      <c r="L249" t="n">
        <v>53485</v>
      </c>
      <c r="M249" t="n">
        <v>22741</v>
      </c>
      <c r="N249" t="n">
        <v>9074</v>
      </c>
      <c r="O249" t="n">
        <v>73982</v>
      </c>
      <c r="P249" t="n">
        <v>34316</v>
      </c>
      <c r="Q249" t="n">
        <v>6750</v>
      </c>
    </row>
    <row r="250">
      <c r="A250" s="134" t="n">
        <v>41153</v>
      </c>
      <c r="B250" t="n">
        <v>282996</v>
      </c>
      <c r="C250" t="n">
        <v>405251</v>
      </c>
      <c r="D250" t="n">
        <v>23657</v>
      </c>
      <c r="E250" t="n">
        <v>20108</v>
      </c>
      <c r="F250" t="n">
        <v>52492</v>
      </c>
      <c r="G250" t="n">
        <v>8619</v>
      </c>
      <c r="H250" t="n">
        <v>7606</v>
      </c>
      <c r="I250" t="n">
        <v>44085</v>
      </c>
      <c r="J250" t="n">
        <v>330056</v>
      </c>
      <c r="K250" t="n">
        <v>47060</v>
      </c>
      <c r="L250" t="n">
        <v>53413</v>
      </c>
      <c r="M250" t="n">
        <v>22608</v>
      </c>
      <c r="N250" t="n">
        <v>9114</v>
      </c>
      <c r="O250" t="n">
        <v>75195</v>
      </c>
      <c r="P250" t="n">
        <v>34574</v>
      </c>
      <c r="Q250" t="n">
        <v>6720</v>
      </c>
    </row>
    <row r="251">
      <c r="A251" s="134" t="n">
        <v>41183</v>
      </c>
      <c r="B251" t="n">
        <v>282697</v>
      </c>
      <c r="C251" t="n">
        <v>405422</v>
      </c>
      <c r="D251" t="n">
        <v>23808</v>
      </c>
      <c r="E251" t="n">
        <v>19911</v>
      </c>
      <c r="F251" t="n">
        <v>52852</v>
      </c>
      <c r="G251" t="n">
        <v>8350</v>
      </c>
      <c r="H251" t="n">
        <v>7416</v>
      </c>
      <c r="I251" t="n">
        <v>43708</v>
      </c>
      <c r="J251" t="n">
        <v>330673</v>
      </c>
      <c r="K251" t="n">
        <v>47976</v>
      </c>
      <c r="L251" t="n">
        <v>53629</v>
      </c>
      <c r="M251" t="n">
        <v>22504</v>
      </c>
      <c r="N251" t="n">
        <v>9155</v>
      </c>
      <c r="O251" t="n">
        <v>74749</v>
      </c>
      <c r="P251" t="n">
        <v>34622</v>
      </c>
      <c r="Q251" t="n">
        <v>6742</v>
      </c>
    </row>
    <row r="252">
      <c r="A252" s="134" t="n">
        <v>41214</v>
      </c>
      <c r="B252" t="n">
        <v>284537</v>
      </c>
      <c r="C252" t="n">
        <v>407266</v>
      </c>
      <c r="D252" t="n">
        <v>24163</v>
      </c>
      <c r="E252" t="n">
        <v>19959</v>
      </c>
      <c r="F252" t="n">
        <v>52672</v>
      </c>
      <c r="G252" t="n">
        <v>8653</v>
      </c>
      <c r="H252" t="n">
        <v>7634</v>
      </c>
      <c r="I252" t="n">
        <v>44520</v>
      </c>
      <c r="J252" t="n">
        <v>331359</v>
      </c>
      <c r="K252" t="n">
        <v>46822</v>
      </c>
      <c r="L252" t="n">
        <v>53401</v>
      </c>
      <c r="M252" t="n">
        <v>22661</v>
      </c>
      <c r="N252" t="n">
        <v>9081</v>
      </c>
      <c r="O252" t="n">
        <v>75907</v>
      </c>
      <c r="P252" t="n">
        <v>35137</v>
      </c>
      <c r="Q252" t="n">
        <v>6656</v>
      </c>
    </row>
    <row r="253">
      <c r="A253" s="134" t="n">
        <v>41244</v>
      </c>
      <c r="B253" t="n">
        <v>286077</v>
      </c>
      <c r="C253" t="n">
        <v>408758</v>
      </c>
      <c r="D253" t="n">
        <v>24134</v>
      </c>
      <c r="E253" t="n">
        <v>20228</v>
      </c>
      <c r="F253" t="n">
        <v>52694</v>
      </c>
      <c r="G253" t="n">
        <v>8800</v>
      </c>
      <c r="H253" t="n">
        <v>7931</v>
      </c>
      <c r="I253" t="n">
        <v>44538</v>
      </c>
      <c r="J253" t="n">
        <v>331963</v>
      </c>
      <c r="K253" t="n">
        <v>45886</v>
      </c>
      <c r="L253" t="n">
        <v>53606</v>
      </c>
      <c r="M253" t="n">
        <v>22898</v>
      </c>
      <c r="N253" t="n">
        <v>9328</v>
      </c>
      <c r="O253" t="n">
        <v>76795</v>
      </c>
      <c r="P253" t="n">
        <v>35087</v>
      </c>
      <c r="Q253" t="n">
        <v>6833</v>
      </c>
    </row>
    <row r="254">
      <c r="A254" s="134" t="n">
        <v>41275</v>
      </c>
      <c r="B254" t="n">
        <v>288315</v>
      </c>
      <c r="C254" t="n">
        <v>412017</v>
      </c>
      <c r="D254" t="n">
        <v>24378</v>
      </c>
      <c r="E254" t="n">
        <v>20417</v>
      </c>
      <c r="F254" t="n">
        <v>52655</v>
      </c>
      <c r="G254" t="n">
        <v>8802</v>
      </c>
      <c r="H254" t="n">
        <v>7924</v>
      </c>
      <c r="I254" t="n">
        <v>45149</v>
      </c>
      <c r="J254" t="n">
        <v>334307</v>
      </c>
      <c r="K254" t="n">
        <v>45992</v>
      </c>
      <c r="L254" t="n">
        <v>54067</v>
      </c>
      <c r="M254" t="n">
        <v>23166</v>
      </c>
      <c r="N254" t="n">
        <v>9222</v>
      </c>
      <c r="O254" t="n">
        <v>77710</v>
      </c>
      <c r="P254" t="n">
        <v>35521</v>
      </c>
      <c r="Q254" t="n">
        <v>7014</v>
      </c>
    </row>
    <row r="255">
      <c r="A255" s="134" t="n">
        <v>41306</v>
      </c>
      <c r="B255" t="n">
        <v>289202</v>
      </c>
      <c r="C255" t="n">
        <v>417067</v>
      </c>
      <c r="D255" t="n">
        <v>24761</v>
      </c>
      <c r="E255" t="n">
        <v>20299</v>
      </c>
      <c r="F255" t="n">
        <v>53281</v>
      </c>
      <c r="G255" t="n">
        <v>8864</v>
      </c>
      <c r="H255" t="n">
        <v>7874</v>
      </c>
      <c r="I255" t="n">
        <v>44876</v>
      </c>
      <c r="J255" t="n">
        <v>338246</v>
      </c>
      <c r="K255" t="n">
        <v>49044</v>
      </c>
      <c r="L255" t="n">
        <v>54497</v>
      </c>
      <c r="M255" t="n">
        <v>22988</v>
      </c>
      <c r="N255" t="n">
        <v>9282</v>
      </c>
      <c r="O255" t="n">
        <v>78821</v>
      </c>
      <c r="P255" t="n">
        <v>35459</v>
      </c>
      <c r="Q255" t="n">
        <v>7021</v>
      </c>
    </row>
    <row r="256">
      <c r="A256" s="134" t="n">
        <v>41334</v>
      </c>
      <c r="B256" t="n">
        <v>288515</v>
      </c>
      <c r="C256" t="n">
        <v>414115</v>
      </c>
      <c r="D256" t="n">
        <v>24699</v>
      </c>
      <c r="E256" t="n">
        <v>20341</v>
      </c>
      <c r="F256" t="n">
        <v>53102</v>
      </c>
      <c r="G256" t="n">
        <v>8613</v>
      </c>
      <c r="H256" t="n">
        <v>7878</v>
      </c>
      <c r="I256" t="n">
        <v>45064</v>
      </c>
      <c r="J256" t="n">
        <v>336148</v>
      </c>
      <c r="K256" t="n">
        <v>47633</v>
      </c>
      <c r="L256" t="n">
        <v>54171</v>
      </c>
      <c r="M256" t="n">
        <v>23022</v>
      </c>
      <c r="N256" t="n">
        <v>9404</v>
      </c>
      <c r="O256" t="n">
        <v>77967</v>
      </c>
      <c r="P256" t="n">
        <v>35321</v>
      </c>
      <c r="Q256" t="n">
        <v>6900</v>
      </c>
    </row>
    <row r="257">
      <c r="A257" s="134" t="n">
        <v>41365</v>
      </c>
      <c r="B257" t="n">
        <v>287380</v>
      </c>
      <c r="C257" t="n">
        <v>411862</v>
      </c>
      <c r="D257" t="n">
        <v>24779</v>
      </c>
      <c r="E257" t="n">
        <v>20465</v>
      </c>
      <c r="F257" t="n">
        <v>52725</v>
      </c>
      <c r="G257" t="n">
        <v>8667</v>
      </c>
      <c r="H257" t="n">
        <v>7837</v>
      </c>
      <c r="I257" t="n">
        <v>44739</v>
      </c>
      <c r="J257" t="n">
        <v>333546</v>
      </c>
      <c r="K257" t="n">
        <v>46166</v>
      </c>
      <c r="L257" t="n">
        <v>54127</v>
      </c>
      <c r="M257" t="n">
        <v>22920</v>
      </c>
      <c r="N257" t="n">
        <v>9307</v>
      </c>
      <c r="O257" t="n">
        <v>78316</v>
      </c>
      <c r="P257" t="n">
        <v>35017</v>
      </c>
      <c r="Q257" t="n">
        <v>6797</v>
      </c>
    </row>
    <row r="258">
      <c r="A258" s="134" t="n">
        <v>41395</v>
      </c>
      <c r="B258" t="n">
        <v>288974</v>
      </c>
      <c r="C258" t="n">
        <v>414350</v>
      </c>
      <c r="D258" t="n">
        <v>25357</v>
      </c>
      <c r="E258" t="n">
        <v>20407</v>
      </c>
      <c r="F258" t="n">
        <v>53252</v>
      </c>
      <c r="G258" t="n">
        <v>8662</v>
      </c>
      <c r="H258" t="n">
        <v>7776</v>
      </c>
      <c r="I258" t="n">
        <v>44834</v>
      </c>
      <c r="J258" t="n">
        <v>334563</v>
      </c>
      <c r="K258" t="n">
        <v>45589</v>
      </c>
      <c r="L258" t="n">
        <v>54453</v>
      </c>
      <c r="M258" t="n">
        <v>23015</v>
      </c>
      <c r="N258" t="n">
        <v>9317</v>
      </c>
      <c r="O258" t="n">
        <v>79787</v>
      </c>
      <c r="P258" t="n">
        <v>35037</v>
      </c>
      <c r="Q258" t="n">
        <v>6864</v>
      </c>
    </row>
    <row r="259">
      <c r="A259" s="134" t="n">
        <v>41426</v>
      </c>
      <c r="B259" t="n">
        <v>288311</v>
      </c>
      <c r="C259" t="n">
        <v>415454</v>
      </c>
      <c r="D259" t="n">
        <v>24810</v>
      </c>
      <c r="E259" t="n">
        <v>20349</v>
      </c>
      <c r="F259" t="n">
        <v>53164</v>
      </c>
      <c r="G259" t="n">
        <v>8656</v>
      </c>
      <c r="H259" t="n">
        <v>7988</v>
      </c>
      <c r="I259" t="n">
        <v>44722</v>
      </c>
      <c r="J259" t="n">
        <v>334135</v>
      </c>
      <c r="K259" t="n">
        <v>45824</v>
      </c>
      <c r="L259" t="n">
        <v>54396</v>
      </c>
      <c r="M259" t="n">
        <v>22993</v>
      </c>
      <c r="N259" t="n">
        <v>9168</v>
      </c>
      <c r="O259" t="n">
        <v>81319</v>
      </c>
      <c r="P259" t="n">
        <v>35156</v>
      </c>
      <c r="Q259" t="n">
        <v>6909</v>
      </c>
    </row>
    <row r="260">
      <c r="A260" s="134" t="n">
        <v>41456</v>
      </c>
      <c r="B260" t="n">
        <v>290561</v>
      </c>
      <c r="C260" t="n">
        <v>418215</v>
      </c>
      <c r="D260" t="n">
        <v>25358</v>
      </c>
      <c r="E260" t="n">
        <v>20562</v>
      </c>
      <c r="F260" t="n">
        <v>53612</v>
      </c>
      <c r="G260" t="n">
        <v>8596</v>
      </c>
      <c r="H260" t="n">
        <v>7965</v>
      </c>
      <c r="I260" t="n">
        <v>45030</v>
      </c>
      <c r="J260" t="n">
        <v>336564</v>
      </c>
      <c r="K260" t="n">
        <v>46003</v>
      </c>
      <c r="L260" t="n">
        <v>54590</v>
      </c>
      <c r="M260" t="n">
        <v>23230</v>
      </c>
      <c r="N260" t="n">
        <v>9209</v>
      </c>
      <c r="O260" t="n">
        <v>81651</v>
      </c>
      <c r="P260" t="n">
        <v>35477</v>
      </c>
      <c r="Q260" t="n">
        <v>6932</v>
      </c>
    </row>
    <row r="261">
      <c r="A261" s="134" t="n">
        <v>41487</v>
      </c>
      <c r="B261" t="n">
        <v>290408</v>
      </c>
      <c r="C261" t="n">
        <v>417389</v>
      </c>
      <c r="D261" t="n">
        <v>25288</v>
      </c>
      <c r="E261" t="n">
        <v>20319</v>
      </c>
      <c r="F261" t="n">
        <v>53740</v>
      </c>
      <c r="G261" t="n">
        <v>8599</v>
      </c>
      <c r="H261" t="n">
        <v>8030</v>
      </c>
      <c r="I261" t="n">
        <v>45181</v>
      </c>
      <c r="J261" t="n">
        <v>336082</v>
      </c>
      <c r="K261" t="n">
        <v>45674</v>
      </c>
      <c r="L261" t="n">
        <v>54355</v>
      </c>
      <c r="M261" t="n">
        <v>23246</v>
      </c>
      <c r="N261" t="n">
        <v>9308</v>
      </c>
      <c r="O261" t="n">
        <v>81307</v>
      </c>
      <c r="P261" t="n">
        <v>35584</v>
      </c>
      <c r="Q261" t="n">
        <v>6758</v>
      </c>
    </row>
    <row r="262">
      <c r="A262" s="134" t="n">
        <v>41518</v>
      </c>
      <c r="B262" t="n">
        <v>291760</v>
      </c>
      <c r="C262" t="n">
        <v>417699</v>
      </c>
      <c r="D262" t="n">
        <v>25270</v>
      </c>
      <c r="E262" t="n">
        <v>20299</v>
      </c>
      <c r="F262" t="n">
        <v>53812</v>
      </c>
      <c r="G262" t="n">
        <v>8534</v>
      </c>
      <c r="H262" t="n">
        <v>8086</v>
      </c>
      <c r="I262" t="n">
        <v>45369</v>
      </c>
      <c r="J262" t="n">
        <v>337505</v>
      </c>
      <c r="K262" t="n">
        <v>45745</v>
      </c>
      <c r="L262" t="n">
        <v>54855</v>
      </c>
      <c r="M262" t="n">
        <v>23661</v>
      </c>
      <c r="N262" t="n">
        <v>9492</v>
      </c>
      <c r="O262" t="n">
        <v>80194</v>
      </c>
      <c r="P262" t="n">
        <v>35506</v>
      </c>
      <c r="Q262" t="n">
        <v>6876</v>
      </c>
    </row>
    <row r="263">
      <c r="A263" s="134" t="n">
        <v>41548</v>
      </c>
      <c r="B263" t="n">
        <v>292817</v>
      </c>
      <c r="C263" t="n">
        <v>419288</v>
      </c>
      <c r="D263" t="n">
        <v>24916</v>
      </c>
      <c r="E263" t="n">
        <v>20736</v>
      </c>
      <c r="F263" t="n">
        <v>53936</v>
      </c>
      <c r="G263" t="n">
        <v>8642</v>
      </c>
      <c r="H263" t="n">
        <v>8189</v>
      </c>
      <c r="I263" t="n">
        <v>46013</v>
      </c>
      <c r="J263" t="n">
        <v>337798</v>
      </c>
      <c r="K263" t="n">
        <v>44981</v>
      </c>
      <c r="L263" t="n">
        <v>54885</v>
      </c>
      <c r="M263" t="n">
        <v>23680</v>
      </c>
      <c r="N263" t="n">
        <v>9469</v>
      </c>
      <c r="O263" t="n">
        <v>81490</v>
      </c>
      <c r="P263" t="n">
        <v>35487</v>
      </c>
      <c r="Q263" t="n">
        <v>6864</v>
      </c>
    </row>
    <row r="264">
      <c r="A264" s="134" t="n">
        <v>41579</v>
      </c>
      <c r="B264" t="n">
        <v>293878</v>
      </c>
      <c r="C264" t="n">
        <v>420468</v>
      </c>
      <c r="D264" t="n">
        <v>24834</v>
      </c>
      <c r="E264" t="n">
        <v>20269</v>
      </c>
      <c r="F264" t="n">
        <v>54062</v>
      </c>
      <c r="G264" t="n">
        <v>8509</v>
      </c>
      <c r="H264" t="n">
        <v>8242</v>
      </c>
      <c r="I264" t="n">
        <v>46777</v>
      </c>
      <c r="J264" t="n">
        <v>338640</v>
      </c>
      <c r="K264" t="n">
        <v>44762</v>
      </c>
      <c r="L264" t="n">
        <v>54764</v>
      </c>
      <c r="M264" t="n">
        <v>23672</v>
      </c>
      <c r="N264" t="n">
        <v>9554</v>
      </c>
      <c r="O264" t="n">
        <v>81828</v>
      </c>
      <c r="P264" t="n">
        <v>36337</v>
      </c>
      <c r="Q264" t="n">
        <v>6858</v>
      </c>
    </row>
    <row r="265">
      <c r="A265" s="134" t="n">
        <v>41609</v>
      </c>
      <c r="B265" t="n">
        <v>294851</v>
      </c>
      <c r="C265" t="n">
        <v>422930</v>
      </c>
      <c r="D265" t="n">
        <v>24953</v>
      </c>
      <c r="E265" t="n">
        <v>20524</v>
      </c>
      <c r="F265" t="n">
        <v>54596</v>
      </c>
      <c r="G265" t="n">
        <v>8470</v>
      </c>
      <c r="H265" t="n">
        <v>7951</v>
      </c>
      <c r="I265" t="n">
        <v>46366</v>
      </c>
      <c r="J265" t="n">
        <v>341465</v>
      </c>
      <c r="K265" t="n">
        <v>46614</v>
      </c>
      <c r="L265" t="n">
        <v>54627</v>
      </c>
      <c r="M265" t="n">
        <v>23739</v>
      </c>
      <c r="N265" t="n">
        <v>9386</v>
      </c>
      <c r="O265" t="n">
        <v>81465</v>
      </c>
      <c r="P265" t="n">
        <v>37377</v>
      </c>
      <c r="Q265" t="n">
        <v>6862</v>
      </c>
    </row>
    <row r="266">
      <c r="A266" s="134" t="n">
        <v>41640</v>
      </c>
      <c r="B266" t="n">
        <v>292805</v>
      </c>
      <c r="C266" t="n">
        <v>419051</v>
      </c>
      <c r="D266" t="n">
        <v>24930</v>
      </c>
      <c r="E266" t="n">
        <v>20533</v>
      </c>
      <c r="F266" t="n">
        <v>54789</v>
      </c>
      <c r="G266" t="n">
        <v>8498</v>
      </c>
      <c r="H266" t="n">
        <v>7826</v>
      </c>
      <c r="I266" t="n">
        <v>45948</v>
      </c>
      <c r="J266" t="n">
        <v>339933</v>
      </c>
      <c r="K266" t="n">
        <v>47128</v>
      </c>
      <c r="L266" t="n">
        <v>54548</v>
      </c>
      <c r="M266" t="n">
        <v>23719</v>
      </c>
      <c r="N266" t="n">
        <v>9234</v>
      </c>
      <c r="O266" t="n">
        <v>79118</v>
      </c>
      <c r="P266" t="n">
        <v>36296</v>
      </c>
      <c r="Q266" t="n">
        <v>6484</v>
      </c>
    </row>
    <row r="267">
      <c r="A267" s="134" t="n">
        <v>41671</v>
      </c>
      <c r="B267" t="n">
        <v>295780</v>
      </c>
      <c r="C267" t="n">
        <v>424784</v>
      </c>
      <c r="D267" t="n">
        <v>24855</v>
      </c>
      <c r="E267" t="n">
        <v>20524</v>
      </c>
      <c r="F267" t="n">
        <v>54805</v>
      </c>
      <c r="G267" t="n">
        <v>8523</v>
      </c>
      <c r="H267" t="n">
        <v>8111</v>
      </c>
      <c r="I267" t="n">
        <v>46457</v>
      </c>
      <c r="J267" t="n">
        <v>343294</v>
      </c>
      <c r="K267" t="n">
        <v>47514</v>
      </c>
      <c r="L267" t="n">
        <v>55363</v>
      </c>
      <c r="M267" t="n">
        <v>23827</v>
      </c>
      <c r="N267" t="n">
        <v>9385</v>
      </c>
      <c r="O267" t="n">
        <v>81490</v>
      </c>
      <c r="P267" t="n">
        <v>37132</v>
      </c>
      <c r="Q267" t="n">
        <v>6798</v>
      </c>
    </row>
    <row r="268">
      <c r="A268" s="134" t="n">
        <v>41699</v>
      </c>
      <c r="B268" t="n">
        <v>297957</v>
      </c>
      <c r="C268" t="n">
        <v>429251</v>
      </c>
      <c r="D268" t="n">
        <v>25277</v>
      </c>
      <c r="E268" t="n">
        <v>20658</v>
      </c>
      <c r="F268" t="n">
        <v>54878</v>
      </c>
      <c r="G268" t="n">
        <v>8567</v>
      </c>
      <c r="H268" t="n">
        <v>8244</v>
      </c>
      <c r="I268" t="n">
        <v>47049</v>
      </c>
      <c r="J268" t="n">
        <v>344817</v>
      </c>
      <c r="K268" t="n">
        <v>46860</v>
      </c>
      <c r="L268" t="n">
        <v>55481</v>
      </c>
      <c r="M268" t="n">
        <v>23971</v>
      </c>
      <c r="N268" t="n">
        <v>9456</v>
      </c>
      <c r="O268" t="n">
        <v>84434</v>
      </c>
      <c r="P268" t="n">
        <v>37580</v>
      </c>
      <c r="Q268" t="n">
        <v>6796</v>
      </c>
    </row>
    <row r="269">
      <c r="A269" s="134" t="n">
        <v>41730</v>
      </c>
      <c r="B269" t="n">
        <v>300686</v>
      </c>
      <c r="C269" t="n">
        <v>433581</v>
      </c>
      <c r="D269" t="n">
        <v>26126</v>
      </c>
      <c r="E269" t="n">
        <v>21125</v>
      </c>
      <c r="F269" t="n">
        <v>55269</v>
      </c>
      <c r="G269" t="n">
        <v>8534</v>
      </c>
      <c r="H269" t="n">
        <v>8366</v>
      </c>
      <c r="I269" t="n">
        <v>47172</v>
      </c>
      <c r="J269" t="n">
        <v>347766</v>
      </c>
      <c r="K269" t="n">
        <v>47080</v>
      </c>
      <c r="L269" t="n">
        <v>55915</v>
      </c>
      <c r="M269" t="n">
        <v>24176</v>
      </c>
      <c r="N269" t="n">
        <v>9377</v>
      </c>
      <c r="O269" t="n">
        <v>85815</v>
      </c>
      <c r="P269" t="n">
        <v>37729</v>
      </c>
      <c r="Q269" t="n">
        <v>6897</v>
      </c>
    </row>
    <row r="270">
      <c r="A270" s="134" t="n">
        <v>41760</v>
      </c>
      <c r="B270" t="n">
        <v>301556</v>
      </c>
      <c r="C270" t="n">
        <v>434292</v>
      </c>
      <c r="D270" t="n">
        <v>26420</v>
      </c>
      <c r="E270" t="n">
        <v>20732</v>
      </c>
      <c r="F270" t="n">
        <v>55450</v>
      </c>
      <c r="G270" t="n">
        <v>8417</v>
      </c>
      <c r="H270" t="n">
        <v>8348</v>
      </c>
      <c r="I270" t="n">
        <v>47575</v>
      </c>
      <c r="J270" t="n">
        <v>348378</v>
      </c>
      <c r="K270" t="n">
        <v>46822</v>
      </c>
      <c r="L270" t="n">
        <v>55947</v>
      </c>
      <c r="M270" t="n">
        <v>24506</v>
      </c>
      <c r="N270" t="n">
        <v>9536</v>
      </c>
      <c r="O270" t="n">
        <v>85914</v>
      </c>
      <c r="P270" t="n">
        <v>37764</v>
      </c>
      <c r="Q270" t="n">
        <v>6861</v>
      </c>
    </row>
    <row r="271">
      <c r="A271" s="134" t="n">
        <v>41791</v>
      </c>
      <c r="B271" t="n">
        <v>303535</v>
      </c>
      <c r="C271" t="n">
        <v>435487</v>
      </c>
      <c r="D271" t="n">
        <v>26632</v>
      </c>
      <c r="E271" t="n">
        <v>20795</v>
      </c>
      <c r="F271" t="n">
        <v>55901</v>
      </c>
      <c r="G271" t="n">
        <v>8332</v>
      </c>
      <c r="H271" t="n">
        <v>8360</v>
      </c>
      <c r="I271" t="n">
        <v>47749</v>
      </c>
      <c r="J271" t="n">
        <v>349266</v>
      </c>
      <c r="K271" t="n">
        <v>45731</v>
      </c>
      <c r="L271" t="n">
        <v>55907</v>
      </c>
      <c r="M271" t="n">
        <v>24702</v>
      </c>
      <c r="N271" t="n">
        <v>9576</v>
      </c>
      <c r="O271" t="n">
        <v>86221</v>
      </c>
      <c r="P271" t="n">
        <v>38633</v>
      </c>
      <c r="Q271" t="n">
        <v>6948</v>
      </c>
    </row>
    <row r="272">
      <c r="A272" s="134" t="n">
        <v>41821</v>
      </c>
      <c r="B272" t="n">
        <v>303774</v>
      </c>
      <c r="C272" t="n">
        <v>436102</v>
      </c>
      <c r="D272" t="n">
        <v>26096</v>
      </c>
      <c r="E272" t="n">
        <v>20872</v>
      </c>
      <c r="F272" t="n">
        <v>56135</v>
      </c>
      <c r="G272" t="n">
        <v>8415</v>
      </c>
      <c r="H272" t="n">
        <v>8382</v>
      </c>
      <c r="I272" t="n">
        <v>48124</v>
      </c>
      <c r="J272" t="n">
        <v>349579</v>
      </c>
      <c r="K272" t="n">
        <v>45805</v>
      </c>
      <c r="L272" t="n">
        <v>56042</v>
      </c>
      <c r="M272" t="n">
        <v>24716</v>
      </c>
      <c r="N272" t="n">
        <v>9615</v>
      </c>
      <c r="O272" t="n">
        <v>86523</v>
      </c>
      <c r="P272" t="n">
        <v>38452</v>
      </c>
      <c r="Q272" t="n">
        <v>6925</v>
      </c>
    </row>
    <row r="273">
      <c r="A273" s="134" t="n">
        <v>41852</v>
      </c>
      <c r="B273" t="n">
        <v>306293</v>
      </c>
      <c r="C273" t="n">
        <v>439643</v>
      </c>
      <c r="D273" t="n">
        <v>26628</v>
      </c>
      <c r="E273" t="n">
        <v>21040</v>
      </c>
      <c r="F273" t="n">
        <v>56293</v>
      </c>
      <c r="G273" t="n">
        <v>8481</v>
      </c>
      <c r="H273" t="n">
        <v>8519</v>
      </c>
      <c r="I273" t="n">
        <v>48419</v>
      </c>
      <c r="J273" t="n">
        <v>352198</v>
      </c>
      <c r="K273" t="n">
        <v>45905</v>
      </c>
      <c r="L273" t="n">
        <v>56272</v>
      </c>
      <c r="M273" t="n">
        <v>24820</v>
      </c>
      <c r="N273" t="n">
        <v>9740</v>
      </c>
      <c r="O273" t="n">
        <v>87445</v>
      </c>
      <c r="P273" t="n">
        <v>38910</v>
      </c>
      <c r="Q273" t="n">
        <v>7171</v>
      </c>
    </row>
    <row r="274">
      <c r="A274" s="134" t="n">
        <v>41883</v>
      </c>
      <c r="B274" t="n">
        <v>306674</v>
      </c>
      <c r="C274" t="n">
        <v>438535</v>
      </c>
      <c r="D274" t="n">
        <v>26507</v>
      </c>
      <c r="E274" t="n">
        <v>20757</v>
      </c>
      <c r="F274" t="n">
        <v>56461</v>
      </c>
      <c r="G274" t="n">
        <v>8664</v>
      </c>
      <c r="H274" t="n">
        <v>8462</v>
      </c>
      <c r="I274" t="n">
        <v>49031</v>
      </c>
      <c r="J274" t="n">
        <v>352105</v>
      </c>
      <c r="K274" t="n">
        <v>45431</v>
      </c>
      <c r="L274" t="n">
        <v>56100</v>
      </c>
      <c r="M274" t="n">
        <v>24930</v>
      </c>
      <c r="N274" t="n">
        <v>9728</v>
      </c>
      <c r="O274" t="n">
        <v>86430</v>
      </c>
      <c r="P274" t="n">
        <v>38986</v>
      </c>
      <c r="Q274" t="n">
        <v>7048</v>
      </c>
    </row>
    <row r="275">
      <c r="A275" s="134" t="n">
        <v>41913</v>
      </c>
      <c r="B275" t="n">
        <v>308785</v>
      </c>
      <c r="C275" t="n">
        <v>440128</v>
      </c>
      <c r="D275" t="n">
        <v>26521</v>
      </c>
      <c r="E275" t="n">
        <v>21140</v>
      </c>
      <c r="F275" t="n">
        <v>56768</v>
      </c>
      <c r="G275" t="n">
        <v>8614</v>
      </c>
      <c r="H275" t="n">
        <v>8496</v>
      </c>
      <c r="I275" t="n">
        <v>49711</v>
      </c>
      <c r="J275" t="n">
        <v>353287</v>
      </c>
      <c r="K275" t="n">
        <v>44502</v>
      </c>
      <c r="L275" t="n">
        <v>56271</v>
      </c>
      <c r="M275" t="n">
        <v>24844</v>
      </c>
      <c r="N275" t="n">
        <v>9885</v>
      </c>
      <c r="O275" t="n">
        <v>86841</v>
      </c>
      <c r="P275" t="n">
        <v>39383</v>
      </c>
      <c r="Q275" t="n">
        <v>7152</v>
      </c>
    </row>
    <row r="276">
      <c r="A276" s="134" t="n">
        <v>41944</v>
      </c>
      <c r="B276" t="n">
        <v>309732</v>
      </c>
      <c r="C276" t="n">
        <v>441139</v>
      </c>
      <c r="D276" t="n">
        <v>26620</v>
      </c>
      <c r="E276" t="n">
        <v>21341</v>
      </c>
      <c r="F276" t="n">
        <v>56754</v>
      </c>
      <c r="G276" t="n">
        <v>8804</v>
      </c>
      <c r="H276" t="n">
        <v>8582</v>
      </c>
      <c r="I276" t="n">
        <v>49791</v>
      </c>
      <c r="J276" t="n">
        <v>353316</v>
      </c>
      <c r="K276" t="n">
        <v>43584</v>
      </c>
      <c r="L276" t="n">
        <v>56326</v>
      </c>
      <c r="M276" t="n">
        <v>24929</v>
      </c>
      <c r="N276" t="n">
        <v>9825</v>
      </c>
      <c r="O276" t="n">
        <v>87823</v>
      </c>
      <c r="P276" t="n">
        <v>39616</v>
      </c>
      <c r="Q276" t="n">
        <v>7144</v>
      </c>
    </row>
    <row r="277">
      <c r="A277" s="134" t="n">
        <v>41974</v>
      </c>
      <c r="B277" t="n">
        <v>310767</v>
      </c>
      <c r="C277" t="n">
        <v>438604</v>
      </c>
      <c r="D277" t="n">
        <v>26282</v>
      </c>
      <c r="E277" t="n">
        <v>21267</v>
      </c>
      <c r="F277" t="n">
        <v>57054</v>
      </c>
      <c r="G277" t="n">
        <v>8777</v>
      </c>
      <c r="H277" t="n">
        <v>8721</v>
      </c>
      <c r="I277" t="n">
        <v>50576</v>
      </c>
      <c r="J277" t="n">
        <v>351214</v>
      </c>
      <c r="K277" t="n">
        <v>40447</v>
      </c>
      <c r="L277" t="n">
        <v>56385</v>
      </c>
      <c r="M277" t="n">
        <v>25098</v>
      </c>
      <c r="N277" t="n">
        <v>9804</v>
      </c>
      <c r="O277" t="n">
        <v>87390</v>
      </c>
      <c r="P277" t="n">
        <v>39740</v>
      </c>
      <c r="Q277" t="n">
        <v>7063</v>
      </c>
    </row>
    <row r="278">
      <c r="A278" s="134" t="n">
        <v>42005</v>
      </c>
      <c r="B278" t="n">
        <v>311016</v>
      </c>
      <c r="C278" t="n">
        <v>436142</v>
      </c>
      <c r="D278" t="n">
        <v>26486</v>
      </c>
      <c r="E278" t="n">
        <v>21022</v>
      </c>
      <c r="F278" t="n">
        <v>57108</v>
      </c>
      <c r="G278" t="n">
        <v>8642</v>
      </c>
      <c r="H278" t="n">
        <v>8701</v>
      </c>
      <c r="I278" t="n">
        <v>50853</v>
      </c>
      <c r="J278" t="n">
        <v>347631</v>
      </c>
      <c r="K278" t="n">
        <v>36615</v>
      </c>
      <c r="L278" t="n">
        <v>56437</v>
      </c>
      <c r="M278" t="n">
        <v>25317</v>
      </c>
      <c r="N278" t="n">
        <v>9843</v>
      </c>
      <c r="O278" t="n">
        <v>88511</v>
      </c>
      <c r="P278" t="n">
        <v>39670</v>
      </c>
      <c r="Q278" t="n">
        <v>6937</v>
      </c>
    </row>
    <row r="279">
      <c r="A279" s="134" t="n">
        <v>42036</v>
      </c>
      <c r="B279" t="n">
        <v>310361</v>
      </c>
      <c r="C279" t="n">
        <v>435398</v>
      </c>
      <c r="D279" t="n">
        <v>25570</v>
      </c>
      <c r="E279" t="n">
        <v>21282</v>
      </c>
      <c r="F279" t="n">
        <v>57183</v>
      </c>
      <c r="G279" t="n">
        <v>8491</v>
      </c>
      <c r="H279" t="n">
        <v>8508</v>
      </c>
      <c r="I279" t="n">
        <v>50713</v>
      </c>
      <c r="J279" t="n">
        <v>348205</v>
      </c>
      <c r="K279" t="n">
        <v>37844</v>
      </c>
      <c r="L279" t="n">
        <v>56119</v>
      </c>
      <c r="M279" t="n">
        <v>25089</v>
      </c>
      <c r="N279" t="n">
        <v>9757</v>
      </c>
      <c r="O279" t="n">
        <v>87193</v>
      </c>
      <c r="P279" t="n">
        <v>40668</v>
      </c>
      <c r="Q279" t="n">
        <v>6981</v>
      </c>
    </row>
    <row r="280">
      <c r="A280" s="134" t="n">
        <v>42064</v>
      </c>
      <c r="B280" t="n">
        <v>312500</v>
      </c>
      <c r="C280" t="n">
        <v>442001</v>
      </c>
      <c r="D280" t="n">
        <v>26526</v>
      </c>
      <c r="E280" t="n">
        <v>21333</v>
      </c>
      <c r="F280" t="n">
        <v>57168</v>
      </c>
      <c r="G280" t="n">
        <v>8295</v>
      </c>
      <c r="H280" t="n">
        <v>8765</v>
      </c>
      <c r="I280" t="n">
        <v>51151</v>
      </c>
      <c r="J280" t="n">
        <v>350867</v>
      </c>
      <c r="K280" t="n">
        <v>38367</v>
      </c>
      <c r="L280" t="n">
        <v>56294</v>
      </c>
      <c r="M280" t="n">
        <v>25653</v>
      </c>
      <c r="N280" t="n">
        <v>9732</v>
      </c>
      <c r="O280" t="n">
        <v>91134</v>
      </c>
      <c r="P280" t="n">
        <v>40522</v>
      </c>
      <c r="Q280" t="n">
        <v>7061</v>
      </c>
    </row>
    <row r="281">
      <c r="A281" s="134" t="n">
        <v>42095</v>
      </c>
      <c r="B281" t="n">
        <v>313387</v>
      </c>
      <c r="C281" t="n">
        <v>442898</v>
      </c>
      <c r="D281" t="n">
        <v>26750</v>
      </c>
      <c r="E281" t="n">
        <v>21426</v>
      </c>
      <c r="F281" t="n">
        <v>57083</v>
      </c>
      <c r="G281" t="n">
        <v>8385</v>
      </c>
      <c r="H281" t="n">
        <v>8885</v>
      </c>
      <c r="I281" t="n">
        <v>51768</v>
      </c>
      <c r="J281" t="n">
        <v>351209</v>
      </c>
      <c r="K281" t="n">
        <v>37822</v>
      </c>
      <c r="L281" t="n">
        <v>56226</v>
      </c>
      <c r="M281" t="n">
        <v>25201</v>
      </c>
      <c r="N281" t="n">
        <v>9783</v>
      </c>
      <c r="O281" t="n">
        <v>91689</v>
      </c>
      <c r="P281" t="n">
        <v>40792</v>
      </c>
      <c r="Q281" t="n">
        <v>7088</v>
      </c>
    </row>
    <row r="282">
      <c r="A282" s="134" t="n">
        <v>42125</v>
      </c>
      <c r="B282" t="n">
        <v>314625</v>
      </c>
      <c r="C282" t="n">
        <v>446305</v>
      </c>
      <c r="D282" t="n">
        <v>26823</v>
      </c>
      <c r="E282" t="n">
        <v>21596</v>
      </c>
      <c r="F282" t="n">
        <v>57099</v>
      </c>
      <c r="G282" t="n">
        <v>8434</v>
      </c>
      <c r="H282" t="n">
        <v>9070</v>
      </c>
      <c r="I282" t="n">
        <v>51939</v>
      </c>
      <c r="J282" t="n">
        <v>353920</v>
      </c>
      <c r="K282" t="n">
        <v>39295</v>
      </c>
      <c r="L282" t="n">
        <v>56742</v>
      </c>
      <c r="M282" t="n">
        <v>25180</v>
      </c>
      <c r="N282" t="n">
        <v>9991</v>
      </c>
      <c r="O282" t="n">
        <v>92385</v>
      </c>
      <c r="P282" t="n">
        <v>40618</v>
      </c>
      <c r="Q282" t="n">
        <v>7133</v>
      </c>
    </row>
    <row r="283">
      <c r="A283" s="134" t="n">
        <v>42156</v>
      </c>
      <c r="B283" t="n">
        <v>314502</v>
      </c>
      <c r="C283" t="n">
        <v>446649</v>
      </c>
      <c r="D283" t="n">
        <v>26543</v>
      </c>
      <c r="E283" t="n">
        <v>21312</v>
      </c>
      <c r="F283" t="n">
        <v>57344</v>
      </c>
      <c r="G283" t="n">
        <v>8538</v>
      </c>
      <c r="H283" t="n">
        <v>8898</v>
      </c>
      <c r="I283" t="n">
        <v>51906</v>
      </c>
      <c r="J283" t="n">
        <v>354338</v>
      </c>
      <c r="K283" t="n">
        <v>39836</v>
      </c>
      <c r="L283" t="n">
        <v>56561</v>
      </c>
      <c r="M283" t="n">
        <v>25364</v>
      </c>
      <c r="N283" t="n">
        <v>10038</v>
      </c>
      <c r="O283" t="n">
        <v>92311</v>
      </c>
      <c r="P283" t="n">
        <v>40925</v>
      </c>
      <c r="Q283" t="n">
        <v>7073</v>
      </c>
    </row>
    <row r="284">
      <c r="A284" s="134" t="n">
        <v>42186</v>
      </c>
      <c r="B284" t="n">
        <v>317339</v>
      </c>
      <c r="C284" t="n">
        <v>450262</v>
      </c>
      <c r="D284" t="n">
        <v>27388</v>
      </c>
      <c r="E284" t="n">
        <v>21557</v>
      </c>
      <c r="F284" t="n">
        <v>57564</v>
      </c>
      <c r="G284" t="n">
        <v>8373</v>
      </c>
      <c r="H284" t="n">
        <v>9065</v>
      </c>
      <c r="I284" t="n">
        <v>52234</v>
      </c>
      <c r="J284" t="n">
        <v>357691</v>
      </c>
      <c r="K284" t="n">
        <v>40352</v>
      </c>
      <c r="L284" t="n">
        <v>56900</v>
      </c>
      <c r="M284" t="n">
        <v>25588</v>
      </c>
      <c r="N284" t="n">
        <v>10044</v>
      </c>
      <c r="O284" t="n">
        <v>92571</v>
      </c>
      <c r="P284" t="n">
        <v>41494</v>
      </c>
      <c r="Q284" t="n">
        <v>7132</v>
      </c>
    </row>
    <row r="285">
      <c r="A285" s="134" t="n">
        <v>42217</v>
      </c>
      <c r="B285" t="n">
        <v>317884</v>
      </c>
      <c r="C285" t="n">
        <v>450270</v>
      </c>
      <c r="D285" t="n">
        <v>27414</v>
      </c>
      <c r="E285" t="n">
        <v>21580</v>
      </c>
      <c r="F285" t="n">
        <v>57528</v>
      </c>
      <c r="G285" t="n">
        <v>8359</v>
      </c>
      <c r="H285" t="n">
        <v>9079</v>
      </c>
      <c r="I285" t="n">
        <v>52488</v>
      </c>
      <c r="J285" t="n">
        <v>357061</v>
      </c>
      <c r="K285" t="n">
        <v>39177</v>
      </c>
      <c r="L285" t="n">
        <v>56923</v>
      </c>
      <c r="M285" t="n">
        <v>25789</v>
      </c>
      <c r="N285" t="n">
        <v>10149</v>
      </c>
      <c r="O285" t="n">
        <v>93209</v>
      </c>
      <c r="P285" t="n">
        <v>41403</v>
      </c>
      <c r="Q285" t="n">
        <v>7172</v>
      </c>
    </row>
    <row r="286">
      <c r="A286" s="134" t="n">
        <v>42248</v>
      </c>
      <c r="B286" t="n">
        <v>317578</v>
      </c>
      <c r="C286" t="n">
        <v>448091</v>
      </c>
      <c r="D286" t="n">
        <v>27228</v>
      </c>
      <c r="E286" t="n">
        <v>21398</v>
      </c>
      <c r="F286" t="n">
        <v>57386</v>
      </c>
      <c r="G286" t="n">
        <v>8372</v>
      </c>
      <c r="H286" t="n">
        <v>9065</v>
      </c>
      <c r="I286" t="n">
        <v>52450</v>
      </c>
      <c r="J286" t="n">
        <v>354482</v>
      </c>
      <c r="K286" t="n">
        <v>36904</v>
      </c>
      <c r="L286" t="n">
        <v>56851</v>
      </c>
      <c r="M286" t="n">
        <v>26036</v>
      </c>
      <c r="N286" t="n">
        <v>9706</v>
      </c>
      <c r="O286" t="n">
        <v>93609</v>
      </c>
      <c r="P286" t="n">
        <v>41886</v>
      </c>
      <c r="Q286" t="n">
        <v>7200</v>
      </c>
    </row>
    <row r="287">
      <c r="A287" s="134" t="n">
        <v>42278</v>
      </c>
      <c r="B287" t="n">
        <v>317636</v>
      </c>
      <c r="C287" t="n">
        <v>447083</v>
      </c>
      <c r="D287" t="n">
        <v>27348</v>
      </c>
      <c r="E287" t="n">
        <v>21237</v>
      </c>
      <c r="F287" t="n">
        <v>57183</v>
      </c>
      <c r="G287" t="n">
        <v>8286</v>
      </c>
      <c r="H287" t="n">
        <v>9164</v>
      </c>
      <c r="I287" t="n">
        <v>52817</v>
      </c>
      <c r="J287" t="n">
        <v>354183</v>
      </c>
      <c r="K287" t="n">
        <v>36547</v>
      </c>
      <c r="L287" t="n">
        <v>56792</v>
      </c>
      <c r="M287" t="n">
        <v>25892</v>
      </c>
      <c r="N287" t="n">
        <v>9718</v>
      </c>
      <c r="O287" t="n">
        <v>92900</v>
      </c>
      <c r="P287" t="n">
        <v>42104</v>
      </c>
      <c r="Q287" t="n">
        <v>7095</v>
      </c>
    </row>
    <row r="288">
      <c r="A288" s="134" t="n">
        <v>42309</v>
      </c>
      <c r="B288" t="n">
        <v>318776</v>
      </c>
      <c r="C288" t="n">
        <v>448892</v>
      </c>
      <c r="D288" t="n">
        <v>27650</v>
      </c>
      <c r="E288" t="n">
        <v>21301</v>
      </c>
      <c r="F288" t="n">
        <v>57522</v>
      </c>
      <c r="G288" t="n">
        <v>8137</v>
      </c>
      <c r="H288" t="n">
        <v>9154</v>
      </c>
      <c r="I288" t="n">
        <v>52932</v>
      </c>
      <c r="J288" t="n">
        <v>354854</v>
      </c>
      <c r="K288" t="n">
        <v>36078</v>
      </c>
      <c r="L288" t="n">
        <v>56989</v>
      </c>
      <c r="M288" t="n">
        <v>26066</v>
      </c>
      <c r="N288" t="n">
        <v>9846</v>
      </c>
      <c r="O288" t="n">
        <v>94038</v>
      </c>
      <c r="P288" t="n">
        <v>41983</v>
      </c>
      <c r="Q288" t="n">
        <v>7196</v>
      </c>
    </row>
    <row r="289">
      <c r="A289" s="134" t="n">
        <v>42339</v>
      </c>
      <c r="B289" t="n">
        <v>321198</v>
      </c>
      <c r="C289" t="n">
        <v>450611</v>
      </c>
      <c r="D289" t="n">
        <v>28176</v>
      </c>
      <c r="E289" t="n">
        <v>21466</v>
      </c>
      <c r="F289" t="n">
        <v>57400</v>
      </c>
      <c r="G289" t="n">
        <v>8139</v>
      </c>
      <c r="H289" t="n">
        <v>9369</v>
      </c>
      <c r="I289" t="n">
        <v>53785</v>
      </c>
      <c r="J289" t="n">
        <v>357119</v>
      </c>
      <c r="K289" t="n">
        <v>35921</v>
      </c>
      <c r="L289" t="n">
        <v>57261</v>
      </c>
      <c r="M289" t="n">
        <v>26264</v>
      </c>
      <c r="N289" t="n">
        <v>9765</v>
      </c>
      <c r="O289" t="n">
        <v>93492</v>
      </c>
      <c r="P289" t="n">
        <v>42225</v>
      </c>
      <c r="Q289" t="n">
        <v>7348</v>
      </c>
    </row>
    <row r="290">
      <c r="A290" s="134" t="n">
        <v>42370</v>
      </c>
      <c r="B290" t="n">
        <v>319788</v>
      </c>
      <c r="C290" t="n">
        <v>447561</v>
      </c>
      <c r="D290" t="n">
        <v>28160</v>
      </c>
      <c r="E290" t="n">
        <v>21272</v>
      </c>
      <c r="F290" t="n">
        <v>57551</v>
      </c>
      <c r="G290" t="n">
        <v>7964</v>
      </c>
      <c r="H290" t="n">
        <v>9241</v>
      </c>
      <c r="I290" t="n">
        <v>53075</v>
      </c>
      <c r="J290" t="n">
        <v>354343</v>
      </c>
      <c r="K290" t="n">
        <v>34555</v>
      </c>
      <c r="L290" t="n">
        <v>56250</v>
      </c>
      <c r="M290" t="n">
        <v>26139</v>
      </c>
      <c r="N290" t="n">
        <v>9797</v>
      </c>
      <c r="O290" t="n">
        <v>93218</v>
      </c>
      <c r="P290" t="n">
        <v>43071</v>
      </c>
      <c r="Q290" t="n">
        <v>7268</v>
      </c>
    </row>
    <row r="291">
      <c r="A291" s="134" t="n">
        <v>42401</v>
      </c>
      <c r="B291" t="n">
        <v>323580</v>
      </c>
      <c r="C291" t="n">
        <v>451821</v>
      </c>
      <c r="D291" t="n">
        <v>28207</v>
      </c>
      <c r="E291" t="n">
        <v>21916</v>
      </c>
      <c r="F291" t="n">
        <v>57714</v>
      </c>
      <c r="G291" t="n">
        <v>8065</v>
      </c>
      <c r="H291" t="n">
        <v>9277</v>
      </c>
      <c r="I291" t="n">
        <v>54145</v>
      </c>
      <c r="J291" t="n">
        <v>356499</v>
      </c>
      <c r="K291" t="n">
        <v>32919</v>
      </c>
      <c r="L291" t="n">
        <v>57187</v>
      </c>
      <c r="M291" t="n">
        <v>26686</v>
      </c>
      <c r="N291" t="n">
        <v>9773</v>
      </c>
      <c r="O291" t="n">
        <v>95322</v>
      </c>
      <c r="P291" t="n">
        <v>43319</v>
      </c>
      <c r="Q291" t="n">
        <v>7291</v>
      </c>
    </row>
    <row r="292">
      <c r="A292" s="134" t="n">
        <v>42430</v>
      </c>
      <c r="B292" t="n">
        <v>322875</v>
      </c>
      <c r="C292" t="n">
        <v>450561</v>
      </c>
      <c r="D292" t="n">
        <v>28910</v>
      </c>
      <c r="E292" t="n">
        <v>21419</v>
      </c>
      <c r="F292" t="n">
        <v>57229</v>
      </c>
      <c r="G292" t="n">
        <v>7902</v>
      </c>
      <c r="H292" t="n">
        <v>9228</v>
      </c>
      <c r="I292" t="n">
        <v>53931</v>
      </c>
      <c r="J292" t="n">
        <v>357054</v>
      </c>
      <c r="K292" t="n">
        <v>34179</v>
      </c>
      <c r="L292" t="n">
        <v>57032</v>
      </c>
      <c r="M292" t="n">
        <v>26501</v>
      </c>
      <c r="N292" t="n">
        <v>10064</v>
      </c>
      <c r="O292" t="n">
        <v>93507</v>
      </c>
      <c r="P292" t="n">
        <v>43386</v>
      </c>
      <c r="Q292" t="n">
        <v>7273</v>
      </c>
    </row>
    <row r="293">
      <c r="A293" s="134" t="n">
        <v>42461</v>
      </c>
      <c r="B293" t="n">
        <v>323361</v>
      </c>
      <c r="C293" t="n">
        <v>452443</v>
      </c>
      <c r="D293" t="n">
        <v>27966</v>
      </c>
      <c r="E293" t="n">
        <v>21376</v>
      </c>
      <c r="F293" t="n">
        <v>57903</v>
      </c>
      <c r="G293" t="n">
        <v>7877</v>
      </c>
      <c r="H293" t="n">
        <v>9203</v>
      </c>
      <c r="I293" t="n">
        <v>54244</v>
      </c>
      <c r="J293" t="n">
        <v>358582</v>
      </c>
      <c r="K293" t="n">
        <v>35221</v>
      </c>
      <c r="L293" t="n">
        <v>56866</v>
      </c>
      <c r="M293" t="n">
        <v>26740</v>
      </c>
      <c r="N293" t="n">
        <v>10136</v>
      </c>
      <c r="O293" t="n">
        <v>93861</v>
      </c>
      <c r="P293" t="n">
        <v>43845</v>
      </c>
      <c r="Q293" t="n">
        <v>7205</v>
      </c>
    </row>
    <row r="294">
      <c r="A294" s="134" t="n">
        <v>42491</v>
      </c>
      <c r="B294" t="n">
        <v>323843</v>
      </c>
      <c r="C294" t="n">
        <v>454003</v>
      </c>
      <c r="D294" t="n">
        <v>27553</v>
      </c>
      <c r="E294" t="n">
        <v>21483</v>
      </c>
      <c r="F294" t="n">
        <v>58104</v>
      </c>
      <c r="G294" t="n">
        <v>7922</v>
      </c>
      <c r="H294" t="n">
        <v>9260</v>
      </c>
      <c r="I294" t="n">
        <v>54292</v>
      </c>
      <c r="J294" t="n">
        <v>359851</v>
      </c>
      <c r="K294" t="n">
        <v>36008</v>
      </c>
      <c r="L294" t="n">
        <v>56584</v>
      </c>
      <c r="M294" t="n">
        <v>26660</v>
      </c>
      <c r="N294" t="n">
        <v>9997</v>
      </c>
      <c r="O294" t="n">
        <v>94152</v>
      </c>
      <c r="P294" t="n">
        <v>44734</v>
      </c>
      <c r="Q294" t="n">
        <v>7254</v>
      </c>
    </row>
    <row r="295">
      <c r="A295" s="134" t="n">
        <v>42522</v>
      </c>
      <c r="B295" t="n">
        <v>326907</v>
      </c>
      <c r="C295" t="n">
        <v>458757</v>
      </c>
      <c r="D295" t="n">
        <v>28324</v>
      </c>
      <c r="E295" t="n">
        <v>21636</v>
      </c>
      <c r="F295" t="n">
        <v>58455</v>
      </c>
      <c r="G295" t="n">
        <v>7884</v>
      </c>
      <c r="H295" t="n">
        <v>9415</v>
      </c>
      <c r="I295" t="n">
        <v>54282</v>
      </c>
      <c r="J295" t="n">
        <v>364045</v>
      </c>
      <c r="K295" t="n">
        <v>37138</v>
      </c>
      <c r="L295" t="n">
        <v>57149</v>
      </c>
      <c r="M295" t="n">
        <v>26837</v>
      </c>
      <c r="N295" t="n">
        <v>10056</v>
      </c>
      <c r="O295" t="n">
        <v>94712</v>
      </c>
      <c r="P295" t="n">
        <v>45288</v>
      </c>
      <c r="Q295" t="n">
        <v>7581</v>
      </c>
    </row>
    <row r="296">
      <c r="A296" s="134" t="n">
        <v>42552</v>
      </c>
      <c r="B296" t="n">
        <v>325270</v>
      </c>
      <c r="C296" t="n">
        <v>458192</v>
      </c>
      <c r="D296" t="n">
        <v>28027</v>
      </c>
      <c r="E296" t="n">
        <v>21407</v>
      </c>
      <c r="F296" t="n">
        <v>58164</v>
      </c>
      <c r="G296" t="n">
        <v>7937</v>
      </c>
      <c r="H296" t="n">
        <v>9340</v>
      </c>
      <c r="I296" t="n">
        <v>54365</v>
      </c>
      <c r="J296" t="n">
        <v>362124</v>
      </c>
      <c r="K296" t="n">
        <v>36854</v>
      </c>
      <c r="L296" t="n">
        <v>56813</v>
      </c>
      <c r="M296" t="n">
        <v>26807</v>
      </c>
      <c r="N296" t="n">
        <v>10012</v>
      </c>
      <c r="O296" t="n">
        <v>96068</v>
      </c>
      <c r="P296" t="n">
        <v>45187</v>
      </c>
      <c r="Q296" t="n">
        <v>7211</v>
      </c>
    </row>
    <row r="297">
      <c r="A297" s="134" t="n">
        <v>42583</v>
      </c>
      <c r="B297" t="n">
        <v>326184</v>
      </c>
      <c r="C297" t="n">
        <v>458505</v>
      </c>
      <c r="D297" t="n">
        <v>27850</v>
      </c>
      <c r="E297" t="n">
        <v>21751</v>
      </c>
      <c r="F297" t="n">
        <v>58388</v>
      </c>
      <c r="G297" t="n">
        <v>8031</v>
      </c>
      <c r="H297" t="n">
        <v>9317</v>
      </c>
      <c r="I297" t="n">
        <v>54774</v>
      </c>
      <c r="J297" t="n">
        <v>362115</v>
      </c>
      <c r="K297" t="n">
        <v>35931</v>
      </c>
      <c r="L297" t="n">
        <v>56938</v>
      </c>
      <c r="M297" t="n">
        <v>26682</v>
      </c>
      <c r="N297" t="n">
        <v>9936</v>
      </c>
      <c r="O297" t="n">
        <v>96390</v>
      </c>
      <c r="P297" t="n">
        <v>45498</v>
      </c>
      <c r="Q297" t="n">
        <v>7019</v>
      </c>
    </row>
    <row r="298">
      <c r="A298" s="134" t="n">
        <v>42614</v>
      </c>
      <c r="B298" t="n">
        <v>327240</v>
      </c>
      <c r="C298" t="n">
        <v>461454</v>
      </c>
      <c r="D298" t="n">
        <v>28021</v>
      </c>
      <c r="E298" t="n">
        <v>21886</v>
      </c>
      <c r="F298" t="n">
        <v>58772</v>
      </c>
      <c r="G298" t="n">
        <v>7733</v>
      </c>
      <c r="H298" t="n">
        <v>9542</v>
      </c>
      <c r="I298" t="n">
        <v>55390</v>
      </c>
      <c r="J298" t="n">
        <v>364149</v>
      </c>
      <c r="K298" t="n">
        <v>36909</v>
      </c>
      <c r="L298" t="n">
        <v>56140</v>
      </c>
      <c r="M298" t="n">
        <v>26676</v>
      </c>
      <c r="N298" t="n">
        <v>10198</v>
      </c>
      <c r="O298" t="n">
        <v>97305</v>
      </c>
      <c r="P298" t="n">
        <v>45832</v>
      </c>
      <c r="Q298" t="n">
        <v>7050</v>
      </c>
    </row>
    <row r="299">
      <c r="A299" s="134" t="n">
        <v>42644</v>
      </c>
      <c r="B299" t="n">
        <v>327637</v>
      </c>
      <c r="C299" t="n">
        <v>462455</v>
      </c>
      <c r="D299" t="n">
        <v>28052</v>
      </c>
      <c r="E299" t="n">
        <v>21696</v>
      </c>
      <c r="F299" t="n">
        <v>59053</v>
      </c>
      <c r="G299" t="n">
        <v>7620</v>
      </c>
      <c r="H299" t="n">
        <v>9380</v>
      </c>
      <c r="I299" t="n">
        <v>55335</v>
      </c>
      <c r="J299" t="n">
        <v>365464</v>
      </c>
      <c r="K299" t="n">
        <v>37827</v>
      </c>
      <c r="L299" t="n">
        <v>56836</v>
      </c>
      <c r="M299" t="n">
        <v>25860</v>
      </c>
      <c r="N299" t="n">
        <v>10358</v>
      </c>
      <c r="O299" t="n">
        <v>96991</v>
      </c>
      <c r="P299" t="n">
        <v>46348</v>
      </c>
      <c r="Q299" t="n">
        <v>7099</v>
      </c>
    </row>
    <row r="300">
      <c r="A300" s="134" t="n">
        <v>42675</v>
      </c>
      <c r="B300" t="n">
        <v>328131</v>
      </c>
      <c r="C300" t="n">
        <v>462288</v>
      </c>
      <c r="D300" t="n">
        <v>28222</v>
      </c>
      <c r="E300" t="n">
        <v>21500</v>
      </c>
      <c r="F300" t="n">
        <v>59103</v>
      </c>
      <c r="G300" t="n">
        <v>7460</v>
      </c>
      <c r="H300" t="n">
        <v>9350</v>
      </c>
      <c r="I300" t="n">
        <v>56359</v>
      </c>
      <c r="J300" t="n">
        <v>365620</v>
      </c>
      <c r="K300" t="n">
        <v>37489</v>
      </c>
      <c r="L300" t="n">
        <v>56695</v>
      </c>
      <c r="M300" t="n">
        <v>26089</v>
      </c>
      <c r="N300" t="n">
        <v>9978</v>
      </c>
      <c r="O300" t="n">
        <v>96668</v>
      </c>
      <c r="P300" t="n">
        <v>46416</v>
      </c>
      <c r="Q300" t="n">
        <v>6959</v>
      </c>
    </row>
    <row r="301">
      <c r="A301" s="134" t="n">
        <v>42705</v>
      </c>
      <c r="B301" t="n">
        <v>329145</v>
      </c>
      <c r="C301" t="n">
        <v>467979</v>
      </c>
      <c r="D301" t="n">
        <v>28143</v>
      </c>
      <c r="E301" t="n">
        <v>21944</v>
      </c>
      <c r="F301" t="n">
        <v>59393</v>
      </c>
      <c r="G301" t="n">
        <v>7620</v>
      </c>
      <c r="H301" t="n">
        <v>9346</v>
      </c>
      <c r="I301" t="n">
        <v>55403</v>
      </c>
      <c r="J301" t="n">
        <v>368498</v>
      </c>
      <c r="K301" t="n">
        <v>39353</v>
      </c>
      <c r="L301" t="n">
        <v>56501</v>
      </c>
      <c r="M301" t="n">
        <v>26147</v>
      </c>
      <c r="N301" t="n">
        <v>10173</v>
      </c>
      <c r="O301" t="n">
        <v>99481</v>
      </c>
      <c r="P301" t="n">
        <v>47397</v>
      </c>
      <c r="Q301" t="n">
        <v>7078</v>
      </c>
    </row>
    <row r="302">
      <c r="A302" s="134" t="n">
        <v>42736</v>
      </c>
      <c r="B302" t="n">
        <v>333696</v>
      </c>
      <c r="C302" t="n">
        <v>473101</v>
      </c>
      <c r="D302" t="n">
        <v>28433</v>
      </c>
      <c r="E302" t="n">
        <v>22039</v>
      </c>
      <c r="F302" t="n">
        <v>59571</v>
      </c>
      <c r="G302" t="n">
        <v>7708</v>
      </c>
      <c r="H302" t="n">
        <v>9493</v>
      </c>
      <c r="I302" t="n">
        <v>57352</v>
      </c>
      <c r="J302" t="n">
        <v>373654</v>
      </c>
      <c r="K302" t="n">
        <v>39958</v>
      </c>
      <c r="L302" t="n">
        <v>57617</v>
      </c>
      <c r="M302" t="n">
        <v>26150</v>
      </c>
      <c r="N302" t="n">
        <v>10126</v>
      </c>
      <c r="O302" t="n">
        <v>99447</v>
      </c>
      <c r="P302" t="n">
        <v>48016</v>
      </c>
      <c r="Q302" t="n">
        <v>7191</v>
      </c>
    </row>
    <row r="303">
      <c r="A303" s="134" t="n">
        <v>42767</v>
      </c>
      <c r="B303" t="n">
        <v>333973</v>
      </c>
      <c r="C303" t="n">
        <v>472927</v>
      </c>
      <c r="D303" t="n">
        <v>28862</v>
      </c>
      <c r="E303" t="n">
        <v>21698</v>
      </c>
      <c r="F303" t="n">
        <v>59914</v>
      </c>
      <c r="G303" t="n">
        <v>7621</v>
      </c>
      <c r="H303" t="n">
        <v>9490</v>
      </c>
      <c r="I303" t="n">
        <v>57375</v>
      </c>
      <c r="J303" t="n">
        <v>374176</v>
      </c>
      <c r="K303" t="n">
        <v>40203</v>
      </c>
      <c r="L303" t="n">
        <v>57060</v>
      </c>
      <c r="M303" t="n">
        <v>26426</v>
      </c>
      <c r="N303" t="n">
        <v>10286</v>
      </c>
      <c r="O303" t="n">
        <v>98751</v>
      </c>
      <c r="P303" t="n">
        <v>48174</v>
      </c>
      <c r="Q303" t="n">
        <v>7067</v>
      </c>
    </row>
    <row r="304">
      <c r="A304" s="134" t="n">
        <v>42795</v>
      </c>
      <c r="B304" t="n">
        <v>335446</v>
      </c>
      <c r="C304" t="n">
        <v>472170</v>
      </c>
      <c r="D304" t="n">
        <v>28685</v>
      </c>
      <c r="E304" t="n">
        <v>21832</v>
      </c>
      <c r="F304" t="n">
        <v>60341</v>
      </c>
      <c r="G304" t="n">
        <v>7820</v>
      </c>
      <c r="H304" t="n">
        <v>9569</v>
      </c>
      <c r="I304" t="n">
        <v>57334</v>
      </c>
      <c r="J304" t="n">
        <v>375353</v>
      </c>
      <c r="K304" t="n">
        <v>39907</v>
      </c>
      <c r="L304" t="n">
        <v>57349</v>
      </c>
      <c r="M304" t="n">
        <v>26560</v>
      </c>
      <c r="N304" t="n">
        <v>10201</v>
      </c>
      <c r="O304" t="n">
        <v>96817</v>
      </c>
      <c r="P304" t="n">
        <v>48773</v>
      </c>
      <c r="Q304" t="n">
        <v>6982</v>
      </c>
    </row>
    <row r="305">
      <c r="A305" s="134" t="n">
        <v>42826</v>
      </c>
      <c r="B305" t="n">
        <v>336836</v>
      </c>
      <c r="C305" t="n">
        <v>473916</v>
      </c>
      <c r="D305" t="n">
        <v>29038</v>
      </c>
      <c r="E305" t="n">
        <v>21823</v>
      </c>
      <c r="F305" t="n">
        <v>60481</v>
      </c>
      <c r="G305" t="n">
        <v>7826</v>
      </c>
      <c r="H305" t="n">
        <v>9399</v>
      </c>
      <c r="I305" t="n">
        <v>57375</v>
      </c>
      <c r="J305" t="n">
        <v>376622</v>
      </c>
      <c r="K305" t="n">
        <v>39786</v>
      </c>
      <c r="L305" t="n">
        <v>57487</v>
      </c>
      <c r="M305" t="n">
        <v>26749</v>
      </c>
      <c r="N305" t="n">
        <v>10258</v>
      </c>
      <c r="O305" t="n">
        <v>97294</v>
      </c>
      <c r="P305" t="n">
        <v>49347</v>
      </c>
      <c r="Q305" t="n">
        <v>7053</v>
      </c>
    </row>
    <row r="306">
      <c r="A306" s="134" t="n">
        <v>42856</v>
      </c>
      <c r="B306" t="n">
        <v>335628</v>
      </c>
      <c r="C306" t="n">
        <v>471486</v>
      </c>
      <c r="D306" t="n">
        <v>28746</v>
      </c>
      <c r="E306" t="n">
        <v>21609</v>
      </c>
      <c r="F306" t="n">
        <v>60619</v>
      </c>
      <c r="G306" t="n">
        <v>7748</v>
      </c>
      <c r="H306" t="n">
        <v>9485</v>
      </c>
      <c r="I306" t="n">
        <v>57384</v>
      </c>
      <c r="J306" t="n">
        <v>373765</v>
      </c>
      <c r="K306" t="n">
        <v>38137</v>
      </c>
      <c r="L306" t="n">
        <v>56501</v>
      </c>
      <c r="M306" t="n">
        <v>26782</v>
      </c>
      <c r="N306" t="n">
        <v>10051</v>
      </c>
      <c r="O306" t="n">
        <v>97721</v>
      </c>
      <c r="P306" t="n">
        <v>49744</v>
      </c>
      <c r="Q306" t="n">
        <v>6959</v>
      </c>
    </row>
    <row r="307">
      <c r="A307" s="134" t="n">
        <v>42887</v>
      </c>
      <c r="B307" t="n">
        <v>337240</v>
      </c>
      <c r="C307" t="n">
        <v>473538</v>
      </c>
      <c r="D307" t="n">
        <v>28785</v>
      </c>
      <c r="E307" t="n">
        <v>21764</v>
      </c>
      <c r="F307" t="n">
        <v>60369</v>
      </c>
      <c r="G307" t="n">
        <v>7667</v>
      </c>
      <c r="H307" t="n">
        <v>9573</v>
      </c>
      <c r="I307" t="n">
        <v>57245</v>
      </c>
      <c r="J307" t="n">
        <v>374742</v>
      </c>
      <c r="K307" t="n">
        <v>37502</v>
      </c>
      <c r="L307" t="n">
        <v>57650</v>
      </c>
      <c r="M307" t="n">
        <v>27008</v>
      </c>
      <c r="N307" t="n">
        <v>10039</v>
      </c>
      <c r="O307" t="n">
        <v>98796</v>
      </c>
      <c r="P307" t="n">
        <v>50171</v>
      </c>
      <c r="Q307" t="n">
        <v>6969</v>
      </c>
    </row>
    <row r="308">
      <c r="A308" s="134" t="n">
        <v>42917</v>
      </c>
      <c r="B308" t="n">
        <v>337281</v>
      </c>
      <c r="C308" t="n">
        <v>473583</v>
      </c>
      <c r="D308" t="n">
        <v>28932</v>
      </c>
      <c r="E308" t="n">
        <v>21635</v>
      </c>
      <c r="F308" t="n">
        <v>60397</v>
      </c>
      <c r="G308" t="n">
        <v>7581</v>
      </c>
      <c r="H308" t="n">
        <v>9522</v>
      </c>
      <c r="I308" t="n">
        <v>57210</v>
      </c>
      <c r="J308" t="n">
        <v>374728</v>
      </c>
      <c r="K308" t="n">
        <v>37447</v>
      </c>
      <c r="L308" t="n">
        <v>57362</v>
      </c>
      <c r="M308" t="n">
        <v>27047</v>
      </c>
      <c r="N308" t="n">
        <v>10261</v>
      </c>
      <c r="O308" t="n">
        <v>98855</v>
      </c>
      <c r="P308" t="n">
        <v>50487</v>
      </c>
      <c r="Q308" t="n">
        <v>6847</v>
      </c>
    </row>
    <row r="309">
      <c r="A309" s="134" t="n">
        <v>42948</v>
      </c>
      <c r="B309" t="n">
        <v>338972</v>
      </c>
      <c r="C309" t="n">
        <v>474421</v>
      </c>
      <c r="D309" t="n">
        <v>28927</v>
      </c>
      <c r="E309" t="n">
        <v>21761</v>
      </c>
      <c r="F309" t="n">
        <v>60708</v>
      </c>
      <c r="G309" t="n">
        <v>7584</v>
      </c>
      <c r="H309" t="n">
        <v>9591</v>
      </c>
      <c r="I309" t="n">
        <v>57533</v>
      </c>
      <c r="J309" t="n">
        <v>377597</v>
      </c>
      <c r="K309" t="n">
        <v>38625</v>
      </c>
      <c r="L309" t="n">
        <v>57558</v>
      </c>
      <c r="M309" t="n">
        <v>27339</v>
      </c>
      <c r="N309" t="n">
        <v>10209</v>
      </c>
      <c r="O309" t="n">
        <v>96824</v>
      </c>
      <c r="P309" t="n">
        <v>50843</v>
      </c>
      <c r="Q309" t="n">
        <v>6919</v>
      </c>
    </row>
    <row r="310">
      <c r="A310" s="134" t="n">
        <v>42979</v>
      </c>
      <c r="B310" t="n">
        <v>342484</v>
      </c>
      <c r="C310" t="n">
        <v>484107</v>
      </c>
      <c r="D310" t="n">
        <v>29938</v>
      </c>
      <c r="E310" t="n">
        <v>21845</v>
      </c>
      <c r="F310" t="n">
        <v>61324</v>
      </c>
      <c r="G310" t="n">
        <v>7652</v>
      </c>
      <c r="H310" t="n">
        <v>9542</v>
      </c>
      <c r="I310" t="n">
        <v>57909</v>
      </c>
      <c r="J310" t="n">
        <v>383262</v>
      </c>
      <c r="K310" t="n">
        <v>40778</v>
      </c>
      <c r="L310" t="n">
        <v>58179</v>
      </c>
      <c r="M310" t="n">
        <v>27402</v>
      </c>
      <c r="N310" t="n">
        <v>10339</v>
      </c>
      <c r="O310" t="n">
        <v>100845</v>
      </c>
      <c r="P310" t="n">
        <v>51370</v>
      </c>
      <c r="Q310" t="n">
        <v>6984</v>
      </c>
    </row>
    <row r="311">
      <c r="A311" s="134" t="n">
        <v>43009</v>
      </c>
      <c r="B311" t="n">
        <v>342576</v>
      </c>
      <c r="C311" t="n">
        <v>485016</v>
      </c>
      <c r="D311" t="n">
        <v>29556</v>
      </c>
      <c r="E311" t="n">
        <v>21768</v>
      </c>
      <c r="F311" t="n">
        <v>61606</v>
      </c>
      <c r="G311" t="n">
        <v>7712</v>
      </c>
      <c r="H311" t="n">
        <v>9810</v>
      </c>
      <c r="I311" t="n">
        <v>58291</v>
      </c>
      <c r="J311" t="n">
        <v>383350</v>
      </c>
      <c r="K311" t="n">
        <v>40774</v>
      </c>
      <c r="L311" t="n">
        <v>57936</v>
      </c>
      <c r="M311" t="n">
        <v>27578</v>
      </c>
      <c r="N311" t="n">
        <v>10348</v>
      </c>
      <c r="O311" t="n">
        <v>101666</v>
      </c>
      <c r="P311" t="n">
        <v>50958</v>
      </c>
      <c r="Q311" t="n">
        <v>7013</v>
      </c>
    </row>
    <row r="312">
      <c r="A312" s="134" t="n">
        <v>43040</v>
      </c>
      <c r="B312" t="n">
        <v>347425</v>
      </c>
      <c r="C312" t="n">
        <v>489917</v>
      </c>
      <c r="D312" t="n">
        <v>29984</v>
      </c>
      <c r="E312" t="n">
        <v>22030</v>
      </c>
      <c r="F312" t="n">
        <v>61678</v>
      </c>
      <c r="G312" t="n">
        <v>7840</v>
      </c>
      <c r="H312" t="n">
        <v>9929</v>
      </c>
      <c r="I312" t="n">
        <v>58986</v>
      </c>
      <c r="J312" t="n">
        <v>389242</v>
      </c>
      <c r="K312" t="n">
        <v>41817</v>
      </c>
      <c r="L312" t="n">
        <v>58296</v>
      </c>
      <c r="M312" t="n">
        <v>27748</v>
      </c>
      <c r="N312" t="n">
        <v>10593</v>
      </c>
      <c r="O312" t="n">
        <v>100675</v>
      </c>
      <c r="P312" t="n">
        <v>53216</v>
      </c>
      <c r="Q312" t="n">
        <v>7125</v>
      </c>
    </row>
    <row r="313">
      <c r="A313" s="134" t="n">
        <v>43070</v>
      </c>
      <c r="B313" t="n">
        <v>349626</v>
      </c>
      <c r="C313" t="n">
        <v>492859</v>
      </c>
      <c r="D313" t="n">
        <v>30077</v>
      </c>
      <c r="E313" t="n">
        <v>21787</v>
      </c>
      <c r="F313" t="n">
        <v>62304</v>
      </c>
      <c r="G313" t="n">
        <v>7806</v>
      </c>
      <c r="H313" t="n">
        <v>10063</v>
      </c>
      <c r="I313" t="n">
        <v>59322</v>
      </c>
      <c r="J313" t="n">
        <v>392277</v>
      </c>
      <c r="K313" t="n">
        <v>42651</v>
      </c>
      <c r="L313" t="n">
        <v>58686</v>
      </c>
      <c r="M313" t="n">
        <v>27633</v>
      </c>
      <c r="N313" t="n">
        <v>10706</v>
      </c>
      <c r="O313" t="n">
        <v>100582</v>
      </c>
      <c r="P313" t="n">
        <v>54161</v>
      </c>
      <c r="Q313" t="n">
        <v>7081</v>
      </c>
    </row>
    <row r="314">
      <c r="A314" s="134" t="n">
        <v>43101</v>
      </c>
      <c r="B314" t="n">
        <v>347671</v>
      </c>
      <c r="C314" t="n">
        <v>490447</v>
      </c>
      <c r="D314" t="n">
        <v>28907</v>
      </c>
      <c r="E314" t="n">
        <v>21811</v>
      </c>
      <c r="F314" t="n">
        <v>61793</v>
      </c>
      <c r="G314" t="n">
        <v>7854</v>
      </c>
      <c r="H314" t="n">
        <v>9835</v>
      </c>
      <c r="I314" t="n">
        <v>59402</v>
      </c>
      <c r="J314" t="n">
        <v>390491</v>
      </c>
      <c r="K314" t="n">
        <v>42820</v>
      </c>
      <c r="L314" t="n">
        <v>58455</v>
      </c>
      <c r="M314" t="n">
        <v>27674</v>
      </c>
      <c r="N314" t="n">
        <v>10903</v>
      </c>
      <c r="O314" t="n">
        <v>99956</v>
      </c>
      <c r="P314" t="n">
        <v>54249</v>
      </c>
      <c r="Q314" t="n">
        <v>6788</v>
      </c>
    </row>
    <row r="315">
      <c r="A315" s="134" t="n">
        <v>43132</v>
      </c>
      <c r="B315" t="n">
        <v>350503</v>
      </c>
      <c r="C315" t="n">
        <v>493422</v>
      </c>
      <c r="D315" t="n">
        <v>29951</v>
      </c>
      <c r="E315" t="n">
        <v>22362</v>
      </c>
      <c r="F315" t="n">
        <v>62049</v>
      </c>
      <c r="G315" t="n">
        <v>7947</v>
      </c>
      <c r="H315" t="n">
        <v>9855</v>
      </c>
      <c r="I315" t="n">
        <v>59668</v>
      </c>
      <c r="J315" t="n">
        <v>393691</v>
      </c>
      <c r="K315" t="n">
        <v>43188</v>
      </c>
      <c r="L315" t="n">
        <v>58745</v>
      </c>
      <c r="M315" t="n">
        <v>27544</v>
      </c>
      <c r="N315" t="n">
        <v>10824</v>
      </c>
      <c r="O315" t="n">
        <v>99731</v>
      </c>
      <c r="P315" t="n">
        <v>54452</v>
      </c>
      <c r="Q315" t="n">
        <v>7106</v>
      </c>
    </row>
    <row r="316">
      <c r="A316" s="134" t="n">
        <v>43160</v>
      </c>
      <c r="B316" t="n">
        <v>350325</v>
      </c>
      <c r="C316" t="n">
        <v>493123</v>
      </c>
      <c r="D316" t="n">
        <v>29589</v>
      </c>
      <c r="E316" t="n">
        <v>21663</v>
      </c>
      <c r="F316" t="n">
        <v>62231</v>
      </c>
      <c r="G316" t="n">
        <v>7874</v>
      </c>
      <c r="H316" t="n">
        <v>9865</v>
      </c>
      <c r="I316" t="n">
        <v>60232</v>
      </c>
      <c r="J316" t="n">
        <v>393190</v>
      </c>
      <c r="K316" t="n">
        <v>42865</v>
      </c>
      <c r="L316" t="n">
        <v>58076</v>
      </c>
      <c r="M316" t="n">
        <v>27711</v>
      </c>
      <c r="N316" t="n">
        <v>10646</v>
      </c>
      <c r="O316" t="n">
        <v>99933</v>
      </c>
      <c r="P316" t="n">
        <v>55276</v>
      </c>
      <c r="Q316" t="n">
        <v>7162</v>
      </c>
    </row>
    <row r="317">
      <c r="A317" s="134" t="n">
        <v>43191</v>
      </c>
      <c r="B317" t="n">
        <v>351376</v>
      </c>
      <c r="C317" t="n">
        <v>494303</v>
      </c>
      <c r="D317" t="n">
        <v>29802</v>
      </c>
      <c r="E317" t="n">
        <v>22070</v>
      </c>
      <c r="F317" t="n">
        <v>62353</v>
      </c>
      <c r="G317" t="n">
        <v>7911</v>
      </c>
      <c r="H317" t="n">
        <v>9999</v>
      </c>
      <c r="I317" t="n">
        <v>59471</v>
      </c>
      <c r="J317" t="n">
        <v>394322</v>
      </c>
      <c r="K317" t="n">
        <v>42946</v>
      </c>
      <c r="L317" t="n">
        <v>58026</v>
      </c>
      <c r="M317" t="n">
        <v>28006</v>
      </c>
      <c r="N317" t="n">
        <v>10718</v>
      </c>
      <c r="O317" t="n">
        <v>99981</v>
      </c>
      <c r="P317" t="n">
        <v>55957</v>
      </c>
      <c r="Q317" t="n">
        <v>7063</v>
      </c>
    </row>
    <row r="318">
      <c r="A318" s="134" t="n">
        <v>43221</v>
      </c>
      <c r="B318" t="n">
        <v>355988</v>
      </c>
      <c r="C318" t="n">
        <v>500585</v>
      </c>
      <c r="D318" t="n">
        <v>30646</v>
      </c>
      <c r="E318" t="n">
        <v>22779</v>
      </c>
      <c r="F318" t="n">
        <v>62434</v>
      </c>
      <c r="G318" t="n">
        <v>7922</v>
      </c>
      <c r="H318" t="n">
        <v>9907</v>
      </c>
      <c r="I318" t="n">
        <v>60804</v>
      </c>
      <c r="J318" t="n">
        <v>399775</v>
      </c>
      <c r="K318" t="n">
        <v>43787</v>
      </c>
      <c r="L318" t="n">
        <v>59500</v>
      </c>
      <c r="M318" t="n">
        <v>28416</v>
      </c>
      <c r="N318" t="n">
        <v>10838</v>
      </c>
      <c r="O318" t="n">
        <v>100810</v>
      </c>
      <c r="P318" t="n">
        <v>55690</v>
      </c>
      <c r="Q318" t="n">
        <v>7052</v>
      </c>
    </row>
    <row r="319">
      <c r="A319" s="134" t="n">
        <v>43252</v>
      </c>
      <c r="B319" t="n">
        <v>355137</v>
      </c>
      <c r="C319" t="n">
        <v>498989</v>
      </c>
      <c r="D319" t="n">
        <v>31118</v>
      </c>
      <c r="E319" t="n">
        <v>22206</v>
      </c>
      <c r="F319" t="n">
        <v>62202</v>
      </c>
      <c r="G319" t="n">
        <v>7968</v>
      </c>
      <c r="H319" t="n">
        <v>9939</v>
      </c>
      <c r="I319" t="n">
        <v>61459</v>
      </c>
      <c r="J319" t="n">
        <v>398602</v>
      </c>
      <c r="K319" t="n">
        <v>43465</v>
      </c>
      <c r="L319" t="n">
        <v>58555</v>
      </c>
      <c r="M319" t="n">
        <v>28151</v>
      </c>
      <c r="N319" t="n">
        <v>10786</v>
      </c>
      <c r="O319" t="n">
        <v>100387</v>
      </c>
      <c r="P319" t="n">
        <v>55917</v>
      </c>
      <c r="Q319" t="n">
        <v>6836</v>
      </c>
    </row>
    <row r="320">
      <c r="A320" s="134" t="n">
        <v>43282</v>
      </c>
      <c r="B320" t="n">
        <v>357733</v>
      </c>
      <c r="C320" t="n">
        <v>502441</v>
      </c>
      <c r="D320" t="n">
        <v>31261</v>
      </c>
      <c r="E320" t="n">
        <v>22562</v>
      </c>
      <c r="F320" t="n">
        <v>62597</v>
      </c>
      <c r="G320" t="n">
        <v>7876</v>
      </c>
      <c r="H320" t="n">
        <v>9999</v>
      </c>
      <c r="I320" t="n">
        <v>62330</v>
      </c>
      <c r="J320" t="n">
        <v>401462</v>
      </c>
      <c r="K320" t="n">
        <v>43729</v>
      </c>
      <c r="L320" t="n">
        <v>58922</v>
      </c>
      <c r="M320" t="n">
        <v>28348</v>
      </c>
      <c r="N320" t="n">
        <v>10421</v>
      </c>
      <c r="O320" t="n">
        <v>100979</v>
      </c>
      <c r="P320" t="n">
        <v>56863</v>
      </c>
      <c r="Q320" t="n">
        <v>6554</v>
      </c>
    </row>
    <row r="321">
      <c r="A321" s="134" t="n">
        <v>43313</v>
      </c>
      <c r="B321" t="n">
        <v>357528</v>
      </c>
      <c r="C321" t="n">
        <v>502076</v>
      </c>
      <c r="D321" t="n">
        <v>30904</v>
      </c>
      <c r="E321" t="n">
        <v>22106</v>
      </c>
      <c r="F321" t="n">
        <v>62430</v>
      </c>
      <c r="G321" t="n">
        <v>7912</v>
      </c>
      <c r="H321" t="n">
        <v>9869</v>
      </c>
      <c r="I321" t="n">
        <v>62637</v>
      </c>
      <c r="J321" t="n">
        <v>401894</v>
      </c>
      <c r="K321" t="n">
        <v>44366</v>
      </c>
      <c r="L321" t="n">
        <v>59001</v>
      </c>
      <c r="M321" t="n">
        <v>28562</v>
      </c>
      <c r="N321" t="n">
        <v>10601</v>
      </c>
      <c r="O321" t="n">
        <v>100182</v>
      </c>
      <c r="P321" t="n">
        <v>57015</v>
      </c>
      <c r="Q321" t="n">
        <v>6491</v>
      </c>
    </row>
    <row r="322">
      <c r="A322" s="134" t="n">
        <v>43344</v>
      </c>
      <c r="B322" t="n">
        <v>356662</v>
      </c>
      <c r="C322" t="n">
        <v>499995</v>
      </c>
      <c r="D322" t="n">
        <v>31099</v>
      </c>
      <c r="E322" t="n">
        <v>21963</v>
      </c>
      <c r="F322" t="n">
        <v>62777</v>
      </c>
      <c r="G322" t="n">
        <v>7756</v>
      </c>
      <c r="H322" t="n">
        <v>9857</v>
      </c>
      <c r="I322" t="n">
        <v>61286</v>
      </c>
      <c r="J322" t="n">
        <v>400487</v>
      </c>
      <c r="K322" t="n">
        <v>43825</v>
      </c>
      <c r="L322" t="n">
        <v>58933</v>
      </c>
      <c r="M322" t="n">
        <v>28344</v>
      </c>
      <c r="N322" t="n">
        <v>10631</v>
      </c>
      <c r="O322" t="n">
        <v>99508</v>
      </c>
      <c r="P322" t="n">
        <v>57615</v>
      </c>
      <c r="Q322" t="n">
        <v>6401</v>
      </c>
    </row>
    <row r="323">
      <c r="A323" s="134" t="n">
        <v>43374</v>
      </c>
      <c r="B323" t="n">
        <v>359662</v>
      </c>
      <c r="C323" t="n">
        <v>505338</v>
      </c>
      <c r="D323" t="n">
        <v>31610</v>
      </c>
      <c r="E323" t="n">
        <v>22426</v>
      </c>
      <c r="F323" t="n">
        <v>63119</v>
      </c>
      <c r="G323" t="n">
        <v>7825</v>
      </c>
      <c r="H323" t="n">
        <v>9895</v>
      </c>
      <c r="I323" t="n">
        <v>61778</v>
      </c>
      <c r="J323" t="n">
        <v>405173</v>
      </c>
      <c r="K323" t="n">
        <v>45511</v>
      </c>
      <c r="L323" t="n">
        <v>59325</v>
      </c>
      <c r="M323" t="n">
        <v>28537</v>
      </c>
      <c r="N323" t="n">
        <v>10862</v>
      </c>
      <c r="O323" t="n">
        <v>100165</v>
      </c>
      <c r="P323" t="n">
        <v>57893</v>
      </c>
      <c r="Q323" t="n">
        <v>6392</v>
      </c>
    </row>
    <row r="324">
      <c r="A324" s="134" t="n">
        <v>43405</v>
      </c>
      <c r="B324" t="n">
        <v>362579</v>
      </c>
      <c r="C324" t="n">
        <v>507073</v>
      </c>
      <c r="D324" t="n">
        <v>30937</v>
      </c>
      <c r="E324" t="n">
        <v>22492</v>
      </c>
      <c r="F324" t="n">
        <v>63210</v>
      </c>
      <c r="G324" t="n">
        <v>7739</v>
      </c>
      <c r="H324" t="n">
        <v>9929</v>
      </c>
      <c r="I324" t="n">
        <v>61589</v>
      </c>
      <c r="J324" t="n">
        <v>405803</v>
      </c>
      <c r="K324" t="n">
        <v>43224</v>
      </c>
      <c r="L324" t="n">
        <v>59995</v>
      </c>
      <c r="M324" t="n">
        <v>29076</v>
      </c>
      <c r="N324" t="n">
        <v>10847</v>
      </c>
      <c r="O324" t="n">
        <v>101270</v>
      </c>
      <c r="P324" t="n">
        <v>60277</v>
      </c>
      <c r="Q324" t="n">
        <v>6488</v>
      </c>
    </row>
    <row r="325">
      <c r="A325" s="134" t="n">
        <v>43435</v>
      </c>
      <c r="B325" t="n">
        <v>353617</v>
      </c>
      <c r="C325" t="n">
        <v>496683</v>
      </c>
      <c r="D325" t="n">
        <v>30912</v>
      </c>
      <c r="E325" t="n">
        <v>22169</v>
      </c>
      <c r="F325" t="n">
        <v>63264</v>
      </c>
      <c r="G325" t="n">
        <v>7649</v>
      </c>
      <c r="H325" t="n">
        <v>10078</v>
      </c>
      <c r="I325" t="n">
        <v>61398</v>
      </c>
      <c r="J325" t="n">
        <v>394313</v>
      </c>
      <c r="K325" t="n">
        <v>40696</v>
      </c>
      <c r="L325" t="n">
        <v>59549</v>
      </c>
      <c r="M325" t="n">
        <v>27778</v>
      </c>
      <c r="N325" t="n">
        <v>10687</v>
      </c>
      <c r="O325" t="n">
        <v>102370</v>
      </c>
      <c r="P325" t="n">
        <v>53791</v>
      </c>
      <c r="Q325" t="n">
        <v>6342</v>
      </c>
    </row>
    <row r="326">
      <c r="A326" s="134" t="n">
        <v>43466</v>
      </c>
      <c r="B326" t="n">
        <v>360677</v>
      </c>
      <c r="C326" t="n">
        <v>499639</v>
      </c>
      <c r="D326" t="n">
        <v>31903</v>
      </c>
      <c r="E326" t="n">
        <v>22050</v>
      </c>
      <c r="F326" t="n">
        <v>64172</v>
      </c>
      <c r="G326" t="n">
        <v>7711</v>
      </c>
      <c r="H326" t="n">
        <v>9760</v>
      </c>
      <c r="I326" t="n">
        <v>61262</v>
      </c>
      <c r="J326" t="n">
        <v>400358</v>
      </c>
      <c r="K326" t="n">
        <v>39681</v>
      </c>
      <c r="L326" t="n">
        <v>59462</v>
      </c>
      <c r="M326" t="n">
        <v>28556</v>
      </c>
      <c r="N326" t="n">
        <v>10461</v>
      </c>
      <c r="O326" t="n">
        <v>99281</v>
      </c>
      <c r="P326" t="n">
        <v>58887</v>
      </c>
      <c r="Q326" t="n">
        <v>6453</v>
      </c>
    </row>
    <row r="327">
      <c r="A327" s="134" t="n">
        <v>43497</v>
      </c>
      <c r="B327" t="n">
        <v>358583</v>
      </c>
      <c r="C327" t="n">
        <v>500570</v>
      </c>
      <c r="D327" t="n">
        <v>30496</v>
      </c>
      <c r="E327" t="n">
        <v>22128</v>
      </c>
      <c r="F327" t="n">
        <v>62953</v>
      </c>
      <c r="G327" t="n">
        <v>7626</v>
      </c>
      <c r="H327" t="n">
        <v>9799</v>
      </c>
      <c r="I327" t="n">
        <v>61740</v>
      </c>
      <c r="J327" t="n">
        <v>399884</v>
      </c>
      <c r="K327" t="n">
        <v>41301</v>
      </c>
      <c r="L327" t="n">
        <v>58801</v>
      </c>
      <c r="M327" t="n">
        <v>28761</v>
      </c>
      <c r="N327" t="n">
        <v>10555</v>
      </c>
      <c r="O327" t="n">
        <v>100686</v>
      </c>
      <c r="P327" t="n">
        <v>59209</v>
      </c>
      <c r="Q327" t="n">
        <v>6515</v>
      </c>
    </row>
    <row r="328">
      <c r="A328" s="134" t="n">
        <v>43525</v>
      </c>
      <c r="B328" t="n">
        <v>362086</v>
      </c>
      <c r="C328" t="n">
        <v>508402</v>
      </c>
      <c r="D328" t="n">
        <v>30808</v>
      </c>
      <c r="E328" t="n">
        <v>22430</v>
      </c>
      <c r="F328" t="n">
        <v>64066</v>
      </c>
      <c r="G328" t="n">
        <v>7640</v>
      </c>
      <c r="H328" t="n">
        <v>9901</v>
      </c>
      <c r="I328" t="n">
        <v>62318</v>
      </c>
      <c r="J328" t="n">
        <v>404993</v>
      </c>
      <c r="K328" t="n">
        <v>42907</v>
      </c>
      <c r="L328" t="n">
        <v>59671</v>
      </c>
      <c r="M328" t="n">
        <v>28667</v>
      </c>
      <c r="N328" t="n">
        <v>10653</v>
      </c>
      <c r="O328" t="n">
        <v>103409</v>
      </c>
      <c r="P328" t="n">
        <v>59382</v>
      </c>
      <c r="Q328" t="n">
        <v>6550</v>
      </c>
    </row>
    <row r="329">
      <c r="A329" s="134" t="n">
        <v>43556</v>
      </c>
      <c r="B329" t="n">
        <v>363028</v>
      </c>
      <c r="C329" t="n">
        <v>508687</v>
      </c>
      <c r="D329" t="n">
        <v>30815</v>
      </c>
      <c r="E329" t="n">
        <v>22353</v>
      </c>
      <c r="F329" t="n">
        <v>64293</v>
      </c>
      <c r="G329" t="n">
        <v>7462</v>
      </c>
      <c r="H329" t="n">
        <v>9941</v>
      </c>
      <c r="I329" t="n">
        <v>62730</v>
      </c>
      <c r="J329" t="n">
        <v>407456</v>
      </c>
      <c r="K329" t="n">
        <v>44428</v>
      </c>
      <c r="L329" t="n">
        <v>59543</v>
      </c>
      <c r="M329" t="n">
        <v>28559</v>
      </c>
      <c r="N329" t="n">
        <v>10845</v>
      </c>
      <c r="O329" t="n">
        <v>101231</v>
      </c>
      <c r="P329" t="n">
        <v>59814</v>
      </c>
      <c r="Q329" t="n">
        <v>6673</v>
      </c>
    </row>
    <row r="330">
      <c r="A330" s="134" t="n">
        <v>43586</v>
      </c>
      <c r="B330" t="n">
        <v>365555</v>
      </c>
      <c r="C330" t="n">
        <v>512334</v>
      </c>
      <c r="D330" t="n">
        <v>30569</v>
      </c>
      <c r="E330" t="n">
        <v>22168</v>
      </c>
      <c r="F330" t="n">
        <v>64215</v>
      </c>
      <c r="G330" t="n">
        <v>7647</v>
      </c>
      <c r="H330" t="n">
        <v>10034</v>
      </c>
      <c r="I330" t="n">
        <v>63465</v>
      </c>
      <c r="J330" t="n">
        <v>409239</v>
      </c>
      <c r="K330" t="n">
        <v>43684</v>
      </c>
      <c r="L330" t="n">
        <v>59306</v>
      </c>
      <c r="M330" t="n">
        <v>28811</v>
      </c>
      <c r="N330" t="n">
        <v>11010</v>
      </c>
      <c r="O330" t="n">
        <v>103095</v>
      </c>
      <c r="P330" t="n">
        <v>61629</v>
      </c>
      <c r="Q330" t="n">
        <v>6701</v>
      </c>
    </row>
    <row r="331">
      <c r="A331" s="134" t="n">
        <v>43617</v>
      </c>
      <c r="B331" t="n">
        <v>368395</v>
      </c>
      <c r="C331" t="n">
        <v>513162</v>
      </c>
      <c r="D331" t="n">
        <v>30617</v>
      </c>
      <c r="E331" t="n">
        <v>22150</v>
      </c>
      <c r="F331" t="n">
        <v>64523</v>
      </c>
      <c r="G331" t="n">
        <v>7597</v>
      </c>
      <c r="H331" t="n">
        <v>10075</v>
      </c>
      <c r="I331" t="n">
        <v>64306</v>
      </c>
      <c r="J331" t="n">
        <v>410311</v>
      </c>
      <c r="K331" t="n">
        <v>41916</v>
      </c>
      <c r="L331" t="n">
        <v>59455</v>
      </c>
      <c r="M331" t="n">
        <v>28656</v>
      </c>
      <c r="N331" t="n">
        <v>11049</v>
      </c>
      <c r="O331" t="n">
        <v>102851</v>
      </c>
      <c r="P331" t="n">
        <v>63218</v>
      </c>
      <c r="Q331" t="n">
        <v>6749</v>
      </c>
    </row>
    <row r="332">
      <c r="A332" s="134" t="n">
        <v>43647</v>
      </c>
      <c r="B332" t="n">
        <v>371662</v>
      </c>
      <c r="C332" t="n">
        <v>517547</v>
      </c>
      <c r="D332" t="n">
        <v>31104</v>
      </c>
      <c r="E332" t="n">
        <v>22519</v>
      </c>
      <c r="F332" t="n">
        <v>65362</v>
      </c>
      <c r="G332" t="n">
        <v>7628</v>
      </c>
      <c r="H332" t="n">
        <v>10101</v>
      </c>
      <c r="I332" t="n">
        <v>65105</v>
      </c>
      <c r="J332" t="n">
        <v>414239</v>
      </c>
      <c r="K332" t="n">
        <v>42577</v>
      </c>
      <c r="L332" t="n">
        <v>60242</v>
      </c>
      <c r="M332" t="n">
        <v>28513</v>
      </c>
      <c r="N332" t="n">
        <v>10918</v>
      </c>
      <c r="O332" t="n">
        <v>103308</v>
      </c>
      <c r="P332" t="n">
        <v>63559</v>
      </c>
      <c r="Q332" t="n">
        <v>6611</v>
      </c>
    </row>
    <row r="333">
      <c r="A333" s="134" t="n">
        <v>43678</v>
      </c>
      <c r="B333" t="n">
        <v>372527</v>
      </c>
      <c r="C333" t="n">
        <v>521011</v>
      </c>
      <c r="D333" t="n">
        <v>31495</v>
      </c>
      <c r="E333" t="n">
        <v>22470</v>
      </c>
      <c r="F333" t="n">
        <v>65375</v>
      </c>
      <c r="G333" t="n">
        <v>7583</v>
      </c>
      <c r="H333" t="n">
        <v>10089</v>
      </c>
      <c r="I333" t="n">
        <v>65286</v>
      </c>
      <c r="J333" t="n">
        <v>415138</v>
      </c>
      <c r="K333" t="n">
        <v>42611</v>
      </c>
      <c r="L333" t="n">
        <v>59896</v>
      </c>
      <c r="M333" t="n">
        <v>28516</v>
      </c>
      <c r="N333" t="n">
        <v>11143</v>
      </c>
      <c r="O333" t="n">
        <v>105873</v>
      </c>
      <c r="P333" t="n">
        <v>64000</v>
      </c>
      <c r="Q333" t="n">
        <v>6674</v>
      </c>
    </row>
    <row r="334">
      <c r="A334" s="134" t="n">
        <v>43709</v>
      </c>
      <c r="B334" t="n">
        <v>372479</v>
      </c>
      <c r="C334" t="n">
        <v>518121</v>
      </c>
      <c r="D334" t="n">
        <v>31145</v>
      </c>
      <c r="E334" t="n">
        <v>22248</v>
      </c>
      <c r="F334" t="n">
        <v>64873</v>
      </c>
      <c r="G334" t="n">
        <v>7586</v>
      </c>
      <c r="H334" t="n">
        <v>10232</v>
      </c>
      <c r="I334" t="n">
        <v>66127</v>
      </c>
      <c r="J334" t="n">
        <v>414775</v>
      </c>
      <c r="K334" t="n">
        <v>42296</v>
      </c>
      <c r="L334" t="n">
        <v>59400</v>
      </c>
      <c r="M334" t="n">
        <v>28514</v>
      </c>
      <c r="N334" t="n">
        <v>11103</v>
      </c>
      <c r="O334" t="n">
        <v>103346</v>
      </c>
      <c r="P334" t="n">
        <v>64594</v>
      </c>
      <c r="Q334" t="n">
        <v>6657</v>
      </c>
    </row>
    <row r="335">
      <c r="A335" s="134" t="n">
        <v>43739</v>
      </c>
      <c r="B335" t="n">
        <v>373444</v>
      </c>
      <c r="C335" t="n">
        <v>519530</v>
      </c>
      <c r="D335" t="n">
        <v>31146</v>
      </c>
      <c r="E335" t="n">
        <v>22297</v>
      </c>
      <c r="F335" t="n">
        <v>64717</v>
      </c>
      <c r="G335" t="n">
        <v>7521</v>
      </c>
      <c r="H335" t="n">
        <v>10090</v>
      </c>
      <c r="I335" t="n">
        <v>66390</v>
      </c>
      <c r="J335" t="n">
        <v>416230</v>
      </c>
      <c r="K335" t="n">
        <v>42786</v>
      </c>
      <c r="L335" t="n">
        <v>59692</v>
      </c>
      <c r="M335" t="n">
        <v>28863</v>
      </c>
      <c r="N335" t="n">
        <v>11273</v>
      </c>
      <c r="O335" t="n">
        <v>103300</v>
      </c>
      <c r="P335" t="n">
        <v>64738</v>
      </c>
      <c r="Q335" t="n">
        <v>6717</v>
      </c>
    </row>
    <row r="336">
      <c r="A336" s="134" t="n">
        <v>43770</v>
      </c>
      <c r="B336" t="n">
        <v>374519</v>
      </c>
      <c r="C336" t="n">
        <v>523313</v>
      </c>
      <c r="D336" t="n">
        <v>31207</v>
      </c>
      <c r="E336" t="n">
        <v>22250</v>
      </c>
      <c r="F336" t="n">
        <v>64901</v>
      </c>
      <c r="G336" t="n">
        <v>7498</v>
      </c>
      <c r="H336" t="n">
        <v>10181</v>
      </c>
      <c r="I336" t="n">
        <v>66657</v>
      </c>
      <c r="J336" t="n">
        <v>417186</v>
      </c>
      <c r="K336" t="n">
        <v>42667</v>
      </c>
      <c r="L336" t="n">
        <v>60350</v>
      </c>
      <c r="M336" t="n">
        <v>28671</v>
      </c>
      <c r="N336" t="n">
        <v>11464</v>
      </c>
      <c r="O336" t="n">
        <v>106127</v>
      </c>
      <c r="P336" t="n">
        <v>64802</v>
      </c>
      <c r="Q336" t="n">
        <v>6538</v>
      </c>
    </row>
    <row r="337">
      <c r="A337" s="134" t="n">
        <v>43800</v>
      </c>
      <c r="B337" t="n">
        <v>377012</v>
      </c>
      <c r="C337" t="n">
        <v>525405</v>
      </c>
      <c r="D337" t="n">
        <v>31566</v>
      </c>
      <c r="E337" t="n">
        <v>23168</v>
      </c>
      <c r="F337" t="n">
        <v>65375</v>
      </c>
      <c r="G337" t="n">
        <v>7534</v>
      </c>
      <c r="H337" t="n">
        <v>10231</v>
      </c>
      <c r="I337" t="n">
        <v>67736</v>
      </c>
      <c r="J337" t="n">
        <v>420992</v>
      </c>
      <c r="K337" t="n">
        <v>43980</v>
      </c>
      <c r="L337" t="n">
        <v>60269</v>
      </c>
      <c r="M337" t="n">
        <v>28411</v>
      </c>
      <c r="N337" t="n">
        <v>11322</v>
      </c>
      <c r="O337" t="n">
        <v>104413</v>
      </c>
      <c r="P337" t="n">
        <v>64701</v>
      </c>
      <c r="Q337" t="n">
        <v>6699</v>
      </c>
    </row>
    <row r="338">
      <c r="A338" s="134" t="n">
        <v>43831</v>
      </c>
      <c r="B338" t="n">
        <v>379530</v>
      </c>
      <c r="C338" t="n">
        <v>524991</v>
      </c>
      <c r="D338" t="n">
        <v>31929</v>
      </c>
      <c r="E338" t="n">
        <v>22816</v>
      </c>
      <c r="F338" t="n">
        <v>64665</v>
      </c>
      <c r="G338" t="n">
        <v>7421</v>
      </c>
      <c r="H338" t="n">
        <v>10380</v>
      </c>
      <c r="I338" t="n">
        <v>68657</v>
      </c>
      <c r="J338" t="n">
        <v>422721</v>
      </c>
      <c r="K338" t="n">
        <v>43191</v>
      </c>
      <c r="L338" t="n">
        <v>60511</v>
      </c>
      <c r="M338" t="n">
        <v>29232</v>
      </c>
      <c r="N338" t="n">
        <v>11597</v>
      </c>
      <c r="O338" t="n">
        <v>102270</v>
      </c>
      <c r="P338" t="n">
        <v>65587</v>
      </c>
      <c r="Q338" t="n">
        <v>6735</v>
      </c>
    </row>
    <row r="339">
      <c r="A339" s="134" t="n">
        <v>43862</v>
      </c>
      <c r="B339" t="n">
        <v>380933</v>
      </c>
      <c r="C339" t="n">
        <v>525359</v>
      </c>
      <c r="D339" t="n">
        <v>32101</v>
      </c>
      <c r="E339" t="n">
        <v>22656</v>
      </c>
      <c r="F339" t="n">
        <v>64859</v>
      </c>
      <c r="G339" t="n">
        <v>7334</v>
      </c>
      <c r="H339" t="n">
        <v>10201</v>
      </c>
      <c r="I339" t="n">
        <v>68683</v>
      </c>
      <c r="J339" t="n">
        <v>422341</v>
      </c>
      <c r="K339" t="n">
        <v>41408</v>
      </c>
      <c r="L339" t="n">
        <v>60843</v>
      </c>
      <c r="M339" t="n">
        <v>29577</v>
      </c>
      <c r="N339" t="n">
        <v>11547</v>
      </c>
      <c r="O339" t="n">
        <v>103018</v>
      </c>
      <c r="P339" t="n">
        <v>66416</v>
      </c>
      <c r="Q339" t="n">
        <v>6716</v>
      </c>
    </row>
    <row r="340">
      <c r="A340" s="134" t="n">
        <v>43891</v>
      </c>
      <c r="B340" t="n">
        <v>367133</v>
      </c>
      <c r="C340" t="n">
        <v>478099</v>
      </c>
      <c r="D340" t="n">
        <v>31998</v>
      </c>
      <c r="E340" t="n">
        <v>11402</v>
      </c>
      <c r="F340" t="n">
        <v>81816</v>
      </c>
      <c r="G340" t="n">
        <v>5998</v>
      </c>
      <c r="H340" t="n">
        <v>7966</v>
      </c>
      <c r="I340" t="n">
        <v>48245</v>
      </c>
      <c r="J340" t="n">
        <v>402080</v>
      </c>
      <c r="K340" t="n">
        <v>34947</v>
      </c>
      <c r="L340" t="n">
        <v>62671</v>
      </c>
      <c r="M340" t="n">
        <v>31089</v>
      </c>
      <c r="N340" t="n">
        <v>9774</v>
      </c>
      <c r="O340" t="n">
        <v>76019</v>
      </c>
      <c r="P340" t="n">
        <v>70636</v>
      </c>
      <c r="Q340" t="n">
        <v>5538</v>
      </c>
    </row>
    <row r="341">
      <c r="A341" s="134" t="n">
        <v>43922</v>
      </c>
      <c r="B341" t="n">
        <v>316062</v>
      </c>
      <c r="C341" t="n">
        <v>408187</v>
      </c>
      <c r="D341" t="n">
        <v>31713</v>
      </c>
      <c r="E341" t="n">
        <v>2849</v>
      </c>
      <c r="F341" t="n">
        <v>70989</v>
      </c>
      <c r="G341" t="n">
        <v>3345</v>
      </c>
      <c r="H341" t="n">
        <v>3939</v>
      </c>
      <c r="I341" t="n">
        <v>31195</v>
      </c>
      <c r="J341" t="n">
        <v>343010</v>
      </c>
      <c r="K341" t="n">
        <v>26948</v>
      </c>
      <c r="L341" t="n">
        <v>55886</v>
      </c>
      <c r="M341" t="n">
        <v>26455</v>
      </c>
      <c r="N341" t="n">
        <v>7131</v>
      </c>
      <c r="O341" t="n">
        <v>65177</v>
      </c>
      <c r="P341" t="n">
        <v>78848</v>
      </c>
      <c r="Q341" t="n">
        <v>3712</v>
      </c>
    </row>
    <row r="342">
      <c r="A342" s="134" t="n">
        <v>43952</v>
      </c>
      <c r="B342" t="n">
        <v>357243</v>
      </c>
      <c r="C342" t="n">
        <v>485791</v>
      </c>
      <c r="D342" t="n">
        <v>36223</v>
      </c>
      <c r="E342" t="n">
        <v>8260</v>
      </c>
      <c r="F342" t="n">
        <v>72222</v>
      </c>
      <c r="G342" t="n">
        <v>4137</v>
      </c>
      <c r="H342" t="n">
        <v>7126</v>
      </c>
      <c r="I342" t="n">
        <v>41045</v>
      </c>
      <c r="J342" t="n">
        <v>387090</v>
      </c>
      <c r="K342" t="n">
        <v>29847</v>
      </c>
      <c r="L342" t="n">
        <v>60881</v>
      </c>
      <c r="M342" t="n">
        <v>27033</v>
      </c>
      <c r="N342" t="n">
        <v>8662</v>
      </c>
      <c r="O342" t="n">
        <v>98701</v>
      </c>
      <c r="P342" t="n">
        <v>85171</v>
      </c>
      <c r="Q342" t="n">
        <v>6483</v>
      </c>
    </row>
    <row r="343">
      <c r="A343" s="134" t="n">
        <v>43983</v>
      </c>
      <c r="B343" t="n">
        <v>386795</v>
      </c>
      <c r="C343" t="n">
        <v>527459</v>
      </c>
      <c r="D343" t="n">
        <v>36460</v>
      </c>
      <c r="E343" t="n">
        <v>17088</v>
      </c>
      <c r="F343" t="n">
        <v>70819</v>
      </c>
      <c r="G343" t="n">
        <v>5867</v>
      </c>
      <c r="H343" t="n">
        <v>9878</v>
      </c>
      <c r="I343" t="n">
        <v>52838</v>
      </c>
      <c r="J343" t="n">
        <v>420373</v>
      </c>
      <c r="K343" t="n">
        <v>33578</v>
      </c>
      <c r="L343" t="n">
        <v>61594</v>
      </c>
      <c r="M343" t="n">
        <v>29006</v>
      </c>
      <c r="N343" t="n">
        <v>10595</v>
      </c>
      <c r="O343" t="n">
        <v>107086</v>
      </c>
      <c r="P343" t="n">
        <v>84508</v>
      </c>
      <c r="Q343" t="n">
        <v>8142</v>
      </c>
    </row>
    <row r="344">
      <c r="A344" s="134" t="n">
        <v>44013</v>
      </c>
      <c r="B344" t="n">
        <v>394351</v>
      </c>
      <c r="C344" t="n">
        <v>535844</v>
      </c>
      <c r="D344" t="n">
        <v>35983</v>
      </c>
      <c r="E344" t="n">
        <v>17892</v>
      </c>
      <c r="F344" t="n">
        <v>71247</v>
      </c>
      <c r="G344" t="n">
        <v>6655</v>
      </c>
      <c r="H344" t="n">
        <v>10170</v>
      </c>
      <c r="I344" t="n">
        <v>55383</v>
      </c>
      <c r="J344" t="n">
        <v>429604</v>
      </c>
      <c r="K344" t="n">
        <v>35253</v>
      </c>
      <c r="L344" t="n">
        <v>61404</v>
      </c>
      <c r="M344" t="n">
        <v>30586</v>
      </c>
      <c r="N344" t="n">
        <v>11111</v>
      </c>
      <c r="O344" t="n">
        <v>106240</v>
      </c>
      <c r="P344" t="n">
        <v>86034</v>
      </c>
      <c r="Q344" t="n">
        <v>7886</v>
      </c>
    </row>
    <row r="345">
      <c r="A345" s="134" t="n">
        <v>44044</v>
      </c>
      <c r="B345" t="n">
        <v>397545</v>
      </c>
      <c r="C345" t="n">
        <v>541193</v>
      </c>
      <c r="D345" t="n">
        <v>36439</v>
      </c>
      <c r="E345" t="n">
        <v>18192</v>
      </c>
      <c r="F345" t="n">
        <v>70150</v>
      </c>
      <c r="G345" t="n">
        <v>6749</v>
      </c>
      <c r="H345" t="n">
        <v>10622</v>
      </c>
      <c r="I345" t="n">
        <v>57913</v>
      </c>
      <c r="J345" t="n">
        <v>433724</v>
      </c>
      <c r="K345" t="n">
        <v>36179</v>
      </c>
      <c r="L345" t="n">
        <v>60222</v>
      </c>
      <c r="M345" t="n">
        <v>30309</v>
      </c>
      <c r="N345" t="n">
        <v>11321</v>
      </c>
      <c r="O345" t="n">
        <v>107469</v>
      </c>
      <c r="P345" t="n">
        <v>88289</v>
      </c>
      <c r="Q345" t="n">
        <v>7339</v>
      </c>
    </row>
    <row r="346">
      <c r="A346" s="134" t="n">
        <v>44075</v>
      </c>
      <c r="B346" t="n">
        <v>404409</v>
      </c>
      <c r="C346" t="n">
        <v>551970</v>
      </c>
      <c r="D346" t="n">
        <v>36815</v>
      </c>
      <c r="E346" t="n">
        <v>20550</v>
      </c>
      <c r="F346" t="n">
        <v>70162</v>
      </c>
      <c r="G346" t="n">
        <v>6565</v>
      </c>
      <c r="H346" t="n">
        <v>10737</v>
      </c>
      <c r="I346" t="n">
        <v>59559</v>
      </c>
      <c r="J346" t="n">
        <v>440825</v>
      </c>
      <c r="K346" t="n">
        <v>36416</v>
      </c>
      <c r="L346" t="n">
        <v>62044</v>
      </c>
      <c r="M346" t="n">
        <v>30716</v>
      </c>
      <c r="N346" t="n">
        <v>11381</v>
      </c>
      <c r="O346" t="n">
        <v>111145</v>
      </c>
      <c r="P346" t="n">
        <v>88097</v>
      </c>
      <c r="Q346" t="n">
        <v>7783</v>
      </c>
    </row>
    <row r="347">
      <c r="A347" s="134" t="n">
        <v>44105</v>
      </c>
      <c r="B347" t="n">
        <v>402914</v>
      </c>
      <c r="C347" t="n">
        <v>549765</v>
      </c>
      <c r="D347" t="n">
        <v>36315</v>
      </c>
      <c r="E347" t="n">
        <v>20051</v>
      </c>
      <c r="F347" t="n">
        <v>69699</v>
      </c>
      <c r="G347" t="n">
        <v>7014</v>
      </c>
      <c r="H347" t="n">
        <v>10594</v>
      </c>
      <c r="I347" t="n">
        <v>59283</v>
      </c>
      <c r="J347" t="n">
        <v>439261</v>
      </c>
      <c r="K347" t="n">
        <v>36347</v>
      </c>
      <c r="L347" t="n">
        <v>61251</v>
      </c>
      <c r="M347" t="n">
        <v>30694</v>
      </c>
      <c r="N347" t="n">
        <v>11394</v>
      </c>
      <c r="O347" t="n">
        <v>110504</v>
      </c>
      <c r="P347" t="n">
        <v>88932</v>
      </c>
      <c r="Q347" t="n">
        <v>7687</v>
      </c>
    </row>
    <row r="348">
      <c r="A348" s="134" t="n">
        <v>44136</v>
      </c>
      <c r="B348" t="n">
        <v>400042</v>
      </c>
      <c r="C348" t="n">
        <v>544839</v>
      </c>
      <c r="D348" t="n">
        <v>36499</v>
      </c>
      <c r="E348" t="n">
        <v>19084</v>
      </c>
      <c r="F348" t="n">
        <v>70559</v>
      </c>
      <c r="G348" t="n">
        <v>6630</v>
      </c>
      <c r="H348" t="n">
        <v>10452</v>
      </c>
      <c r="I348" t="n">
        <v>57015</v>
      </c>
      <c r="J348" t="n">
        <v>435306</v>
      </c>
      <c r="K348" t="n">
        <v>35264</v>
      </c>
      <c r="L348" t="n">
        <v>60726</v>
      </c>
      <c r="M348" t="n">
        <v>30187</v>
      </c>
      <c r="N348" t="n">
        <v>11479</v>
      </c>
      <c r="O348" t="n">
        <v>109533</v>
      </c>
      <c r="P348" t="n">
        <v>89714</v>
      </c>
      <c r="Q348" t="n">
        <v>7697</v>
      </c>
    </row>
    <row r="349">
      <c r="A349" s="134" t="n">
        <v>44166</v>
      </c>
      <c r="B349" t="n">
        <v>399412</v>
      </c>
      <c r="C349" t="n">
        <v>550198</v>
      </c>
      <c r="D349" t="n">
        <v>36420</v>
      </c>
      <c r="E349" t="n">
        <v>19976</v>
      </c>
      <c r="F349" t="n">
        <v>70368</v>
      </c>
      <c r="G349" t="n">
        <v>6355</v>
      </c>
      <c r="H349" t="n">
        <v>10673</v>
      </c>
      <c r="I349" t="n">
        <v>53775</v>
      </c>
      <c r="J349" t="n">
        <v>437837</v>
      </c>
      <c r="K349" t="n">
        <v>38425</v>
      </c>
      <c r="L349" t="n">
        <v>61068</v>
      </c>
      <c r="M349" t="n">
        <v>30334</v>
      </c>
      <c r="N349" t="n">
        <v>12117</v>
      </c>
      <c r="O349" t="n">
        <v>112361</v>
      </c>
      <c r="P349" t="n">
        <v>90690</v>
      </c>
      <c r="Q349" t="n">
        <v>7636</v>
      </c>
    </row>
    <row r="350">
      <c r="A350" s="134" t="n">
        <v>44197</v>
      </c>
      <c r="B350" t="n">
        <v>414760</v>
      </c>
      <c r="C350" t="n">
        <v>569309</v>
      </c>
      <c r="D350" t="n">
        <v>38490</v>
      </c>
      <c r="E350" t="n">
        <v>20710</v>
      </c>
      <c r="F350" t="n">
        <v>71322</v>
      </c>
      <c r="G350" t="n">
        <v>7235</v>
      </c>
      <c r="H350" t="n">
        <v>11730</v>
      </c>
      <c r="I350" t="n">
        <v>58569</v>
      </c>
      <c r="J350" t="n">
        <v>455128</v>
      </c>
      <c r="K350" t="n">
        <v>40368</v>
      </c>
      <c r="L350" t="n">
        <v>65118</v>
      </c>
      <c r="M350" t="n">
        <v>30346</v>
      </c>
      <c r="N350" t="n">
        <v>11970</v>
      </c>
      <c r="O350" t="n">
        <v>114181</v>
      </c>
      <c r="P350" t="n">
        <v>90810</v>
      </c>
      <c r="Q350" t="n">
        <v>8460</v>
      </c>
    </row>
    <row r="351">
      <c r="A351" s="134" t="n">
        <v>44228</v>
      </c>
      <c r="B351" t="n">
        <v>402716</v>
      </c>
      <c r="C351" t="n">
        <v>554929</v>
      </c>
      <c r="D351" t="n">
        <v>36967</v>
      </c>
      <c r="E351" t="n">
        <v>19774</v>
      </c>
      <c r="F351" t="n">
        <v>71650</v>
      </c>
      <c r="G351" t="n">
        <v>7000</v>
      </c>
      <c r="H351" t="n">
        <v>11079</v>
      </c>
      <c r="I351" t="n">
        <v>57171</v>
      </c>
      <c r="J351" t="n">
        <v>444019</v>
      </c>
      <c r="K351" t="n">
        <v>41303</v>
      </c>
      <c r="L351" t="n">
        <v>61935</v>
      </c>
      <c r="M351" t="n">
        <v>30033</v>
      </c>
      <c r="N351" t="n">
        <v>11757</v>
      </c>
      <c r="O351" t="n">
        <v>110910</v>
      </c>
      <c r="P351" t="n">
        <v>87711</v>
      </c>
      <c r="Q351" t="n">
        <v>7639</v>
      </c>
    </row>
    <row r="352">
      <c r="A352" s="134" t="n">
        <v>44256</v>
      </c>
      <c r="B352" t="n">
        <v>438874</v>
      </c>
      <c r="C352" t="n">
        <v>615573</v>
      </c>
      <c r="D352" t="n">
        <v>42218</v>
      </c>
      <c r="E352" t="n">
        <v>24049</v>
      </c>
      <c r="F352" t="n">
        <v>71966</v>
      </c>
      <c r="G352" t="n">
        <v>8122</v>
      </c>
      <c r="H352" t="n">
        <v>11956</v>
      </c>
      <c r="I352" t="n">
        <v>65224</v>
      </c>
      <c r="J352" t="n">
        <v>484879</v>
      </c>
      <c r="K352" t="n">
        <v>46005</v>
      </c>
      <c r="L352" t="n">
        <v>66688</v>
      </c>
      <c r="M352" t="n">
        <v>32551</v>
      </c>
      <c r="N352" t="n">
        <v>13137</v>
      </c>
      <c r="O352" t="n">
        <v>130694</v>
      </c>
      <c r="P352" t="n">
        <v>93736</v>
      </c>
      <c r="Q352" t="n">
        <v>9227</v>
      </c>
    </row>
    <row r="353">
      <c r="A353" s="134" t="n">
        <v>44287</v>
      </c>
      <c r="B353" t="n">
        <v>442362</v>
      </c>
      <c r="C353" t="n">
        <v>620556</v>
      </c>
      <c r="D353" t="n">
        <v>42014</v>
      </c>
      <c r="E353" t="n">
        <v>23962</v>
      </c>
      <c r="F353" t="n">
        <v>72553</v>
      </c>
      <c r="G353" t="n">
        <v>8105</v>
      </c>
      <c r="H353" t="n">
        <v>11936</v>
      </c>
      <c r="I353" t="n">
        <v>67981</v>
      </c>
      <c r="J353" t="n">
        <v>487084</v>
      </c>
      <c r="K353" t="n">
        <v>44722</v>
      </c>
      <c r="L353" t="n">
        <v>67331</v>
      </c>
      <c r="M353" t="n">
        <v>32505</v>
      </c>
      <c r="N353" t="n">
        <v>13212</v>
      </c>
      <c r="O353" t="n">
        <v>133472</v>
      </c>
      <c r="P353" t="n">
        <v>93803</v>
      </c>
      <c r="Q353" t="n">
        <v>8960</v>
      </c>
    </row>
    <row r="354">
      <c r="A354" s="134" t="n">
        <v>44317</v>
      </c>
      <c r="B354" t="n">
        <v>439424</v>
      </c>
      <c r="C354" t="n">
        <v>615378</v>
      </c>
      <c r="D354" t="n">
        <v>40456</v>
      </c>
      <c r="E354" t="n">
        <v>24616</v>
      </c>
      <c r="F354" t="n">
        <v>73178</v>
      </c>
      <c r="G354" t="n">
        <v>8040</v>
      </c>
      <c r="H354" t="n">
        <v>11813</v>
      </c>
      <c r="I354" t="n">
        <v>70096</v>
      </c>
      <c r="J354" t="n">
        <v>484237</v>
      </c>
      <c r="K354" t="n">
        <v>44813</v>
      </c>
      <c r="L354" t="n">
        <v>66599</v>
      </c>
      <c r="M354" t="n">
        <v>31859</v>
      </c>
      <c r="N354" t="n">
        <v>12355</v>
      </c>
      <c r="O354" t="n">
        <v>131141</v>
      </c>
      <c r="P354" t="n">
        <v>91719</v>
      </c>
      <c r="Q354" t="n">
        <v>8693</v>
      </c>
    </row>
    <row r="355">
      <c r="A355" s="134" t="n">
        <v>44348</v>
      </c>
      <c r="B355" t="n">
        <v>448577</v>
      </c>
      <c r="C355" t="n">
        <v>621612</v>
      </c>
      <c r="D355" t="n">
        <v>39769</v>
      </c>
      <c r="E355" t="n">
        <v>25570</v>
      </c>
      <c r="F355" t="n">
        <v>73796</v>
      </c>
      <c r="G355" t="n">
        <v>8457</v>
      </c>
      <c r="H355" t="n">
        <v>11745</v>
      </c>
      <c r="I355" t="n">
        <v>73198</v>
      </c>
      <c r="J355" t="n">
        <v>494265</v>
      </c>
      <c r="K355" t="n">
        <v>45688</v>
      </c>
      <c r="L355" t="n">
        <v>66148</v>
      </c>
      <c r="M355" t="n">
        <v>32857</v>
      </c>
      <c r="N355" t="n">
        <v>13253</v>
      </c>
      <c r="O355" t="n">
        <v>127347</v>
      </c>
      <c r="P355" t="n">
        <v>95212</v>
      </c>
      <c r="Q355" t="n">
        <v>8572</v>
      </c>
    </row>
    <row r="356">
      <c r="A356" s="134" t="n">
        <v>44378</v>
      </c>
      <c r="B356" t="n">
        <v>443592</v>
      </c>
      <c r="C356" t="n">
        <v>612394</v>
      </c>
      <c r="D356" t="n">
        <v>39017</v>
      </c>
      <c r="E356" t="n">
        <v>25047</v>
      </c>
      <c r="F356" t="n">
        <v>73663</v>
      </c>
      <c r="G356" t="n">
        <v>8259</v>
      </c>
      <c r="H356" t="n">
        <v>11742</v>
      </c>
      <c r="I356" t="n">
        <v>74928</v>
      </c>
      <c r="J356" t="n">
        <v>490251</v>
      </c>
      <c r="K356" t="n">
        <v>46659</v>
      </c>
      <c r="L356" t="n">
        <v>66304</v>
      </c>
      <c r="M356" t="n">
        <v>32704</v>
      </c>
      <c r="N356" t="n">
        <v>13450</v>
      </c>
      <c r="O356" t="n">
        <v>122143</v>
      </c>
      <c r="P356" t="n">
        <v>90102</v>
      </c>
      <c r="Q356" t="n">
        <v>8376</v>
      </c>
    </row>
    <row r="357">
      <c r="A357" s="134" t="n">
        <v>44409</v>
      </c>
      <c r="B357" t="n">
        <v>449723</v>
      </c>
      <c r="C357" t="n">
        <v>617658</v>
      </c>
      <c r="D357" t="n">
        <v>39059</v>
      </c>
      <c r="E357" t="n">
        <v>24593</v>
      </c>
      <c r="F357" t="n">
        <v>75361</v>
      </c>
      <c r="G357" t="n">
        <v>7974</v>
      </c>
      <c r="H357" t="n">
        <v>11705</v>
      </c>
      <c r="I357" t="n">
        <v>74692</v>
      </c>
      <c r="J357" t="n">
        <v>497907</v>
      </c>
      <c r="K357" t="n">
        <v>48184</v>
      </c>
      <c r="L357" t="n">
        <v>66797</v>
      </c>
      <c r="M357" t="n">
        <v>32956</v>
      </c>
      <c r="N357" t="n">
        <v>13576</v>
      </c>
      <c r="O357" t="n">
        <v>119751</v>
      </c>
      <c r="P357" t="n">
        <v>94607</v>
      </c>
      <c r="Q357" t="n">
        <v>8403</v>
      </c>
    </row>
    <row r="358">
      <c r="A358" s="134" t="n">
        <v>44440</v>
      </c>
      <c r="B358" t="n">
        <v>451216</v>
      </c>
      <c r="C358" t="n">
        <v>622104</v>
      </c>
      <c r="D358" t="n">
        <v>39320</v>
      </c>
      <c r="E358" t="n">
        <v>24881</v>
      </c>
      <c r="F358" t="n">
        <v>75724</v>
      </c>
      <c r="G358" t="n">
        <v>7859</v>
      </c>
      <c r="H358" t="n">
        <v>11708</v>
      </c>
      <c r="I358" t="n">
        <v>74907</v>
      </c>
      <c r="J358" t="n">
        <v>500991</v>
      </c>
      <c r="K358" t="n">
        <v>49775</v>
      </c>
      <c r="L358" t="n">
        <v>66898</v>
      </c>
      <c r="M358" t="n">
        <v>32676</v>
      </c>
      <c r="N358" t="n">
        <v>13885</v>
      </c>
      <c r="O358" t="n">
        <v>121113</v>
      </c>
      <c r="P358" t="n">
        <v>94978</v>
      </c>
      <c r="Q358" t="n">
        <v>8380</v>
      </c>
    </row>
    <row r="359">
      <c r="A359" s="134" t="n">
        <v>44470</v>
      </c>
      <c r="B359" t="n">
        <v>457520</v>
      </c>
      <c r="C359" t="n">
        <v>632065</v>
      </c>
      <c r="D359" t="n">
        <v>40223</v>
      </c>
      <c r="E359" t="n">
        <v>25030</v>
      </c>
      <c r="F359" t="n">
        <v>76303</v>
      </c>
      <c r="G359" t="n">
        <v>8402</v>
      </c>
      <c r="H359" t="n">
        <v>11827</v>
      </c>
      <c r="I359" t="n">
        <v>74875</v>
      </c>
      <c r="J359" t="n">
        <v>509180</v>
      </c>
      <c r="K359" t="n">
        <v>51660</v>
      </c>
      <c r="L359" t="n">
        <v>67724</v>
      </c>
      <c r="M359" t="n">
        <v>32566</v>
      </c>
      <c r="N359" t="n">
        <v>14119</v>
      </c>
      <c r="O359" t="n">
        <v>122885</v>
      </c>
      <c r="P359" t="n">
        <v>98070</v>
      </c>
      <c r="Q359" t="n">
        <v>8381</v>
      </c>
    </row>
    <row r="360">
      <c r="A360" s="134" t="n">
        <v>44501</v>
      </c>
      <c r="B360" t="n">
        <v>461463</v>
      </c>
      <c r="C360" t="n">
        <v>639228</v>
      </c>
      <c r="D360" t="n">
        <v>41235</v>
      </c>
      <c r="E360" t="n">
        <v>25715</v>
      </c>
      <c r="F360" t="n">
        <v>76525</v>
      </c>
      <c r="G360" t="n">
        <v>7301</v>
      </c>
      <c r="H360" t="n">
        <v>11893</v>
      </c>
      <c r="I360" t="n">
        <v>75870</v>
      </c>
      <c r="J360" t="n">
        <v>513999</v>
      </c>
      <c r="K360" t="n">
        <v>52536</v>
      </c>
      <c r="L360" t="n">
        <v>67603</v>
      </c>
      <c r="M360" t="n">
        <v>32890</v>
      </c>
      <c r="N360" t="n">
        <v>14253</v>
      </c>
      <c r="O360" t="n">
        <v>125229</v>
      </c>
      <c r="P360" t="n">
        <v>99426</v>
      </c>
      <c r="Q360" t="n">
        <v>8752</v>
      </c>
    </row>
    <row r="361">
      <c r="A361" s="134" t="n">
        <v>44531</v>
      </c>
      <c r="B361" t="n">
        <v>458623</v>
      </c>
      <c r="C361" t="n">
        <v>635598</v>
      </c>
      <c r="D361" t="n">
        <v>41442</v>
      </c>
      <c r="E361" t="n">
        <v>24873</v>
      </c>
      <c r="F361" t="n">
        <v>77013</v>
      </c>
      <c r="G361" t="n">
        <v>7226</v>
      </c>
      <c r="H361" t="n">
        <v>11491</v>
      </c>
      <c r="I361" t="n">
        <v>74702</v>
      </c>
      <c r="J361" t="n">
        <v>512427</v>
      </c>
      <c r="K361" t="n">
        <v>53804</v>
      </c>
      <c r="L361" t="n">
        <v>67924</v>
      </c>
      <c r="M361" t="n">
        <v>32801</v>
      </c>
      <c r="N361" t="n">
        <v>14255</v>
      </c>
      <c r="O361" t="n">
        <v>123171</v>
      </c>
      <c r="P361" t="n">
        <v>98442</v>
      </c>
      <c r="Q361" t="n">
        <v>8454</v>
      </c>
    </row>
    <row r="362">
      <c r="A362" s="134" t="n">
        <v>44562</v>
      </c>
      <c r="B362" t="n">
        <v>463017</v>
      </c>
      <c r="C362" t="n">
        <v>644750</v>
      </c>
      <c r="D362" t="n">
        <v>42131</v>
      </c>
      <c r="E362" t="n">
        <v>24278</v>
      </c>
      <c r="F362" t="n">
        <v>77522</v>
      </c>
      <c r="G362" t="n">
        <v>7437</v>
      </c>
      <c r="H362" t="n">
        <v>11749</v>
      </c>
      <c r="I362" t="n">
        <v>72335</v>
      </c>
      <c r="J362" t="n">
        <v>516163</v>
      </c>
      <c r="K362" t="n">
        <v>53146</v>
      </c>
      <c r="L362" t="n">
        <v>68245</v>
      </c>
      <c r="M362" t="n">
        <v>32747</v>
      </c>
      <c r="N362" t="n">
        <v>14288</v>
      </c>
      <c r="O362" t="n">
        <v>128587</v>
      </c>
      <c r="P362" t="n">
        <v>104142</v>
      </c>
      <c r="Q362" t="n">
        <v>8143</v>
      </c>
    </row>
    <row r="363">
      <c r="A363" s="134" t="n">
        <v>44593</v>
      </c>
      <c r="B363" t="n">
        <v>467018</v>
      </c>
      <c r="C363" t="n">
        <v>653552</v>
      </c>
      <c r="D363" t="n">
        <v>42318</v>
      </c>
      <c r="E363" t="n">
        <v>25096</v>
      </c>
      <c r="F363" t="n">
        <v>77778</v>
      </c>
      <c r="G363" t="n">
        <v>7642</v>
      </c>
      <c r="H363" t="n">
        <v>11783</v>
      </c>
      <c r="I363" t="n">
        <v>75619</v>
      </c>
      <c r="J363" t="n">
        <v>523084</v>
      </c>
      <c r="K363" t="n">
        <v>56066</v>
      </c>
      <c r="L363" t="n">
        <v>68961</v>
      </c>
      <c r="M363" t="n">
        <v>32335</v>
      </c>
      <c r="N363" t="n">
        <v>14695</v>
      </c>
      <c r="O363" t="n">
        <v>130468</v>
      </c>
      <c r="P363" t="n">
        <v>102329</v>
      </c>
      <c r="Q363" t="n">
        <v>8462</v>
      </c>
    </row>
    <row r="364">
      <c r="A364" s="134" t="n">
        <v>44621</v>
      </c>
      <c r="B364" t="n">
        <v>475001</v>
      </c>
      <c r="C364" t="n">
        <v>667050</v>
      </c>
      <c r="D364" t="n">
        <v>43392</v>
      </c>
      <c r="E364" t="n">
        <v>26107</v>
      </c>
      <c r="F364" t="n">
        <v>78468</v>
      </c>
      <c r="G364" t="n">
        <v>8125</v>
      </c>
      <c r="H364" t="n">
        <v>11914</v>
      </c>
      <c r="I364" t="n">
        <v>77812</v>
      </c>
      <c r="J364" t="n">
        <v>538285</v>
      </c>
      <c r="K364" t="n">
        <v>63284</v>
      </c>
      <c r="L364" t="n">
        <v>69631</v>
      </c>
      <c r="M364" t="n">
        <v>32738</v>
      </c>
      <c r="N364" t="n">
        <v>14983</v>
      </c>
      <c r="O364" t="n">
        <v>128765</v>
      </c>
      <c r="P364" t="n">
        <v>103341</v>
      </c>
      <c r="Q364" t="n">
        <v>8490</v>
      </c>
    </row>
    <row r="365">
      <c r="A365" s="134" t="n">
        <v>44652</v>
      </c>
      <c r="B365" t="n">
        <v>481221</v>
      </c>
      <c r="C365" t="n">
        <v>675899</v>
      </c>
      <c r="D365" t="n">
        <v>43352</v>
      </c>
      <c r="E365" t="n">
        <v>26174</v>
      </c>
      <c r="F365" t="n">
        <v>78807</v>
      </c>
      <c r="G365" t="n">
        <v>8343</v>
      </c>
      <c r="H365" t="n">
        <v>12286</v>
      </c>
      <c r="I365" t="n">
        <v>80528</v>
      </c>
      <c r="J365" t="n">
        <v>545046</v>
      </c>
      <c r="K365" t="n">
        <v>63825</v>
      </c>
      <c r="L365" t="n">
        <v>70621</v>
      </c>
      <c r="M365" t="n">
        <v>32964</v>
      </c>
      <c r="N365" t="n">
        <v>15096</v>
      </c>
      <c r="O365" t="n">
        <v>130853</v>
      </c>
      <c r="P365" t="n">
        <v>104504</v>
      </c>
      <c r="Q365" t="n">
        <v>8546</v>
      </c>
    </row>
    <row r="366">
      <c r="A366" s="134" t="n">
        <v>44682</v>
      </c>
      <c r="B366" t="n">
        <v>482509</v>
      </c>
      <c r="C366" t="n">
        <v>675722</v>
      </c>
      <c r="D366" t="n">
        <v>42894</v>
      </c>
      <c r="E366" t="n">
        <v>25678</v>
      </c>
      <c r="F366" t="n">
        <v>79655</v>
      </c>
      <c r="G366" t="n">
        <v>8023</v>
      </c>
      <c r="H366" t="n">
        <v>11974</v>
      </c>
      <c r="I366" t="n">
        <v>81489</v>
      </c>
      <c r="J366" t="n">
        <v>549217</v>
      </c>
      <c r="K366" t="n">
        <v>66708</v>
      </c>
      <c r="L366" t="n">
        <v>71172</v>
      </c>
      <c r="M366" t="n">
        <v>32964</v>
      </c>
      <c r="N366" t="n">
        <v>14753</v>
      </c>
      <c r="O366" t="n">
        <v>126505</v>
      </c>
      <c r="P366" t="n">
        <v>105364</v>
      </c>
      <c r="Q366" t="n">
        <v>8543</v>
      </c>
    </row>
    <row r="367">
      <c r="A367" s="134" t="n">
        <v>44713</v>
      </c>
      <c r="B367" t="n">
        <v>484896</v>
      </c>
      <c r="C367" t="n">
        <v>679165</v>
      </c>
      <c r="D367" t="n">
        <v>42640</v>
      </c>
      <c r="E367" t="n">
        <v>25738</v>
      </c>
      <c r="F367" t="n">
        <v>80123</v>
      </c>
      <c r="G367" t="n">
        <v>7895</v>
      </c>
      <c r="H367" t="n">
        <v>11837</v>
      </c>
      <c r="I367" t="n">
        <v>81949</v>
      </c>
      <c r="J367" t="n">
        <v>552339</v>
      </c>
      <c r="K367" t="n">
        <v>67443</v>
      </c>
      <c r="L367" t="n">
        <v>71670</v>
      </c>
      <c r="M367" t="n">
        <v>33461</v>
      </c>
      <c r="N367" t="n">
        <v>15369</v>
      </c>
      <c r="O367" t="n">
        <v>126826</v>
      </c>
      <c r="P367" t="n">
        <v>105688</v>
      </c>
      <c r="Q367" t="n">
        <v>8526</v>
      </c>
    </row>
    <row r="368">
      <c r="A368" s="134" t="n">
        <v>44743</v>
      </c>
      <c r="B368" t="n">
        <v>486089</v>
      </c>
      <c r="C368" t="n">
        <v>675740</v>
      </c>
      <c r="D368" t="n">
        <v>42889</v>
      </c>
      <c r="E368" t="n">
        <v>25447</v>
      </c>
      <c r="F368" t="n">
        <v>80116</v>
      </c>
      <c r="G368" t="n">
        <v>7932</v>
      </c>
      <c r="H368" t="n">
        <v>11757</v>
      </c>
      <c r="I368" t="n">
        <v>81870</v>
      </c>
      <c r="J368" t="n">
        <v>551936</v>
      </c>
      <c r="K368" t="n">
        <v>65847</v>
      </c>
      <c r="L368" t="n">
        <v>71294</v>
      </c>
      <c r="M368" t="n">
        <v>33587</v>
      </c>
      <c r="N368" t="n">
        <v>15158</v>
      </c>
      <c r="O368" t="n">
        <v>123804</v>
      </c>
      <c r="P368" t="n">
        <v>107420</v>
      </c>
      <c r="Q368" t="n">
        <v>8619</v>
      </c>
    </row>
    <row r="369">
      <c r="A369" s="134" t="n">
        <v>44774</v>
      </c>
      <c r="B369" t="n">
        <v>490753</v>
      </c>
      <c r="C369" t="n">
        <v>680500</v>
      </c>
      <c r="D369" t="n">
        <v>43484</v>
      </c>
      <c r="E369" t="n">
        <v>25792</v>
      </c>
      <c r="F369" t="n">
        <v>80636</v>
      </c>
      <c r="G369" t="n">
        <v>7890</v>
      </c>
      <c r="H369" t="n">
        <v>11816</v>
      </c>
      <c r="I369" t="n">
        <v>83652</v>
      </c>
      <c r="J369" t="n">
        <v>552555</v>
      </c>
      <c r="K369" t="n">
        <v>61802</v>
      </c>
      <c r="L369" t="n">
        <v>71729</v>
      </c>
      <c r="M369" t="n">
        <v>33660</v>
      </c>
      <c r="N369" t="n">
        <v>15253</v>
      </c>
      <c r="O369" t="n">
        <v>127945</v>
      </c>
      <c r="P369" t="n">
        <v>108212</v>
      </c>
      <c r="Q369" t="n">
        <v>8629</v>
      </c>
    </row>
    <row r="370">
      <c r="A370" s="134" t="n">
        <v>44805</v>
      </c>
      <c r="B370" t="n">
        <v>493581</v>
      </c>
      <c r="C370" t="n">
        <v>680387</v>
      </c>
      <c r="D370" t="n">
        <v>43302</v>
      </c>
      <c r="E370" t="n">
        <v>25923</v>
      </c>
      <c r="F370" t="n">
        <v>81246</v>
      </c>
      <c r="G370" t="n">
        <v>7886</v>
      </c>
      <c r="H370" t="n">
        <v>11690</v>
      </c>
      <c r="I370" t="n">
        <v>84231</v>
      </c>
      <c r="J370" t="n">
        <v>552771</v>
      </c>
      <c r="K370" t="n">
        <v>59190</v>
      </c>
      <c r="L370" t="n">
        <v>72411</v>
      </c>
      <c r="M370" t="n">
        <v>33965</v>
      </c>
      <c r="N370" t="n">
        <v>15164</v>
      </c>
      <c r="O370" t="n">
        <v>127616</v>
      </c>
      <c r="P370" t="n">
        <v>109127</v>
      </c>
      <c r="Q370" t="n">
        <v>8636</v>
      </c>
    </row>
    <row r="371">
      <c r="A371" s="134" t="n">
        <v>44835</v>
      </c>
      <c r="B371" t="n">
        <v>496678</v>
      </c>
      <c r="C371" t="n">
        <v>687498</v>
      </c>
      <c r="D371" t="n">
        <v>43813</v>
      </c>
      <c r="E371" t="n">
        <v>25950</v>
      </c>
      <c r="F371" t="n">
        <v>82255</v>
      </c>
      <c r="G371" t="n">
        <v>7857</v>
      </c>
      <c r="H371" t="n">
        <v>11873</v>
      </c>
      <c r="I371" t="n">
        <v>85515</v>
      </c>
      <c r="J371" t="n">
        <v>558122</v>
      </c>
      <c r="K371" t="n">
        <v>61444</v>
      </c>
      <c r="L371" t="n">
        <v>72142</v>
      </c>
      <c r="M371" t="n">
        <v>33991</v>
      </c>
      <c r="N371" t="n">
        <v>15107</v>
      </c>
      <c r="O371" t="n">
        <v>129376</v>
      </c>
      <c r="P371" t="n">
        <v>109458</v>
      </c>
      <c r="Q371" t="n">
        <v>8717</v>
      </c>
    </row>
    <row r="372">
      <c r="A372" s="134" t="n">
        <v>44866</v>
      </c>
      <c r="B372" t="n">
        <v>491882</v>
      </c>
      <c r="C372" t="n">
        <v>678482</v>
      </c>
      <c r="D372" t="n">
        <v>42346</v>
      </c>
      <c r="E372" t="n">
        <v>25822</v>
      </c>
      <c r="F372" t="n">
        <v>82571</v>
      </c>
      <c r="G372" t="n">
        <v>6933</v>
      </c>
      <c r="H372" t="n">
        <v>11590</v>
      </c>
      <c r="I372" t="n">
        <v>85392</v>
      </c>
      <c r="J372" t="n">
        <v>551938</v>
      </c>
      <c r="K372" t="n">
        <v>60056</v>
      </c>
      <c r="L372" t="n">
        <v>72132</v>
      </c>
      <c r="M372" t="n">
        <v>34198</v>
      </c>
      <c r="N372" t="n">
        <v>14673</v>
      </c>
      <c r="O372" t="n">
        <v>126544</v>
      </c>
      <c r="P372" t="n">
        <v>107588</v>
      </c>
      <c r="Q372" t="n">
        <v>8637</v>
      </c>
    </row>
    <row r="373">
      <c r="A373" s="134" t="n">
        <v>44896</v>
      </c>
      <c r="B373" t="n">
        <v>492528</v>
      </c>
      <c r="C373" t="n">
        <v>673619</v>
      </c>
      <c r="D373" t="n">
        <v>42684</v>
      </c>
      <c r="E373" t="n">
        <v>25688</v>
      </c>
      <c r="F373" t="n">
        <v>82183</v>
      </c>
      <c r="G373" t="n">
        <v>6892</v>
      </c>
      <c r="H373" t="n">
        <v>11376</v>
      </c>
      <c r="I373" t="n">
        <v>85079</v>
      </c>
      <c r="J373" t="n">
        <v>549226</v>
      </c>
      <c r="K373" t="n">
        <v>56698</v>
      </c>
      <c r="L373" t="n">
        <v>72193</v>
      </c>
      <c r="M373" t="n">
        <v>33076</v>
      </c>
      <c r="N373" t="n">
        <v>14725</v>
      </c>
      <c r="O373" t="n">
        <v>124393</v>
      </c>
      <c r="P373" t="n">
        <v>109968</v>
      </c>
      <c r="Q373" t="n">
        <v>8664</v>
      </c>
    </row>
    <row r="374">
      <c r="A374" s="134" t="n">
        <v>44927</v>
      </c>
      <c r="B374" t="n">
        <v>503192</v>
      </c>
      <c r="C374" t="n">
        <v>692501</v>
      </c>
      <c r="D374" t="n">
        <v>42845</v>
      </c>
      <c r="E374" t="n">
        <v>26599</v>
      </c>
      <c r="F374" t="n">
        <v>81794</v>
      </c>
      <c r="G374" t="n">
        <v>7744</v>
      </c>
      <c r="H374" t="n">
        <v>12531</v>
      </c>
      <c r="I374" t="n">
        <v>89290</v>
      </c>
      <c r="J374" t="n">
        <v>559681</v>
      </c>
      <c r="K374" t="n">
        <v>56489</v>
      </c>
      <c r="L374" t="n">
        <v>73572</v>
      </c>
      <c r="M374" t="n">
        <v>34576</v>
      </c>
      <c r="N374" t="n">
        <v>15604</v>
      </c>
      <c r="O374" t="n">
        <v>132820</v>
      </c>
      <c r="P374" t="n">
        <v>109904</v>
      </c>
      <c r="Q374" t="n">
        <v>8733</v>
      </c>
    </row>
    <row r="375">
      <c r="A375" s="134" t="n">
        <v>44958</v>
      </c>
      <c r="B375" t="n">
        <v>501121</v>
      </c>
      <c r="C375" t="n">
        <v>687942</v>
      </c>
      <c r="D375" t="n">
        <v>42910</v>
      </c>
      <c r="E375" t="n">
        <v>25941</v>
      </c>
      <c r="F375" t="n">
        <v>82144</v>
      </c>
      <c r="G375" t="n">
        <v>7730</v>
      </c>
      <c r="H375" t="n">
        <v>11715</v>
      </c>
      <c r="I375" t="n">
        <v>87273</v>
      </c>
      <c r="J375" t="n">
        <v>556605</v>
      </c>
      <c r="K375" t="n">
        <v>55484</v>
      </c>
      <c r="L375" t="n">
        <v>73505</v>
      </c>
      <c r="M375" t="n">
        <v>35131</v>
      </c>
      <c r="N375" t="n">
        <v>15293</v>
      </c>
      <c r="O375" t="n">
        <v>131337</v>
      </c>
      <c r="P375" t="n">
        <v>110866</v>
      </c>
      <c r="Q375" t="n">
        <v>8613</v>
      </c>
    </row>
    <row r="376">
      <c r="A376" s="134" t="n">
        <v>44986</v>
      </c>
      <c r="B376" t="n">
        <v>497018</v>
      </c>
      <c r="C376" t="n">
        <v>681673</v>
      </c>
      <c r="D376" t="n">
        <v>41391</v>
      </c>
      <c r="E376" t="n">
        <v>25616</v>
      </c>
      <c r="F376" t="n">
        <v>81888</v>
      </c>
      <c r="G376" t="n">
        <v>7694</v>
      </c>
      <c r="H376" t="n">
        <v>11418</v>
      </c>
      <c r="I376" t="n">
        <v>87392</v>
      </c>
      <c r="J376" t="n">
        <v>552011</v>
      </c>
      <c r="K376" t="n">
        <v>54993</v>
      </c>
      <c r="L376" t="n">
        <v>71641</v>
      </c>
      <c r="M376" t="n">
        <v>35251</v>
      </c>
      <c r="N376" t="n">
        <v>15286</v>
      </c>
      <c r="O376" t="n">
        <v>129662</v>
      </c>
      <c r="P376" t="n">
        <v>110830</v>
      </c>
      <c r="Q376" t="n">
        <v>8611</v>
      </c>
    </row>
    <row r="377">
      <c r="A377" s="134" t="n">
        <v>45017</v>
      </c>
      <c r="B377" t="n">
        <v>499489</v>
      </c>
      <c r="C377" t="n">
        <v>684213</v>
      </c>
      <c r="D377" t="n">
        <v>41579</v>
      </c>
      <c r="E377" t="n">
        <v>25640</v>
      </c>
      <c r="F377" t="n">
        <v>81844</v>
      </c>
      <c r="G377" t="n">
        <v>7608</v>
      </c>
      <c r="H377" t="n">
        <v>11165</v>
      </c>
      <c r="I377" t="n">
        <v>87690</v>
      </c>
      <c r="J377" t="n">
        <v>553971</v>
      </c>
      <c r="K377" t="n">
        <v>54482</v>
      </c>
      <c r="L377" t="n">
        <v>72315</v>
      </c>
      <c r="M377" t="n">
        <v>35525</v>
      </c>
      <c r="N377" t="n">
        <v>15575</v>
      </c>
      <c r="O377" t="n">
        <v>130242</v>
      </c>
      <c r="P377" t="n">
        <v>111933</v>
      </c>
      <c r="Q377" t="n">
        <v>8615</v>
      </c>
    </row>
    <row r="378">
      <c r="A378" s="134" t="n">
        <v>45047</v>
      </c>
      <c r="B378" t="n">
        <v>501467</v>
      </c>
      <c r="C378" t="n">
        <v>686573</v>
      </c>
      <c r="D378" t="n">
        <v>42491</v>
      </c>
      <c r="E378" t="n">
        <v>25629</v>
      </c>
      <c r="F378" t="n">
        <v>82100</v>
      </c>
      <c r="G378" t="n">
        <v>7623</v>
      </c>
      <c r="H378" t="n">
        <v>11209</v>
      </c>
      <c r="I378" t="n">
        <v>87997</v>
      </c>
      <c r="J378" t="n">
        <v>554528</v>
      </c>
      <c r="K378" t="n">
        <v>53061</v>
      </c>
      <c r="L378" t="n">
        <v>72580</v>
      </c>
      <c r="M378" t="n">
        <v>35530</v>
      </c>
      <c r="N378" t="n">
        <v>15424</v>
      </c>
      <c r="O378" t="n">
        <v>132045</v>
      </c>
      <c r="P378" t="n">
        <v>112241</v>
      </c>
      <c r="Q378" t="n">
        <v>8643</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70" zoomScaleNormal="70" workbookViewId="0">
      <selection activeCell="N14" sqref="N14"/>
    </sheetView>
  </sheetViews>
  <sheetFormatPr baseColWidth="8" defaultColWidth="9.1796875" defaultRowHeight="14.5"/>
  <cols>
    <col width="5.81640625" customWidth="1" style="113" min="1" max="1"/>
    <col width="14.6328125" customWidth="1" style="113" min="2" max="2"/>
    <col width="63.1796875" customWidth="1" style="113" min="3" max="3"/>
    <col width="16.36328125" bestFit="1" customWidth="1" style="113" min="4" max="4"/>
    <col width="16.36328125" customWidth="1" style="113" min="5" max="8"/>
    <col width="21.81640625" customWidth="1" style="113" min="9" max="9"/>
    <col width="52.36328125" customWidth="1" style="113" min="10" max="10"/>
    <col width="9.1796875" customWidth="1" style="113" min="11" max="12"/>
    <col width="9.81640625" customWidth="1" style="113" min="13" max="13"/>
    <col width="9.1796875" customWidth="1" style="113" min="14" max="39"/>
    <col width="9.1796875" customWidth="1" style="113" min="40" max="16384"/>
  </cols>
  <sheetData>
    <row r="1" ht="16" customHeight="1" thickBot="1"/>
    <row r="2">
      <c r="D2" s="4" t="inlineStr">
        <is>
          <t>Previous</t>
        </is>
      </c>
      <c r="E2" s="6">
        <f>DATE(YEAR(E3),MONTH(E3)-1,DAY(E3))</f>
        <v/>
      </c>
    </row>
    <row r="3" ht="16" customHeight="1" thickBot="1">
      <c r="D3" s="5" t="inlineStr">
        <is>
          <t>Latest</t>
        </is>
      </c>
      <c r="E3" s="7" t="n">
        <v>44986</v>
      </c>
      <c r="F3" s="8" t="inlineStr">
        <is>
          <t>* to modify</t>
        </is>
      </c>
    </row>
    <row r="5" ht="16" customHeight="1" thickBot="1"/>
    <row r="6" ht="21" customHeight="1"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c r="B7" s="59" t="n"/>
      <c r="C7" s="60" t="inlineStr">
        <is>
          <t>Retail Sales</t>
        </is>
      </c>
      <c r="D7" s="61">
        <f>VLOOKUP($E$2,'Retail Sales'!A:B,2,)</f>
        <v/>
      </c>
      <c r="E7" s="61">
        <f>VLOOKUP($E$3,'Retail Sales'!A:B,2,)</f>
        <v/>
      </c>
      <c r="F7" s="103">
        <f>(E7-D7)/D7</f>
        <v/>
      </c>
      <c r="G7" s="103">
        <f>VLOOKUP($E$3,'Retail Sales'!A:D,4,)</f>
        <v/>
      </c>
      <c r="H7" s="62" t="n"/>
      <c r="I7" s="63" t="inlineStr">
        <is>
          <t>RSAFS</t>
        </is>
      </c>
      <c r="J7" s="64" t="inlineStr">
        <is>
          <t>https://fred.stlouisfed.org/series/RSAFs</t>
        </is>
      </c>
    </row>
    <row r="8" ht="25.5" customHeight="1">
      <c r="B8" s="38" t="n"/>
      <c r="C8" s="34" t="inlineStr">
        <is>
          <t>Retail Sales ex Auto</t>
        </is>
      </c>
      <c r="D8" s="35">
        <f>VLOOKUP($E$2,'Retail Sales ex Auto'!A:B,2,)</f>
        <v/>
      </c>
      <c r="E8" s="35">
        <f>VLOOKUP($E$3,'Retail Sales ex Auto'!A:B,2,)</f>
        <v/>
      </c>
      <c r="F8" s="104">
        <f>(E8-D8)/D8</f>
        <v/>
      </c>
      <c r="G8" s="104">
        <f>VLOOKUP($E$3,'Retail Sales ex Auto'!A:D,4,)</f>
        <v/>
      </c>
      <c r="H8" s="3" t="n"/>
      <c r="I8" s="36" t="inlineStr">
        <is>
          <t>RSFSXMV</t>
        </is>
      </c>
      <c r="J8" s="39" t="inlineStr">
        <is>
          <t>https://fred.stlouisfed.org/series/RSFSXMV</t>
        </is>
      </c>
    </row>
    <row r="9" ht="25.5" customHeight="1">
      <c r="B9" s="38" t="n"/>
      <c r="C9" s="34" t="inlineStr">
        <is>
          <t>Retail Sales ex Auto and Gas</t>
        </is>
      </c>
      <c r="D9" s="35">
        <f>VLOOKUP($E$2,'Retail Sales ex Auto and Gas'!A:B,2,)</f>
        <v/>
      </c>
      <c r="E9" s="35">
        <f>VLOOKUP($E$3,'Retail Sales ex Auto and Gas'!A:B,2,)</f>
        <v/>
      </c>
      <c r="F9" s="104">
        <f>(E9-D9)/D9</f>
        <v/>
      </c>
      <c r="G9" s="104">
        <f>VLOOKUP($E$3,'Retail Sales ex Auto and Gas'!A:D,4,)</f>
        <v/>
      </c>
      <c r="H9" s="3" t="n"/>
      <c r="I9" s="36" t="inlineStr">
        <is>
          <t>MARTSSM44W72USS</t>
        </is>
      </c>
      <c r="J9" s="39" t="inlineStr">
        <is>
          <t>https://fred.stlouisfed.org/series/MARTSSM44W72USS</t>
        </is>
      </c>
    </row>
    <row r="10" ht="25.5" customHeight="1">
      <c r="B10" s="40" t="n">
        <v>441</v>
      </c>
      <c r="C10" s="34" t="inlineStr">
        <is>
          <t>Motor Vehicle</t>
        </is>
      </c>
      <c r="D10" s="35">
        <f>VLOOKUP($E$2,Motor!A:B,2,)</f>
        <v/>
      </c>
      <c r="E10" s="35">
        <f>VLOOKUP($E$3,Motor!A:B,2,)</f>
        <v/>
      </c>
      <c r="F10" s="104">
        <f>(E10-D10)/D10</f>
        <v/>
      </c>
      <c r="G10" s="104">
        <f>VLOOKUP($E$3,Motor!A:D,4,)</f>
        <v/>
      </c>
      <c r="H10" s="105">
        <f>D10/$D$7</f>
        <v/>
      </c>
      <c r="I10" s="36" t="inlineStr">
        <is>
          <t>RSMVPD</t>
        </is>
      </c>
      <c r="J10" s="39" t="inlineStr">
        <is>
          <t>https://fred.stlouisfed.org/series/RSMVPd</t>
        </is>
      </c>
    </row>
    <row r="11" ht="25.5" customHeight="1">
      <c r="B11" s="40" t="n">
        <v>454</v>
      </c>
      <c r="C11" s="34" t="inlineStr">
        <is>
          <t>Non Store</t>
        </is>
      </c>
      <c r="D11" s="35">
        <f>VLOOKUP($E$2,'Non Store Retail'!A:B,2,)</f>
        <v/>
      </c>
      <c r="E11" s="35">
        <f>VLOOKUP($E$3,'Non Store Retail'!A:B,2,)</f>
        <v/>
      </c>
      <c r="F11" s="104">
        <f>(E11-D11)/D11</f>
        <v/>
      </c>
      <c r="G11" s="104">
        <f>VLOOKUP($E$3,'Non Store Retail'!A:D,4,)</f>
        <v/>
      </c>
      <c r="H11" s="105">
        <f>D11/$D$7</f>
        <v/>
      </c>
      <c r="I11" s="36" t="inlineStr">
        <is>
          <t>RSNSR</t>
        </is>
      </c>
      <c r="J11" s="39" t="inlineStr">
        <is>
          <t>https://fred.stlouisfed.org/series/RSNSr</t>
        </is>
      </c>
    </row>
    <row r="12" ht="25.5" customHeight="1">
      <c r="B12" s="40" t="n">
        <v>445</v>
      </c>
      <c r="C12" s="34" t="inlineStr">
        <is>
          <t>Food &amp; Beverage</t>
        </is>
      </c>
      <c r="D12" s="35">
        <f>VLOOKUP($E$2,'Food and Beverage'!A:B,2,)</f>
        <v/>
      </c>
      <c r="E12" s="35">
        <f>VLOOKUP($E$3,'Food and Beverage'!A:B,2,)</f>
        <v/>
      </c>
      <c r="F12" s="104">
        <f>(E12-D12)/D12</f>
        <v/>
      </c>
      <c r="G12" s="104">
        <f>VLOOKUP($E$3,'Food and Beverage'!A:D,4,)</f>
        <v/>
      </c>
      <c r="H12" s="105">
        <f>D12/$D$7</f>
        <v/>
      </c>
      <c r="I12" s="36" t="inlineStr">
        <is>
          <t>RSDBS</t>
        </is>
      </c>
      <c r="J12" s="39" t="inlineStr">
        <is>
          <t>https://fred.stlouisfed.org/series/RSDBs</t>
        </is>
      </c>
    </row>
    <row r="13" ht="25.5" customHeight="1">
      <c r="B13" s="40" t="n">
        <v>722</v>
      </c>
      <c r="C13" s="34" t="inlineStr">
        <is>
          <t>Food Services</t>
        </is>
      </c>
      <c r="D13" s="35">
        <f>VLOOKUP($E$2,'Food Services'!A:B,2,)</f>
        <v/>
      </c>
      <c r="E13" s="35">
        <f>VLOOKUP($E$3,'Food Services'!A:B,2,)</f>
        <v/>
      </c>
      <c r="F13" s="104">
        <f>(E13-D13)/D13</f>
        <v/>
      </c>
      <c r="G13" s="104">
        <f>VLOOKUP($E$3,'Food Services'!A:D,4,)</f>
        <v/>
      </c>
      <c r="H13" s="105">
        <f>D13/$D$7</f>
        <v/>
      </c>
      <c r="I13" s="36" t="inlineStr">
        <is>
          <t>RSFSDP</t>
        </is>
      </c>
      <c r="J13" s="39" t="inlineStr">
        <is>
          <t>https://fred.stlouisfed.org/series/RSFSDp</t>
        </is>
      </c>
    </row>
    <row r="14" ht="25.5" customHeight="1">
      <c r="B14" s="40" t="n">
        <v>452</v>
      </c>
      <c r="C14" s="34" t="inlineStr">
        <is>
          <t>General Merchandising</t>
        </is>
      </c>
      <c r="D14" s="35">
        <f>VLOOKUP($E$2,'General Merchandising'!A:B,2,)</f>
        <v/>
      </c>
      <c r="E14" s="35">
        <f>VLOOKUP($E$3,'General Merchandising'!A:B,2,)</f>
        <v/>
      </c>
      <c r="F14" s="104">
        <f>(E14-D14)/D14</f>
        <v/>
      </c>
      <c r="G14" s="104">
        <f>VLOOKUP($E$3,'General Merchandising'!A:D,4,)</f>
        <v/>
      </c>
      <c r="H14" s="105">
        <f>D14/$D$7</f>
        <v/>
      </c>
      <c r="I14" s="36" t="inlineStr">
        <is>
          <t>RSGMS</t>
        </is>
      </c>
      <c r="J14" s="39" t="inlineStr">
        <is>
          <t>https://fred.stlouisfed.org/series/RSGMs</t>
        </is>
      </c>
    </row>
    <row r="15" ht="25.5" customHeight="1">
      <c r="B15" s="40" t="n">
        <v>447</v>
      </c>
      <c r="C15" s="34" t="inlineStr">
        <is>
          <t>Gasoline Stations</t>
        </is>
      </c>
      <c r="D15" s="35">
        <f>VLOOKUP($E$2,'Gas Station'!A:B,2,)</f>
        <v/>
      </c>
      <c r="E15" s="35">
        <f>VLOOKUP($E$3,'Gas Station'!A:B,2,)</f>
        <v/>
      </c>
      <c r="F15" s="104">
        <f>(E15-D15)/D15</f>
        <v/>
      </c>
      <c r="G15" s="104">
        <f>VLOOKUP($E$3,'Gas Station'!A:D,4,)</f>
        <v/>
      </c>
      <c r="H15" s="105">
        <f>D15/$D$7</f>
        <v/>
      </c>
      <c r="I15" s="36" t="inlineStr">
        <is>
          <t>RSGASS</t>
        </is>
      </c>
      <c r="J15" s="39" t="inlineStr">
        <is>
          <t>https://fred.stlouisfed.org/series/RSGASs</t>
        </is>
      </c>
    </row>
    <row r="16" ht="25.5" customHeight="1">
      <c r="B16" s="40" t="n">
        <v>444</v>
      </c>
      <c r="C16" s="34" t="inlineStr">
        <is>
          <t>Housing Supplies</t>
        </is>
      </c>
      <c r="D16" s="35">
        <f>VLOOKUP($E$2,Housing!A:B,2,)</f>
        <v/>
      </c>
      <c r="E16" s="35">
        <f>VLOOKUP($E$3,Housing!A:B,2,)</f>
        <v/>
      </c>
      <c r="F16" s="104">
        <f>(E16-D16)/D16</f>
        <v/>
      </c>
      <c r="G16" s="104">
        <f>VLOOKUP($E$3,Housing!A:D,4,)</f>
        <v/>
      </c>
      <c r="H16" s="105">
        <f>D16/$D$7</f>
        <v/>
      </c>
      <c r="I16" s="36" t="inlineStr">
        <is>
          <t>RSBMGESD</t>
        </is>
      </c>
      <c r="J16" s="39" t="inlineStr">
        <is>
          <t>https://fred.stlouisfed.org/series/RSBMGESD</t>
        </is>
      </c>
    </row>
    <row r="17" ht="25.5" customHeight="1">
      <c r="B17" s="40" t="n">
        <v>446</v>
      </c>
      <c r="C17" s="34" t="inlineStr">
        <is>
          <t>HealthCare</t>
        </is>
      </c>
      <c r="D17" s="35">
        <f>VLOOKUP($E$2,Health!A:B,2,)</f>
        <v/>
      </c>
      <c r="E17" s="35">
        <f>VLOOKUP($E$3,Health!A:B,2,)</f>
        <v/>
      </c>
      <c r="F17" s="104">
        <f>(E17-D17)/D17</f>
        <v/>
      </c>
      <c r="G17" s="104">
        <f>VLOOKUP($E$3,Health!A:D,4,)</f>
        <v/>
      </c>
      <c r="H17" s="105">
        <f>D17/$D$7</f>
        <v/>
      </c>
      <c r="I17" s="36" t="inlineStr">
        <is>
          <t>RSHPCS</t>
        </is>
      </c>
      <c r="J17" s="39" t="inlineStr">
        <is>
          <t>https://fred.stlouisfed.org/series/RSHPCs</t>
        </is>
      </c>
    </row>
    <row r="18" ht="25.5" customHeight="1">
      <c r="B18" s="40" t="n">
        <v>448</v>
      </c>
      <c r="C18" s="34" t="inlineStr">
        <is>
          <t>Clothing and clothing access. stores</t>
        </is>
      </c>
      <c r="D18" s="35">
        <f>VLOOKUP($E$2,'Clothing and clothing access'!A:B,2,0)</f>
        <v/>
      </c>
      <c r="E18" s="35">
        <f>VLOOKUP($E$3,'Clothing and clothing access'!A:B,2,)</f>
        <v/>
      </c>
      <c r="F18" s="104">
        <f>(E18-D18)/D18</f>
        <v/>
      </c>
      <c r="G18" s="104">
        <f>VLOOKUP($E$3,'Clothing and clothing access'!A:D,4,)</f>
        <v/>
      </c>
      <c r="H18" s="105">
        <f>D18/$D$7</f>
        <v/>
      </c>
      <c r="I18" s="37" t="inlineStr">
        <is>
          <t>RSCCAS</t>
        </is>
      </c>
      <c r="J18" s="41" t="inlineStr">
        <is>
          <t>https://fred.stlouisfed.org/series/RSCCAS</t>
        </is>
      </c>
    </row>
    <row r="19" ht="25.5" customHeight="1">
      <c r="B19" s="40" t="inlineStr">
        <is>
          <t>442,443</t>
        </is>
      </c>
      <c r="C19" s="34" t="inlineStr">
        <is>
          <t>Furniture, home furn, electronics, and appliance stores</t>
        </is>
      </c>
      <c r="D19" s="35">
        <f>VLOOKUP($E$2,'Furniture Home'!A:B,2,)</f>
        <v/>
      </c>
      <c r="E19" s="35">
        <f>VLOOKUP($E$3,'Furniture Home'!A:B,2,)</f>
        <v/>
      </c>
      <c r="F19" s="104">
        <f>(E19-D19)/D19</f>
        <v/>
      </c>
      <c r="G19" s="104">
        <f>VLOOKUP($E$3,'Furniture Home'!A:D,4,)</f>
        <v/>
      </c>
      <c r="H19" s="105">
        <f>D19/$D$7</f>
        <v/>
      </c>
      <c r="I19" s="37" t="inlineStr">
        <is>
          <t>RSFHFS + RSEAS</t>
        </is>
      </c>
      <c r="J19" s="41" t="inlineStr">
        <is>
          <t>https://fred.stlouisfed.org/series/RSFHFS</t>
        </is>
      </c>
    </row>
    <row r="20" ht="25.5" customHeight="1">
      <c r="B20" s="40" t="n">
        <v>453</v>
      </c>
      <c r="C20" s="34" t="inlineStr">
        <is>
          <t>Miscellaneous stores retailers</t>
        </is>
      </c>
      <c r="D20" s="35">
        <f>VLOOKUP($E$2,'Miscellaneous stores retailers'!A:B,2,)</f>
        <v/>
      </c>
      <c r="E20" s="35">
        <f>VLOOKUP($E$3,'Miscellaneous stores retailers'!A:B,2,)</f>
        <v/>
      </c>
      <c r="F20" s="104">
        <f>(E20-D20)/D20</f>
        <v/>
      </c>
      <c r="G20" s="104">
        <f>VLOOKUP($E$3,'Miscellaneous stores retailers'!A:D,4,)</f>
        <v/>
      </c>
      <c r="H20" s="105">
        <f>D20/$D$7</f>
        <v/>
      </c>
      <c r="I20" s="37" t="inlineStr">
        <is>
          <t>RSMSR</t>
        </is>
      </c>
      <c r="J20" s="41" t="inlineStr">
        <is>
          <t>https://fred.stlouisfed.org/series/RSMSR</t>
        </is>
      </c>
    </row>
    <row r="21" ht="25.5" customHeight="1" thickBot="1">
      <c r="B21" s="42" t="n">
        <v>451</v>
      </c>
      <c r="C21" s="43" t="inlineStr">
        <is>
          <t>Clothing, Sport</t>
        </is>
      </c>
      <c r="D21" s="44">
        <f>VLOOKUP($E$2,'Sporting Goods'!A:B,2,)</f>
        <v/>
      </c>
      <c r="E21" s="44">
        <f>VLOOKUP($E$3,'Sporting Goods'!A:B,2,)</f>
        <v/>
      </c>
      <c r="F21" s="106">
        <f>(E21-D21)/D21</f>
        <v/>
      </c>
      <c r="G21" s="106">
        <f>VLOOKUP($E$3,'Sporting Goods'!A:D,4,)</f>
        <v/>
      </c>
      <c r="H21" s="107">
        <f>D21/$D$7</f>
        <v/>
      </c>
      <c r="I21" s="47" t="inlineStr">
        <is>
          <t>RSSGHBMS</t>
        </is>
      </c>
      <c r="J21" s="48" t="inlineStr">
        <is>
          <t>https://fred.stlouisfed.org/series/RSSGHBMs</t>
        </is>
      </c>
    </row>
    <row r="22" ht="25.5" customHeight="1" thickBot="1">
      <c r="D22" s="45">
        <f>SUM(D10:D21)</f>
        <v/>
      </c>
      <c r="E22" s="46">
        <f>SUM(E10:E21)</f>
        <v/>
      </c>
      <c r="H22" s="108">
        <f>SUM(H10:H21)</f>
        <v/>
      </c>
    </row>
  </sheetData>
  <conditionalFormatting sqref="F10:G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F7:H9">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71"/>
  <sheetViews>
    <sheetView zoomScale="70" zoomScaleNormal="70" workbookViewId="0">
      <pane ySplit="3" topLeftCell="A42" activePane="bottomLeft" state="frozen"/>
      <selection activeCell="P14" sqref="P14"/>
      <selection pane="bottomLeft" activeCell="AM55" sqref="AM55"/>
    </sheetView>
  </sheetViews>
  <sheetFormatPr baseColWidth="8" defaultColWidth="9.1796875" defaultRowHeight="14.5"/>
  <cols>
    <col width="3" customWidth="1" style="113" min="1" max="1"/>
    <col width="8.81640625" bestFit="1" customWidth="1" style="113" min="2" max="2"/>
    <col width="7.6328125" customWidth="1" style="113" min="3" max="32"/>
    <col width="9.1796875" customWidth="1" style="113" min="33" max="58"/>
    <col width="9.1796875" customWidth="1" style="113" min="59" max="16384"/>
  </cols>
  <sheetData>
    <row r="1" ht="16" customHeight="1" thickBot="1"/>
    <row r="2" ht="87" customHeight="1" thickBot="1">
      <c r="B2" s="54" t="n"/>
      <c r="C2" s="131" t="inlineStr">
        <is>
          <t>Retail Sales</t>
        </is>
      </c>
      <c r="D2" s="126" t="n"/>
      <c r="E2" s="132" t="inlineStr">
        <is>
          <t>Retail Sales ex Auto</t>
        </is>
      </c>
      <c r="F2" s="126" t="n"/>
      <c r="G2" s="131" t="inlineStr">
        <is>
          <t>Retail Sales ex Auto and Gas</t>
        </is>
      </c>
      <c r="H2" s="126" t="n"/>
      <c r="I2" s="131" t="inlineStr">
        <is>
          <t>Motor Vechicle</t>
        </is>
      </c>
      <c r="J2" s="126" t="n"/>
      <c r="K2" s="131" t="inlineStr">
        <is>
          <t>Non Store</t>
        </is>
      </c>
      <c r="L2" s="126" t="n"/>
      <c r="M2" s="131" t="inlineStr">
        <is>
          <t>Food &amp; Beverage</t>
        </is>
      </c>
      <c r="N2" s="126" t="n"/>
      <c r="O2" s="131" t="inlineStr">
        <is>
          <t>Food Services</t>
        </is>
      </c>
      <c r="P2" s="126" t="n"/>
      <c r="Q2" s="131" t="inlineStr">
        <is>
          <t>General Merchandis</t>
        </is>
      </c>
      <c r="R2" s="126" t="n"/>
      <c r="S2" s="131" t="inlineStr">
        <is>
          <t>Gasoline Stations</t>
        </is>
      </c>
      <c r="T2" s="126" t="n"/>
      <c r="U2" s="131" t="inlineStr">
        <is>
          <t>Housing Supplies</t>
        </is>
      </c>
      <c r="V2" s="126" t="n"/>
      <c r="W2" s="131" t="inlineStr">
        <is>
          <t>HealthCare</t>
        </is>
      </c>
      <c r="X2" s="126" t="n"/>
      <c r="Y2" s="131" t="inlineStr">
        <is>
          <t xml:space="preserve">Clothing </t>
        </is>
      </c>
      <c r="Z2" s="126" t="n"/>
      <c r="AA2" s="131" t="inlineStr">
        <is>
          <t>Furniture</t>
        </is>
      </c>
      <c r="AB2" s="126" t="n"/>
      <c r="AC2" s="131" t="inlineStr">
        <is>
          <t>Miscellan. stores</t>
        </is>
      </c>
      <c r="AD2" s="126" t="n"/>
      <c r="AE2" s="131"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row r="67">
      <c r="B67" s="56" t="n">
        <v>44866</v>
      </c>
      <c r="C67" s="52">
        <f>VLOOKUP(B67,'Retail Sales'!A:D,3,)</f>
        <v/>
      </c>
      <c r="D67" s="53">
        <f>VLOOKUP(B67,'Retail Sales'!A:D,4,)</f>
        <v/>
      </c>
      <c r="E67" s="52">
        <f>VLOOKUP(B67,'Retail Sales ex Auto'!$A:$D,3,)</f>
        <v/>
      </c>
      <c r="F67" s="53">
        <f>VLOOKUP(B67,'Retail Sales ex Auto'!$A:$D,4,)</f>
        <v/>
      </c>
      <c r="G67" s="52">
        <f>VLOOKUP(B67,'Retail Sales ex Auto and Gas'!$A:$D,3,)</f>
        <v/>
      </c>
      <c r="H67" s="53">
        <f>VLOOKUP(B67,'Retail Sales ex Auto and Gas'!$A:$D,4,)</f>
        <v/>
      </c>
      <c r="I67" s="52">
        <f>VLOOKUP(B67,Motor!$A:$D,3,)</f>
        <v/>
      </c>
      <c r="J67" s="53">
        <f>VLOOKUP(B67,Motor!$A:$D,4,)</f>
        <v/>
      </c>
      <c r="K67" s="52">
        <f>VLOOKUP(B67,'Non Store Retail'!$A:$D,3,)</f>
        <v/>
      </c>
      <c r="L67" s="53">
        <f>VLOOKUP(B67,'Non Store Retail'!$A:$D,4,)</f>
        <v/>
      </c>
      <c r="M67" s="52">
        <f>VLOOKUP(B67,'Food and Beverage'!$A:$D,3,)</f>
        <v/>
      </c>
      <c r="N67" s="52">
        <f>VLOOKUP(B67,'Food and Beverage'!$A:$D,4,)</f>
        <v/>
      </c>
      <c r="O67" s="52">
        <f>VLOOKUP(B67,'Food Services'!$A:$D,3,)</f>
        <v/>
      </c>
      <c r="P67" s="53">
        <f>VLOOKUP(B67,'Food Services'!$A:$D,4,)</f>
        <v/>
      </c>
      <c r="Q67" s="52">
        <f>VLOOKUP(B67,'General Merchandising'!$A:$D,3,)</f>
        <v/>
      </c>
      <c r="R67" s="53">
        <f>VLOOKUP(B67,'General Merchandising'!$A:$D,4,)</f>
        <v/>
      </c>
      <c r="S67" s="52">
        <f>VLOOKUP(B67,'Gas Station'!$A:$D,3,)</f>
        <v/>
      </c>
      <c r="T67" s="53">
        <f>VLOOKUP(B67,'Gas Station'!$A:$D,4,)</f>
        <v/>
      </c>
      <c r="U67" s="52">
        <f>VLOOKUP(B67,Housing!$A:$D,3,)</f>
        <v/>
      </c>
      <c r="V67" s="53">
        <f>VLOOKUP(B67,Housing!$A:$D,4,)</f>
        <v/>
      </c>
      <c r="W67" s="52">
        <f>VLOOKUP(B67,Health!$A:$D,3,)</f>
        <v/>
      </c>
      <c r="X67" s="53">
        <f>VLOOKUP(B67,Health!$A:$D,4,)</f>
        <v/>
      </c>
      <c r="Y67" s="52">
        <f>VLOOKUP(B67,'Clothing and clothing access'!$A:$D,3,)</f>
        <v/>
      </c>
      <c r="Z67" s="53">
        <f>VLOOKUP(B67,'Clothing and clothing access'!$A:$D,4,)</f>
        <v/>
      </c>
      <c r="AA67" s="52">
        <f>VLOOKUP(B67,'Furniture Home'!$A:$D,3,)</f>
        <v/>
      </c>
      <c r="AB67" s="53">
        <f>VLOOKUP(B67,'Furniture Home'!$A:$D,4,)</f>
        <v/>
      </c>
      <c r="AC67" s="52">
        <f>VLOOKUP(B67,'Miscellaneous stores retailers'!$A:$D,3,)</f>
        <v/>
      </c>
      <c r="AD67" s="53">
        <f>VLOOKUP(B67,'Miscellaneous stores retailers'!$A:$D,4,)</f>
        <v/>
      </c>
      <c r="AE67" s="52">
        <f>VLOOKUP(B67,'Sporting Goods'!$A:$D,3,)</f>
        <v/>
      </c>
      <c r="AF67" s="53">
        <f>VLOOKUP(B67,'Sporting Goods'!$A:$D,4,)</f>
        <v/>
      </c>
    </row>
    <row r="68">
      <c r="B68" s="56" t="n">
        <v>44896</v>
      </c>
      <c r="C68" s="52">
        <f>VLOOKUP(B68,'Retail Sales'!A:D,3,)</f>
        <v/>
      </c>
      <c r="D68" s="53">
        <f>VLOOKUP(B68,'Retail Sales'!A:D,4,)</f>
        <v/>
      </c>
      <c r="E68" s="52">
        <f>VLOOKUP(B68,'Retail Sales ex Auto'!$A:$D,3,)</f>
        <v/>
      </c>
      <c r="F68" s="53">
        <f>VLOOKUP(B68,'Retail Sales ex Auto'!$A:$D,4,)</f>
        <v/>
      </c>
      <c r="G68" s="52">
        <f>VLOOKUP(B68,'Retail Sales ex Auto and Gas'!$A:$D,3,)</f>
        <v/>
      </c>
      <c r="H68" s="53">
        <f>VLOOKUP(B68,'Retail Sales ex Auto and Gas'!$A:$D,4,)</f>
        <v/>
      </c>
      <c r="I68" s="52">
        <f>VLOOKUP(B68,Motor!$A:$D,3,)</f>
        <v/>
      </c>
      <c r="J68" s="53">
        <f>VLOOKUP(B68,Motor!$A:$D,4,)</f>
        <v/>
      </c>
      <c r="K68" s="52">
        <f>VLOOKUP(B68,'Non Store Retail'!$A:$D,3,)</f>
        <v/>
      </c>
      <c r="L68" s="53">
        <f>VLOOKUP(B68,'Non Store Retail'!$A:$D,4,)</f>
        <v/>
      </c>
      <c r="M68" s="52">
        <f>VLOOKUP(B68,'Food and Beverage'!$A:$D,3,)</f>
        <v/>
      </c>
      <c r="N68" s="52">
        <f>VLOOKUP(B68,'Food and Beverage'!$A:$D,4,)</f>
        <v/>
      </c>
      <c r="O68" s="52">
        <f>VLOOKUP(B68,'Food Services'!$A:$D,3,)</f>
        <v/>
      </c>
      <c r="P68" s="53">
        <f>VLOOKUP(B68,'Food Services'!$A:$D,4,)</f>
        <v/>
      </c>
      <c r="Q68" s="52">
        <f>VLOOKUP(B68,'General Merchandising'!$A:$D,3,)</f>
        <v/>
      </c>
      <c r="R68" s="53">
        <f>VLOOKUP(B68,'General Merchandising'!$A:$D,4,)</f>
        <v/>
      </c>
      <c r="S68" s="52">
        <f>VLOOKUP(B68,'Gas Station'!$A:$D,3,)</f>
        <v/>
      </c>
      <c r="T68" s="53">
        <f>VLOOKUP(B68,'Gas Station'!$A:$D,4,)</f>
        <v/>
      </c>
      <c r="U68" s="52">
        <f>VLOOKUP(B68,Housing!$A:$D,3,)</f>
        <v/>
      </c>
      <c r="V68" s="53">
        <f>VLOOKUP(B68,Housing!$A:$D,4,)</f>
        <v/>
      </c>
      <c r="W68" s="52">
        <f>VLOOKUP(B68,Health!$A:$D,3,)</f>
        <v/>
      </c>
      <c r="X68" s="53">
        <f>VLOOKUP(B68,Health!$A:$D,4,)</f>
        <v/>
      </c>
      <c r="Y68" s="52">
        <f>VLOOKUP(B68,'Clothing and clothing access'!$A:$D,3,)</f>
        <v/>
      </c>
      <c r="Z68" s="53">
        <f>VLOOKUP(B68,'Clothing and clothing access'!$A:$D,4,)</f>
        <v/>
      </c>
      <c r="AA68" s="52">
        <f>VLOOKUP(B68,'Furniture Home'!$A:$D,3,)</f>
        <v/>
      </c>
      <c r="AB68" s="53">
        <f>VLOOKUP(B68,'Furniture Home'!$A:$D,4,)</f>
        <v/>
      </c>
      <c r="AC68" s="52">
        <f>VLOOKUP(B68,'Miscellaneous stores retailers'!$A:$D,3,)</f>
        <v/>
      </c>
      <c r="AD68" s="53">
        <f>VLOOKUP(B68,'Miscellaneous stores retailers'!$A:$D,4,)</f>
        <v/>
      </c>
      <c r="AE68" s="52">
        <f>VLOOKUP(B68,'Sporting Goods'!$A:$D,3,)</f>
        <v/>
      </c>
      <c r="AF68" s="53">
        <f>VLOOKUP(B68,'Sporting Goods'!$A:$D,4,)</f>
        <v/>
      </c>
    </row>
    <row r="69">
      <c r="B69" s="56" t="n">
        <v>44927</v>
      </c>
      <c r="C69" s="52">
        <f>VLOOKUP(B69,'Retail Sales'!A:D,3,)</f>
        <v/>
      </c>
      <c r="D69" s="53">
        <f>VLOOKUP(B69,'Retail Sales'!A:D,4,)</f>
        <v/>
      </c>
      <c r="E69" s="52">
        <f>VLOOKUP(B69,'Retail Sales ex Auto'!$A:$D,3,)</f>
        <v/>
      </c>
      <c r="F69" s="53">
        <f>VLOOKUP(B69,'Retail Sales ex Auto'!$A:$D,4,)</f>
        <v/>
      </c>
      <c r="G69" s="52">
        <f>VLOOKUP(B69,'Retail Sales ex Auto and Gas'!$A:$D,3,)</f>
        <v/>
      </c>
      <c r="H69" s="53">
        <f>VLOOKUP(B69,'Retail Sales ex Auto and Gas'!$A:$D,4,)</f>
        <v/>
      </c>
      <c r="I69" s="52">
        <f>VLOOKUP(B69,Motor!$A:$D,3,)</f>
        <v/>
      </c>
      <c r="J69" s="53">
        <f>VLOOKUP(B69,Motor!$A:$D,4,)</f>
        <v/>
      </c>
      <c r="K69" s="52">
        <f>VLOOKUP(B69,'Non Store Retail'!$A:$D,3,)</f>
        <v/>
      </c>
      <c r="L69" s="53">
        <f>VLOOKUP(B69,'Non Store Retail'!$A:$D,4,)</f>
        <v/>
      </c>
      <c r="M69" s="52">
        <f>VLOOKUP(B69,'Food and Beverage'!$A:$D,3,)</f>
        <v/>
      </c>
      <c r="N69" s="52">
        <f>VLOOKUP(B69,'Food and Beverage'!$A:$D,4,)</f>
        <v/>
      </c>
      <c r="O69" s="52">
        <f>VLOOKUP(B69,'Food Services'!$A:$D,3,)</f>
        <v/>
      </c>
      <c r="P69" s="53">
        <f>VLOOKUP(B69,'Food Services'!$A:$D,4,)</f>
        <v/>
      </c>
      <c r="Q69" s="52">
        <f>VLOOKUP(B69,'General Merchandising'!$A:$D,3,)</f>
        <v/>
      </c>
      <c r="R69" s="53">
        <f>VLOOKUP(B69,'General Merchandising'!$A:$D,4,)</f>
        <v/>
      </c>
      <c r="S69" s="52">
        <f>VLOOKUP(B69,'Gas Station'!$A:$D,3,)</f>
        <v/>
      </c>
      <c r="T69" s="53">
        <f>VLOOKUP(B69,'Gas Station'!$A:$D,4,)</f>
        <v/>
      </c>
      <c r="U69" s="52">
        <f>VLOOKUP(B69,Housing!$A:$D,3,)</f>
        <v/>
      </c>
      <c r="V69" s="53">
        <f>VLOOKUP(B69,Housing!$A:$D,4,)</f>
        <v/>
      </c>
      <c r="W69" s="52">
        <f>VLOOKUP(B69,Health!$A:$D,3,)</f>
        <v/>
      </c>
      <c r="X69" s="53">
        <f>VLOOKUP(B69,Health!$A:$D,4,)</f>
        <v/>
      </c>
      <c r="Y69" s="52">
        <f>VLOOKUP(B69,'Clothing and clothing access'!$A:$D,3,)</f>
        <v/>
      </c>
      <c r="Z69" s="53">
        <f>VLOOKUP(B69,'Clothing and clothing access'!$A:$D,4,)</f>
        <v/>
      </c>
      <c r="AA69" s="52">
        <f>VLOOKUP(B69,'Furniture Home'!$A:$D,3,)</f>
        <v/>
      </c>
      <c r="AB69" s="53">
        <f>VLOOKUP(B69,'Furniture Home'!$A:$D,4,)</f>
        <v/>
      </c>
      <c r="AC69" s="52">
        <f>VLOOKUP(B69,'Miscellaneous stores retailers'!$A:$D,3,)</f>
        <v/>
      </c>
      <c r="AD69" s="53">
        <f>VLOOKUP(B69,'Miscellaneous stores retailers'!$A:$D,4,)</f>
        <v/>
      </c>
      <c r="AE69" s="52">
        <f>VLOOKUP(B69,'Sporting Goods'!$A:$D,3,)</f>
        <v/>
      </c>
      <c r="AF69" s="53">
        <f>VLOOKUP(B69,'Sporting Goods'!$A:$D,4,)</f>
        <v/>
      </c>
    </row>
    <row r="70">
      <c r="B70" s="56" t="n">
        <v>44958</v>
      </c>
      <c r="C70" s="52">
        <f>VLOOKUP(B70,'Retail Sales'!A:D,3,)</f>
        <v/>
      </c>
      <c r="D70" s="53">
        <f>VLOOKUP(B70,'Retail Sales'!A:D,4,)</f>
        <v/>
      </c>
      <c r="E70" s="52">
        <f>VLOOKUP(B70,'Retail Sales ex Auto'!$A:$D,3,)</f>
        <v/>
      </c>
      <c r="F70" s="53">
        <f>VLOOKUP(B70,'Retail Sales ex Auto'!$A:$D,4,)</f>
        <v/>
      </c>
      <c r="G70" s="52">
        <f>VLOOKUP(B70,'Retail Sales ex Auto and Gas'!$A:$D,3,)</f>
        <v/>
      </c>
      <c r="H70" s="53">
        <f>VLOOKUP(B70,'Retail Sales ex Auto and Gas'!$A:$D,4,)</f>
        <v/>
      </c>
      <c r="I70" s="52">
        <f>VLOOKUP(B70,Motor!$A:$D,3,)</f>
        <v/>
      </c>
      <c r="J70" s="53">
        <f>VLOOKUP(B70,Motor!$A:$D,4,)</f>
        <v/>
      </c>
      <c r="K70" s="52">
        <f>VLOOKUP(B70,'Non Store Retail'!$A:$D,3,)</f>
        <v/>
      </c>
      <c r="L70" s="53">
        <f>VLOOKUP(B70,'Non Store Retail'!$A:$D,4,)</f>
        <v/>
      </c>
      <c r="M70" s="52">
        <f>VLOOKUP(B70,'Food and Beverage'!$A:$D,3,)</f>
        <v/>
      </c>
      <c r="N70" s="52">
        <f>VLOOKUP(B70,'Food and Beverage'!$A:$D,4,)</f>
        <v/>
      </c>
      <c r="O70" s="52">
        <f>VLOOKUP(B70,'Food Services'!$A:$D,3,)</f>
        <v/>
      </c>
      <c r="P70" s="53">
        <f>VLOOKUP(B70,'Food Services'!$A:$D,4,)</f>
        <v/>
      </c>
      <c r="Q70" s="52">
        <f>VLOOKUP(B70,'General Merchandising'!$A:$D,3,)</f>
        <v/>
      </c>
      <c r="R70" s="53">
        <f>VLOOKUP(B70,'General Merchandising'!$A:$D,4,)</f>
        <v/>
      </c>
      <c r="S70" s="52">
        <f>VLOOKUP(B70,'Gas Station'!$A:$D,3,)</f>
        <v/>
      </c>
      <c r="T70" s="53">
        <f>VLOOKUP(B70,'Gas Station'!$A:$D,4,)</f>
        <v/>
      </c>
      <c r="U70" s="52">
        <f>VLOOKUP(B70,Housing!$A:$D,3,)</f>
        <v/>
      </c>
      <c r="V70" s="53">
        <f>VLOOKUP(B70,Housing!$A:$D,4,)</f>
        <v/>
      </c>
      <c r="W70" s="52">
        <f>VLOOKUP(B70,Health!$A:$D,3,)</f>
        <v/>
      </c>
      <c r="X70" s="53">
        <f>VLOOKUP(B70,Health!$A:$D,4,)</f>
        <v/>
      </c>
      <c r="Y70" s="52">
        <f>VLOOKUP(B70,'Clothing and clothing access'!$A:$D,3,)</f>
        <v/>
      </c>
      <c r="Z70" s="53">
        <f>VLOOKUP(B70,'Clothing and clothing access'!$A:$D,4,)</f>
        <v/>
      </c>
      <c r="AA70" s="52">
        <f>VLOOKUP(B70,'Furniture Home'!$A:$D,3,)</f>
        <v/>
      </c>
      <c r="AB70" s="53">
        <f>VLOOKUP(B70,'Furniture Home'!$A:$D,4,)</f>
        <v/>
      </c>
      <c r="AC70" s="52">
        <f>VLOOKUP(B70,'Miscellaneous stores retailers'!$A:$D,3,)</f>
        <v/>
      </c>
      <c r="AD70" s="53">
        <f>VLOOKUP(B70,'Miscellaneous stores retailers'!$A:$D,4,)</f>
        <v/>
      </c>
      <c r="AE70" s="52">
        <f>VLOOKUP(B70,'Sporting Goods'!$A:$D,3,)</f>
        <v/>
      </c>
      <c r="AF70" s="53">
        <f>VLOOKUP(B70,'Sporting Goods'!$A:$D,4,)</f>
        <v/>
      </c>
    </row>
    <row r="71">
      <c r="B71" s="56" t="n">
        <v>44986</v>
      </c>
      <c r="C71" s="52">
        <f>VLOOKUP(B71,'Retail Sales'!A:D,3,)</f>
        <v/>
      </c>
      <c r="D71" s="53">
        <f>VLOOKUP(B71,'Retail Sales'!A:D,4,)</f>
        <v/>
      </c>
      <c r="E71" s="52">
        <f>VLOOKUP(B71,'Retail Sales ex Auto'!$A:$D,3,)</f>
        <v/>
      </c>
      <c r="F71" s="53">
        <f>VLOOKUP(B71,'Retail Sales ex Auto'!$A:$D,4,)</f>
        <v/>
      </c>
      <c r="G71" s="52">
        <f>VLOOKUP(B71,'Retail Sales ex Auto and Gas'!$A:$D,3,)</f>
        <v/>
      </c>
      <c r="H71" s="53">
        <f>VLOOKUP(B71,'Retail Sales ex Auto and Gas'!$A:$D,4,)</f>
        <v/>
      </c>
      <c r="I71" s="52">
        <f>VLOOKUP(B71,Motor!$A:$D,3,)</f>
        <v/>
      </c>
      <c r="J71" s="53">
        <f>VLOOKUP(B71,Motor!$A:$D,4,)</f>
        <v/>
      </c>
      <c r="K71" s="52">
        <f>VLOOKUP(B71,'Non Store Retail'!$A:$D,3,)</f>
        <v/>
      </c>
      <c r="L71" s="53">
        <f>VLOOKUP(B71,'Non Store Retail'!$A:$D,4,)</f>
        <v/>
      </c>
      <c r="M71" s="52">
        <f>VLOOKUP(B71,'Food and Beverage'!$A:$D,3,)</f>
        <v/>
      </c>
      <c r="N71" s="52">
        <f>VLOOKUP(B71,'Food and Beverage'!$A:$D,4,)</f>
        <v/>
      </c>
      <c r="O71" s="52">
        <f>VLOOKUP(B71,'Food Services'!$A:$D,3,)</f>
        <v/>
      </c>
      <c r="P71" s="53">
        <f>VLOOKUP(B71,'Food Services'!$A:$D,4,)</f>
        <v/>
      </c>
      <c r="Q71" s="52">
        <f>VLOOKUP(B71,'General Merchandising'!$A:$D,3,)</f>
        <v/>
      </c>
      <c r="R71" s="53">
        <f>VLOOKUP(B71,'General Merchandising'!$A:$D,4,)</f>
        <v/>
      </c>
      <c r="S71" s="52">
        <f>VLOOKUP(B71,'Gas Station'!$A:$D,3,)</f>
        <v/>
      </c>
      <c r="T71" s="53">
        <f>VLOOKUP(B71,'Gas Station'!$A:$D,4,)</f>
        <v/>
      </c>
      <c r="U71" s="52">
        <f>VLOOKUP(B71,Housing!$A:$D,3,)</f>
        <v/>
      </c>
      <c r="V71" s="53">
        <f>VLOOKUP(B71,Housing!$A:$D,4,)</f>
        <v/>
      </c>
      <c r="W71" s="52">
        <f>VLOOKUP(B71,Health!$A:$D,3,)</f>
        <v/>
      </c>
      <c r="X71" s="53">
        <f>VLOOKUP(B71,Health!$A:$D,4,)</f>
        <v/>
      </c>
      <c r="Y71" s="52">
        <f>VLOOKUP(B71,'Clothing and clothing access'!$A:$D,3,)</f>
        <v/>
      </c>
      <c r="Z71" s="53">
        <f>VLOOKUP(B71,'Clothing and clothing access'!$A:$D,4,)</f>
        <v/>
      </c>
      <c r="AA71" s="52">
        <f>VLOOKUP(B71,'Furniture Home'!$A:$D,3,)</f>
        <v/>
      </c>
      <c r="AB71" s="53">
        <f>VLOOKUP(B71,'Furniture Home'!$A:$D,4,)</f>
        <v/>
      </c>
      <c r="AC71" s="52">
        <f>VLOOKUP(B71,'Miscellaneous stores retailers'!$A:$D,3,)</f>
        <v/>
      </c>
      <c r="AD71" s="53">
        <f>VLOOKUP(B71,'Miscellaneous stores retailers'!$A:$D,4,)</f>
        <v/>
      </c>
      <c r="AE71" s="52">
        <f>VLOOKUP(B71,'Sporting Goods'!$A:$D,3,)</f>
        <v/>
      </c>
      <c r="AF71" s="53">
        <f>VLOOKUP(B71,'Sporting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C3:C71">
    <cfRule type="colorScale" priority="243">
      <colorScale>
        <cfvo type="min"/>
        <cfvo type="percentile" val="50"/>
        <cfvo type="max"/>
        <color rgb="FFF8696B"/>
        <color rgb="FFFFEB84"/>
        <color rgb="FF63BE7B"/>
      </colorScale>
    </cfRule>
  </conditionalFormatting>
  <conditionalFormatting sqref="D3">
    <cfRule type="colorScale" priority="153">
      <colorScale>
        <cfvo type="min"/>
        <cfvo type="percentile" val="50"/>
        <cfvo type="max"/>
        <color rgb="FFF8696B"/>
        <color rgb="FFFFEB84"/>
        <color rgb="FF63BE7B"/>
      </colorScale>
    </cfRule>
  </conditionalFormatting>
  <conditionalFormatting sqref="D4:D71">
    <cfRule type="colorScale" priority="244">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E4:E71">
    <cfRule type="colorScale" priority="245">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F4:F71">
    <cfRule type="colorScale" priority="246">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G4:G71">
    <cfRule type="colorScale" priority="24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H4:H71">
    <cfRule type="colorScale" priority="248">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I4:I71">
    <cfRule type="colorScale" priority="249">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J4:J71">
    <cfRule type="colorScale" priority="2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K4:K71">
    <cfRule type="colorScale" priority="251">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L4:L71">
    <cfRule type="colorScale" priority="252">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M4:M71">
    <cfRule type="colorScale" priority="253">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N4:N71">
    <cfRule type="colorScale" priority="27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O4:O71">
    <cfRule type="colorScale" priority="254">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P4:P71">
    <cfRule type="colorScale" priority="255">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Q4:Q71">
    <cfRule type="colorScale" priority="256">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R4:R71">
    <cfRule type="colorScale" priority="257">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S4:S71">
    <cfRule type="colorScale" priority="258">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T4:T71">
    <cfRule type="colorScale" priority="259">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U4:U71">
    <cfRule type="colorScale" priority="260">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V4:V71">
    <cfRule type="colorScale" priority="261">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W4:W71">
    <cfRule type="colorScale" priority="262">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X4:X71">
    <cfRule type="colorScale" priority="265">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Y4:Y71">
    <cfRule type="colorScale" priority="268">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Z4:Z71">
    <cfRule type="colorScale" priority="269">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A4:AA71">
    <cfRule type="colorScale" priority="270">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B4:AB71">
    <cfRule type="colorScale" priority="271">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C4:AC71">
    <cfRule type="colorScale" priority="272">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D4:AD71">
    <cfRule type="colorScale" priority="273">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AE4:AE71">
    <cfRule type="colorScale" priority="274">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F4:AF71">
    <cfRule type="colorScale" priority="27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8"/>
  <sheetViews>
    <sheetView zoomScale="80" zoomScaleNormal="80" workbookViewId="0">
      <pane ySplit="6" topLeftCell="A358" activePane="bottomLeft" state="frozen"/>
      <selection pane="bottomLeft" activeCell="A373" sqref="A373:D381"/>
    </sheetView>
  </sheetViews>
  <sheetFormatPr baseColWidth="8" defaultColWidth="8.81640625" defaultRowHeight="14.5"/>
  <cols>
    <col width="14" customWidth="1" min="1" max="1"/>
    <col width="17.6328125" customWidth="1" min="2" max="2"/>
    <col width="14.36328125" customWidth="1" min="3" max="3"/>
    <col width="14.1796875" customWidth="1" min="4" max="4"/>
    <col width="9.1796875" customWidth="1" style="113" min="5" max="53"/>
  </cols>
  <sheetData>
    <row r="1" customFormat="1" s="113">
      <c r="A1" s="26" t="inlineStr">
        <is>
          <t>MARTSSM44W72USS</t>
        </is>
      </c>
      <c r="B1" s="27" t="inlineStr">
        <is>
          <t>Advance Retail Sales: Retail Trade and Food Services, Excluding Motor Vehicle and Parts Dealers and Gasoline Stations (MARTSMPCSM44W72USS)</t>
        </is>
      </c>
      <c r="I1" s="21" t="n"/>
      <c r="J1" s="21" t="n"/>
      <c r="L1" s="113" t="inlineStr">
        <is>
          <t>mom</t>
        </is>
      </c>
      <c r="M1" s="113" t="inlineStr">
        <is>
          <t>yoy</t>
        </is>
      </c>
    </row>
    <row r="2" customFormat="1" s="113">
      <c r="A2" s="128" t="inlineStr">
        <is>
          <t>https://fred.stlouisfed.org/series/MARTSMPCSM44W72USS</t>
        </is>
      </c>
      <c r="I2" s="21" t="n"/>
      <c r="J2" s="21" t="n"/>
      <c r="L2" s="28">
        <f>MAX(C8:C335)</f>
        <v/>
      </c>
      <c r="M2" s="28">
        <f>MAX(D8:D335)</f>
        <v/>
      </c>
    </row>
    <row r="3" customFormat="1" s="113">
      <c r="A3" s="128" t="n"/>
      <c r="I3" s="21" t="n"/>
      <c r="J3" s="21" t="n"/>
      <c r="L3" s="28">
        <f>MIN(C8:C335)</f>
        <v/>
      </c>
      <c r="M3" s="28">
        <f>MIN(D8:D335)</f>
        <v/>
      </c>
    </row>
    <row r="4" customFormat="1" s="113">
      <c r="A4" s="128" t="n"/>
      <c r="I4" s="21" t="n"/>
      <c r="J4" s="21" t="n"/>
      <c r="L4" s="28" t="n"/>
      <c r="M4" s="28" t="n"/>
    </row>
    <row r="5" customFormat="1" s="113">
      <c r="C5" s="113" t="inlineStr">
        <is>
          <t>https://tradingeconomics.com/united-states/retail-sales</t>
        </is>
      </c>
      <c r="D5" s="113"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3">
      <c r="A336" s="11" t="n">
        <v>43617</v>
      </c>
      <c r="B336" s="15">
        <f>VLOOKUP(A336,Database!A:M,MATCH($A$1,Database!$A$1:$M$1,),)</f>
        <v/>
      </c>
      <c r="C336" s="12">
        <f>(B336-B335)/B335</f>
        <v/>
      </c>
      <c r="D336" s="13">
        <f>(B336-B324)/B324</f>
        <v/>
      </c>
    </row>
    <row r="337" customFormat="1" s="113">
      <c r="A337" s="10" t="n">
        <v>43647</v>
      </c>
      <c r="B337" s="15">
        <f>VLOOKUP(A337,Database!A:M,MATCH($A$1,Database!$A$1:$M$1,),)</f>
        <v/>
      </c>
      <c r="C337" s="12">
        <f>(B337-B336)/B336</f>
        <v/>
      </c>
      <c r="D337" s="13">
        <f>(B337-B325)/B325</f>
        <v/>
      </c>
    </row>
    <row r="338" customFormat="1" s="113">
      <c r="A338" s="11" t="n">
        <v>43678</v>
      </c>
      <c r="B338" s="15">
        <f>VLOOKUP(A338,Database!A:M,MATCH($A$1,Database!$A$1:$M$1,),)</f>
        <v/>
      </c>
      <c r="C338" s="12">
        <f>(B338-B337)/B337</f>
        <v/>
      </c>
      <c r="D338" s="13">
        <f>(B338-B326)/B326</f>
        <v/>
      </c>
    </row>
    <row r="339" customFormat="1" s="113">
      <c r="A339" s="10" t="n">
        <v>43709</v>
      </c>
      <c r="B339" s="15">
        <f>VLOOKUP(A339,Database!A:M,MATCH($A$1,Database!$A$1:$M$1,),)</f>
        <v/>
      </c>
      <c r="C339" s="12">
        <f>(B339-B338)/B338</f>
        <v/>
      </c>
      <c r="D339" s="13">
        <f>(B339-B327)/B327</f>
        <v/>
      </c>
    </row>
    <row r="340" customFormat="1" s="113">
      <c r="A340" s="11" t="n">
        <v>43739</v>
      </c>
      <c r="B340" s="15">
        <f>VLOOKUP(A340,Database!A:M,MATCH($A$1,Database!$A$1:$M$1,),)</f>
        <v/>
      </c>
      <c r="C340" s="12">
        <f>(B340-B339)/B339</f>
        <v/>
      </c>
      <c r="D340" s="13">
        <f>(B340-B328)/B328</f>
        <v/>
      </c>
    </row>
    <row r="341" customFormat="1" s="113">
      <c r="A341" s="10" t="n">
        <v>43770</v>
      </c>
      <c r="B341" s="15">
        <f>VLOOKUP(A341,Database!A:M,MATCH($A$1,Database!$A$1:$M$1,),)</f>
        <v/>
      </c>
      <c r="C341" s="12">
        <f>(B341-B340)/B340</f>
        <v/>
      </c>
      <c r="D341" s="13">
        <f>(B341-B329)/B329</f>
        <v/>
      </c>
    </row>
    <row r="342" customFormat="1" s="113">
      <c r="A342" s="11" t="n">
        <v>43800</v>
      </c>
      <c r="B342" s="15">
        <f>VLOOKUP(A342,Database!A:M,MATCH($A$1,Database!$A$1:$M$1,),)</f>
        <v/>
      </c>
      <c r="C342" s="12">
        <f>(B342-B341)/B341</f>
        <v/>
      </c>
      <c r="D342" s="13">
        <f>(B342-B330)/B330</f>
        <v/>
      </c>
    </row>
    <row r="343" customFormat="1" s="113">
      <c r="A343" s="10" t="n">
        <v>43831</v>
      </c>
      <c r="B343" s="15">
        <f>VLOOKUP(A343,Database!A:M,MATCH($A$1,Database!$A$1:$M$1,),)</f>
        <v/>
      </c>
      <c r="C343" s="12">
        <f>(B343-B342)/B342</f>
        <v/>
      </c>
      <c r="D343" s="13">
        <f>(B343-B331)/B331</f>
        <v/>
      </c>
    </row>
    <row r="344" customFormat="1" s="113">
      <c r="A344" s="11" t="n">
        <v>43862</v>
      </c>
      <c r="B344" s="15">
        <f>VLOOKUP(A344,Database!A:M,MATCH($A$1,Database!$A$1:$M$1,),)</f>
        <v/>
      </c>
      <c r="C344" s="12">
        <f>(B344-B343)/B343</f>
        <v/>
      </c>
      <c r="D344" s="13">
        <f>(B344-B332)/B332</f>
        <v/>
      </c>
    </row>
    <row r="345" customFormat="1" s="113">
      <c r="A345" s="10" t="n">
        <v>43891</v>
      </c>
      <c r="B345" s="15">
        <f>VLOOKUP(A345,Database!A:M,MATCH($A$1,Database!$A$1:$M$1,),)</f>
        <v/>
      </c>
      <c r="C345" s="12">
        <f>(B345-B344)/B344</f>
        <v/>
      </c>
      <c r="D345" s="13">
        <f>(B345-B333)/B333</f>
        <v/>
      </c>
    </row>
    <row r="346" customFormat="1" s="113">
      <c r="A346" s="11" t="n">
        <v>43922</v>
      </c>
      <c r="B346" s="15">
        <f>VLOOKUP(A346,Database!A:M,MATCH($A$1,Database!$A$1:$M$1,),)</f>
        <v/>
      </c>
      <c r="C346" s="12">
        <f>(B346-B345)/B345</f>
        <v/>
      </c>
      <c r="D346" s="13">
        <f>(B346-B334)/B334</f>
        <v/>
      </c>
    </row>
    <row r="347" customFormat="1" s="113">
      <c r="A347" s="10" t="n">
        <v>43952</v>
      </c>
      <c r="B347" s="15">
        <f>VLOOKUP(A347,Database!A:M,MATCH($A$1,Database!$A$1:$M$1,),)</f>
        <v/>
      </c>
      <c r="C347" s="12">
        <f>(B347-B346)/B346</f>
        <v/>
      </c>
      <c r="D347" s="13">
        <f>(B347-B335)/B335</f>
        <v/>
      </c>
    </row>
    <row r="348" customFormat="1" s="113">
      <c r="A348" s="11" t="n">
        <v>43983</v>
      </c>
      <c r="B348" s="15">
        <f>VLOOKUP(A348,Database!A:M,MATCH($A$1,Database!$A$1:$M$1,),)</f>
        <v/>
      </c>
      <c r="C348" s="12">
        <f>(B348-B347)/B347</f>
        <v/>
      </c>
      <c r="D348" s="13">
        <f>(B348-B336)/B336</f>
        <v/>
      </c>
    </row>
    <row r="349" customFormat="1" s="113">
      <c r="A349" s="10" t="n">
        <v>44013</v>
      </c>
      <c r="B349" s="15">
        <f>VLOOKUP(A349,Database!A:M,MATCH($A$1,Database!$A$1:$M$1,),)</f>
        <v/>
      </c>
      <c r="C349" s="12">
        <f>(B349-B348)/B348</f>
        <v/>
      </c>
      <c r="D349" s="13">
        <f>(B349-B337)/B337</f>
        <v/>
      </c>
    </row>
    <row r="350" customFormat="1" s="113">
      <c r="A350" s="11" t="n">
        <v>44044</v>
      </c>
      <c r="B350" s="15">
        <f>VLOOKUP(A350,Database!A:M,MATCH($A$1,Database!$A$1:$M$1,),)</f>
        <v/>
      </c>
      <c r="C350" s="12">
        <f>(B350-B349)/B349</f>
        <v/>
      </c>
      <c r="D350" s="13">
        <f>(B350-B338)/B338</f>
        <v/>
      </c>
    </row>
    <row r="351" customFormat="1" s="113">
      <c r="A351" s="10" t="n">
        <v>44075</v>
      </c>
      <c r="B351" s="15">
        <f>VLOOKUP(A351,Database!A:M,MATCH($A$1,Database!$A$1:$M$1,),)</f>
        <v/>
      </c>
      <c r="C351" s="12">
        <f>(B351-B350)/B350</f>
        <v/>
      </c>
      <c r="D351" s="13">
        <f>(B351-B339)/B339</f>
        <v/>
      </c>
    </row>
    <row r="352" customFormat="1" s="113">
      <c r="A352" s="11" t="n">
        <v>44105</v>
      </c>
      <c r="B352" s="15">
        <f>VLOOKUP(A352,Database!A:M,MATCH($A$1,Database!$A$1:$M$1,),)</f>
        <v/>
      </c>
      <c r="C352" s="12">
        <f>(B352-B351)/B351</f>
        <v/>
      </c>
      <c r="D352" s="13">
        <f>(B352-B340)/B340</f>
        <v/>
      </c>
    </row>
    <row r="353" customFormat="1" s="113">
      <c r="A353" s="10" t="n">
        <v>44136</v>
      </c>
      <c r="B353" s="15">
        <f>VLOOKUP(A353,Database!A:M,MATCH($A$1,Database!$A$1:$M$1,),)</f>
        <v/>
      </c>
      <c r="C353" s="12">
        <f>(B353-B352)/B352</f>
        <v/>
      </c>
      <c r="D353" s="13">
        <f>(B353-B341)/B341</f>
        <v/>
      </c>
    </row>
    <row r="354" customFormat="1" s="113">
      <c r="A354" s="11" t="n">
        <v>44166</v>
      </c>
      <c r="B354" s="15">
        <f>VLOOKUP(A354,Database!A:M,MATCH($A$1,Database!$A$1:$M$1,),)</f>
        <v/>
      </c>
      <c r="C354" s="12">
        <f>(B354-B353)/B353</f>
        <v/>
      </c>
      <c r="D354" s="13">
        <f>(B354-B342)/B342</f>
        <v/>
      </c>
    </row>
    <row r="355" customFormat="1" s="113">
      <c r="A355" s="10" t="n">
        <v>44197</v>
      </c>
      <c r="B355" s="15">
        <f>VLOOKUP(A355,Database!A:M,MATCH($A$1,Database!$A$1:$M$1,),)</f>
        <v/>
      </c>
      <c r="C355" s="12">
        <f>(B355-B354)/B354</f>
        <v/>
      </c>
      <c r="D355" s="13">
        <f>(B355-B343)/B343</f>
        <v/>
      </c>
    </row>
    <row r="356" customFormat="1" s="113">
      <c r="A356" s="11" t="n">
        <v>44228</v>
      </c>
      <c r="B356" s="15">
        <f>VLOOKUP(A356,Database!A:M,MATCH($A$1,Database!$A$1:$M$1,),)</f>
        <v/>
      </c>
      <c r="C356" s="12">
        <f>(B356-B355)/B355</f>
        <v/>
      </c>
      <c r="D356" s="13">
        <f>(B356-B344)/B344</f>
        <v/>
      </c>
    </row>
    <row r="357" customFormat="1" s="113">
      <c r="A357" s="10" t="n">
        <v>44256</v>
      </c>
      <c r="B357" s="15">
        <f>VLOOKUP(A357,Database!A:M,MATCH($A$1,Database!$A$1:$M$1,),)</f>
        <v/>
      </c>
      <c r="C357" s="12">
        <f>(B357-B356)/B356</f>
        <v/>
      </c>
      <c r="D357" s="13">
        <f>(B357-B345)/B345</f>
        <v/>
      </c>
    </row>
    <row r="358" customFormat="1" s="113">
      <c r="A358" s="11" t="n">
        <v>44287</v>
      </c>
      <c r="B358" s="15">
        <f>VLOOKUP(A358,Database!A:M,MATCH($A$1,Database!$A$1:$M$1,),)</f>
        <v/>
      </c>
      <c r="C358" s="12">
        <f>(B358-B357)/B357</f>
        <v/>
      </c>
      <c r="D358" s="13">
        <f>(B358-B346)/B346</f>
        <v/>
      </c>
    </row>
    <row r="359" customFormat="1" s="113">
      <c r="A359" s="10" t="n">
        <v>44317</v>
      </c>
      <c r="B359" s="15">
        <f>VLOOKUP(A359,Database!A:M,MATCH($A$1,Database!$A$1:$M$1,),)</f>
        <v/>
      </c>
      <c r="C359" s="12">
        <f>(B359-B358)/B358</f>
        <v/>
      </c>
      <c r="D359" s="13">
        <f>(B359-B347)/B347</f>
        <v/>
      </c>
    </row>
    <row r="360" customFormat="1" s="113">
      <c r="A360" s="11" t="n">
        <v>44348</v>
      </c>
      <c r="B360" s="15">
        <f>VLOOKUP(A360,Database!A:M,MATCH($A$1,Database!$A$1:$M$1,),)</f>
        <v/>
      </c>
      <c r="C360" s="12">
        <f>(B360-B359)/B359</f>
        <v/>
      </c>
      <c r="D360" s="13">
        <f>(B360-B348)/B348</f>
        <v/>
      </c>
    </row>
    <row r="361" customFormat="1" s="113">
      <c r="A361" s="10" t="n">
        <v>44378</v>
      </c>
      <c r="B361" s="15">
        <f>VLOOKUP(A361,Database!A:M,MATCH($A$1,Database!$A$1:$M$1,),)</f>
        <v/>
      </c>
      <c r="C361" s="12">
        <f>(B361-B360)/B360</f>
        <v/>
      </c>
      <c r="D361" s="13">
        <f>(B361-B349)/B349</f>
        <v/>
      </c>
    </row>
    <row r="362" customFormat="1" s="113">
      <c r="A362" s="11" t="n">
        <v>44409</v>
      </c>
      <c r="B362" s="15">
        <f>VLOOKUP(A362,Database!A:M,MATCH($A$1,Database!$A$1:$M$1,),)</f>
        <v/>
      </c>
      <c r="C362" s="12">
        <f>(B362-B361)/B361</f>
        <v/>
      </c>
      <c r="D362" s="13">
        <f>(B362-B350)/B350</f>
        <v/>
      </c>
    </row>
    <row r="363" customFormat="1" s="113">
      <c r="A363" s="11" t="n">
        <v>44440</v>
      </c>
      <c r="B363" s="15">
        <f>VLOOKUP(A363,Database!A:M,MATCH($A$1,Database!$A$1:$M$1,),)</f>
        <v/>
      </c>
      <c r="C363" s="12">
        <f>(B363-B362)/B362</f>
        <v/>
      </c>
      <c r="D363" s="13">
        <f>(B363-B351)/B351</f>
        <v/>
      </c>
    </row>
    <row r="364" customFormat="1" s="113">
      <c r="A364" s="10" t="n">
        <v>44470</v>
      </c>
      <c r="B364" s="15">
        <f>VLOOKUP(A364,Database!A:M,MATCH($A$1,Database!$A$1:$M$1,),)</f>
        <v/>
      </c>
      <c r="C364" s="12">
        <f>(B364-B363)/B363</f>
        <v/>
      </c>
      <c r="D364" s="13">
        <f>(B364-B352)/B352</f>
        <v/>
      </c>
    </row>
    <row r="365" customFormat="1" s="113">
      <c r="A365" s="11" t="n">
        <v>44501</v>
      </c>
      <c r="B365" s="15">
        <f>VLOOKUP(A365,Database!A:M,MATCH($A$1,Database!$A$1:$M$1,),)</f>
        <v/>
      </c>
      <c r="C365" s="12">
        <f>(B365-B364)/B364</f>
        <v/>
      </c>
      <c r="D365" s="13">
        <f>(B365-B353)/B353</f>
        <v/>
      </c>
    </row>
    <row r="366" customFormat="1" s="113">
      <c r="A366" s="11" t="n">
        <v>44531</v>
      </c>
      <c r="B366" s="15">
        <f>VLOOKUP(A366,Database!A:M,MATCH($A$1,Database!$A$1:$M$1,),)</f>
        <v/>
      </c>
      <c r="C366" s="12">
        <f>(B366-B365)/B365</f>
        <v/>
      </c>
      <c r="D366" s="13">
        <f>(B366-B354)/B354</f>
        <v/>
      </c>
    </row>
    <row r="367" customFormat="1" s="113">
      <c r="A367" s="11" t="n">
        <v>44562</v>
      </c>
      <c r="B367" s="15">
        <f>VLOOKUP(A367,Database!A:M,MATCH($A$1,Database!$A$1:$M$1,),)</f>
        <v/>
      </c>
      <c r="C367" s="12">
        <f>(B367-B366)/B366</f>
        <v/>
      </c>
      <c r="D367" s="13">
        <f>(B367-B355)/B355</f>
        <v/>
      </c>
    </row>
    <row r="368" customFormat="1" s="113">
      <c r="A368" s="11" t="n">
        <v>44593</v>
      </c>
      <c r="B368" s="15">
        <f>VLOOKUP(A368,Database!A:M,MATCH($A$1,Database!$A$1:$M$1,),)</f>
        <v/>
      </c>
      <c r="C368" s="12">
        <f>(B368-B367)/B367</f>
        <v/>
      </c>
      <c r="D368" s="13">
        <f>(B368-B356)/B356</f>
        <v/>
      </c>
    </row>
    <row r="369" customFormat="1" s="113">
      <c r="A369" s="11" t="n">
        <v>44621</v>
      </c>
      <c r="B369" s="15">
        <f>VLOOKUP(A369,Database!A:M,MATCH($A$1,Database!$A$1:$M$1,),)</f>
        <v/>
      </c>
      <c r="C369" s="12">
        <f>(B369-B368)/B368</f>
        <v/>
      </c>
      <c r="D369" s="13">
        <f>(B369-B357)/B357</f>
        <v/>
      </c>
    </row>
    <row r="370" customFormat="1" s="113">
      <c r="A370" s="10" t="n">
        <v>44652</v>
      </c>
      <c r="B370" s="15">
        <f>VLOOKUP(A370,Database!A:M,MATCH($A$1,Database!$A$1:$M$1,),)</f>
        <v/>
      </c>
      <c r="C370" s="12">
        <f>(B370-B369)/B369</f>
        <v/>
      </c>
      <c r="D370" s="13">
        <f>(B370-B358)/B358</f>
        <v/>
      </c>
    </row>
    <row r="371" customFormat="1" s="113">
      <c r="A371" s="11" t="n">
        <v>44682</v>
      </c>
      <c r="B371" s="15">
        <f>VLOOKUP(A371,Database!A:M,MATCH($A$1,Database!$A$1:$M$1,),)</f>
        <v/>
      </c>
      <c r="C371" s="12">
        <f>(B371-B370)/B370</f>
        <v/>
      </c>
      <c r="D371" s="13">
        <f>(B371-B359)/B359</f>
        <v/>
      </c>
    </row>
    <row r="372" customFormat="1" s="113">
      <c r="A372" s="11" t="n">
        <v>44713</v>
      </c>
      <c r="B372" s="15">
        <f>VLOOKUP(A372,Database!A:M,MATCH($A$1,Database!$A$1:$M$1,),)</f>
        <v/>
      </c>
      <c r="C372" s="12">
        <f>(B372-B371)/B371</f>
        <v/>
      </c>
      <c r="D372" s="13">
        <f>(B372-B360)/B360</f>
        <v/>
      </c>
    </row>
    <row r="373" customFormat="1" s="113">
      <c r="A373" s="11" t="n">
        <v>44743</v>
      </c>
      <c r="B373" s="15">
        <f>VLOOKUP(A373,Database!A:M,MATCH($A$1,Database!$A$1:$M$1,),)</f>
        <v/>
      </c>
      <c r="C373" s="12">
        <f>(B373-B372)/B372</f>
        <v/>
      </c>
      <c r="D373" s="13">
        <f>(B373-B361)/B361</f>
        <v/>
      </c>
    </row>
    <row r="374" customFormat="1" s="113">
      <c r="A374" s="11" t="n">
        <v>44774</v>
      </c>
      <c r="B374" s="15">
        <f>VLOOKUP(A374,Database!A:M,MATCH($A$1,Database!$A$1:$M$1,),)</f>
        <v/>
      </c>
      <c r="C374" s="12">
        <f>(B374-B373)/B373</f>
        <v/>
      </c>
      <c r="D374" s="13">
        <f>(B374-B362)/B362</f>
        <v/>
      </c>
    </row>
    <row r="375" customFormat="1" s="113">
      <c r="A375" s="11" t="n">
        <v>44805</v>
      </c>
      <c r="B375" s="15">
        <f>VLOOKUP(A375,Database!A:M,MATCH($A$1,Database!$A$1:$M$1,),)</f>
        <v/>
      </c>
      <c r="C375" s="12">
        <f>(B375-B374)/B374</f>
        <v/>
      </c>
      <c r="D375" s="13">
        <f>(B375-B363)/B363</f>
        <v/>
      </c>
    </row>
    <row r="376" customFormat="1" s="113">
      <c r="A376" s="11" t="n">
        <v>44835</v>
      </c>
      <c r="B376" s="15">
        <f>VLOOKUP(A376,Database!A:M,MATCH($A$1,Database!$A$1:$M$1,),)</f>
        <v/>
      </c>
      <c r="C376" s="12">
        <f>(B376-B375)/B375</f>
        <v/>
      </c>
      <c r="D376" s="13">
        <f>(B376-B364)/B364</f>
        <v/>
      </c>
    </row>
    <row r="377" customFormat="1" s="113">
      <c r="A377" s="11" t="n">
        <v>44866</v>
      </c>
      <c r="B377" s="15">
        <f>VLOOKUP(A377,Database!A:M,MATCH($A$1,Database!$A$1:$M$1,),)</f>
        <v/>
      </c>
      <c r="C377" s="12">
        <f>(B377-B376)/B376</f>
        <v/>
      </c>
      <c r="D377" s="13">
        <f>(B377-B365)/B365</f>
        <v/>
      </c>
    </row>
    <row r="378" customFormat="1" s="113">
      <c r="A378" s="11" t="n">
        <v>44896</v>
      </c>
      <c r="B378" s="15">
        <f>VLOOKUP(A378,Database!A:M,MATCH($A$1,Database!$A$1:$M$1,),)</f>
        <v/>
      </c>
      <c r="C378" s="12">
        <f>(B378-B377)/B377</f>
        <v/>
      </c>
      <c r="D378" s="13">
        <f>(B378-B366)/B366</f>
        <v/>
      </c>
    </row>
    <row r="379" customFormat="1" s="113">
      <c r="A379" s="11" t="n">
        <v>44927</v>
      </c>
      <c r="B379" s="15">
        <f>VLOOKUP(A379,Database!A:M,MATCH($A$1,Database!$A$1:$M$1,),)</f>
        <v/>
      </c>
      <c r="C379" s="12">
        <f>(B379-B378)/B378</f>
        <v/>
      </c>
      <c r="D379" s="13">
        <f>(B379-B367)/B367</f>
        <v/>
      </c>
    </row>
    <row r="380" customFormat="1" s="113">
      <c r="A380" s="11" t="n">
        <v>44958</v>
      </c>
      <c r="B380" s="15">
        <f>VLOOKUP(A380,Database!A:M,MATCH($A$1,Database!$A$1:$M$1,),)</f>
        <v/>
      </c>
      <c r="C380" s="12">
        <f>(B380-B379)/B379</f>
        <v/>
      </c>
      <c r="D380" s="13">
        <f>(B380-B368)/B368</f>
        <v/>
      </c>
    </row>
    <row r="381" customFormat="1" s="113">
      <c r="A381" s="11" t="n">
        <v>44986</v>
      </c>
      <c r="B381" s="15">
        <f>VLOOKUP(A381,Database!A:M,MATCH($A$1,Database!$A$1:$M$1,),)</f>
        <v/>
      </c>
      <c r="C381" s="12">
        <f>(B381-B380)/B380</f>
        <v/>
      </c>
      <c r="D381" s="13">
        <f>(B381-B369)/B369</f>
        <v/>
      </c>
    </row>
    <row r="382" customFormat="1" s="113"/>
    <row r="383" customFormat="1" s="113"/>
    <row r="384" customFormat="1" s="113"/>
    <row r="385" customFormat="1" s="113"/>
    <row r="386" customFormat="1" s="113"/>
    <row r="387" customFormat="1" s="113"/>
    <row r="388" customFormat="1" s="113"/>
    <row r="389" customFormat="1" s="113"/>
    <row r="390" customFormat="1" s="113"/>
    <row r="391" customFormat="1" s="113"/>
    <row r="392" customFormat="1" s="113"/>
    <row r="393" customFormat="1" s="113"/>
    <row r="394" customFormat="1" s="113"/>
    <row r="395" customFormat="1" s="113"/>
    <row r="396" customFormat="1" s="113"/>
    <row r="397" customFormat="1" s="113"/>
    <row r="398" customFormat="1" s="113"/>
    <row r="399" customFormat="1" s="113"/>
    <row r="400" customFormat="1" s="113"/>
    <row r="401" customFormat="1" s="113"/>
    <row r="402" customFormat="1" s="113"/>
    <row r="403" customFormat="1" s="113"/>
    <row r="404" customFormat="1" s="113"/>
    <row r="405" customFormat="1" s="113"/>
    <row r="406" customFormat="1" s="113"/>
    <row r="407" customFormat="1" s="113"/>
    <row r="408" customFormat="1" s="113"/>
    <row r="409" customFormat="1" s="113"/>
    <row r="410" customFormat="1" s="113"/>
    <row r="411" customFormat="1" s="113"/>
    <row r="412" customFormat="1" s="113"/>
    <row r="413" customFormat="1" s="113"/>
    <row r="414" customFormat="1" s="113"/>
    <row r="415" customFormat="1" s="113"/>
    <row r="416" customFormat="1" s="113"/>
    <row r="417" customFormat="1" s="113"/>
    <row r="418" customFormat="1" s="113"/>
    <row r="419" customFormat="1" s="113"/>
    <row r="420" customFormat="1" s="113"/>
    <row r="421" customFormat="1" s="113"/>
    <row r="422" customFormat="1" s="113"/>
    <row r="423" customFormat="1" s="113"/>
    <row r="424" customFormat="1" s="113"/>
    <row r="425" customFormat="1" s="113"/>
    <row r="426" customFormat="1" s="113"/>
    <row r="427" customFormat="1" s="113"/>
    <row r="428" customFormat="1" s="113"/>
    <row r="429" customFormat="1" s="113"/>
    <row r="430" customFormat="1" s="113"/>
    <row r="431" customFormat="1" s="113"/>
    <row r="432" customFormat="1" s="113"/>
    <row r="433" customFormat="1" s="113"/>
    <row r="434" customFormat="1" s="113"/>
    <row r="435" customFormat="1" s="113"/>
    <row r="436" customFormat="1" s="113"/>
    <row r="437" customFormat="1" s="113"/>
    <row r="438" customFormat="1" s="113"/>
    <row r="439" customFormat="1" s="113"/>
    <row r="440" customFormat="1" s="113"/>
    <row r="441" customFormat="1" s="113"/>
    <row r="442" customFormat="1" s="113"/>
    <row r="443" customFormat="1" s="113"/>
    <row r="444" customFormat="1" s="113"/>
    <row r="445" customFormat="1" s="113"/>
    <row r="446" customFormat="1" s="113"/>
    <row r="447" customFormat="1" s="113"/>
    <row r="448" customFormat="1" s="113"/>
    <row r="449" customFormat="1" s="113"/>
    <row r="450" customFormat="1" s="113"/>
    <row r="451" customFormat="1" s="113"/>
    <row r="452" customFormat="1" s="113"/>
    <row r="453" customFormat="1" s="113"/>
    <row r="454" customFormat="1" s="113"/>
    <row r="455" customFormat="1" s="113"/>
    <row r="456" customFormat="1" s="113"/>
    <row r="457" customFormat="1" s="113"/>
    <row r="458" customFormat="1" s="113"/>
    <row r="459" customFormat="1" s="113"/>
    <row r="460" customFormat="1" s="113"/>
    <row r="461" customFormat="1" s="113"/>
    <row r="462" customFormat="1" s="113"/>
    <row r="463" customFormat="1" s="113"/>
    <row r="464" customFormat="1" s="113"/>
    <row r="465" customFormat="1" s="113"/>
    <row r="466" customFormat="1" s="113"/>
    <row r="467" customFormat="1" s="113"/>
    <row r="468" customFormat="1" s="113"/>
    <row r="469" customFormat="1" s="113"/>
    <row r="470" customFormat="1" s="113"/>
    <row r="471" customFormat="1" s="113"/>
    <row r="472" customFormat="1" s="113"/>
    <row r="473" customFormat="1" s="113"/>
    <row r="474" customFormat="1" s="113"/>
    <row r="475" customFormat="1" s="113"/>
    <row r="476" customFormat="1" s="113"/>
    <row r="477" customFormat="1" s="113"/>
    <row r="478" customFormat="1" s="113"/>
    <row r="479" customFormat="1" s="113"/>
    <row r="480" customFormat="1" s="113"/>
    <row r="481" customFormat="1" s="113"/>
    <row r="482" customFormat="1" s="113"/>
    <row r="483" customFormat="1" s="113"/>
    <row r="484" customFormat="1" s="113"/>
    <row r="485" customFormat="1" s="113"/>
    <row r="486" customFormat="1" s="113"/>
    <row r="487" customFormat="1" s="113"/>
    <row r="488" customFormat="1" s="113"/>
    <row r="489" customFormat="1" s="113"/>
    <row r="490" customFormat="1" s="113"/>
    <row r="491" customFormat="1" s="113"/>
    <row r="492" customFormat="1" s="113"/>
    <row r="493" customFormat="1" s="113"/>
    <row r="494" customFormat="1" s="113"/>
    <row r="495" customFormat="1" s="113"/>
    <row r="496" customFormat="1" s="113"/>
    <row r="497" customFormat="1" s="113"/>
    <row r="498" customFormat="1" s="113"/>
    <row r="499" customFormat="1" s="113"/>
    <row r="500" customFormat="1" s="113"/>
    <row r="501" customFormat="1" s="113"/>
    <row r="502" customFormat="1" s="113"/>
    <row r="503" customFormat="1" s="113"/>
    <row r="504" customFormat="1" s="113"/>
    <row r="505" customFormat="1" s="113"/>
    <row r="506" customFormat="1" s="113"/>
    <row r="507" customFormat="1" s="113"/>
    <row r="508" customFormat="1" s="113"/>
    <row r="509" customFormat="1" s="113"/>
    <row r="510" customFormat="1" s="113"/>
    <row r="511" customFormat="1" s="113"/>
    <row r="512" customFormat="1" s="113"/>
    <row r="513" customFormat="1" s="113"/>
    <row r="514" customFormat="1" s="113"/>
    <row r="515" customFormat="1" s="113"/>
    <row r="516" customFormat="1" s="113"/>
    <row r="517" customFormat="1" s="113"/>
    <row r="518" customFormat="1" s="113"/>
    <row r="519" customFormat="1" s="113"/>
    <row r="520" customFormat="1" s="113"/>
    <row r="521" customFormat="1" s="113"/>
    <row r="522" customFormat="1" s="113"/>
    <row r="523" customFormat="1" s="113"/>
    <row r="524" customFormat="1" s="113"/>
    <row r="525" customFormat="1" s="113"/>
    <row r="526" customFormat="1" s="113"/>
    <row r="527" customFormat="1" s="113"/>
    <row r="528" customFormat="1" s="113"/>
    <row r="529" customFormat="1" s="113"/>
    <row r="530" customFormat="1" s="113"/>
    <row r="531" customFormat="1" s="113"/>
    <row r="532" customFormat="1" s="113"/>
    <row r="533" customFormat="1" s="113"/>
    <row r="534" customFormat="1" s="113"/>
    <row r="535" customFormat="1" s="113"/>
    <row r="536" customFormat="1" s="113"/>
    <row r="537" customFormat="1" s="113"/>
    <row r="538" customFormat="1" s="113"/>
    <row r="539" customFormat="1" s="113"/>
    <row r="540" customFormat="1" s="113"/>
    <row r="541" customFormat="1" s="113"/>
    <row r="542" customFormat="1" s="113"/>
    <row r="543" customFormat="1" s="113"/>
    <row r="544" customFormat="1" s="113"/>
    <row r="545" customFormat="1" s="113"/>
    <row r="546" customFormat="1" s="113"/>
    <row r="547" customFormat="1" s="113"/>
    <row r="548" customFormat="1" s="113"/>
    <row r="549" customFormat="1" s="113"/>
    <row r="550" customFormat="1" s="113"/>
    <row r="551" customFormat="1" s="113"/>
    <row r="552" customFormat="1" s="113"/>
    <row r="553" customFormat="1" s="113"/>
    <row r="554" customFormat="1" s="113"/>
    <row r="555" customFormat="1" s="113"/>
    <row r="556" customFormat="1" s="113"/>
    <row r="557" customFormat="1" s="113"/>
    <row r="558" customFormat="1" s="113"/>
    <row r="559" customFormat="1" s="113"/>
    <row r="560" customFormat="1" s="113"/>
    <row r="561" customFormat="1" s="113"/>
    <row r="562" customFormat="1" s="113"/>
    <row r="563" customFormat="1" s="113"/>
    <row r="564" customFormat="1" s="113"/>
    <row r="565" customFormat="1" s="113"/>
    <row r="566" customFormat="1" s="113"/>
    <row r="567" customFormat="1" s="113"/>
    <row r="568" customFormat="1" s="113"/>
    <row r="569" customFormat="1" s="113"/>
    <row r="570" customFormat="1" s="113"/>
    <row r="571" customFormat="1" s="113"/>
    <row r="572" customFormat="1" s="113"/>
    <row r="573" customFormat="1" s="113"/>
    <row r="574" customFormat="1" s="113"/>
    <row r="575" customFormat="1" s="113"/>
    <row r="576" customFormat="1" s="113"/>
    <row r="577" customFormat="1" s="113"/>
    <row r="578" customFormat="1" s="113"/>
    <row r="579" customFormat="1" s="113"/>
    <row r="580" customFormat="1" s="113"/>
    <row r="581" customFormat="1" s="113"/>
    <row r="582" customFormat="1" s="113"/>
    <row r="583" customFormat="1" s="113"/>
    <row r="584" customFormat="1" s="113"/>
    <row r="585" customFormat="1" s="113"/>
    <row r="586" customFormat="1" s="113"/>
    <row r="587" customFormat="1" s="113"/>
    <row r="588" customFormat="1" s="113"/>
    <row r="589" customFormat="1" s="113"/>
    <row r="590" customFormat="1" s="113"/>
    <row r="591" customFormat="1" s="113"/>
    <row r="592" customFormat="1" s="113"/>
    <row r="593" customFormat="1" s="113"/>
    <row r="594" customFormat="1" s="113"/>
    <row r="595" customFormat="1" s="113"/>
    <row r="596" customFormat="1" s="113"/>
    <row r="597" customFormat="1" s="113"/>
    <row r="598" customFormat="1" s="113"/>
    <row r="599" customFormat="1" s="113"/>
    <row r="600" customFormat="1" s="113"/>
    <row r="601" customFormat="1" s="113"/>
    <row r="602" customFormat="1" s="113"/>
    <row r="603" customFormat="1" s="113"/>
    <row r="604" customFormat="1" s="113"/>
    <row r="605" customFormat="1" s="113"/>
    <row r="606" customFormat="1" s="113"/>
    <row r="607" customFormat="1" s="113"/>
    <row r="608" customFormat="1" s="113"/>
    <row r="609" customFormat="1" s="113"/>
    <row r="610" customFormat="1" s="113"/>
    <row r="611" customFormat="1" s="113"/>
    <row r="612" customFormat="1" s="113"/>
    <row r="613" customFormat="1" s="113"/>
    <row r="614" customFormat="1" s="113"/>
    <row r="615" customFormat="1" s="113"/>
    <row r="616" customFormat="1" s="113"/>
    <row r="617" customFormat="1" s="113"/>
    <row r="618" customFormat="1" s="113"/>
    <row r="619" customFormat="1" s="113"/>
    <row r="620" customFormat="1" s="113"/>
    <row r="621" customFormat="1" s="113"/>
    <row r="622" customFormat="1" s="113"/>
    <row r="623" customFormat="1" s="113"/>
    <row r="624" customFormat="1" s="113"/>
    <row r="625" customFormat="1" s="113"/>
    <row r="626" customFormat="1" s="113"/>
    <row r="627" customFormat="1" s="113"/>
    <row r="628" customFormat="1" s="113"/>
    <row r="629" customFormat="1" s="113"/>
    <row r="630" customFormat="1" s="113"/>
    <row r="631" customFormat="1" s="113"/>
    <row r="632" customFormat="1" s="113"/>
    <row r="633">
      <c r="A633" s="113" t="n"/>
      <c r="B633" s="113" t="n"/>
      <c r="C633" s="113" t="n"/>
      <c r="D633" s="113" t="n"/>
    </row>
    <row r="634">
      <c r="A634" s="113" t="n"/>
      <c r="B634" s="113" t="n"/>
      <c r="C634" s="113" t="n"/>
      <c r="D634" s="113" t="n"/>
    </row>
    <row r="635">
      <c r="A635" s="113" t="n"/>
      <c r="B635" s="113" t="n"/>
      <c r="C635" s="113" t="n"/>
      <c r="D635" s="113" t="n"/>
    </row>
    <row r="636">
      <c r="A636" s="113" t="n"/>
      <c r="B636" s="113" t="n"/>
      <c r="C636" s="113" t="n"/>
      <c r="D636" s="113" t="n"/>
    </row>
    <row r="637">
      <c r="A637" s="113" t="n"/>
      <c r="B637" s="113" t="n"/>
      <c r="C637" s="113" t="n"/>
      <c r="D637" s="113" t="n"/>
    </row>
    <row r="638">
      <c r="A638" s="113" t="n"/>
      <c r="B638" s="113" t="n"/>
      <c r="C638" s="113" t="n"/>
      <c r="D638" s="113" t="n"/>
    </row>
    <row r="639">
      <c r="A639" s="113" t="n"/>
      <c r="B639" s="113" t="n"/>
      <c r="C639" s="113" t="n"/>
      <c r="D639" s="113" t="n"/>
    </row>
    <row r="640">
      <c r="A640" s="113" t="n"/>
      <c r="B640" s="113" t="n"/>
      <c r="C640" s="113" t="n"/>
      <c r="D640" s="113" t="n"/>
    </row>
    <row r="641">
      <c r="A641" s="113" t="n"/>
      <c r="B641" s="113" t="n"/>
      <c r="C641" s="113" t="n"/>
      <c r="D641" s="113" t="n"/>
    </row>
    <row r="642">
      <c r="A642" s="113" t="n"/>
      <c r="B642" s="113" t="n"/>
      <c r="C642" s="113" t="n"/>
      <c r="D642" s="113" t="n"/>
    </row>
    <row r="643">
      <c r="A643" s="113" t="n"/>
      <c r="B643" s="113" t="n"/>
      <c r="C643" s="113" t="n"/>
      <c r="D643" s="113" t="n"/>
    </row>
    <row r="644">
      <c r="A644" s="113" t="n"/>
      <c r="B644" s="113" t="n"/>
      <c r="C644" s="113" t="n"/>
      <c r="D644" s="113" t="n"/>
    </row>
    <row r="645">
      <c r="A645" s="113" t="n"/>
      <c r="B645" s="113" t="n"/>
      <c r="C645" s="113" t="n"/>
      <c r="D645" s="113" t="n"/>
    </row>
    <row r="646">
      <c r="A646" s="113" t="n"/>
      <c r="B646" s="113" t="n"/>
      <c r="C646" s="113" t="n"/>
      <c r="D646" s="113" t="n"/>
    </row>
    <row r="647">
      <c r="A647" s="113" t="n"/>
      <c r="B647" s="113" t="n"/>
      <c r="C647" s="113" t="n"/>
      <c r="D647" s="113" t="n"/>
    </row>
    <row r="648">
      <c r="A648" s="113" t="n"/>
      <c r="B648" s="113" t="n"/>
      <c r="C648" s="113" t="n"/>
      <c r="D648" s="113" t="n"/>
    </row>
    <row r="649">
      <c r="A649" s="113" t="n"/>
      <c r="B649" s="113" t="n"/>
      <c r="C649" s="113" t="n"/>
      <c r="D649" s="113" t="n"/>
    </row>
    <row r="650">
      <c r="A650" s="113" t="n"/>
      <c r="B650" s="113" t="n"/>
      <c r="C650" s="113" t="n"/>
      <c r="D650" s="113" t="n"/>
    </row>
    <row r="651">
      <c r="A651" s="113" t="n"/>
      <c r="B651" s="113" t="n"/>
      <c r="C651" s="113" t="n"/>
      <c r="D651" s="113" t="n"/>
    </row>
    <row r="652">
      <c r="A652" s="113" t="n"/>
      <c r="B652" s="113" t="n"/>
      <c r="C652" s="113" t="n"/>
      <c r="D652" s="113" t="n"/>
    </row>
    <row r="653">
      <c r="A653" s="113" t="n"/>
      <c r="B653" s="113" t="n"/>
      <c r="C653" s="113" t="n"/>
      <c r="D653" s="113" t="n"/>
    </row>
    <row r="654">
      <c r="A654" s="113" t="n"/>
      <c r="B654" s="113" t="n"/>
      <c r="C654" s="113" t="n"/>
      <c r="D654" s="113" t="n"/>
    </row>
    <row r="655">
      <c r="A655" s="113" t="n"/>
      <c r="B655" s="113" t="n"/>
      <c r="C655" s="113" t="n"/>
      <c r="D655" s="113" t="n"/>
    </row>
    <row r="656">
      <c r="A656" s="113" t="n"/>
      <c r="B656" s="113" t="n"/>
      <c r="C656" s="113" t="n"/>
      <c r="D656" s="113" t="n"/>
    </row>
    <row r="657">
      <c r="A657" s="113" t="n"/>
      <c r="B657" s="113" t="n"/>
      <c r="C657" s="113" t="n"/>
      <c r="D657" s="113" t="n"/>
    </row>
    <row r="658">
      <c r="A658" s="113" t="n"/>
      <c r="B658" s="113" t="n"/>
      <c r="C658" s="113" t="n"/>
      <c r="D658" s="113" t="n"/>
    </row>
    <row r="659">
      <c r="A659" s="113" t="n"/>
      <c r="B659" s="113" t="n"/>
      <c r="C659" s="113" t="n"/>
      <c r="D659" s="113" t="n"/>
    </row>
    <row r="660">
      <c r="A660" s="113" t="n"/>
      <c r="B660" s="113" t="n"/>
      <c r="C660" s="113" t="n"/>
      <c r="D660" s="113" t="n"/>
    </row>
    <row r="661">
      <c r="A661" s="113" t="n"/>
      <c r="B661" s="113" t="n"/>
      <c r="C661" s="113" t="n"/>
      <c r="D661" s="113" t="n"/>
    </row>
    <row r="662">
      <c r="A662" s="113" t="n"/>
      <c r="B662" s="113" t="n"/>
      <c r="C662" s="113" t="n"/>
      <c r="D662" s="113" t="n"/>
    </row>
    <row r="663">
      <c r="A663" s="113" t="n"/>
      <c r="B663" s="113" t="n"/>
      <c r="C663" s="113" t="n"/>
      <c r="D663" s="113" t="n"/>
    </row>
    <row r="664">
      <c r="A664" s="113" t="n"/>
      <c r="B664" s="113" t="n"/>
      <c r="C664" s="113" t="n"/>
      <c r="D664" s="113" t="n"/>
    </row>
    <row r="665">
      <c r="A665" s="113" t="n"/>
      <c r="B665" s="113" t="n"/>
      <c r="C665" s="113" t="n"/>
      <c r="D665" s="113" t="n"/>
    </row>
    <row r="666">
      <c r="A666" s="113" t="n"/>
      <c r="B666" s="113" t="n"/>
      <c r="C666" s="113" t="n"/>
      <c r="D666" s="113" t="n"/>
    </row>
    <row r="667">
      <c r="A667" s="113" t="n"/>
      <c r="B667" s="113" t="n"/>
      <c r="C667" s="113" t="n"/>
      <c r="D667" s="113" t="n"/>
    </row>
    <row r="668">
      <c r="A668" s="113" t="n"/>
      <c r="B668" s="113" t="n"/>
      <c r="C668" s="113" t="n"/>
      <c r="D668" s="113" t="n"/>
    </row>
    <row r="669">
      <c r="A669" s="113" t="n"/>
      <c r="B669" s="113" t="n"/>
      <c r="C669" s="113" t="n"/>
      <c r="D669" s="113" t="n"/>
    </row>
    <row r="670">
      <c r="A670" s="113" t="n"/>
      <c r="B670" s="113" t="n"/>
      <c r="C670" s="113" t="n"/>
      <c r="D670" s="113" t="n"/>
    </row>
    <row r="671">
      <c r="A671" s="113" t="n"/>
      <c r="B671" s="113" t="n"/>
      <c r="C671" s="113" t="n"/>
      <c r="D671" s="113" t="n"/>
    </row>
    <row r="672">
      <c r="A672" s="113" t="n"/>
      <c r="B672" s="113" t="n"/>
      <c r="C672" s="113" t="n"/>
      <c r="D672" s="113" t="n"/>
    </row>
    <row r="673">
      <c r="A673" s="113" t="n"/>
      <c r="B673" s="113" t="n"/>
      <c r="C673" s="113" t="n"/>
      <c r="D673" s="113" t="n"/>
    </row>
    <row r="674">
      <c r="A674" s="113" t="n"/>
      <c r="B674" s="113" t="n"/>
      <c r="C674" s="113" t="n"/>
      <c r="D674" s="113" t="n"/>
    </row>
    <row r="675">
      <c r="A675" s="113" t="n"/>
      <c r="B675" s="113" t="n"/>
      <c r="C675" s="113" t="n"/>
      <c r="D675" s="113" t="n"/>
    </row>
    <row r="676">
      <c r="A676" s="113" t="n"/>
      <c r="B676" s="113" t="n"/>
      <c r="C676" s="113" t="n"/>
      <c r="D676" s="113" t="n"/>
    </row>
    <row r="677">
      <c r="A677" s="113" t="n"/>
      <c r="B677" s="113" t="n"/>
      <c r="C677" s="113" t="n"/>
      <c r="D677" s="113" t="n"/>
    </row>
    <row r="678">
      <c r="A678" s="113" t="n"/>
      <c r="B678" s="113" t="n"/>
      <c r="C678" s="113" t="n"/>
      <c r="D678" s="113" t="n"/>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53"/>
  <sheetViews>
    <sheetView zoomScale="80" zoomScaleNormal="80" workbookViewId="0">
      <pane ySplit="6" topLeftCell="A371" activePane="bottomLeft" state="frozen"/>
      <selection pane="bottomLeft" activeCell="A371" sqref="A371:D381"/>
    </sheetView>
  </sheetViews>
  <sheetFormatPr baseColWidth="8" defaultColWidth="8.81640625" defaultRowHeight="14.5"/>
  <cols>
    <col width="14" customWidth="1" style="2" min="1" max="1"/>
    <col width="21.36328125" customWidth="1" style="16" min="2" max="2"/>
    <col width="21.36328125" customWidth="1" style="2" min="3" max="4"/>
    <col width="9.1796875" customWidth="1" style="113" min="5" max="140"/>
  </cols>
  <sheetData>
    <row r="1" customFormat="1" s="113">
      <c r="A1" s="27" t="inlineStr">
        <is>
          <t>RSAFS</t>
        </is>
      </c>
      <c r="B1" s="25" t="inlineStr">
        <is>
          <t>Retail and Food Services Sales (RSAFS), Millions of Dollars, Monthly, Seasonally Adjusted</t>
        </is>
      </c>
      <c r="C1" s="54" t="n"/>
      <c r="D1" s="54" t="n"/>
    </row>
    <row r="2" customFormat="1" s="113">
      <c r="A2" s="9" t="inlineStr">
        <is>
          <t>https://fred.stlouisfed.org/series/RSAFS</t>
        </is>
      </c>
      <c r="B2" s="14" t="n"/>
      <c r="C2" s="54" t="n"/>
      <c r="D2" s="54" t="n"/>
    </row>
    <row r="3" customFormat="1" s="113">
      <c r="A3" s="9" t="n"/>
      <c r="B3" s="14" t="n"/>
      <c r="C3" s="54" t="n"/>
      <c r="D3" s="54" t="n"/>
    </row>
    <row r="4" customFormat="1" s="113">
      <c r="A4" s="9" t="n"/>
      <c r="B4" s="14" t="n"/>
      <c r="C4" s="54" t="n"/>
      <c r="D4" s="54" t="n"/>
    </row>
    <row r="5" ht="16" customFormat="1" customHeight="1" s="113" thickBot="1">
      <c r="A5" s="54" t="n"/>
      <c r="B5" s="14" t="n"/>
      <c r="C5" s="54" t="n"/>
      <c r="D5" s="54" t="n"/>
    </row>
    <row r="6" ht="33" customHeight="1"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3">
      <c r="A338" s="11" t="n">
        <v>43678</v>
      </c>
      <c r="B338" s="15">
        <f>VLOOKUP(A338,Database!A:K,MATCH('Retail Sales'!$A$1,Database!$A$1:$K$1,),)</f>
        <v/>
      </c>
      <c r="C338" s="12">
        <f>(B338-B337)/B337</f>
        <v/>
      </c>
      <c r="D338" s="13">
        <f>(B338-B326)/B326</f>
        <v/>
      </c>
    </row>
    <row r="339" customFormat="1" s="113">
      <c r="A339" s="10" t="n">
        <v>43709</v>
      </c>
      <c r="B339" s="15">
        <f>VLOOKUP(A339,Database!A:K,MATCH('Retail Sales'!$A$1,Database!$A$1:$K$1,),)</f>
        <v/>
      </c>
      <c r="C339" s="12">
        <f>(B339-B338)/B338</f>
        <v/>
      </c>
      <c r="D339" s="13">
        <f>(B339-B327)/B327</f>
        <v/>
      </c>
    </row>
    <row r="340" customFormat="1" s="113">
      <c r="A340" s="11" t="n">
        <v>43739</v>
      </c>
      <c r="B340" s="15">
        <f>VLOOKUP(A340,Database!A:K,MATCH('Retail Sales'!$A$1,Database!$A$1:$K$1,),)</f>
        <v/>
      </c>
      <c r="C340" s="12">
        <f>(B340-B339)/B339</f>
        <v/>
      </c>
      <c r="D340" s="13">
        <f>(B340-B328)/B328</f>
        <v/>
      </c>
    </row>
    <row r="341" customFormat="1" s="113">
      <c r="A341" s="10" t="n">
        <v>43770</v>
      </c>
      <c r="B341" s="15">
        <f>VLOOKUP(A341,Database!A:K,MATCH('Retail Sales'!$A$1,Database!$A$1:$K$1,),)</f>
        <v/>
      </c>
      <c r="C341" s="12">
        <f>(B341-B340)/B340</f>
        <v/>
      </c>
      <c r="D341" s="13">
        <f>(B341-B329)/B329</f>
        <v/>
      </c>
    </row>
    <row r="342" customFormat="1" s="113">
      <c r="A342" s="11" t="n">
        <v>43800</v>
      </c>
      <c r="B342" s="15">
        <f>VLOOKUP(A342,Database!A:K,MATCH('Retail Sales'!$A$1,Database!$A$1:$K$1,),)</f>
        <v/>
      </c>
      <c r="C342" s="12">
        <f>(B342-B341)/B341</f>
        <v/>
      </c>
      <c r="D342" s="13">
        <f>(B342-B330)/B330</f>
        <v/>
      </c>
    </row>
    <row r="343" customFormat="1" s="113">
      <c r="A343" s="10" t="n">
        <v>43831</v>
      </c>
      <c r="B343" s="15">
        <f>VLOOKUP(A343,Database!A:K,MATCH('Retail Sales'!$A$1,Database!$A$1:$K$1,),)</f>
        <v/>
      </c>
      <c r="C343" s="12">
        <f>(B343-B342)/B342</f>
        <v/>
      </c>
      <c r="D343" s="13">
        <f>(B343-B331)/B331</f>
        <v/>
      </c>
    </row>
    <row r="344" customFormat="1" s="113">
      <c r="A344" s="11" t="n">
        <v>43862</v>
      </c>
      <c r="B344" s="15">
        <f>VLOOKUP(A344,Database!A:K,MATCH('Retail Sales'!$A$1,Database!$A$1:$K$1,),)</f>
        <v/>
      </c>
      <c r="C344" s="12">
        <f>(B344-B343)/B343</f>
        <v/>
      </c>
      <c r="D344" s="13">
        <f>(B344-B332)/B332</f>
        <v/>
      </c>
    </row>
    <row r="345" customFormat="1" s="113">
      <c r="A345" s="10" t="n">
        <v>43891</v>
      </c>
      <c r="B345" s="15">
        <f>VLOOKUP(A345,Database!A:K,MATCH('Retail Sales'!$A$1,Database!$A$1:$K$1,),)</f>
        <v/>
      </c>
      <c r="C345" s="12">
        <f>(B345-B344)/B344</f>
        <v/>
      </c>
      <c r="D345" s="13">
        <f>(B345-B333)/B333</f>
        <v/>
      </c>
    </row>
    <row r="346" customFormat="1" s="113">
      <c r="A346" s="11" t="n">
        <v>43922</v>
      </c>
      <c r="B346" s="15">
        <f>VLOOKUP(A346,Database!A:K,MATCH('Retail Sales'!$A$1,Database!$A$1:$K$1,),)</f>
        <v/>
      </c>
      <c r="C346" s="12">
        <f>(B346-B345)/B345</f>
        <v/>
      </c>
      <c r="D346" s="13">
        <f>(B346-B334)/B334</f>
        <v/>
      </c>
    </row>
    <row r="347" customFormat="1" s="113">
      <c r="A347" s="10" t="n">
        <v>43952</v>
      </c>
      <c r="B347" s="15">
        <f>VLOOKUP(A347,Database!A:K,MATCH('Retail Sales'!$A$1,Database!$A$1:$K$1,),)</f>
        <v/>
      </c>
      <c r="C347" s="12">
        <f>(B347-B346)/B346</f>
        <v/>
      </c>
      <c r="D347" s="13">
        <f>(B347-B335)/B335</f>
        <v/>
      </c>
    </row>
    <row r="348" customFormat="1" s="113">
      <c r="A348" s="11" t="n">
        <v>43983</v>
      </c>
      <c r="B348" s="15">
        <f>VLOOKUP(A348,Database!A:K,MATCH('Retail Sales'!$A$1,Database!$A$1:$K$1,),)</f>
        <v/>
      </c>
      <c r="C348" s="12">
        <f>(B348-B347)/B347</f>
        <v/>
      </c>
      <c r="D348" s="13">
        <f>(B348-B336)/B336</f>
        <v/>
      </c>
    </row>
    <row r="349" customFormat="1" s="113">
      <c r="A349" s="10" t="n">
        <v>44013</v>
      </c>
      <c r="B349" s="15">
        <f>VLOOKUP(A349,Database!A:K,MATCH('Retail Sales'!$A$1,Database!$A$1:$K$1,),)</f>
        <v/>
      </c>
      <c r="C349" s="12">
        <f>(B349-B348)/B348</f>
        <v/>
      </c>
      <c r="D349" s="13">
        <f>(B349-B337)/B337</f>
        <v/>
      </c>
    </row>
    <row r="350" customFormat="1" s="113">
      <c r="A350" s="11" t="n">
        <v>44044</v>
      </c>
      <c r="B350" s="15">
        <f>VLOOKUP(A350,Database!A:K,MATCH('Retail Sales'!$A$1,Database!$A$1:$K$1,),)</f>
        <v/>
      </c>
      <c r="C350" s="12">
        <f>(B350-B349)/B349</f>
        <v/>
      </c>
      <c r="D350" s="13">
        <f>(B350-B338)/B338</f>
        <v/>
      </c>
    </row>
    <row r="351" customFormat="1" s="113">
      <c r="A351" s="10" t="n">
        <v>44075</v>
      </c>
      <c r="B351" s="15">
        <f>VLOOKUP(A351,Database!A:K,MATCH('Retail Sales'!$A$1,Database!$A$1:$K$1,),)</f>
        <v/>
      </c>
      <c r="C351" s="12">
        <f>(B351-B350)/B350</f>
        <v/>
      </c>
      <c r="D351" s="13">
        <f>(B351-B339)/B339</f>
        <v/>
      </c>
    </row>
    <row r="352" customFormat="1" s="113">
      <c r="A352" s="11" t="n">
        <v>44105</v>
      </c>
      <c r="B352" s="15">
        <f>VLOOKUP(A352,Database!A:K,MATCH('Retail Sales'!$A$1,Database!$A$1:$K$1,),)</f>
        <v/>
      </c>
      <c r="C352" s="12">
        <f>(B352-B351)/B351</f>
        <v/>
      </c>
      <c r="D352" s="13">
        <f>(B352-B340)/B340</f>
        <v/>
      </c>
    </row>
    <row r="353" customFormat="1" s="113">
      <c r="A353" s="10" t="n">
        <v>44136</v>
      </c>
      <c r="B353" s="15">
        <f>VLOOKUP(A353,Database!A:K,MATCH('Retail Sales'!$A$1,Database!$A$1:$K$1,),)</f>
        <v/>
      </c>
      <c r="C353" s="12">
        <f>(B353-B352)/B352</f>
        <v/>
      </c>
      <c r="D353" s="13">
        <f>(B353-B341)/B341</f>
        <v/>
      </c>
    </row>
    <row r="354" customFormat="1" s="113">
      <c r="A354" s="11" t="n">
        <v>44166</v>
      </c>
      <c r="B354" s="15">
        <f>VLOOKUP(A354,Database!A:K,MATCH('Retail Sales'!$A$1,Database!$A$1:$K$1,),)</f>
        <v/>
      </c>
      <c r="C354" s="12">
        <f>(B354-B353)/B353</f>
        <v/>
      </c>
      <c r="D354" s="13">
        <f>(B354-B342)/B342</f>
        <v/>
      </c>
    </row>
    <row r="355" customFormat="1" s="113">
      <c r="A355" s="10" t="n">
        <v>44197</v>
      </c>
      <c r="B355" s="15">
        <f>VLOOKUP(A355,Database!A:K,MATCH('Retail Sales'!$A$1,Database!$A$1:$K$1,),)</f>
        <v/>
      </c>
      <c r="C355" s="12">
        <f>(B355-B354)/B354</f>
        <v/>
      </c>
      <c r="D355" s="13">
        <f>(B355-B343)/B343</f>
        <v/>
      </c>
    </row>
    <row r="356" customFormat="1" s="113">
      <c r="A356" s="11" t="n">
        <v>44228</v>
      </c>
      <c r="B356" s="15">
        <f>VLOOKUP(A356,Database!A:K,MATCH('Retail Sales'!$A$1,Database!$A$1:$K$1,),)</f>
        <v/>
      </c>
      <c r="C356" s="12">
        <f>(B356-B355)/B355</f>
        <v/>
      </c>
      <c r="D356" s="13">
        <f>(B356-B344)/B344</f>
        <v/>
      </c>
    </row>
    <row r="357" customFormat="1" s="113">
      <c r="A357" s="10" t="n">
        <v>44256</v>
      </c>
      <c r="B357" s="15">
        <f>VLOOKUP(A357,Database!A:K,MATCH('Retail Sales'!$A$1,Database!$A$1:$K$1,),)</f>
        <v/>
      </c>
      <c r="C357" s="12">
        <f>(B357-B356)/B356</f>
        <v/>
      </c>
      <c r="D357" s="13">
        <f>(B357-B345)/B345</f>
        <v/>
      </c>
    </row>
    <row r="358" customFormat="1" s="113">
      <c r="A358" s="11" t="n">
        <v>44287</v>
      </c>
      <c r="B358" s="15">
        <f>VLOOKUP(A358,Database!A:K,MATCH('Retail Sales'!$A$1,Database!$A$1:$K$1,),)</f>
        <v/>
      </c>
      <c r="C358" s="12">
        <f>(B358-B357)/B357</f>
        <v/>
      </c>
      <c r="D358" s="13">
        <f>(B358-B346)/B346</f>
        <v/>
      </c>
    </row>
    <row r="359" customFormat="1" s="113">
      <c r="A359" s="10" t="n">
        <v>44317</v>
      </c>
      <c r="B359" s="15">
        <f>VLOOKUP(A359,Database!A:K,MATCH('Retail Sales'!$A$1,Database!$A$1:$K$1,),)</f>
        <v/>
      </c>
      <c r="C359" s="12">
        <f>(B359-B358)/B358</f>
        <v/>
      </c>
      <c r="D359" s="13">
        <f>(B359-B347)/B347</f>
        <v/>
      </c>
    </row>
    <row r="360" customFormat="1" s="113">
      <c r="A360" s="11" t="n">
        <v>44348</v>
      </c>
      <c r="B360" s="15">
        <f>VLOOKUP(A360,Database!A:K,MATCH('Retail Sales'!$A$1,Database!$A$1:$K$1,),)</f>
        <v/>
      </c>
      <c r="C360" s="12">
        <f>(B360-B359)/B359</f>
        <v/>
      </c>
      <c r="D360" s="13">
        <f>(B360-B348)/B348</f>
        <v/>
      </c>
    </row>
    <row r="361" customFormat="1" s="113">
      <c r="A361" s="10" t="n">
        <v>44378</v>
      </c>
      <c r="B361" s="15">
        <f>VLOOKUP(A361,Database!A:K,MATCH('Retail Sales'!$A$1,Database!$A$1:$K$1,),)</f>
        <v/>
      </c>
      <c r="C361" s="12">
        <f>(B361-B360)/B360</f>
        <v/>
      </c>
      <c r="D361" s="13">
        <f>(B361-B349)/B349</f>
        <v/>
      </c>
    </row>
    <row r="362" customFormat="1" s="113">
      <c r="A362" s="11" t="n">
        <v>44409</v>
      </c>
      <c r="B362" s="15">
        <f>VLOOKUP(A362,Database!A:K,MATCH('Retail Sales'!$A$1,Database!$A$1:$K$1,),)</f>
        <v/>
      </c>
      <c r="C362" s="12">
        <f>(B362-B361)/B361</f>
        <v/>
      </c>
      <c r="D362" s="13">
        <f>(B362-B350)/B350</f>
        <v/>
      </c>
    </row>
    <row r="363" customFormat="1" s="113">
      <c r="A363" s="11" t="n">
        <v>44440</v>
      </c>
      <c r="B363" s="15">
        <f>VLOOKUP(A363,Database!A:K,MATCH('Retail Sales'!$A$1,Database!$A$1:$K$1,),)</f>
        <v/>
      </c>
      <c r="C363" s="12">
        <f>(B363-B362)/B362</f>
        <v/>
      </c>
      <c r="D363" s="13">
        <f>(B363-B351)/B351</f>
        <v/>
      </c>
    </row>
    <row r="364" customFormat="1" s="113">
      <c r="A364" s="10" t="n">
        <v>44470</v>
      </c>
      <c r="B364" s="15">
        <f>VLOOKUP(A364,Database!A:K,MATCH('Retail Sales'!$A$1,Database!$A$1:$K$1,),)</f>
        <v/>
      </c>
      <c r="C364" s="12">
        <f>(B364-B363)/B363</f>
        <v/>
      </c>
      <c r="D364" s="13">
        <f>(B364-B352)/B352</f>
        <v/>
      </c>
    </row>
    <row r="365" customFormat="1" s="113">
      <c r="A365" s="11" t="n">
        <v>44501</v>
      </c>
      <c r="B365" s="15">
        <f>VLOOKUP(A365,Database!A:K,MATCH('Retail Sales'!$A$1,Database!$A$1:$K$1,),)</f>
        <v/>
      </c>
      <c r="C365" s="12">
        <f>(B365-B364)/B364</f>
        <v/>
      </c>
      <c r="D365" s="13">
        <f>(B365-B353)/B353</f>
        <v/>
      </c>
    </row>
    <row r="366" customFormat="1" s="113">
      <c r="A366" s="11" t="n">
        <v>44531</v>
      </c>
      <c r="B366" s="15">
        <f>VLOOKUP(A366,Database!A:K,MATCH('Retail Sales'!$A$1,Database!$A$1:$K$1,),)</f>
        <v/>
      </c>
      <c r="C366" s="12">
        <f>(B366-B365)/B365</f>
        <v/>
      </c>
      <c r="D366" s="13">
        <f>(B366-B354)/B354</f>
        <v/>
      </c>
    </row>
    <row r="367" customFormat="1" s="113">
      <c r="A367" s="11" t="n">
        <v>44562</v>
      </c>
      <c r="B367" s="15">
        <f>VLOOKUP(A367,Database!A:K,MATCH('Retail Sales'!$A$1,Database!$A$1:$K$1,),)</f>
        <v/>
      </c>
      <c r="C367" s="12">
        <f>(B367-B366)/B366</f>
        <v/>
      </c>
      <c r="D367" s="13">
        <f>(B367-B355)/B355</f>
        <v/>
      </c>
    </row>
    <row r="368" customFormat="1" s="113">
      <c r="A368" s="10" t="n">
        <v>44593</v>
      </c>
      <c r="B368" s="15">
        <f>VLOOKUP(A368,Database!A:K,MATCH('Retail Sales'!$A$1,Database!$A$1:$K$1,),)</f>
        <v/>
      </c>
      <c r="C368" s="12">
        <f>(B368-B367)/B367</f>
        <v/>
      </c>
      <c r="D368" s="13">
        <f>(B368-B356)/B356</f>
        <v/>
      </c>
    </row>
    <row r="369" customFormat="1" s="113">
      <c r="A369" s="11" t="n">
        <v>44621</v>
      </c>
      <c r="B369" s="15">
        <f>VLOOKUP(A369,Database!A:K,MATCH('Retail Sales'!$A$1,Database!$A$1:$K$1,),)</f>
        <v/>
      </c>
      <c r="C369" s="12">
        <f>(B369-B368)/B368</f>
        <v/>
      </c>
      <c r="D369" s="13">
        <f>(B369-B357)/B357</f>
        <v/>
      </c>
    </row>
    <row r="370" customFormat="1" s="113">
      <c r="A370" s="11" t="n">
        <v>44652</v>
      </c>
      <c r="B370" s="15">
        <f>VLOOKUP(A370,Database!A:K,MATCH('Retail Sales'!$A$1,Database!$A$1:$K$1,),)</f>
        <v/>
      </c>
      <c r="C370" s="12">
        <f>(B370-B369)/B369</f>
        <v/>
      </c>
      <c r="D370" s="13">
        <f>(B370-B358)/B358</f>
        <v/>
      </c>
    </row>
    <row r="371" customFormat="1" s="113">
      <c r="A371" s="10" t="n">
        <v>44682</v>
      </c>
      <c r="B371" s="15">
        <f>VLOOKUP(A371,Database!A:K,MATCH('Retail Sales'!$A$1,Database!$A$1:$K$1,),)</f>
        <v/>
      </c>
      <c r="C371" s="12">
        <f>(B371-B370)/B370</f>
        <v/>
      </c>
      <c r="D371" s="13">
        <f>(B371-B359)/B359</f>
        <v/>
      </c>
    </row>
    <row r="372" customFormat="1" s="113">
      <c r="A372" s="11" t="n">
        <v>44713</v>
      </c>
      <c r="B372" s="15">
        <f>VLOOKUP(A372,Database!A:K,MATCH('Retail Sales'!$A$1,Database!$A$1:$K$1,),)</f>
        <v/>
      </c>
      <c r="C372" s="12">
        <f>(B372-B371)/B371</f>
        <v/>
      </c>
      <c r="D372" s="13">
        <f>(B372-B360)/B360</f>
        <v/>
      </c>
    </row>
    <row r="373" customFormat="1" s="113">
      <c r="A373" s="11" t="n">
        <v>44743</v>
      </c>
      <c r="B373" s="15">
        <f>VLOOKUP(A373,Database!A:K,MATCH('Retail Sales'!$A$1,Database!$A$1:$K$1,),)</f>
        <v/>
      </c>
      <c r="C373" s="12">
        <f>(B373-B372)/B372</f>
        <v/>
      </c>
      <c r="D373" s="13">
        <f>(B373-B361)/B361</f>
        <v/>
      </c>
    </row>
    <row r="374" customFormat="1" s="113">
      <c r="A374" s="10" t="n">
        <v>44774</v>
      </c>
      <c r="B374" s="15">
        <f>VLOOKUP(A374,Database!A:K,MATCH('Retail Sales'!$A$1,Database!$A$1:$K$1,),)</f>
        <v/>
      </c>
      <c r="C374" s="12">
        <f>(B374-B373)/B373</f>
        <v/>
      </c>
      <c r="D374" s="13">
        <f>(B374-B362)/B362</f>
        <v/>
      </c>
    </row>
    <row r="375" customFormat="1" s="113">
      <c r="A375" s="10" t="n">
        <v>44805</v>
      </c>
      <c r="B375" s="15">
        <f>VLOOKUP(A375,Database!A:K,MATCH('Retail Sales'!$A$1,Database!$A$1:$K$1,),)</f>
        <v/>
      </c>
      <c r="C375" s="12">
        <f>(B375-B374)/B374</f>
        <v/>
      </c>
      <c r="D375" s="13">
        <f>(B375-B363)/B363</f>
        <v/>
      </c>
    </row>
    <row r="376" customFormat="1" s="113">
      <c r="A376" s="10" t="n">
        <v>44835</v>
      </c>
      <c r="B376" s="15">
        <f>VLOOKUP(A376,Database!A:K,MATCH('Retail Sales'!$A$1,Database!$A$1:$K$1,),)</f>
        <v/>
      </c>
      <c r="C376" s="12">
        <f>(B376-B375)/B375</f>
        <v/>
      </c>
      <c r="D376" s="13">
        <f>(B376-B364)/B364</f>
        <v/>
      </c>
    </row>
    <row r="377" customFormat="1" s="113">
      <c r="A377" s="10" t="n">
        <v>44866</v>
      </c>
      <c r="B377" s="15">
        <f>VLOOKUP(A377,Database!A:K,MATCH('Retail Sales'!$A$1,Database!$A$1:$K$1,),)</f>
        <v/>
      </c>
      <c r="C377" s="12">
        <f>(B377-B376)/B376</f>
        <v/>
      </c>
      <c r="D377" s="13">
        <f>(B377-B365)/B365</f>
        <v/>
      </c>
    </row>
    <row r="378" customFormat="1" s="113">
      <c r="A378" s="10" t="n">
        <v>44896</v>
      </c>
      <c r="B378" s="15">
        <f>VLOOKUP(A378,Database!A:K,MATCH('Retail Sales'!$A$1,Database!$A$1:$K$1,),)</f>
        <v/>
      </c>
      <c r="C378" s="12">
        <f>(B378-B377)/B377</f>
        <v/>
      </c>
      <c r="D378" s="13">
        <f>(B378-B366)/B366</f>
        <v/>
      </c>
    </row>
    <row r="379" customFormat="1" s="113">
      <c r="A379" s="11" t="n">
        <v>44927</v>
      </c>
      <c r="B379" s="15">
        <f>VLOOKUP(A379,Database!A:K,MATCH('Retail Sales'!$A$1,Database!$A$1:$K$1,),)</f>
        <v/>
      </c>
      <c r="C379" s="12">
        <f>(B379-B378)/B378</f>
        <v/>
      </c>
      <c r="D379" s="13">
        <f>(B379-B367)/B367</f>
        <v/>
      </c>
    </row>
    <row r="380" customFormat="1" s="113">
      <c r="A380" s="10" t="n">
        <v>44958</v>
      </c>
      <c r="B380" s="15">
        <f>VLOOKUP(A380,Database!A:K,MATCH('Retail Sales'!$A$1,Database!$A$1:$K$1,),)</f>
        <v/>
      </c>
      <c r="C380" s="12">
        <f>(B380-B379)/B379</f>
        <v/>
      </c>
      <c r="D380" s="13">
        <f>(B380-B368)/B368</f>
        <v/>
      </c>
    </row>
    <row r="381" customFormat="1" s="113">
      <c r="A381" s="10" t="n">
        <v>44986</v>
      </c>
      <c r="B381" s="15">
        <f>VLOOKUP(A381,Database!A:K,MATCH('Retail Sales'!$A$1,Database!$A$1:$K$1,),)</f>
        <v/>
      </c>
      <c r="C381" s="12">
        <f>(B381-B380)/B380</f>
        <v/>
      </c>
      <c r="D381" s="13">
        <f>(B381-B369)/B369</f>
        <v/>
      </c>
    </row>
    <row r="382" customFormat="1" s="113">
      <c r="A382" s="54" t="n"/>
      <c r="B382" s="14" t="n"/>
      <c r="C382" s="54" t="n"/>
      <c r="D382" s="54" t="n"/>
    </row>
    <row r="383" customFormat="1" s="113">
      <c r="A383" s="54" t="n"/>
      <c r="B383" s="14" t="n"/>
      <c r="C383" s="54" t="n"/>
      <c r="D383" s="54" t="n"/>
    </row>
    <row r="384" customFormat="1" s="113">
      <c r="A384" s="54" t="n"/>
      <c r="B384" s="14" t="n"/>
      <c r="C384" s="54" t="n"/>
      <c r="D384" s="54" t="n"/>
    </row>
    <row r="385" customFormat="1" s="113">
      <c r="A385" s="54" t="n"/>
      <c r="B385" s="14" t="n"/>
      <c r="C385" s="54" t="n"/>
      <c r="D385" s="54" t="n"/>
    </row>
    <row r="386" customFormat="1" s="113">
      <c r="A386" s="54" t="n"/>
      <c r="B386" s="14" t="n"/>
      <c r="C386" s="54" t="n"/>
      <c r="D386" s="54" t="n"/>
    </row>
    <row r="387" customFormat="1" s="113">
      <c r="A387" s="54" t="n"/>
      <c r="B387" s="14" t="n"/>
      <c r="C387" s="54" t="n"/>
      <c r="D387" s="54" t="n"/>
    </row>
    <row r="388" customFormat="1" s="113">
      <c r="A388" s="54" t="n"/>
      <c r="B388" s="14" t="n"/>
      <c r="C388" s="54" t="n"/>
      <c r="D388" s="54" t="n"/>
    </row>
    <row r="389" customFormat="1" s="113">
      <c r="A389" s="54" t="n"/>
      <c r="B389" s="14" t="n"/>
      <c r="C389" s="54" t="n"/>
      <c r="D389" s="54" t="n"/>
    </row>
    <row r="390" customFormat="1" s="113">
      <c r="A390" s="54" t="n"/>
      <c r="B390" s="14" t="n"/>
      <c r="C390" s="54" t="n"/>
      <c r="D390" s="54" t="n"/>
    </row>
    <row r="391" customFormat="1" s="113">
      <c r="A391" s="54" t="n"/>
      <c r="B391" s="14" t="n"/>
      <c r="C391" s="54" t="n"/>
      <c r="D391" s="54" t="n"/>
    </row>
    <row r="392" customFormat="1" s="113">
      <c r="A392" s="54" t="n"/>
      <c r="B392" s="14" t="n"/>
      <c r="C392" s="54" t="n"/>
      <c r="D392" s="54" t="n"/>
    </row>
    <row r="393" customFormat="1" s="113">
      <c r="A393" s="54" t="n"/>
      <c r="B393" s="14" t="n"/>
      <c r="C393" s="54" t="n"/>
      <c r="D393" s="54" t="n"/>
    </row>
    <row r="394" customFormat="1" s="113">
      <c r="A394" s="54" t="n"/>
      <c r="B394" s="14" t="n"/>
      <c r="C394" s="54" t="n"/>
      <c r="D394" s="54" t="n"/>
    </row>
    <row r="395" customFormat="1" s="113">
      <c r="A395" s="54" t="n"/>
      <c r="B395" s="14" t="n"/>
      <c r="C395" s="54" t="n"/>
      <c r="D395" s="54" t="n"/>
    </row>
    <row r="396" customFormat="1" s="113">
      <c r="A396" s="54" t="n"/>
      <c r="B396" s="14" t="n"/>
      <c r="C396" s="54" t="n"/>
      <c r="D396" s="54" t="n"/>
    </row>
    <row r="397" customFormat="1" s="113">
      <c r="A397" s="54" t="n"/>
      <c r="B397" s="14" t="n"/>
      <c r="C397" s="54" t="n"/>
      <c r="D397" s="54" t="n"/>
    </row>
    <row r="398" customFormat="1" s="113">
      <c r="A398" s="54" t="n"/>
      <c r="B398" s="14" t="n"/>
      <c r="C398" s="54" t="n"/>
      <c r="D398" s="54" t="n"/>
    </row>
    <row r="399" customFormat="1" s="113">
      <c r="A399" s="54" t="n"/>
      <c r="B399" s="14" t="n"/>
      <c r="C399" s="54" t="n"/>
      <c r="D399" s="54" t="n"/>
    </row>
    <row r="400" customFormat="1" s="113">
      <c r="A400" s="54" t="n"/>
      <c r="B400" s="14" t="n"/>
      <c r="C400" s="54" t="n"/>
      <c r="D400" s="54" t="n"/>
    </row>
    <row r="401" customFormat="1" s="113">
      <c r="A401" s="54" t="n"/>
      <c r="B401" s="14" t="n"/>
      <c r="C401" s="54" t="n"/>
      <c r="D401" s="54" t="n"/>
    </row>
    <row r="402" customFormat="1" s="113">
      <c r="A402" s="54" t="n"/>
      <c r="B402" s="14" t="n"/>
      <c r="C402" s="54" t="n"/>
      <c r="D402" s="54" t="n"/>
    </row>
    <row r="403" customFormat="1" s="113">
      <c r="A403" s="54" t="n"/>
      <c r="B403" s="14" t="n"/>
      <c r="C403" s="54" t="n"/>
      <c r="D403" s="54" t="n"/>
    </row>
    <row r="404" customFormat="1" s="113">
      <c r="A404" s="54" t="n"/>
      <c r="B404" s="14" t="n"/>
      <c r="C404" s="54" t="n"/>
      <c r="D404" s="54" t="n"/>
    </row>
    <row r="405" customFormat="1" s="113">
      <c r="A405" s="54" t="n"/>
      <c r="B405" s="14" t="n"/>
      <c r="C405" s="54" t="n"/>
      <c r="D405" s="54" t="n"/>
    </row>
    <row r="406" customFormat="1" s="113">
      <c r="A406" s="54" t="n"/>
      <c r="B406" s="14" t="n"/>
      <c r="C406" s="54" t="n"/>
      <c r="D406" s="54" t="n"/>
    </row>
    <row r="407" customFormat="1" s="113">
      <c r="A407" s="54" t="n"/>
      <c r="B407" s="14" t="n"/>
      <c r="C407" s="54" t="n"/>
      <c r="D407" s="54" t="n"/>
    </row>
    <row r="408" customFormat="1" s="113">
      <c r="A408" s="54" t="n"/>
      <c r="B408" s="14" t="n"/>
      <c r="C408" s="54" t="n"/>
      <c r="D408" s="54" t="n"/>
    </row>
    <row r="409" customFormat="1" s="113">
      <c r="A409" s="54" t="n"/>
      <c r="B409" s="14" t="n"/>
      <c r="C409" s="54" t="n"/>
      <c r="D409" s="54" t="n"/>
    </row>
    <row r="410" customFormat="1" s="113">
      <c r="A410" s="54" t="n"/>
      <c r="B410" s="14" t="n"/>
      <c r="C410" s="54" t="n"/>
      <c r="D410" s="54" t="n"/>
    </row>
    <row r="411" customFormat="1" s="113">
      <c r="A411" s="54" t="n"/>
      <c r="B411" s="14" t="n"/>
      <c r="C411" s="54" t="n"/>
      <c r="D411" s="54" t="n"/>
    </row>
    <row r="412" customFormat="1" s="113">
      <c r="A412" s="54" t="n"/>
      <c r="B412" s="14" t="n"/>
      <c r="C412" s="54" t="n"/>
      <c r="D412" s="54" t="n"/>
    </row>
    <row r="413" customFormat="1" s="113">
      <c r="A413" s="54" t="n"/>
      <c r="B413" s="14" t="n"/>
      <c r="C413" s="54" t="n"/>
      <c r="D413" s="54" t="n"/>
    </row>
    <row r="414" customFormat="1" s="113">
      <c r="A414" s="54" t="n"/>
      <c r="B414" s="14" t="n"/>
      <c r="C414" s="54" t="n"/>
      <c r="D414" s="54" t="n"/>
    </row>
    <row r="415" customFormat="1" s="113">
      <c r="A415" s="54" t="n"/>
      <c r="B415" s="14" t="n"/>
      <c r="C415" s="54" t="n"/>
      <c r="D415" s="54" t="n"/>
    </row>
    <row r="416" customFormat="1" s="113">
      <c r="A416" s="54" t="n"/>
      <c r="B416" s="14" t="n"/>
      <c r="C416" s="54" t="n"/>
      <c r="D416" s="54" t="n"/>
    </row>
    <row r="417" customFormat="1" s="113">
      <c r="A417" s="54" t="n"/>
      <c r="B417" s="14" t="n"/>
      <c r="C417" s="54" t="n"/>
      <c r="D417" s="54" t="n"/>
    </row>
    <row r="418" customFormat="1" s="113">
      <c r="A418" s="54" t="n"/>
      <c r="B418" s="14" t="n"/>
      <c r="C418" s="54" t="n"/>
      <c r="D418" s="54" t="n"/>
    </row>
    <row r="419" customFormat="1" s="113">
      <c r="A419" s="54" t="n"/>
      <c r="B419" s="14" t="n"/>
      <c r="C419" s="54" t="n"/>
      <c r="D419" s="54" t="n"/>
    </row>
    <row r="420" customFormat="1" s="113">
      <c r="A420" s="54" t="n"/>
      <c r="B420" s="14" t="n"/>
      <c r="C420" s="54" t="n"/>
      <c r="D420" s="54" t="n"/>
    </row>
    <row r="421" customFormat="1" s="113">
      <c r="A421" s="54" t="n"/>
      <c r="B421" s="14" t="n"/>
      <c r="C421" s="54" t="n"/>
      <c r="D421" s="54" t="n"/>
    </row>
    <row r="422" customFormat="1" s="113">
      <c r="A422" s="54" t="n"/>
      <c r="B422" s="14" t="n"/>
      <c r="C422" s="54" t="n"/>
      <c r="D422" s="54" t="n"/>
    </row>
    <row r="423" customFormat="1" s="113">
      <c r="A423" s="54" t="n"/>
      <c r="B423" s="14" t="n"/>
      <c r="C423" s="54" t="n"/>
      <c r="D423" s="54" t="n"/>
    </row>
    <row r="424" customFormat="1" s="113">
      <c r="A424" s="54" t="n"/>
      <c r="B424" s="14" t="n"/>
      <c r="C424" s="54" t="n"/>
      <c r="D424" s="54" t="n"/>
    </row>
    <row r="425" customFormat="1" s="113">
      <c r="A425" s="54" t="n"/>
      <c r="B425" s="14" t="n"/>
      <c r="C425" s="54" t="n"/>
      <c r="D425" s="54" t="n"/>
    </row>
    <row r="426" customFormat="1" s="113">
      <c r="A426" s="54" t="n"/>
      <c r="B426" s="14" t="n"/>
      <c r="C426" s="54" t="n"/>
      <c r="D426" s="54" t="n"/>
    </row>
    <row r="427" customFormat="1" s="113">
      <c r="A427" s="54" t="n"/>
      <c r="B427" s="14" t="n"/>
      <c r="C427" s="54" t="n"/>
      <c r="D427" s="54" t="n"/>
    </row>
    <row r="428" customFormat="1" s="113">
      <c r="A428" s="54" t="n"/>
      <c r="B428" s="14" t="n"/>
      <c r="C428" s="54" t="n"/>
      <c r="D428" s="54" t="n"/>
    </row>
    <row r="429" customFormat="1" s="113">
      <c r="A429" s="54" t="n"/>
      <c r="B429" s="14" t="n"/>
      <c r="C429" s="54" t="n"/>
      <c r="D429" s="54" t="n"/>
    </row>
    <row r="430" customFormat="1" s="113">
      <c r="A430" s="54" t="n"/>
      <c r="B430" s="14" t="n"/>
      <c r="C430" s="54" t="n"/>
      <c r="D430" s="54" t="n"/>
    </row>
    <row r="431" customFormat="1" s="113">
      <c r="A431" s="54" t="n"/>
      <c r="B431" s="14" t="n"/>
      <c r="C431" s="54" t="n"/>
      <c r="D431" s="54" t="n"/>
    </row>
    <row r="432" customFormat="1" s="113">
      <c r="A432" s="54" t="n"/>
      <c r="B432" s="14" t="n"/>
      <c r="C432" s="54" t="n"/>
      <c r="D432" s="54" t="n"/>
    </row>
    <row r="433" customFormat="1" s="113">
      <c r="A433" s="54" t="n"/>
      <c r="B433" s="14" t="n"/>
      <c r="C433" s="54" t="n"/>
      <c r="D433" s="54" t="n"/>
    </row>
    <row r="434" customFormat="1" s="113">
      <c r="A434" s="54" t="n"/>
      <c r="B434" s="14" t="n"/>
      <c r="C434" s="54" t="n"/>
      <c r="D434" s="54" t="n"/>
    </row>
    <row r="435" customFormat="1" s="113">
      <c r="A435" s="54" t="n"/>
      <c r="B435" s="14" t="n"/>
      <c r="C435" s="54" t="n"/>
      <c r="D435" s="54" t="n"/>
    </row>
    <row r="436" customFormat="1" s="113">
      <c r="A436" s="54" t="n"/>
      <c r="B436" s="14" t="n"/>
      <c r="C436" s="54" t="n"/>
      <c r="D436" s="54" t="n"/>
    </row>
    <row r="437" customFormat="1" s="113">
      <c r="A437" s="54" t="n"/>
      <c r="B437" s="14" t="n"/>
      <c r="C437" s="54" t="n"/>
      <c r="D437" s="54" t="n"/>
    </row>
    <row r="438" customFormat="1" s="113">
      <c r="A438" s="54" t="n"/>
      <c r="B438" s="14" t="n"/>
      <c r="C438" s="54" t="n"/>
      <c r="D438" s="54" t="n"/>
    </row>
    <row r="439" customFormat="1" s="113">
      <c r="A439" s="54" t="n"/>
      <c r="B439" s="14" t="n"/>
      <c r="C439" s="54" t="n"/>
      <c r="D439" s="54" t="n"/>
    </row>
    <row r="440" customFormat="1" s="113">
      <c r="A440" s="54" t="n"/>
      <c r="B440" s="14" t="n"/>
      <c r="C440" s="54" t="n"/>
      <c r="D440" s="54" t="n"/>
    </row>
    <row r="441" customFormat="1" s="113">
      <c r="A441" s="54" t="n"/>
      <c r="B441" s="14" t="n"/>
      <c r="C441" s="54" t="n"/>
      <c r="D441" s="54" t="n"/>
    </row>
    <row r="442" customFormat="1" s="113">
      <c r="A442" s="54" t="n"/>
      <c r="B442" s="14" t="n"/>
      <c r="C442" s="54" t="n"/>
      <c r="D442" s="54" t="n"/>
    </row>
    <row r="443" customFormat="1" s="113">
      <c r="A443" s="54" t="n"/>
      <c r="B443" s="14" t="n"/>
      <c r="C443" s="54" t="n"/>
      <c r="D443" s="54" t="n"/>
    </row>
    <row r="444" customFormat="1" s="113">
      <c r="A444" s="54" t="n"/>
      <c r="B444" s="14" t="n"/>
      <c r="C444" s="54" t="n"/>
      <c r="D444" s="54" t="n"/>
    </row>
    <row r="445" customFormat="1" s="113">
      <c r="A445" s="54" t="n"/>
      <c r="B445" s="14" t="n"/>
      <c r="C445" s="54" t="n"/>
      <c r="D445" s="54" t="n"/>
    </row>
    <row r="446" customFormat="1" s="113">
      <c r="A446" s="54" t="n"/>
      <c r="B446" s="14" t="n"/>
      <c r="C446" s="54" t="n"/>
      <c r="D446" s="54" t="n"/>
    </row>
    <row r="447" customFormat="1" s="113">
      <c r="A447" s="54" t="n"/>
      <c r="B447" s="14" t="n"/>
      <c r="C447" s="54" t="n"/>
      <c r="D447" s="54" t="n"/>
    </row>
    <row r="448" customFormat="1" s="113">
      <c r="A448" s="54" t="n"/>
      <c r="B448" s="14" t="n"/>
      <c r="C448" s="54" t="n"/>
      <c r="D448" s="54" t="n"/>
    </row>
    <row r="449" customFormat="1" s="113">
      <c r="A449" s="54" t="n"/>
      <c r="B449" s="14" t="n"/>
      <c r="C449" s="54" t="n"/>
      <c r="D449" s="54" t="n"/>
    </row>
    <row r="450" customFormat="1" s="113">
      <c r="A450" s="54" t="n"/>
      <c r="B450" s="14" t="n"/>
      <c r="C450" s="54" t="n"/>
      <c r="D450" s="54" t="n"/>
    </row>
    <row r="451" customFormat="1" s="113">
      <c r="A451" s="54" t="n"/>
      <c r="B451" s="14" t="n"/>
      <c r="C451" s="54" t="n"/>
      <c r="D451" s="54" t="n"/>
    </row>
    <row r="452" customFormat="1" s="113">
      <c r="A452" s="54" t="n"/>
      <c r="B452" s="14" t="n"/>
      <c r="C452" s="54" t="n"/>
      <c r="D452" s="54" t="n"/>
    </row>
    <row r="453" customFormat="1" s="113">
      <c r="A453" s="54" t="n"/>
      <c r="B453" s="14" t="n"/>
      <c r="C453" s="54" t="n"/>
      <c r="D453" s="54" t="n"/>
    </row>
    <row r="454" customFormat="1" s="113">
      <c r="A454" s="54" t="n"/>
      <c r="B454" s="14" t="n"/>
      <c r="C454" s="54" t="n"/>
      <c r="D454" s="54" t="n"/>
    </row>
    <row r="455" customFormat="1" s="113">
      <c r="A455" s="54" t="n"/>
      <c r="B455" s="14" t="n"/>
      <c r="C455" s="54" t="n"/>
      <c r="D455" s="54" t="n"/>
    </row>
    <row r="456" customFormat="1" s="113">
      <c r="A456" s="54" t="n"/>
      <c r="B456" s="14" t="n"/>
      <c r="C456" s="54" t="n"/>
      <c r="D456" s="54" t="n"/>
    </row>
    <row r="457" customFormat="1" s="113">
      <c r="A457" s="54" t="n"/>
      <c r="B457" s="14" t="n"/>
      <c r="C457" s="54" t="n"/>
      <c r="D457" s="54" t="n"/>
    </row>
    <row r="458" customFormat="1" s="113">
      <c r="A458" s="54" t="n"/>
      <c r="B458" s="14" t="n"/>
      <c r="C458" s="54" t="n"/>
      <c r="D458" s="54" t="n"/>
    </row>
    <row r="459" customFormat="1" s="113">
      <c r="A459" s="54" t="n"/>
      <c r="B459" s="14" t="n"/>
      <c r="C459" s="54" t="n"/>
      <c r="D459" s="54" t="n"/>
    </row>
    <row r="460" customFormat="1" s="113">
      <c r="A460" s="54" t="n"/>
      <c r="B460" s="14" t="n"/>
      <c r="C460" s="54" t="n"/>
      <c r="D460" s="54" t="n"/>
    </row>
    <row r="461" customFormat="1" s="113">
      <c r="A461" s="54" t="n"/>
      <c r="B461" s="14" t="n"/>
      <c r="C461" s="54" t="n"/>
      <c r="D461" s="54" t="n"/>
    </row>
    <row r="462" customFormat="1" s="113">
      <c r="A462" s="54" t="n"/>
      <c r="B462" s="14" t="n"/>
      <c r="C462" s="54" t="n"/>
      <c r="D462" s="54" t="n"/>
    </row>
    <row r="463" customFormat="1" s="113">
      <c r="A463" s="54" t="n"/>
      <c r="B463" s="14" t="n"/>
      <c r="C463" s="54" t="n"/>
      <c r="D463" s="54" t="n"/>
    </row>
    <row r="464" customFormat="1" s="113">
      <c r="A464" s="54" t="n"/>
      <c r="B464" s="14" t="n"/>
      <c r="C464" s="54" t="n"/>
      <c r="D464" s="54" t="n"/>
    </row>
    <row r="465" customFormat="1" s="113">
      <c r="A465" s="54" t="n"/>
      <c r="B465" s="14" t="n"/>
      <c r="C465" s="54" t="n"/>
      <c r="D465" s="54" t="n"/>
    </row>
    <row r="466" customFormat="1" s="113">
      <c r="A466" s="54" t="n"/>
      <c r="B466" s="14" t="n"/>
      <c r="C466" s="54" t="n"/>
      <c r="D466" s="54" t="n"/>
    </row>
    <row r="467" customFormat="1" s="113">
      <c r="A467" s="54" t="n"/>
      <c r="B467" s="14" t="n"/>
      <c r="C467" s="54" t="n"/>
      <c r="D467" s="54" t="n"/>
    </row>
    <row r="468" customFormat="1" s="113">
      <c r="A468" s="54" t="n"/>
      <c r="B468" s="14" t="n"/>
      <c r="C468" s="54" t="n"/>
      <c r="D468" s="54" t="n"/>
    </row>
    <row r="469" customFormat="1" s="113">
      <c r="A469" s="54" t="n"/>
      <c r="B469" s="14" t="n"/>
      <c r="C469" s="54" t="n"/>
      <c r="D469" s="54" t="n"/>
    </row>
    <row r="470" customFormat="1" s="113">
      <c r="A470" s="54" t="n"/>
      <c r="B470" s="14" t="n"/>
      <c r="C470" s="54" t="n"/>
      <c r="D470" s="54" t="n"/>
    </row>
    <row r="471" customFormat="1" s="113">
      <c r="A471" s="54" t="n"/>
      <c r="B471" s="14" t="n"/>
      <c r="C471" s="54" t="n"/>
      <c r="D471" s="54" t="n"/>
    </row>
    <row r="472" customFormat="1" s="113">
      <c r="A472" s="54" t="n"/>
      <c r="B472" s="14" t="n"/>
      <c r="C472" s="54" t="n"/>
      <c r="D472" s="54" t="n"/>
    </row>
    <row r="473" customFormat="1" s="113">
      <c r="A473" s="54" t="n"/>
      <c r="B473" s="14" t="n"/>
      <c r="C473" s="54" t="n"/>
      <c r="D473" s="54" t="n"/>
    </row>
    <row r="474" customFormat="1" s="113">
      <c r="A474" s="54" t="n"/>
      <c r="B474" s="14" t="n"/>
      <c r="C474" s="54" t="n"/>
      <c r="D474" s="54" t="n"/>
    </row>
    <row r="475" customFormat="1" s="113">
      <c r="A475" s="54" t="n"/>
      <c r="B475" s="14" t="n"/>
      <c r="C475" s="54" t="n"/>
      <c r="D475" s="54" t="n"/>
    </row>
    <row r="476" customFormat="1" s="113">
      <c r="A476" s="54" t="n"/>
      <c r="B476" s="14" t="n"/>
      <c r="C476" s="54" t="n"/>
      <c r="D476" s="54" t="n"/>
    </row>
    <row r="477" customFormat="1" s="113">
      <c r="A477" s="54" t="n"/>
      <c r="B477" s="14" t="n"/>
      <c r="C477" s="54" t="n"/>
      <c r="D477" s="54" t="n"/>
    </row>
    <row r="478" customFormat="1" s="113">
      <c r="A478" s="54" t="n"/>
      <c r="B478" s="14" t="n"/>
      <c r="C478" s="54" t="n"/>
      <c r="D478" s="54" t="n"/>
    </row>
    <row r="479" customFormat="1" s="113">
      <c r="A479" s="54" t="n"/>
      <c r="B479" s="14" t="n"/>
      <c r="C479" s="54" t="n"/>
      <c r="D479" s="54" t="n"/>
    </row>
    <row r="480" customFormat="1" s="113">
      <c r="A480" s="54" t="n"/>
      <c r="B480" s="14" t="n"/>
      <c r="C480" s="54" t="n"/>
      <c r="D480" s="54" t="n"/>
    </row>
    <row r="481" customFormat="1" s="113">
      <c r="A481" s="54" t="n"/>
      <c r="B481" s="14" t="n"/>
      <c r="C481" s="54" t="n"/>
      <c r="D481" s="54" t="n"/>
    </row>
    <row r="482" customFormat="1" s="113">
      <c r="A482" s="54" t="n"/>
      <c r="B482" s="14" t="n"/>
      <c r="C482" s="54" t="n"/>
      <c r="D482" s="54" t="n"/>
    </row>
    <row r="483" customFormat="1" s="113">
      <c r="A483" s="54" t="n"/>
      <c r="B483" s="14" t="n"/>
      <c r="C483" s="54" t="n"/>
      <c r="D483" s="54" t="n"/>
    </row>
    <row r="484" customFormat="1" s="113">
      <c r="A484" s="54" t="n"/>
      <c r="B484" s="14" t="n"/>
      <c r="C484" s="54" t="n"/>
      <c r="D484" s="54" t="n"/>
    </row>
    <row r="485" customFormat="1" s="113">
      <c r="A485" s="54" t="n"/>
      <c r="B485" s="14" t="n"/>
      <c r="C485" s="54" t="n"/>
      <c r="D485" s="54" t="n"/>
    </row>
    <row r="486" customFormat="1" s="113">
      <c r="A486" s="54" t="n"/>
      <c r="B486" s="14" t="n"/>
      <c r="C486" s="54" t="n"/>
      <c r="D486" s="54" t="n"/>
    </row>
    <row r="487" customFormat="1" s="113">
      <c r="A487" s="54" t="n"/>
      <c r="B487" s="14" t="n"/>
      <c r="C487" s="54" t="n"/>
      <c r="D487" s="54" t="n"/>
    </row>
    <row r="488" customFormat="1" s="113">
      <c r="A488" s="54" t="n"/>
      <c r="B488" s="14" t="n"/>
      <c r="C488" s="54" t="n"/>
      <c r="D488" s="54" t="n"/>
    </row>
    <row r="489" customFormat="1" s="113">
      <c r="A489" s="54" t="n"/>
      <c r="B489" s="14" t="n"/>
      <c r="C489" s="54" t="n"/>
      <c r="D489" s="54" t="n"/>
    </row>
    <row r="490" customFormat="1" s="113">
      <c r="A490" s="54" t="n"/>
      <c r="B490" s="14" t="n"/>
      <c r="C490" s="54" t="n"/>
      <c r="D490" s="54" t="n"/>
    </row>
    <row r="491" customFormat="1" s="113">
      <c r="A491" s="54" t="n"/>
      <c r="B491" s="14" t="n"/>
      <c r="C491" s="54" t="n"/>
      <c r="D491" s="54" t="n"/>
    </row>
    <row r="492" customFormat="1" s="113">
      <c r="A492" s="54" t="n"/>
      <c r="B492" s="14" t="n"/>
      <c r="C492" s="54" t="n"/>
      <c r="D492" s="54" t="n"/>
    </row>
    <row r="493" customFormat="1" s="113">
      <c r="A493" s="54" t="n"/>
      <c r="B493" s="14" t="n"/>
      <c r="C493" s="54" t="n"/>
      <c r="D493" s="54" t="n"/>
    </row>
    <row r="494" customFormat="1" s="113">
      <c r="A494" s="54" t="n"/>
      <c r="B494" s="14" t="n"/>
      <c r="C494" s="54" t="n"/>
      <c r="D494" s="54" t="n"/>
    </row>
    <row r="495" customFormat="1" s="113">
      <c r="A495" s="54" t="n"/>
      <c r="B495" s="14" t="n"/>
      <c r="C495" s="54" t="n"/>
      <c r="D495" s="54" t="n"/>
    </row>
    <row r="496" customFormat="1" s="113">
      <c r="A496" s="54" t="n"/>
      <c r="B496" s="14" t="n"/>
      <c r="C496" s="54" t="n"/>
      <c r="D496" s="54" t="n"/>
    </row>
    <row r="497" customFormat="1" s="113">
      <c r="A497" s="54" t="n"/>
      <c r="B497" s="14" t="n"/>
      <c r="C497" s="54" t="n"/>
      <c r="D497" s="54" t="n"/>
    </row>
    <row r="498" customFormat="1" s="113">
      <c r="A498" s="54" t="n"/>
      <c r="B498" s="14" t="n"/>
      <c r="C498" s="54" t="n"/>
      <c r="D498" s="54" t="n"/>
    </row>
    <row r="499" customFormat="1" s="113">
      <c r="A499" s="54" t="n"/>
      <c r="B499" s="14" t="n"/>
      <c r="C499" s="54" t="n"/>
      <c r="D499" s="54" t="n"/>
    </row>
    <row r="500" customFormat="1" s="113">
      <c r="A500" s="54" t="n"/>
      <c r="B500" s="14" t="n"/>
      <c r="C500" s="54" t="n"/>
      <c r="D500" s="54" t="n"/>
    </row>
    <row r="501" customFormat="1" s="113">
      <c r="A501" s="54" t="n"/>
      <c r="B501" s="14" t="n"/>
      <c r="C501" s="54" t="n"/>
      <c r="D501" s="54" t="n"/>
    </row>
    <row r="502" customFormat="1" s="113">
      <c r="A502" s="54" t="n"/>
      <c r="B502" s="14" t="n"/>
      <c r="C502" s="54" t="n"/>
      <c r="D502" s="54" t="n"/>
    </row>
    <row r="503" customFormat="1" s="113">
      <c r="A503" s="54" t="n"/>
      <c r="B503" s="14" t="n"/>
      <c r="C503" s="54" t="n"/>
      <c r="D503" s="54" t="n"/>
    </row>
    <row r="504" customFormat="1" s="113">
      <c r="A504" s="54" t="n"/>
      <c r="B504" s="14" t="n"/>
      <c r="C504" s="54" t="n"/>
      <c r="D504" s="54" t="n"/>
    </row>
    <row r="505" customFormat="1" s="113">
      <c r="A505" s="54" t="n"/>
      <c r="B505" s="14" t="n"/>
      <c r="C505" s="54" t="n"/>
      <c r="D505" s="54" t="n"/>
    </row>
    <row r="506" customFormat="1" s="113">
      <c r="A506" s="54" t="n"/>
      <c r="B506" s="14" t="n"/>
      <c r="C506" s="54" t="n"/>
      <c r="D506" s="54" t="n"/>
    </row>
    <row r="507" customFormat="1" s="113">
      <c r="A507" s="54" t="n"/>
      <c r="B507" s="14" t="n"/>
      <c r="C507" s="54" t="n"/>
      <c r="D507" s="54" t="n"/>
    </row>
    <row r="508" customFormat="1" s="113">
      <c r="A508" s="54" t="n"/>
      <c r="B508" s="14" t="n"/>
      <c r="C508" s="54" t="n"/>
      <c r="D508" s="54" t="n"/>
    </row>
    <row r="509" customFormat="1" s="113">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row r="549">
      <c r="A549" s="54" t="n"/>
      <c r="B549" s="14" t="n"/>
      <c r="C549" s="54" t="n"/>
      <c r="D549" s="54" t="n"/>
    </row>
    <row r="550">
      <c r="A550" s="54" t="n"/>
      <c r="B550" s="14" t="n"/>
      <c r="C550" s="54" t="n"/>
      <c r="D550" s="54" t="n"/>
    </row>
    <row r="551">
      <c r="A551" s="54" t="n"/>
      <c r="B551" s="14" t="n"/>
      <c r="C551" s="54" t="n"/>
      <c r="D551" s="54" t="n"/>
    </row>
    <row r="552">
      <c r="A552" s="54" t="n"/>
      <c r="B552" s="14" t="n"/>
      <c r="C552" s="54" t="n"/>
      <c r="D552" s="54" t="n"/>
    </row>
    <row r="553">
      <c r="A553" s="54" t="n"/>
      <c r="B553" s="14" t="n"/>
      <c r="C553" s="54" t="n"/>
      <c r="D553" s="54" t="n"/>
    </row>
  </sheetData>
  <conditionalFormatting sqref="C8:C381">
    <cfRule type="colorScale" priority="42">
      <colorScale>
        <cfvo type="min"/>
        <cfvo type="percentile" val="50"/>
        <cfvo type="max"/>
        <color rgb="FFF8696B"/>
        <color rgb="FFFFEB84"/>
        <color rgb="FF63BE7B"/>
      </colorScale>
    </cfRule>
  </conditionalFormatting>
  <conditionalFormatting sqref="D19:D381">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9"/>
  <sheetViews>
    <sheetView zoomScaleNormal="100" workbookViewId="0">
      <pane ySplit="6" topLeftCell="A365" activePane="bottomLeft" state="frozen"/>
      <selection pane="bottomLeft" activeCell="Y355" sqref="Y355"/>
    </sheetView>
  </sheetViews>
  <sheetFormatPr baseColWidth="8" defaultColWidth="8.81640625" defaultRowHeight="14.5"/>
  <cols>
    <col width="14" customWidth="1" min="1" max="1"/>
    <col width="23.6328125" customWidth="1" style="23" min="2" max="2"/>
    <col width="14.36328125" customWidth="1" min="3" max="3"/>
    <col width="14.1796875" customWidth="1" min="4" max="4"/>
    <col width="14.1796875" customWidth="1" style="113" min="5" max="5"/>
    <col width="9.1796875" customWidth="1" style="113" min="6" max="53"/>
  </cols>
  <sheetData>
    <row r="1" customFormat="1" s="113">
      <c r="A1" s="20" t="inlineStr">
        <is>
          <t>RSFSXMV</t>
        </is>
      </c>
      <c r="B1" s="24" t="inlineStr">
        <is>
          <t>Advance Retail Sales: Retail and Food Services Excluding Motor Vehicles and Parts Dealers</t>
        </is>
      </c>
      <c r="I1" s="21" t="n"/>
      <c r="J1" s="21" t="n"/>
    </row>
    <row r="2" customFormat="1" s="113">
      <c r="A2" s="128" t="inlineStr">
        <is>
          <t>https://fred.stlouisfed.org/series/RSFSXMV</t>
        </is>
      </c>
      <c r="B2" s="22" t="n"/>
    </row>
    <row r="3" customFormat="1" s="113">
      <c r="A3" s="128" t="n"/>
      <c r="B3" s="22" t="n"/>
    </row>
    <row r="4" customFormat="1" s="113">
      <c r="A4" s="128" t="n"/>
      <c r="B4" s="22" t="n"/>
    </row>
    <row r="5" ht="16" customFormat="1" customHeight="1" s="113" thickBot="1">
      <c r="B5" s="22" t="n"/>
      <c r="I5" s="21" t="n"/>
      <c r="J5" s="21" t="n"/>
    </row>
    <row r="6" ht="45.75" customHeight="1"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3">
      <c r="A336" s="11" t="n">
        <v>43617</v>
      </c>
      <c r="B336" s="15">
        <f>VLOOKUP(A336,Database!A:M,MATCH($A$1,Database!$A$1:$M$1,),)</f>
        <v/>
      </c>
      <c r="C336" s="12">
        <f>(B336-B335)/B335</f>
        <v/>
      </c>
      <c r="D336" s="13">
        <f>(B336-B324)/B324</f>
        <v/>
      </c>
    </row>
    <row r="337" customFormat="1" s="113">
      <c r="A337" s="10" t="n">
        <v>43647</v>
      </c>
      <c r="B337" s="15">
        <f>VLOOKUP(A337,Database!A:M,MATCH($A$1,Database!$A$1:$M$1,),)</f>
        <v/>
      </c>
      <c r="C337" s="12">
        <f>(B337-B336)/B336</f>
        <v/>
      </c>
      <c r="D337" s="13">
        <f>(B337-B325)/B325</f>
        <v/>
      </c>
    </row>
    <row r="338" customFormat="1" s="113">
      <c r="A338" s="11" t="n">
        <v>43678</v>
      </c>
      <c r="B338" s="15">
        <f>VLOOKUP(A338,Database!A:M,MATCH($A$1,Database!$A$1:$M$1,),)</f>
        <v/>
      </c>
      <c r="C338" s="12">
        <f>(B338-B337)/B337</f>
        <v/>
      </c>
      <c r="D338" s="13">
        <f>(B338-B326)/B326</f>
        <v/>
      </c>
    </row>
    <row r="339" customFormat="1" s="113">
      <c r="A339" s="10" t="n">
        <v>43709</v>
      </c>
      <c r="B339" s="15">
        <f>VLOOKUP(A339,Database!A:M,MATCH($A$1,Database!$A$1:$M$1,),)</f>
        <v/>
      </c>
      <c r="C339" s="12">
        <f>(B339-B338)/B338</f>
        <v/>
      </c>
      <c r="D339" s="13">
        <f>(B339-B327)/B327</f>
        <v/>
      </c>
    </row>
    <row r="340" customFormat="1" s="113">
      <c r="A340" s="11" t="n">
        <v>43739</v>
      </c>
      <c r="B340" s="15">
        <f>VLOOKUP(A340,Database!A:M,MATCH($A$1,Database!$A$1:$M$1,),)</f>
        <v/>
      </c>
      <c r="C340" s="12">
        <f>(B340-B339)/B339</f>
        <v/>
      </c>
      <c r="D340" s="13">
        <f>(B340-B328)/B328</f>
        <v/>
      </c>
    </row>
    <row r="341" customFormat="1" s="113">
      <c r="A341" s="10" t="n">
        <v>43770</v>
      </c>
      <c r="B341" s="15">
        <f>VLOOKUP(A341,Database!A:M,MATCH($A$1,Database!$A$1:$M$1,),)</f>
        <v/>
      </c>
      <c r="C341" s="12">
        <f>(B341-B340)/B340</f>
        <v/>
      </c>
      <c r="D341" s="13">
        <f>(B341-B329)/B329</f>
        <v/>
      </c>
    </row>
    <row r="342" customFormat="1" s="113">
      <c r="A342" s="11" t="n">
        <v>43800</v>
      </c>
      <c r="B342" s="15">
        <f>VLOOKUP(A342,Database!A:M,MATCH($A$1,Database!$A$1:$M$1,),)</f>
        <v/>
      </c>
      <c r="C342" s="12">
        <f>(B342-B341)/B341</f>
        <v/>
      </c>
      <c r="D342" s="13">
        <f>(B342-B330)/B330</f>
        <v/>
      </c>
    </row>
    <row r="343" customFormat="1" s="113">
      <c r="A343" s="10" t="n">
        <v>43831</v>
      </c>
      <c r="B343" s="15">
        <f>VLOOKUP(A343,Database!A:M,MATCH($A$1,Database!$A$1:$M$1,),)</f>
        <v/>
      </c>
      <c r="C343" s="12">
        <f>(B343-B342)/B342</f>
        <v/>
      </c>
      <c r="D343" s="13">
        <f>(B343-B331)/B331</f>
        <v/>
      </c>
    </row>
    <row r="344" customFormat="1" s="113">
      <c r="A344" s="11" t="n">
        <v>43862</v>
      </c>
      <c r="B344" s="15">
        <f>VLOOKUP(A344,Database!A:M,MATCH($A$1,Database!$A$1:$M$1,),)</f>
        <v/>
      </c>
      <c r="C344" s="12">
        <f>(B344-B343)/B343</f>
        <v/>
      </c>
      <c r="D344" s="13">
        <f>(B344-B332)/B332</f>
        <v/>
      </c>
    </row>
    <row r="345" customFormat="1" s="113">
      <c r="A345" s="10" t="n">
        <v>43891</v>
      </c>
      <c r="B345" s="15">
        <f>VLOOKUP(A345,Database!A:M,MATCH($A$1,Database!$A$1:$M$1,),)</f>
        <v/>
      </c>
      <c r="C345" s="12">
        <f>(B345-B344)/B344</f>
        <v/>
      </c>
      <c r="D345" s="13">
        <f>(B345-B333)/B333</f>
        <v/>
      </c>
    </row>
    <row r="346" customFormat="1" s="113">
      <c r="A346" s="11" t="n">
        <v>43922</v>
      </c>
      <c r="B346" s="15">
        <f>VLOOKUP(A346,Database!A:M,MATCH($A$1,Database!$A$1:$M$1,),)</f>
        <v/>
      </c>
      <c r="C346" s="12">
        <f>(B346-B345)/B345</f>
        <v/>
      </c>
      <c r="D346" s="13">
        <f>(B346-B334)/B334</f>
        <v/>
      </c>
    </row>
    <row r="347" customFormat="1" s="113">
      <c r="A347" s="10" t="n">
        <v>43952</v>
      </c>
      <c r="B347" s="15">
        <f>VLOOKUP(A347,Database!A:M,MATCH($A$1,Database!$A$1:$M$1,),)</f>
        <v/>
      </c>
      <c r="C347" s="12">
        <f>(B347-B346)/B346</f>
        <v/>
      </c>
      <c r="D347" s="13">
        <f>(B347-B335)/B335</f>
        <v/>
      </c>
    </row>
    <row r="348" customFormat="1" s="113">
      <c r="A348" s="11" t="n">
        <v>43983</v>
      </c>
      <c r="B348" s="15">
        <f>VLOOKUP(A348,Database!A:M,MATCH($A$1,Database!$A$1:$M$1,),)</f>
        <v/>
      </c>
      <c r="C348" s="12">
        <f>(B348-B347)/B347</f>
        <v/>
      </c>
      <c r="D348" s="13">
        <f>(B348-B336)/B336</f>
        <v/>
      </c>
    </row>
    <row r="349" customFormat="1" s="113">
      <c r="A349" s="10" t="n">
        <v>44013</v>
      </c>
      <c r="B349" s="15">
        <f>VLOOKUP(A349,Database!A:M,MATCH($A$1,Database!$A$1:$M$1,),)</f>
        <v/>
      </c>
      <c r="C349" s="12">
        <f>(B349-B348)/B348</f>
        <v/>
      </c>
      <c r="D349" s="13">
        <f>(B349-B337)/B337</f>
        <v/>
      </c>
    </row>
    <row r="350" customFormat="1" s="113">
      <c r="A350" s="11" t="n">
        <v>44044</v>
      </c>
      <c r="B350" s="15">
        <f>VLOOKUP(A350,Database!A:M,MATCH($A$1,Database!$A$1:$M$1,),)</f>
        <v/>
      </c>
      <c r="C350" s="12">
        <f>(B350-B349)/B349</f>
        <v/>
      </c>
      <c r="D350" s="13">
        <f>(B350-B338)/B338</f>
        <v/>
      </c>
    </row>
    <row r="351" customFormat="1" s="113">
      <c r="A351" s="10" t="n">
        <v>44075</v>
      </c>
      <c r="B351" s="15">
        <f>VLOOKUP(A351,Database!A:M,MATCH($A$1,Database!$A$1:$M$1,),)</f>
        <v/>
      </c>
      <c r="C351" s="12">
        <f>(B351-B350)/B350</f>
        <v/>
      </c>
      <c r="D351" s="13">
        <f>(B351-B339)/B339</f>
        <v/>
      </c>
    </row>
    <row r="352" customFormat="1" s="113">
      <c r="A352" s="11" t="n">
        <v>44105</v>
      </c>
      <c r="B352" s="15">
        <f>VLOOKUP(A352,Database!A:M,MATCH($A$1,Database!$A$1:$M$1,),)</f>
        <v/>
      </c>
      <c r="C352" s="12">
        <f>(B352-B351)/B351</f>
        <v/>
      </c>
      <c r="D352" s="13">
        <f>(B352-B340)/B340</f>
        <v/>
      </c>
    </row>
    <row r="353" customFormat="1" s="113">
      <c r="A353" s="10" t="n">
        <v>44136</v>
      </c>
      <c r="B353" s="15">
        <f>VLOOKUP(A353,Database!A:M,MATCH($A$1,Database!$A$1:$M$1,),)</f>
        <v/>
      </c>
      <c r="C353" s="12">
        <f>(B353-B352)/B352</f>
        <v/>
      </c>
      <c r="D353" s="13">
        <f>(B353-B341)/B341</f>
        <v/>
      </c>
    </row>
    <row r="354" customFormat="1" s="113">
      <c r="A354" s="11" t="n">
        <v>44166</v>
      </c>
      <c r="B354" s="15">
        <f>VLOOKUP(A354,Database!A:M,MATCH($A$1,Database!$A$1:$M$1,),)</f>
        <v/>
      </c>
      <c r="C354" s="12">
        <f>(B354-B353)/B353</f>
        <v/>
      </c>
      <c r="D354" s="13">
        <f>(B354-B342)/B342</f>
        <v/>
      </c>
    </row>
    <row r="355" customFormat="1" s="113">
      <c r="A355" s="10" t="n">
        <v>44197</v>
      </c>
      <c r="B355" s="15">
        <f>VLOOKUP(A355,Database!A:M,MATCH($A$1,Database!$A$1:$M$1,),)</f>
        <v/>
      </c>
      <c r="C355" s="12">
        <f>(B355-B354)/B354</f>
        <v/>
      </c>
      <c r="D355" s="13">
        <f>(B355-B343)/B343</f>
        <v/>
      </c>
    </row>
    <row r="356" customFormat="1" s="113">
      <c r="A356" s="11" t="n">
        <v>44228</v>
      </c>
      <c r="B356" s="15">
        <f>VLOOKUP(A356,Database!A:M,MATCH($A$1,Database!$A$1:$M$1,),)</f>
        <v/>
      </c>
      <c r="C356" s="12">
        <f>(B356-B355)/B355</f>
        <v/>
      </c>
      <c r="D356" s="13">
        <f>(B356-B344)/B344</f>
        <v/>
      </c>
    </row>
    <row r="357" customFormat="1" s="113">
      <c r="A357" s="10" t="n">
        <v>44256</v>
      </c>
      <c r="B357" s="15">
        <f>VLOOKUP(A357,Database!A:M,MATCH($A$1,Database!$A$1:$M$1,),)</f>
        <v/>
      </c>
      <c r="C357" s="12">
        <f>(B357-B356)/B356</f>
        <v/>
      </c>
      <c r="D357" s="13">
        <f>(B357-B345)/B345</f>
        <v/>
      </c>
    </row>
    <row r="358" customFormat="1" s="113">
      <c r="A358" s="11" t="n">
        <v>44287</v>
      </c>
      <c r="B358" s="15">
        <f>VLOOKUP(A358,Database!A:M,MATCH($A$1,Database!$A$1:$M$1,),)</f>
        <v/>
      </c>
      <c r="C358" s="12">
        <f>(B358-B357)/B357</f>
        <v/>
      </c>
      <c r="D358" s="13">
        <f>(B358-B346)/B346</f>
        <v/>
      </c>
    </row>
    <row r="359" customFormat="1" s="113">
      <c r="A359" s="10" t="n">
        <v>44317</v>
      </c>
      <c r="B359" s="15">
        <f>VLOOKUP(A359,Database!A:M,MATCH($A$1,Database!$A$1:$M$1,),)</f>
        <v/>
      </c>
      <c r="C359" s="12">
        <f>(B359-B358)/B358</f>
        <v/>
      </c>
      <c r="D359" s="13">
        <f>(B359-B347)/B347</f>
        <v/>
      </c>
    </row>
    <row r="360" customFormat="1" s="113">
      <c r="A360" s="11" t="n">
        <v>44348</v>
      </c>
      <c r="B360" s="15">
        <f>VLOOKUP(A360,Database!A:M,MATCH($A$1,Database!$A$1:$M$1,),)</f>
        <v/>
      </c>
      <c r="C360" s="12">
        <f>(B360-B359)/B359</f>
        <v/>
      </c>
      <c r="D360" s="13">
        <f>(B360-B348)/B348</f>
        <v/>
      </c>
    </row>
    <row r="361" customFormat="1" s="113">
      <c r="A361" s="10" t="n">
        <v>44378</v>
      </c>
      <c r="B361" s="15">
        <f>VLOOKUP(A361,Database!A:M,MATCH($A$1,Database!$A$1:$M$1,),)</f>
        <v/>
      </c>
      <c r="C361" s="12">
        <f>(B361-B360)/B360</f>
        <v/>
      </c>
      <c r="D361" s="13">
        <f>(B361-B349)/B349</f>
        <v/>
      </c>
    </row>
    <row r="362" customFormat="1" s="113">
      <c r="A362" s="11" t="n">
        <v>44409</v>
      </c>
      <c r="B362" s="15">
        <f>VLOOKUP(A362,Database!A:M,MATCH($A$1,Database!$A$1:$M$1,),)</f>
        <v/>
      </c>
      <c r="C362" s="12">
        <f>(B362-B361)/B361</f>
        <v/>
      </c>
      <c r="D362" s="13">
        <f>(B362-B350)/B350</f>
        <v/>
      </c>
    </row>
    <row r="363" customFormat="1" s="113">
      <c r="A363" s="11" t="n">
        <v>44440</v>
      </c>
      <c r="B363" s="15">
        <f>VLOOKUP(A363,Database!A:M,MATCH($A$1,Database!$A$1:$M$1,),)</f>
        <v/>
      </c>
      <c r="C363" s="12">
        <f>(B363-B362)/B362</f>
        <v/>
      </c>
      <c r="D363" s="13">
        <f>(B363-B351)/B351</f>
        <v/>
      </c>
    </row>
    <row r="364" customFormat="1" s="113">
      <c r="A364" s="10" t="n">
        <v>44470</v>
      </c>
      <c r="B364" s="15">
        <f>VLOOKUP(A364,Database!A:M,MATCH($A$1,Database!$A$1:$M$1,),)</f>
        <v/>
      </c>
      <c r="C364" s="12">
        <f>(B364-B363)/B363</f>
        <v/>
      </c>
      <c r="D364" s="13">
        <f>(B364-B352)/B352</f>
        <v/>
      </c>
    </row>
    <row r="365" customFormat="1" s="113">
      <c r="A365" s="11" t="n">
        <v>44501</v>
      </c>
      <c r="B365" s="15">
        <f>VLOOKUP(A365,Database!A:M,MATCH($A$1,Database!$A$1:$M$1,),)</f>
        <v/>
      </c>
      <c r="C365" s="12">
        <f>(B365-B364)/B364</f>
        <v/>
      </c>
      <c r="D365" s="13">
        <f>(B365-B353)/B353</f>
        <v/>
      </c>
    </row>
    <row r="366" customFormat="1" s="113">
      <c r="A366" s="10" t="n">
        <v>44531</v>
      </c>
      <c r="B366" s="15">
        <f>VLOOKUP(A366,Database!A:M,MATCH($A$1,Database!$A$1:$M$1,),)</f>
        <v/>
      </c>
      <c r="C366" s="12">
        <f>(B366-B365)/B365</f>
        <v/>
      </c>
      <c r="D366" s="13">
        <f>(B366-B354)/B354</f>
        <v/>
      </c>
    </row>
    <row r="367" customFormat="1" s="113">
      <c r="A367" s="11" t="n">
        <v>44562</v>
      </c>
      <c r="B367" s="15">
        <f>VLOOKUP(A367,Database!A:M,MATCH($A$1,Database!$A$1:$M$1,),)</f>
        <v/>
      </c>
      <c r="C367" s="12">
        <f>(B367-B366)/B366</f>
        <v/>
      </c>
      <c r="D367" s="13">
        <f>(B367-B355)/B355</f>
        <v/>
      </c>
    </row>
    <row r="368" customFormat="1" s="113">
      <c r="A368" s="11" t="n">
        <v>44593</v>
      </c>
      <c r="B368" s="15">
        <f>VLOOKUP(A368,Database!A:M,MATCH($A$1,Database!$A$1:$M$1,),)</f>
        <v/>
      </c>
      <c r="C368" s="12">
        <f>(B368-B367)/B367</f>
        <v/>
      </c>
      <c r="D368" s="13">
        <f>(B368-B356)/B356</f>
        <v/>
      </c>
    </row>
    <row r="369" customFormat="1" s="113">
      <c r="A369" s="11" t="n">
        <v>44621</v>
      </c>
      <c r="B369" s="15">
        <f>VLOOKUP(A369,Database!A:M,MATCH($A$1,Database!$A$1:$M$1,),)</f>
        <v/>
      </c>
      <c r="C369" s="12">
        <f>(B369-B368)/B368</f>
        <v/>
      </c>
      <c r="D369" s="13">
        <f>(B369-B357)/B357</f>
        <v/>
      </c>
    </row>
    <row r="370" customFormat="1" s="113">
      <c r="A370" s="11" t="n">
        <v>44652</v>
      </c>
      <c r="B370" s="15">
        <f>VLOOKUP(A370,Database!A:M,MATCH($A$1,Database!$A$1:$M$1,),)</f>
        <v/>
      </c>
      <c r="C370" s="12">
        <f>(B370-B369)/B369</f>
        <v/>
      </c>
      <c r="D370" s="13">
        <f>(B370-B358)/B358</f>
        <v/>
      </c>
    </row>
    <row r="371" customFormat="1" s="113">
      <c r="A371" s="11" t="n">
        <v>44682</v>
      </c>
      <c r="B371" s="15">
        <f>VLOOKUP(A371,Database!A:M,MATCH($A$1,Database!$A$1:$M$1,),)</f>
        <v/>
      </c>
      <c r="C371" s="12">
        <f>(B371-B370)/B370</f>
        <v/>
      </c>
      <c r="D371" s="13">
        <f>(B371-B359)/B359</f>
        <v/>
      </c>
    </row>
    <row r="372" customFormat="1" s="113">
      <c r="A372" s="11" t="n">
        <v>44713</v>
      </c>
      <c r="B372" s="15">
        <f>VLOOKUP(A372,Database!A:M,MATCH($A$1,Database!$A$1:$M$1,),)</f>
        <v/>
      </c>
      <c r="C372" s="12">
        <f>(B372-B371)/B371</f>
        <v/>
      </c>
      <c r="D372" s="13">
        <f>(B372-B360)/B360</f>
        <v/>
      </c>
    </row>
    <row r="373" customFormat="1" s="113">
      <c r="A373" s="11" t="n">
        <v>44743</v>
      </c>
      <c r="B373" s="15">
        <f>VLOOKUP(A373,Database!A:M,MATCH($A$1,Database!$A$1:$M$1,),)</f>
        <v/>
      </c>
      <c r="C373" s="12">
        <f>(B373-B372)/B372</f>
        <v/>
      </c>
      <c r="D373" s="13">
        <f>(B373-B361)/B361</f>
        <v/>
      </c>
    </row>
    <row r="374" customFormat="1" s="113">
      <c r="A374" s="11" t="n">
        <v>44774</v>
      </c>
      <c r="B374" s="15">
        <f>VLOOKUP(A374,Database!A:M,MATCH($A$1,Database!$A$1:$M$1,),)</f>
        <v/>
      </c>
      <c r="C374" s="12">
        <f>(B374-B373)/B373</f>
        <v/>
      </c>
      <c r="D374" s="13">
        <f>(B374-B362)/B362</f>
        <v/>
      </c>
    </row>
    <row r="375" customFormat="1" s="113">
      <c r="A375" s="11" t="n">
        <v>44805</v>
      </c>
      <c r="B375" s="15">
        <f>VLOOKUP(A375,Database!A:M,MATCH($A$1,Database!$A$1:$M$1,),)</f>
        <v/>
      </c>
      <c r="C375" s="12">
        <f>(B375-B374)/B374</f>
        <v/>
      </c>
      <c r="D375" s="13">
        <f>(B375-B363)/B363</f>
        <v/>
      </c>
    </row>
    <row r="376" customFormat="1" s="113">
      <c r="A376" s="11" t="n">
        <v>44835</v>
      </c>
      <c r="B376" s="15">
        <f>VLOOKUP(A376,Database!A:M,MATCH($A$1,Database!$A$1:$M$1,),)</f>
        <v/>
      </c>
      <c r="C376" s="12">
        <f>(B376-B375)/B375</f>
        <v/>
      </c>
      <c r="D376" s="13">
        <f>(B376-B364)/B364</f>
        <v/>
      </c>
    </row>
    <row r="377" customFormat="1" s="113">
      <c r="A377" s="11" t="n">
        <v>44866</v>
      </c>
      <c r="B377" s="15">
        <f>VLOOKUP(A377,Database!A:M,MATCH($A$1,Database!$A$1:$M$1,),)</f>
        <v/>
      </c>
      <c r="C377" s="12">
        <f>(B377-B376)/B376</f>
        <v/>
      </c>
      <c r="D377" s="13">
        <f>(B377-B365)/B365</f>
        <v/>
      </c>
    </row>
    <row r="378" customFormat="1" s="113">
      <c r="A378" s="11" t="n">
        <v>44896</v>
      </c>
      <c r="B378" s="15">
        <f>VLOOKUP(A378,Database!A:M,MATCH($A$1,Database!$A$1:$M$1,),)</f>
        <v/>
      </c>
      <c r="C378" s="12">
        <f>(B378-B377)/B377</f>
        <v/>
      </c>
      <c r="D378" s="13">
        <f>(B378-B366)/B366</f>
        <v/>
      </c>
    </row>
    <row r="379" customFormat="1" s="113">
      <c r="A379" s="11" t="n">
        <v>44927</v>
      </c>
      <c r="B379" s="15">
        <f>VLOOKUP(A379,Database!A:M,MATCH($A$1,Database!$A$1:$M$1,),)</f>
        <v/>
      </c>
      <c r="C379" s="12">
        <f>(B379-B378)/B378</f>
        <v/>
      </c>
      <c r="D379" s="13">
        <f>(B379-B367)/B367</f>
        <v/>
      </c>
    </row>
    <row r="380" customFormat="1" s="113">
      <c r="A380" s="11" t="n">
        <v>44958</v>
      </c>
      <c r="B380" s="15">
        <f>VLOOKUP(A380,Database!A:M,MATCH($A$1,Database!$A$1:$M$1,),)</f>
        <v/>
      </c>
      <c r="C380" s="12">
        <f>(B380-B379)/B379</f>
        <v/>
      </c>
      <c r="D380" s="13">
        <f>(B380-B368)/B368</f>
        <v/>
      </c>
    </row>
    <row r="381" customFormat="1" s="113">
      <c r="A381" s="11" t="n">
        <v>44986</v>
      </c>
      <c r="B381" s="15">
        <f>VLOOKUP(A381,Database!A:M,MATCH($A$1,Database!$A$1:$M$1,),)</f>
        <v/>
      </c>
      <c r="C381" s="12">
        <f>(B381-B380)/B380</f>
        <v/>
      </c>
      <c r="D381" s="13">
        <f>(B381-B369)/B369</f>
        <v/>
      </c>
    </row>
    <row r="382" customFormat="1" s="113">
      <c r="B382" s="22" t="n"/>
    </row>
    <row r="383" customFormat="1" s="113">
      <c r="B383" s="22" t="n"/>
    </row>
    <row r="384" customFormat="1" s="113">
      <c r="B384" s="22" t="n"/>
    </row>
    <row r="385" customFormat="1" s="113">
      <c r="B385" s="22" t="n"/>
    </row>
    <row r="386" customFormat="1" s="113">
      <c r="B386" s="22" t="n"/>
    </row>
    <row r="387" customFormat="1" s="113">
      <c r="B387" s="22" t="n"/>
    </row>
    <row r="388" customFormat="1" s="113">
      <c r="B388" s="22" t="n"/>
    </row>
    <row r="389" customFormat="1" s="113">
      <c r="B389" s="22" t="n"/>
    </row>
    <row r="390" customFormat="1" s="113">
      <c r="B390" s="22" t="n"/>
    </row>
    <row r="391" customFormat="1" s="113">
      <c r="B391" s="22" t="n"/>
    </row>
    <row r="392" customFormat="1" s="113">
      <c r="B392" s="22" t="n"/>
    </row>
    <row r="393" customFormat="1" s="113">
      <c r="B393" s="22" t="n"/>
    </row>
    <row r="394" customFormat="1" s="113">
      <c r="B394" s="22" t="n"/>
    </row>
    <row r="395" customFormat="1" s="113">
      <c r="B395" s="22" t="n"/>
    </row>
    <row r="396" customFormat="1" s="113">
      <c r="B396" s="22" t="n"/>
    </row>
    <row r="397" customFormat="1" s="113">
      <c r="B397" s="22" t="n"/>
    </row>
    <row r="398" customFormat="1" s="113">
      <c r="B398" s="22" t="n"/>
    </row>
    <row r="399" customFormat="1" s="113">
      <c r="B399" s="22" t="n"/>
    </row>
    <row r="400" customFormat="1" s="113">
      <c r="B400" s="22" t="n"/>
    </row>
    <row r="401" customFormat="1" s="113">
      <c r="B401" s="22" t="n"/>
    </row>
    <row r="402" customFormat="1" s="113">
      <c r="B402" s="22" t="n"/>
    </row>
    <row r="403" customFormat="1" s="113">
      <c r="B403" s="22" t="n"/>
    </row>
    <row r="404" customFormat="1" s="113">
      <c r="B404" s="22" t="n"/>
    </row>
    <row r="405" customFormat="1" s="113">
      <c r="B405" s="22" t="n"/>
    </row>
    <row r="406" customFormat="1" s="113">
      <c r="B406" s="22" t="n"/>
    </row>
    <row r="407" customFormat="1" s="113">
      <c r="B407" s="22" t="n"/>
    </row>
    <row r="408" customFormat="1" s="113">
      <c r="B408" s="22" t="n"/>
    </row>
    <row r="409" customFormat="1" s="113">
      <c r="B409" s="22" t="n"/>
    </row>
    <row r="410" customFormat="1" s="113">
      <c r="B410" s="22" t="n"/>
    </row>
    <row r="411" customFormat="1" s="113">
      <c r="B411" s="22" t="n"/>
    </row>
    <row r="412" customFormat="1" s="113">
      <c r="B412" s="22" t="n"/>
    </row>
    <row r="413" customFormat="1" s="113">
      <c r="B413" s="22" t="n"/>
    </row>
    <row r="414" customFormat="1" s="113">
      <c r="B414" s="22" t="n"/>
    </row>
    <row r="415" customFormat="1" s="113">
      <c r="B415" s="22" t="n"/>
    </row>
    <row r="416" customFormat="1" s="113">
      <c r="B416" s="22" t="n"/>
    </row>
    <row r="417" customFormat="1" s="113">
      <c r="B417" s="22" t="n"/>
    </row>
    <row r="418" customFormat="1" s="113">
      <c r="B418" s="22" t="n"/>
    </row>
    <row r="419" customFormat="1" s="113">
      <c r="B419" s="22" t="n"/>
    </row>
    <row r="420" customFormat="1" s="113">
      <c r="B420" s="22" t="n"/>
    </row>
    <row r="421" customFormat="1" s="113">
      <c r="B421" s="22" t="n"/>
    </row>
    <row r="422" customFormat="1" s="113">
      <c r="B422" s="22" t="n"/>
    </row>
    <row r="423" customFormat="1" s="113">
      <c r="B423" s="22" t="n"/>
    </row>
    <row r="424" customFormat="1" s="113">
      <c r="B424" s="22" t="n"/>
    </row>
    <row r="425" customFormat="1" s="113">
      <c r="B425" s="22" t="n"/>
    </row>
    <row r="426" customFormat="1" s="113">
      <c r="B426" s="22" t="n"/>
    </row>
    <row r="427" customFormat="1" s="113">
      <c r="B427" s="22" t="n"/>
    </row>
    <row r="428" customFormat="1" s="113">
      <c r="B428" s="22" t="n"/>
    </row>
    <row r="429" customFormat="1" s="113">
      <c r="B429" s="22" t="n"/>
    </row>
    <row r="430" customFormat="1" s="113">
      <c r="B430" s="22" t="n"/>
    </row>
    <row r="431" customFormat="1" s="113">
      <c r="B431" s="22" t="n"/>
    </row>
    <row r="432" customFormat="1" s="113">
      <c r="B432" s="22" t="n"/>
    </row>
    <row r="433" customFormat="1" s="113">
      <c r="B433" s="22" t="n"/>
    </row>
    <row r="434" customFormat="1" s="113">
      <c r="B434" s="22" t="n"/>
    </row>
    <row r="435" customFormat="1" s="113">
      <c r="B435" s="22" t="n"/>
    </row>
    <row r="436" customFormat="1" s="113">
      <c r="B436" s="22" t="n"/>
    </row>
    <row r="437" customFormat="1" s="113">
      <c r="B437" s="22" t="n"/>
    </row>
    <row r="438" customFormat="1" s="113">
      <c r="B438" s="22" t="n"/>
    </row>
    <row r="439" customFormat="1" s="113">
      <c r="B439" s="22" t="n"/>
    </row>
    <row r="440" customFormat="1" s="113">
      <c r="B440" s="22" t="n"/>
    </row>
    <row r="441" customFormat="1" s="113">
      <c r="B441" s="22" t="n"/>
    </row>
    <row r="442" customFormat="1" s="113">
      <c r="B442" s="22" t="n"/>
    </row>
    <row r="443" customFormat="1" s="113">
      <c r="B443" s="22" t="n"/>
    </row>
    <row r="444" customFormat="1" s="113">
      <c r="B444" s="22" t="n"/>
    </row>
    <row r="445" customFormat="1" s="113">
      <c r="B445" s="22" t="n"/>
    </row>
    <row r="446" customFormat="1" s="113">
      <c r="B446" s="22" t="n"/>
    </row>
    <row r="447" customFormat="1" s="113">
      <c r="B447" s="22" t="n"/>
    </row>
    <row r="448" customFormat="1" s="113">
      <c r="B448" s="22" t="n"/>
    </row>
    <row r="449" customFormat="1" s="113">
      <c r="B449" s="22" t="n"/>
    </row>
    <row r="450" customFormat="1" s="113">
      <c r="B450" s="22" t="n"/>
    </row>
    <row r="451" customFormat="1" s="113">
      <c r="B451" s="22" t="n"/>
    </row>
    <row r="452" customFormat="1" s="113">
      <c r="B452" s="22" t="n"/>
    </row>
    <row r="453" customFormat="1" s="113">
      <c r="B453" s="22" t="n"/>
    </row>
    <row r="454" customFormat="1" s="113">
      <c r="B454" s="22" t="n"/>
    </row>
    <row r="455" customFormat="1" s="113">
      <c r="B455" s="22" t="n"/>
    </row>
    <row r="456" customFormat="1" s="113">
      <c r="B456" s="22" t="n"/>
    </row>
    <row r="457" customFormat="1" s="113">
      <c r="B457" s="22" t="n"/>
    </row>
    <row r="458" customFormat="1" s="113">
      <c r="B458" s="22" t="n"/>
    </row>
    <row r="459" customFormat="1" s="113">
      <c r="B459" s="22" t="n"/>
    </row>
    <row r="460" customFormat="1" s="113">
      <c r="B460" s="22" t="n"/>
    </row>
    <row r="461" customFormat="1" s="113">
      <c r="B461" s="22" t="n"/>
    </row>
    <row r="462" customFormat="1" s="113">
      <c r="B462" s="22" t="n"/>
    </row>
    <row r="463" customFormat="1" s="113">
      <c r="B463" s="22" t="n"/>
    </row>
    <row r="464" customFormat="1" s="113">
      <c r="B464" s="22" t="n"/>
    </row>
    <row r="465" customFormat="1" s="113">
      <c r="B465" s="22" t="n"/>
    </row>
    <row r="466" customFormat="1" s="113">
      <c r="B466" s="22" t="n"/>
    </row>
    <row r="467" customFormat="1" s="113">
      <c r="B467" s="22" t="n"/>
    </row>
    <row r="468" customFormat="1" s="113">
      <c r="B468" s="22" t="n"/>
    </row>
    <row r="469" customFormat="1" s="113">
      <c r="B469" s="22" t="n"/>
    </row>
    <row r="470" customFormat="1" s="113">
      <c r="B470" s="22" t="n"/>
    </row>
    <row r="471" customFormat="1" s="113">
      <c r="B471" s="22" t="n"/>
    </row>
    <row r="472" customFormat="1" s="113">
      <c r="B472" s="22" t="n"/>
    </row>
    <row r="473" customFormat="1" s="113">
      <c r="B473" s="22" t="n"/>
    </row>
    <row r="474" customFormat="1" s="113">
      <c r="B474" s="22" t="n"/>
    </row>
    <row r="475" customFormat="1" s="113">
      <c r="B475" s="22" t="n"/>
    </row>
    <row r="476" customFormat="1" s="113">
      <c r="B476" s="22" t="n"/>
    </row>
    <row r="477" customFormat="1" s="113">
      <c r="B477" s="22" t="n"/>
    </row>
    <row r="478" customFormat="1" s="113">
      <c r="B478" s="22" t="n"/>
    </row>
    <row r="479" customFormat="1" s="113">
      <c r="B479" s="22" t="n"/>
    </row>
    <row r="480" customFormat="1" s="113">
      <c r="B480" s="22" t="n"/>
    </row>
    <row r="481" customFormat="1" s="113">
      <c r="B481" s="22" t="n"/>
    </row>
    <row r="482" customFormat="1" s="113">
      <c r="B482" s="22" t="n"/>
    </row>
    <row r="483" customFormat="1" s="113">
      <c r="B483" s="22" t="n"/>
    </row>
    <row r="484" customFormat="1" s="113">
      <c r="B484" s="22" t="n"/>
    </row>
    <row r="485" customFormat="1" s="113">
      <c r="B485" s="22" t="n"/>
    </row>
    <row r="486" customFormat="1" s="113">
      <c r="B486" s="22" t="n"/>
    </row>
    <row r="487" customFormat="1" s="113">
      <c r="B487" s="22" t="n"/>
    </row>
    <row r="488" customFormat="1" s="113">
      <c r="B488" s="22" t="n"/>
    </row>
    <row r="489" customFormat="1" s="113">
      <c r="B489" s="22" t="n"/>
    </row>
    <row r="490" customFormat="1" s="113">
      <c r="B490" s="22" t="n"/>
    </row>
    <row r="491" customFormat="1" s="113">
      <c r="B491" s="22" t="n"/>
    </row>
    <row r="492" customFormat="1" s="113">
      <c r="B492" s="22" t="n"/>
    </row>
    <row r="493" customFormat="1" s="113">
      <c r="B493" s="22" t="n"/>
    </row>
    <row r="494" customFormat="1" s="113">
      <c r="B494" s="22" t="n"/>
    </row>
    <row r="495" customFormat="1" s="113">
      <c r="B495" s="22" t="n"/>
    </row>
    <row r="496" customFormat="1" s="113">
      <c r="B496" s="22" t="n"/>
    </row>
    <row r="497" customFormat="1" s="113">
      <c r="B497" s="22" t="n"/>
    </row>
    <row r="498" customFormat="1" s="113">
      <c r="B498" s="22" t="n"/>
    </row>
    <row r="499" customFormat="1" s="113">
      <c r="B499" s="22" t="n"/>
    </row>
    <row r="500" customFormat="1" s="113">
      <c r="B500" s="22" t="n"/>
    </row>
    <row r="501" customFormat="1" s="113">
      <c r="B501" s="22" t="n"/>
    </row>
    <row r="502" customFormat="1" s="113">
      <c r="B502" s="22" t="n"/>
    </row>
    <row r="503" customFormat="1" s="113">
      <c r="B503" s="22" t="n"/>
    </row>
    <row r="504" customFormat="1" s="113">
      <c r="B504" s="22" t="n"/>
    </row>
    <row r="505" customFormat="1" s="113">
      <c r="B505" s="22" t="n"/>
    </row>
    <row r="506" customFormat="1" s="113">
      <c r="B506" s="22" t="n"/>
    </row>
    <row r="507" customFormat="1" s="113">
      <c r="B507" s="22" t="n"/>
    </row>
    <row r="508" customFormat="1" s="113">
      <c r="B508" s="22" t="n"/>
    </row>
    <row r="509" customFormat="1" s="113">
      <c r="B509" s="22" t="n"/>
    </row>
    <row r="510" customFormat="1" s="113">
      <c r="B510" s="22" t="n"/>
    </row>
    <row r="511" customFormat="1" s="113">
      <c r="B511" s="22" t="n"/>
    </row>
    <row r="512" customFormat="1" s="113">
      <c r="B512" s="22" t="n"/>
    </row>
    <row r="513" customFormat="1" s="113">
      <c r="B513" s="22" t="n"/>
    </row>
    <row r="514" customFormat="1" s="113">
      <c r="B514" s="22" t="n"/>
    </row>
    <row r="515" customFormat="1" s="113">
      <c r="B515" s="22" t="n"/>
    </row>
    <row r="516" customFormat="1" s="113">
      <c r="B516" s="22" t="n"/>
    </row>
    <row r="517" customFormat="1" s="113">
      <c r="B517" s="22" t="n"/>
    </row>
    <row r="518" customFormat="1" s="113">
      <c r="B518" s="22" t="n"/>
    </row>
    <row r="519" customFormat="1" s="113">
      <c r="B519" s="22" t="n"/>
    </row>
    <row r="520" customFormat="1" s="113">
      <c r="B520" s="22" t="n"/>
    </row>
    <row r="521" customFormat="1" s="113">
      <c r="B521" s="22" t="n"/>
    </row>
    <row r="522" customFormat="1" s="113">
      <c r="B522" s="22" t="n"/>
    </row>
    <row r="523" customFormat="1" s="113">
      <c r="B523" s="22" t="n"/>
    </row>
    <row r="524" customFormat="1" s="113">
      <c r="B524" s="22" t="n"/>
    </row>
    <row r="525" customFormat="1" s="113">
      <c r="B525" s="22" t="n"/>
    </row>
    <row r="526" customFormat="1" s="113">
      <c r="B526" s="22" t="n"/>
    </row>
    <row r="527" customFormat="1" s="113">
      <c r="B527" s="22" t="n"/>
    </row>
    <row r="528" customFormat="1" s="113">
      <c r="B528" s="22" t="n"/>
    </row>
    <row r="529" customFormat="1" s="113">
      <c r="B529" s="22" t="n"/>
    </row>
    <row r="530" customFormat="1" s="113">
      <c r="B530" s="22" t="n"/>
    </row>
    <row r="531" customFormat="1" s="113">
      <c r="B531" s="22" t="n"/>
    </row>
    <row r="532" customFormat="1" s="113">
      <c r="B532" s="22" t="n"/>
    </row>
    <row r="533" customFormat="1" s="113">
      <c r="B533" s="22" t="n"/>
    </row>
    <row r="534" customFormat="1" s="113">
      <c r="B534" s="22" t="n"/>
    </row>
    <row r="535" customFormat="1" s="113">
      <c r="B535" s="22" t="n"/>
    </row>
    <row r="536" customFormat="1" s="113">
      <c r="B536" s="22" t="n"/>
    </row>
    <row r="537" customFormat="1" s="113">
      <c r="B537" s="22" t="n"/>
    </row>
    <row r="538" customFormat="1" s="113">
      <c r="B538" s="22" t="n"/>
    </row>
    <row r="539" customFormat="1" s="113">
      <c r="B539" s="22" t="n"/>
    </row>
    <row r="540" customFormat="1" s="113">
      <c r="B540" s="22" t="n"/>
    </row>
    <row r="541" customFormat="1" s="113">
      <c r="B541" s="22" t="n"/>
    </row>
    <row r="542" customFormat="1" s="113">
      <c r="B542" s="22" t="n"/>
    </row>
    <row r="543" customFormat="1" s="113">
      <c r="B543" s="22" t="n"/>
    </row>
    <row r="544" customFormat="1" s="113">
      <c r="B544" s="22" t="n"/>
    </row>
    <row r="545" customFormat="1" s="113">
      <c r="B545" s="22" t="n"/>
    </row>
    <row r="546" customFormat="1" s="113">
      <c r="B546" s="22" t="n"/>
    </row>
    <row r="547" customFormat="1" s="113">
      <c r="B547" s="22" t="n"/>
    </row>
    <row r="548" customFormat="1" s="113">
      <c r="B548" s="22" t="n"/>
    </row>
    <row r="549" customFormat="1" s="113">
      <c r="B549" s="22" t="n"/>
    </row>
    <row r="550" customFormat="1" s="113">
      <c r="B550" s="22" t="n"/>
    </row>
    <row r="551" customFormat="1" s="113">
      <c r="B551" s="22" t="n"/>
    </row>
    <row r="552" customFormat="1" s="113">
      <c r="B552" s="22" t="n"/>
    </row>
    <row r="553" customFormat="1" s="113">
      <c r="B553" s="22" t="n"/>
    </row>
    <row r="554" customFormat="1" s="113">
      <c r="B554" s="22" t="n"/>
    </row>
    <row r="555" customFormat="1" s="113">
      <c r="B555" s="22" t="n"/>
    </row>
    <row r="556" customFormat="1" s="113">
      <c r="B556" s="22" t="n"/>
    </row>
    <row r="557" customFormat="1" s="113">
      <c r="B557" s="22" t="n"/>
    </row>
    <row r="558" customFormat="1" s="113">
      <c r="B558" s="22" t="n"/>
    </row>
    <row r="559" customFormat="1" s="113">
      <c r="B559" s="22" t="n"/>
    </row>
    <row r="560" customFormat="1" s="113">
      <c r="B560" s="22" t="n"/>
    </row>
    <row r="561" customFormat="1" s="113">
      <c r="B561" s="22" t="n"/>
    </row>
    <row r="562" customFormat="1" s="113">
      <c r="B562" s="22" t="n"/>
    </row>
    <row r="563" customFormat="1" s="113">
      <c r="B563" s="22" t="n"/>
    </row>
    <row r="564" customFormat="1" s="113">
      <c r="B564" s="22" t="n"/>
    </row>
    <row r="565" customFormat="1" s="113">
      <c r="B565" s="22" t="n"/>
    </row>
    <row r="566" customFormat="1" s="113">
      <c r="B566" s="22" t="n"/>
    </row>
    <row r="567" customFormat="1" s="113">
      <c r="B567" s="22" t="n"/>
    </row>
    <row r="568" customFormat="1" s="113">
      <c r="B568" s="22" t="n"/>
    </row>
    <row r="569" customFormat="1" s="113">
      <c r="B569" s="22" t="n"/>
    </row>
    <row r="570" customFormat="1" s="113">
      <c r="B570" s="22" t="n"/>
    </row>
    <row r="571" customFormat="1" s="113">
      <c r="B571" s="22" t="n"/>
    </row>
    <row r="572" customFormat="1" s="113">
      <c r="B572" s="22" t="n"/>
    </row>
    <row r="573" customFormat="1" s="113">
      <c r="B573" s="22" t="n"/>
    </row>
    <row r="574" customFormat="1" s="113">
      <c r="B574" s="22" t="n"/>
    </row>
    <row r="575" customFormat="1" s="113">
      <c r="B575" s="22" t="n"/>
    </row>
    <row r="576" customFormat="1" s="113">
      <c r="B576" s="22" t="n"/>
    </row>
    <row r="577" customFormat="1" s="113">
      <c r="B577" s="22" t="n"/>
    </row>
    <row r="578" customFormat="1" s="113">
      <c r="B578" s="22" t="n"/>
    </row>
    <row r="579" customFormat="1" s="113">
      <c r="B579" s="22" t="n"/>
    </row>
    <row r="580" customFormat="1" s="113">
      <c r="B580" s="22" t="n"/>
    </row>
    <row r="581" customFormat="1" s="113">
      <c r="B581" s="22" t="n"/>
    </row>
    <row r="582" customFormat="1" s="113">
      <c r="B582" s="22" t="n"/>
    </row>
    <row r="583" customFormat="1" s="113">
      <c r="B583" s="22" t="n"/>
    </row>
    <row r="584" customFormat="1" s="113">
      <c r="B584" s="22" t="n"/>
    </row>
    <row r="585" customFormat="1" s="113">
      <c r="B585" s="22" t="n"/>
    </row>
    <row r="586" customFormat="1" s="113">
      <c r="B586" s="22" t="n"/>
    </row>
    <row r="587" customFormat="1" s="113">
      <c r="B587" s="22" t="n"/>
    </row>
    <row r="588" customFormat="1" s="113">
      <c r="B588" s="22" t="n"/>
    </row>
    <row r="589" customFormat="1" s="113">
      <c r="B589" s="22" t="n"/>
    </row>
    <row r="590" customFormat="1" s="113">
      <c r="B590" s="22" t="n"/>
    </row>
    <row r="591" customFormat="1" s="113">
      <c r="B591" s="22" t="n"/>
    </row>
    <row r="592" customFormat="1" s="113">
      <c r="B592" s="22" t="n"/>
    </row>
    <row r="593" customFormat="1" s="113">
      <c r="B593" s="22" t="n"/>
    </row>
    <row r="594" customFormat="1" s="113">
      <c r="B594" s="22" t="n"/>
    </row>
    <row r="595" customFormat="1" s="113">
      <c r="B595" s="22" t="n"/>
    </row>
    <row r="596" customFormat="1" s="113">
      <c r="B596" s="22" t="n"/>
    </row>
    <row r="597" customFormat="1" s="113">
      <c r="B597" s="22" t="n"/>
    </row>
    <row r="598" customFormat="1" s="113">
      <c r="B598" s="22" t="n"/>
    </row>
    <row r="599" customFormat="1" s="113">
      <c r="B599" s="22" t="n"/>
    </row>
    <row r="600" customFormat="1" s="113">
      <c r="B600" s="22" t="n"/>
    </row>
    <row r="601" customFormat="1" s="113">
      <c r="B601" s="22" t="n"/>
    </row>
    <row r="602" customFormat="1" s="113">
      <c r="B602" s="22" t="n"/>
    </row>
    <row r="603" customFormat="1" s="113">
      <c r="B603" s="22" t="n"/>
    </row>
    <row r="604" customFormat="1" s="113">
      <c r="B604" s="22" t="n"/>
    </row>
    <row r="605" customFormat="1" s="113">
      <c r="B605" s="22" t="n"/>
    </row>
    <row r="606" customFormat="1" s="113">
      <c r="B606" s="22" t="n"/>
    </row>
    <row r="607" customFormat="1" s="113">
      <c r="B607" s="22" t="n"/>
    </row>
    <row r="608" customFormat="1" s="113">
      <c r="B608" s="22" t="n"/>
    </row>
    <row r="609" customFormat="1" s="113">
      <c r="B609" s="22" t="n"/>
    </row>
    <row r="610" customFormat="1" s="113">
      <c r="B610" s="22" t="n"/>
    </row>
    <row r="611" customFormat="1" s="113">
      <c r="B611" s="22" t="n"/>
    </row>
    <row r="612" customFormat="1" s="113">
      <c r="B612" s="22" t="n"/>
    </row>
    <row r="613" customFormat="1" s="113">
      <c r="B613" s="22" t="n"/>
    </row>
    <row r="614" customFormat="1" s="113">
      <c r="B614" s="22" t="n"/>
    </row>
    <row r="615" customFormat="1" s="113">
      <c r="B615" s="22" t="n"/>
    </row>
    <row r="616" customFormat="1" s="113">
      <c r="B616" s="22" t="n"/>
    </row>
    <row r="617" customFormat="1" s="113">
      <c r="B617" s="22" t="n"/>
    </row>
    <row r="618" customFormat="1" s="113">
      <c r="B618" s="22" t="n"/>
    </row>
    <row r="619" customFormat="1" s="113">
      <c r="B619" s="22" t="n"/>
    </row>
    <row r="620" customFormat="1" s="113">
      <c r="B620" s="22" t="n"/>
    </row>
    <row r="621" customFormat="1" s="113">
      <c r="B621" s="22" t="n"/>
    </row>
    <row r="622" customFormat="1" s="113">
      <c r="B622" s="22" t="n"/>
    </row>
    <row r="623" customFormat="1" s="113">
      <c r="B623" s="22" t="n"/>
    </row>
    <row r="624" customFormat="1" s="113">
      <c r="B624" s="22" t="n"/>
    </row>
    <row r="625" customFormat="1" s="113">
      <c r="B625" s="22" t="n"/>
    </row>
    <row r="626" customFormat="1" s="113">
      <c r="B626" s="22" t="n"/>
    </row>
    <row r="627" customFormat="1" s="113">
      <c r="B627" s="22" t="n"/>
    </row>
    <row r="628" customFormat="1" s="113">
      <c r="B628" s="22" t="n"/>
    </row>
    <row r="629" customFormat="1" s="113">
      <c r="B629" s="22" t="n"/>
    </row>
    <row r="630" customFormat="1" s="113">
      <c r="B630" s="22" t="n"/>
    </row>
    <row r="631" customFormat="1" s="113">
      <c r="B631" s="22" t="n"/>
    </row>
    <row r="632" customFormat="1" s="113">
      <c r="B632" s="22" t="n"/>
    </row>
    <row r="633" customFormat="1" s="113">
      <c r="B633" s="22" t="n"/>
    </row>
    <row r="634" customFormat="1" s="113">
      <c r="B634" s="22" t="n"/>
    </row>
    <row r="635" customFormat="1" s="113">
      <c r="B635" s="22" t="n"/>
    </row>
    <row r="636" customFormat="1" s="113">
      <c r="B636" s="22" t="n"/>
    </row>
    <row r="637" customFormat="1" s="113">
      <c r="B637" s="22" t="n"/>
    </row>
    <row r="638" customFormat="1" s="113">
      <c r="B638" s="22" t="n"/>
    </row>
    <row r="639" customFormat="1" s="113">
      <c r="B639" s="22" t="n"/>
    </row>
    <row r="640" customFormat="1" s="113">
      <c r="B640" s="22" t="n"/>
    </row>
    <row r="641" customFormat="1" s="113">
      <c r="B641" s="22" t="n"/>
    </row>
    <row r="642" customFormat="1" s="113">
      <c r="B642" s="22" t="n"/>
    </row>
    <row r="643" customFormat="1" s="113">
      <c r="B643" s="22" t="n"/>
    </row>
    <row r="644" customFormat="1" s="113">
      <c r="B644" s="22" t="n"/>
    </row>
    <row r="645" customFormat="1" s="113">
      <c r="B645" s="22" t="n"/>
    </row>
    <row r="646" customFormat="1" s="113">
      <c r="B646" s="22" t="n"/>
    </row>
    <row r="647" customFormat="1" s="113">
      <c r="B647" s="22" t="n"/>
    </row>
    <row r="648" customFormat="1" s="113">
      <c r="B648" s="22" t="n"/>
    </row>
    <row r="649" customFormat="1" s="113">
      <c r="B649" s="22" t="n"/>
    </row>
    <row r="650" customFormat="1" s="113">
      <c r="B650" s="22" t="n"/>
    </row>
    <row r="651" customFormat="1" s="113">
      <c r="B651" s="22" t="n"/>
    </row>
    <row r="652" customFormat="1" s="113">
      <c r="B652" s="22" t="n"/>
    </row>
    <row r="653" customFormat="1" s="113">
      <c r="B653" s="22" t="n"/>
    </row>
    <row r="654" customFormat="1" s="113">
      <c r="B654" s="22" t="n"/>
    </row>
    <row r="655" customFormat="1" s="113">
      <c r="B655" s="22" t="n"/>
    </row>
    <row r="656" customFormat="1" s="113">
      <c r="B656" s="22" t="n"/>
    </row>
    <row r="657" customFormat="1" s="113">
      <c r="B657" s="22" t="n"/>
    </row>
    <row r="658" customFormat="1" s="113">
      <c r="B658" s="22" t="n"/>
    </row>
    <row r="659" customFormat="1" s="113">
      <c r="B659" s="22" t="n"/>
    </row>
    <row r="660" customFormat="1" s="113">
      <c r="B660" s="22" t="n"/>
    </row>
    <row r="661" customFormat="1" s="113">
      <c r="B661" s="22" t="n"/>
    </row>
    <row r="662" customFormat="1" s="113">
      <c r="B662" s="22" t="n"/>
    </row>
    <row r="663" customFormat="1" s="113">
      <c r="B663" s="22" t="n"/>
    </row>
    <row r="664" customFormat="1" s="113">
      <c r="B664" s="22" t="n"/>
    </row>
    <row r="665" customFormat="1" s="113">
      <c r="B665" s="22" t="n"/>
    </row>
    <row r="666" customFormat="1" s="113">
      <c r="B666" s="22" t="n"/>
    </row>
    <row r="667" customFormat="1" s="113">
      <c r="B667" s="22" t="n"/>
    </row>
    <row r="668" customFormat="1" s="113">
      <c r="B668" s="22" t="n"/>
    </row>
    <row r="669" customFormat="1" s="113">
      <c r="B669" s="22" t="n"/>
    </row>
    <row r="670" customFormat="1" s="113">
      <c r="B670" s="22" t="n"/>
    </row>
    <row r="671" customFormat="1" s="113">
      <c r="B671" s="22" t="n"/>
    </row>
    <row r="672" customFormat="1" s="113">
      <c r="B672" s="22" t="n"/>
    </row>
    <row r="673" customFormat="1" s="113">
      <c r="B673" s="22" t="n"/>
    </row>
    <row r="674" customFormat="1" s="113">
      <c r="B674" s="22" t="n"/>
    </row>
    <row r="675" customFormat="1" s="113">
      <c r="B675" s="22" t="n"/>
    </row>
    <row r="676" customFormat="1" s="113">
      <c r="B676" s="22" t="n"/>
    </row>
    <row r="677" customFormat="1" s="113">
      <c r="B677" s="22" t="n"/>
    </row>
    <row r="678" customFormat="1" s="113">
      <c r="B678" s="22" t="n"/>
    </row>
    <row r="679" customFormat="1" s="113">
      <c r="B679" s="22" t="n"/>
    </row>
    <row r="680" customFormat="1" s="113">
      <c r="B680" s="22" t="n"/>
    </row>
    <row r="681" customFormat="1" s="113">
      <c r="B681" s="22" t="n"/>
    </row>
    <row r="682" customFormat="1" s="113">
      <c r="B682" s="22" t="n"/>
    </row>
    <row r="683" customFormat="1" s="113">
      <c r="B683" s="22" t="n"/>
    </row>
    <row r="684" customFormat="1" s="113">
      <c r="B684" s="22" t="n"/>
    </row>
    <row r="685" customFormat="1" s="113">
      <c r="B685" s="22" t="n"/>
    </row>
    <row r="686" customFormat="1" s="113">
      <c r="B686" s="22" t="n"/>
    </row>
    <row r="687" customFormat="1" s="113">
      <c r="B687" s="22" t="n"/>
    </row>
    <row r="688" customFormat="1" s="113">
      <c r="B688" s="22" t="n"/>
    </row>
    <row r="689" customFormat="1" s="113">
      <c r="B689" s="22" t="n"/>
    </row>
    <row r="690" customFormat="1" s="113">
      <c r="B690" s="22" t="n"/>
    </row>
    <row r="691" customFormat="1" s="113">
      <c r="B691" s="22" t="n"/>
    </row>
    <row r="692" customFormat="1" s="113">
      <c r="B692" s="22" t="n"/>
    </row>
    <row r="693" customFormat="1" s="113">
      <c r="B693" s="22" t="n"/>
    </row>
    <row r="694" customFormat="1" s="113">
      <c r="B694" s="22" t="n"/>
    </row>
    <row r="695" customFormat="1" s="113">
      <c r="B695" s="22" t="n"/>
    </row>
    <row r="696" customFormat="1" s="113">
      <c r="B696" s="22" t="n"/>
    </row>
    <row r="697" customFormat="1" s="113">
      <c r="B697" s="22" t="n"/>
    </row>
    <row r="698" customFormat="1" s="113">
      <c r="B698" s="22" t="n"/>
    </row>
    <row r="699" customFormat="1" s="113">
      <c r="B699" s="22" t="n"/>
    </row>
    <row r="700" customFormat="1" s="113">
      <c r="B700" s="22" t="n"/>
    </row>
    <row r="701" customFormat="1" s="113">
      <c r="B701" s="22" t="n"/>
    </row>
    <row r="702" customFormat="1" s="113">
      <c r="B702" s="22" t="n"/>
    </row>
    <row r="703" customFormat="1" s="113">
      <c r="B703" s="22" t="n"/>
    </row>
    <row r="704" customFormat="1" s="113">
      <c r="B704" s="22" t="n"/>
    </row>
    <row r="705" customFormat="1" s="113">
      <c r="B705" s="22" t="n"/>
    </row>
    <row r="706" customFormat="1" s="113">
      <c r="B706" s="22" t="n"/>
    </row>
    <row r="707" customFormat="1" s="113">
      <c r="B707" s="22" t="n"/>
    </row>
    <row r="708" customFormat="1" s="113">
      <c r="B708" s="22" t="n"/>
    </row>
    <row r="709" customFormat="1" s="113">
      <c r="B709" s="22" t="n"/>
    </row>
    <row r="710" customFormat="1" s="113">
      <c r="B710" s="22" t="n"/>
    </row>
    <row r="711" customFormat="1" s="113">
      <c r="B711" s="22" t="n"/>
    </row>
    <row r="712" customFormat="1" s="113">
      <c r="B712" s="22" t="n"/>
    </row>
    <row r="713" customFormat="1" s="113">
      <c r="B713" s="22" t="n"/>
    </row>
    <row r="714" customFormat="1" s="113">
      <c r="B714" s="22" t="n"/>
    </row>
    <row r="715" customFormat="1" s="113">
      <c r="B715" s="22" t="n"/>
    </row>
    <row r="716" customFormat="1" s="113">
      <c r="B716" s="22" t="n"/>
    </row>
    <row r="717" customFormat="1" s="113">
      <c r="B717" s="22" t="n"/>
    </row>
    <row r="718" customFormat="1" s="113">
      <c r="B718" s="22" t="n"/>
    </row>
    <row r="719" customFormat="1" s="113">
      <c r="B719" s="22" t="n"/>
    </row>
    <row r="720" customFormat="1" s="113">
      <c r="B720" s="22" t="n"/>
    </row>
    <row r="721" customFormat="1" s="113">
      <c r="B721" s="22" t="n"/>
    </row>
    <row r="722" customFormat="1" s="113">
      <c r="B722" s="22" t="n"/>
    </row>
    <row r="723" customFormat="1" s="113">
      <c r="B723" s="22" t="n"/>
    </row>
    <row r="724" customFormat="1" s="113">
      <c r="B724" s="22" t="n"/>
    </row>
    <row r="725" customFormat="1" s="113">
      <c r="B725" s="22" t="n"/>
    </row>
    <row r="726" customFormat="1" s="113">
      <c r="B726" s="22" t="n"/>
    </row>
    <row r="727" customFormat="1" s="113">
      <c r="B727" s="22" t="n"/>
    </row>
    <row r="728" customFormat="1" s="113">
      <c r="B728" s="22" t="n"/>
    </row>
    <row r="729" customFormat="1" s="113">
      <c r="B729" s="22" t="n"/>
    </row>
    <row r="730" customFormat="1" s="113">
      <c r="B730" s="22" t="n"/>
    </row>
    <row r="731" customFormat="1" s="113">
      <c r="B731" s="22" t="n"/>
    </row>
    <row r="732" customFormat="1" s="113">
      <c r="B732" s="22" t="n"/>
    </row>
    <row r="733" customFormat="1" s="113">
      <c r="B733" s="22" t="n"/>
    </row>
    <row r="734" customFormat="1" s="113">
      <c r="B734" s="22" t="n"/>
    </row>
    <row r="735" customFormat="1" s="113">
      <c r="B735" s="22" t="n"/>
    </row>
    <row r="736" customFormat="1" s="113">
      <c r="B736" s="22" t="n"/>
    </row>
    <row r="737" customFormat="1" s="113">
      <c r="B737" s="22" t="n"/>
    </row>
    <row r="738" customFormat="1" s="113">
      <c r="B738" s="22" t="n"/>
    </row>
    <row r="739" customFormat="1" s="113">
      <c r="B739" s="22" t="n"/>
    </row>
    <row r="740" customFormat="1" s="113">
      <c r="B740" s="22" t="n"/>
    </row>
    <row r="741" customFormat="1" s="113">
      <c r="B741" s="22" t="n"/>
    </row>
    <row r="742" customFormat="1" s="113">
      <c r="B742" s="22" t="n"/>
    </row>
    <row r="743" customFormat="1" s="113">
      <c r="B743" s="22" t="n"/>
    </row>
    <row r="744" customFormat="1" s="113">
      <c r="B744" s="22" t="n"/>
    </row>
    <row r="745" customFormat="1" s="113">
      <c r="B745" s="22" t="n"/>
    </row>
    <row r="746" customFormat="1" s="113">
      <c r="B746" s="22" t="n"/>
    </row>
    <row r="747" customFormat="1" s="113">
      <c r="B747" s="22" t="n"/>
    </row>
    <row r="748" customFormat="1" s="113">
      <c r="B748" s="22" t="n"/>
    </row>
    <row r="749" customFormat="1" s="113">
      <c r="B749" s="22" t="n"/>
    </row>
    <row r="750" customFormat="1" s="113">
      <c r="B750" s="22" t="n"/>
    </row>
    <row r="751" customFormat="1" s="113">
      <c r="B751" s="22" t="n"/>
    </row>
    <row r="752" customFormat="1" s="113">
      <c r="B752" s="22" t="n"/>
    </row>
    <row r="753" customFormat="1" s="113">
      <c r="B753" s="22" t="n"/>
    </row>
    <row r="754" customFormat="1" s="113">
      <c r="B754" s="22" t="n"/>
    </row>
    <row r="755" customFormat="1" s="113">
      <c r="B755" s="22" t="n"/>
    </row>
    <row r="756" customFormat="1" s="113">
      <c r="B756" s="22" t="n"/>
    </row>
    <row r="757" customFormat="1" s="113">
      <c r="B757" s="22" t="n"/>
    </row>
    <row r="758" customFormat="1" s="113">
      <c r="B758" s="22" t="n"/>
    </row>
    <row r="759" customFormat="1" s="113">
      <c r="B759" s="22" t="n"/>
    </row>
    <row r="760" customFormat="1" s="113">
      <c r="B760" s="22" t="n"/>
    </row>
    <row r="761" customFormat="1" s="113">
      <c r="B761" s="22" t="n"/>
    </row>
    <row r="762" customFormat="1" s="113">
      <c r="B762" s="22" t="n"/>
    </row>
    <row r="763" customFormat="1" s="113">
      <c r="B763" s="22" t="n"/>
    </row>
    <row r="764" customFormat="1" s="113">
      <c r="B764" s="22" t="n"/>
    </row>
    <row r="765" customFormat="1" s="113">
      <c r="B765" s="22" t="n"/>
    </row>
    <row r="766" customFormat="1" s="113">
      <c r="B766" s="22" t="n"/>
    </row>
    <row r="767" customFormat="1" s="113">
      <c r="B767" s="22" t="n"/>
    </row>
    <row r="768" customFormat="1" s="113">
      <c r="B768" s="22" t="n"/>
    </row>
    <row r="769" customFormat="1" s="113">
      <c r="B769" s="22" t="n"/>
    </row>
    <row r="770" customFormat="1" s="113">
      <c r="B770" s="22" t="n"/>
    </row>
    <row r="771" customFormat="1" s="113">
      <c r="B771" s="22" t="n"/>
    </row>
    <row r="772" customFormat="1" s="113">
      <c r="B772" s="22" t="n"/>
    </row>
    <row r="773" customFormat="1" s="113">
      <c r="B773" s="22" t="n"/>
    </row>
    <row r="774">
      <c r="A774" s="113" t="n"/>
      <c r="B774" s="22" t="n"/>
      <c r="C774" s="113" t="n"/>
      <c r="D774" s="113" t="n"/>
    </row>
    <row r="775">
      <c r="A775" s="113" t="n"/>
      <c r="B775" s="22" t="n"/>
      <c r="C775" s="113" t="n"/>
      <c r="D775" s="113" t="n"/>
    </row>
    <row r="776">
      <c r="A776" s="113" t="n"/>
      <c r="B776" s="22" t="n"/>
      <c r="C776" s="113" t="n"/>
      <c r="D776" s="113" t="n"/>
    </row>
    <row r="777">
      <c r="A777" s="113" t="n"/>
      <c r="B777" s="22" t="n"/>
      <c r="C777" s="113" t="n"/>
      <c r="D777" s="113" t="n"/>
    </row>
    <row r="778">
      <c r="A778" s="113" t="n"/>
      <c r="B778" s="22" t="n"/>
      <c r="C778" s="113" t="n"/>
      <c r="D778" s="113" t="n"/>
    </row>
    <row r="779">
      <c r="A779" s="113" t="n"/>
      <c r="B779" s="22" t="n"/>
      <c r="C779" s="113" t="n"/>
      <c r="D779" s="113" t="n"/>
    </row>
    <row r="780">
      <c r="A780" s="113" t="n"/>
      <c r="B780" s="22" t="n"/>
      <c r="C780" s="113" t="n"/>
      <c r="D780" s="113" t="n"/>
    </row>
    <row r="781">
      <c r="A781" s="113" t="n"/>
      <c r="B781" s="22" t="n"/>
      <c r="C781" s="113" t="n"/>
      <c r="D781" s="113" t="n"/>
    </row>
    <row r="782">
      <c r="A782" s="113" t="n"/>
      <c r="B782" s="22" t="n"/>
      <c r="C782" s="113" t="n"/>
      <c r="D782" s="113" t="n"/>
    </row>
    <row r="783">
      <c r="A783" s="113" t="n"/>
      <c r="B783" s="22" t="n"/>
      <c r="C783" s="113" t="n"/>
      <c r="D783" s="113" t="n"/>
    </row>
    <row r="784">
      <c r="A784" s="113" t="n"/>
      <c r="B784" s="22" t="n"/>
      <c r="C784" s="113" t="n"/>
      <c r="D784" s="113" t="n"/>
    </row>
    <row r="785">
      <c r="A785" s="113" t="n"/>
      <c r="B785" s="22" t="n"/>
      <c r="C785" s="113" t="n"/>
      <c r="D785" s="113" t="n"/>
    </row>
    <row r="786">
      <c r="A786" s="113" t="n"/>
      <c r="B786" s="22" t="n"/>
      <c r="C786" s="113" t="n"/>
      <c r="D786" s="113" t="n"/>
    </row>
    <row r="787">
      <c r="A787" s="113" t="n"/>
      <c r="B787" s="22" t="n"/>
      <c r="C787" s="113" t="n"/>
      <c r="D787" s="113" t="n"/>
    </row>
    <row r="788">
      <c r="A788" s="113" t="n"/>
      <c r="B788" s="22" t="n"/>
      <c r="C788" s="113" t="n"/>
      <c r="D788" s="113" t="n"/>
    </row>
    <row r="789">
      <c r="A789" s="113" t="n"/>
      <c r="B789" s="22" t="n"/>
      <c r="C789" s="113" t="n"/>
      <c r="D789" s="113" t="n"/>
    </row>
    <row r="790">
      <c r="A790" s="113" t="n"/>
      <c r="B790" s="22" t="n"/>
      <c r="C790" s="113" t="n"/>
      <c r="D790" s="113" t="n"/>
    </row>
    <row r="791">
      <c r="A791" s="113" t="n"/>
      <c r="B791" s="22" t="n"/>
      <c r="C791" s="113" t="n"/>
      <c r="D791" s="113" t="n"/>
    </row>
    <row r="792">
      <c r="A792" s="113" t="n"/>
      <c r="B792" s="22" t="n"/>
      <c r="C792" s="113" t="n"/>
      <c r="D792" s="113" t="n"/>
    </row>
    <row r="793">
      <c r="A793" s="113" t="n"/>
      <c r="B793" s="22" t="n"/>
      <c r="C793" s="113" t="n"/>
      <c r="D793" s="113" t="n"/>
    </row>
    <row r="794">
      <c r="A794" s="113" t="n"/>
      <c r="B794" s="22" t="n"/>
      <c r="C794" s="113" t="n"/>
      <c r="D794" s="113" t="n"/>
    </row>
    <row r="795">
      <c r="A795" s="113" t="n"/>
      <c r="B795" s="22" t="n"/>
      <c r="C795" s="113" t="n"/>
      <c r="D795" s="113" t="n"/>
    </row>
    <row r="796">
      <c r="A796" s="113" t="n"/>
      <c r="B796" s="22" t="n"/>
      <c r="C796" s="113" t="n"/>
      <c r="D796" s="113" t="n"/>
    </row>
    <row r="797">
      <c r="A797" s="113" t="n"/>
      <c r="B797" s="22" t="n"/>
      <c r="C797" s="113" t="n"/>
      <c r="D797" s="113" t="n"/>
    </row>
    <row r="798">
      <c r="A798" s="113" t="n"/>
      <c r="B798" s="22" t="n"/>
      <c r="C798" s="113" t="n"/>
      <c r="D798" s="113" t="n"/>
    </row>
    <row r="799">
      <c r="A799" s="113" t="n"/>
      <c r="B799" s="22" t="n"/>
      <c r="C799" s="113" t="n"/>
      <c r="D799" s="113" t="n"/>
    </row>
    <row r="800">
      <c r="A800" s="113" t="n"/>
      <c r="B800" s="22" t="n"/>
      <c r="C800" s="113" t="n"/>
      <c r="D800" s="113" t="n"/>
    </row>
    <row r="801">
      <c r="A801" s="113" t="n"/>
      <c r="B801" s="22" t="n"/>
      <c r="C801" s="113" t="n"/>
      <c r="D801" s="113" t="n"/>
    </row>
    <row r="802">
      <c r="A802" s="113" t="n"/>
      <c r="B802" s="22" t="n"/>
      <c r="C802" s="113" t="n"/>
      <c r="D802" s="113" t="n"/>
    </row>
    <row r="803">
      <c r="A803" s="113" t="n"/>
      <c r="B803" s="22" t="n"/>
      <c r="C803" s="113" t="n"/>
      <c r="D803" s="113" t="n"/>
    </row>
    <row r="804">
      <c r="A804" s="113" t="n"/>
      <c r="B804" s="22" t="n"/>
      <c r="C804" s="113" t="n"/>
      <c r="D804" s="113" t="n"/>
    </row>
    <row r="805">
      <c r="A805" s="113" t="n"/>
      <c r="B805" s="22" t="n"/>
      <c r="C805" s="113" t="n"/>
      <c r="D805" s="113" t="n"/>
    </row>
    <row r="806">
      <c r="A806" s="113" t="n"/>
      <c r="B806" s="22" t="n"/>
      <c r="C806" s="113" t="n"/>
      <c r="D806" s="113" t="n"/>
    </row>
    <row r="807">
      <c r="A807" s="113" t="n"/>
      <c r="B807" s="22" t="n"/>
      <c r="C807" s="113" t="n"/>
      <c r="D807" s="113" t="n"/>
    </row>
    <row r="808">
      <c r="A808" s="113" t="n"/>
      <c r="B808" s="22" t="n"/>
      <c r="C808" s="113" t="n"/>
      <c r="D808" s="113" t="n"/>
    </row>
    <row r="809">
      <c r="A809" s="113" t="n"/>
      <c r="B809" s="22" t="n"/>
      <c r="C809" s="113" t="n"/>
      <c r="D809" s="113" t="n"/>
    </row>
    <row r="810">
      <c r="A810" s="113" t="n"/>
      <c r="B810" s="22" t="n"/>
      <c r="C810" s="113" t="n"/>
      <c r="D810" s="113" t="n"/>
    </row>
    <row r="811">
      <c r="A811" s="113" t="n"/>
      <c r="B811" s="22" t="n"/>
      <c r="C811" s="113" t="n"/>
      <c r="D811" s="113" t="n"/>
    </row>
    <row r="812">
      <c r="A812" s="113" t="n"/>
      <c r="B812" s="22" t="n"/>
      <c r="C812" s="113" t="n"/>
      <c r="D812" s="113" t="n"/>
    </row>
    <row r="813">
      <c r="A813" s="113" t="n"/>
      <c r="B813" s="22" t="n"/>
      <c r="C813" s="113" t="n"/>
      <c r="D813" s="113" t="n"/>
    </row>
    <row r="814">
      <c r="A814" s="113" t="n"/>
      <c r="B814" s="22" t="n"/>
      <c r="C814" s="113" t="n"/>
      <c r="D814" s="113" t="n"/>
    </row>
    <row r="815">
      <c r="A815" s="113" t="n"/>
      <c r="B815" s="22" t="n"/>
      <c r="C815" s="113" t="n"/>
      <c r="D815" s="113" t="n"/>
    </row>
    <row r="816">
      <c r="A816" s="113" t="n"/>
      <c r="B816" s="22" t="n"/>
      <c r="C816" s="113" t="n"/>
      <c r="D816" s="113" t="n"/>
    </row>
    <row r="817">
      <c r="A817" s="113" t="n"/>
      <c r="B817" s="22" t="n"/>
      <c r="C817" s="113" t="n"/>
      <c r="D817" s="113" t="n"/>
    </row>
    <row r="818">
      <c r="A818" s="113" t="n"/>
      <c r="B818" s="22" t="n"/>
      <c r="C818" s="113" t="n"/>
      <c r="D818" s="113" t="n"/>
    </row>
    <row r="819">
      <c r="A819" s="113" t="n"/>
      <c r="B819" s="22" t="n"/>
      <c r="C819" s="113" t="n"/>
      <c r="D819" s="113" t="n"/>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81"/>
  <sheetViews>
    <sheetView zoomScaleNormal="100" workbookViewId="0">
      <pane ySplit="6" topLeftCell="A376" activePane="bottomLeft" state="frozen"/>
      <selection pane="bottomLeft" activeCell="P378" sqref="P378"/>
    </sheetView>
  </sheetViews>
  <sheetFormatPr baseColWidth="8" defaultColWidth="8.81640625" defaultRowHeight="14.5"/>
  <cols>
    <col width="14" customWidth="1" style="54" min="1" max="1"/>
    <col width="23.1796875" customWidth="1" style="54" min="2" max="2"/>
    <col width="14.1796875" customWidth="1" style="54" min="3" max="4"/>
    <col width="9.1796875" customWidth="1" style="113" min="5" max="69"/>
  </cols>
  <sheetData>
    <row r="1" customFormat="1" s="113">
      <c r="A1" s="113" t="inlineStr">
        <is>
          <t>RSDBS</t>
        </is>
      </c>
      <c r="B1" s="29" t="inlineStr">
        <is>
          <t>Food and Beverage Stores (RSDBS), Millions of Dollars, Monthly, Seasonally Adjusted</t>
        </is>
      </c>
      <c r="C1" s="54" t="n"/>
      <c r="D1" s="54" t="n"/>
    </row>
    <row r="2" customFormat="1" s="113">
      <c r="A2" s="128" t="inlineStr">
        <is>
          <t>https://fred.stlouisfed.org/series/RSDBS</t>
        </is>
      </c>
      <c r="C2" s="54" t="n"/>
      <c r="D2" s="54" t="n"/>
    </row>
    <row r="3" customFormat="1" s="113">
      <c r="A3" s="9" t="n"/>
      <c r="B3" s="54" t="n"/>
      <c r="C3" s="54" t="n"/>
      <c r="D3" s="54" t="n"/>
    </row>
    <row r="4" customFormat="1" s="113">
      <c r="A4" s="9" t="n"/>
      <c r="B4" s="54" t="n"/>
      <c r="C4" s="54" t="n"/>
      <c r="D4" s="54" t="n"/>
    </row>
    <row r="5" ht="16" customFormat="1" customHeight="1" s="113" thickBot="1">
      <c r="A5" s="54" t="n"/>
      <c r="B5" s="54" t="n"/>
      <c r="C5" s="54" t="n"/>
      <c r="D5" s="54" t="n"/>
    </row>
    <row r="6" ht="43.5" customHeight="1">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0" t="n">
        <v>44866</v>
      </c>
      <c r="B377" s="15">
        <f>VLOOKUP(A377,Database!A:K,MATCH($A$1,Database!$A$1:$K$1,),)</f>
        <v/>
      </c>
      <c r="C377" s="12">
        <f>(B377-B376)/B376</f>
        <v/>
      </c>
      <c r="D377" s="13">
        <f>(B377-B365)/B365</f>
        <v/>
      </c>
    </row>
    <row r="378">
      <c r="A378" s="11" t="n">
        <v>44896</v>
      </c>
      <c r="B378" s="15">
        <f>VLOOKUP(A378,Database!A:K,MATCH($A$1,Database!$A$1:$K$1,),)</f>
        <v/>
      </c>
      <c r="C378" s="12">
        <f>(B378-B377)/B377</f>
        <v/>
      </c>
      <c r="D378" s="13">
        <f>(B378-B366)/B366</f>
        <v/>
      </c>
    </row>
    <row r="379">
      <c r="A379" s="11" t="n">
        <v>44927</v>
      </c>
      <c r="B379" s="15">
        <f>VLOOKUP(A379,Database!A:K,MATCH($A$1,Database!$A$1:$K$1,),)</f>
        <v/>
      </c>
      <c r="C379" s="12">
        <f>(B379-B378)/B378</f>
        <v/>
      </c>
      <c r="D379" s="13">
        <f>(B379-B367)/B367</f>
        <v/>
      </c>
    </row>
    <row r="380">
      <c r="A380" s="11" t="n">
        <v>44958</v>
      </c>
      <c r="B380" s="15">
        <f>VLOOKUP(A380,Database!A:K,MATCH($A$1,Database!$A$1:$K$1,),)</f>
        <v/>
      </c>
      <c r="C380" s="12">
        <f>(B380-B379)/B379</f>
        <v/>
      </c>
      <c r="D380" s="13">
        <f>(B380-B368)/B368</f>
        <v/>
      </c>
    </row>
    <row r="381">
      <c r="A381" s="11" t="n">
        <v>44986</v>
      </c>
      <c r="B381" s="15">
        <f>VLOOKUP(A381,Database!A:K,MATCH($A$1,Database!$A$1:$K$1,),)</f>
        <v/>
      </c>
      <c r="C381" s="12">
        <f>(B381-B380)/B380</f>
        <v/>
      </c>
      <c r="D381" s="13">
        <f>(B381-B369)/B369</f>
        <v/>
      </c>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81"/>
  <sheetViews>
    <sheetView zoomScale="70" zoomScaleNormal="70" workbookViewId="0">
      <pane ySplit="6" topLeftCell="A351" activePane="bottomLeft" state="frozen"/>
      <selection activeCell="P14" sqref="P14"/>
      <selection pane="bottomLeft" activeCell="AC372" sqref="AC372"/>
    </sheetView>
  </sheetViews>
  <sheetFormatPr baseColWidth="8" defaultColWidth="9.1796875" defaultRowHeight="14.5"/>
  <cols>
    <col width="14" customWidth="1" style="54" min="1" max="1"/>
    <col width="14.1796875" customWidth="1" style="54" min="2" max="4"/>
    <col width="9.1796875" customWidth="1" style="113" min="5" max="30"/>
    <col width="9.1796875" customWidth="1" style="113" min="31" max="16384"/>
  </cols>
  <sheetData>
    <row r="1">
      <c r="A1" s="113" t="inlineStr">
        <is>
          <t>RSNSR</t>
        </is>
      </c>
      <c r="B1" s="29" t="inlineStr">
        <is>
          <t>Retail Trade: Nonstore Retailers (RSNSR), Millions of Dollars, Monthly, Seasonally Adjusted</t>
        </is>
      </c>
    </row>
    <row r="2">
      <c r="A2" s="128" t="inlineStr">
        <is>
          <t>https://fred.stlouisfed.org/series/RSNSR</t>
        </is>
      </c>
      <c r="B2" s="113" t="n"/>
    </row>
    <row r="3">
      <c r="A3" s="9" t="n"/>
    </row>
    <row r="4">
      <c r="A4" s="9" t="n"/>
    </row>
    <row r="5" ht="16" customHeight="1" thickBot="1"/>
    <row r="6" ht="57" customHeight="1">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0" t="n">
        <v>44958</v>
      </c>
      <c r="B380" s="15">
        <f>VLOOKUP(A380,Database!A:Q,MATCH($A$1,Database!$A$1:$Q$1,),)</f>
        <v/>
      </c>
      <c r="C380" s="12">
        <f>(B380-B379)/B379</f>
        <v/>
      </c>
      <c r="D380" s="13">
        <f>(B380-B368)/B368</f>
        <v/>
      </c>
    </row>
    <row r="381">
      <c r="A381" s="10" t="n">
        <v>44986</v>
      </c>
      <c r="B381" s="15">
        <f>VLOOKUP(A381,Database!A:Q,MATCH($A$1,Database!$A$1:$Q$1,),)</f>
        <v/>
      </c>
      <c r="C381" s="12">
        <f>(B381-B380)/B380</f>
        <v/>
      </c>
      <c r="D381" s="13">
        <f>(B381-B369)/B369</f>
        <v/>
      </c>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81"/>
  <sheetViews>
    <sheetView zoomScale="70" zoomScaleNormal="70" workbookViewId="0">
      <pane ySplit="6" topLeftCell="A351" activePane="bottomLeft" state="frozen"/>
      <selection pane="bottomLeft" activeCell="AA371" sqref="AA371"/>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RSHPCS</t>
        </is>
      </c>
      <c r="B1" s="29" t="inlineStr">
        <is>
          <t>Retail Trade: Health and Personal Care Stores (RSHPCS), Millions of Dollars, Monthly, Seasonally Adjusted</t>
        </is>
      </c>
    </row>
    <row r="2">
      <c r="A2" s="128" t="inlineStr">
        <is>
          <t>https://fred.stlouisfed.org/series/RSHPCS</t>
        </is>
      </c>
      <c r="B2" s="113" t="n"/>
    </row>
    <row r="3">
      <c r="A3" s="9" t="n"/>
    </row>
    <row r="4">
      <c r="A4" s="9" t="n"/>
    </row>
    <row r="5" ht="16" customHeight="1" thickBot="1"/>
    <row r="6" ht="44.25" customHeight="1">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0"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row r="381">
      <c r="A381" s="11" t="n">
        <v>44986</v>
      </c>
      <c r="B381" s="15">
        <f>VLOOKUP(A381,Database!A:Q,MATCH($A$1,Database!$A$1:$Q$1,),)</f>
        <v/>
      </c>
      <c r="C381" s="12">
        <f>(B381-B380)/B380</f>
        <v/>
      </c>
      <c r="D381" s="13">
        <f>(B381-B369)/B369</f>
        <v/>
      </c>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81"/>
  <sheetViews>
    <sheetView zoomScale="60" zoomScaleNormal="60" workbookViewId="0">
      <pane ySplit="6" topLeftCell="A344" activePane="bottomLeft" state="frozen"/>
      <selection pane="bottomLeft" activeCell="AE375" sqref="AE375"/>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RSSGHBMS</t>
        </is>
      </c>
      <c r="B1" s="29" t="inlineStr">
        <is>
          <t>Retail Trade: Sporting Goods, Hobby, Book, and Music Stores (RSSGHBMS), Millions of Dollars, Monthly, Seasonally Adjusted</t>
        </is>
      </c>
    </row>
    <row r="2">
      <c r="A2" s="128" t="inlineStr">
        <is>
          <t>https://fred.stlouisfed.org/series/RSSGHBMS</t>
        </is>
      </c>
      <c r="B2" s="113" t="n"/>
    </row>
    <row r="3">
      <c r="A3" s="9" t="n"/>
    </row>
    <row r="4">
      <c r="A4" s="9" t="n"/>
    </row>
    <row r="5" ht="16" customHeight="1" thickBot="1"/>
    <row r="6" ht="44.25" customHeight="1">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row r="381">
      <c r="A381" s="11" t="n">
        <v>44986</v>
      </c>
      <c r="B381" s="15">
        <f>VLOOKUP(A381,Database!A:Q,MATCH($A$1,Database!$A$1:$Q$1,),)</f>
        <v/>
      </c>
      <c r="C381" s="12">
        <f>(B381-B380)/B380</f>
        <v/>
      </c>
      <c r="D381" s="13">
        <f>(B381-B369)/B369</f>
        <v/>
      </c>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81"/>
  <sheetViews>
    <sheetView zoomScale="70" zoomScaleNormal="70" workbookViewId="0">
      <pane ySplit="6" topLeftCell="A350" activePane="bottomLeft" state="frozen"/>
      <selection pane="bottomLeft" activeCell="Z376" sqref="Z376"/>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RSGMS</t>
        </is>
      </c>
      <c r="B1" s="29" t="inlineStr">
        <is>
          <t>Retail Trade: General Merchandise Stores (RSGMS), Millions of Dollars, Monthly, Seasonally Adjusted</t>
        </is>
      </c>
    </row>
    <row r="2">
      <c r="A2" s="128" t="inlineStr">
        <is>
          <t>https://fred.stlouisfed.org/series/RSGMS</t>
        </is>
      </c>
      <c r="B2" s="113" t="n"/>
    </row>
    <row r="3">
      <c r="A3" s="9" t="n"/>
    </row>
    <row r="4">
      <c r="A4" s="9" t="n"/>
    </row>
    <row r="5" ht="16" customHeight="1" thickBot="1"/>
    <row r="6" ht="44.25" customHeight="1">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row r="381">
      <c r="A381" s="11" t="n">
        <v>44986</v>
      </c>
      <c r="B381" s="15">
        <f>VLOOKUP(A381,Database!A:Q,MATCH($A$1,Database!$A$1:$Q$1,),)</f>
        <v/>
      </c>
      <c r="C381" s="12">
        <f>(B381-B380)/B380</f>
        <v/>
      </c>
      <c r="D381" s="13">
        <f>(B381-B369)/B369</f>
        <v/>
      </c>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81"/>
  <sheetViews>
    <sheetView zoomScale="70" zoomScaleNormal="70" workbookViewId="0">
      <pane ySplit="6" topLeftCell="A353" activePane="bottomLeft" state="frozen"/>
      <selection pane="bottomLeft" activeCell="AA374" sqref="AA374"/>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RSFSDP</t>
        </is>
      </c>
      <c r="B1" s="29" t="inlineStr">
        <is>
          <t>Advance Retail Sales: Food Services and Drinking Places</t>
        </is>
      </c>
    </row>
    <row r="2">
      <c r="A2" s="128" t="n"/>
      <c r="B2" s="113" t="n"/>
    </row>
    <row r="3">
      <c r="A3" s="9" t="n"/>
    </row>
    <row r="4">
      <c r="A4" s="9" t="n"/>
    </row>
    <row r="5" ht="16" customHeight="1" thickBot="1"/>
    <row r="6" ht="44.25" customHeight="1">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row r="378">
      <c r="A378" s="10" t="n">
        <v>44896</v>
      </c>
      <c r="B378" s="15">
        <f>VLOOKUP(A378,Database!A:K,MATCH($A$1,Database!$A$1:$K$1,),)</f>
        <v/>
      </c>
      <c r="C378" s="12">
        <f>(B378-B377)/B377</f>
        <v/>
      </c>
      <c r="D378" s="13">
        <f>(B378-B366)/B366</f>
        <v/>
      </c>
    </row>
    <row r="379">
      <c r="A379" s="10" t="n">
        <v>44927</v>
      </c>
      <c r="B379" s="15">
        <f>VLOOKUP(A379,Database!A:K,MATCH($A$1,Database!$A$1:$K$1,),)</f>
        <v/>
      </c>
      <c r="C379" s="12">
        <f>(B379-B378)/B378</f>
        <v/>
      </c>
      <c r="D379" s="13">
        <f>(B379-B367)/B367</f>
        <v/>
      </c>
    </row>
    <row r="380">
      <c r="A380" s="11" t="n">
        <v>44958</v>
      </c>
      <c r="B380" s="15">
        <f>VLOOKUP(A380,Database!A:K,MATCH($A$1,Database!$A$1:$K$1,),)</f>
        <v/>
      </c>
      <c r="C380" s="12">
        <f>(B380-B379)/B379</f>
        <v/>
      </c>
      <c r="D380" s="13">
        <f>(B380-B368)/B368</f>
        <v/>
      </c>
    </row>
    <row r="381">
      <c r="A381" s="11" t="n">
        <v>44986</v>
      </c>
      <c r="B381" s="15">
        <f>VLOOKUP(A381,Database!A:K,MATCH($A$1,Database!$A$1:$K$1,),)</f>
        <v/>
      </c>
      <c r="C381" s="12">
        <f>(B381-B380)/B380</f>
        <v/>
      </c>
      <c r="D381" s="13">
        <f>(B381-B369)/B369</f>
        <v/>
      </c>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81"/>
  <sheetViews>
    <sheetView zoomScale="70" zoomScaleNormal="70" workbookViewId="0">
      <pane ySplit="6" topLeftCell="A353" activePane="bottomLeft" state="frozen"/>
      <selection pane="bottomLeft" activeCell="Y374" sqref="Y374"/>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RSGASS</t>
        </is>
      </c>
      <c r="B1" s="29" t="inlineStr">
        <is>
          <t>Retail Trade: Gasoline Stations (RSGASS), Millions of Dollars, Monthly, Seasonally Adjusted</t>
        </is>
      </c>
    </row>
    <row r="2">
      <c r="A2" s="128" t="inlineStr">
        <is>
          <t>https://fred.stlouisfed.org/series/RSGASS</t>
        </is>
      </c>
      <c r="B2" s="113" t="n"/>
    </row>
    <row r="3">
      <c r="A3" s="9" t="n"/>
    </row>
    <row r="4">
      <c r="A4" s="9" t="n"/>
    </row>
    <row r="5" ht="16" customHeight="1" thickBot="1"/>
    <row r="6" ht="44.25" customHeight="1">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row r="378">
      <c r="A378" s="10" t="n">
        <v>44896</v>
      </c>
      <c r="B378" s="15">
        <f>VLOOKUP(A378,Database!A:K,MATCH($A$1,Database!$A$1:$K$1,),)</f>
        <v/>
      </c>
      <c r="C378" s="12">
        <f>(B378-B377)/B377</f>
        <v/>
      </c>
      <c r="D378" s="13">
        <f>(B378-B366)/B366</f>
        <v/>
      </c>
    </row>
    <row r="379">
      <c r="A379" s="10" t="n">
        <v>44927</v>
      </c>
      <c r="B379" s="15">
        <f>VLOOKUP(A379,Database!A:K,MATCH($A$1,Database!$A$1:$K$1,),)</f>
        <v/>
      </c>
      <c r="C379" s="12">
        <f>(B379-B378)/B378</f>
        <v/>
      </c>
      <c r="D379" s="13">
        <f>(B379-B367)/B367</f>
        <v/>
      </c>
    </row>
    <row r="380">
      <c r="A380" s="11" t="n">
        <v>44958</v>
      </c>
      <c r="B380" s="15">
        <f>VLOOKUP(A380,Database!A:K,MATCH($A$1,Database!$A$1:$K$1,),)</f>
        <v/>
      </c>
      <c r="C380" s="12">
        <f>(B380-B379)/B379</f>
        <v/>
      </c>
      <c r="D380" s="13">
        <f>(B380-B368)/B368</f>
        <v/>
      </c>
    </row>
    <row r="381">
      <c r="A381" s="11" t="n">
        <v>44986</v>
      </c>
      <c r="B381" s="15">
        <f>VLOOKUP(A381,Database!A:K,MATCH($A$1,Database!$A$1:$K$1,),)</f>
        <v/>
      </c>
      <c r="C381" s="12">
        <f>(B381-B380)/B380</f>
        <v/>
      </c>
      <c r="D381" s="13">
        <f>(B381-B369)/B369</f>
        <v/>
      </c>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81"/>
  <sheetViews>
    <sheetView zoomScale="70" zoomScaleNormal="70" workbookViewId="0">
      <pane ySplit="6" topLeftCell="A352" activePane="bottomLeft" state="frozen"/>
      <selection pane="bottomLeft" activeCell="AA369" sqref="AA369"/>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RSMVPD</t>
        </is>
      </c>
      <c r="B1" s="29" t="inlineStr">
        <is>
          <t>Retail Trade: Motor Vehicle and Parts Dealers (RSMVPD), Millions of Dollars, Monthly, Seasonally Adjusted</t>
        </is>
      </c>
    </row>
    <row r="2">
      <c r="A2" s="128" t="inlineStr">
        <is>
          <t>https://fred.stlouisfed.org/series/RSMVPD</t>
        </is>
      </c>
      <c r="B2" s="113" t="n"/>
    </row>
    <row r="3">
      <c r="A3" s="9" t="n"/>
    </row>
    <row r="4">
      <c r="A4" s="9" t="n"/>
    </row>
    <row r="5" ht="16" customHeight="1" thickBot="1"/>
    <row r="6" ht="44.25" customHeight="1">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0" t="n">
        <v>44958</v>
      </c>
      <c r="B380" s="15">
        <f>VLOOKUP(A380,Database!A:Q,MATCH($A$1,Database!$A$1:$Q$1,),)</f>
        <v/>
      </c>
      <c r="C380" s="12">
        <f>(B380-B379)/B379</f>
        <v/>
      </c>
      <c r="D380" s="13">
        <f>(B380-B368)/B368</f>
        <v/>
      </c>
    </row>
    <row r="381">
      <c r="A381" s="10" t="n">
        <v>44986</v>
      </c>
      <c r="B381" s="15">
        <f>VLOOKUP(A381,Database!A:Q,MATCH($A$1,Database!$A$1:$Q$1,),)</f>
        <v/>
      </c>
      <c r="C381" s="12">
        <f>(B381-B380)/B380</f>
        <v/>
      </c>
      <c r="D381" s="13">
        <f>(B381-B369)/B369</f>
        <v/>
      </c>
    </row>
  </sheetData>
  <conditionalFormatting sqref="C8:C381">
    <cfRule type="colorScale" priority="51">
      <colorScale>
        <cfvo type="min"/>
        <cfvo type="percentile" val="50"/>
        <cfvo type="max"/>
        <color rgb="FFF8696B"/>
        <color rgb="FFFFEB84"/>
        <color rgb="FF63BE7B"/>
      </colorScale>
    </cfRule>
  </conditionalFormatting>
  <conditionalFormatting sqref="D19:D381">
    <cfRule type="colorScale" priority="50">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81"/>
  <sheetViews>
    <sheetView zoomScale="70" zoomScaleNormal="70" workbookViewId="0">
      <pane ySplit="6" topLeftCell="A353" activePane="bottomLeft" state="frozen"/>
      <selection pane="bottomLeft" activeCell="AC372" sqref="AC372"/>
    </sheetView>
  </sheetViews>
  <sheetFormatPr baseColWidth="8" defaultColWidth="9.1796875" defaultRowHeight="14.5"/>
  <cols>
    <col width="14" customWidth="1" style="54" min="1" max="1"/>
    <col width="20.6328125" customWidth="1" style="54" min="2" max="2"/>
    <col width="14.36328125" customWidth="1" style="54" min="3" max="3"/>
    <col width="14.1796875" customWidth="1" style="54" min="4" max="4"/>
    <col width="9.1796875" customWidth="1" style="113" min="5" max="30"/>
    <col width="9.1796875" customWidth="1" style="113" min="31" max="16384"/>
  </cols>
  <sheetData>
    <row r="1">
      <c r="A1" s="113" t="inlineStr">
        <is>
          <t>RSBMGESD</t>
        </is>
      </c>
      <c r="B1" s="29" t="inlineStr">
        <is>
          <t>Retail Trade: Building Materials, Garden Equipment and Supplies Dealers (RSBMGESD), Millions of Dollars, Monthly, Seasonally Adjusted</t>
        </is>
      </c>
    </row>
    <row r="2">
      <c r="A2" s="128" t="inlineStr">
        <is>
          <t>https://fred.stlouisfed.org/series/RSBMGESD</t>
        </is>
      </c>
      <c r="B2" s="113" t="n"/>
    </row>
    <row r="3">
      <c r="A3" s="9" t="n"/>
    </row>
    <row r="4">
      <c r="A4" s="9" t="n"/>
    </row>
    <row r="5" ht="16" customHeight="1" thickBot="1">
      <c r="A5" s="9" t="n"/>
    </row>
    <row r="6" ht="16" customHeight="1"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row r="377">
      <c r="A377" s="11" t="n">
        <v>44866</v>
      </c>
      <c r="B377" s="31">
        <f>VLOOKUP(A377,Database!A:K,MATCH($A$1,Database!$A$1:$K$1,),)</f>
        <v/>
      </c>
      <c r="C377" s="32">
        <f>(B377-B376)/B376</f>
        <v/>
      </c>
      <c r="D377" s="33">
        <f>(B377-B365)/B365</f>
        <v/>
      </c>
    </row>
    <row r="378">
      <c r="A378" s="17" t="n">
        <v>44896</v>
      </c>
      <c r="B378" s="15">
        <f>VLOOKUP(A378,Database!A:K,MATCH($A$1,Database!$A$1:$K$1,),)</f>
        <v/>
      </c>
      <c r="C378" s="12">
        <f>(B378-B377)/B377</f>
        <v/>
      </c>
      <c r="D378" s="13">
        <f>(B378-B366)/B366</f>
        <v/>
      </c>
    </row>
    <row r="379">
      <c r="A379" s="17" t="n">
        <v>44927</v>
      </c>
      <c r="B379" s="15">
        <f>VLOOKUP(A379,Database!A:K,MATCH($A$1,Database!$A$1:$K$1,),)</f>
        <v/>
      </c>
      <c r="C379" s="12">
        <f>(B379-B378)/B378</f>
        <v/>
      </c>
      <c r="D379" s="13">
        <f>(B379-B367)/B367</f>
        <v/>
      </c>
    </row>
    <row r="380">
      <c r="A380" s="11" t="n">
        <v>44958</v>
      </c>
      <c r="B380" s="31">
        <f>VLOOKUP(A380,Database!A:K,MATCH($A$1,Database!$A$1:$K$1,),)</f>
        <v/>
      </c>
      <c r="C380" s="32">
        <f>(B380-B379)/B379</f>
        <v/>
      </c>
      <c r="D380" s="33">
        <f>(B380-B368)/B368</f>
        <v/>
      </c>
    </row>
    <row r="381">
      <c r="A381" s="11" t="n">
        <v>44986</v>
      </c>
      <c r="B381" s="31">
        <f>VLOOKUP(A381,Database!A:K,MATCH($A$1,Database!$A$1:$K$1,),)</f>
        <v/>
      </c>
      <c r="C381" s="32">
        <f>(B381-B380)/B380</f>
        <v/>
      </c>
      <c r="D381" s="33">
        <f>(B381-B369)/B369</f>
        <v/>
      </c>
    </row>
  </sheetData>
  <conditionalFormatting sqref="C8:C381">
    <cfRule type="colorScale" priority="49">
      <colorScale>
        <cfvo type="min"/>
        <cfvo type="percentile" val="50"/>
        <cfvo type="max"/>
        <color rgb="FFF8696B"/>
        <color rgb="FFFFEB84"/>
        <color rgb="FF63BE7B"/>
      </colorScale>
    </cfRule>
  </conditionalFormatting>
  <conditionalFormatting sqref="D19:D381">
    <cfRule type="colorScale" priority="48">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81"/>
  <sheetViews>
    <sheetView zoomScale="70" zoomScaleNormal="70" workbookViewId="0">
      <pane ySplit="6" topLeftCell="A353" activePane="bottomLeft" state="frozen"/>
      <selection pane="bottomLeft" activeCell="A371" sqref="A371:D381"/>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RSFHFS</t>
        </is>
      </c>
      <c r="B1" s="29" t="inlineStr">
        <is>
          <t>RSEAS</t>
        </is>
      </c>
    </row>
    <row r="2">
      <c r="A2" s="128" t="n"/>
      <c r="B2" s="113" t="n"/>
    </row>
    <row r="3">
      <c r="A3" s="9" t="n"/>
    </row>
    <row r="4">
      <c r="A4" s="9" t="n"/>
    </row>
    <row r="5" ht="16" customHeight="1" thickBot="1"/>
    <row r="6" ht="44.25" customHeight="1">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row r="377">
      <c r="A377" s="11" t="n">
        <v>44866</v>
      </c>
      <c r="B377" s="15">
        <f>VLOOKUP(A377,Database!A:K,MATCH($A$1,Database!$A$1:$K$1,),)+VLOOKUP(A377,Database!A:K,MATCH($B$1,Database!$A$1:$K$1,),)</f>
        <v/>
      </c>
      <c r="C377" s="12">
        <f>(B377-B376)/B376</f>
        <v/>
      </c>
      <c r="D377" s="13">
        <f>(B377-B365)/B365</f>
        <v/>
      </c>
    </row>
    <row r="378">
      <c r="A378" s="11" t="n">
        <v>44896</v>
      </c>
      <c r="B378" s="15">
        <f>VLOOKUP(A378,Database!A:K,MATCH($A$1,Database!$A$1:$K$1,),)+VLOOKUP(A378,Database!A:K,MATCH($B$1,Database!$A$1:$K$1,),)</f>
        <v/>
      </c>
      <c r="C378" s="12">
        <f>(B378-B377)/B377</f>
        <v/>
      </c>
      <c r="D378" s="13">
        <f>(B378-B366)/B366</f>
        <v/>
      </c>
    </row>
    <row r="379">
      <c r="A379" s="11" t="n">
        <v>44927</v>
      </c>
      <c r="B379" s="15">
        <f>VLOOKUP(A379,Database!A:K,MATCH($A$1,Database!$A$1:$K$1,),)+VLOOKUP(A379,Database!A:K,MATCH($B$1,Database!$A$1:$K$1,),)</f>
        <v/>
      </c>
      <c r="C379" s="12">
        <f>(B379-B378)/B378</f>
        <v/>
      </c>
      <c r="D379" s="13">
        <f>(B379-B367)/B367</f>
        <v/>
      </c>
    </row>
    <row r="380">
      <c r="A380" s="11" t="n">
        <v>44958</v>
      </c>
      <c r="B380" s="15">
        <f>VLOOKUP(A380,Database!A:K,MATCH($A$1,Database!$A$1:$K$1,),)+VLOOKUP(A380,Database!A:K,MATCH($B$1,Database!$A$1:$K$1,),)</f>
        <v/>
      </c>
      <c r="C380" s="12">
        <f>(B380-B379)/B379</f>
        <v/>
      </c>
      <c r="D380" s="13">
        <f>(B380-B368)/B368</f>
        <v/>
      </c>
    </row>
    <row r="381">
      <c r="A381" s="11" t="n">
        <v>44986</v>
      </c>
      <c r="B381" s="15">
        <f>VLOOKUP(A381,Database!A:K,MATCH($A$1,Database!$A$1:$K$1,),)+VLOOKUP(A381,Database!A:K,MATCH($B$1,Database!$A$1:$K$1,),)</f>
        <v/>
      </c>
      <c r="C381" s="12">
        <f>(B381-B380)/B380</f>
        <v/>
      </c>
      <c r="D381" s="13">
        <f>(B381-B369)/B369</f>
        <v/>
      </c>
    </row>
  </sheetData>
  <conditionalFormatting sqref="C8:C381">
    <cfRule type="colorScale" priority="47">
      <colorScale>
        <cfvo type="min"/>
        <cfvo type="percentile" val="50"/>
        <cfvo type="max"/>
        <color rgb="FFF8696B"/>
        <color rgb="FFFFEB84"/>
        <color rgb="FF63BE7B"/>
      </colorScale>
    </cfRule>
  </conditionalFormatting>
  <conditionalFormatting sqref="D19:D381">
    <cfRule type="colorScale" priority="4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81"/>
  <sheetViews>
    <sheetView zoomScale="80" zoomScaleNormal="80" workbookViewId="0">
      <pane ySplit="6" topLeftCell="A354" activePane="bottomLeft" state="frozen"/>
      <selection pane="bottomLeft" activeCell="A373" sqref="A373:D381"/>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RSMSR</t>
        </is>
      </c>
      <c r="B1" s="29" t="inlineStr">
        <is>
          <t>Miscellaneous stores retailers</t>
        </is>
      </c>
    </row>
    <row r="2">
      <c r="A2" s="128" t="n"/>
      <c r="B2" s="113" t="n"/>
    </row>
    <row r="3">
      <c r="A3" s="9" t="n"/>
    </row>
    <row r="4">
      <c r="A4" s="9" t="n"/>
    </row>
    <row r="5" ht="16" customHeight="1" thickBot="1"/>
    <row r="6" ht="44.25" customHeight="1"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row r="381">
      <c r="A381" s="11" t="n">
        <v>44986</v>
      </c>
      <c r="B381" s="15">
        <f>VLOOKUP(A381,Database!A:Q,MATCH($A$1,Database!$A$1:$Q$1,),)</f>
        <v/>
      </c>
      <c r="C381" s="12">
        <f>(B381-B380)/B380</f>
        <v/>
      </c>
      <c r="D381" s="13">
        <f>(B381-B369)/B369</f>
        <v/>
      </c>
    </row>
  </sheetData>
  <conditionalFormatting sqref="C8:C381">
    <cfRule type="colorScale" priority="45">
      <colorScale>
        <cfvo type="min"/>
        <cfvo type="percentile" val="50"/>
        <cfvo type="max"/>
        <color rgb="FFF8696B"/>
        <color rgb="FFFFEB84"/>
        <color rgb="FF63BE7B"/>
      </colorScale>
    </cfRule>
  </conditionalFormatting>
  <conditionalFormatting sqref="D19:D381">
    <cfRule type="colorScale" priority="4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81"/>
  <sheetViews>
    <sheetView zoomScale="70" zoomScaleNormal="70" workbookViewId="0">
      <pane ySplit="6" topLeftCell="A357" activePane="bottomLeft" state="frozen"/>
      <selection activeCell="P14" sqref="P14"/>
      <selection pane="bottomLeft" activeCell="AC378" sqref="AC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3" min="5" max="30"/>
    <col width="9.1796875" customWidth="1" style="113" min="31" max="16384"/>
  </cols>
  <sheetData>
    <row r="1">
      <c r="A1" s="113" t="inlineStr">
        <is>
          <t>RSCCAS</t>
        </is>
      </c>
      <c r="B1" s="29" t="inlineStr">
        <is>
          <t>Clothing and clothing access. stores</t>
        </is>
      </c>
    </row>
    <row r="2">
      <c r="A2" s="128" t="n"/>
      <c r="B2" s="113" t="n"/>
    </row>
    <row r="3">
      <c r="A3" s="9" t="n"/>
    </row>
    <row r="4">
      <c r="A4" s="9" t="n"/>
    </row>
    <row r="5" ht="16" customHeight="1" thickBot="1"/>
    <row r="6" ht="44.25" customHeight="1"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30" t="n">
        <v>44866</v>
      </c>
      <c r="B377" s="31">
        <f>VLOOKUP(A377,Database!A:Q,MATCH($A$1,Database!$A$1:$Q$1,),)</f>
        <v/>
      </c>
      <c r="C377" s="32">
        <f>(B377-B376)/B376</f>
        <v/>
      </c>
      <c r="D377" s="3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row r="381">
      <c r="A381" s="30" t="n">
        <v>44986</v>
      </c>
      <c r="B381" s="31">
        <f>VLOOKUP(A381,Database!A:Q,MATCH($A$1,Database!$A$1:$Q$1,),)</f>
        <v/>
      </c>
      <c r="C381" s="32">
        <f>(B381-B380)/B380</f>
        <v/>
      </c>
      <c r="D381" s="33">
        <f>(B381-B369)/B369</f>
        <v/>
      </c>
    </row>
  </sheetData>
  <conditionalFormatting sqref="C8:C381">
    <cfRule type="colorScale" priority="2">
      <colorScale>
        <cfvo type="min"/>
        <cfvo type="percentile" val="50"/>
        <cfvo type="max"/>
        <color rgb="FFF8696B"/>
        <color rgb="FFFFEB84"/>
        <color rgb="FF63BE7B"/>
      </colorScale>
    </cfRule>
  </conditionalFormatting>
  <conditionalFormatting sqref="D19:D38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2023-04-15T17:07:01Z</dcterms:modified>
  <cp:lastModifiedBy>Mark Mukherjee</cp:lastModifiedBy>
</cp:coreProperties>
</file>