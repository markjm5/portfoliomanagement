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700" yWindow="-14130" windowWidth="24190" windowHeight="1376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Gas'!$A$8:$A$386</f>
              <numCache>
                <formatCode>[$-409]mmm\-yy;@</formatCode>
                <ptCount val="37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'Retail Sales ex Auto and Gas'!$C$8:$C$386</f>
              <numCache>
                <formatCode>0.00%</formatCode>
                <ptCount val="379"/>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-0.01527489887828311</v>
                </pt>
                <pt idx="359">
                  <v>0.01632378518516906</v>
                </pt>
                <pt idx="360">
                  <v>0.01034290732292403</v>
                </pt>
                <pt idx="361">
                  <v>0.01072884492674664</v>
                </pt>
                <pt idx="362">
                  <v>0.006940307898821259</v>
                </pt>
                <pt idx="363">
                  <v>0.007598591094567882</v>
                </pt>
                <pt idx="364">
                  <v>0.009174406754083314</v>
                </pt>
                <pt idx="365">
                  <v>0.002247144978747376</v>
                </pt>
                <pt idx="366">
                  <v>0.008821269150901747</v>
                </pt>
                <pt idx="367">
                  <v>0.004220118803536553</v>
                </pt>
                <pt idx="368">
                  <v>0.006641502125401729</v>
                </pt>
                <pt idx="369">
                  <v>-0.007333209075622842</v>
                </pt>
                <pt idx="370">
                  <v>-7.873952158674269e-05</v>
                </pt>
                <pt idx="371">
                  <v>0.02757917478521599</v>
                </pt>
                <pt idx="372">
                  <v>-0.0001454048148643019</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Gas'!$A$8:$A$383</f>
              <numCache>
                <formatCode>[$-409]mmm\-yy;@</formatCode>
                <ptCount val="37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pt idx="372">
                  <v>44958</v>
                </pt>
              </numCache>
            </numRef>
          </cat>
          <val>
            <numRef>
              <f>'Retail Sales ex Auto and Gas'!$C$8:$C$383</f>
              <numCache>
                <formatCode>0.00%</formatCode>
                <ptCount val="37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-0.01527489887828311</v>
                </pt>
                <pt idx="359">
                  <v>0.01632378518516906</v>
                </pt>
                <pt idx="360">
                  <v>0.01034290732292403</v>
                </pt>
                <pt idx="361">
                  <v>0.01072884492674664</v>
                </pt>
                <pt idx="362">
                  <v>0.006940307898821259</v>
                </pt>
                <pt idx="363">
                  <v>0.007598591094567882</v>
                </pt>
                <pt idx="364">
                  <v>0.009174406754083314</v>
                </pt>
                <pt idx="365">
                  <v>0.002247144978747376</v>
                </pt>
                <pt idx="366">
                  <v>0.008821269150901747</v>
                </pt>
                <pt idx="367">
                  <v>0.004220118803536553</v>
                </pt>
                <pt idx="368">
                  <v>0.006641502125401729</v>
                </pt>
                <pt idx="369">
                  <v>-0.007333209075622842</v>
                </pt>
                <pt idx="370">
                  <v>-7.873952158674269e-05</v>
                </pt>
                <pt idx="371">
                  <v>0.02757917478521599</v>
                </pt>
                <pt idx="372">
                  <v>-0.0001454048148643019</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numCache>
            </numRef>
          </cat>
          <val>
            <numRef>
              <f>'Retail Sales ex Auto and Gas'!$D$19:$D$383</f>
              <numCache>
                <formatCode>0.00%</formatCode>
                <ptCount val="365"/>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0.1700542243312249</v>
                </pt>
                <pt idx="347">
                  <v>0.170235096022804</v>
                </pt>
                <pt idx="348">
                  <v>0.1204840095419573</v>
                </pt>
                <pt idx="349">
                  <v>0.1556953124808596</v>
                </pt>
                <pt idx="350">
                  <v>0.06310203353549768</v>
                </pt>
                <pt idx="351">
                  <v>0.07545132580806305</v>
                </pt>
                <pt idx="352">
                  <v>0.08566125560799787</v>
                </pt>
                <pt idx="353">
                  <v>0.07264333771318834</v>
                </pt>
                <pt idx="354">
                  <v>0.09011752910377095</v>
                </pt>
                <pt idx="355">
                  <v>0.08362513913373744</v>
                </pt>
                <pt idx="356">
                  <v>0.08063721429132038</v>
                </pt>
                <pt idx="357">
                  <v>0.07619787117020932</v>
                </pt>
                <pt idx="358">
                  <v>0.06170621863726295</v>
                </pt>
                <pt idx="359">
                  <v>0.07809034134321308</v>
                </pt>
                <pt idx="360">
                  <v>0.09002977146651245</v>
                </pt>
                <pt idx="361">
                  <v>0.07871423453369485</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'Retail Sales ex Auto and Gas'!$B$7:$B$383</f>
              <numCache>
                <formatCode>#,##0</formatCode>
                <ptCount val="377"/>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466517</v>
                </pt>
                <pt idx="359">
                  <v>459391</v>
                </pt>
                <pt idx="360">
                  <v>466890</v>
                </pt>
                <pt idx="361">
                  <v>471719</v>
                </pt>
                <pt idx="362">
                  <v>476780</v>
                </pt>
                <pt idx="363">
                  <v>480089</v>
                </pt>
                <pt idx="364">
                  <v>483737</v>
                </pt>
                <pt idx="365">
                  <v>488175</v>
                </pt>
                <pt idx="366">
                  <v>489272</v>
                </pt>
                <pt idx="367">
                  <v>493588</v>
                </pt>
                <pt idx="368">
                  <v>495671</v>
                </pt>
                <pt idx="369">
                  <v>498963</v>
                </pt>
                <pt idx="370">
                  <v>495304</v>
                </pt>
                <pt idx="371">
                  <v>495265</v>
                </pt>
                <pt idx="372">
                  <v>508924</v>
                </pt>
                <pt idx="373">
                  <v>508850</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'Retail Sales'!$D$7:$D$385</f>
              <numCache>
                <formatCode>General</formatCode>
                <ptCount val="379"/>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0.1881051938643042</v>
                </pt>
                <pt idx="359">
                  <formatCode>0.00%</formatCode>
                  <v>0.1774241079157626</v>
                </pt>
                <pt idx="360">
                  <formatCode>0.00%</formatCode>
                  <v>0.1359235504222952</v>
                </pt>
                <pt idx="361">
                  <formatCode>0.00%</formatCode>
                  <v>0.1767895415915804</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0.08012190019421599</v>
                </pt>
                <pt idx="370">
                  <formatCode>0.00%</formatCode>
                  <v>0.05924331251199445</v>
                </pt>
                <pt idx="371">
                  <formatCode>0.00%</formatCode>
                  <v>0.06185463800285637</v>
                </pt>
                <pt idx="372">
                  <formatCode>0.00%</formatCode>
                  <v>0.07684245145862341</v>
                </pt>
                <pt idx="373">
                  <formatCode>0.00%</formatCode>
                  <v>0.05393385012451617</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'Retail Sales'!$B$7:$B$388</f>
              <numCache>
                <formatCode>#,##0</formatCode>
                <ptCount val="38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646132</v>
                </pt>
                <pt idx="359">
                  <v>639273</v>
                </pt>
                <pt idx="360">
                  <v>650682</v>
                </pt>
                <pt idx="361">
                  <v>662163</v>
                </pt>
                <pt idx="362">
                  <v>669958</v>
                </pt>
                <pt idx="363">
                  <v>674719</v>
                </pt>
                <pt idx="364">
                  <v>677115</v>
                </pt>
                <pt idx="365">
                  <v>684084</v>
                </pt>
                <pt idx="366">
                  <v>681108</v>
                </pt>
                <pt idx="367">
                  <v>685685</v>
                </pt>
                <pt idx="368">
                  <v>684538</v>
                </pt>
                <pt idx="369">
                  <v>691844</v>
                </pt>
                <pt idx="370">
                  <v>684411</v>
                </pt>
                <pt idx="371">
                  <v>678815</v>
                </pt>
                <pt idx="372">
                  <v>700682</v>
                </pt>
                <pt idx="373">
                  <v>697876</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Auto'!$A$19:$A$385</f>
              <numCache>
                <formatCode>[$-409]mmm\-yy;@</formatCode>
                <ptCount val="36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numCache>
            </numRef>
          </cat>
          <val>
            <numRef>
              <f>'Retail Sales ex Auto'!$C$19:$C$385</f>
              <numCache>
                <formatCode>0.00%</formatCode>
                <ptCount val="367"/>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0.00696950912177233</v>
                </pt>
                <pt idx="347">
                  <v>-0.01000122737977432</v>
                </pt>
                <pt idx="348">
                  <v>0.01215177220609003</v>
                </pt>
                <pt idx="349">
                  <v>0.01672555091541721</v>
                </pt>
                <pt idx="350">
                  <v>0.01920626165919662</v>
                </pt>
                <pt idx="351">
                  <v>0.004565636566463996</v>
                </pt>
                <pt idx="352">
                  <v>0.01253336961397883</v>
                </pt>
                <pt idx="353">
                  <v>0.01135775568568705</v>
                </pt>
                <pt idx="354">
                  <v>-0.0007630435563215915</v>
                </pt>
                <pt idx="355">
                  <v>0.001762629030374357</v>
                </pt>
                <pt idx="356">
                  <v>-0.0008053291626011593</v>
                </pt>
                <pt idx="357">
                  <v>0.009592756607136767</v>
                </pt>
                <pt idx="358">
                  <v>-0.008130775152863196</v>
                </pt>
                <pt idx="359">
                  <v>-0.005859914171706778</v>
                </pt>
                <pt idx="360">
                  <v>0.02354175795048225</v>
                </pt>
                <pt idx="361">
                  <v>-0.0007328523989465247</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'Retail Sales ex Auto'!$B$7:$B$387</f>
              <numCache>
                <formatCode>#,##0</formatCode>
                <ptCount val="381"/>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521436</v>
                </pt>
                <pt idx="359">
                  <v>516221</v>
                </pt>
                <pt idx="360">
                  <v>522494</v>
                </pt>
                <pt idx="361">
                  <v>531233</v>
                </pt>
                <pt idx="362">
                  <v>541436</v>
                </pt>
                <pt idx="363">
                  <v>543908</v>
                </pt>
                <pt idx="364">
                  <v>550725</v>
                </pt>
                <pt idx="365">
                  <v>556980</v>
                </pt>
                <pt idx="366">
                  <v>556555</v>
                </pt>
                <pt idx="367">
                  <v>557536</v>
                </pt>
                <pt idx="368">
                  <v>557087</v>
                </pt>
                <pt idx="369">
                  <v>562431</v>
                </pt>
                <pt idx="370">
                  <v>557858</v>
                </pt>
                <pt idx="371">
                  <v>554589</v>
                </pt>
                <pt idx="372">
                  <v>567645</v>
                </pt>
                <pt idx="373">
                  <v>567229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'Retail Sales ex Auto'!$D$7:$D$388</f>
              <numCache>
                <formatCode>General</formatCode>
                <ptCount val="38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0.1989597776076265</v>
                </pt>
                <pt idx="359">
                  <formatCode>0.00%</formatCode>
                  <v>0.1953544700085214</v>
                </pt>
                <pt idx="360">
                  <formatCode>0.00%</formatCode>
                  <v>0.1413399156818629</v>
                </pt>
                <pt idx="361">
                  <formatCode>0.00%</formatCode>
                  <v>0.1781353263400679</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0.08613687582918619</v>
                </pt>
                <pt idx="370">
                  <formatCode>0.00%</formatCode>
                  <v>0.06984941584393867</v>
                </pt>
                <pt idx="371">
                  <formatCode>0.00%</formatCode>
                  <v>0.07432475625749436</v>
                </pt>
                <pt idx="372">
                  <formatCode>0.00%</formatCode>
                  <v>0.08641438944753432</v>
                </pt>
                <pt idx="373">
                  <formatCode>0.00%</formatCode>
                  <v>0.06775934476962087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0.0718381017257039</v>
                </pt>
                <pt idx="347">
                  <v>0.08679250675163969</v>
                </pt>
                <pt idx="348">
                  <v>0.07901749834322697</v>
                </pt>
                <pt idx="349">
                  <v>0.08250081021290986</v>
                </pt>
                <pt idx="350">
                  <v>0.083565889298686</v>
                </pt>
                <pt idx="351">
                  <v>0.07343298510780173</v>
                </pt>
                <pt idx="352">
                  <v>0.07694747001240866</v>
                </pt>
                <pt idx="353">
                  <v>0.08047486186334045</v>
                </pt>
                <pt idx="354">
                  <v>0.08308873954190098</v>
                </pt>
                <pt idx="355">
                  <v>0.07062158331646082</v>
                </pt>
                <pt idx="356">
                  <v>0.07080795233951402</v>
                </pt>
                <pt idx="357">
                  <v>0.07468372914205307</v>
                </pt>
                <pt idx="358">
                  <v>0.0770860365966687</v>
                </pt>
                <pt idx="359">
                  <v>0.06375481546734686</v>
                </pt>
                <pt idx="360">
                  <v>0.05348578895785691</v>
                </pt>
                <pt idx="361">
                  <v>0.05454024783921691</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75526</v>
                </pt>
                <pt idx="359">
                  <v>76057</v>
                </pt>
                <pt idx="360">
                  <v>76525</v>
                </pt>
                <pt idx="361">
                  <v>76824</v>
                </pt>
                <pt idx="362">
                  <v>77268</v>
                </pt>
                <pt idx="363">
                  <v>77270</v>
                </pt>
                <pt idx="364">
                  <v>78111</v>
                </pt>
                <pt idx="365">
                  <v>79000</v>
                </pt>
                <pt idx="366">
                  <v>78968</v>
                </pt>
                <pt idx="367">
                  <v>79317</v>
                </pt>
                <pt idx="368">
                  <v>79984</v>
                </pt>
                <pt idx="369">
                  <v>80957</v>
                </pt>
                <pt idx="370">
                  <v>81348</v>
                </pt>
                <pt idx="371">
                  <v>80906</v>
                </pt>
                <pt idx="372">
                  <v>80618</v>
                </pt>
                <pt idx="373">
                  <v>81014</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100838</v>
                </pt>
                <pt idx="359">
                  <v>95635</v>
                </pt>
                <pt idx="360">
                  <v>103873</v>
                </pt>
                <pt idx="361">
                  <v>103874</v>
                </pt>
                <pt idx="362">
                  <v>102895</v>
                </pt>
                <pt idx="363">
                  <v>104003</v>
                </pt>
                <pt idx="364">
                  <v>106789</v>
                </pt>
                <pt idx="365">
                  <v>107157</v>
                </pt>
                <pt idx="366">
                  <v>108939</v>
                </pt>
                <pt idx="367">
                  <v>109557</v>
                </pt>
                <pt idx="368">
                  <v>109410</v>
                </pt>
                <pt idx="369">
                  <v>110472</v>
                </pt>
                <pt idx="370">
                  <v>109436</v>
                </pt>
                <pt idx="371">
                  <v>109017</v>
                </pt>
                <pt idx="372">
                  <v>110956</v>
                </pt>
                <pt idx="373">
                  <v>112722</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0.1398632227434579</v>
                </pt>
                <pt idx="359">
                  <formatCode>0.00%</formatCode>
                  <v>0.1237823292323239</v>
                </pt>
                <pt idx="360">
                  <formatCode>0.00%</formatCode>
                  <v>0.1404464158276699</v>
                </pt>
                <pt idx="361">
                  <formatCode>0.00%</formatCode>
                  <v>0.1415101596755937</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0.1061026282853567</v>
                </pt>
                <pt idx="370">
                  <formatCode>0.00%</formatCode>
                  <v>0.08526547531684484</v>
                </pt>
                <pt idx="371">
                  <formatCode>0.00%</formatCode>
                  <v>0.1399278506822816</v>
                </pt>
                <pt idx="372">
                  <formatCode>0.00%</formatCode>
                  <v>0.06818903853744476</v>
                </pt>
                <pt idx="373">
                  <formatCode>0.00%</formatCode>
                  <v>0.0851801220709706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32628</v>
                </pt>
                <pt idx="359">
                  <v>32855</v>
                </pt>
                <pt idx="360">
                  <v>32815</v>
                </pt>
                <pt idx="361">
                  <v>32236</v>
                </pt>
                <pt idx="362">
                  <v>32763</v>
                </pt>
                <pt idx="363">
                  <v>32962</v>
                </pt>
                <pt idx="364">
                  <v>32985</v>
                </pt>
                <pt idx="365">
                  <v>33426</v>
                </pt>
                <pt idx="366">
                  <v>33641</v>
                </pt>
                <pt idx="367">
                  <v>33649</v>
                </pt>
                <pt idx="368">
                  <v>33932</v>
                </pt>
                <pt idx="369">
                  <v>33869</v>
                </pt>
                <pt idx="370">
                  <v>33971</v>
                </pt>
                <pt idx="371">
                  <v>33460</v>
                </pt>
                <pt idx="372">
                  <v>34487</v>
                </pt>
                <pt idx="373">
                  <v>34799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0.09865984241363054</v>
                </pt>
                <pt idx="359">
                  <formatCode>0.00%</formatCode>
                  <v>0.09706825163616936</v>
                </pt>
                <pt idx="360">
                  <formatCode>0.00%</formatCode>
                  <v>0.09467258231310671</v>
                </pt>
                <pt idx="361">
                  <formatCode>0.00%</formatCode>
                  <v>0.08392737054472091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0.04392183454567871</v>
                </pt>
                <pt idx="370">
                  <formatCode>0.00%</formatCode>
                  <v>0.04116096604143681</v>
                </pt>
                <pt idx="371">
                  <formatCode>0.00%</formatCode>
                  <v>0.01841424440724395</v>
                </pt>
                <pt idx="372">
                  <formatCode>0.00%</formatCode>
                  <v>0.05095230839555082</v>
                </pt>
                <pt idx="373">
                  <formatCode>0.00%</formatCode>
                  <v>0.07950738305000621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9236</v>
                </pt>
                <pt idx="359">
                  <v>8999</v>
                </pt>
                <pt idx="360">
                  <v>8738</v>
                </pt>
                <pt idx="361">
                  <v>9029</v>
                </pt>
                <pt idx="362">
                  <v>9009</v>
                </pt>
                <pt idx="363">
                  <v>9069</v>
                </pt>
                <pt idx="364">
                  <v>9153</v>
                </pt>
                <pt idx="365">
                  <v>9233</v>
                </pt>
                <pt idx="366">
                  <v>9236</v>
                </pt>
                <pt idx="367">
                  <v>9335</v>
                </pt>
                <pt idx="368">
                  <v>9295</v>
                </pt>
                <pt idx="369">
                  <v>9354</v>
                </pt>
                <pt idx="370">
                  <v>9368</v>
                </pt>
                <pt idx="371">
                  <v>9387</v>
                </pt>
                <pt idx="372">
                  <v>9429</v>
                </pt>
                <pt idx="373">
                  <v>9381</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0.2051148225469729</v>
                </pt>
                <pt idx="359">
                  <formatCode>0.00%</formatCode>
                  <v>0.1670341071196991</v>
                </pt>
                <pt idx="360">
                  <formatCode>0.00%</formatCode>
                  <v>0.02258630778232885</v>
                </pt>
                <pt idx="361">
                  <formatCode>0.00%</formatCode>
                  <v>0.1531289910600255</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0.04467277194549922</v>
                </pt>
                <pt idx="370">
                  <formatCode>0.00%</formatCode>
                  <v>0.01429190125595496</v>
                </pt>
                <pt idx="371">
                  <formatCode>0.00%</formatCode>
                  <v>0.04311590176686299</v>
                </pt>
                <pt idx="372">
                  <formatCode>0.00%</formatCode>
                  <v>0.0790798809796292</v>
                </pt>
                <pt idx="373">
                  <formatCode>0.00%</formatCode>
                  <v>0.03898549119503821</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68086</v>
                </pt>
                <pt idx="359">
                  <v>66890</v>
                </pt>
                <pt idx="360">
                  <v>68308</v>
                </pt>
                <pt idx="361">
                  <v>66783</v>
                </pt>
                <pt idx="362">
                  <v>68468</v>
                </pt>
                <pt idx="363">
                  <v>68026</v>
                </pt>
                <pt idx="364">
                  <v>68053</v>
                </pt>
                <pt idx="365">
                  <v>69621</v>
                </pt>
                <pt idx="366">
                  <v>69346</v>
                </pt>
                <pt idx="367">
                  <v>69558</v>
                </pt>
                <pt idx="368">
                  <v>70343</v>
                </pt>
                <pt idx="369">
                  <v>70128</v>
                </pt>
                <pt idx="370">
                  <v>70003</v>
                </pt>
                <pt idx="371">
                  <v>70349</v>
                </pt>
                <pt idx="372">
                  <v>73392</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0.1081345008300511</v>
                </pt>
                <pt idx="359">
                  <formatCode>0.00%</formatCode>
                  <v>0.1057477724695419</v>
                </pt>
                <pt idx="360">
                  <formatCode>0.00%</formatCode>
                  <v>0.03871536753748366</v>
                </pt>
                <pt idx="361">
                  <formatCode>0.00%</formatCode>
                  <v>0.06371151426341526</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0.02641862915855568</v>
                </pt>
                <pt idx="370">
                  <formatCode>0.00%</formatCode>
                  <v>0.02815556795817055</v>
                </pt>
                <pt idx="371">
                  <formatCode>0.00%</formatCode>
                  <v>0.05171176558528928</v>
                </pt>
                <pt idx="372">
                  <formatCode>0.00%</formatCode>
                  <v>0.07442759266850149</v>
                </pt>
                <pt idx="373">
                  <formatCode>0.00%</formatCode>
                  <v>0.1049818067472261</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78967</v>
                </pt>
                <pt idx="359">
                  <v>78432</v>
                </pt>
                <pt idx="360">
                  <v>76217</v>
                </pt>
                <pt idx="361">
                  <v>80463</v>
                </pt>
                <pt idx="362">
                  <v>82388</v>
                </pt>
                <pt idx="363">
                  <v>84481</v>
                </pt>
                <pt idx="364">
                  <v>85322</v>
                </pt>
                <pt idx="365">
                  <v>85939</v>
                </pt>
                <pt idx="366">
                  <v>85214</v>
                </pt>
                <pt idx="367">
                  <v>87305</v>
                </pt>
                <pt idx="368">
                  <v>88196</v>
                </pt>
                <pt idx="369">
                  <v>89261</v>
                </pt>
                <pt idx="370">
                  <v>89083</v>
                </pt>
                <pt idx="371">
                  <v>89785</v>
                </pt>
                <pt idx="372">
                  <v>94789</v>
                </pt>
                <pt idx="373">
                  <v>92740</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0.3853616603217487</v>
                </pt>
                <pt idx="359">
                  <formatCode>0.00%</formatCode>
                  <v>0.4506714016202419</v>
                </pt>
                <pt idx="360">
                  <formatCode>0.00%</formatCode>
                  <v>0.2798179772639497</v>
                </pt>
                <pt idx="361">
                  <formatCode>0.00%</formatCode>
                  <v>0.3629480317094654</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0.1378220244999936</v>
                </pt>
                <pt idx="370">
                  <formatCode>0.00%</formatCode>
                  <v>0.128104144769334</v>
                </pt>
                <pt idx="371">
                  <formatCode>0.00%</formatCode>
                  <v>0.144749592003264</v>
                </pt>
                <pt idx="372">
                  <formatCode>0.00%</formatCode>
                  <v>0.243672671451251</v>
                </pt>
                <pt idx="373">
                  <formatCode>0.00%</formatCode>
                  <v>0.1525794464536495</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54919</v>
                </pt>
                <pt idx="359">
                  <v>56830</v>
                </pt>
                <pt idx="360">
                  <v>55604</v>
                </pt>
                <pt idx="361">
                  <v>59514</v>
                </pt>
                <pt idx="362">
                  <v>64656</v>
                </pt>
                <pt idx="363">
                  <v>63819</v>
                </pt>
                <pt idx="364">
                  <v>66988</v>
                </pt>
                <pt idx="365">
                  <v>68805</v>
                </pt>
                <pt idx="366">
                  <v>67283</v>
                </pt>
                <pt idx="367">
                  <v>63948</v>
                </pt>
                <pt idx="368">
                  <v>61416</v>
                </pt>
                <pt idx="369">
                  <v>63468</v>
                </pt>
                <pt idx="370">
                  <v>62554</v>
                </pt>
                <pt idx="371">
                  <v>59324</v>
                </pt>
                <pt idx="372">
                  <v>58721</v>
                </pt>
                <pt idx="373">
                  <v>58379</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'Gas Station'!$D$7:$D$381</f>
              <numCache>
                <formatCode>General</formatCode>
                <ptCount val="375"/>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0.5173928660238167</v>
                </pt>
                <pt idx="359">
                  <formatCode>0.00%</formatCode>
                  <v>0.4463135927518896</v>
                </pt>
                <pt idx="360">
                  <formatCode>0.00%</formatCode>
                  <v>0.3527637212923316</v>
                </pt>
                <pt idx="361">
                  <formatCode>0.00%</formatCode>
                  <v>0.392433494770829</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0.1711691762621789</v>
                </pt>
                <pt idx="370">
                  <formatCode>0.00%</formatCode>
                  <v>0.1390229246708789</v>
                </pt>
                <pt idx="371">
                  <formatCode>0.00%</formatCode>
                  <v>0.0438852718634524</v>
                </pt>
                <pt idx="372">
                  <formatCode>0.00%</formatCode>
                  <v>0.05605711819293576</v>
                </pt>
                <pt idx="373">
                  <formatCode>0.00%</formatCode>
                  <v>-0.01907114292435393</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124696</v>
                </pt>
                <pt idx="359">
                  <v>123052</v>
                </pt>
                <pt idx="360">
                  <v>128188</v>
                </pt>
                <pt idx="361">
                  <v>130930</v>
                </pt>
                <pt idx="362">
                  <v>128522</v>
                </pt>
                <pt idx="363">
                  <v>130811</v>
                </pt>
                <pt idx="364">
                  <v>126390</v>
                </pt>
                <pt idx="365">
                  <v>127104</v>
                </pt>
                <pt idx="366">
                  <v>124553</v>
                </pt>
                <pt idx="367">
                  <v>128149</v>
                </pt>
                <pt idx="368">
                  <v>127451</v>
                </pt>
                <pt idx="369">
                  <v>129413</v>
                </pt>
                <pt idx="370">
                  <v>126553</v>
                </pt>
                <pt idx="371">
                  <v>124226</v>
                </pt>
                <pt idx="372">
                  <v>133037</v>
                </pt>
                <pt idx="373">
                  <v>130647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0.1447666786012651</v>
                </pt>
                <pt idx="359">
                  <formatCode>0.00%</formatCode>
                  <v>0.1077183443458222</v>
                </pt>
                <pt idx="360">
                  <formatCode>0.00%</formatCode>
                  <v>0.114368175811948</v>
                </pt>
                <pt idx="361">
                  <formatCode>0.00%</formatCode>
                  <v>0.1713605782994561</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0.05473646462423694</v>
                </pt>
                <pt idx="370">
                  <formatCode>0.00%</formatCode>
                  <v>0.01489221787386925</v>
                </pt>
                <pt idx="371">
                  <formatCode>0.00%</formatCode>
                  <v>0.009540681988102592</v>
                </pt>
                <pt idx="372">
                  <formatCode>0.00%</formatCode>
                  <v>0.03782725372109714</v>
                </pt>
                <pt idx="373">
                  <formatCode>0.00%</formatCode>
                  <v>-0.002161460322309631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Housing!$A$7:$A$388</f>
              <numCache>
                <formatCode>[$-409]mmm\-yy;@</formatCode>
                <ptCount val="38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Housing!$B$7:$B$388</f>
              <numCache>
                <formatCode>#,##0</formatCode>
                <ptCount val="38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41108</v>
                </pt>
                <pt idx="359">
                  <v>41347</v>
                </pt>
                <pt idx="360">
                  <v>42025</v>
                </pt>
                <pt idx="361">
                  <v>42334</v>
                </pt>
                <pt idx="362">
                  <v>42572</v>
                </pt>
                <pt idx="363">
                  <v>42168</v>
                </pt>
                <pt idx="364">
                  <v>42257</v>
                </pt>
                <pt idx="365">
                  <v>42131</v>
                </pt>
                <pt idx="366">
                  <v>42597</v>
                </pt>
                <pt idx="367">
                  <v>43314</v>
                </pt>
                <pt idx="368">
                  <v>43000</v>
                </pt>
                <pt idx="369">
                  <v>43516</v>
                </pt>
                <pt idx="370">
                  <v>42074</v>
                </pt>
                <pt idx="371">
                  <v>42477</v>
                </pt>
                <pt idx="372">
                  <v>42636</v>
                </pt>
                <pt idx="373">
                  <v>42587</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Housing!$D$7:$D$387</f>
              <numCache>
                <formatCode>General</formatCode>
                <ptCount val="381"/>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0.1244905216511202</v>
                </pt>
                <pt idx="359">
                  <formatCode>0.00%</formatCode>
                  <v>0.1319261936049058</v>
                </pt>
                <pt idx="360">
                  <formatCode>0.00%</formatCode>
                  <v>0.08642262551057339</v>
                </pt>
                <pt idx="361">
                  <formatCode>0.00%</formatCode>
                  <v>0.1442549395896965</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0.09076325354054393</v>
                </pt>
                <pt idx="370">
                  <formatCode>0.00%</formatCode>
                  <v>0.02349907560572151</v>
                </pt>
                <pt idx="371">
                  <formatCode>0.00%</formatCode>
                  <v>0.02732967325319854</v>
                </pt>
                <pt idx="372">
                  <formatCode>0.00%</formatCode>
                  <v>0.01453896490184414</v>
                </pt>
                <pt idx="373">
                  <formatCode>0.00%</formatCode>
                  <v>0.005976283838049794</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'Furniture Home'!$B$7:$B$386</f>
              <numCache>
                <formatCode>#,##0</formatCode>
                <ptCount val="380"/>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19398</v>
                </pt>
                <pt idx="359">
                  <v>19249</v>
                </pt>
                <pt idx="360">
                  <v>19008</v>
                </pt>
                <pt idx="361">
                  <v>19453</v>
                </pt>
                <pt idx="362">
                  <v>19770</v>
                </pt>
                <pt idx="363">
                  <v>20080</v>
                </pt>
                <pt idx="364">
                  <v>19740</v>
                </pt>
                <pt idx="365">
                  <v>19554</v>
                </pt>
                <pt idx="366">
                  <v>19544</v>
                </pt>
                <pt idx="367">
                  <v>19474</v>
                </pt>
                <pt idx="368">
                  <v>19116</v>
                </pt>
                <pt idx="369">
                  <v>19259</v>
                </pt>
                <pt idx="370">
                  <v>18701</v>
                </pt>
                <pt idx="371">
                  <v>18443</v>
                </pt>
                <pt idx="372">
                  <v>19553</v>
                </pt>
                <pt idx="373">
                  <v>19262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Home'!$A$7:$A$387</f>
              <numCache>
                <formatCode>[$-409]mmm\-yy;@</formatCode>
                <ptCount val="38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'Furniture Home'!$D$7:$D$387</f>
              <numCache>
                <formatCode>General</formatCode>
                <ptCount val="381"/>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0.1293008092216336</v>
                </pt>
                <pt idx="359">
                  <formatCode>0.00%</formatCode>
                  <v>0.1373788702434413</v>
                </pt>
                <pt idx="360">
                  <formatCode>0.00%</formatCode>
                  <v>-0.01190414305764932</v>
                </pt>
                <pt idx="361">
                  <formatCode>0.00%</formatCode>
                  <v>0.06236688329419474</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-0.05258756395120032</v>
                </pt>
                <pt idx="370">
                  <formatCode>0.00%</formatCode>
                  <v>-0.03593153933395195</v>
                </pt>
                <pt idx="371">
                  <formatCode>0.00%</formatCode>
                  <v>-0.04187230505480804</v>
                </pt>
                <pt idx="372">
                  <formatCode>0.00%</formatCode>
                  <v>0.02867213804713805</v>
                </pt>
                <pt idx="373">
                  <formatCode>0.00%</formatCode>
                  <v>-0.009818536986583047</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'Miscellaneous stores retailers'!$B$7:$B$385</f>
              <numCache>
                <formatCode>#,##0</formatCode>
                <ptCount val="379"/>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14583</v>
                </pt>
                <pt idx="359">
                  <v>14611</v>
                </pt>
                <pt idx="360">
                  <v>14652</v>
                </pt>
                <pt idx="361">
                  <v>15128</v>
                </pt>
                <pt idx="362">
                  <v>15490</v>
                </pt>
                <pt idx="363">
                  <v>15864</v>
                </pt>
                <pt idx="364">
                  <v>15515</v>
                </pt>
                <pt idx="365">
                  <v>16110</v>
                </pt>
                <pt idx="366">
                  <v>15898</v>
                </pt>
                <pt idx="367">
                  <v>15934</v>
                </pt>
                <pt idx="368">
                  <v>15992</v>
                </pt>
                <pt idx="369">
                  <v>15837</v>
                </pt>
                <pt idx="370">
                  <v>15072</v>
                </pt>
                <pt idx="371">
                  <v>15294</v>
                </pt>
                <pt idx="372">
                  <v>16158</v>
                </pt>
                <pt idx="373">
                  <v>15860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'Miscellaneous stores retailers'!$D$7:$D$385</f>
              <numCache>
                <formatCode>General</formatCode>
                <ptCount val="379"/>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0.2986908896607</v>
                </pt>
                <pt idx="359">
                  <formatCode>0.00%</formatCode>
                  <v>0.2380105066937807</v>
                </pt>
                <pt idx="360">
                  <formatCode>0.00%</formatCode>
                  <v>0.2380228136882129</v>
                </pt>
                <pt idx="361">
                  <formatCode>0.00%</formatCode>
                  <v>0.3039131184278573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0.08353858784893267</v>
                </pt>
                <pt idx="370">
                  <formatCode>0.00%</formatCode>
                  <v>0.03353219502160049</v>
                </pt>
                <pt idx="371">
                  <formatCode>0.00%</formatCode>
                  <v>0.04674560262815687</v>
                </pt>
                <pt idx="372">
                  <formatCode>0.00%</formatCode>
                  <v>0.1027846027846028</v>
                </pt>
                <pt idx="373">
                  <formatCode>0.00%</formatCode>
                  <v>0.04838709677419355</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pt idx="372">
                  <v>44927</v>
                </pt>
                <pt idx="373">
                  <v>44958</v>
                </pt>
              </numCache>
            </numRef>
          </cat>
          <val>
            <numRef>
              <f>'Clothing and clothing access'!$B$7:$B$386</f>
              <numCache>
                <formatCode>#,##0</formatCode>
                <ptCount val="380"/>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26147</v>
                </pt>
                <pt idx="359">
                  <v>25316</v>
                </pt>
                <pt idx="360">
                  <v>24729</v>
                </pt>
                <pt idx="361">
                  <v>25595</v>
                </pt>
                <pt idx="362">
                  <v>26157</v>
                </pt>
                <pt idx="363">
                  <v>26166</v>
                </pt>
                <pt idx="364">
                  <v>25812</v>
                </pt>
                <pt idx="365">
                  <v>26004</v>
                </pt>
                <pt idx="366">
                  <v>25889</v>
                </pt>
                <pt idx="367">
                  <v>26145</v>
                </pt>
                <pt idx="368">
                  <v>26403</v>
                </pt>
                <pt idx="369">
                  <v>26310</v>
                </pt>
                <pt idx="370">
                  <v>26248</v>
                </pt>
                <pt idx="371">
                  <v>26147</v>
                </pt>
                <pt idx="372">
                  <v>26906</v>
                </pt>
                <pt idx="373">
                  <v>26691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access'!$A$19:$A$387</f>
              <numCache>
                <formatCode>[$-409]mmm\-yy;@</formatCode>
                <ptCount val="369"/>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pt idx="360">
                  <v>44927</v>
                </pt>
                <pt idx="361">
                  <v>44958</v>
                </pt>
              </numCache>
            </numRef>
          </cat>
          <val>
            <numRef>
              <f>'Clothing and clothing access'!$D$19:$D$387</f>
              <numCache>
                <formatCode>0.00%</formatCode>
                <ptCount val="369"/>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0.3749276962717569</v>
                </pt>
                <pt idx="347">
                  <v>0.2653571250062478</v>
                </pt>
                <pt idx="348">
                  <v>0.1723794623808846</v>
                </pt>
                <pt idx="349">
                  <v>0.2859224276527331</v>
                </pt>
                <pt idx="350">
                  <v>0.08901286481535452</v>
                </pt>
                <pt idx="351">
                  <v>0.0870793518903199</v>
                </pt>
                <pt idx="352">
                  <v>0.04126830448989471</v>
                </pt>
                <pt idx="353">
                  <v>0.007946044420326369</v>
                </pt>
                <pt idx="354">
                  <v>0.01937236681497815</v>
                </pt>
                <pt idx="355">
                  <v>0.05109753155905765</v>
                </pt>
                <pt idx="356">
                  <v>0.04508391386953768</v>
                </pt>
                <pt idx="357">
                  <v>0.03501180173092053</v>
                </pt>
                <pt idx="358">
                  <v>0.003862775844265116</v>
                </pt>
                <pt idx="359">
                  <v>0.03282509085163533</v>
                </pt>
                <pt idx="360">
                  <v>0.0880342917222694</v>
                </pt>
                <pt idx="361">
                  <v>0.04282086344989255</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13</col>
      <colOff>571499</colOff>
      <row>354</row>
      <rowOff>3677</rowOff>
    </from>
    <to>
      <col>23</col>
      <colOff>526393</colOff>
      <row>377</row>
      <rowOff>136071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222250</colOff>
      <row>354</row>
      <rowOff>19049</rowOff>
    </from>
    <to>
      <col>13</col>
      <colOff>417286</colOff>
      <row>377</row>
      <rowOff>145143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13</col>
      <colOff>489857</colOff>
      <row>356</row>
      <rowOff>117929</rowOff>
    </from>
    <to>
      <col>23</col>
      <colOff>116795</colOff>
      <row>378</row>
      <rowOff>172357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78922</colOff>
      <row>356</row>
      <rowOff>123825</rowOff>
    </from>
    <to>
      <col>13</col>
      <colOff>426357</colOff>
      <row>379</row>
      <rowOff>54429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14</col>
      <colOff>571500</colOff>
      <row>356</row>
      <rowOff>0</rowOff>
    </from>
    <to>
      <col>26</col>
      <colOff>563800</colOff>
      <row>379</row>
      <rowOff>73177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121783</colOff>
      <row>355</row>
      <rowOff>172357</rowOff>
    </from>
    <to>
      <col>14</col>
      <colOff>480786</colOff>
      <row>379</row>
      <rowOff>63500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12</col>
      <colOff>572381</colOff>
      <row>359</row>
      <rowOff>103187</rowOff>
    </from>
    <to>
      <col>21</col>
      <colOff>269875</colOff>
      <row>378</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73126</colOff>
      <row>359</row>
      <rowOff>77611</rowOff>
    </from>
    <to>
      <col>12</col>
      <colOff>465666</colOff>
      <row>378</row>
      <rowOff>176389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12</col>
      <colOff>265326</colOff>
      <row>362</row>
      <rowOff>179916</rowOff>
    </from>
    <to>
      <col>20</col>
      <colOff>598713</colOff>
      <row>380</row>
      <rowOff>172357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362</row>
      <rowOff>155222</rowOff>
    </from>
    <to>
      <col>12</col>
      <colOff>174625</colOff>
      <row>380</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13</col>
      <colOff>535214</colOff>
      <row>357</row>
      <rowOff>172357</rowOff>
    </from>
    <to>
      <col>22</col>
      <colOff>635000</colOff>
      <row>379</row>
      <rowOff>117929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79159</colOff>
      <row>357</row>
      <rowOff>172357</rowOff>
    </from>
    <to>
      <col>13</col>
      <colOff>444500</colOff>
      <row>379</row>
      <rowOff>90715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13</col>
      <colOff>321582</colOff>
      <row>354</row>
      <rowOff>177800</rowOff>
    </from>
    <to>
      <col>23</col>
      <colOff>81644</colOff>
      <row>378</row>
      <rowOff>9071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13</col>
      <colOff>226785</colOff>
      <row>378</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13</col>
      <colOff>497340</colOff>
      <row>357</row>
      <rowOff>168505</rowOff>
    </from>
    <to>
      <col>22</col>
      <colOff>598715</colOff>
      <row>380</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108252</colOff>
      <row>357</row>
      <rowOff>162604</rowOff>
    </from>
    <to>
      <col>13</col>
      <colOff>417286</colOff>
      <row>380</row>
      <rowOff>81642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12</col>
      <colOff>606349</colOff>
      <row>357</row>
      <rowOff>102053</rowOff>
    </from>
    <to>
      <col>22</col>
      <colOff>199572</colOff>
      <row>379</row>
      <rowOff>163286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133954</colOff>
      <row>357</row>
      <rowOff>79677</rowOff>
    </from>
    <to>
      <col>12</col>
      <colOff>547687</colOff>
      <row>379</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230186</colOff>
      <row>362</row>
      <rowOff>80390</rowOff>
    </from>
    <to>
      <col>20</col>
      <colOff>-1</colOff>
      <row>380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64195</colOff>
      <row>362</row>
      <rowOff>64633</rowOff>
    </from>
    <to>
      <col>12</col>
      <colOff>127000</colOff>
      <row>380</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13</col>
      <colOff>471714</colOff>
      <row>363</row>
      <rowOff>108858</rowOff>
    </from>
    <to>
      <col>22</col>
      <colOff>449540</colOff>
      <row>384</row>
      <rowOff>69548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98777</colOff>
      <row>363</row>
      <rowOff>154215</rowOff>
    </from>
    <to>
      <col>13</col>
      <colOff>317500</colOff>
      <row>384</row>
      <rowOff>42333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80" headerRowCount="1" totalsRowShown="0" headerRowDxfId="64" dataDxfId="62" headerRowBorderDxfId="63" tableBorderDxfId="61">
  <autoFilter ref="A6:D380"/>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80" headerRowCount="1" totalsRowShown="0" headerRowDxfId="56" dataDxfId="54" headerRowBorderDxfId="55" tableBorderDxfId="53">
  <autoFilter ref="A6:D380"/>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80" headerRowCount="1" totalsRowShown="0" headerRowDxfId="48" dataDxfId="46" headerRowBorderDxfId="47" tableBorderDxfId="45">
  <autoFilter ref="A6:D380"/>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80" headerRowCount="1" totalsRowShown="0" headerRowDxfId="40" headerRowBorderDxfId="39" tableBorderDxfId="38">
  <autoFilter ref="A6:D380"/>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80" headerRowCount="1" totalsRowShown="0" headerRowDxfId="33" tableBorderDxfId="32">
  <autoFilter ref="A6:D380"/>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80" headerRowCount="1" totalsRowShown="0" headerRowDxfId="27" headerRowBorderDxfId="26" tableBorderDxfId="25">
  <autoFilter ref="A6:D380"/>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80" headerRowCount="1" totalsRowShown="0" headerRowDxfId="20" headerRowBorderDxfId="19" tableBorderDxfId="18">
  <autoFilter ref="A6:D380"/>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70" zoomScaleNormal="70" workbookViewId="0">
      <selection activeCell="T23" sqref="T23"/>
    </sheetView>
  </sheetViews>
  <sheetFormatPr baseColWidth="8" defaultColWidth="9.1796875" defaultRowHeight="14.5"/>
  <cols>
    <col width="9.1796875" customWidth="1" style="121" min="1" max="1"/>
    <col width="12.81640625" customWidth="1" style="121" min="2" max="10"/>
    <col width="3.36328125" customWidth="1" style="121" min="11" max="13"/>
    <col width="18.6328125" customWidth="1" style="121" min="14" max="14"/>
    <col width="30.36328125" customWidth="1" style="121" min="15" max="15"/>
    <col width="12.36328125" customWidth="1" style="121" min="16" max="19"/>
    <col width="9.1796875" customWidth="1" style="121" min="20" max="44"/>
    <col width="9.1796875" customWidth="1" style="121" min="45" max="16384"/>
  </cols>
  <sheetData>
    <row r="1">
      <c r="B1" s="120" t="n"/>
    </row>
    <row r="2" ht="16" customHeight="1" thickBot="1">
      <c r="B2" s="122" t="n"/>
      <c r="C2" s="122" t="n"/>
      <c r="D2" s="122" t="n"/>
      <c r="E2" s="122" t="n"/>
      <c r="F2" s="122" t="n"/>
      <c r="G2" s="122" t="n"/>
      <c r="H2" s="122" t="n"/>
      <c r="I2" s="122" t="n"/>
      <c r="J2" s="122" t="n"/>
    </row>
    <row r="3" ht="16" customHeight="1" thickBot="1">
      <c r="B3" s="123" t="inlineStr">
        <is>
          <t>Retail Sales</t>
        </is>
      </c>
      <c r="C3" s="124" t="n"/>
      <c r="D3" s="124" t="n"/>
      <c r="E3" s="124" t="n"/>
      <c r="F3" s="124" t="n"/>
      <c r="G3" s="124" t="n"/>
      <c r="H3" s="124" t="n"/>
      <c r="I3" s="124" t="n"/>
      <c r="J3" s="125" t="n"/>
    </row>
    <row r="5">
      <c r="B5" s="116" t="inlineStr">
        <is>
          <t>Definition</t>
        </is>
      </c>
      <c r="C5" s="117" t="n"/>
      <c r="D5" s="117" t="n"/>
      <c r="E5" s="117" t="n"/>
      <c r="F5" s="117" t="n"/>
      <c r="G5" s="117" t="n"/>
      <c r="H5" s="117" t="n"/>
      <c r="I5" s="117" t="n"/>
      <c r="J5" s="113" t="n"/>
    </row>
    <row r="7" ht="147.75" customHeight="1">
      <c r="B7" s="126"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7"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3" t="n"/>
      <c r="N10" s="116" t="inlineStr">
        <is>
          <t>Summary</t>
        </is>
      </c>
      <c r="O10" s="117" t="n"/>
      <c r="P10" s="117" t="n"/>
      <c r="Q10" s="113" t="n"/>
    </row>
    <row r="12">
      <c r="B12" s="116" t="inlineStr">
        <is>
          <t>TO DO LIST</t>
        </is>
      </c>
      <c r="C12" s="117" t="n"/>
      <c r="D12" s="117" t="n"/>
      <c r="E12" s="117" t="n"/>
      <c r="F12" s="113" t="n"/>
      <c r="G12" s="116" t="inlineStr">
        <is>
          <t>Comments</t>
        </is>
      </c>
      <c r="H12" s="117" t="n"/>
      <c r="I12" s="117" t="n"/>
      <c r="J12" s="113" t="n"/>
      <c r="N12" s="8" t="inlineStr">
        <is>
          <t>* To modify</t>
        </is>
      </c>
    </row>
    <row r="13" ht="16" customHeight="1" thickBot="1"/>
    <row r="14">
      <c r="B14" s="121" t="inlineStr">
        <is>
          <t>Database</t>
        </is>
      </c>
      <c r="G14" s="121" t="n"/>
      <c r="P14" s="68" t="n">
        <v>44958</v>
      </c>
      <c r="Q14" s="69" t="n"/>
    </row>
    <row r="15" ht="16" customHeight="1" thickBot="1">
      <c r="B15" s="121" t="inlineStr">
        <is>
          <t>Create data on Fred</t>
        </is>
      </c>
      <c r="G15" s="121" t="n"/>
      <c r="N15" s="127" t="n"/>
      <c r="P15" s="70" t="inlineStr">
        <is>
          <t>mom</t>
        </is>
      </c>
      <c r="Q15" s="70" t="inlineStr">
        <is>
          <t>yoy</t>
        </is>
      </c>
    </row>
    <row r="16" ht="15.75" customHeight="1">
      <c r="B16" s="121" t="inlineStr">
        <is>
          <t>https://research.stlouisfed.org/useraccount/datalists</t>
        </is>
      </c>
      <c r="G16" s="130" t="n"/>
      <c r="N16" s="118" t="inlineStr">
        <is>
          <t>Retail Sales</t>
        </is>
      </c>
      <c r="O16" s="119" t="n"/>
      <c r="P16" s="95">
        <f>Recap!F7</f>
        <v/>
      </c>
      <c r="Q16" s="96">
        <f>Recap!G7</f>
        <v/>
      </c>
      <c r="S16" s="71" t="n"/>
    </row>
    <row r="17" ht="15.75" customHeight="1">
      <c r="G17" s="130" t="n"/>
      <c r="N17" s="112" t="inlineStr">
        <is>
          <t>Retail Sales ex Auto</t>
        </is>
      </c>
      <c r="O17" s="113" t="n"/>
      <c r="P17" s="97">
        <f>Recap!F8</f>
        <v/>
      </c>
      <c r="Q17" s="98">
        <f>Recap!G8</f>
        <v/>
      </c>
      <c r="S17" s="71" t="n"/>
    </row>
    <row r="18" ht="15.75" customHeight="1">
      <c r="B18" s="121" t="inlineStr">
        <is>
          <t>https://fred.stlouisfed.org/series/RSAFs</t>
        </is>
      </c>
      <c r="G18" s="99" t="inlineStr">
        <is>
          <t>Retail Sales</t>
        </is>
      </c>
      <c r="H18" s="67" t="n"/>
      <c r="I18" s="67" t="n"/>
      <c r="J18" s="67" t="n"/>
      <c r="N18" s="112" t="inlineStr">
        <is>
          <t>Retail Sales ex Auto and Gas</t>
        </is>
      </c>
      <c r="O18" s="113" t="n"/>
      <c r="P18" s="97">
        <f>Recap!F9</f>
        <v/>
      </c>
      <c r="Q18" s="98">
        <f>Recap!G9</f>
        <v/>
      </c>
      <c r="S18" s="71" t="n"/>
    </row>
    <row r="19" ht="15.75" customHeight="1">
      <c r="B19" s="121" t="inlineStr">
        <is>
          <t>https://fred.stlouisfed.org/series/RSFSXMV</t>
        </is>
      </c>
      <c r="G19" s="99" t="inlineStr">
        <is>
          <t>Retail Sales ex Auto</t>
        </is>
      </c>
      <c r="H19" s="67" t="n"/>
      <c r="I19" s="67" t="n"/>
      <c r="J19" s="67" t="n"/>
      <c r="N19" s="112" t="inlineStr">
        <is>
          <t>Motor Vechicle</t>
        </is>
      </c>
      <c r="O19" s="113" t="n"/>
      <c r="P19" s="97">
        <f>Recap!F10</f>
        <v/>
      </c>
      <c r="Q19" s="98">
        <f>Recap!G10</f>
        <v/>
      </c>
      <c r="S19" s="71" t="n"/>
    </row>
    <row r="20" ht="15.75" customHeight="1">
      <c r="B20" s="121" t="inlineStr">
        <is>
          <t>https://fred.stlouisfed.org/series/MARTSSM44W72USS</t>
        </is>
      </c>
      <c r="G20" s="99" t="inlineStr">
        <is>
          <t>Retail Sales ex Auto and Gas</t>
        </is>
      </c>
      <c r="H20" s="67" t="n"/>
      <c r="I20" s="67" t="n"/>
      <c r="J20" s="67" t="n"/>
      <c r="N20" s="112" t="inlineStr">
        <is>
          <t>Non Store</t>
        </is>
      </c>
      <c r="O20" s="113" t="n"/>
      <c r="P20" s="97">
        <f>Recap!F11</f>
        <v/>
      </c>
      <c r="Q20" s="98">
        <f>Recap!G11</f>
        <v/>
      </c>
    </row>
    <row r="21" ht="15.75" customHeight="1">
      <c r="B21" s="121" t="inlineStr">
        <is>
          <t>https://fred.stlouisfed.org/series/RSDBs</t>
        </is>
      </c>
      <c r="G21" s="99" t="inlineStr">
        <is>
          <t>Food&amp;Beverage</t>
        </is>
      </c>
      <c r="H21" s="67" t="n"/>
      <c r="I21" s="67" t="n"/>
      <c r="J21" s="67" t="n"/>
      <c r="N21" s="112" t="inlineStr">
        <is>
          <t>Food &amp; Beverage</t>
        </is>
      </c>
      <c r="O21" s="113" t="n"/>
      <c r="P21" s="97">
        <f>Recap!F12</f>
        <v/>
      </c>
      <c r="Q21" s="98">
        <f>Recap!G12</f>
        <v/>
      </c>
    </row>
    <row r="22" ht="15.75" customHeight="1">
      <c r="B22" s="121" t="inlineStr">
        <is>
          <t>https://fred.stlouisfed.org/series/RSNSr</t>
        </is>
      </c>
      <c r="G22" s="99" t="inlineStr">
        <is>
          <t>NonStore</t>
        </is>
      </c>
      <c r="H22" s="67" t="n"/>
      <c r="I22" s="67" t="n"/>
      <c r="J22" s="67" t="n"/>
      <c r="N22" s="112" t="inlineStr">
        <is>
          <t>Food Services</t>
        </is>
      </c>
      <c r="O22" s="113" t="n"/>
      <c r="P22" s="97">
        <f>Recap!F13</f>
        <v/>
      </c>
      <c r="Q22" s="98">
        <f>Recap!G13</f>
        <v/>
      </c>
    </row>
    <row r="23" ht="15.75" customHeight="1">
      <c r="B23" s="121" t="inlineStr">
        <is>
          <t>https://fred.stlouisfed.org/series/RSHPCs</t>
        </is>
      </c>
      <c r="G23" s="99" t="inlineStr">
        <is>
          <t>HealthCare</t>
        </is>
      </c>
      <c r="H23" s="67" t="n"/>
      <c r="I23" s="67" t="n"/>
      <c r="J23" s="67" t="n"/>
      <c r="N23" s="112" t="inlineStr">
        <is>
          <t>General Merchandising</t>
        </is>
      </c>
      <c r="O23" s="113" t="n"/>
      <c r="P23" s="97">
        <f>Recap!F14</f>
        <v/>
      </c>
      <c r="Q23" s="98">
        <f>Recap!G14</f>
        <v/>
      </c>
    </row>
    <row r="24" ht="15.75" customHeight="1">
      <c r="B24" s="121" t="inlineStr">
        <is>
          <t>https://fred.stlouisfed.org/series/RSSGHBMs</t>
        </is>
      </c>
      <c r="G24" s="99" t="inlineStr">
        <is>
          <t>Clothing, Sport</t>
        </is>
      </c>
      <c r="H24" s="67" t="n"/>
      <c r="I24" s="67" t="n"/>
      <c r="J24" s="67" t="n"/>
      <c r="N24" s="112" t="inlineStr">
        <is>
          <t>Gasoline Stations</t>
        </is>
      </c>
      <c r="O24" s="113" t="n"/>
      <c r="P24" s="97">
        <f>Recap!F15</f>
        <v/>
      </c>
      <c r="Q24" s="98">
        <f>Recap!G15</f>
        <v/>
      </c>
    </row>
    <row r="25" ht="15.75" customHeight="1">
      <c r="B25" s="121" t="inlineStr">
        <is>
          <t>https://fred.stlouisfed.org/series/RSGMs</t>
        </is>
      </c>
      <c r="G25" s="99" t="inlineStr">
        <is>
          <t>General Merch</t>
        </is>
      </c>
      <c r="H25" s="67" t="n"/>
      <c r="I25" s="67" t="n"/>
      <c r="J25" s="67" t="n"/>
      <c r="N25" s="112" t="inlineStr">
        <is>
          <t>Housing Supplies</t>
        </is>
      </c>
      <c r="O25" s="113" t="n"/>
      <c r="P25" s="97">
        <f>Recap!F16</f>
        <v/>
      </c>
      <c r="Q25" s="98">
        <f>Recap!G16</f>
        <v/>
      </c>
    </row>
    <row r="26" ht="15.75" customHeight="1">
      <c r="B26" s="121" t="inlineStr">
        <is>
          <t>https://fred.stlouisfed.org/series/RSFSDp</t>
        </is>
      </c>
      <c r="G26" s="100" t="inlineStr">
        <is>
          <t>FoodServices</t>
        </is>
      </c>
      <c r="H26" s="67" t="n"/>
      <c r="I26" s="67" t="n"/>
      <c r="J26" s="67" t="n"/>
      <c r="N26" s="112" t="inlineStr">
        <is>
          <t>HealthCare</t>
        </is>
      </c>
      <c r="O26" s="113" t="n"/>
      <c r="P26" s="97">
        <f>Recap!F17</f>
        <v/>
      </c>
      <c r="Q26" s="98">
        <f>Recap!G17</f>
        <v/>
      </c>
    </row>
    <row r="27" ht="15.75" customHeight="1">
      <c r="B27" s="121" t="inlineStr">
        <is>
          <t>https://fred.stlouisfed.org/series/RSGASs</t>
        </is>
      </c>
      <c r="G27" s="99" t="inlineStr">
        <is>
          <t>Gasoline St</t>
        </is>
      </c>
      <c r="H27" s="67" t="n"/>
      <c r="I27" s="67" t="n"/>
      <c r="J27" s="67" t="n"/>
      <c r="N27" s="112" t="inlineStr">
        <is>
          <t>Clothing and clothing access. stores</t>
        </is>
      </c>
      <c r="O27" s="113" t="n"/>
      <c r="P27" s="97">
        <f>Recap!F18</f>
        <v/>
      </c>
      <c r="Q27" s="98">
        <f>Recap!G18</f>
        <v/>
      </c>
    </row>
    <row r="28" ht="15.75" customHeight="1">
      <c r="B28" s="121" t="inlineStr">
        <is>
          <t>https://fred.stlouisfed.org/series/RSMVPd</t>
        </is>
      </c>
      <c r="G28" s="99" t="inlineStr">
        <is>
          <t>Motor Vechicle</t>
        </is>
      </c>
      <c r="H28" s="67" t="n"/>
      <c r="I28" s="67" t="n"/>
      <c r="J28" s="67" t="n"/>
      <c r="N28" s="112" t="inlineStr">
        <is>
          <t>Furniture, home furn, electronics, and appliance stores</t>
        </is>
      </c>
      <c r="O28" s="113" t="n"/>
      <c r="P28" s="97">
        <f>Recap!F19</f>
        <v/>
      </c>
      <c r="Q28" s="98">
        <f>Recap!G19</f>
        <v/>
      </c>
    </row>
    <row r="29" ht="15.75" customHeight="1">
      <c r="B29" s="121" t="inlineStr">
        <is>
          <t>https://fred.stlouisfed.org/series/RSBMGESD</t>
        </is>
      </c>
      <c r="G29" s="99" t="inlineStr">
        <is>
          <t>Housing Supplies</t>
        </is>
      </c>
      <c r="H29" s="67" t="n"/>
      <c r="I29" s="67" t="n"/>
      <c r="J29" s="67" t="n"/>
      <c r="N29" s="112" t="inlineStr">
        <is>
          <t>Miscellaneous stores retailers</t>
        </is>
      </c>
      <c r="O29" s="113" t="n"/>
      <c r="P29" s="97">
        <f>Recap!F20</f>
        <v/>
      </c>
      <c r="Q29" s="98">
        <f>Recap!G20</f>
        <v/>
      </c>
    </row>
    <row r="30" ht="15.75" customHeight="1" thickBot="1">
      <c r="B30" s="121" t="inlineStr">
        <is>
          <t>https://fred.stlouisfed.org/series/RSFHFS</t>
        </is>
      </c>
      <c r="G30" s="99" t="inlineStr">
        <is>
          <t>Furniture, home furn, electronics, and appliance stores</t>
        </is>
      </c>
      <c r="H30" s="67" t="n"/>
      <c r="I30" s="67" t="n"/>
      <c r="J30" s="67" t="n"/>
      <c r="N30" s="114" t="inlineStr">
        <is>
          <t>Clothing, Sport</t>
        </is>
      </c>
      <c r="O30" s="115" t="n"/>
      <c r="P30" s="101">
        <f>Recap!F21</f>
        <v/>
      </c>
      <c r="Q30" s="102">
        <f>Recap!G21</f>
        <v/>
      </c>
    </row>
    <row r="31" ht="15.75" customHeight="1">
      <c r="B31" s="121" t="inlineStr">
        <is>
          <t>https://fred.stlouisfed.org/series/RSCCAS</t>
        </is>
      </c>
      <c r="G31" s="99" t="inlineStr">
        <is>
          <t>Clothing and clothing access. stores</t>
        </is>
      </c>
      <c r="H31" s="67" t="n"/>
      <c r="I31" s="67" t="n"/>
      <c r="J31" s="67" t="n"/>
    </row>
    <row r="32" ht="15.75" customHeight="1">
      <c r="B32" s="121" t="inlineStr">
        <is>
          <t>https://fred.stlouisfed.org/series/RSMSR</t>
        </is>
      </c>
      <c r="G32" s="99" t="inlineStr">
        <is>
          <t>Miscellaneous stores retailers</t>
        </is>
      </c>
      <c r="H32" s="67" t="n"/>
      <c r="I32" s="67" t="n"/>
      <c r="J32" s="67" t="n"/>
    </row>
    <row r="33" ht="14.25" customHeight="1" thickBot="1">
      <c r="B33" s="129" t="n"/>
      <c r="G33" s="130" t="n"/>
    </row>
    <row r="34" ht="16" customHeight="1" thickBot="1">
      <c r="B34" s="27" t="n"/>
      <c r="N34" s="69">
        <f>DATE(YEAR($P$14),MONTH($P$14)-1,DAY($P$14))</f>
        <v/>
      </c>
    </row>
    <row r="35" ht="33.75" customHeight="1" thickBot="1">
      <c r="B35" s="128"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2">
    <tabColor theme="1" tint="0.499984740745262"/>
    <outlinePr summaryBelow="1" summaryRight="1"/>
    <pageSetUpPr/>
  </sheetPr>
  <dimension ref="A1:Q375"/>
  <sheetViews>
    <sheetView topLeftCell="A340" zoomScale="70" zoomScaleNormal="70" workbookViewId="0">
      <selection activeCell="P30" sqref="P30"/>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4"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4" t="n">
        <v>44501</v>
      </c>
      <c r="B360" t="n">
        <v>466517</v>
      </c>
      <c r="C360" t="n">
        <v>646132</v>
      </c>
      <c r="D360" t="n">
        <v>41108</v>
      </c>
      <c r="E360" t="n">
        <v>26147</v>
      </c>
      <c r="F360" t="n">
        <v>75526</v>
      </c>
      <c r="G360" t="n">
        <v>7395</v>
      </c>
      <c r="H360" t="n">
        <v>12003</v>
      </c>
      <c r="I360" t="n">
        <v>78967</v>
      </c>
      <c r="J360" t="n">
        <v>521436</v>
      </c>
      <c r="K360" t="n">
        <v>54919</v>
      </c>
      <c r="L360" t="n">
        <v>68086</v>
      </c>
      <c r="M360" t="n">
        <v>32628</v>
      </c>
      <c r="N360" t="n">
        <v>14583</v>
      </c>
      <c r="O360" t="n">
        <v>124696</v>
      </c>
      <c r="P360" t="n">
        <v>100838</v>
      </c>
      <c r="Q360" t="n">
        <v>9236</v>
      </c>
    </row>
    <row r="361">
      <c r="A361" s="134" t="n">
        <v>44531</v>
      </c>
      <c r="B361" t="n">
        <v>459391</v>
      </c>
      <c r="C361" t="n">
        <v>639273</v>
      </c>
      <c r="D361" t="n">
        <v>41347</v>
      </c>
      <c r="E361" t="n">
        <v>25316</v>
      </c>
      <c r="F361" t="n">
        <v>76057</v>
      </c>
      <c r="G361" t="n">
        <v>7575</v>
      </c>
      <c r="H361" t="n">
        <v>11674</v>
      </c>
      <c r="I361" t="n">
        <v>78432</v>
      </c>
      <c r="J361" t="n">
        <v>516221</v>
      </c>
      <c r="K361" t="n">
        <v>56830</v>
      </c>
      <c r="L361" t="n">
        <v>66890</v>
      </c>
      <c r="M361" t="n">
        <v>32855</v>
      </c>
      <c r="N361" t="n">
        <v>14611</v>
      </c>
      <c r="O361" t="n">
        <v>123052</v>
      </c>
      <c r="P361" t="n">
        <v>95635</v>
      </c>
      <c r="Q361" t="n">
        <v>8999</v>
      </c>
    </row>
    <row r="362">
      <c r="A362" s="134" t="n">
        <v>44562</v>
      </c>
      <c r="B362" t="n">
        <v>466890</v>
      </c>
      <c r="C362" t="n">
        <v>650682</v>
      </c>
      <c r="D362" t="n">
        <v>42025</v>
      </c>
      <c r="E362" t="n">
        <v>24729</v>
      </c>
      <c r="F362" t="n">
        <v>76525</v>
      </c>
      <c r="G362" t="n">
        <v>7310</v>
      </c>
      <c r="H362" t="n">
        <v>11698</v>
      </c>
      <c r="I362" t="n">
        <v>76217</v>
      </c>
      <c r="J362" t="n">
        <v>522494</v>
      </c>
      <c r="K362" t="n">
        <v>55604</v>
      </c>
      <c r="L362" t="n">
        <v>68308</v>
      </c>
      <c r="M362" t="n">
        <v>32815</v>
      </c>
      <c r="N362" t="n">
        <v>14652</v>
      </c>
      <c r="O362" t="n">
        <v>128188</v>
      </c>
      <c r="P362" t="n">
        <v>103873</v>
      </c>
      <c r="Q362" t="n">
        <v>8738</v>
      </c>
    </row>
    <row r="363">
      <c r="A363" s="134" t="n">
        <v>44593</v>
      </c>
      <c r="B363" t="n">
        <v>471719</v>
      </c>
      <c r="C363" t="n">
        <v>662163</v>
      </c>
      <c r="D363" t="n">
        <v>42334</v>
      </c>
      <c r="E363" t="n">
        <v>25595</v>
      </c>
      <c r="F363" t="n">
        <v>76824</v>
      </c>
      <c r="G363" t="n">
        <v>7420</v>
      </c>
      <c r="H363" t="n">
        <v>12033</v>
      </c>
      <c r="I363" t="n">
        <v>80463</v>
      </c>
      <c r="J363" t="n">
        <v>531233</v>
      </c>
      <c r="K363" t="n">
        <v>59514</v>
      </c>
      <c r="L363" t="n">
        <v>66783</v>
      </c>
      <c r="M363" t="n">
        <v>32236</v>
      </c>
      <c r="N363" t="n">
        <v>15128</v>
      </c>
      <c r="O363" t="n">
        <v>130930</v>
      </c>
      <c r="P363" t="n">
        <v>103874</v>
      </c>
      <c r="Q363" t="n">
        <v>9029</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4"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4" t="n">
        <v>44835</v>
      </c>
      <c r="B371" t="n">
        <v>498963</v>
      </c>
      <c r="C371" t="n">
        <v>691844</v>
      </c>
      <c r="D371" t="n">
        <v>43516</v>
      </c>
      <c r="E371" t="n">
        <v>26310</v>
      </c>
      <c r="F371" t="n">
        <v>80957</v>
      </c>
      <c r="G371" t="n">
        <v>7195</v>
      </c>
      <c r="H371" t="n">
        <v>12064</v>
      </c>
      <c r="I371" t="n">
        <v>89261</v>
      </c>
      <c r="J371" t="n">
        <v>562431</v>
      </c>
      <c r="K371" t="n">
        <v>63468</v>
      </c>
      <c r="L371" t="n">
        <v>70128</v>
      </c>
      <c r="M371" t="n">
        <v>33869</v>
      </c>
      <c r="N371" t="n">
        <v>15837</v>
      </c>
      <c r="O371" t="n">
        <v>129413</v>
      </c>
      <c r="P371" t="n">
        <v>110472</v>
      </c>
      <c r="Q371" t="n">
        <v>9354</v>
      </c>
    </row>
    <row r="372">
      <c r="A372" s="134" t="n">
        <v>44866</v>
      </c>
      <c r="B372" t="n">
        <v>495304</v>
      </c>
      <c r="C372" t="n">
        <v>684411</v>
      </c>
      <c r="D372" t="n">
        <v>42074</v>
      </c>
      <c r="E372" t="n">
        <v>26248</v>
      </c>
      <c r="F372" t="n">
        <v>81348</v>
      </c>
      <c r="G372" t="n">
        <v>6774</v>
      </c>
      <c r="H372" t="n">
        <v>11927</v>
      </c>
      <c r="I372" t="n">
        <v>89083</v>
      </c>
      <c r="J372" t="n">
        <v>557858</v>
      </c>
      <c r="K372" t="n">
        <v>62554</v>
      </c>
      <c r="L372" t="n">
        <v>70003</v>
      </c>
      <c r="M372" t="n">
        <v>33971</v>
      </c>
      <c r="N372" t="n">
        <v>15072</v>
      </c>
      <c r="O372" t="n">
        <v>126553</v>
      </c>
      <c r="P372" t="n">
        <v>109436</v>
      </c>
      <c r="Q372" t="n">
        <v>9368</v>
      </c>
    </row>
    <row r="373">
      <c r="A373" s="134" t="n">
        <v>44896</v>
      </c>
      <c r="B373" t="n">
        <v>495265</v>
      </c>
      <c r="C373" t="n">
        <v>678815</v>
      </c>
      <c r="D373" t="n">
        <v>42477</v>
      </c>
      <c r="E373" t="n">
        <v>26147</v>
      </c>
      <c r="F373" t="n">
        <v>80906</v>
      </c>
      <c r="G373" t="n">
        <v>6752</v>
      </c>
      <c r="H373" t="n">
        <v>11691</v>
      </c>
      <c r="I373" t="n">
        <v>89785</v>
      </c>
      <c r="J373" t="n">
        <v>554589</v>
      </c>
      <c r="K373" t="n">
        <v>59324</v>
      </c>
      <c r="L373" t="n">
        <v>70349</v>
      </c>
      <c r="M373" t="n">
        <v>33460</v>
      </c>
      <c r="N373" t="n">
        <v>15294</v>
      </c>
      <c r="O373" t="n">
        <v>124226</v>
      </c>
      <c r="P373" t="n">
        <v>109017</v>
      </c>
      <c r="Q373" t="n">
        <v>9387</v>
      </c>
    </row>
    <row r="374">
      <c r="A374" s="134" t="n">
        <v>44927</v>
      </c>
      <c r="B374" t="n">
        <v>508924</v>
      </c>
      <c r="C374" t="n">
        <v>700682</v>
      </c>
      <c r="D374" t="n">
        <v>42636</v>
      </c>
      <c r="E374" t="n">
        <v>26906</v>
      </c>
      <c r="F374" t="n">
        <v>80618</v>
      </c>
      <c r="G374" t="n">
        <v>7194</v>
      </c>
      <c r="H374" t="n">
        <v>12359</v>
      </c>
      <c r="I374" t="n">
        <v>94789</v>
      </c>
      <c r="J374" t="n">
        <v>567645</v>
      </c>
      <c r="K374" t="n">
        <v>58721</v>
      </c>
      <c r="L374" t="n">
        <v>73392</v>
      </c>
      <c r="M374" t="n">
        <v>34487</v>
      </c>
      <c r="N374" t="n">
        <v>16158</v>
      </c>
      <c r="O374" t="n">
        <v>133037</v>
      </c>
      <c r="P374" t="n">
        <v>110956</v>
      </c>
      <c r="Q374" t="n">
        <v>9429</v>
      </c>
    </row>
    <row r="375">
      <c r="A375" s="134" t="n">
        <v>44958</v>
      </c>
      <c r="B375" t="n">
        <v>508850</v>
      </c>
      <c r="C375" t="n">
        <v>697876</v>
      </c>
      <c r="D375" t="n">
        <v>42587</v>
      </c>
      <c r="E375" t="n">
        <v>26691</v>
      </c>
      <c r="F375" t="n">
        <v>81014</v>
      </c>
      <c r="G375" t="n">
        <v>7214</v>
      </c>
      <c r="H375" t="n">
        <v>12048</v>
      </c>
      <c r="I375" t="n">
        <v>92740</v>
      </c>
      <c r="J375" t="n">
        <v>567229</v>
      </c>
      <c r="K375" t="n">
        <v>58379</v>
      </c>
      <c r="L375" t="n">
        <v>73794</v>
      </c>
      <c r="M375" t="n">
        <v>34799</v>
      </c>
      <c r="N375" t="n">
        <v>15860</v>
      </c>
      <c r="O375" t="n">
        <v>130647</v>
      </c>
      <c r="P375" t="n">
        <v>112722</v>
      </c>
      <c r="Q375" t="n">
        <v>9381</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70" zoomScaleNormal="70" workbookViewId="0">
      <selection activeCell="E4" sqref="E4"/>
    </sheetView>
  </sheetViews>
  <sheetFormatPr baseColWidth="8" defaultColWidth="9.1796875" defaultRowHeight="14.5"/>
  <cols>
    <col width="5.81640625" customWidth="1" style="121" min="1" max="1"/>
    <col width="14.6328125" customWidth="1" style="121" min="2" max="2"/>
    <col width="63.1796875" customWidth="1" style="121" min="3" max="3"/>
    <col width="16.36328125" bestFit="1" customWidth="1" style="121" min="4" max="4"/>
    <col width="16.36328125" customWidth="1" style="121" min="5" max="8"/>
    <col width="21.81640625" customWidth="1" style="121" min="9" max="9"/>
    <col width="52.36328125" customWidth="1" style="121" min="10" max="10"/>
    <col width="9.1796875" customWidth="1" style="121" min="11" max="12"/>
    <col width="9.81640625" customWidth="1" style="121" min="13" max="13"/>
    <col width="9.1796875" customWidth="1" style="121" min="14" max="38"/>
    <col width="9.1796875" customWidth="1" style="121" min="39" max="16384"/>
  </cols>
  <sheetData>
    <row r="1" ht="16" customHeight="1" thickBot="1"/>
    <row r="2">
      <c r="D2" s="4" t="inlineStr">
        <is>
          <t>Previous</t>
        </is>
      </c>
      <c r="E2" s="6">
        <f>DATE(YEAR(E3),MONTH(E3)-1,DAY(E3))</f>
        <v/>
      </c>
    </row>
    <row r="3" ht="16" customHeight="1" thickBot="1">
      <c r="D3" s="5" t="inlineStr">
        <is>
          <t>Latest</t>
        </is>
      </c>
      <c r="E3" s="7" t="n">
        <v>44958</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70"/>
  <sheetViews>
    <sheetView zoomScale="70" zoomScaleNormal="70" workbookViewId="0">
      <pane ySplit="3" topLeftCell="A36" activePane="bottomLeft" state="frozen"/>
      <selection activeCell="P14" sqref="P14"/>
      <selection pane="bottomLeft" activeCell="AI62" sqref="AI62"/>
    </sheetView>
  </sheetViews>
  <sheetFormatPr baseColWidth="8" defaultColWidth="9.1796875" defaultRowHeight="14.5"/>
  <cols>
    <col width="3" customWidth="1" style="121" min="1" max="1"/>
    <col width="8.81640625" bestFit="1" customWidth="1" style="121" min="2" max="2"/>
    <col width="7.6328125" customWidth="1" style="121" min="3" max="32"/>
    <col width="9.1796875" customWidth="1" style="121" min="33" max="57"/>
    <col width="9.1796875" customWidth="1" style="121" min="58" max="16384"/>
  </cols>
  <sheetData>
    <row r="1" ht="16" customHeight="1" thickBot="1"/>
    <row r="2" ht="87" customHeight="1" thickBot="1">
      <c r="B2" s="54" t="n"/>
      <c r="C2" s="131" t="inlineStr">
        <is>
          <t>Retail Sales</t>
        </is>
      </c>
      <c r="D2" s="125" t="n"/>
      <c r="E2" s="132" t="inlineStr">
        <is>
          <t>Retail Sales ex Auto</t>
        </is>
      </c>
      <c r="F2" s="125" t="n"/>
      <c r="G2" s="131" t="inlineStr">
        <is>
          <t>Retail Sales ex Auto and Gas</t>
        </is>
      </c>
      <c r="H2" s="125" t="n"/>
      <c r="I2" s="131" t="inlineStr">
        <is>
          <t>Motor Vechicle</t>
        </is>
      </c>
      <c r="J2" s="125" t="n"/>
      <c r="K2" s="131" t="inlineStr">
        <is>
          <t>Non Store</t>
        </is>
      </c>
      <c r="L2" s="125" t="n"/>
      <c r="M2" s="131" t="inlineStr">
        <is>
          <t>Food &amp; Beverage</t>
        </is>
      </c>
      <c r="N2" s="125" t="n"/>
      <c r="O2" s="131" t="inlineStr">
        <is>
          <t>Food Services</t>
        </is>
      </c>
      <c r="P2" s="125" t="n"/>
      <c r="Q2" s="131" t="inlineStr">
        <is>
          <t>General Merchandis</t>
        </is>
      </c>
      <c r="R2" s="125" t="n"/>
      <c r="S2" s="131" t="inlineStr">
        <is>
          <t>Gasoline Stations</t>
        </is>
      </c>
      <c r="T2" s="125" t="n"/>
      <c r="U2" s="131" t="inlineStr">
        <is>
          <t>Housing Supplies</t>
        </is>
      </c>
      <c r="V2" s="125" t="n"/>
      <c r="W2" s="131" t="inlineStr">
        <is>
          <t>HealthCare</t>
        </is>
      </c>
      <c r="X2" s="125" t="n"/>
      <c r="Y2" s="131" t="inlineStr">
        <is>
          <t xml:space="preserve">Clothing </t>
        </is>
      </c>
      <c r="Z2" s="125" t="n"/>
      <c r="AA2" s="131" t="inlineStr">
        <is>
          <t>Furniture</t>
        </is>
      </c>
      <c r="AB2" s="125" t="n"/>
      <c r="AC2" s="131" t="inlineStr">
        <is>
          <t>Miscellan. stores</t>
        </is>
      </c>
      <c r="AD2" s="125" t="n"/>
      <c r="AE2" s="131" t="inlineStr">
        <is>
          <t>Clothing, Sport</t>
        </is>
      </c>
      <c r="AF2" s="125"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row r="68">
      <c r="B68" s="56" t="n">
        <v>44896</v>
      </c>
      <c r="C68" s="52">
        <f>VLOOKUP(B68,'Retail Sales'!A:D,3,)</f>
        <v/>
      </c>
      <c r="D68" s="53">
        <f>VLOOKUP(B68,'Retail Sales'!A:D,4,)</f>
        <v/>
      </c>
      <c r="E68" s="52">
        <f>VLOOKUP(B68,'Retail Sales ex Auto'!$A:$D,3,)</f>
        <v/>
      </c>
      <c r="F68" s="53">
        <f>VLOOKUP(B68,'Retail Sales ex Auto'!$A:$D,4,)</f>
        <v/>
      </c>
      <c r="G68" s="52">
        <f>VLOOKUP(B68,'Retail Sales ex Auto and Gas'!$A:$D,3,)</f>
        <v/>
      </c>
      <c r="H68" s="53">
        <f>VLOOKUP(B68,'Retail Sales ex Auto and Gas'!$A:$D,4,)</f>
        <v/>
      </c>
      <c r="I68" s="52">
        <f>VLOOKUP(B68,Motor!$A:$D,3,)</f>
        <v/>
      </c>
      <c r="J68" s="53">
        <f>VLOOKUP(B68,Motor!$A:$D,4,)</f>
        <v/>
      </c>
      <c r="K68" s="52">
        <f>VLOOKUP(B68,'Non Store Retail'!$A:$D,3,)</f>
        <v/>
      </c>
      <c r="L68" s="53">
        <f>VLOOKUP(B68,'Non Store Retail'!$A:$D,4,)</f>
        <v/>
      </c>
      <c r="M68" s="52">
        <f>VLOOKUP(B68,'Food and Beverage'!$A:$D,3,)</f>
        <v/>
      </c>
      <c r="N68" s="52">
        <f>VLOOKUP(B68,'Food and Beverage'!$A:$D,4,)</f>
        <v/>
      </c>
      <c r="O68" s="52">
        <f>VLOOKUP(B68,'Food Services'!$A:$D,3,)</f>
        <v/>
      </c>
      <c r="P68" s="53">
        <f>VLOOKUP(B68,'Food Services'!$A:$D,4,)</f>
        <v/>
      </c>
      <c r="Q68" s="52">
        <f>VLOOKUP(B68,'General Merchandising'!$A:$D,3,)</f>
        <v/>
      </c>
      <c r="R68" s="53">
        <f>VLOOKUP(B68,'General Merchandising'!$A:$D,4,)</f>
        <v/>
      </c>
      <c r="S68" s="52">
        <f>VLOOKUP(B68,'Gas Station'!$A:$D,3,)</f>
        <v/>
      </c>
      <c r="T68" s="53">
        <f>VLOOKUP(B68,'Gas Station'!$A:$D,4,)</f>
        <v/>
      </c>
      <c r="U68" s="52">
        <f>VLOOKUP(B68,Housing!$A:$D,3,)</f>
        <v/>
      </c>
      <c r="V68" s="53">
        <f>VLOOKUP(B68,Housing!$A:$D,4,)</f>
        <v/>
      </c>
      <c r="W68" s="52">
        <f>VLOOKUP(B68,Health!$A:$D,3,)</f>
        <v/>
      </c>
      <c r="X68" s="53">
        <f>VLOOKUP(B68,Health!$A:$D,4,)</f>
        <v/>
      </c>
      <c r="Y68" s="52">
        <f>VLOOKUP(B68,'Clothing and clothing access'!$A:$D,3,)</f>
        <v/>
      </c>
      <c r="Z68" s="53">
        <f>VLOOKUP(B68,'Clothing and clothing access'!$A:$D,4,)</f>
        <v/>
      </c>
      <c r="AA68" s="52">
        <f>VLOOKUP(B68,'Furniture Home'!$A:$D,3,)</f>
        <v/>
      </c>
      <c r="AB68" s="53">
        <f>VLOOKUP(B68,'Furniture Home'!$A:$D,4,)</f>
        <v/>
      </c>
      <c r="AC68" s="52">
        <f>VLOOKUP(B68,'Miscellaneous stores retailers'!$A:$D,3,)</f>
        <v/>
      </c>
      <c r="AD68" s="53">
        <f>VLOOKUP(B68,'Miscellaneous stores retailers'!$A:$D,4,)</f>
        <v/>
      </c>
      <c r="AE68" s="52">
        <f>VLOOKUP(B68,'Sporting Goods'!$A:$D,3,)</f>
        <v/>
      </c>
      <c r="AF68" s="53">
        <f>VLOOKUP(B68,'Sporting Goods'!$A:$D,4,)</f>
        <v/>
      </c>
    </row>
    <row r="69">
      <c r="B69" s="56" t="n">
        <v>44927</v>
      </c>
      <c r="C69" s="52">
        <f>VLOOKUP(B69,'Retail Sales'!A:D,3,)</f>
        <v/>
      </c>
      <c r="D69" s="53">
        <f>VLOOKUP(B69,'Retail Sales'!A:D,4,)</f>
        <v/>
      </c>
      <c r="E69" s="52">
        <f>VLOOKUP(B69,'Retail Sales ex Auto'!$A:$D,3,)</f>
        <v/>
      </c>
      <c r="F69" s="53">
        <f>VLOOKUP(B69,'Retail Sales ex Auto'!$A:$D,4,)</f>
        <v/>
      </c>
      <c r="G69" s="52">
        <f>VLOOKUP(B69,'Retail Sales ex Auto and Gas'!$A:$D,3,)</f>
        <v/>
      </c>
      <c r="H69" s="53">
        <f>VLOOKUP(B69,'Retail Sales ex Auto and Gas'!$A:$D,4,)</f>
        <v/>
      </c>
      <c r="I69" s="52">
        <f>VLOOKUP(B69,Motor!$A:$D,3,)</f>
        <v/>
      </c>
      <c r="J69" s="53">
        <f>VLOOKUP(B69,Motor!$A:$D,4,)</f>
        <v/>
      </c>
      <c r="K69" s="52">
        <f>VLOOKUP(B69,'Non Store Retail'!$A:$D,3,)</f>
        <v/>
      </c>
      <c r="L69" s="53">
        <f>VLOOKUP(B69,'Non Store Retail'!$A:$D,4,)</f>
        <v/>
      </c>
      <c r="M69" s="52">
        <f>VLOOKUP(B69,'Food and Beverage'!$A:$D,3,)</f>
        <v/>
      </c>
      <c r="N69" s="52">
        <f>VLOOKUP(B69,'Food and Beverage'!$A:$D,4,)</f>
        <v/>
      </c>
      <c r="O69" s="52">
        <f>VLOOKUP(B69,'Food Services'!$A:$D,3,)</f>
        <v/>
      </c>
      <c r="P69" s="53">
        <f>VLOOKUP(B69,'Food Services'!$A:$D,4,)</f>
        <v/>
      </c>
      <c r="Q69" s="52">
        <f>VLOOKUP(B69,'General Merchandising'!$A:$D,3,)</f>
        <v/>
      </c>
      <c r="R69" s="53">
        <f>VLOOKUP(B69,'General Merchandising'!$A:$D,4,)</f>
        <v/>
      </c>
      <c r="S69" s="52">
        <f>VLOOKUP(B69,'Gas Station'!$A:$D,3,)</f>
        <v/>
      </c>
      <c r="T69" s="53">
        <f>VLOOKUP(B69,'Gas Station'!$A:$D,4,)</f>
        <v/>
      </c>
      <c r="U69" s="52">
        <f>VLOOKUP(B69,Housing!$A:$D,3,)</f>
        <v/>
      </c>
      <c r="V69" s="53">
        <f>VLOOKUP(B69,Housing!$A:$D,4,)</f>
        <v/>
      </c>
      <c r="W69" s="52">
        <f>VLOOKUP(B69,Health!$A:$D,3,)</f>
        <v/>
      </c>
      <c r="X69" s="53">
        <f>VLOOKUP(B69,Health!$A:$D,4,)</f>
        <v/>
      </c>
      <c r="Y69" s="52">
        <f>VLOOKUP(B69,'Clothing and clothing access'!$A:$D,3,)</f>
        <v/>
      </c>
      <c r="Z69" s="53">
        <f>VLOOKUP(B69,'Clothing and clothing access'!$A:$D,4,)</f>
        <v/>
      </c>
      <c r="AA69" s="52">
        <f>VLOOKUP(B69,'Furniture Home'!$A:$D,3,)</f>
        <v/>
      </c>
      <c r="AB69" s="53">
        <f>VLOOKUP(B69,'Furniture Home'!$A:$D,4,)</f>
        <v/>
      </c>
      <c r="AC69" s="52">
        <f>VLOOKUP(B69,'Miscellaneous stores retailers'!$A:$D,3,)</f>
        <v/>
      </c>
      <c r="AD69" s="53">
        <f>VLOOKUP(B69,'Miscellaneous stores retailers'!$A:$D,4,)</f>
        <v/>
      </c>
      <c r="AE69" s="52">
        <f>VLOOKUP(B69,'Sporting Goods'!$A:$D,3,)</f>
        <v/>
      </c>
      <c r="AF69" s="53">
        <f>VLOOKUP(B69,'Sporting Goods'!$A:$D,4,)</f>
        <v/>
      </c>
    </row>
    <row r="70">
      <c r="B70" s="56" t="n">
        <v>44958</v>
      </c>
      <c r="C70" s="52">
        <f>VLOOKUP(B70,'Retail Sales'!A:D,3,)</f>
        <v/>
      </c>
      <c r="D70" s="53">
        <f>VLOOKUP(B70,'Retail Sales'!A:D,4,)</f>
        <v/>
      </c>
      <c r="E70" s="52">
        <f>VLOOKUP(B70,'Retail Sales ex Auto'!$A:$D,3,)</f>
        <v/>
      </c>
      <c r="F70" s="53">
        <f>VLOOKUP(B70,'Retail Sales ex Auto'!$A:$D,4,)</f>
        <v/>
      </c>
      <c r="G70" s="52">
        <f>VLOOKUP(B70,'Retail Sales ex Auto and Gas'!$A:$D,3,)</f>
        <v/>
      </c>
      <c r="H70" s="53">
        <f>VLOOKUP(B70,'Retail Sales ex Auto and Gas'!$A:$D,4,)</f>
        <v/>
      </c>
      <c r="I70" s="52">
        <f>VLOOKUP(B70,Motor!$A:$D,3,)</f>
        <v/>
      </c>
      <c r="J70" s="53">
        <f>VLOOKUP(B70,Motor!$A:$D,4,)</f>
        <v/>
      </c>
      <c r="K70" s="52">
        <f>VLOOKUP(B70,'Non Store Retail'!$A:$D,3,)</f>
        <v/>
      </c>
      <c r="L70" s="53">
        <f>VLOOKUP(B70,'Non Store Retail'!$A:$D,4,)</f>
        <v/>
      </c>
      <c r="M70" s="52">
        <f>VLOOKUP(B70,'Food and Beverage'!$A:$D,3,)</f>
        <v/>
      </c>
      <c r="N70" s="52">
        <f>VLOOKUP(B70,'Food and Beverage'!$A:$D,4,)</f>
        <v/>
      </c>
      <c r="O70" s="52">
        <f>VLOOKUP(B70,'Food Services'!$A:$D,3,)</f>
        <v/>
      </c>
      <c r="P70" s="53">
        <f>VLOOKUP(B70,'Food Services'!$A:$D,4,)</f>
        <v/>
      </c>
      <c r="Q70" s="52">
        <f>VLOOKUP(B70,'General Merchandising'!$A:$D,3,)</f>
        <v/>
      </c>
      <c r="R70" s="53">
        <f>VLOOKUP(B70,'General Merchandising'!$A:$D,4,)</f>
        <v/>
      </c>
      <c r="S70" s="52">
        <f>VLOOKUP(B70,'Gas Station'!$A:$D,3,)</f>
        <v/>
      </c>
      <c r="T70" s="53">
        <f>VLOOKUP(B70,'Gas Station'!$A:$D,4,)</f>
        <v/>
      </c>
      <c r="U70" s="52">
        <f>VLOOKUP(B70,Housing!$A:$D,3,)</f>
        <v/>
      </c>
      <c r="V70" s="53">
        <f>VLOOKUP(B70,Housing!$A:$D,4,)</f>
        <v/>
      </c>
      <c r="W70" s="52">
        <f>VLOOKUP(B70,Health!$A:$D,3,)</f>
        <v/>
      </c>
      <c r="X70" s="53">
        <f>VLOOKUP(B70,Health!$A:$D,4,)</f>
        <v/>
      </c>
      <c r="Y70" s="52">
        <f>VLOOKUP(B70,'Clothing and clothing access'!$A:$D,3,)</f>
        <v/>
      </c>
      <c r="Z70" s="53">
        <f>VLOOKUP(B70,'Clothing and clothing access'!$A:$D,4,)</f>
        <v/>
      </c>
      <c r="AA70" s="52">
        <f>VLOOKUP(B70,'Furniture Home'!$A:$D,3,)</f>
        <v/>
      </c>
      <c r="AB70" s="53">
        <f>VLOOKUP(B70,'Furniture Home'!$A:$D,4,)</f>
        <v/>
      </c>
      <c r="AC70" s="52">
        <f>VLOOKUP(B70,'Miscellaneous stores retailers'!$A:$D,3,)</f>
        <v/>
      </c>
      <c r="AD70" s="53">
        <f>VLOOKUP(B70,'Miscellaneous stores retailers'!$A:$D,4,)</f>
        <v/>
      </c>
      <c r="AE70" s="52">
        <f>VLOOKUP(B70,'Sporting Goods'!$A:$D,3,)</f>
        <v/>
      </c>
      <c r="AF70" s="53">
        <f>VLOOKUP(B70,'Sporting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70">
    <cfRule type="colorScale" priority="243">
      <colorScale>
        <cfvo type="min"/>
        <cfvo type="percentile" val="50"/>
        <cfvo type="max"/>
        <color rgb="FFF8696B"/>
        <color rgb="FFFFEB84"/>
        <color rgb="FF63BE7B"/>
      </colorScale>
    </cfRule>
  </conditionalFormatting>
  <conditionalFormatting sqref="D4:D70">
    <cfRule type="colorScale" priority="244">
      <colorScale>
        <cfvo type="min"/>
        <cfvo type="percentile" val="50"/>
        <cfvo type="max"/>
        <color rgb="FFF8696B"/>
        <color rgb="FFFFEB84"/>
        <color rgb="FF63BE7B"/>
      </colorScale>
    </cfRule>
  </conditionalFormatting>
  <conditionalFormatting sqref="E4:E70">
    <cfRule type="colorScale" priority="245">
      <colorScale>
        <cfvo type="min"/>
        <cfvo type="percentile" val="50"/>
        <cfvo type="max"/>
        <color rgb="FFF8696B"/>
        <color rgb="FFFFEB84"/>
        <color rgb="FF63BE7B"/>
      </colorScale>
    </cfRule>
  </conditionalFormatting>
  <conditionalFormatting sqref="F4:F70">
    <cfRule type="colorScale" priority="246">
      <colorScale>
        <cfvo type="min"/>
        <cfvo type="percentile" val="50"/>
        <cfvo type="max"/>
        <color rgb="FFF8696B"/>
        <color rgb="FFFFEB84"/>
        <color rgb="FF63BE7B"/>
      </colorScale>
    </cfRule>
  </conditionalFormatting>
  <conditionalFormatting sqref="G4:G70">
    <cfRule type="colorScale" priority="247">
      <colorScale>
        <cfvo type="min"/>
        <cfvo type="percentile" val="50"/>
        <cfvo type="max"/>
        <color rgb="FFF8696B"/>
        <color rgb="FFFFEB84"/>
        <color rgb="FF63BE7B"/>
      </colorScale>
    </cfRule>
  </conditionalFormatting>
  <conditionalFormatting sqref="H4:H70">
    <cfRule type="colorScale" priority="248">
      <colorScale>
        <cfvo type="min"/>
        <cfvo type="percentile" val="50"/>
        <cfvo type="max"/>
        <color rgb="FFF8696B"/>
        <color rgb="FFFFEB84"/>
        <color rgb="FF63BE7B"/>
      </colorScale>
    </cfRule>
  </conditionalFormatting>
  <conditionalFormatting sqref="I4:I70">
    <cfRule type="colorScale" priority="249">
      <colorScale>
        <cfvo type="min"/>
        <cfvo type="percentile" val="50"/>
        <cfvo type="max"/>
        <color rgb="FFF8696B"/>
        <color rgb="FFFFEB84"/>
        <color rgb="FF63BE7B"/>
      </colorScale>
    </cfRule>
  </conditionalFormatting>
  <conditionalFormatting sqref="J4:J70">
    <cfRule type="colorScale" priority="250">
      <colorScale>
        <cfvo type="min"/>
        <cfvo type="percentile" val="50"/>
        <cfvo type="max"/>
        <color rgb="FFF8696B"/>
        <color rgb="FFFFEB84"/>
        <color rgb="FF63BE7B"/>
      </colorScale>
    </cfRule>
  </conditionalFormatting>
  <conditionalFormatting sqref="K4:K70">
    <cfRule type="colorScale" priority="251">
      <colorScale>
        <cfvo type="min"/>
        <cfvo type="percentile" val="50"/>
        <cfvo type="max"/>
        <color rgb="FFF8696B"/>
        <color rgb="FFFFEB84"/>
        <color rgb="FF63BE7B"/>
      </colorScale>
    </cfRule>
  </conditionalFormatting>
  <conditionalFormatting sqref="L4:L70">
    <cfRule type="colorScale" priority="252">
      <colorScale>
        <cfvo type="min"/>
        <cfvo type="percentile" val="50"/>
        <cfvo type="max"/>
        <color rgb="FFF8696B"/>
        <color rgb="FFFFEB84"/>
        <color rgb="FF63BE7B"/>
      </colorScale>
    </cfRule>
  </conditionalFormatting>
  <conditionalFormatting sqref="M4:M70">
    <cfRule type="colorScale" priority="253">
      <colorScale>
        <cfvo type="min"/>
        <cfvo type="percentile" val="50"/>
        <cfvo type="max"/>
        <color rgb="FFF8696B"/>
        <color rgb="FFFFEB84"/>
        <color rgb="FF63BE7B"/>
      </colorScale>
    </cfRule>
  </conditionalFormatting>
  <conditionalFormatting sqref="O4:O70">
    <cfRule type="colorScale" priority="254">
      <colorScale>
        <cfvo type="min"/>
        <cfvo type="percentile" val="50"/>
        <cfvo type="max"/>
        <color rgb="FFF8696B"/>
        <color rgb="FFFFEB84"/>
        <color rgb="FF63BE7B"/>
      </colorScale>
    </cfRule>
  </conditionalFormatting>
  <conditionalFormatting sqref="P4:P70">
    <cfRule type="colorScale" priority="255">
      <colorScale>
        <cfvo type="min"/>
        <cfvo type="percentile" val="50"/>
        <cfvo type="max"/>
        <color rgb="FFF8696B"/>
        <color rgb="FFFFEB84"/>
        <color rgb="FF63BE7B"/>
      </colorScale>
    </cfRule>
  </conditionalFormatting>
  <conditionalFormatting sqref="Q4:Q70">
    <cfRule type="colorScale" priority="256">
      <colorScale>
        <cfvo type="min"/>
        <cfvo type="percentile" val="50"/>
        <cfvo type="max"/>
        <color rgb="FFF8696B"/>
        <color rgb="FFFFEB84"/>
        <color rgb="FF63BE7B"/>
      </colorScale>
    </cfRule>
  </conditionalFormatting>
  <conditionalFormatting sqref="R4:R70">
    <cfRule type="colorScale" priority="257">
      <colorScale>
        <cfvo type="min"/>
        <cfvo type="percentile" val="50"/>
        <cfvo type="max"/>
        <color rgb="FFF8696B"/>
        <color rgb="FFFFEB84"/>
        <color rgb="FF63BE7B"/>
      </colorScale>
    </cfRule>
  </conditionalFormatting>
  <conditionalFormatting sqref="S4:S70">
    <cfRule type="colorScale" priority="258">
      <colorScale>
        <cfvo type="min"/>
        <cfvo type="percentile" val="50"/>
        <cfvo type="max"/>
        <color rgb="FFF8696B"/>
        <color rgb="FFFFEB84"/>
        <color rgb="FF63BE7B"/>
      </colorScale>
    </cfRule>
  </conditionalFormatting>
  <conditionalFormatting sqref="T4:T70">
    <cfRule type="colorScale" priority="259">
      <colorScale>
        <cfvo type="min"/>
        <cfvo type="percentile" val="50"/>
        <cfvo type="max"/>
        <color rgb="FFF8696B"/>
        <color rgb="FFFFEB84"/>
        <color rgb="FF63BE7B"/>
      </colorScale>
    </cfRule>
  </conditionalFormatting>
  <conditionalFormatting sqref="U4:U70">
    <cfRule type="colorScale" priority="260">
      <colorScale>
        <cfvo type="min"/>
        <cfvo type="percentile" val="50"/>
        <cfvo type="max"/>
        <color rgb="FFF8696B"/>
        <color rgb="FFFFEB84"/>
        <color rgb="FF63BE7B"/>
      </colorScale>
    </cfRule>
  </conditionalFormatting>
  <conditionalFormatting sqref="V4:V70">
    <cfRule type="colorScale" priority="261">
      <colorScale>
        <cfvo type="min"/>
        <cfvo type="percentile" val="50"/>
        <cfvo type="max"/>
        <color rgb="FFF8696B"/>
        <color rgb="FFFFEB84"/>
        <color rgb="FF63BE7B"/>
      </colorScale>
    </cfRule>
  </conditionalFormatting>
  <conditionalFormatting sqref="W4:W70">
    <cfRule type="colorScale" priority="262">
      <colorScale>
        <cfvo type="min"/>
        <cfvo type="percentile" val="50"/>
        <cfvo type="max"/>
        <color rgb="FFF8696B"/>
        <color rgb="FFFFEB84"/>
        <color rgb="FF63BE7B"/>
      </colorScale>
    </cfRule>
  </conditionalFormatting>
  <conditionalFormatting sqref="X4:X70">
    <cfRule type="colorScale" priority="265">
      <colorScale>
        <cfvo type="min"/>
        <cfvo type="percentile" val="50"/>
        <cfvo type="max"/>
        <color rgb="FFF8696B"/>
        <color rgb="FFFFEB84"/>
        <color rgb="FF63BE7B"/>
      </colorScale>
    </cfRule>
  </conditionalFormatting>
  <conditionalFormatting sqref="Y4:Y70">
    <cfRule type="colorScale" priority="268">
      <colorScale>
        <cfvo type="min"/>
        <cfvo type="percentile" val="50"/>
        <cfvo type="max"/>
        <color rgb="FFF8696B"/>
        <color rgb="FFFFEB84"/>
        <color rgb="FF63BE7B"/>
      </colorScale>
    </cfRule>
  </conditionalFormatting>
  <conditionalFormatting sqref="Z4:Z70">
    <cfRule type="colorScale" priority="269">
      <colorScale>
        <cfvo type="min"/>
        <cfvo type="percentile" val="50"/>
        <cfvo type="max"/>
        <color rgb="FFF8696B"/>
        <color rgb="FFFFEB84"/>
        <color rgb="FF63BE7B"/>
      </colorScale>
    </cfRule>
  </conditionalFormatting>
  <conditionalFormatting sqref="AA4:AA70">
    <cfRule type="colorScale" priority="270">
      <colorScale>
        <cfvo type="min"/>
        <cfvo type="percentile" val="50"/>
        <cfvo type="max"/>
        <color rgb="FFF8696B"/>
        <color rgb="FFFFEB84"/>
        <color rgb="FF63BE7B"/>
      </colorScale>
    </cfRule>
  </conditionalFormatting>
  <conditionalFormatting sqref="AB4:AB70">
    <cfRule type="colorScale" priority="271">
      <colorScale>
        <cfvo type="min"/>
        <cfvo type="percentile" val="50"/>
        <cfvo type="max"/>
        <color rgb="FFF8696B"/>
        <color rgb="FFFFEB84"/>
        <color rgb="FF63BE7B"/>
      </colorScale>
    </cfRule>
  </conditionalFormatting>
  <conditionalFormatting sqref="AC4:AC70">
    <cfRule type="colorScale" priority="272">
      <colorScale>
        <cfvo type="min"/>
        <cfvo type="percentile" val="50"/>
        <cfvo type="max"/>
        <color rgb="FFF8696B"/>
        <color rgb="FFFFEB84"/>
        <color rgb="FF63BE7B"/>
      </colorScale>
    </cfRule>
  </conditionalFormatting>
  <conditionalFormatting sqref="AD4:AD70">
    <cfRule type="colorScale" priority="273">
      <colorScale>
        <cfvo type="min"/>
        <cfvo type="percentile" val="50"/>
        <cfvo type="max"/>
        <color rgb="FFF8696B"/>
        <color rgb="FFFFEB84"/>
        <color rgb="FF63BE7B"/>
      </colorScale>
    </cfRule>
  </conditionalFormatting>
  <conditionalFormatting sqref="AE4:AE70">
    <cfRule type="colorScale" priority="274">
      <colorScale>
        <cfvo type="min"/>
        <cfvo type="percentile" val="50"/>
        <cfvo type="max"/>
        <color rgb="FFF8696B"/>
        <color rgb="FFFFEB84"/>
        <color rgb="FF63BE7B"/>
      </colorScale>
    </cfRule>
  </conditionalFormatting>
  <conditionalFormatting sqref="AF4:AF70">
    <cfRule type="colorScale" priority="275">
      <colorScale>
        <cfvo type="min"/>
        <cfvo type="percentile" val="50"/>
        <cfvo type="max"/>
        <color rgb="FFF8696B"/>
        <color rgb="FFFFEB84"/>
        <color rgb="FF63BE7B"/>
      </colorScale>
    </cfRule>
  </conditionalFormatting>
  <conditionalFormatting sqref="N4:N70">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7"/>
  <sheetViews>
    <sheetView zoomScale="80" zoomScaleNormal="80" workbookViewId="0">
      <pane ySplit="6" topLeftCell="A349" activePane="bottomLeft" state="frozen"/>
      <selection pane="bottomLeft" activeCell="A373" sqref="A373:D380"/>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21" min="5" max="53"/>
  </cols>
  <sheetData>
    <row r="1" customFormat="1" s="121">
      <c r="A1" s="26" t="inlineStr">
        <is>
          <t>MARTSSM44W72USS</t>
        </is>
      </c>
      <c r="B1" s="27" t="inlineStr">
        <is>
          <t>Advance Retail Sales: Retail Trade and Food Services, Excluding Motor Vehicle and Parts Dealers and Gasoline Stations (MARTSMPCSM44W72USS)</t>
        </is>
      </c>
      <c r="I1" s="21" t="n"/>
      <c r="J1" s="21" t="n"/>
      <c r="L1" s="121" t="inlineStr">
        <is>
          <t>mom</t>
        </is>
      </c>
      <c r="M1" s="121" t="inlineStr">
        <is>
          <t>yoy</t>
        </is>
      </c>
    </row>
    <row r="2" customFormat="1" s="121">
      <c r="A2" s="127" t="inlineStr">
        <is>
          <t>https://fred.stlouisfed.org/series/MARTSMPCSM44W72USS</t>
        </is>
      </c>
      <c r="I2" s="21" t="n"/>
      <c r="J2" s="21" t="n"/>
      <c r="L2" s="28">
        <f>MAX(C8:C335)</f>
        <v/>
      </c>
      <c r="M2" s="28">
        <f>MAX(D8:D335)</f>
        <v/>
      </c>
    </row>
    <row r="3" customFormat="1" s="121">
      <c r="A3" s="127" t="n"/>
      <c r="I3" s="21" t="n"/>
      <c r="J3" s="21" t="n"/>
      <c r="L3" s="28">
        <f>MIN(C8:C335)</f>
        <v/>
      </c>
      <c r="M3" s="28">
        <f>MIN(D8:D335)</f>
        <v/>
      </c>
    </row>
    <row r="4" customFormat="1" s="121">
      <c r="A4" s="127" t="n"/>
      <c r="I4" s="21" t="n"/>
      <c r="J4" s="21" t="n"/>
      <c r="L4" s="28" t="n"/>
      <c r="M4" s="28" t="n"/>
    </row>
    <row r="5" customFormat="1" s="121">
      <c r="C5" s="121" t="inlineStr">
        <is>
          <t>https://tradingeconomics.com/united-states/retail-sales</t>
        </is>
      </c>
      <c r="D5" s="121"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1"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0"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c r="A379" s="11" t="n">
        <v>44927</v>
      </c>
      <c r="B379" s="15">
        <f>VLOOKUP(A379,Database!A:M,MATCH($A$1,Database!$A$1:$M$1,),)</f>
        <v/>
      </c>
      <c r="C379" s="12">
        <f>(B379-B378)/B378</f>
        <v/>
      </c>
      <c r="D379" s="13">
        <f>(B379-B367)/B367</f>
        <v/>
      </c>
    </row>
    <row r="380" customFormat="1" s="121">
      <c r="A380" s="11" t="n">
        <v>44958</v>
      </c>
      <c r="B380" s="15">
        <f>VLOOKUP(A380,Database!A:M,MATCH($A$1,Database!$A$1:$M$1,),)</f>
        <v/>
      </c>
      <c r="C380" s="12">
        <f>(B380-B379)/B379</f>
        <v/>
      </c>
      <c r="D380" s="13">
        <f>(B380-B368)/B368</f>
        <v/>
      </c>
    </row>
    <row r="381" customFormat="1" s="121"/>
    <row r="382" customFormat="1" s="121"/>
    <row r="383" customFormat="1" s="121"/>
    <row r="384" customFormat="1" s="121"/>
    <row r="385" customFormat="1" s="121"/>
    <row r="386" customFormat="1" s="121"/>
    <row r="387" customFormat="1" s="121"/>
    <row r="388" customFormat="1" s="121"/>
    <row r="389" customFormat="1" s="121"/>
    <row r="390" customFormat="1" s="121"/>
    <row r="391" customFormat="1" s="121"/>
    <row r="392" customFormat="1" s="121"/>
    <row r="393" customFormat="1" s="121"/>
    <row r="394" customFormat="1" s="121"/>
    <row r="395" customFormat="1" s="121"/>
    <row r="396" customFormat="1" s="121"/>
    <row r="397" customFormat="1" s="121"/>
    <row r="398" customFormat="1" s="121"/>
    <row r="399" customFormat="1" s="121"/>
    <row r="400" customFormat="1" s="121"/>
    <row r="401" customFormat="1" s="121"/>
    <row r="402" customFormat="1" s="121"/>
    <row r="403" customFormat="1" s="121"/>
    <row r="404" customFormat="1" s="121"/>
    <row r="405" customFormat="1" s="121"/>
    <row r="406" customFormat="1" s="121"/>
    <row r="407" customFormat="1" s="121"/>
    <row r="408" customFormat="1" s="121"/>
    <row r="409" customFormat="1" s="121"/>
    <row r="410" customFormat="1" s="121"/>
    <row r="411" customFormat="1" s="121"/>
    <row r="412" customFormat="1" s="121"/>
    <row r="413" customFormat="1" s="121"/>
    <row r="414" customFormat="1" s="121"/>
    <row r="415" customFormat="1" s="121"/>
    <row r="416" customFormat="1" s="121"/>
    <row r="417" customFormat="1" s="121"/>
    <row r="418" customFormat="1" s="121"/>
    <row r="419" customFormat="1" s="121"/>
    <row r="420" customFormat="1" s="121"/>
    <row r="421" customFormat="1" s="121"/>
    <row r="422" customFormat="1" s="121"/>
    <row r="423" customFormat="1" s="121"/>
    <row r="424" customFormat="1" s="121"/>
    <row r="425" customFormat="1" s="121"/>
    <row r="426" customFormat="1" s="121"/>
    <row r="427" customFormat="1" s="121"/>
    <row r="428" customFormat="1" s="121"/>
    <row r="429" customFormat="1" s="121"/>
    <row r="430" customFormat="1" s="121"/>
    <row r="431" customFormat="1" s="121"/>
    <row r="432" customFormat="1" s="121"/>
    <row r="433" customFormat="1" s="121"/>
    <row r="434" customFormat="1" s="121"/>
    <row r="435" customFormat="1" s="121"/>
    <row r="436" customFormat="1" s="121"/>
    <row r="437" customFormat="1" s="121"/>
    <row r="438" customFormat="1" s="121"/>
    <row r="439" customFormat="1" s="121"/>
    <row r="440" customFormat="1" s="121"/>
    <row r="441" customFormat="1" s="121"/>
    <row r="442" customFormat="1" s="121"/>
    <row r="443" customFormat="1" s="121"/>
    <row r="444" customFormat="1" s="121"/>
    <row r="445" customFormat="1" s="121"/>
    <row r="446" customFormat="1" s="121"/>
    <row r="447" customFormat="1" s="121"/>
    <row r="448" customFormat="1" s="121"/>
    <row r="449" customFormat="1" s="121"/>
    <row r="450" customFormat="1" s="121"/>
    <row r="451" customFormat="1" s="121"/>
    <row r="452" customFormat="1" s="121"/>
    <row r="453" customFormat="1" s="121"/>
    <row r="454" customFormat="1" s="121"/>
    <row r="455" customFormat="1" s="121"/>
    <row r="456" customFormat="1" s="121"/>
    <row r="457" customFormat="1" s="121"/>
    <row r="458" customFormat="1" s="121"/>
    <row r="459" customFormat="1" s="121"/>
    <row r="460" customFormat="1" s="121"/>
    <row r="461" customFormat="1" s="121"/>
    <row r="462" customFormat="1" s="121"/>
    <row r="463" customFormat="1" s="121"/>
    <row r="464" customFormat="1" s="121"/>
    <row r="465" customFormat="1" s="121"/>
    <row r="466" customFormat="1" s="121"/>
    <row r="467" customFormat="1" s="121"/>
    <row r="468" customFormat="1" s="121"/>
    <row r="469" customFormat="1" s="121"/>
    <row r="470" customFormat="1" s="121"/>
    <row r="471" customFormat="1" s="121"/>
    <row r="472" customFormat="1" s="121"/>
    <row r="473" customFormat="1" s="121"/>
    <row r="474" customFormat="1" s="121"/>
    <row r="475" customFormat="1" s="121"/>
    <row r="476" customFormat="1" s="121"/>
    <row r="477" customFormat="1" s="121"/>
    <row r="478" customFormat="1" s="121"/>
    <row r="479" customFormat="1" s="121"/>
    <row r="480" customFormat="1" s="121"/>
    <row r="481" customFormat="1" s="121"/>
    <row r="482" customFormat="1" s="121"/>
    <row r="483" customFormat="1" s="121"/>
    <row r="484" customFormat="1" s="121"/>
    <row r="485" customFormat="1" s="121"/>
    <row r="486" customFormat="1" s="121"/>
    <row r="487" customFormat="1" s="121"/>
    <row r="488" customFormat="1" s="121"/>
    <row r="489" customFormat="1" s="121"/>
    <row r="490" customFormat="1" s="121"/>
    <row r="491" customFormat="1" s="121"/>
    <row r="492" customFormat="1" s="121"/>
    <row r="493" customFormat="1" s="121"/>
    <row r="494" customFormat="1" s="121"/>
    <row r="495" customFormat="1" s="121"/>
    <row r="496" customFormat="1" s="121"/>
    <row r="497" customFormat="1" s="121"/>
    <row r="498" customFormat="1" s="121"/>
    <row r="499" customFormat="1" s="121"/>
    <row r="500" customFormat="1" s="121"/>
    <row r="501" customFormat="1" s="121"/>
    <row r="502" customFormat="1" s="121"/>
    <row r="503" customFormat="1" s="121"/>
    <row r="504" customFormat="1" s="121"/>
    <row r="505" customFormat="1" s="121"/>
    <row r="506" customFormat="1" s="121"/>
    <row r="507" customFormat="1" s="121"/>
    <row r="508" customFormat="1" s="121"/>
    <row r="509" customFormat="1" s="121"/>
    <row r="510" customFormat="1" s="121"/>
    <row r="511" customFormat="1" s="121"/>
    <row r="512" customFormat="1" s="121"/>
    <row r="513" customFormat="1" s="121"/>
    <row r="514" customFormat="1" s="121"/>
    <row r="515" customFormat="1" s="121"/>
    <row r="516" customFormat="1" s="121"/>
    <row r="517" customFormat="1" s="121"/>
    <row r="518" customFormat="1" s="121"/>
    <row r="519" customFormat="1" s="121"/>
    <row r="520" customFormat="1" s="121"/>
    <row r="521" customFormat="1" s="121"/>
    <row r="522" customFormat="1" s="121"/>
    <row r="523" customFormat="1" s="121"/>
    <row r="524" customFormat="1" s="121"/>
    <row r="525" customFormat="1" s="121"/>
    <row r="526" customFormat="1" s="121"/>
    <row r="527" customFormat="1" s="121"/>
    <row r="528" customFormat="1" s="121"/>
    <row r="529" customFormat="1" s="121"/>
    <row r="530" customFormat="1" s="121"/>
    <row r="531" customFormat="1" s="121"/>
    <row r="532" customFormat="1" s="121"/>
    <row r="533" customFormat="1" s="121"/>
    <row r="534" customFormat="1" s="121"/>
    <row r="535" customFormat="1" s="121"/>
    <row r="536" customFormat="1" s="121"/>
    <row r="537" customFormat="1" s="121"/>
    <row r="538" customFormat="1" s="121"/>
    <row r="539" customFormat="1" s="121"/>
    <row r="540" customFormat="1" s="121"/>
    <row r="541" customFormat="1" s="121"/>
    <row r="542" customFormat="1" s="121"/>
    <row r="543" customFormat="1" s="121"/>
    <row r="544" customFormat="1" s="121"/>
    <row r="545" customFormat="1" s="121"/>
    <row r="546" customFormat="1" s="121"/>
    <row r="547" customFormat="1" s="121"/>
    <row r="548" customFormat="1" s="121"/>
    <row r="549" customFormat="1" s="121"/>
    <row r="550" customFormat="1" s="121"/>
    <row r="551" customFormat="1" s="121"/>
    <row r="552" customFormat="1" s="121"/>
    <row r="553" customFormat="1" s="121"/>
    <row r="554" customFormat="1" s="121"/>
    <row r="555" customFormat="1" s="121"/>
    <row r="556" customFormat="1" s="121"/>
    <row r="557" customFormat="1" s="121"/>
    <row r="558" customFormat="1" s="121"/>
    <row r="559" customFormat="1" s="121"/>
    <row r="560" customFormat="1" s="121"/>
    <row r="561" customFormat="1" s="121"/>
    <row r="562" customFormat="1" s="121"/>
    <row r="563" customFormat="1" s="121"/>
    <row r="564" customFormat="1" s="121"/>
    <row r="565" customFormat="1" s="121"/>
    <row r="566" customFormat="1" s="121"/>
    <row r="567" customFormat="1" s="121"/>
    <row r="568" customFormat="1" s="121"/>
    <row r="569" customFormat="1" s="121"/>
    <row r="570" customFormat="1" s="121"/>
    <row r="571" customFormat="1" s="121"/>
    <row r="572" customFormat="1" s="121"/>
    <row r="573" customFormat="1" s="121"/>
    <row r="574" customFormat="1" s="121"/>
    <row r="575" customFormat="1" s="121"/>
    <row r="576" customFormat="1" s="121"/>
    <row r="577" customFormat="1" s="121"/>
    <row r="578" customFormat="1" s="121"/>
    <row r="579" customFormat="1" s="121"/>
    <row r="580" customFormat="1" s="121"/>
    <row r="581" customFormat="1" s="121"/>
    <row r="582" customFormat="1" s="121"/>
    <row r="583" customFormat="1" s="121"/>
    <row r="584" customFormat="1" s="121"/>
    <row r="585" customFormat="1" s="121"/>
    <row r="586" customFormat="1" s="121"/>
    <row r="587" customFormat="1" s="121"/>
    <row r="588" customFormat="1" s="121"/>
    <row r="589" customFormat="1" s="121"/>
    <row r="590" customFormat="1" s="121"/>
    <row r="591" customFormat="1" s="121"/>
    <row r="592" customFormat="1" s="121"/>
    <row r="593" customFormat="1" s="121"/>
    <row r="594" customFormat="1" s="121"/>
    <row r="595" customFormat="1" s="121"/>
    <row r="596" customFormat="1" s="121"/>
    <row r="597" customFormat="1" s="121"/>
    <row r="598" customFormat="1" s="121"/>
    <row r="599" customFormat="1" s="121"/>
    <row r="600" customFormat="1" s="121"/>
    <row r="601" customFormat="1" s="121"/>
    <row r="602" customFormat="1" s="121"/>
    <row r="603" customFormat="1" s="121"/>
    <row r="604" customFormat="1" s="121"/>
    <row r="605" customFormat="1" s="121"/>
    <row r="606" customFormat="1" s="121"/>
    <row r="607" customFormat="1" s="121"/>
    <row r="608" customFormat="1" s="121"/>
    <row r="609" customFormat="1" s="121"/>
    <row r="610" customFormat="1" s="121"/>
    <row r="611" customFormat="1" s="121"/>
    <row r="612" customFormat="1" s="121"/>
    <row r="613" customFormat="1" s="121"/>
    <row r="614" customFormat="1" s="121"/>
    <row r="615" customFormat="1" s="121"/>
    <row r="616" customFormat="1" s="121"/>
    <row r="617" customFormat="1" s="121"/>
    <row r="618" customFormat="1" s="121"/>
    <row r="619" customFormat="1" s="121"/>
    <row r="620" customFormat="1" s="121"/>
    <row r="621" customFormat="1" s="121"/>
    <row r="622" customFormat="1" s="121"/>
    <row r="623" customFormat="1" s="121"/>
    <row r="624" customFormat="1" s="121"/>
    <row r="625" customFormat="1" s="121"/>
    <row r="626" customFormat="1" s="121"/>
    <row r="627" customFormat="1" s="121"/>
    <row r="628" customFormat="1" s="121"/>
    <row r="629" customFormat="1" s="121"/>
    <row r="630" customFormat="1" s="121"/>
    <row r="631" customFormat="1" s="121"/>
    <row r="632" customFormat="1" s="121"/>
    <row r="633">
      <c r="A633" s="121" t="n"/>
      <c r="B633" s="121" t="n"/>
      <c r="C633" s="121" t="n"/>
      <c r="D633" s="121" t="n"/>
    </row>
    <row r="634">
      <c r="A634" s="121" t="n"/>
      <c r="B634" s="121" t="n"/>
      <c r="C634" s="121" t="n"/>
      <c r="D634" s="121" t="n"/>
    </row>
    <row r="635">
      <c r="A635" s="121" t="n"/>
      <c r="B635" s="121" t="n"/>
      <c r="C635" s="121" t="n"/>
      <c r="D635" s="121" t="n"/>
    </row>
    <row r="636">
      <c r="A636" s="121" t="n"/>
      <c r="B636" s="121" t="n"/>
      <c r="C636" s="121" t="n"/>
      <c r="D636" s="121" t="n"/>
    </row>
    <row r="637">
      <c r="A637" s="121" t="n"/>
      <c r="B637" s="121" t="n"/>
      <c r="C637" s="121" t="n"/>
      <c r="D637" s="121" t="n"/>
    </row>
    <row r="638">
      <c r="A638" s="121" t="n"/>
      <c r="B638" s="121" t="n"/>
      <c r="C638" s="121" t="n"/>
      <c r="D638" s="121" t="n"/>
    </row>
    <row r="639">
      <c r="A639" s="121" t="n"/>
      <c r="B639" s="121" t="n"/>
      <c r="C639" s="121" t="n"/>
      <c r="D639" s="121" t="n"/>
    </row>
    <row r="640">
      <c r="A640" s="121" t="n"/>
      <c r="B640" s="121" t="n"/>
      <c r="C640" s="121" t="n"/>
      <c r="D640" s="121" t="n"/>
    </row>
    <row r="641">
      <c r="A641" s="121" t="n"/>
      <c r="B641" s="121" t="n"/>
      <c r="C641" s="121" t="n"/>
      <c r="D641" s="121" t="n"/>
    </row>
    <row r="642">
      <c r="A642" s="121" t="n"/>
      <c r="B642" s="121" t="n"/>
      <c r="C642" s="121" t="n"/>
      <c r="D642" s="121" t="n"/>
    </row>
    <row r="643">
      <c r="A643" s="121" t="n"/>
      <c r="B643" s="121" t="n"/>
      <c r="C643" s="121" t="n"/>
      <c r="D643" s="121" t="n"/>
    </row>
    <row r="644">
      <c r="A644" s="121" t="n"/>
      <c r="B644" s="121" t="n"/>
      <c r="C644" s="121" t="n"/>
      <c r="D644" s="121" t="n"/>
    </row>
    <row r="645">
      <c r="A645" s="121" t="n"/>
      <c r="B645" s="121" t="n"/>
      <c r="C645" s="121" t="n"/>
      <c r="D645" s="121" t="n"/>
    </row>
    <row r="646">
      <c r="A646" s="121" t="n"/>
      <c r="B646" s="121" t="n"/>
      <c r="C646" s="121" t="n"/>
      <c r="D646" s="121" t="n"/>
    </row>
    <row r="647">
      <c r="A647" s="121" t="n"/>
      <c r="B647" s="121" t="n"/>
      <c r="C647" s="121" t="n"/>
      <c r="D647" s="121" t="n"/>
    </row>
    <row r="648">
      <c r="A648" s="121" t="n"/>
      <c r="B648" s="121" t="n"/>
      <c r="C648" s="121" t="n"/>
      <c r="D648" s="121" t="n"/>
    </row>
    <row r="649">
      <c r="A649" s="121" t="n"/>
      <c r="B649" s="121" t="n"/>
      <c r="C649" s="121" t="n"/>
      <c r="D649" s="121" t="n"/>
    </row>
    <row r="650">
      <c r="A650" s="121" t="n"/>
      <c r="B650" s="121" t="n"/>
      <c r="C650" s="121" t="n"/>
      <c r="D650" s="121" t="n"/>
    </row>
    <row r="651">
      <c r="A651" s="121" t="n"/>
      <c r="B651" s="121" t="n"/>
      <c r="C651" s="121" t="n"/>
      <c r="D651" s="121" t="n"/>
    </row>
    <row r="652">
      <c r="A652" s="121" t="n"/>
      <c r="B652" s="121" t="n"/>
      <c r="C652" s="121" t="n"/>
      <c r="D652" s="121" t="n"/>
    </row>
    <row r="653">
      <c r="A653" s="121" t="n"/>
      <c r="B653" s="121" t="n"/>
      <c r="C653" s="121" t="n"/>
      <c r="D653" s="121" t="n"/>
    </row>
    <row r="654">
      <c r="A654" s="121" t="n"/>
      <c r="B654" s="121" t="n"/>
      <c r="C654" s="121" t="n"/>
      <c r="D654" s="121" t="n"/>
    </row>
    <row r="655">
      <c r="A655" s="121" t="n"/>
      <c r="B655" s="121" t="n"/>
      <c r="C655" s="121" t="n"/>
      <c r="D655" s="121" t="n"/>
    </row>
    <row r="656">
      <c r="A656" s="121" t="n"/>
      <c r="B656" s="121" t="n"/>
      <c r="C656" s="121" t="n"/>
      <c r="D656" s="121" t="n"/>
    </row>
    <row r="657">
      <c r="A657" s="121" t="n"/>
      <c r="B657" s="121" t="n"/>
      <c r="C657" s="121" t="n"/>
      <c r="D657" s="121" t="n"/>
    </row>
    <row r="658">
      <c r="A658" s="121" t="n"/>
      <c r="B658" s="121" t="n"/>
      <c r="C658" s="121" t="n"/>
      <c r="D658" s="121" t="n"/>
    </row>
    <row r="659">
      <c r="A659" s="121" t="n"/>
      <c r="B659" s="121" t="n"/>
      <c r="C659" s="121" t="n"/>
      <c r="D659" s="121" t="n"/>
    </row>
    <row r="660">
      <c r="A660" s="121" t="n"/>
      <c r="B660" s="121" t="n"/>
      <c r="C660" s="121" t="n"/>
      <c r="D660" s="121" t="n"/>
    </row>
    <row r="661">
      <c r="A661" s="121" t="n"/>
      <c r="B661" s="121" t="n"/>
      <c r="C661" s="121" t="n"/>
      <c r="D661" s="121" t="n"/>
    </row>
    <row r="662">
      <c r="A662" s="121" t="n"/>
      <c r="B662" s="121" t="n"/>
      <c r="C662" s="121" t="n"/>
      <c r="D662" s="121" t="n"/>
    </row>
    <row r="663">
      <c r="A663" s="121" t="n"/>
      <c r="B663" s="121" t="n"/>
      <c r="C663" s="121" t="n"/>
      <c r="D663" s="121" t="n"/>
    </row>
    <row r="664">
      <c r="A664" s="121" t="n"/>
      <c r="B664" s="121" t="n"/>
      <c r="C664" s="121" t="n"/>
      <c r="D664" s="121" t="n"/>
    </row>
    <row r="665">
      <c r="A665" s="121" t="n"/>
      <c r="B665" s="121" t="n"/>
      <c r="C665" s="121" t="n"/>
      <c r="D665" s="121" t="n"/>
    </row>
    <row r="666">
      <c r="A666" s="121" t="n"/>
      <c r="B666" s="121" t="n"/>
      <c r="C666" s="121" t="n"/>
      <c r="D666" s="121" t="n"/>
    </row>
    <row r="667">
      <c r="A667" s="121" t="n"/>
      <c r="B667" s="121" t="n"/>
      <c r="C667" s="121" t="n"/>
      <c r="D667" s="121" t="n"/>
    </row>
    <row r="668">
      <c r="A668" s="121" t="n"/>
      <c r="B668" s="121" t="n"/>
      <c r="C668" s="121" t="n"/>
      <c r="D668" s="121" t="n"/>
    </row>
    <row r="669">
      <c r="A669" s="121" t="n"/>
      <c r="B669" s="121" t="n"/>
      <c r="C669" s="121" t="n"/>
      <c r="D669" s="121" t="n"/>
    </row>
    <row r="670">
      <c r="A670" s="121" t="n"/>
      <c r="B670" s="121" t="n"/>
      <c r="C670" s="121" t="n"/>
      <c r="D670" s="121" t="n"/>
    </row>
    <row r="671">
      <c r="A671" s="121" t="n"/>
      <c r="B671" s="121" t="n"/>
      <c r="C671" s="121" t="n"/>
      <c r="D671" s="121" t="n"/>
    </row>
    <row r="672">
      <c r="A672" s="121" t="n"/>
      <c r="B672" s="121" t="n"/>
      <c r="C672" s="121" t="n"/>
      <c r="D672" s="121" t="n"/>
    </row>
    <row r="673">
      <c r="A673" s="121" t="n"/>
      <c r="B673" s="121" t="n"/>
      <c r="C673" s="121" t="n"/>
      <c r="D673" s="121" t="n"/>
    </row>
    <row r="674">
      <c r="A674" s="121" t="n"/>
      <c r="B674" s="121" t="n"/>
      <c r="C674" s="121" t="n"/>
      <c r="D674" s="121" t="n"/>
    </row>
    <row r="675">
      <c r="A675" s="121" t="n"/>
      <c r="B675" s="121" t="n"/>
      <c r="C675" s="121" t="n"/>
      <c r="D675" s="121" t="n"/>
    </row>
    <row r="676">
      <c r="A676" s="121" t="n"/>
      <c r="B676" s="121" t="n"/>
      <c r="C676" s="121" t="n"/>
      <c r="D676" s="121" t="n"/>
    </row>
    <row r="677">
      <c r="A677" s="121" t="n"/>
      <c r="B677" s="121" t="n"/>
      <c r="C677" s="121" t="n"/>
      <c r="D677" s="121" t="n"/>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52"/>
  <sheetViews>
    <sheetView zoomScale="80" zoomScaleNormal="80" workbookViewId="0">
      <pane ySplit="6" topLeftCell="A353" activePane="bottomLeft" state="frozen"/>
      <selection pane="bottomLeft" activeCell="A371" sqref="A371:D380"/>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21" min="5" max="140"/>
  </cols>
  <sheetData>
    <row r="1" customFormat="1" s="121">
      <c r="A1" s="27" t="inlineStr">
        <is>
          <t>RSAFS</t>
        </is>
      </c>
      <c r="B1" s="25" t="inlineStr">
        <is>
          <t>Retail and Food Services Sales (RSAFS), Millions of Dollars, Monthly, Seasonally Adjusted</t>
        </is>
      </c>
      <c r="C1" s="54" t="n"/>
      <c r="D1" s="54" t="n"/>
    </row>
    <row r="2" customFormat="1" s="121">
      <c r="A2" s="9" t="inlineStr">
        <is>
          <t>https://fred.stlouisfed.org/series/RSAFS</t>
        </is>
      </c>
      <c r="B2" s="14" t="n"/>
      <c r="C2" s="54" t="n"/>
      <c r="D2" s="54" t="n"/>
    </row>
    <row r="3" customFormat="1" s="121">
      <c r="A3" s="9" t="n"/>
      <c r="B3" s="14" t="n"/>
      <c r="C3" s="54" t="n"/>
      <c r="D3" s="54" t="n"/>
    </row>
    <row r="4" customFormat="1" s="121">
      <c r="A4" s="9" t="n"/>
      <c r="B4" s="14" t="n"/>
      <c r="C4" s="54" t="n"/>
      <c r="D4" s="54" t="n"/>
    </row>
    <row r="5" ht="16" customFormat="1" customHeight="1" s="121"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1">
      <c r="A338" s="11" t="n">
        <v>43678</v>
      </c>
      <c r="B338" s="15">
        <f>VLOOKUP(A338,Database!A:K,MATCH('Retail Sales'!$A$1,Database!$A$1:$K$1,),)</f>
        <v/>
      </c>
      <c r="C338" s="12">
        <f>(B338-B337)/B337</f>
        <v/>
      </c>
      <c r="D338" s="13">
        <f>(B338-B326)/B326</f>
        <v/>
      </c>
    </row>
    <row r="339" customFormat="1" s="121">
      <c r="A339" s="10" t="n">
        <v>43709</v>
      </c>
      <c r="B339" s="15">
        <f>VLOOKUP(A339,Database!A:K,MATCH('Retail Sales'!$A$1,Database!$A$1:$K$1,),)</f>
        <v/>
      </c>
      <c r="C339" s="12">
        <f>(B339-B338)/B338</f>
        <v/>
      </c>
      <c r="D339" s="13">
        <f>(B339-B327)/B327</f>
        <v/>
      </c>
    </row>
    <row r="340" customFormat="1" s="121">
      <c r="A340" s="11" t="n">
        <v>43739</v>
      </c>
      <c r="B340" s="15">
        <f>VLOOKUP(A340,Database!A:K,MATCH('Retail Sales'!$A$1,Database!$A$1:$K$1,),)</f>
        <v/>
      </c>
      <c r="C340" s="12">
        <f>(B340-B339)/B339</f>
        <v/>
      </c>
      <c r="D340" s="13">
        <f>(B340-B328)/B328</f>
        <v/>
      </c>
    </row>
    <row r="341" customFormat="1" s="121">
      <c r="A341" s="10" t="n">
        <v>43770</v>
      </c>
      <c r="B341" s="15">
        <f>VLOOKUP(A341,Database!A:K,MATCH('Retail Sales'!$A$1,Database!$A$1:$K$1,),)</f>
        <v/>
      </c>
      <c r="C341" s="12">
        <f>(B341-B340)/B340</f>
        <v/>
      </c>
      <c r="D341" s="13">
        <f>(B341-B329)/B329</f>
        <v/>
      </c>
    </row>
    <row r="342" customFormat="1" s="121">
      <c r="A342" s="11" t="n">
        <v>43800</v>
      </c>
      <c r="B342" s="15">
        <f>VLOOKUP(A342,Database!A:K,MATCH('Retail Sales'!$A$1,Database!$A$1:$K$1,),)</f>
        <v/>
      </c>
      <c r="C342" s="12">
        <f>(B342-B341)/B341</f>
        <v/>
      </c>
      <c r="D342" s="13">
        <f>(B342-B330)/B330</f>
        <v/>
      </c>
    </row>
    <row r="343" customFormat="1" s="121">
      <c r="A343" s="10" t="n">
        <v>43831</v>
      </c>
      <c r="B343" s="15">
        <f>VLOOKUP(A343,Database!A:K,MATCH('Retail Sales'!$A$1,Database!$A$1:$K$1,),)</f>
        <v/>
      </c>
      <c r="C343" s="12">
        <f>(B343-B342)/B342</f>
        <v/>
      </c>
      <c r="D343" s="13">
        <f>(B343-B331)/B331</f>
        <v/>
      </c>
    </row>
    <row r="344" customFormat="1" s="121">
      <c r="A344" s="11" t="n">
        <v>43862</v>
      </c>
      <c r="B344" s="15">
        <f>VLOOKUP(A344,Database!A:K,MATCH('Retail Sales'!$A$1,Database!$A$1:$K$1,),)</f>
        <v/>
      </c>
      <c r="C344" s="12">
        <f>(B344-B343)/B343</f>
        <v/>
      </c>
      <c r="D344" s="13">
        <f>(B344-B332)/B332</f>
        <v/>
      </c>
    </row>
    <row r="345" customFormat="1" s="121">
      <c r="A345" s="10" t="n">
        <v>43891</v>
      </c>
      <c r="B345" s="15">
        <f>VLOOKUP(A345,Database!A:K,MATCH('Retail Sales'!$A$1,Database!$A$1:$K$1,),)</f>
        <v/>
      </c>
      <c r="C345" s="12">
        <f>(B345-B344)/B344</f>
        <v/>
      </c>
      <c r="D345" s="13">
        <f>(B345-B333)/B333</f>
        <v/>
      </c>
    </row>
    <row r="346" customFormat="1" s="121">
      <c r="A346" s="11" t="n">
        <v>43922</v>
      </c>
      <c r="B346" s="15">
        <f>VLOOKUP(A346,Database!A:K,MATCH('Retail Sales'!$A$1,Database!$A$1:$K$1,),)</f>
        <v/>
      </c>
      <c r="C346" s="12">
        <f>(B346-B345)/B345</f>
        <v/>
      </c>
      <c r="D346" s="13">
        <f>(B346-B334)/B334</f>
        <v/>
      </c>
    </row>
    <row r="347" customFormat="1" s="121">
      <c r="A347" s="10" t="n">
        <v>43952</v>
      </c>
      <c r="B347" s="15">
        <f>VLOOKUP(A347,Database!A:K,MATCH('Retail Sales'!$A$1,Database!$A$1:$K$1,),)</f>
        <v/>
      </c>
      <c r="C347" s="12">
        <f>(B347-B346)/B346</f>
        <v/>
      </c>
      <c r="D347" s="13">
        <f>(B347-B335)/B335</f>
        <v/>
      </c>
    </row>
    <row r="348" customFormat="1" s="121">
      <c r="A348" s="11" t="n">
        <v>43983</v>
      </c>
      <c r="B348" s="15">
        <f>VLOOKUP(A348,Database!A:K,MATCH('Retail Sales'!$A$1,Database!$A$1:$K$1,),)</f>
        <v/>
      </c>
      <c r="C348" s="12">
        <f>(B348-B347)/B347</f>
        <v/>
      </c>
      <c r="D348" s="13">
        <f>(B348-B336)/B336</f>
        <v/>
      </c>
    </row>
    <row r="349" customFormat="1" s="121">
      <c r="A349" s="10" t="n">
        <v>44013</v>
      </c>
      <c r="B349" s="15">
        <f>VLOOKUP(A349,Database!A:K,MATCH('Retail Sales'!$A$1,Database!$A$1:$K$1,),)</f>
        <v/>
      </c>
      <c r="C349" s="12">
        <f>(B349-B348)/B348</f>
        <v/>
      </c>
      <c r="D349" s="13">
        <f>(B349-B337)/B337</f>
        <v/>
      </c>
    </row>
    <row r="350" customFormat="1" s="121">
      <c r="A350" s="11" t="n">
        <v>44044</v>
      </c>
      <c r="B350" s="15">
        <f>VLOOKUP(A350,Database!A:K,MATCH('Retail Sales'!$A$1,Database!$A$1:$K$1,),)</f>
        <v/>
      </c>
      <c r="C350" s="12">
        <f>(B350-B349)/B349</f>
        <v/>
      </c>
      <c r="D350" s="13">
        <f>(B350-B338)/B338</f>
        <v/>
      </c>
    </row>
    <row r="351" customFormat="1" s="121">
      <c r="A351" s="10" t="n">
        <v>44075</v>
      </c>
      <c r="B351" s="15">
        <f>VLOOKUP(A351,Database!A:K,MATCH('Retail Sales'!$A$1,Database!$A$1:$K$1,),)</f>
        <v/>
      </c>
      <c r="C351" s="12">
        <f>(B351-B350)/B350</f>
        <v/>
      </c>
      <c r="D351" s="13">
        <f>(B351-B339)/B339</f>
        <v/>
      </c>
    </row>
    <row r="352" customFormat="1" s="121">
      <c r="A352" s="11" t="n">
        <v>44105</v>
      </c>
      <c r="B352" s="15">
        <f>VLOOKUP(A352,Database!A:K,MATCH('Retail Sales'!$A$1,Database!$A$1:$K$1,),)</f>
        <v/>
      </c>
      <c r="C352" s="12">
        <f>(B352-B351)/B351</f>
        <v/>
      </c>
      <c r="D352" s="13">
        <f>(B352-B340)/B340</f>
        <v/>
      </c>
    </row>
    <row r="353" customFormat="1" s="121">
      <c r="A353" s="10" t="n">
        <v>44136</v>
      </c>
      <c r="B353" s="15">
        <f>VLOOKUP(A353,Database!A:K,MATCH('Retail Sales'!$A$1,Database!$A$1:$K$1,),)</f>
        <v/>
      </c>
      <c r="C353" s="12">
        <f>(B353-B352)/B352</f>
        <v/>
      </c>
      <c r="D353" s="13">
        <f>(B353-B341)/B341</f>
        <v/>
      </c>
    </row>
    <row r="354" customFormat="1" s="121">
      <c r="A354" s="11" t="n">
        <v>44166</v>
      </c>
      <c r="B354" s="15">
        <f>VLOOKUP(A354,Database!A:K,MATCH('Retail Sales'!$A$1,Database!$A$1:$K$1,),)</f>
        <v/>
      </c>
      <c r="C354" s="12">
        <f>(B354-B353)/B353</f>
        <v/>
      </c>
      <c r="D354" s="13">
        <f>(B354-B342)/B342</f>
        <v/>
      </c>
    </row>
    <row r="355" customFormat="1" s="121">
      <c r="A355" s="10" t="n">
        <v>44197</v>
      </c>
      <c r="B355" s="15">
        <f>VLOOKUP(A355,Database!A:K,MATCH('Retail Sales'!$A$1,Database!$A$1:$K$1,),)</f>
        <v/>
      </c>
      <c r="C355" s="12">
        <f>(B355-B354)/B354</f>
        <v/>
      </c>
      <c r="D355" s="13">
        <f>(B355-B343)/B343</f>
        <v/>
      </c>
    </row>
    <row r="356" customFormat="1" s="121">
      <c r="A356" s="11" t="n">
        <v>44228</v>
      </c>
      <c r="B356" s="15">
        <f>VLOOKUP(A356,Database!A:K,MATCH('Retail Sales'!$A$1,Database!$A$1:$K$1,),)</f>
        <v/>
      </c>
      <c r="C356" s="12">
        <f>(B356-B355)/B355</f>
        <v/>
      </c>
      <c r="D356" s="13">
        <f>(B356-B344)/B344</f>
        <v/>
      </c>
    </row>
    <row r="357" customFormat="1" s="121">
      <c r="A357" s="10" t="n">
        <v>44256</v>
      </c>
      <c r="B357" s="15">
        <f>VLOOKUP(A357,Database!A:K,MATCH('Retail Sales'!$A$1,Database!$A$1:$K$1,),)</f>
        <v/>
      </c>
      <c r="C357" s="12">
        <f>(B357-B356)/B356</f>
        <v/>
      </c>
      <c r="D357" s="13">
        <f>(B357-B345)/B345</f>
        <v/>
      </c>
    </row>
    <row r="358" customFormat="1" s="121">
      <c r="A358" s="11" t="n">
        <v>44287</v>
      </c>
      <c r="B358" s="15">
        <f>VLOOKUP(A358,Database!A:K,MATCH('Retail Sales'!$A$1,Database!$A$1:$K$1,),)</f>
        <v/>
      </c>
      <c r="C358" s="12">
        <f>(B358-B357)/B357</f>
        <v/>
      </c>
      <c r="D358" s="13">
        <f>(B358-B346)/B346</f>
        <v/>
      </c>
    </row>
    <row r="359" customFormat="1" s="121">
      <c r="A359" s="10" t="n">
        <v>44317</v>
      </c>
      <c r="B359" s="15">
        <f>VLOOKUP(A359,Database!A:K,MATCH('Retail Sales'!$A$1,Database!$A$1:$K$1,),)</f>
        <v/>
      </c>
      <c r="C359" s="12">
        <f>(B359-B358)/B358</f>
        <v/>
      </c>
      <c r="D359" s="13">
        <f>(B359-B347)/B347</f>
        <v/>
      </c>
    </row>
    <row r="360" customFormat="1" s="121">
      <c r="A360" s="11" t="n">
        <v>44348</v>
      </c>
      <c r="B360" s="15">
        <f>VLOOKUP(A360,Database!A:K,MATCH('Retail Sales'!$A$1,Database!$A$1:$K$1,),)</f>
        <v/>
      </c>
      <c r="C360" s="12">
        <f>(B360-B359)/B359</f>
        <v/>
      </c>
      <c r="D360" s="13">
        <f>(B360-B348)/B348</f>
        <v/>
      </c>
    </row>
    <row r="361" customFormat="1" s="121">
      <c r="A361" s="10" t="n">
        <v>44378</v>
      </c>
      <c r="B361" s="15">
        <f>VLOOKUP(A361,Database!A:K,MATCH('Retail Sales'!$A$1,Database!$A$1:$K$1,),)</f>
        <v/>
      </c>
      <c r="C361" s="12">
        <f>(B361-B360)/B360</f>
        <v/>
      </c>
      <c r="D361" s="13">
        <f>(B361-B349)/B349</f>
        <v/>
      </c>
    </row>
    <row r="362" customFormat="1" s="121">
      <c r="A362" s="11" t="n">
        <v>44409</v>
      </c>
      <c r="B362" s="15">
        <f>VLOOKUP(A362,Database!A:K,MATCH('Retail Sales'!$A$1,Database!$A$1:$K$1,),)</f>
        <v/>
      </c>
      <c r="C362" s="12">
        <f>(B362-B361)/B361</f>
        <v/>
      </c>
      <c r="D362" s="13">
        <f>(B362-B350)/B350</f>
        <v/>
      </c>
    </row>
    <row r="363" customFormat="1" s="121">
      <c r="A363" s="11" t="n">
        <v>44440</v>
      </c>
      <c r="B363" s="15">
        <f>VLOOKUP(A363,Database!A:K,MATCH('Retail Sales'!$A$1,Database!$A$1:$K$1,),)</f>
        <v/>
      </c>
      <c r="C363" s="12">
        <f>(B363-B362)/B362</f>
        <v/>
      </c>
      <c r="D363" s="13">
        <f>(B363-B351)/B351</f>
        <v/>
      </c>
    </row>
    <row r="364" customFormat="1" s="121">
      <c r="A364" s="10" t="n">
        <v>44470</v>
      </c>
      <c r="B364" s="15">
        <f>VLOOKUP(A364,Database!A:K,MATCH('Retail Sales'!$A$1,Database!$A$1:$K$1,),)</f>
        <v/>
      </c>
      <c r="C364" s="12">
        <f>(B364-B363)/B363</f>
        <v/>
      </c>
      <c r="D364" s="13">
        <f>(B364-B352)/B352</f>
        <v/>
      </c>
    </row>
    <row r="365" customFormat="1" s="121">
      <c r="A365" s="11" t="n">
        <v>44501</v>
      </c>
      <c r="B365" s="15">
        <f>VLOOKUP(A365,Database!A:K,MATCH('Retail Sales'!$A$1,Database!$A$1:$K$1,),)</f>
        <v/>
      </c>
      <c r="C365" s="12">
        <f>(B365-B364)/B364</f>
        <v/>
      </c>
      <c r="D365" s="13">
        <f>(B365-B353)/B353</f>
        <v/>
      </c>
    </row>
    <row r="366" customFormat="1" s="121">
      <c r="A366" s="11" t="n">
        <v>44531</v>
      </c>
      <c r="B366" s="15">
        <f>VLOOKUP(A366,Database!A:K,MATCH('Retail Sales'!$A$1,Database!$A$1:$K$1,),)</f>
        <v/>
      </c>
      <c r="C366" s="12">
        <f>(B366-B365)/B365</f>
        <v/>
      </c>
      <c r="D366" s="13">
        <f>(B366-B354)/B354</f>
        <v/>
      </c>
    </row>
    <row r="367" customFormat="1" s="121">
      <c r="A367" s="11" t="n">
        <v>44562</v>
      </c>
      <c r="B367" s="15">
        <f>VLOOKUP(A367,Database!A:K,MATCH('Retail Sales'!$A$1,Database!$A$1:$K$1,),)</f>
        <v/>
      </c>
      <c r="C367" s="12">
        <f>(B367-B366)/B366</f>
        <v/>
      </c>
      <c r="D367" s="13">
        <f>(B367-B355)/B355</f>
        <v/>
      </c>
    </row>
    <row r="368" customFormat="1" s="121">
      <c r="A368" s="10" t="n">
        <v>44593</v>
      </c>
      <c r="B368" s="15">
        <f>VLOOKUP(A368,Database!A:K,MATCH('Retail Sales'!$A$1,Database!$A$1:$K$1,),)</f>
        <v/>
      </c>
      <c r="C368" s="12">
        <f>(B368-B367)/B367</f>
        <v/>
      </c>
      <c r="D368" s="13">
        <f>(B368-B356)/B356</f>
        <v/>
      </c>
    </row>
    <row r="369" customFormat="1" s="121">
      <c r="A369" s="11" t="n">
        <v>44621</v>
      </c>
      <c r="B369" s="15">
        <f>VLOOKUP(A369,Database!A:K,MATCH('Retail Sales'!$A$1,Database!$A$1:$K$1,),)</f>
        <v/>
      </c>
      <c r="C369" s="12">
        <f>(B369-B368)/B368</f>
        <v/>
      </c>
      <c r="D369" s="13">
        <f>(B369-B357)/B357</f>
        <v/>
      </c>
    </row>
    <row r="370" customFormat="1" s="121">
      <c r="A370" s="11" t="n">
        <v>44652</v>
      </c>
      <c r="B370" s="15">
        <f>VLOOKUP(A370,Database!A:K,MATCH('Retail Sales'!$A$1,Database!$A$1:$K$1,),)</f>
        <v/>
      </c>
      <c r="C370" s="12">
        <f>(B370-B369)/B369</f>
        <v/>
      </c>
      <c r="D370" s="13">
        <f>(B370-B358)/B358</f>
        <v/>
      </c>
    </row>
    <row r="371" customFormat="1" s="121">
      <c r="A371" s="10" t="n">
        <v>44682</v>
      </c>
      <c r="B371" s="15">
        <f>VLOOKUP(A371,Database!A:K,MATCH('Retail Sales'!$A$1,Database!$A$1:$K$1,),)</f>
        <v/>
      </c>
      <c r="C371" s="12">
        <f>(B371-B370)/B370</f>
        <v/>
      </c>
      <c r="D371" s="13">
        <f>(B371-B359)/B359</f>
        <v/>
      </c>
    </row>
    <row r="372" customFormat="1" s="121">
      <c r="A372" s="11" t="n">
        <v>44713</v>
      </c>
      <c r="B372" s="15">
        <f>VLOOKUP(A372,Database!A:K,MATCH('Retail Sales'!$A$1,Database!$A$1:$K$1,),)</f>
        <v/>
      </c>
      <c r="C372" s="12">
        <f>(B372-B371)/B371</f>
        <v/>
      </c>
      <c r="D372" s="13">
        <f>(B372-B360)/B360</f>
        <v/>
      </c>
    </row>
    <row r="373" customFormat="1" s="121">
      <c r="A373" s="11" t="n">
        <v>44743</v>
      </c>
      <c r="B373" s="15">
        <f>VLOOKUP(A373,Database!A:K,MATCH('Retail Sales'!$A$1,Database!$A$1:$K$1,),)</f>
        <v/>
      </c>
      <c r="C373" s="12">
        <f>(B373-B372)/B372</f>
        <v/>
      </c>
      <c r="D373" s="13">
        <f>(B373-B361)/B361</f>
        <v/>
      </c>
    </row>
    <row r="374" customFormat="1" s="121">
      <c r="A374" s="10" t="n">
        <v>44774</v>
      </c>
      <c r="B374" s="15">
        <f>VLOOKUP(A374,Database!A:K,MATCH('Retail Sales'!$A$1,Database!$A$1:$K$1,),)</f>
        <v/>
      </c>
      <c r="C374" s="12">
        <f>(B374-B373)/B373</f>
        <v/>
      </c>
      <c r="D374" s="13">
        <f>(B374-B362)/B362</f>
        <v/>
      </c>
    </row>
    <row r="375" customFormat="1" s="121">
      <c r="A375" s="10" t="n">
        <v>44805</v>
      </c>
      <c r="B375" s="15">
        <f>VLOOKUP(A375,Database!A:K,MATCH('Retail Sales'!$A$1,Database!$A$1:$K$1,),)</f>
        <v/>
      </c>
      <c r="C375" s="12">
        <f>(B375-B374)/B374</f>
        <v/>
      </c>
      <c r="D375" s="13">
        <f>(B375-B363)/B363</f>
        <v/>
      </c>
    </row>
    <row r="376" customFormat="1" s="121">
      <c r="A376" s="10" t="n">
        <v>44835</v>
      </c>
      <c r="B376" s="15">
        <f>VLOOKUP(A376,Database!A:K,MATCH('Retail Sales'!$A$1,Database!$A$1:$K$1,),)</f>
        <v/>
      </c>
      <c r="C376" s="12">
        <f>(B376-B375)/B375</f>
        <v/>
      </c>
      <c r="D376" s="13">
        <f>(B376-B364)/B364</f>
        <v/>
      </c>
    </row>
    <row r="377" customFormat="1" s="121">
      <c r="A377" s="10" t="n">
        <v>44866</v>
      </c>
      <c r="B377" s="15">
        <f>VLOOKUP(A377,Database!A:K,MATCH('Retail Sales'!$A$1,Database!$A$1:$K$1,),)</f>
        <v/>
      </c>
      <c r="C377" s="12">
        <f>(B377-B376)/B376</f>
        <v/>
      </c>
      <c r="D377" s="13">
        <f>(B377-B365)/B365</f>
        <v/>
      </c>
    </row>
    <row r="378" customFormat="1" s="121">
      <c r="A378" s="10" t="n">
        <v>44896</v>
      </c>
      <c r="B378" s="15">
        <f>VLOOKUP(A378,Database!A:K,MATCH('Retail Sales'!$A$1,Database!$A$1:$K$1,),)</f>
        <v/>
      </c>
      <c r="C378" s="12">
        <f>(B378-B377)/B377</f>
        <v/>
      </c>
      <c r="D378" s="13">
        <f>(B378-B366)/B366</f>
        <v/>
      </c>
    </row>
    <row r="379" customFormat="1" s="121">
      <c r="A379" s="11" t="n">
        <v>44927</v>
      </c>
      <c r="B379" s="15">
        <f>VLOOKUP(A379,Database!A:K,MATCH('Retail Sales'!$A$1,Database!$A$1:$K$1,),)</f>
        <v/>
      </c>
      <c r="C379" s="12">
        <f>(B379-B378)/B378</f>
        <v/>
      </c>
      <c r="D379" s="13">
        <f>(B379-B367)/B367</f>
        <v/>
      </c>
    </row>
    <row r="380" customFormat="1" s="121">
      <c r="A380" s="10" t="n">
        <v>44958</v>
      </c>
      <c r="B380" s="15">
        <f>VLOOKUP(A380,Database!A:K,MATCH('Retail Sales'!$A$1,Database!$A$1:$K$1,),)</f>
        <v/>
      </c>
      <c r="C380" s="12">
        <f>(B380-B379)/B379</f>
        <v/>
      </c>
      <c r="D380" s="13">
        <f>(B380-B368)/B368</f>
        <v/>
      </c>
    </row>
    <row r="381" customFormat="1" s="121">
      <c r="A381" s="54" t="n"/>
      <c r="B381" s="14" t="n"/>
      <c r="C381" s="54" t="n"/>
      <c r="D381" s="54" t="n"/>
    </row>
    <row r="382" customFormat="1" s="121">
      <c r="A382" s="54" t="n"/>
      <c r="B382" s="14" t="n"/>
      <c r="C382" s="54" t="n"/>
      <c r="D382" s="54" t="n"/>
    </row>
    <row r="383" customFormat="1" s="121">
      <c r="A383" s="54" t="n"/>
      <c r="B383" s="14" t="n"/>
      <c r="C383" s="54" t="n"/>
      <c r="D383" s="54" t="n"/>
    </row>
    <row r="384" customFormat="1" s="121">
      <c r="A384" s="54" t="n"/>
      <c r="B384" s="14" t="n"/>
      <c r="C384" s="54" t="n"/>
      <c r="D384" s="54" t="n"/>
    </row>
    <row r="385" customFormat="1" s="121">
      <c r="A385" s="54" t="n"/>
      <c r="B385" s="14" t="n"/>
      <c r="C385" s="54" t="n"/>
      <c r="D385" s="54" t="n"/>
    </row>
    <row r="386" customFormat="1" s="121">
      <c r="A386" s="54" t="n"/>
      <c r="B386" s="14" t="n"/>
      <c r="C386" s="54" t="n"/>
      <c r="D386" s="54" t="n"/>
    </row>
    <row r="387" customFormat="1" s="121">
      <c r="A387" s="54" t="n"/>
      <c r="B387" s="14" t="n"/>
      <c r="C387" s="54" t="n"/>
      <c r="D387" s="54" t="n"/>
    </row>
    <row r="388" customFormat="1" s="121">
      <c r="A388" s="54" t="n"/>
      <c r="B388" s="14" t="n"/>
      <c r="C388" s="54" t="n"/>
      <c r="D388" s="54" t="n"/>
    </row>
    <row r="389" customFormat="1" s="121">
      <c r="A389" s="54" t="n"/>
      <c r="B389" s="14" t="n"/>
      <c r="C389" s="54" t="n"/>
      <c r="D389" s="54" t="n"/>
    </row>
    <row r="390" customFormat="1" s="121">
      <c r="A390" s="54" t="n"/>
      <c r="B390" s="14" t="n"/>
      <c r="C390" s="54" t="n"/>
      <c r="D390" s="54" t="n"/>
    </row>
    <row r="391" customFormat="1" s="121">
      <c r="A391" s="54" t="n"/>
      <c r="B391" s="14" t="n"/>
      <c r="C391" s="54" t="n"/>
      <c r="D391" s="54" t="n"/>
    </row>
    <row r="392" customFormat="1" s="121">
      <c r="A392" s="54" t="n"/>
      <c r="B392" s="14" t="n"/>
      <c r="C392" s="54" t="n"/>
      <c r="D392" s="54" t="n"/>
    </row>
    <row r="393" customFormat="1" s="121">
      <c r="A393" s="54" t="n"/>
      <c r="B393" s="14" t="n"/>
      <c r="C393" s="54" t="n"/>
      <c r="D393" s="54" t="n"/>
    </row>
    <row r="394" customFormat="1" s="121">
      <c r="A394" s="54" t="n"/>
      <c r="B394" s="14" t="n"/>
      <c r="C394" s="54" t="n"/>
      <c r="D394" s="54" t="n"/>
    </row>
    <row r="395" customFormat="1" s="121">
      <c r="A395" s="54" t="n"/>
      <c r="B395" s="14" t="n"/>
      <c r="C395" s="54" t="n"/>
      <c r="D395" s="54" t="n"/>
    </row>
    <row r="396" customFormat="1" s="121">
      <c r="A396" s="54" t="n"/>
      <c r="B396" s="14" t="n"/>
      <c r="C396" s="54" t="n"/>
      <c r="D396" s="54" t="n"/>
    </row>
    <row r="397" customFormat="1" s="121">
      <c r="A397" s="54" t="n"/>
      <c r="B397" s="14" t="n"/>
      <c r="C397" s="54" t="n"/>
      <c r="D397" s="54" t="n"/>
    </row>
    <row r="398" customFormat="1" s="121">
      <c r="A398" s="54" t="n"/>
      <c r="B398" s="14" t="n"/>
      <c r="C398" s="54" t="n"/>
      <c r="D398" s="54" t="n"/>
    </row>
    <row r="399" customFormat="1" s="121">
      <c r="A399" s="54" t="n"/>
      <c r="B399" s="14" t="n"/>
      <c r="C399" s="54" t="n"/>
      <c r="D399" s="54" t="n"/>
    </row>
    <row r="400" customFormat="1" s="121">
      <c r="A400" s="54" t="n"/>
      <c r="B400" s="14" t="n"/>
      <c r="C400" s="54" t="n"/>
      <c r="D400" s="54" t="n"/>
    </row>
    <row r="401" customFormat="1" s="121">
      <c r="A401" s="54" t="n"/>
      <c r="B401" s="14" t="n"/>
      <c r="C401" s="54" t="n"/>
      <c r="D401" s="54" t="n"/>
    </row>
    <row r="402" customFormat="1" s="121">
      <c r="A402" s="54" t="n"/>
      <c r="B402" s="14" t="n"/>
      <c r="C402" s="54" t="n"/>
      <c r="D402" s="54" t="n"/>
    </row>
    <row r="403" customFormat="1" s="121">
      <c r="A403" s="54" t="n"/>
      <c r="B403" s="14" t="n"/>
      <c r="C403" s="54" t="n"/>
      <c r="D403" s="54" t="n"/>
    </row>
    <row r="404" customFormat="1" s="121">
      <c r="A404" s="54" t="n"/>
      <c r="B404" s="14" t="n"/>
      <c r="C404" s="54" t="n"/>
      <c r="D404" s="54" t="n"/>
    </row>
    <row r="405" customFormat="1" s="121">
      <c r="A405" s="54" t="n"/>
      <c r="B405" s="14" t="n"/>
      <c r="C405" s="54" t="n"/>
      <c r="D405" s="54" t="n"/>
    </row>
    <row r="406" customFormat="1" s="121">
      <c r="A406" s="54" t="n"/>
      <c r="B406" s="14" t="n"/>
      <c r="C406" s="54" t="n"/>
      <c r="D406" s="54" t="n"/>
    </row>
    <row r="407" customFormat="1" s="121">
      <c r="A407" s="54" t="n"/>
      <c r="B407" s="14" t="n"/>
      <c r="C407" s="54" t="n"/>
      <c r="D407" s="54" t="n"/>
    </row>
    <row r="408" customFormat="1" s="121">
      <c r="A408" s="54" t="n"/>
      <c r="B408" s="14" t="n"/>
      <c r="C408" s="54" t="n"/>
      <c r="D408" s="54" t="n"/>
    </row>
    <row r="409" customFormat="1" s="121">
      <c r="A409" s="54" t="n"/>
      <c r="B409" s="14" t="n"/>
      <c r="C409" s="54" t="n"/>
      <c r="D409" s="54" t="n"/>
    </row>
    <row r="410" customFormat="1" s="121">
      <c r="A410" s="54" t="n"/>
      <c r="B410" s="14" t="n"/>
      <c r="C410" s="54" t="n"/>
      <c r="D410" s="54" t="n"/>
    </row>
    <row r="411" customFormat="1" s="121">
      <c r="A411" s="54" t="n"/>
      <c r="B411" s="14" t="n"/>
      <c r="C411" s="54" t="n"/>
      <c r="D411" s="54" t="n"/>
    </row>
    <row r="412" customFormat="1" s="121">
      <c r="A412" s="54" t="n"/>
      <c r="B412" s="14" t="n"/>
      <c r="C412" s="54" t="n"/>
      <c r="D412" s="54" t="n"/>
    </row>
    <row r="413" customFormat="1" s="121">
      <c r="A413" s="54" t="n"/>
      <c r="B413" s="14" t="n"/>
      <c r="C413" s="54" t="n"/>
      <c r="D413" s="54" t="n"/>
    </row>
    <row r="414" customFormat="1" s="121">
      <c r="A414" s="54" t="n"/>
      <c r="B414" s="14" t="n"/>
      <c r="C414" s="54" t="n"/>
      <c r="D414" s="54" t="n"/>
    </row>
    <row r="415" customFormat="1" s="121">
      <c r="A415" s="54" t="n"/>
      <c r="B415" s="14" t="n"/>
      <c r="C415" s="54" t="n"/>
      <c r="D415" s="54" t="n"/>
    </row>
    <row r="416" customFormat="1" s="121">
      <c r="A416" s="54" t="n"/>
      <c r="B416" s="14" t="n"/>
      <c r="C416" s="54" t="n"/>
      <c r="D416" s="54" t="n"/>
    </row>
    <row r="417" customFormat="1" s="121">
      <c r="A417" s="54" t="n"/>
      <c r="B417" s="14" t="n"/>
      <c r="C417" s="54" t="n"/>
      <c r="D417" s="54" t="n"/>
    </row>
    <row r="418" customFormat="1" s="121">
      <c r="A418" s="54" t="n"/>
      <c r="B418" s="14" t="n"/>
      <c r="C418" s="54" t="n"/>
      <c r="D418" s="54" t="n"/>
    </row>
    <row r="419" customFormat="1" s="121">
      <c r="A419" s="54" t="n"/>
      <c r="B419" s="14" t="n"/>
      <c r="C419" s="54" t="n"/>
      <c r="D419" s="54" t="n"/>
    </row>
    <row r="420" customFormat="1" s="121">
      <c r="A420" s="54" t="n"/>
      <c r="B420" s="14" t="n"/>
      <c r="C420" s="54" t="n"/>
      <c r="D420" s="54" t="n"/>
    </row>
    <row r="421" customFormat="1" s="121">
      <c r="A421" s="54" t="n"/>
      <c r="B421" s="14" t="n"/>
      <c r="C421" s="54" t="n"/>
      <c r="D421" s="54" t="n"/>
    </row>
    <row r="422" customFormat="1" s="121">
      <c r="A422" s="54" t="n"/>
      <c r="B422" s="14" t="n"/>
      <c r="C422" s="54" t="n"/>
      <c r="D422" s="54" t="n"/>
    </row>
    <row r="423" customFormat="1" s="121">
      <c r="A423" s="54" t="n"/>
      <c r="B423" s="14" t="n"/>
      <c r="C423" s="54" t="n"/>
      <c r="D423" s="54" t="n"/>
    </row>
    <row r="424" customFormat="1" s="121">
      <c r="A424" s="54" t="n"/>
      <c r="B424" s="14" t="n"/>
      <c r="C424" s="54" t="n"/>
      <c r="D424" s="54" t="n"/>
    </row>
    <row r="425" customFormat="1" s="121">
      <c r="A425" s="54" t="n"/>
      <c r="B425" s="14" t="n"/>
      <c r="C425" s="54" t="n"/>
      <c r="D425" s="54" t="n"/>
    </row>
    <row r="426" customFormat="1" s="121">
      <c r="A426" s="54" t="n"/>
      <c r="B426" s="14" t="n"/>
      <c r="C426" s="54" t="n"/>
      <c r="D426" s="54" t="n"/>
    </row>
    <row r="427" customFormat="1" s="121">
      <c r="A427" s="54" t="n"/>
      <c r="B427" s="14" t="n"/>
      <c r="C427" s="54" t="n"/>
      <c r="D427" s="54" t="n"/>
    </row>
    <row r="428" customFormat="1" s="121">
      <c r="A428" s="54" t="n"/>
      <c r="B428" s="14" t="n"/>
      <c r="C428" s="54" t="n"/>
      <c r="D428" s="54" t="n"/>
    </row>
    <row r="429" customFormat="1" s="121">
      <c r="A429" s="54" t="n"/>
      <c r="B429" s="14" t="n"/>
      <c r="C429" s="54" t="n"/>
      <c r="D429" s="54" t="n"/>
    </row>
    <row r="430" customFormat="1" s="121">
      <c r="A430" s="54" t="n"/>
      <c r="B430" s="14" t="n"/>
      <c r="C430" s="54" t="n"/>
      <c r="D430" s="54" t="n"/>
    </row>
    <row r="431" customFormat="1" s="121">
      <c r="A431" s="54" t="n"/>
      <c r="B431" s="14" t="n"/>
      <c r="C431" s="54" t="n"/>
      <c r="D431" s="54" t="n"/>
    </row>
    <row r="432" customFormat="1" s="121">
      <c r="A432" s="54" t="n"/>
      <c r="B432" s="14" t="n"/>
      <c r="C432" s="54" t="n"/>
      <c r="D432" s="54" t="n"/>
    </row>
    <row r="433" customFormat="1" s="121">
      <c r="A433" s="54" t="n"/>
      <c r="B433" s="14" t="n"/>
      <c r="C433" s="54" t="n"/>
      <c r="D433" s="54" t="n"/>
    </row>
    <row r="434" customFormat="1" s="121">
      <c r="A434" s="54" t="n"/>
      <c r="B434" s="14" t="n"/>
      <c r="C434" s="54" t="n"/>
      <c r="D434" s="54" t="n"/>
    </row>
    <row r="435" customFormat="1" s="121">
      <c r="A435" s="54" t="n"/>
      <c r="B435" s="14" t="n"/>
      <c r="C435" s="54" t="n"/>
      <c r="D435" s="54" t="n"/>
    </row>
    <row r="436" customFormat="1" s="121">
      <c r="A436" s="54" t="n"/>
      <c r="B436" s="14" t="n"/>
      <c r="C436" s="54" t="n"/>
      <c r="D436" s="54" t="n"/>
    </row>
    <row r="437" customFormat="1" s="121">
      <c r="A437" s="54" t="n"/>
      <c r="B437" s="14" t="n"/>
      <c r="C437" s="54" t="n"/>
      <c r="D437" s="54" t="n"/>
    </row>
    <row r="438" customFormat="1" s="121">
      <c r="A438" s="54" t="n"/>
      <c r="B438" s="14" t="n"/>
      <c r="C438" s="54" t="n"/>
      <c r="D438" s="54" t="n"/>
    </row>
    <row r="439" customFormat="1" s="121">
      <c r="A439" s="54" t="n"/>
      <c r="B439" s="14" t="n"/>
      <c r="C439" s="54" t="n"/>
      <c r="D439" s="54" t="n"/>
    </row>
    <row r="440" customFormat="1" s="121">
      <c r="A440" s="54" t="n"/>
      <c r="B440" s="14" t="n"/>
      <c r="C440" s="54" t="n"/>
      <c r="D440" s="54" t="n"/>
    </row>
    <row r="441" customFormat="1" s="121">
      <c r="A441" s="54" t="n"/>
      <c r="B441" s="14" t="n"/>
      <c r="C441" s="54" t="n"/>
      <c r="D441" s="54" t="n"/>
    </row>
    <row r="442" customFormat="1" s="121">
      <c r="A442" s="54" t="n"/>
      <c r="B442" s="14" t="n"/>
      <c r="C442" s="54" t="n"/>
      <c r="D442" s="54" t="n"/>
    </row>
    <row r="443" customFormat="1" s="121">
      <c r="A443" s="54" t="n"/>
      <c r="B443" s="14" t="n"/>
      <c r="C443" s="54" t="n"/>
      <c r="D443" s="54" t="n"/>
    </row>
    <row r="444" customFormat="1" s="121">
      <c r="A444" s="54" t="n"/>
      <c r="B444" s="14" t="n"/>
      <c r="C444" s="54" t="n"/>
      <c r="D444" s="54" t="n"/>
    </row>
    <row r="445" customFormat="1" s="121">
      <c r="A445" s="54" t="n"/>
      <c r="B445" s="14" t="n"/>
      <c r="C445" s="54" t="n"/>
      <c r="D445" s="54" t="n"/>
    </row>
    <row r="446" customFormat="1" s="121">
      <c r="A446" s="54" t="n"/>
      <c r="B446" s="14" t="n"/>
      <c r="C446" s="54" t="n"/>
      <c r="D446" s="54" t="n"/>
    </row>
    <row r="447" customFormat="1" s="121">
      <c r="A447" s="54" t="n"/>
      <c r="B447" s="14" t="n"/>
      <c r="C447" s="54" t="n"/>
      <c r="D447" s="54" t="n"/>
    </row>
    <row r="448" customFormat="1" s="121">
      <c r="A448" s="54" t="n"/>
      <c r="B448" s="14" t="n"/>
      <c r="C448" s="54" t="n"/>
      <c r="D448" s="54" t="n"/>
    </row>
    <row r="449" customFormat="1" s="121">
      <c r="A449" s="54" t="n"/>
      <c r="B449" s="14" t="n"/>
      <c r="C449" s="54" t="n"/>
      <c r="D449" s="54" t="n"/>
    </row>
    <row r="450" customFormat="1" s="121">
      <c r="A450" s="54" t="n"/>
      <c r="B450" s="14" t="n"/>
      <c r="C450" s="54" t="n"/>
      <c r="D450" s="54" t="n"/>
    </row>
    <row r="451" customFormat="1" s="121">
      <c r="A451" s="54" t="n"/>
      <c r="B451" s="14" t="n"/>
      <c r="C451" s="54" t="n"/>
      <c r="D451" s="54" t="n"/>
    </row>
    <row r="452" customFormat="1" s="121">
      <c r="A452" s="54" t="n"/>
      <c r="B452" s="14" t="n"/>
      <c r="C452" s="54" t="n"/>
      <c r="D452" s="54" t="n"/>
    </row>
    <row r="453" customFormat="1" s="121">
      <c r="A453" s="54" t="n"/>
      <c r="B453" s="14" t="n"/>
      <c r="C453" s="54" t="n"/>
      <c r="D453" s="54" t="n"/>
    </row>
    <row r="454" customFormat="1" s="121">
      <c r="A454" s="54" t="n"/>
      <c r="B454" s="14" t="n"/>
      <c r="C454" s="54" t="n"/>
      <c r="D454" s="54" t="n"/>
    </row>
    <row r="455" customFormat="1" s="121">
      <c r="A455" s="54" t="n"/>
      <c r="B455" s="14" t="n"/>
      <c r="C455" s="54" t="n"/>
      <c r="D455" s="54" t="n"/>
    </row>
    <row r="456" customFormat="1" s="121">
      <c r="A456" s="54" t="n"/>
      <c r="B456" s="14" t="n"/>
      <c r="C456" s="54" t="n"/>
      <c r="D456" s="54" t="n"/>
    </row>
    <row r="457" customFormat="1" s="121">
      <c r="A457" s="54" t="n"/>
      <c r="B457" s="14" t="n"/>
      <c r="C457" s="54" t="n"/>
      <c r="D457" s="54" t="n"/>
    </row>
    <row r="458" customFormat="1" s="121">
      <c r="A458" s="54" t="n"/>
      <c r="B458" s="14" t="n"/>
      <c r="C458" s="54" t="n"/>
      <c r="D458" s="54" t="n"/>
    </row>
    <row r="459" customFormat="1" s="121">
      <c r="A459" s="54" t="n"/>
      <c r="B459" s="14" t="n"/>
      <c r="C459" s="54" t="n"/>
      <c r="D459" s="54" t="n"/>
    </row>
    <row r="460" customFormat="1" s="121">
      <c r="A460" s="54" t="n"/>
      <c r="B460" s="14" t="n"/>
      <c r="C460" s="54" t="n"/>
      <c r="D460" s="54" t="n"/>
    </row>
    <row r="461" customFormat="1" s="121">
      <c r="A461" s="54" t="n"/>
      <c r="B461" s="14" t="n"/>
      <c r="C461" s="54" t="n"/>
      <c r="D461" s="54" t="n"/>
    </row>
    <row r="462" customFormat="1" s="121">
      <c r="A462" s="54" t="n"/>
      <c r="B462" s="14" t="n"/>
      <c r="C462" s="54" t="n"/>
      <c r="D462" s="54" t="n"/>
    </row>
    <row r="463" customFormat="1" s="121">
      <c r="A463" s="54" t="n"/>
      <c r="B463" s="14" t="n"/>
      <c r="C463" s="54" t="n"/>
      <c r="D463" s="54" t="n"/>
    </row>
    <row r="464" customFormat="1" s="121">
      <c r="A464" s="54" t="n"/>
      <c r="B464" s="14" t="n"/>
      <c r="C464" s="54" t="n"/>
      <c r="D464" s="54" t="n"/>
    </row>
    <row r="465" customFormat="1" s="121">
      <c r="A465" s="54" t="n"/>
      <c r="B465" s="14" t="n"/>
      <c r="C465" s="54" t="n"/>
      <c r="D465" s="54" t="n"/>
    </row>
    <row r="466" customFormat="1" s="121">
      <c r="A466" s="54" t="n"/>
      <c r="B466" s="14" t="n"/>
      <c r="C466" s="54" t="n"/>
      <c r="D466" s="54" t="n"/>
    </row>
    <row r="467" customFormat="1" s="121">
      <c r="A467" s="54" t="n"/>
      <c r="B467" s="14" t="n"/>
      <c r="C467" s="54" t="n"/>
      <c r="D467" s="54" t="n"/>
    </row>
    <row r="468" customFormat="1" s="121">
      <c r="A468" s="54" t="n"/>
      <c r="B468" s="14" t="n"/>
      <c r="C468" s="54" t="n"/>
      <c r="D468" s="54" t="n"/>
    </row>
    <row r="469" customFormat="1" s="121">
      <c r="A469" s="54" t="n"/>
      <c r="B469" s="14" t="n"/>
      <c r="C469" s="54" t="n"/>
      <c r="D469" s="54" t="n"/>
    </row>
    <row r="470" customFormat="1" s="121">
      <c r="A470" s="54" t="n"/>
      <c r="B470" s="14" t="n"/>
      <c r="C470" s="54" t="n"/>
      <c r="D470" s="54" t="n"/>
    </row>
    <row r="471" customFormat="1" s="121">
      <c r="A471" s="54" t="n"/>
      <c r="B471" s="14" t="n"/>
      <c r="C471" s="54" t="n"/>
      <c r="D471" s="54" t="n"/>
    </row>
    <row r="472" customFormat="1" s="121">
      <c r="A472" s="54" t="n"/>
      <c r="B472" s="14" t="n"/>
      <c r="C472" s="54" t="n"/>
      <c r="D472" s="54" t="n"/>
    </row>
    <row r="473" customFormat="1" s="121">
      <c r="A473" s="54" t="n"/>
      <c r="B473" s="14" t="n"/>
      <c r="C473" s="54" t="n"/>
      <c r="D473" s="54" t="n"/>
    </row>
    <row r="474" customFormat="1" s="121">
      <c r="A474" s="54" t="n"/>
      <c r="B474" s="14" t="n"/>
      <c r="C474" s="54" t="n"/>
      <c r="D474" s="54" t="n"/>
    </row>
    <row r="475" customFormat="1" s="121">
      <c r="A475" s="54" t="n"/>
      <c r="B475" s="14" t="n"/>
      <c r="C475" s="54" t="n"/>
      <c r="D475" s="54" t="n"/>
    </row>
    <row r="476" customFormat="1" s="121">
      <c r="A476" s="54" t="n"/>
      <c r="B476" s="14" t="n"/>
      <c r="C476" s="54" t="n"/>
      <c r="D476" s="54" t="n"/>
    </row>
    <row r="477" customFormat="1" s="121">
      <c r="A477" s="54" t="n"/>
      <c r="B477" s="14" t="n"/>
      <c r="C477" s="54" t="n"/>
      <c r="D477" s="54" t="n"/>
    </row>
    <row r="478" customFormat="1" s="121">
      <c r="A478" s="54" t="n"/>
      <c r="B478" s="14" t="n"/>
      <c r="C478" s="54" t="n"/>
      <c r="D478" s="54" t="n"/>
    </row>
    <row r="479" customFormat="1" s="121">
      <c r="A479" s="54" t="n"/>
      <c r="B479" s="14" t="n"/>
      <c r="C479" s="54" t="n"/>
      <c r="D479" s="54" t="n"/>
    </row>
    <row r="480" customFormat="1" s="121">
      <c r="A480" s="54" t="n"/>
      <c r="B480" s="14" t="n"/>
      <c r="C480" s="54" t="n"/>
      <c r="D480" s="54" t="n"/>
    </row>
    <row r="481" customFormat="1" s="121">
      <c r="A481" s="54" t="n"/>
      <c r="B481" s="14" t="n"/>
      <c r="C481" s="54" t="n"/>
      <c r="D481" s="54" t="n"/>
    </row>
    <row r="482" customFormat="1" s="121">
      <c r="A482" s="54" t="n"/>
      <c r="B482" s="14" t="n"/>
      <c r="C482" s="54" t="n"/>
      <c r="D482" s="54" t="n"/>
    </row>
    <row r="483" customFormat="1" s="121">
      <c r="A483" s="54" t="n"/>
      <c r="B483" s="14" t="n"/>
      <c r="C483" s="54" t="n"/>
      <c r="D483" s="54" t="n"/>
    </row>
    <row r="484" customFormat="1" s="121">
      <c r="A484" s="54" t="n"/>
      <c r="B484" s="14" t="n"/>
      <c r="C484" s="54" t="n"/>
      <c r="D484" s="54" t="n"/>
    </row>
    <row r="485" customFormat="1" s="121">
      <c r="A485" s="54" t="n"/>
      <c r="B485" s="14" t="n"/>
      <c r="C485" s="54" t="n"/>
      <c r="D485" s="54" t="n"/>
    </row>
    <row r="486" customFormat="1" s="121">
      <c r="A486" s="54" t="n"/>
      <c r="B486" s="14" t="n"/>
      <c r="C486" s="54" t="n"/>
      <c r="D486" s="54" t="n"/>
    </row>
    <row r="487" customFormat="1" s="121">
      <c r="A487" s="54" t="n"/>
      <c r="B487" s="14" t="n"/>
      <c r="C487" s="54" t="n"/>
      <c r="D487" s="54" t="n"/>
    </row>
    <row r="488" customFormat="1" s="121">
      <c r="A488" s="54" t="n"/>
      <c r="B488" s="14" t="n"/>
      <c r="C488" s="54" t="n"/>
      <c r="D488" s="54" t="n"/>
    </row>
    <row r="489" customFormat="1" s="121">
      <c r="A489" s="54" t="n"/>
      <c r="B489" s="14" t="n"/>
      <c r="C489" s="54" t="n"/>
      <c r="D489" s="54" t="n"/>
    </row>
    <row r="490" customFormat="1" s="121">
      <c r="A490" s="54" t="n"/>
      <c r="B490" s="14" t="n"/>
      <c r="C490" s="54" t="n"/>
      <c r="D490" s="54" t="n"/>
    </row>
    <row r="491" customFormat="1" s="121">
      <c r="A491" s="54" t="n"/>
      <c r="B491" s="14" t="n"/>
      <c r="C491" s="54" t="n"/>
      <c r="D491" s="54" t="n"/>
    </row>
    <row r="492" customFormat="1" s="121">
      <c r="A492" s="54" t="n"/>
      <c r="B492" s="14" t="n"/>
      <c r="C492" s="54" t="n"/>
      <c r="D492" s="54" t="n"/>
    </row>
    <row r="493" customFormat="1" s="121">
      <c r="A493" s="54" t="n"/>
      <c r="B493" s="14" t="n"/>
      <c r="C493" s="54" t="n"/>
      <c r="D493" s="54" t="n"/>
    </row>
    <row r="494" customFormat="1" s="121">
      <c r="A494" s="54" t="n"/>
      <c r="B494" s="14" t="n"/>
      <c r="C494" s="54" t="n"/>
      <c r="D494" s="54" t="n"/>
    </row>
    <row r="495" customFormat="1" s="121">
      <c r="A495" s="54" t="n"/>
      <c r="B495" s="14" t="n"/>
      <c r="C495" s="54" t="n"/>
      <c r="D495" s="54" t="n"/>
    </row>
    <row r="496" customFormat="1" s="121">
      <c r="A496" s="54" t="n"/>
      <c r="B496" s="14" t="n"/>
      <c r="C496" s="54" t="n"/>
      <c r="D496" s="54" t="n"/>
    </row>
    <row r="497" customFormat="1" s="121">
      <c r="A497" s="54" t="n"/>
      <c r="B497" s="14" t="n"/>
      <c r="C497" s="54" t="n"/>
      <c r="D497" s="54" t="n"/>
    </row>
    <row r="498" customFormat="1" s="121">
      <c r="A498" s="54" t="n"/>
      <c r="B498" s="14" t="n"/>
      <c r="C498" s="54" t="n"/>
      <c r="D498" s="54" t="n"/>
    </row>
    <row r="499" customFormat="1" s="121">
      <c r="A499" s="54" t="n"/>
      <c r="B499" s="14" t="n"/>
      <c r="C499" s="54" t="n"/>
      <c r="D499" s="54" t="n"/>
    </row>
    <row r="500" customFormat="1" s="121">
      <c r="A500" s="54" t="n"/>
      <c r="B500" s="14" t="n"/>
      <c r="C500" s="54" t="n"/>
      <c r="D500" s="54" t="n"/>
    </row>
    <row r="501" customFormat="1" s="121">
      <c r="A501" s="54" t="n"/>
      <c r="B501" s="14" t="n"/>
      <c r="C501" s="54" t="n"/>
      <c r="D501" s="54" t="n"/>
    </row>
    <row r="502" customFormat="1" s="121">
      <c r="A502" s="54" t="n"/>
      <c r="B502" s="14" t="n"/>
      <c r="C502" s="54" t="n"/>
      <c r="D502" s="54" t="n"/>
    </row>
    <row r="503" customFormat="1" s="121">
      <c r="A503" s="54" t="n"/>
      <c r="B503" s="14" t="n"/>
      <c r="C503" s="54" t="n"/>
      <c r="D503" s="54" t="n"/>
    </row>
    <row r="504" customFormat="1" s="121">
      <c r="A504" s="54" t="n"/>
      <c r="B504" s="14" t="n"/>
      <c r="C504" s="54" t="n"/>
      <c r="D504" s="54" t="n"/>
    </row>
    <row r="505" customFormat="1" s="121">
      <c r="A505" s="54" t="n"/>
      <c r="B505" s="14" t="n"/>
      <c r="C505" s="54" t="n"/>
      <c r="D505" s="54" t="n"/>
    </row>
    <row r="506" customFormat="1" s="121">
      <c r="A506" s="54" t="n"/>
      <c r="B506" s="14" t="n"/>
      <c r="C506" s="54" t="n"/>
      <c r="D506" s="54" t="n"/>
    </row>
    <row r="507" customFormat="1" s="121">
      <c r="A507" s="54" t="n"/>
      <c r="B507" s="14" t="n"/>
      <c r="C507" s="54" t="n"/>
      <c r="D507" s="54" t="n"/>
    </row>
    <row r="508" customFormat="1" s="121">
      <c r="A508" s="54" t="n"/>
      <c r="B508" s="14" t="n"/>
      <c r="C508" s="54" t="n"/>
      <c r="D508" s="54" t="n"/>
    </row>
    <row r="509" customFormat="1" s="121">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row r="550">
      <c r="A550" s="54" t="n"/>
      <c r="B550" s="14" t="n"/>
      <c r="C550" s="54" t="n"/>
      <c r="D550" s="54" t="n"/>
    </row>
    <row r="551">
      <c r="A551" s="54" t="n"/>
      <c r="B551" s="14" t="n"/>
      <c r="C551" s="54" t="n"/>
      <c r="D551" s="54" t="n"/>
    </row>
    <row r="552">
      <c r="A552" s="54" t="n"/>
      <c r="B552" s="14" t="n"/>
      <c r="C552" s="54" t="n"/>
      <c r="D552" s="54" t="n"/>
    </row>
  </sheetData>
  <conditionalFormatting sqref="C8:C380">
    <cfRule type="colorScale" priority="42">
      <colorScale>
        <cfvo type="min"/>
        <cfvo type="percentile" val="50"/>
        <cfvo type="max"/>
        <color rgb="FFF8696B"/>
        <color rgb="FFFFEB84"/>
        <color rgb="FF63BE7B"/>
      </colorScale>
    </cfRule>
  </conditionalFormatting>
  <conditionalFormatting sqref="D19:D380">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8"/>
  <sheetViews>
    <sheetView zoomScaleNormal="100" workbookViewId="0">
      <pane ySplit="6" topLeftCell="A359" activePane="bottomLeft" state="frozen"/>
      <selection pane="bottomLeft" activeCell="A367" sqref="A367:D380"/>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21" min="5" max="5"/>
    <col width="9.1796875" customWidth="1" style="121" min="6" max="53"/>
  </cols>
  <sheetData>
    <row r="1" customFormat="1" s="121">
      <c r="A1" s="20" t="inlineStr">
        <is>
          <t>RSFSXMV</t>
        </is>
      </c>
      <c r="B1" s="24" t="inlineStr">
        <is>
          <t>Advance Retail Sales: Retail and Food Services Excluding Motor Vehicles and Parts Dealers</t>
        </is>
      </c>
      <c r="I1" s="21" t="n"/>
      <c r="J1" s="21" t="n"/>
    </row>
    <row r="2" customFormat="1" s="121">
      <c r="A2" s="127" t="inlineStr">
        <is>
          <t>https://fred.stlouisfed.org/series/RSFSXMV</t>
        </is>
      </c>
      <c r="B2" s="22" t="n"/>
    </row>
    <row r="3" customFormat="1" s="121">
      <c r="A3" s="127" t="n"/>
      <c r="B3" s="22" t="n"/>
    </row>
    <row r="4" customFormat="1" s="121">
      <c r="A4" s="127" t="n"/>
      <c r="B4" s="22" t="n"/>
    </row>
    <row r="5" ht="16" customFormat="1" customHeight="1" s="121"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0"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1"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c r="A379" s="11" t="n">
        <v>44927</v>
      </c>
      <c r="B379" s="15">
        <f>VLOOKUP(A379,Database!A:M,MATCH($A$1,Database!$A$1:$M$1,),)</f>
        <v/>
      </c>
      <c r="C379" s="12">
        <f>(B379-B378)/B378</f>
        <v/>
      </c>
      <c r="D379" s="13">
        <f>(B379-B367)/B367</f>
        <v/>
      </c>
    </row>
    <row r="380" customFormat="1" s="121">
      <c r="A380" s="11" t="n">
        <v>44958</v>
      </c>
      <c r="B380" s="15">
        <f>VLOOKUP(A380,Database!A:M,MATCH($A$1,Database!$A$1:$M$1,),)</f>
        <v/>
      </c>
      <c r="C380" s="12">
        <f>(B380-B379)/B379</f>
        <v/>
      </c>
      <c r="D380" s="13">
        <f>(B380-B368)/B368</f>
        <v/>
      </c>
    </row>
    <row r="381" customFormat="1" s="121">
      <c r="B381" s="22" t="n"/>
    </row>
    <row r="382" customFormat="1" s="121">
      <c r="B382" s="22" t="n"/>
    </row>
    <row r="383" customFormat="1" s="121">
      <c r="B383" s="22" t="n"/>
    </row>
    <row r="384" customFormat="1" s="121">
      <c r="B384" s="22" t="n"/>
    </row>
    <row r="385" customFormat="1" s="121">
      <c r="B385" s="22" t="n"/>
    </row>
    <row r="386" customFormat="1" s="121">
      <c r="B386" s="22" t="n"/>
    </row>
    <row r="387" customFormat="1" s="121">
      <c r="B387" s="22" t="n"/>
    </row>
    <row r="388" customFormat="1" s="121">
      <c r="B388" s="22" t="n"/>
    </row>
    <row r="389" customFormat="1" s="121">
      <c r="B389" s="22" t="n"/>
    </row>
    <row r="390" customFormat="1" s="121">
      <c r="B390" s="22" t="n"/>
    </row>
    <row r="391" customFormat="1" s="121">
      <c r="B391" s="22" t="n"/>
    </row>
    <row r="392" customFormat="1" s="121">
      <c r="B392" s="22" t="n"/>
    </row>
    <row r="393" customFormat="1" s="121">
      <c r="B393" s="22" t="n"/>
    </row>
    <row r="394" customFormat="1" s="121">
      <c r="B394" s="22" t="n"/>
    </row>
    <row r="395" customFormat="1" s="121">
      <c r="B395" s="22" t="n"/>
    </row>
    <row r="396" customFormat="1" s="121">
      <c r="B396" s="22" t="n"/>
    </row>
    <row r="397" customFormat="1" s="121">
      <c r="B397" s="22" t="n"/>
    </row>
    <row r="398" customFormat="1" s="121">
      <c r="B398" s="22" t="n"/>
    </row>
    <row r="399" customFormat="1" s="121">
      <c r="B399" s="22" t="n"/>
    </row>
    <row r="400" customFormat="1" s="121">
      <c r="B400" s="22" t="n"/>
    </row>
    <row r="401" customFormat="1" s="121">
      <c r="B401" s="22" t="n"/>
    </row>
    <row r="402" customFormat="1" s="121">
      <c r="B402" s="22" t="n"/>
    </row>
    <row r="403" customFormat="1" s="121">
      <c r="B403" s="22" t="n"/>
    </row>
    <row r="404" customFormat="1" s="121">
      <c r="B404" s="22" t="n"/>
    </row>
    <row r="405" customFormat="1" s="121">
      <c r="B405" s="22" t="n"/>
    </row>
    <row r="406" customFormat="1" s="121">
      <c r="B406" s="22" t="n"/>
    </row>
    <row r="407" customFormat="1" s="121">
      <c r="B407" s="22" t="n"/>
    </row>
    <row r="408" customFormat="1" s="121">
      <c r="B408" s="22" t="n"/>
    </row>
    <row r="409" customFormat="1" s="121">
      <c r="B409" s="22" t="n"/>
    </row>
    <row r="410" customFormat="1" s="121">
      <c r="B410" s="22" t="n"/>
    </row>
    <row r="411" customFormat="1" s="121">
      <c r="B411" s="22" t="n"/>
    </row>
    <row r="412" customFormat="1" s="121">
      <c r="B412" s="22" t="n"/>
    </row>
    <row r="413" customFormat="1" s="121">
      <c r="B413" s="22" t="n"/>
    </row>
    <row r="414" customFormat="1" s="121">
      <c r="B414" s="22" t="n"/>
    </row>
    <row r="415" customFormat="1" s="121">
      <c r="B415" s="22" t="n"/>
    </row>
    <row r="416" customFormat="1" s="121">
      <c r="B416" s="22" t="n"/>
    </row>
    <row r="417" customFormat="1" s="121">
      <c r="B417" s="22" t="n"/>
    </row>
    <row r="418" customFormat="1" s="121">
      <c r="B418" s="22" t="n"/>
    </row>
    <row r="419" customFormat="1" s="121">
      <c r="B419" s="22" t="n"/>
    </row>
    <row r="420" customFormat="1" s="121">
      <c r="B420" s="22" t="n"/>
    </row>
    <row r="421" customFormat="1" s="121">
      <c r="B421" s="22" t="n"/>
    </row>
    <row r="422" customFormat="1" s="121">
      <c r="B422" s="22" t="n"/>
    </row>
    <row r="423" customFormat="1" s="121">
      <c r="B423" s="22" t="n"/>
    </row>
    <row r="424" customFormat="1" s="121">
      <c r="B424" s="22" t="n"/>
    </row>
    <row r="425" customFormat="1" s="121">
      <c r="B425" s="22" t="n"/>
    </row>
    <row r="426" customFormat="1" s="121">
      <c r="B426" s="22" t="n"/>
    </row>
    <row r="427" customFormat="1" s="121">
      <c r="B427" s="22" t="n"/>
    </row>
    <row r="428" customFormat="1" s="121">
      <c r="B428" s="22" t="n"/>
    </row>
    <row r="429" customFormat="1" s="121">
      <c r="B429" s="22" t="n"/>
    </row>
    <row r="430" customFormat="1" s="121">
      <c r="B430" s="22" t="n"/>
    </row>
    <row r="431" customFormat="1" s="121">
      <c r="B431" s="22" t="n"/>
    </row>
    <row r="432" customFormat="1" s="121">
      <c r="B432" s="22" t="n"/>
    </row>
    <row r="433" customFormat="1" s="121">
      <c r="B433" s="22" t="n"/>
    </row>
    <row r="434" customFormat="1" s="121">
      <c r="B434" s="22" t="n"/>
    </row>
    <row r="435" customFormat="1" s="121">
      <c r="B435" s="22" t="n"/>
    </row>
    <row r="436" customFormat="1" s="121">
      <c r="B436" s="22" t="n"/>
    </row>
    <row r="437" customFormat="1" s="121">
      <c r="B437" s="22" t="n"/>
    </row>
    <row r="438" customFormat="1" s="121">
      <c r="B438" s="22" t="n"/>
    </row>
    <row r="439" customFormat="1" s="121">
      <c r="B439" s="22" t="n"/>
    </row>
    <row r="440" customFormat="1" s="121">
      <c r="B440" s="22" t="n"/>
    </row>
    <row r="441" customFormat="1" s="121">
      <c r="B441" s="22" t="n"/>
    </row>
    <row r="442" customFormat="1" s="121">
      <c r="B442" s="22" t="n"/>
    </row>
    <row r="443" customFormat="1" s="121">
      <c r="B443" s="22" t="n"/>
    </row>
    <row r="444" customFormat="1" s="121">
      <c r="B444" s="22" t="n"/>
    </row>
    <row r="445" customFormat="1" s="121">
      <c r="B445" s="22" t="n"/>
    </row>
    <row r="446" customFormat="1" s="121">
      <c r="B446" s="22" t="n"/>
    </row>
    <row r="447" customFormat="1" s="121">
      <c r="B447" s="22" t="n"/>
    </row>
    <row r="448" customFormat="1" s="121">
      <c r="B448" s="22" t="n"/>
    </row>
    <row r="449" customFormat="1" s="121">
      <c r="B449" s="22" t="n"/>
    </row>
    <row r="450" customFormat="1" s="121">
      <c r="B450" s="22" t="n"/>
    </row>
    <row r="451" customFormat="1" s="121">
      <c r="B451" s="22" t="n"/>
    </row>
    <row r="452" customFormat="1" s="121">
      <c r="B452" s="22" t="n"/>
    </row>
    <row r="453" customFormat="1" s="121">
      <c r="B453" s="22" t="n"/>
    </row>
    <row r="454" customFormat="1" s="121">
      <c r="B454" s="22" t="n"/>
    </row>
    <row r="455" customFormat="1" s="121">
      <c r="B455" s="22" t="n"/>
    </row>
    <row r="456" customFormat="1" s="121">
      <c r="B456" s="22" t="n"/>
    </row>
    <row r="457" customFormat="1" s="121">
      <c r="B457" s="22" t="n"/>
    </row>
    <row r="458" customFormat="1" s="121">
      <c r="B458" s="22" t="n"/>
    </row>
    <row r="459" customFormat="1" s="121">
      <c r="B459" s="22" t="n"/>
    </row>
    <row r="460" customFormat="1" s="121">
      <c r="B460" s="22" t="n"/>
    </row>
    <row r="461" customFormat="1" s="121">
      <c r="B461" s="22" t="n"/>
    </row>
    <row r="462" customFormat="1" s="121">
      <c r="B462" s="22" t="n"/>
    </row>
    <row r="463" customFormat="1" s="121">
      <c r="B463" s="22" t="n"/>
    </row>
    <row r="464" customFormat="1" s="121">
      <c r="B464" s="22" t="n"/>
    </row>
    <row r="465" customFormat="1" s="121">
      <c r="B465" s="22" t="n"/>
    </row>
    <row r="466" customFormat="1" s="121">
      <c r="B466" s="22" t="n"/>
    </row>
    <row r="467" customFormat="1" s="121">
      <c r="B467" s="22" t="n"/>
    </row>
    <row r="468" customFormat="1" s="121">
      <c r="B468" s="22" t="n"/>
    </row>
    <row r="469" customFormat="1" s="121">
      <c r="B469" s="22" t="n"/>
    </row>
    <row r="470" customFormat="1" s="121">
      <c r="B470" s="22" t="n"/>
    </row>
    <row r="471" customFormat="1" s="121">
      <c r="B471" s="22" t="n"/>
    </row>
    <row r="472" customFormat="1" s="121">
      <c r="B472" s="22" t="n"/>
    </row>
    <row r="473" customFormat="1" s="121">
      <c r="B473" s="22" t="n"/>
    </row>
    <row r="474" customFormat="1" s="121">
      <c r="B474" s="22" t="n"/>
    </row>
    <row r="475" customFormat="1" s="121">
      <c r="B475" s="22" t="n"/>
    </row>
    <row r="476" customFormat="1" s="121">
      <c r="B476" s="22" t="n"/>
    </row>
    <row r="477" customFormat="1" s="121">
      <c r="B477" s="22" t="n"/>
    </row>
    <row r="478" customFormat="1" s="121">
      <c r="B478" s="22" t="n"/>
    </row>
    <row r="479" customFormat="1" s="121">
      <c r="B479" s="22" t="n"/>
    </row>
    <row r="480" customFormat="1" s="121">
      <c r="B480" s="22" t="n"/>
    </row>
    <row r="481" customFormat="1" s="121">
      <c r="B481" s="22" t="n"/>
    </row>
    <row r="482" customFormat="1" s="121">
      <c r="B482" s="22" t="n"/>
    </row>
    <row r="483" customFormat="1" s="121">
      <c r="B483" s="22" t="n"/>
    </row>
    <row r="484" customFormat="1" s="121">
      <c r="B484" s="22" t="n"/>
    </row>
    <row r="485" customFormat="1" s="121">
      <c r="B485" s="22" t="n"/>
    </row>
    <row r="486" customFormat="1" s="121">
      <c r="B486" s="22" t="n"/>
    </row>
    <row r="487" customFormat="1" s="121">
      <c r="B487" s="22" t="n"/>
    </row>
    <row r="488" customFormat="1" s="121">
      <c r="B488" s="22" t="n"/>
    </row>
    <row r="489" customFormat="1" s="121">
      <c r="B489" s="22" t="n"/>
    </row>
    <row r="490" customFormat="1" s="121">
      <c r="B490" s="22" t="n"/>
    </row>
    <row r="491" customFormat="1" s="121">
      <c r="B491" s="22" t="n"/>
    </row>
    <row r="492" customFormat="1" s="121">
      <c r="B492" s="22" t="n"/>
    </row>
    <row r="493" customFormat="1" s="121">
      <c r="B493" s="22" t="n"/>
    </row>
    <row r="494" customFormat="1" s="121">
      <c r="B494" s="22" t="n"/>
    </row>
    <row r="495" customFormat="1" s="121">
      <c r="B495" s="22" t="n"/>
    </row>
    <row r="496" customFormat="1" s="121">
      <c r="B496" s="22" t="n"/>
    </row>
    <row r="497" customFormat="1" s="121">
      <c r="B497" s="22" t="n"/>
    </row>
    <row r="498" customFormat="1" s="121">
      <c r="B498" s="22" t="n"/>
    </row>
    <row r="499" customFormat="1" s="121">
      <c r="B499" s="22" t="n"/>
    </row>
    <row r="500" customFormat="1" s="121">
      <c r="B500" s="22" t="n"/>
    </row>
    <row r="501" customFormat="1" s="121">
      <c r="B501" s="22" t="n"/>
    </row>
    <row r="502" customFormat="1" s="121">
      <c r="B502" s="22" t="n"/>
    </row>
    <row r="503" customFormat="1" s="121">
      <c r="B503" s="22" t="n"/>
    </row>
    <row r="504" customFormat="1" s="121">
      <c r="B504" s="22" t="n"/>
    </row>
    <row r="505" customFormat="1" s="121">
      <c r="B505" s="22" t="n"/>
    </row>
    <row r="506" customFormat="1" s="121">
      <c r="B506" s="22" t="n"/>
    </row>
    <row r="507" customFormat="1" s="121">
      <c r="B507" s="22" t="n"/>
    </row>
    <row r="508" customFormat="1" s="121">
      <c r="B508" s="22" t="n"/>
    </row>
    <row r="509" customFormat="1" s="121">
      <c r="B509" s="22" t="n"/>
    </row>
    <row r="510" customFormat="1" s="121">
      <c r="B510" s="22" t="n"/>
    </row>
    <row r="511" customFormat="1" s="121">
      <c r="B511" s="22" t="n"/>
    </row>
    <row r="512" customFormat="1" s="121">
      <c r="B512" s="22" t="n"/>
    </row>
    <row r="513" customFormat="1" s="121">
      <c r="B513" s="22" t="n"/>
    </row>
    <row r="514" customFormat="1" s="121">
      <c r="B514" s="22" t="n"/>
    </row>
    <row r="515" customFormat="1" s="121">
      <c r="B515" s="22" t="n"/>
    </row>
    <row r="516" customFormat="1" s="121">
      <c r="B516" s="22" t="n"/>
    </row>
    <row r="517" customFormat="1" s="121">
      <c r="B517" s="22" t="n"/>
    </row>
    <row r="518" customFormat="1" s="121">
      <c r="B518" s="22" t="n"/>
    </row>
    <row r="519" customFormat="1" s="121">
      <c r="B519" s="22" t="n"/>
    </row>
    <row r="520" customFormat="1" s="121">
      <c r="B520" s="22" t="n"/>
    </row>
    <row r="521" customFormat="1" s="121">
      <c r="B521" s="22" t="n"/>
    </row>
    <row r="522" customFormat="1" s="121">
      <c r="B522" s="22" t="n"/>
    </row>
    <row r="523" customFormat="1" s="121">
      <c r="B523" s="22" t="n"/>
    </row>
    <row r="524" customFormat="1" s="121">
      <c r="B524" s="22" t="n"/>
    </row>
    <row r="525" customFormat="1" s="121">
      <c r="B525" s="22" t="n"/>
    </row>
    <row r="526" customFormat="1" s="121">
      <c r="B526" s="22" t="n"/>
    </row>
    <row r="527" customFormat="1" s="121">
      <c r="B527" s="22" t="n"/>
    </row>
    <row r="528" customFormat="1" s="121">
      <c r="B528" s="22" t="n"/>
    </row>
    <row r="529" customFormat="1" s="121">
      <c r="B529" s="22" t="n"/>
    </row>
    <row r="530" customFormat="1" s="121">
      <c r="B530" s="22" t="n"/>
    </row>
    <row r="531" customFormat="1" s="121">
      <c r="B531" s="22" t="n"/>
    </row>
    <row r="532" customFormat="1" s="121">
      <c r="B532" s="22" t="n"/>
    </row>
    <row r="533" customFormat="1" s="121">
      <c r="B533" s="22" t="n"/>
    </row>
    <row r="534" customFormat="1" s="121">
      <c r="B534" s="22" t="n"/>
    </row>
    <row r="535" customFormat="1" s="121">
      <c r="B535" s="22" t="n"/>
    </row>
    <row r="536" customFormat="1" s="121">
      <c r="B536" s="22" t="n"/>
    </row>
    <row r="537" customFormat="1" s="121">
      <c r="B537" s="22" t="n"/>
    </row>
    <row r="538" customFormat="1" s="121">
      <c r="B538" s="22" t="n"/>
    </row>
    <row r="539" customFormat="1" s="121">
      <c r="B539" s="22" t="n"/>
    </row>
    <row r="540" customFormat="1" s="121">
      <c r="B540" s="22" t="n"/>
    </row>
    <row r="541" customFormat="1" s="121">
      <c r="B541" s="22" t="n"/>
    </row>
    <row r="542" customFormat="1" s="121">
      <c r="B542" s="22" t="n"/>
    </row>
    <row r="543" customFormat="1" s="121">
      <c r="B543" s="22" t="n"/>
    </row>
    <row r="544" customFormat="1" s="121">
      <c r="B544" s="22" t="n"/>
    </row>
    <row r="545" customFormat="1" s="121">
      <c r="B545" s="22" t="n"/>
    </row>
    <row r="546" customFormat="1" s="121">
      <c r="B546" s="22" t="n"/>
    </row>
    <row r="547" customFormat="1" s="121">
      <c r="B547" s="22" t="n"/>
    </row>
    <row r="548" customFormat="1" s="121">
      <c r="B548" s="22" t="n"/>
    </row>
    <row r="549" customFormat="1" s="121">
      <c r="B549" s="22" t="n"/>
    </row>
    <row r="550" customFormat="1" s="121">
      <c r="B550" s="22" t="n"/>
    </row>
    <row r="551" customFormat="1" s="121">
      <c r="B551" s="22" t="n"/>
    </row>
    <row r="552" customFormat="1" s="121">
      <c r="B552" s="22" t="n"/>
    </row>
    <row r="553" customFormat="1" s="121">
      <c r="B553" s="22" t="n"/>
    </row>
    <row r="554" customFormat="1" s="121">
      <c r="B554" s="22" t="n"/>
    </row>
    <row r="555" customFormat="1" s="121">
      <c r="B555" s="22" t="n"/>
    </row>
    <row r="556" customFormat="1" s="121">
      <c r="B556" s="22" t="n"/>
    </row>
    <row r="557" customFormat="1" s="121">
      <c r="B557" s="22" t="n"/>
    </row>
    <row r="558" customFormat="1" s="121">
      <c r="B558" s="22" t="n"/>
    </row>
    <row r="559" customFormat="1" s="121">
      <c r="B559" s="22" t="n"/>
    </row>
    <row r="560" customFormat="1" s="121">
      <c r="B560" s="22" t="n"/>
    </row>
    <row r="561" customFormat="1" s="121">
      <c r="B561" s="22" t="n"/>
    </row>
    <row r="562" customFormat="1" s="121">
      <c r="B562" s="22" t="n"/>
    </row>
    <row r="563" customFormat="1" s="121">
      <c r="B563" s="22" t="n"/>
    </row>
    <row r="564" customFormat="1" s="121">
      <c r="B564" s="22" t="n"/>
    </row>
    <row r="565" customFormat="1" s="121">
      <c r="B565" s="22" t="n"/>
    </row>
    <row r="566" customFormat="1" s="121">
      <c r="B566" s="22" t="n"/>
    </row>
    <row r="567" customFormat="1" s="121">
      <c r="B567" s="22" t="n"/>
    </row>
    <row r="568" customFormat="1" s="121">
      <c r="B568" s="22" t="n"/>
    </row>
    <row r="569" customFormat="1" s="121">
      <c r="B569" s="22" t="n"/>
    </row>
    <row r="570" customFormat="1" s="121">
      <c r="B570" s="22" t="n"/>
    </row>
    <row r="571" customFormat="1" s="121">
      <c r="B571" s="22" t="n"/>
    </row>
    <row r="572" customFormat="1" s="121">
      <c r="B572" s="22" t="n"/>
    </row>
    <row r="573" customFormat="1" s="121">
      <c r="B573" s="22" t="n"/>
    </row>
    <row r="574" customFormat="1" s="121">
      <c r="B574" s="22" t="n"/>
    </row>
    <row r="575" customFormat="1" s="121">
      <c r="B575" s="22" t="n"/>
    </row>
    <row r="576" customFormat="1" s="121">
      <c r="B576" s="22" t="n"/>
    </row>
    <row r="577" customFormat="1" s="121">
      <c r="B577" s="22" t="n"/>
    </row>
    <row r="578" customFormat="1" s="121">
      <c r="B578" s="22" t="n"/>
    </row>
    <row r="579" customFormat="1" s="121">
      <c r="B579" s="22" t="n"/>
    </row>
    <row r="580" customFormat="1" s="121">
      <c r="B580" s="22" t="n"/>
    </row>
    <row r="581" customFormat="1" s="121">
      <c r="B581" s="22" t="n"/>
    </row>
    <row r="582" customFormat="1" s="121">
      <c r="B582" s="22" t="n"/>
    </row>
    <row r="583" customFormat="1" s="121">
      <c r="B583" s="22" t="n"/>
    </row>
    <row r="584" customFormat="1" s="121">
      <c r="B584" s="22" t="n"/>
    </row>
    <row r="585" customFormat="1" s="121">
      <c r="B585" s="22" t="n"/>
    </row>
    <row r="586" customFormat="1" s="121">
      <c r="B586" s="22" t="n"/>
    </row>
    <row r="587" customFormat="1" s="121">
      <c r="B587" s="22" t="n"/>
    </row>
    <row r="588" customFormat="1" s="121">
      <c r="B588" s="22" t="n"/>
    </row>
    <row r="589" customFormat="1" s="121">
      <c r="B589" s="22" t="n"/>
    </row>
    <row r="590" customFormat="1" s="121">
      <c r="B590" s="22" t="n"/>
    </row>
    <row r="591" customFormat="1" s="121">
      <c r="B591" s="22" t="n"/>
    </row>
    <row r="592" customFormat="1" s="121">
      <c r="B592" s="22" t="n"/>
    </row>
    <row r="593" customFormat="1" s="121">
      <c r="B593" s="22" t="n"/>
    </row>
    <row r="594" customFormat="1" s="121">
      <c r="B594" s="22" t="n"/>
    </row>
    <row r="595" customFormat="1" s="121">
      <c r="B595" s="22" t="n"/>
    </row>
    <row r="596" customFormat="1" s="121">
      <c r="B596" s="22" t="n"/>
    </row>
    <row r="597" customFormat="1" s="121">
      <c r="B597" s="22" t="n"/>
    </row>
    <row r="598" customFormat="1" s="121">
      <c r="B598" s="22" t="n"/>
    </row>
    <row r="599" customFormat="1" s="121">
      <c r="B599" s="22" t="n"/>
    </row>
    <row r="600" customFormat="1" s="121">
      <c r="B600" s="22" t="n"/>
    </row>
    <row r="601" customFormat="1" s="121">
      <c r="B601" s="22" t="n"/>
    </row>
    <row r="602" customFormat="1" s="121">
      <c r="B602" s="22" t="n"/>
    </row>
    <row r="603" customFormat="1" s="121">
      <c r="B603" s="22" t="n"/>
    </row>
    <row r="604" customFormat="1" s="121">
      <c r="B604" s="22" t="n"/>
    </row>
    <row r="605" customFormat="1" s="121">
      <c r="B605" s="22" t="n"/>
    </row>
    <row r="606" customFormat="1" s="121">
      <c r="B606" s="22" t="n"/>
    </row>
    <row r="607" customFormat="1" s="121">
      <c r="B607" s="22" t="n"/>
    </row>
    <row r="608" customFormat="1" s="121">
      <c r="B608" s="22" t="n"/>
    </row>
    <row r="609" customFormat="1" s="121">
      <c r="B609" s="22" t="n"/>
    </row>
    <row r="610" customFormat="1" s="121">
      <c r="B610" s="22" t="n"/>
    </row>
    <row r="611" customFormat="1" s="121">
      <c r="B611" s="22" t="n"/>
    </row>
    <row r="612" customFormat="1" s="121">
      <c r="B612" s="22" t="n"/>
    </row>
    <row r="613" customFormat="1" s="121">
      <c r="B613" s="22" t="n"/>
    </row>
    <row r="614" customFormat="1" s="121">
      <c r="B614" s="22" t="n"/>
    </row>
    <row r="615" customFormat="1" s="121">
      <c r="B615" s="22" t="n"/>
    </row>
    <row r="616" customFormat="1" s="121">
      <c r="B616" s="22" t="n"/>
    </row>
    <row r="617" customFormat="1" s="121">
      <c r="B617" s="22" t="n"/>
    </row>
    <row r="618" customFormat="1" s="121">
      <c r="B618" s="22" t="n"/>
    </row>
    <row r="619" customFormat="1" s="121">
      <c r="B619" s="22" t="n"/>
    </row>
    <row r="620" customFormat="1" s="121">
      <c r="B620" s="22" t="n"/>
    </row>
    <row r="621" customFormat="1" s="121">
      <c r="B621" s="22" t="n"/>
    </row>
    <row r="622" customFormat="1" s="121">
      <c r="B622" s="22" t="n"/>
    </row>
    <row r="623" customFormat="1" s="121">
      <c r="B623" s="22" t="n"/>
    </row>
    <row r="624" customFormat="1" s="121">
      <c r="B624" s="22" t="n"/>
    </row>
    <row r="625" customFormat="1" s="121">
      <c r="B625" s="22" t="n"/>
    </row>
    <row r="626" customFormat="1" s="121">
      <c r="B626" s="22" t="n"/>
    </row>
    <row r="627" customFormat="1" s="121">
      <c r="B627" s="22" t="n"/>
    </row>
    <row r="628" customFormat="1" s="121">
      <c r="B628" s="22" t="n"/>
    </row>
    <row r="629" customFormat="1" s="121">
      <c r="B629" s="22" t="n"/>
    </row>
    <row r="630" customFormat="1" s="121">
      <c r="B630" s="22" t="n"/>
    </row>
    <row r="631" customFormat="1" s="121">
      <c r="B631" s="22" t="n"/>
    </row>
    <row r="632" customFormat="1" s="121">
      <c r="B632" s="22" t="n"/>
    </row>
    <row r="633" customFormat="1" s="121">
      <c r="B633" s="22" t="n"/>
    </row>
    <row r="634" customFormat="1" s="121">
      <c r="B634" s="22" t="n"/>
    </row>
    <row r="635" customFormat="1" s="121">
      <c r="B635" s="22" t="n"/>
    </row>
    <row r="636" customFormat="1" s="121">
      <c r="B636" s="22" t="n"/>
    </row>
    <row r="637" customFormat="1" s="121">
      <c r="B637" s="22" t="n"/>
    </row>
    <row r="638" customFormat="1" s="121">
      <c r="B638" s="22" t="n"/>
    </row>
    <row r="639" customFormat="1" s="121">
      <c r="B639" s="22" t="n"/>
    </row>
    <row r="640" customFormat="1" s="121">
      <c r="B640" s="22" t="n"/>
    </row>
    <row r="641" customFormat="1" s="121">
      <c r="B641" s="22" t="n"/>
    </row>
    <row r="642" customFormat="1" s="121">
      <c r="B642" s="22" t="n"/>
    </row>
    <row r="643" customFormat="1" s="121">
      <c r="B643" s="22" t="n"/>
    </row>
    <row r="644" customFormat="1" s="121">
      <c r="B644" s="22" t="n"/>
    </row>
    <row r="645" customFormat="1" s="121">
      <c r="B645" s="22" t="n"/>
    </row>
    <row r="646" customFormat="1" s="121">
      <c r="B646" s="22" t="n"/>
    </row>
    <row r="647" customFormat="1" s="121">
      <c r="B647" s="22" t="n"/>
    </row>
    <row r="648" customFormat="1" s="121">
      <c r="B648" s="22" t="n"/>
    </row>
    <row r="649" customFormat="1" s="121">
      <c r="B649" s="22" t="n"/>
    </row>
    <row r="650" customFormat="1" s="121">
      <c r="B650" s="22" t="n"/>
    </row>
    <row r="651" customFormat="1" s="121">
      <c r="B651" s="22" t="n"/>
    </row>
    <row r="652" customFormat="1" s="121">
      <c r="B652" s="22" t="n"/>
    </row>
    <row r="653" customFormat="1" s="121">
      <c r="B653" s="22" t="n"/>
    </row>
    <row r="654" customFormat="1" s="121">
      <c r="B654" s="22" t="n"/>
    </row>
    <row r="655" customFormat="1" s="121">
      <c r="B655" s="22" t="n"/>
    </row>
    <row r="656" customFormat="1" s="121">
      <c r="B656" s="22" t="n"/>
    </row>
    <row r="657" customFormat="1" s="121">
      <c r="B657" s="22" t="n"/>
    </row>
    <row r="658" customFormat="1" s="121">
      <c r="B658" s="22" t="n"/>
    </row>
    <row r="659" customFormat="1" s="121">
      <c r="B659" s="22" t="n"/>
    </row>
    <row r="660" customFormat="1" s="121">
      <c r="B660" s="22" t="n"/>
    </row>
    <row r="661" customFormat="1" s="121">
      <c r="B661" s="22" t="n"/>
    </row>
    <row r="662" customFormat="1" s="121">
      <c r="B662" s="22" t="n"/>
    </row>
    <row r="663" customFormat="1" s="121">
      <c r="B663" s="22" t="n"/>
    </row>
    <row r="664" customFormat="1" s="121">
      <c r="B664" s="22" t="n"/>
    </row>
    <row r="665" customFormat="1" s="121">
      <c r="B665" s="22" t="n"/>
    </row>
    <row r="666" customFormat="1" s="121">
      <c r="B666" s="22" t="n"/>
    </row>
    <row r="667" customFormat="1" s="121">
      <c r="B667" s="22" t="n"/>
    </row>
    <row r="668" customFormat="1" s="121">
      <c r="B668" s="22" t="n"/>
    </row>
    <row r="669" customFormat="1" s="121">
      <c r="B669" s="22" t="n"/>
    </row>
    <row r="670" customFormat="1" s="121">
      <c r="B670" s="22" t="n"/>
    </row>
    <row r="671" customFormat="1" s="121">
      <c r="B671" s="22" t="n"/>
    </row>
    <row r="672" customFormat="1" s="121">
      <c r="B672" s="22" t="n"/>
    </row>
    <row r="673" customFormat="1" s="121">
      <c r="B673" s="22" t="n"/>
    </row>
    <row r="674" customFormat="1" s="121">
      <c r="B674" s="22" t="n"/>
    </row>
    <row r="675" customFormat="1" s="121">
      <c r="B675" s="22" t="n"/>
    </row>
    <row r="676" customFormat="1" s="121">
      <c r="B676" s="22" t="n"/>
    </row>
    <row r="677" customFormat="1" s="121">
      <c r="B677" s="22" t="n"/>
    </row>
    <row r="678" customFormat="1" s="121">
      <c r="B678" s="22" t="n"/>
    </row>
    <row r="679" customFormat="1" s="121">
      <c r="B679" s="22" t="n"/>
    </row>
    <row r="680" customFormat="1" s="121">
      <c r="B680" s="22" t="n"/>
    </row>
    <row r="681" customFormat="1" s="121">
      <c r="B681" s="22" t="n"/>
    </row>
    <row r="682" customFormat="1" s="121">
      <c r="B682" s="22" t="n"/>
    </row>
    <row r="683" customFormat="1" s="121">
      <c r="B683" s="22" t="n"/>
    </row>
    <row r="684" customFormat="1" s="121">
      <c r="B684" s="22" t="n"/>
    </row>
    <row r="685" customFormat="1" s="121">
      <c r="B685" s="22" t="n"/>
    </row>
    <row r="686" customFormat="1" s="121">
      <c r="B686" s="22" t="n"/>
    </row>
    <row r="687" customFormat="1" s="121">
      <c r="B687" s="22" t="n"/>
    </row>
    <row r="688" customFormat="1" s="121">
      <c r="B688" s="22" t="n"/>
    </row>
    <row r="689" customFormat="1" s="121">
      <c r="B689" s="22" t="n"/>
    </row>
    <row r="690" customFormat="1" s="121">
      <c r="B690" s="22" t="n"/>
    </row>
    <row r="691" customFormat="1" s="121">
      <c r="B691" s="22" t="n"/>
    </row>
    <row r="692" customFormat="1" s="121">
      <c r="B692" s="22" t="n"/>
    </row>
    <row r="693" customFormat="1" s="121">
      <c r="B693" s="22" t="n"/>
    </row>
    <row r="694" customFormat="1" s="121">
      <c r="B694" s="22" t="n"/>
    </row>
    <row r="695" customFormat="1" s="121">
      <c r="B695" s="22" t="n"/>
    </row>
    <row r="696" customFormat="1" s="121">
      <c r="B696" s="22" t="n"/>
    </row>
    <row r="697" customFormat="1" s="121">
      <c r="B697" s="22" t="n"/>
    </row>
    <row r="698" customFormat="1" s="121">
      <c r="B698" s="22" t="n"/>
    </row>
    <row r="699" customFormat="1" s="121">
      <c r="B699" s="22" t="n"/>
    </row>
    <row r="700" customFormat="1" s="121">
      <c r="B700" s="22" t="n"/>
    </row>
    <row r="701" customFormat="1" s="121">
      <c r="B701" s="22" t="n"/>
    </row>
    <row r="702" customFormat="1" s="121">
      <c r="B702" s="22" t="n"/>
    </row>
    <row r="703" customFormat="1" s="121">
      <c r="B703" s="22" t="n"/>
    </row>
    <row r="704" customFormat="1" s="121">
      <c r="B704" s="22" t="n"/>
    </row>
    <row r="705" customFormat="1" s="121">
      <c r="B705" s="22" t="n"/>
    </row>
    <row r="706" customFormat="1" s="121">
      <c r="B706" s="22" t="n"/>
    </row>
    <row r="707" customFormat="1" s="121">
      <c r="B707" s="22" t="n"/>
    </row>
    <row r="708" customFormat="1" s="121">
      <c r="B708" s="22" t="n"/>
    </row>
    <row r="709" customFormat="1" s="121">
      <c r="B709" s="22" t="n"/>
    </row>
    <row r="710" customFormat="1" s="121">
      <c r="B710" s="22" t="n"/>
    </row>
    <row r="711" customFormat="1" s="121">
      <c r="B711" s="22" t="n"/>
    </row>
    <row r="712" customFormat="1" s="121">
      <c r="B712" s="22" t="n"/>
    </row>
    <row r="713" customFormat="1" s="121">
      <c r="B713" s="22" t="n"/>
    </row>
    <row r="714" customFormat="1" s="121">
      <c r="B714" s="22" t="n"/>
    </row>
    <row r="715" customFormat="1" s="121">
      <c r="B715" s="22" t="n"/>
    </row>
    <row r="716" customFormat="1" s="121">
      <c r="B716" s="22" t="n"/>
    </row>
    <row r="717" customFormat="1" s="121">
      <c r="B717" s="22" t="n"/>
    </row>
    <row r="718" customFormat="1" s="121">
      <c r="B718" s="22" t="n"/>
    </row>
    <row r="719" customFormat="1" s="121">
      <c r="B719" s="22" t="n"/>
    </row>
    <row r="720" customFormat="1" s="121">
      <c r="B720" s="22" t="n"/>
    </row>
    <row r="721" customFormat="1" s="121">
      <c r="B721" s="22" t="n"/>
    </row>
    <row r="722" customFormat="1" s="121">
      <c r="B722" s="22" t="n"/>
    </row>
    <row r="723" customFormat="1" s="121">
      <c r="B723" s="22" t="n"/>
    </row>
    <row r="724" customFormat="1" s="121">
      <c r="B724" s="22" t="n"/>
    </row>
    <row r="725" customFormat="1" s="121">
      <c r="B725" s="22" t="n"/>
    </row>
    <row r="726" customFormat="1" s="121">
      <c r="B726" s="22" t="n"/>
    </row>
    <row r="727" customFormat="1" s="121">
      <c r="B727" s="22" t="n"/>
    </row>
    <row r="728" customFormat="1" s="121">
      <c r="B728" s="22" t="n"/>
    </row>
    <row r="729" customFormat="1" s="121">
      <c r="B729" s="22" t="n"/>
    </row>
    <row r="730" customFormat="1" s="121">
      <c r="B730" s="22" t="n"/>
    </row>
    <row r="731" customFormat="1" s="121">
      <c r="B731" s="22" t="n"/>
    </row>
    <row r="732" customFormat="1" s="121">
      <c r="B732" s="22" t="n"/>
    </row>
    <row r="733" customFormat="1" s="121">
      <c r="B733" s="22" t="n"/>
    </row>
    <row r="734" customFormat="1" s="121">
      <c r="B734" s="22" t="n"/>
    </row>
    <row r="735" customFormat="1" s="121">
      <c r="B735" s="22" t="n"/>
    </row>
    <row r="736" customFormat="1" s="121">
      <c r="B736" s="22" t="n"/>
    </row>
    <row r="737" customFormat="1" s="121">
      <c r="B737" s="22" t="n"/>
    </row>
    <row r="738" customFormat="1" s="121">
      <c r="B738" s="22" t="n"/>
    </row>
    <row r="739" customFormat="1" s="121">
      <c r="B739" s="22" t="n"/>
    </row>
    <row r="740" customFormat="1" s="121">
      <c r="B740" s="22" t="n"/>
    </row>
    <row r="741" customFormat="1" s="121">
      <c r="B741" s="22" t="n"/>
    </row>
    <row r="742" customFormat="1" s="121">
      <c r="B742" s="22" t="n"/>
    </row>
    <row r="743" customFormat="1" s="121">
      <c r="B743" s="22" t="n"/>
    </row>
    <row r="744" customFormat="1" s="121">
      <c r="B744" s="22" t="n"/>
    </row>
    <row r="745" customFormat="1" s="121">
      <c r="B745" s="22" t="n"/>
    </row>
    <row r="746" customFormat="1" s="121">
      <c r="B746" s="22" t="n"/>
    </row>
    <row r="747" customFormat="1" s="121">
      <c r="B747" s="22" t="n"/>
    </row>
    <row r="748" customFormat="1" s="121">
      <c r="B748" s="22" t="n"/>
    </row>
    <row r="749" customFormat="1" s="121">
      <c r="B749" s="22" t="n"/>
    </row>
    <row r="750" customFormat="1" s="121">
      <c r="B750" s="22" t="n"/>
    </row>
    <row r="751" customFormat="1" s="121">
      <c r="B751" s="22" t="n"/>
    </row>
    <row r="752" customFormat="1" s="121">
      <c r="B752" s="22" t="n"/>
    </row>
    <row r="753" customFormat="1" s="121">
      <c r="B753" s="22" t="n"/>
    </row>
    <row r="754" customFormat="1" s="121">
      <c r="B754" s="22" t="n"/>
    </row>
    <row r="755" customFormat="1" s="121">
      <c r="B755" s="22" t="n"/>
    </row>
    <row r="756" customFormat="1" s="121">
      <c r="B756" s="22" t="n"/>
    </row>
    <row r="757" customFormat="1" s="121">
      <c r="B757" s="22" t="n"/>
    </row>
    <row r="758" customFormat="1" s="121">
      <c r="B758" s="22" t="n"/>
    </row>
    <row r="759" customFormat="1" s="121">
      <c r="B759" s="22" t="n"/>
    </row>
    <row r="760" customFormat="1" s="121">
      <c r="B760" s="22" t="n"/>
    </row>
    <row r="761" customFormat="1" s="121">
      <c r="B761" s="22" t="n"/>
    </row>
    <row r="762" customFormat="1" s="121">
      <c r="B762" s="22" t="n"/>
    </row>
    <row r="763" customFormat="1" s="121">
      <c r="B763" s="22" t="n"/>
    </row>
    <row r="764" customFormat="1" s="121">
      <c r="B764" s="22" t="n"/>
    </row>
    <row r="765" customFormat="1" s="121">
      <c r="B765" s="22" t="n"/>
    </row>
    <row r="766" customFormat="1" s="121">
      <c r="B766" s="22" t="n"/>
    </row>
    <row r="767" customFormat="1" s="121">
      <c r="B767" s="22" t="n"/>
    </row>
    <row r="768" customFormat="1" s="121">
      <c r="B768" s="22" t="n"/>
    </row>
    <row r="769" customFormat="1" s="121">
      <c r="B769" s="22" t="n"/>
    </row>
    <row r="770" customFormat="1" s="121">
      <c r="B770" s="22" t="n"/>
    </row>
    <row r="771" customFormat="1" s="121">
      <c r="B771" s="22" t="n"/>
    </row>
    <row r="772" customFormat="1" s="121">
      <c r="B772" s="22" t="n"/>
    </row>
    <row r="773" customFormat="1" s="121">
      <c r="B773" s="22" t="n"/>
    </row>
    <row r="774">
      <c r="A774" s="121" t="n"/>
      <c r="B774" s="22" t="n"/>
      <c r="C774" s="121" t="n"/>
      <c r="D774" s="121" t="n"/>
    </row>
    <row r="775">
      <c r="A775" s="121" t="n"/>
      <c r="B775" s="22" t="n"/>
      <c r="C775" s="121" t="n"/>
      <c r="D775" s="121" t="n"/>
    </row>
    <row r="776">
      <c r="A776" s="121" t="n"/>
      <c r="B776" s="22" t="n"/>
      <c r="C776" s="121" t="n"/>
      <c r="D776" s="121" t="n"/>
    </row>
    <row r="777">
      <c r="A777" s="121" t="n"/>
      <c r="B777" s="22" t="n"/>
      <c r="C777" s="121" t="n"/>
      <c r="D777" s="121" t="n"/>
    </row>
    <row r="778">
      <c r="A778" s="121" t="n"/>
      <c r="B778" s="22" t="n"/>
      <c r="C778" s="121" t="n"/>
      <c r="D778" s="121" t="n"/>
    </row>
    <row r="779">
      <c r="A779" s="121" t="n"/>
      <c r="B779" s="22" t="n"/>
      <c r="C779" s="121" t="n"/>
      <c r="D779" s="121" t="n"/>
    </row>
    <row r="780">
      <c r="A780" s="121" t="n"/>
      <c r="B780" s="22" t="n"/>
      <c r="C780" s="121" t="n"/>
      <c r="D780" s="121" t="n"/>
    </row>
    <row r="781">
      <c r="A781" s="121" t="n"/>
      <c r="B781" s="22" t="n"/>
      <c r="C781" s="121" t="n"/>
      <c r="D781" s="121" t="n"/>
    </row>
    <row r="782">
      <c r="A782" s="121" t="n"/>
      <c r="B782" s="22" t="n"/>
      <c r="C782" s="121" t="n"/>
      <c r="D782" s="121" t="n"/>
    </row>
    <row r="783">
      <c r="A783" s="121" t="n"/>
      <c r="B783" s="22" t="n"/>
      <c r="C783" s="121" t="n"/>
      <c r="D783" s="121" t="n"/>
    </row>
    <row r="784">
      <c r="A784" s="121" t="n"/>
      <c r="B784" s="22" t="n"/>
      <c r="C784" s="121" t="n"/>
      <c r="D784" s="121" t="n"/>
    </row>
    <row r="785">
      <c r="A785" s="121" t="n"/>
      <c r="B785" s="22" t="n"/>
      <c r="C785" s="121" t="n"/>
      <c r="D785" s="121" t="n"/>
    </row>
    <row r="786">
      <c r="A786" s="121" t="n"/>
      <c r="B786" s="22" t="n"/>
      <c r="C786" s="121" t="n"/>
      <c r="D786" s="121" t="n"/>
    </row>
    <row r="787">
      <c r="A787" s="121" t="n"/>
      <c r="B787" s="22" t="n"/>
      <c r="C787" s="121" t="n"/>
      <c r="D787" s="121" t="n"/>
    </row>
    <row r="788">
      <c r="A788" s="121" t="n"/>
      <c r="B788" s="22" t="n"/>
      <c r="C788" s="121" t="n"/>
      <c r="D788" s="121" t="n"/>
    </row>
    <row r="789">
      <c r="A789" s="121" t="n"/>
      <c r="B789" s="22" t="n"/>
      <c r="C789" s="121" t="n"/>
      <c r="D789" s="121" t="n"/>
    </row>
    <row r="790">
      <c r="A790" s="121" t="n"/>
      <c r="B790" s="22" t="n"/>
      <c r="C790" s="121" t="n"/>
      <c r="D790" s="121" t="n"/>
    </row>
    <row r="791">
      <c r="A791" s="121" t="n"/>
      <c r="B791" s="22" t="n"/>
      <c r="C791" s="121" t="n"/>
      <c r="D791" s="121" t="n"/>
    </row>
    <row r="792">
      <c r="A792" s="121" t="n"/>
      <c r="B792" s="22" t="n"/>
      <c r="C792" s="121" t="n"/>
      <c r="D792" s="121" t="n"/>
    </row>
    <row r="793">
      <c r="A793" s="121" t="n"/>
      <c r="B793" s="22" t="n"/>
      <c r="C793" s="121" t="n"/>
      <c r="D793" s="121" t="n"/>
    </row>
    <row r="794">
      <c r="A794" s="121" t="n"/>
      <c r="B794" s="22" t="n"/>
      <c r="C794" s="121" t="n"/>
      <c r="D794" s="121" t="n"/>
    </row>
    <row r="795">
      <c r="A795" s="121" t="n"/>
      <c r="B795" s="22" t="n"/>
      <c r="C795" s="121" t="n"/>
      <c r="D795" s="121" t="n"/>
    </row>
    <row r="796">
      <c r="A796" s="121" t="n"/>
      <c r="B796" s="22" t="n"/>
      <c r="C796" s="121" t="n"/>
      <c r="D796" s="121" t="n"/>
    </row>
    <row r="797">
      <c r="A797" s="121" t="n"/>
      <c r="B797" s="22" t="n"/>
      <c r="C797" s="121" t="n"/>
      <c r="D797" s="121" t="n"/>
    </row>
    <row r="798">
      <c r="A798" s="121" t="n"/>
      <c r="B798" s="22" t="n"/>
      <c r="C798" s="121" t="n"/>
      <c r="D798" s="121" t="n"/>
    </row>
    <row r="799">
      <c r="A799" s="121" t="n"/>
      <c r="B799" s="22" t="n"/>
      <c r="C799" s="121" t="n"/>
      <c r="D799" s="121" t="n"/>
    </row>
    <row r="800">
      <c r="A800" s="121" t="n"/>
      <c r="B800" s="22" t="n"/>
      <c r="C800" s="121" t="n"/>
      <c r="D800" s="121" t="n"/>
    </row>
    <row r="801">
      <c r="A801" s="121" t="n"/>
      <c r="B801" s="22" t="n"/>
      <c r="C801" s="121" t="n"/>
      <c r="D801" s="121" t="n"/>
    </row>
    <row r="802">
      <c r="A802" s="121" t="n"/>
      <c r="B802" s="22" t="n"/>
      <c r="C802" s="121" t="n"/>
      <c r="D802" s="121" t="n"/>
    </row>
    <row r="803">
      <c r="A803" s="121" t="n"/>
      <c r="B803" s="22" t="n"/>
      <c r="C803" s="121" t="n"/>
      <c r="D803" s="121" t="n"/>
    </row>
    <row r="804">
      <c r="A804" s="121" t="n"/>
      <c r="B804" s="22" t="n"/>
      <c r="C804" s="121" t="n"/>
      <c r="D804" s="121" t="n"/>
    </row>
    <row r="805">
      <c r="A805" s="121" t="n"/>
      <c r="B805" s="22" t="n"/>
      <c r="C805" s="121" t="n"/>
      <c r="D805" s="121" t="n"/>
    </row>
    <row r="806">
      <c r="A806" s="121" t="n"/>
      <c r="B806" s="22" t="n"/>
      <c r="C806" s="121" t="n"/>
      <c r="D806" s="121" t="n"/>
    </row>
    <row r="807">
      <c r="A807" s="121" t="n"/>
      <c r="B807" s="22" t="n"/>
      <c r="C807" s="121" t="n"/>
      <c r="D807" s="121" t="n"/>
    </row>
    <row r="808">
      <c r="A808" s="121" t="n"/>
      <c r="B808" s="22" t="n"/>
      <c r="C808" s="121" t="n"/>
      <c r="D808" s="121" t="n"/>
    </row>
    <row r="809">
      <c r="A809" s="121" t="n"/>
      <c r="B809" s="22" t="n"/>
      <c r="C809" s="121" t="n"/>
      <c r="D809" s="121" t="n"/>
    </row>
    <row r="810">
      <c r="A810" s="121" t="n"/>
      <c r="B810" s="22" t="n"/>
      <c r="C810" s="121" t="n"/>
      <c r="D810" s="121" t="n"/>
    </row>
    <row r="811">
      <c r="A811" s="121" t="n"/>
      <c r="B811" s="22" t="n"/>
      <c r="C811" s="121" t="n"/>
      <c r="D811" s="121" t="n"/>
    </row>
    <row r="812">
      <c r="A812" s="121" t="n"/>
      <c r="B812" s="22" t="n"/>
      <c r="C812" s="121" t="n"/>
      <c r="D812" s="121" t="n"/>
    </row>
    <row r="813">
      <c r="A813" s="121" t="n"/>
      <c r="B813" s="22" t="n"/>
      <c r="C813" s="121" t="n"/>
      <c r="D813" s="121" t="n"/>
    </row>
    <row r="814">
      <c r="A814" s="121" t="n"/>
      <c r="B814" s="22" t="n"/>
      <c r="C814" s="121" t="n"/>
      <c r="D814" s="121" t="n"/>
    </row>
    <row r="815">
      <c r="A815" s="121" t="n"/>
      <c r="B815" s="22" t="n"/>
      <c r="C815" s="121" t="n"/>
      <c r="D815" s="121" t="n"/>
    </row>
    <row r="816">
      <c r="A816" s="121" t="n"/>
      <c r="B816" s="22" t="n"/>
      <c r="C816" s="121" t="n"/>
      <c r="D816" s="121" t="n"/>
    </row>
    <row r="817">
      <c r="A817" s="121" t="n"/>
      <c r="B817" s="22" t="n"/>
      <c r="C817" s="121" t="n"/>
      <c r="D817" s="121" t="n"/>
    </row>
    <row r="818">
      <c r="A818" s="121" t="n"/>
      <c r="B818" s="22" t="n"/>
      <c r="C818" s="121" t="n"/>
      <c r="D818" s="121" t="n"/>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80"/>
  <sheetViews>
    <sheetView zoomScaleNormal="100" workbookViewId="0">
      <pane ySplit="6" topLeftCell="A364" activePane="bottomLeft" state="frozen"/>
      <selection pane="bottomLeft" activeCell="A373" sqref="A373:D380"/>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21" min="5" max="69"/>
  </cols>
  <sheetData>
    <row r="1" customFormat="1" s="121">
      <c r="A1" s="121" t="inlineStr">
        <is>
          <t>RSDBS</t>
        </is>
      </c>
      <c r="B1" s="29" t="inlineStr">
        <is>
          <t>Food and Beverage Stores (RSDBS), Millions of Dollars, Monthly, Seasonally Adjusted</t>
        </is>
      </c>
      <c r="C1" s="54" t="n"/>
      <c r="D1" s="54" t="n"/>
    </row>
    <row r="2" customFormat="1" s="121">
      <c r="A2" s="127" t="inlineStr">
        <is>
          <t>https://fred.stlouisfed.org/series/RSDBS</t>
        </is>
      </c>
      <c r="C2" s="54" t="n"/>
      <c r="D2" s="54" t="n"/>
    </row>
    <row r="3" customFormat="1" s="121">
      <c r="A3" s="9" t="n"/>
      <c r="B3" s="54" t="n"/>
      <c r="C3" s="54" t="n"/>
      <c r="D3" s="54" t="n"/>
    </row>
    <row r="4" customFormat="1" s="121">
      <c r="A4" s="9" t="n"/>
      <c r="B4" s="54" t="n"/>
      <c r="C4" s="54" t="n"/>
      <c r="D4" s="54" t="n"/>
    </row>
    <row r="5" ht="16" customFormat="1" customHeight="1" s="121"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row r="378">
      <c r="A378" s="11" t="n">
        <v>44896</v>
      </c>
      <c r="B378" s="15">
        <f>VLOOKUP(A378,Database!A:K,MATCH($A$1,Database!$A$1:$K$1,),)</f>
        <v/>
      </c>
      <c r="C378" s="12">
        <f>(B378-B377)/B377</f>
        <v/>
      </c>
      <c r="D378" s="13">
        <f>(B378-B366)/B366</f>
        <v/>
      </c>
    </row>
    <row r="379">
      <c r="A379" s="11"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80"/>
  <sheetViews>
    <sheetView zoomScale="70" zoomScaleNormal="70" workbookViewId="0">
      <pane ySplit="6" topLeftCell="A351" activePane="bottomLeft" state="frozen"/>
      <selection activeCell="P14" sqref="P14"/>
      <selection pane="bottomLeft" activeCell="A369" sqref="A369:D380"/>
    </sheetView>
  </sheetViews>
  <sheetFormatPr baseColWidth="8" defaultColWidth="9.1796875" defaultRowHeight="14.5"/>
  <cols>
    <col width="14" customWidth="1" style="54" min="1" max="1"/>
    <col width="14.1796875" customWidth="1" style="54" min="2" max="4"/>
    <col width="9.1796875" customWidth="1" style="121" min="5" max="29"/>
    <col width="9.1796875" customWidth="1" style="121" min="30" max="16384"/>
  </cols>
  <sheetData>
    <row r="1">
      <c r="A1" s="121" t="inlineStr">
        <is>
          <t>RSNSR</t>
        </is>
      </c>
      <c r="B1" s="29" t="inlineStr">
        <is>
          <t>Retail Trade: Nonstore Retailers (RSNSR), Millions of Dollars, Monthly, Seasonally Adjusted</t>
        </is>
      </c>
    </row>
    <row r="2">
      <c r="A2" s="127" t="inlineStr">
        <is>
          <t>https://fred.stlouisfed.org/series/RSNSR</t>
        </is>
      </c>
      <c r="B2" s="121"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0" t="n">
        <v>44958</v>
      </c>
      <c r="B380" s="15">
        <f>VLOOKUP(A380,Database!A:Q,MATCH($A$1,Database!$A$1:$Q$1,),)</f>
        <v/>
      </c>
      <c r="C380" s="12">
        <f>(B380-B379)/B379</f>
        <v/>
      </c>
      <c r="D380" s="13">
        <f>(B380-B368)/B368</f>
        <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80"/>
  <sheetViews>
    <sheetView zoomScale="70" zoomScaleNormal="70" workbookViewId="0">
      <pane ySplit="6" topLeftCell="A345" activePane="bottomLeft" state="frozen"/>
      <selection pane="bottomLeft" activeCell="A369" sqref="A369: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RSHPCS</t>
        </is>
      </c>
      <c r="B1" s="29" t="inlineStr">
        <is>
          <t>Retail Trade: Health and Personal Care Stores (RSHPCS), Millions of Dollars, Monthly, Seasonally Adjusted</t>
        </is>
      </c>
    </row>
    <row r="2">
      <c r="A2" s="127" t="inlineStr">
        <is>
          <t>https://fred.stlouisfed.org/series/RSHPCS</t>
        </is>
      </c>
      <c r="B2" s="121"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80"/>
  <sheetViews>
    <sheetView zoomScale="60" zoomScaleNormal="60" workbookViewId="0">
      <pane ySplit="6" topLeftCell="A344" activePane="bottomLeft" state="frozen"/>
      <selection pane="bottomLeft" activeCell="A372" sqref="A372: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RSSGHBMS</t>
        </is>
      </c>
      <c r="B1" s="29" t="inlineStr">
        <is>
          <t>Retail Trade: Sporting Goods, Hobby, Book, and Music Stores (RSSGHBMS), Millions of Dollars, Monthly, Seasonally Adjusted</t>
        </is>
      </c>
    </row>
    <row r="2">
      <c r="A2" s="127" t="inlineStr">
        <is>
          <t>https://fred.stlouisfed.org/series/RSSGHBMS</t>
        </is>
      </c>
      <c r="B2" s="121"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80"/>
  <sheetViews>
    <sheetView zoomScale="70" zoomScaleNormal="70" workbookViewId="0">
      <pane ySplit="6" topLeftCell="A347" activePane="bottomLeft" state="frozen"/>
      <selection pane="bottomLeft" activeCell="A369" sqref="A369: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RSGMS</t>
        </is>
      </c>
      <c r="B1" s="29" t="inlineStr">
        <is>
          <t>Retail Trade: General Merchandise Stores (RSGMS), Millions of Dollars, Monthly, Seasonally Adjusted</t>
        </is>
      </c>
    </row>
    <row r="2">
      <c r="A2" s="127" t="inlineStr">
        <is>
          <t>https://fred.stlouisfed.org/series/RSGMS</t>
        </is>
      </c>
      <c r="B2" s="121"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80"/>
  <sheetViews>
    <sheetView zoomScale="70" zoomScaleNormal="70" workbookViewId="0">
      <pane ySplit="6" topLeftCell="A353" activePane="bottomLeft" state="frozen"/>
      <selection pane="bottomLeft" activeCell="A367" sqref="A367: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RSFSDP</t>
        </is>
      </c>
      <c r="B1" s="29" t="inlineStr">
        <is>
          <t>Advance Retail Sales: Food Services and Drinking Places</t>
        </is>
      </c>
    </row>
    <row r="2">
      <c r="A2" s="127" t="n"/>
      <c r="B2" s="121"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row r="379">
      <c r="A379" s="10"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80"/>
  <sheetViews>
    <sheetView zoomScale="70" zoomScaleNormal="70" workbookViewId="0">
      <pane ySplit="6" topLeftCell="A344" activePane="bottomLeft" state="frozen"/>
      <selection pane="bottomLeft" activeCell="A369" sqref="A369: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RSGASS</t>
        </is>
      </c>
      <c r="B1" s="29" t="inlineStr">
        <is>
          <t>Retail Trade: Gasoline Stations (RSGASS), Millions of Dollars, Monthly, Seasonally Adjusted</t>
        </is>
      </c>
    </row>
    <row r="2">
      <c r="A2" s="127" t="inlineStr">
        <is>
          <t>https://fred.stlouisfed.org/series/RSGASS</t>
        </is>
      </c>
      <c r="B2" s="121"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row r="379">
      <c r="A379" s="10" t="n">
        <v>44927</v>
      </c>
      <c r="B379" s="15">
        <f>VLOOKUP(A379,Database!A:K,MATCH($A$1,Database!$A$1:$K$1,),)</f>
        <v/>
      </c>
      <c r="C379" s="12">
        <f>(B379-B378)/B378</f>
        <v/>
      </c>
      <c r="D379" s="13">
        <f>(B379-B367)/B367</f>
        <v/>
      </c>
    </row>
    <row r="380">
      <c r="A380" s="11" t="n">
        <v>44958</v>
      </c>
      <c r="B380" s="15">
        <f>VLOOKUP(A380,Database!A:K,MATCH($A$1,Database!$A$1:$K$1,),)</f>
        <v/>
      </c>
      <c r="C380" s="12">
        <f>(B380-B379)/B379</f>
        <v/>
      </c>
      <c r="D380" s="13">
        <f>(B380-B368)/B368</f>
        <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80"/>
  <sheetViews>
    <sheetView zoomScale="70" zoomScaleNormal="70" workbookViewId="0">
      <pane ySplit="6" topLeftCell="A346" activePane="bottomLeft" state="frozen"/>
      <selection pane="bottomLeft" activeCell="A371" sqref="A371: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RSMVPD</t>
        </is>
      </c>
      <c r="B1" s="29" t="inlineStr">
        <is>
          <t>Retail Trade: Motor Vehicle and Parts Dealers (RSMVPD), Millions of Dollars, Monthly, Seasonally Adjusted</t>
        </is>
      </c>
    </row>
    <row r="2">
      <c r="A2" s="127" t="inlineStr">
        <is>
          <t>https://fred.stlouisfed.org/series/RSMVPD</t>
        </is>
      </c>
      <c r="B2" s="121"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0" t="n">
        <v>44958</v>
      </c>
      <c r="B380" s="15">
        <f>VLOOKUP(A380,Database!A:Q,MATCH($A$1,Database!$A$1:$Q$1,),)</f>
        <v/>
      </c>
      <c r="C380" s="12">
        <f>(B380-B379)/B379</f>
        <v/>
      </c>
      <c r="D380" s="13">
        <f>(B380-B368)/B368</f>
        <v/>
      </c>
    </row>
  </sheetData>
  <conditionalFormatting sqref="D19:D380">
    <cfRule type="colorScale" priority="50">
      <colorScale>
        <cfvo type="min"/>
        <cfvo type="percentile" val="50"/>
        <cfvo type="max"/>
        <color rgb="FFF8696B"/>
        <color rgb="FFFFEB84"/>
        <color rgb="FF63BE7B"/>
      </colorScale>
    </cfRule>
  </conditionalFormatting>
  <conditionalFormatting sqref="C8:C380">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80"/>
  <sheetViews>
    <sheetView zoomScale="70" zoomScaleNormal="70" workbookViewId="0">
      <pane ySplit="6" topLeftCell="A353" activePane="bottomLeft" state="frozen"/>
      <selection pane="bottomLeft" activeCell="A368" sqref="A368:D380"/>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21" min="5" max="29"/>
    <col width="9.1796875" customWidth="1" style="121" min="30" max="16384"/>
  </cols>
  <sheetData>
    <row r="1">
      <c r="A1" s="121" t="inlineStr">
        <is>
          <t>RSBMGESD</t>
        </is>
      </c>
      <c r="B1" s="29" t="inlineStr">
        <is>
          <t>Retail Trade: Building Materials, Garden Equipment and Supplies Dealers (RSBMGESD), Millions of Dollars, Monthly, Seasonally Adjusted</t>
        </is>
      </c>
    </row>
    <row r="2">
      <c r="A2" s="127" t="inlineStr">
        <is>
          <t>https://fred.stlouisfed.org/series/RSBMGESD</t>
        </is>
      </c>
      <c r="B2" s="121"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row r="378">
      <c r="A378" s="17" t="n">
        <v>44896</v>
      </c>
      <c r="B378" s="15">
        <f>VLOOKUP(A378,Database!A:K,MATCH($A$1,Database!$A$1:$K$1,),)</f>
        <v/>
      </c>
      <c r="C378" s="12">
        <f>(B378-B377)/B377</f>
        <v/>
      </c>
      <c r="D378" s="13">
        <f>(B378-B366)/B366</f>
        <v/>
      </c>
    </row>
    <row r="379">
      <c r="A379" s="17" t="n">
        <v>44927</v>
      </c>
      <c r="B379" s="15">
        <f>VLOOKUP(A379,Database!A:K,MATCH($A$1,Database!$A$1:$K$1,),)</f>
        <v/>
      </c>
      <c r="C379" s="12">
        <f>(B379-B378)/B378</f>
        <v/>
      </c>
      <c r="D379" s="13">
        <f>(B379-B367)/B367</f>
        <v/>
      </c>
    </row>
    <row r="380">
      <c r="A380" s="11" t="n">
        <v>44958</v>
      </c>
      <c r="B380" s="31">
        <f>VLOOKUP(A380,Database!A:K,MATCH($A$1,Database!$A$1:$K$1,),)</f>
        <v/>
      </c>
      <c r="C380" s="32">
        <f>(B380-B379)/B379</f>
        <v/>
      </c>
      <c r="D380" s="33">
        <f>(B380-B368)/B368</f>
        <v/>
      </c>
    </row>
  </sheetData>
  <conditionalFormatting sqref="D19:D380">
    <cfRule type="colorScale" priority="48">
      <colorScale>
        <cfvo type="min"/>
        <cfvo type="percentile" val="50"/>
        <cfvo type="max"/>
        <color rgb="FFF8696B"/>
        <color rgb="FFFFEB84"/>
        <color rgb="FF63BE7B"/>
      </colorScale>
    </cfRule>
  </conditionalFormatting>
  <conditionalFormatting sqref="C8:C380">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80"/>
  <sheetViews>
    <sheetView zoomScale="70" zoomScaleNormal="70" workbookViewId="0">
      <pane ySplit="6" topLeftCell="A347" activePane="bottomLeft" state="frozen"/>
      <selection pane="bottomLeft" activeCell="A371" sqref="A371: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RSFHFS</t>
        </is>
      </c>
      <c r="B1" s="29" t="inlineStr">
        <is>
          <t>RSEAS</t>
        </is>
      </c>
    </row>
    <row r="2">
      <c r="A2" s="127" t="n"/>
      <c r="B2" s="121"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row r="378">
      <c r="A378" s="11" t="n">
        <v>44896</v>
      </c>
      <c r="B378" s="15">
        <f>VLOOKUP(A378,Database!A:K,MATCH($A$1,Database!$A$1:$K$1,),)+VLOOKUP(A378,Database!A:K,MATCH($B$1,Database!$A$1:$K$1,),)</f>
        <v/>
      </c>
      <c r="C378" s="12">
        <f>(B378-B377)/B377</f>
        <v/>
      </c>
      <c r="D378" s="13">
        <f>(B378-B366)/B366</f>
        <v/>
      </c>
    </row>
    <row r="379">
      <c r="A379" s="11" t="n">
        <v>44927</v>
      </c>
      <c r="B379" s="15">
        <f>VLOOKUP(A379,Database!A:K,MATCH($A$1,Database!$A$1:$K$1,),)+VLOOKUP(A379,Database!A:K,MATCH($B$1,Database!$A$1:$K$1,),)</f>
        <v/>
      </c>
      <c r="C379" s="12">
        <f>(B379-B378)/B378</f>
        <v/>
      </c>
      <c r="D379" s="13">
        <f>(B379-B367)/B367</f>
        <v/>
      </c>
    </row>
    <row r="380">
      <c r="A380" s="11" t="n">
        <v>44958</v>
      </c>
      <c r="B380" s="15">
        <f>VLOOKUP(A380,Database!A:K,MATCH($A$1,Database!$A$1:$K$1,),)+VLOOKUP(A380,Database!A:K,MATCH($B$1,Database!$A$1:$K$1,),)</f>
        <v/>
      </c>
      <c r="C380" s="12">
        <f>(B380-B379)/B379</f>
        <v/>
      </c>
      <c r="D380" s="13">
        <f>(B380-B368)/B368</f>
        <v/>
      </c>
    </row>
  </sheetData>
  <conditionalFormatting sqref="D19:D380">
    <cfRule type="colorScale" priority="46">
      <colorScale>
        <cfvo type="min"/>
        <cfvo type="percentile" val="50"/>
        <cfvo type="max"/>
        <color rgb="FFF8696B"/>
        <color rgb="FFFFEB84"/>
        <color rgb="FF63BE7B"/>
      </colorScale>
    </cfRule>
  </conditionalFormatting>
  <conditionalFormatting sqref="C8:C380">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80"/>
  <sheetViews>
    <sheetView zoomScale="80" zoomScaleNormal="80" workbookViewId="0">
      <pane ySplit="6" topLeftCell="A354" activePane="bottomLeft" state="frozen"/>
      <selection pane="bottomLeft" activeCell="A373" sqref="A373:D38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RSMSR</t>
        </is>
      </c>
      <c r="B1" s="29" t="inlineStr">
        <is>
          <t>Miscellaneous stores retailers</t>
        </is>
      </c>
    </row>
    <row r="2">
      <c r="A2" s="127" t="n"/>
      <c r="B2" s="121"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sheetData>
  <conditionalFormatting sqref="D19:D380">
    <cfRule type="colorScale" priority="44">
      <colorScale>
        <cfvo type="min"/>
        <cfvo type="percentile" val="50"/>
        <cfvo type="max"/>
        <color rgb="FFF8696B"/>
        <color rgb="FFFFEB84"/>
        <color rgb="FF63BE7B"/>
      </colorScale>
    </cfRule>
  </conditionalFormatting>
  <conditionalFormatting sqref="C8:C380">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80"/>
  <sheetViews>
    <sheetView zoomScale="70" zoomScaleNormal="70" workbookViewId="0">
      <pane ySplit="6" topLeftCell="A354" activePane="bottomLeft" state="frozen"/>
      <selection activeCell="P14" sqref="P14"/>
      <selection pane="bottomLeft" activeCell="Y376" sqref="Y376"/>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9"/>
    <col width="9.1796875" customWidth="1" style="121" min="30" max="16384"/>
  </cols>
  <sheetData>
    <row r="1">
      <c r="A1" s="121" t="inlineStr">
        <is>
          <t>RSCCAS</t>
        </is>
      </c>
      <c r="B1" s="29" t="inlineStr">
        <is>
          <t>Clothing and clothing access. stores</t>
        </is>
      </c>
    </row>
    <row r="2">
      <c r="A2" s="127" t="n"/>
      <c r="B2" s="121"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row r="378">
      <c r="A378" s="11" t="n">
        <v>44896</v>
      </c>
      <c r="B378" s="15">
        <f>VLOOKUP(A378,Database!A:Q,MATCH($A$1,Database!$A$1:$Q$1,),)</f>
        <v/>
      </c>
      <c r="C378" s="12">
        <f>(B378-B377)/B377</f>
        <v/>
      </c>
      <c r="D378" s="13">
        <f>(B378-B366)/B366</f>
        <v/>
      </c>
    </row>
    <row r="379">
      <c r="A379" s="11" t="n">
        <v>44927</v>
      </c>
      <c r="B379" s="15">
        <f>VLOOKUP(A379,Database!A:Q,MATCH($A$1,Database!$A$1:$Q$1,),)</f>
        <v/>
      </c>
      <c r="C379" s="12">
        <f>(B379-B378)/B378</f>
        <v/>
      </c>
      <c r="D379" s="13">
        <f>(B379-B367)/B367</f>
        <v/>
      </c>
    </row>
    <row r="380">
      <c r="A380" s="11" t="n">
        <v>44958</v>
      </c>
      <c r="B380" s="15">
        <f>VLOOKUP(A380,Database!A:Q,MATCH($A$1,Database!$A$1:$Q$1,),)</f>
        <v/>
      </c>
      <c r="C380" s="12">
        <f>(B380-B379)/B379</f>
        <v/>
      </c>
      <c r="D380" s="13">
        <f>(B380-B368)/B368</f>
        <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2023-03-16T08:17:54Z</dcterms:modified>
  <cp:lastModifiedBy>Mark Mukherjee</cp:lastModifiedBy>
</cp:coreProperties>
</file>