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6.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7.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8.xml" ContentType="application/vnd.openxmlformats-officedocument.spreadsheetml.worksheet+xml"/>
  <Override PartName="/xl/drawings/drawing5.xml" ContentType="application/vnd.openxmlformats-officedocument.drawing+xml"/>
  <Override PartName="/xl/worksheets/sheet9.xml" ContentType="application/vnd.openxmlformats-officedocument.spreadsheetml.worksheet+xml"/>
  <Override PartName="/xl/drawings/drawing6.xml" ContentType="application/vnd.openxmlformats-officedocument.drawing+xml"/>
  <Override PartName="/xl/worksheets/sheet10.xml" ContentType="application/vnd.openxmlformats-officedocument.spreadsheetml.worksheet+xml"/>
  <Override PartName="/xl/drawings/drawing7.xml" ContentType="application/vnd.openxmlformats-officedocument.drawing+xml"/>
  <Override PartName="/xl/worksheets/sheet11.xml" ContentType="application/vnd.openxmlformats-officedocument.spreadsheetml.worksheet+xml"/>
  <Override PartName="/xl/drawings/drawing8.xml" ContentType="application/vnd.openxmlformats-officedocument.drawing+xml"/>
  <Override PartName="/xl/worksheets/sheet12.xml" ContentType="application/vnd.openxmlformats-officedocument.spreadsheetml.worksheet+xml"/>
  <Override PartName="/xl/drawings/drawing9.xml" ContentType="application/vnd.openxmlformats-officedocument.drawing+xml"/>
  <Override PartName="/xl/worksheets/sheet13.xml" ContentType="application/vnd.openxmlformats-officedocument.spreadsheetml.worksheet+xml"/>
  <Override PartName="/xl/drawings/drawing10.xml" ContentType="application/vnd.openxmlformats-officedocument.drawing+xml"/>
  <Override PartName="/xl/worksheets/sheet14.xml" ContentType="application/vnd.openxmlformats-officedocument.spreadsheetml.worksheet+xml"/>
  <Override PartName="/xl/drawings/drawing11.xml" ContentType="application/vnd.openxmlformats-officedocument.drawing+xml"/>
  <Override PartName="/xl/worksheets/sheet15.xml" ContentType="application/vnd.openxmlformats-officedocument.spreadsheetml.worksheet+xml"/>
  <Override PartName="/xl/drawings/drawing12.xml" ContentType="application/vnd.openxmlformats-officedocument.drawing+xml"/>
  <Override PartName="/xl/worksheets/sheet16.xml" ContentType="application/vnd.openxmlformats-officedocument.spreadsheetml.worksheet+xml"/>
  <Override PartName="/xl/drawings/drawing13.xml" ContentType="application/vnd.openxmlformats-officedocument.drawing+xml"/>
  <Override PartName="/xl/tables/table4.xml" ContentType="application/vnd.openxmlformats-officedocument.spreadsheetml.table+xml"/>
  <Override PartName="/xl/worksheets/sheet17.xml" ContentType="application/vnd.openxmlformats-officedocument.spreadsheetml.worksheet+xml"/>
  <Override PartName="/xl/drawings/drawing14.xml" ContentType="application/vnd.openxmlformats-officedocument.drawing+xml"/>
  <Override PartName="/xl/tables/table5.xml" ContentType="application/vnd.openxmlformats-officedocument.spreadsheetml.table+xml"/>
  <Override PartName="/xl/worksheets/sheet18.xml" ContentType="application/vnd.openxmlformats-officedocument.spreadsheetml.worksheet+xml"/>
  <Override PartName="/xl/drawings/drawing15.xml" ContentType="application/vnd.openxmlformats-officedocument.drawing+xml"/>
  <Override PartName="/xl/tables/table6.xml" ContentType="application/vnd.openxmlformats-officedocument.spreadsheetml.table+xml"/>
  <Override PartName="/xl/worksheets/sheet19.xml" ContentType="application/vnd.openxmlformats-officedocument.spreadsheetml.worksheet+xml"/>
  <Override PartName="/xl/drawings/drawing16.xml" ContentType="application/vnd.openxmlformats-officedocument.drawing+xml"/>
  <Override PartName="/xl/tables/table7.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29520" yWindow="1020" windowWidth="28800" windowHeight="17500" tabRatio="600" firstSheet="0" activeTab="1"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Recap" sheetId="3" state="visible" r:id="rId3"/>
    <sheet xmlns:r="http://schemas.openxmlformats.org/officeDocument/2006/relationships" name="Recap 2" sheetId="4" state="visible" r:id="rId4"/>
    <sheet xmlns:r="http://schemas.openxmlformats.org/officeDocument/2006/relationships" name="Retail Sales ex Auto and Gas" sheetId="5" state="visible" r:id="rId5"/>
    <sheet xmlns:r="http://schemas.openxmlformats.org/officeDocument/2006/relationships" name="Retail Sales" sheetId="6" state="visible" r:id="rId6"/>
    <sheet xmlns:r="http://schemas.openxmlformats.org/officeDocument/2006/relationships" name="Retail Sales ex Auto" sheetId="7" state="visible" r:id="rId7"/>
    <sheet xmlns:r="http://schemas.openxmlformats.org/officeDocument/2006/relationships" name="Food and Beverage" sheetId="8" state="visible" r:id="rId8"/>
    <sheet xmlns:r="http://schemas.openxmlformats.org/officeDocument/2006/relationships" name="Non Store Retail" sheetId="9" state="visible" r:id="rId9"/>
    <sheet xmlns:r="http://schemas.openxmlformats.org/officeDocument/2006/relationships" name="Health" sheetId="10" state="visible" r:id="rId10"/>
    <sheet xmlns:r="http://schemas.openxmlformats.org/officeDocument/2006/relationships" name="Sporting Goods" sheetId="11" state="visible" r:id="rId11"/>
    <sheet xmlns:r="http://schemas.openxmlformats.org/officeDocument/2006/relationships" name="General Merchandising" sheetId="12" state="visible" r:id="rId12"/>
    <sheet xmlns:r="http://schemas.openxmlformats.org/officeDocument/2006/relationships" name="Food Services" sheetId="13" state="visible" r:id="rId13"/>
    <sheet xmlns:r="http://schemas.openxmlformats.org/officeDocument/2006/relationships" name="Gas Station" sheetId="14" state="visible" r:id="rId14"/>
    <sheet xmlns:r="http://schemas.openxmlformats.org/officeDocument/2006/relationships" name="Motor" sheetId="15" state="visible" r:id="rId15"/>
    <sheet xmlns:r="http://schemas.openxmlformats.org/officeDocument/2006/relationships" name="Housing" sheetId="16" state="visible" r:id="rId16"/>
    <sheet xmlns:r="http://schemas.openxmlformats.org/officeDocument/2006/relationships" name="Furniture Home" sheetId="17" state="visible" r:id="rId17"/>
    <sheet xmlns:r="http://schemas.openxmlformats.org/officeDocument/2006/relationships" name="Miscellaneous stores retailers" sheetId="18" state="visible" r:id="rId18"/>
    <sheet xmlns:r="http://schemas.openxmlformats.org/officeDocument/2006/relationships" name="Clothing and clothing access" sheetId="19" state="visible" r:id="rId19"/>
  </sheets>
  <definedNames/>
  <calcPr calcId="191029" fullCalcOnLoad="1"/>
</workbook>
</file>

<file path=xl/styles.xml><?xml version="1.0" encoding="utf-8"?>
<styleSheet xmlns="http://schemas.openxmlformats.org/spreadsheetml/2006/main">
  <numFmts count="6">
    <numFmt numFmtId="164" formatCode="[$-409]mmm\-yy;@"/>
    <numFmt numFmtId="165" formatCode="0.0%"/>
    <numFmt numFmtId="166" formatCode="0.0"/>
    <numFmt numFmtId="167" formatCode="dd\-mm\-yyyy"/>
    <numFmt numFmtId="168" formatCode="yyyy-mm-dd h:mm:ss"/>
    <numFmt numFmtId="169" formatCode="dd-mm-YYYY"/>
  </numFmts>
  <fonts count="26">
    <font>
      <name val="Calibri"/>
      <family val="2"/>
      <color theme="1"/>
      <sz val="11"/>
      <scheme val="minor"/>
    </font>
    <font>
      <name val="Calibri"/>
      <family val="2"/>
      <b val="1"/>
      <color theme="1"/>
      <sz val="11"/>
      <scheme val="minor"/>
    </font>
    <font>
      <name val="Arial"/>
      <family val="2"/>
      <sz val="10"/>
    </font>
    <font>
      <name val="Arial"/>
      <family val="2"/>
      <b val="1"/>
      <sz val="10"/>
    </font>
    <font>
      <name val="Calibri"/>
      <family val="2"/>
      <sz val="8"/>
      <scheme val="minor"/>
    </font>
    <font>
      <name val="Calibri"/>
      <family val="2"/>
      <color theme="10"/>
      <sz val="11"/>
      <u val="single"/>
      <scheme val="minor"/>
    </font>
    <font>
      <name val="Arial"/>
      <family val="2"/>
      <sz val="10"/>
    </font>
    <font>
      <name val="Verdana"/>
      <family val="2"/>
      <b val="1"/>
      <color rgb="FF666666"/>
      <sz val="9"/>
    </font>
    <font>
      <name val="Arial"/>
      <family val="2"/>
      <sz val="10"/>
    </font>
    <font>
      <name val="Calibri"/>
      <family val="2"/>
      <color theme="1"/>
      <sz val="11"/>
      <scheme val="minor"/>
    </font>
    <font>
      <name val="Calibri"/>
      <family val="2"/>
      <b val="1"/>
      <color theme="0"/>
      <sz val="11"/>
      <scheme val="minor"/>
    </font>
    <font>
      <name val="Calibri"/>
      <family val="2"/>
      <color rgb="FF00B0F0"/>
      <sz val="11"/>
      <scheme val="minor"/>
    </font>
    <font>
      <name val="Calibri"/>
      <family val="2"/>
      <color theme="1"/>
      <sz val="14"/>
      <scheme val="minor"/>
    </font>
    <font>
      <name val="Calibri"/>
      <family val="2"/>
      <b val="1"/>
      <sz val="14"/>
      <scheme val="minor"/>
    </font>
    <font>
      <name val="Calibri"/>
      <family val="2"/>
      <sz val="14"/>
      <scheme val="minor"/>
    </font>
    <font>
      <name val="Calibri"/>
      <family val="2"/>
      <color theme="1"/>
      <sz val="8"/>
      <scheme val="minor"/>
    </font>
    <font>
      <name val="Calibri"/>
      <family val="2"/>
      <color theme="10"/>
      <sz val="8"/>
      <u val="single"/>
      <scheme val="minor"/>
    </font>
    <font>
      <name val="Calibri"/>
      <family val="2"/>
      <b val="1"/>
      <color theme="1"/>
      <sz val="14"/>
      <scheme val="minor"/>
    </font>
    <font>
      <name val="Calibri"/>
      <family val="2"/>
      <b val="1"/>
      <sz val="10"/>
      <scheme val="minor"/>
    </font>
    <font>
      <name val="Calibri"/>
      <family val="2"/>
      <sz val="10"/>
      <scheme val="minor"/>
    </font>
    <font>
      <name val="Calibri"/>
      <family val="2"/>
      <sz val="11"/>
      <scheme val="minor"/>
    </font>
    <font>
      <name val="Calibri"/>
      <family val="2"/>
      <b val="1"/>
      <color rgb="FF00B0F0"/>
      <sz val="11"/>
      <scheme val="minor"/>
    </font>
    <font>
      <name val="Calibri"/>
      <family val="2"/>
      <b val="1"/>
      <sz val="11"/>
      <scheme val="minor"/>
    </font>
    <font>
      <name val="Calibri"/>
      <family val="2"/>
      <color theme="0"/>
      <sz val="11"/>
      <scheme val="minor"/>
    </font>
    <font>
      <name val="Calibri"/>
      <family val="2"/>
      <b val="1"/>
      <color theme="0"/>
      <sz val="14"/>
      <scheme val="minor"/>
    </font>
    <font>
      <name val="Arial"/>
      <family val="2"/>
      <b val="1"/>
      <color theme="0"/>
      <sz val="10"/>
    </font>
  </fonts>
  <fills count="7">
    <fill>
      <patternFill/>
    </fill>
    <fill>
      <patternFill patternType="gray125"/>
    </fill>
    <fill>
      <patternFill patternType="solid">
        <fgColor theme="0"/>
        <bgColor indexed="64"/>
      </patternFill>
    </fill>
    <fill>
      <patternFill patternType="solid">
        <fgColor theme="0"/>
        <bgColor theme="4" tint="0.7999816888943144"/>
      </patternFill>
    </fill>
    <fill>
      <patternFill patternType="solid">
        <fgColor rgb="FF00B050"/>
        <bgColor indexed="64"/>
      </patternFill>
    </fill>
    <fill>
      <patternFill patternType="solid">
        <fgColor theme="7" tint="0.7999816888943144"/>
        <bgColor indexed="64"/>
      </patternFill>
    </fill>
    <fill>
      <patternFill patternType="solid">
        <fgColor theme="4" tint="0.7999816888943144"/>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s>
  <cellStyleXfs count="9">
    <xf numFmtId="0" fontId="9" fillId="0" borderId="0"/>
    <xf numFmtId="0" fontId="5" fillId="0" borderId="0"/>
    <xf numFmtId="0" fontId="8" fillId="0" borderId="0"/>
    <xf numFmtId="0" fontId="8" fillId="0" borderId="0"/>
    <xf numFmtId="0" fontId="8" fillId="0" borderId="0"/>
    <xf numFmtId="0" fontId="8" fillId="0" borderId="0"/>
    <xf numFmtId="0" fontId="8" fillId="0" borderId="0"/>
    <xf numFmtId="0" fontId="8" fillId="0" borderId="0"/>
    <xf numFmtId="9" fontId="9" fillId="0" borderId="0"/>
  </cellStyleXfs>
  <cellXfs count="135">
    <xf numFmtId="0" fontId="0" fillId="0" borderId="0" pivotButton="0" quotePrefix="0" xfId="0"/>
    <xf numFmtId="0" fontId="0" fillId="2" borderId="1" applyAlignment="1" pivotButton="0" quotePrefix="0" xfId="0">
      <alignment horizontal="center"/>
    </xf>
    <xf numFmtId="0" fontId="0" fillId="0" borderId="0" applyAlignment="1" pivotButton="0" quotePrefix="0" xfId="0">
      <alignment horizontal="center"/>
    </xf>
    <xf numFmtId="0" fontId="0" fillId="2" borderId="1" pivotButton="0" quotePrefix="0" xfId="0"/>
    <xf numFmtId="0" fontId="0" fillId="2" borderId="3" pivotButton="0" quotePrefix="0" xfId="0"/>
    <xf numFmtId="0" fontId="0" fillId="2" borderId="5" pivotButton="0" quotePrefix="0" xfId="0"/>
    <xf numFmtId="14" fontId="0" fillId="2" borderId="4" applyAlignment="1" pivotButton="0" quotePrefix="0" xfId="0">
      <alignment horizontal="center"/>
    </xf>
    <xf numFmtId="14" fontId="11" fillId="2" borderId="6" applyAlignment="1" pivotButton="0" quotePrefix="0" xfId="0">
      <alignment horizontal="center"/>
    </xf>
    <xf numFmtId="0" fontId="11" fillId="2" borderId="0" pivotButton="0" quotePrefix="0" xfId="0"/>
    <xf numFmtId="0" fontId="5" fillId="2" borderId="0" applyAlignment="1" pivotButton="0" quotePrefix="0" xfId="1">
      <alignment horizontal="center"/>
    </xf>
    <xf numFmtId="164" fontId="4" fillId="3" borderId="1" applyAlignment="1" pivotButton="0" quotePrefix="0" xfId="0">
      <alignment horizontal="center"/>
    </xf>
    <xf numFmtId="164" fontId="4" fillId="2" borderId="1" applyAlignment="1" pivotButton="0" quotePrefix="0" xfId="0">
      <alignment horizontal="center"/>
    </xf>
    <xf numFmtId="10" fontId="4" fillId="2" borderId="1" applyAlignment="1" pivotButton="0" quotePrefix="0" xfId="0">
      <alignment horizontal="center"/>
    </xf>
    <xf numFmtId="10" fontId="4" fillId="3" borderId="1" applyAlignment="1" pivotButton="0" quotePrefix="0" xfId="0">
      <alignment horizontal="center"/>
    </xf>
    <xf numFmtId="3" fontId="0" fillId="2" borderId="0" applyAlignment="1" pivotButton="0" quotePrefix="0" xfId="0">
      <alignment horizontal="center"/>
    </xf>
    <xf numFmtId="3" fontId="6" fillId="2" borderId="1" applyAlignment="1" pivotButton="0" quotePrefix="0" xfId="2">
      <alignment horizontal="center"/>
    </xf>
    <xf numFmtId="3" fontId="0" fillId="0" borderId="0" applyAlignment="1" pivotButton="0" quotePrefix="0" xfId="0">
      <alignment horizontal="center"/>
    </xf>
    <xf numFmtId="164" fontId="4" fillId="3" borderId="7" applyAlignment="1" pivotButton="0" quotePrefix="0" xfId="0">
      <alignment horizontal="center"/>
    </xf>
    <xf numFmtId="3" fontId="6" fillId="2" borderId="7" applyAlignment="1" pivotButton="0" quotePrefix="0" xfId="2">
      <alignment horizontal="center"/>
    </xf>
    <xf numFmtId="0" fontId="0" fillId="2" borderId="7" applyAlignment="1" pivotButton="0" quotePrefix="0" xfId="0">
      <alignment horizontal="center"/>
    </xf>
    <xf numFmtId="0" fontId="7" fillId="2" borderId="0" pivotButton="0" quotePrefix="0" xfId="0"/>
    <xf numFmtId="10" fontId="0" fillId="2" borderId="0" pivotButton="0" quotePrefix="0" xfId="8"/>
    <xf numFmtId="3" fontId="0" fillId="2" borderId="0" pivotButton="0" quotePrefix="0" xfId="0"/>
    <xf numFmtId="3" fontId="0" fillId="0" borderId="0" pivotButton="0" quotePrefix="0" xfId="0"/>
    <xf numFmtId="3" fontId="1" fillId="2" borderId="0" pivotButton="0" quotePrefix="0" xfId="0"/>
    <xf numFmtId="3" fontId="3" fillId="2" borderId="0" pivotButton="0" quotePrefix="0" xfId="0"/>
    <xf numFmtId="0" fontId="3" fillId="2" borderId="0" pivotButton="0" quotePrefix="0" xfId="4"/>
    <xf numFmtId="0" fontId="1" fillId="2" borderId="0" pivotButton="0" quotePrefix="0" xfId="0"/>
    <xf numFmtId="10" fontId="0" fillId="2" borderId="0" pivotButton="0" quotePrefix="0" xfId="0"/>
    <xf numFmtId="0" fontId="2" fillId="2" borderId="0" pivotButton="0" quotePrefix="0" xfId="0"/>
    <xf numFmtId="164" fontId="4" fillId="3" borderId="13" applyAlignment="1" pivotButton="0" quotePrefix="0" xfId="0">
      <alignment horizontal="center"/>
    </xf>
    <xf numFmtId="3" fontId="6" fillId="2" borderId="13" applyAlignment="1" pivotButton="0" quotePrefix="0" xfId="2">
      <alignment horizontal="center"/>
    </xf>
    <xf numFmtId="10" fontId="4" fillId="2" borderId="13" applyAlignment="1" pivotButton="0" quotePrefix="0" xfId="0">
      <alignment horizontal="center"/>
    </xf>
    <xf numFmtId="10" fontId="4" fillId="3" borderId="13" applyAlignment="1" pivotButton="0" quotePrefix="0" xfId="0">
      <alignment horizontal="center"/>
    </xf>
    <xf numFmtId="0" fontId="13" fillId="2" borderId="1" applyAlignment="1" pivotButton="0" quotePrefix="0" xfId="0">
      <alignment horizontal="center"/>
    </xf>
    <xf numFmtId="3" fontId="13" fillId="2" borderId="1" applyAlignment="1" pivotButton="0" quotePrefix="0" xfId="0">
      <alignment horizontal="center"/>
    </xf>
    <xf numFmtId="0" fontId="15" fillId="0" borderId="1" pivotButton="0" quotePrefix="0" xfId="0"/>
    <xf numFmtId="0" fontId="15" fillId="2" borderId="1" pivotButton="0" quotePrefix="0" xfId="0"/>
    <xf numFmtId="0" fontId="12" fillId="2" borderId="16" pivotButton="0" quotePrefix="0" xfId="0"/>
    <xf numFmtId="0" fontId="16" fillId="2" borderId="17" pivotButton="0" quotePrefix="0" xfId="1"/>
    <xf numFmtId="0" fontId="12" fillId="2" borderId="16" applyAlignment="1" pivotButton="0" quotePrefix="0" xfId="0">
      <alignment horizontal="center"/>
    </xf>
    <xf numFmtId="0" fontId="16" fillId="0" borderId="17" pivotButton="0" quotePrefix="0" xfId="1"/>
    <xf numFmtId="0" fontId="12" fillId="2" borderId="18" applyAlignment="1" pivotButton="0" quotePrefix="0" xfId="0">
      <alignment horizontal="center"/>
    </xf>
    <xf numFmtId="0" fontId="13" fillId="2" borderId="19" applyAlignment="1" pivotButton="0" quotePrefix="0" xfId="0">
      <alignment horizontal="center"/>
    </xf>
    <xf numFmtId="3" fontId="13" fillId="2" borderId="19" applyAlignment="1" pivotButton="0" quotePrefix="0" xfId="0">
      <alignment horizontal="center"/>
    </xf>
    <xf numFmtId="3" fontId="13" fillId="5" borderId="21" applyAlignment="1" pivotButton="0" quotePrefix="0" xfId="0">
      <alignment horizontal="center"/>
    </xf>
    <xf numFmtId="3" fontId="13" fillId="5" borderId="22" applyAlignment="1" pivotButton="0" quotePrefix="0" xfId="0">
      <alignment horizontal="center"/>
    </xf>
    <xf numFmtId="0" fontId="15" fillId="0" borderId="19" pivotButton="0" quotePrefix="0" xfId="0"/>
    <xf numFmtId="0" fontId="16" fillId="2" borderId="20" pivotButton="0" quotePrefix="0" xfId="1"/>
    <xf numFmtId="0" fontId="3" fillId="2" borderId="0" pivotButton="0" quotePrefix="0" xfId="0"/>
    <xf numFmtId="10" fontId="18" fillId="2" borderId="23" applyAlignment="1" pivotButton="0" quotePrefix="0" xfId="0">
      <alignment horizontal="center" vertical="center"/>
    </xf>
    <xf numFmtId="10" fontId="18" fillId="2" borderId="24" applyAlignment="1" pivotButton="0" quotePrefix="0" xfId="0">
      <alignment horizontal="center" vertical="center"/>
    </xf>
    <xf numFmtId="10" fontId="19" fillId="2" borderId="16" applyAlignment="1" pivotButton="0" quotePrefix="0" xfId="0">
      <alignment horizontal="center" vertical="center"/>
    </xf>
    <xf numFmtId="10" fontId="19" fillId="2" borderId="17" applyAlignment="1" pivotButton="0" quotePrefix="0" xfId="0">
      <alignment horizontal="center" vertical="center"/>
    </xf>
    <xf numFmtId="0" fontId="0" fillId="2" borderId="0" applyAlignment="1" pivotButton="0" quotePrefix="0" xfId="0">
      <alignment horizontal="center"/>
    </xf>
    <xf numFmtId="164" fontId="18" fillId="2" borderId="25" applyAlignment="1" pivotButton="0" quotePrefix="0" xfId="0">
      <alignment horizontal="center" vertical="center"/>
    </xf>
    <xf numFmtId="164" fontId="18" fillId="2" borderId="26" applyAlignment="1" pivotButton="0" quotePrefix="0" xfId="0">
      <alignment horizontal="center" vertical="center"/>
    </xf>
    <xf numFmtId="10" fontId="18" fillId="2" borderId="14" applyAlignment="1" pivotButton="0" quotePrefix="0" xfId="0">
      <alignment horizontal="center" vertical="center"/>
    </xf>
    <xf numFmtId="10" fontId="18" fillId="2" borderId="15" applyAlignment="1" pivotButton="0" quotePrefix="0" xfId="0">
      <alignment horizontal="center" vertical="center"/>
    </xf>
    <xf numFmtId="0" fontId="12" fillId="2" borderId="23" pivotButton="0" quotePrefix="0" xfId="0"/>
    <xf numFmtId="0" fontId="13" fillId="2" borderId="7" applyAlignment="1" pivotButton="0" quotePrefix="0" xfId="0">
      <alignment horizontal="center"/>
    </xf>
    <xf numFmtId="3" fontId="13" fillId="5" borderId="7" applyAlignment="1" pivotButton="0" quotePrefix="0" xfId="0">
      <alignment horizontal="center"/>
    </xf>
    <xf numFmtId="0" fontId="0" fillId="2" borderId="7" pivotButton="0" quotePrefix="0" xfId="0"/>
    <xf numFmtId="0" fontId="15" fillId="0" borderId="7" pivotButton="0" quotePrefix="0" xfId="0"/>
    <xf numFmtId="0" fontId="16" fillId="2" borderId="24" pivotButton="0" quotePrefix="0" xfId="1"/>
    <xf numFmtId="0" fontId="0" fillId="2" borderId="0" applyAlignment="1" pivotButton="0" quotePrefix="0" xfId="0">
      <alignment vertical="center"/>
    </xf>
    <xf numFmtId="0" fontId="0" fillId="0" borderId="0" applyAlignment="1" pivotButton="0" quotePrefix="0" xfId="0">
      <alignment vertical="center"/>
    </xf>
    <xf numFmtId="0" fontId="0" fillId="2" borderId="0" applyAlignment="1" pivotButton="0" quotePrefix="0" xfId="0">
      <alignment horizontal="left" vertical="center"/>
    </xf>
    <xf numFmtId="14" fontId="21" fillId="2" borderId="31" applyAlignment="1" pivotButton="0" quotePrefix="0" xfId="0">
      <alignment horizontal="center"/>
    </xf>
    <xf numFmtId="14" fontId="1" fillId="2" borderId="31" applyAlignment="1" pivotButton="0" quotePrefix="0" xfId="0">
      <alignment horizontal="center"/>
    </xf>
    <xf numFmtId="0" fontId="1" fillId="2" borderId="32" applyAlignment="1" pivotButton="0" quotePrefix="0" xfId="0">
      <alignment horizontal="center"/>
    </xf>
    <xf numFmtId="0" fontId="15" fillId="2" borderId="0" applyAlignment="1" pivotButton="0" quotePrefix="0" xfId="0">
      <alignment horizontal="left" vertical="center"/>
    </xf>
    <xf numFmtId="14" fontId="1" fillId="2" borderId="2" applyAlignment="1" pivotButton="0" quotePrefix="0" xfId="0">
      <alignment horizontal="center"/>
    </xf>
    <xf numFmtId="0" fontId="24" fillId="4" borderId="21" applyAlignment="1" pivotButton="0" quotePrefix="0" xfId="0">
      <alignment horizontal="center" wrapText="1"/>
    </xf>
    <xf numFmtId="0" fontId="24" fillId="4" borderId="27" applyAlignment="1" pivotButton="0" quotePrefix="0" xfId="0">
      <alignment horizontal="center" wrapText="1"/>
    </xf>
    <xf numFmtId="0" fontId="24" fillId="4" borderId="22" applyAlignment="1" pivotButton="0" quotePrefix="0" xfId="0">
      <alignment horizontal="center" wrapText="1"/>
    </xf>
    <xf numFmtId="0" fontId="10" fillId="4" borderId="1" pivotButton="0" quotePrefix="0" xfId="0"/>
    <xf numFmtId="0" fontId="10" fillId="4" borderId="1" applyAlignment="1" pivotButton="0" quotePrefix="0" xfId="0">
      <alignment horizontal="center"/>
    </xf>
    <xf numFmtId="0" fontId="10" fillId="4" borderId="8" applyAlignment="1" pivotButton="0" quotePrefix="0" xfId="0">
      <alignment horizontal="center" wrapText="1"/>
    </xf>
    <xf numFmtId="3" fontId="10" fillId="4" borderId="9" applyAlignment="1" pivotButton="0" quotePrefix="0" xfId="0">
      <alignment horizontal="center" wrapText="1"/>
    </xf>
    <xf numFmtId="0" fontId="10" fillId="4" borderId="9" applyAlignment="1" pivotButton="0" quotePrefix="0" xfId="0">
      <alignment horizontal="center" wrapText="1"/>
    </xf>
    <xf numFmtId="0" fontId="10" fillId="4" borderId="10" applyAlignment="1" pivotButton="0" quotePrefix="0" xfId="0">
      <alignment horizontal="center" wrapText="1"/>
    </xf>
    <xf numFmtId="0" fontId="10" fillId="4" borderId="3" applyAlignment="1" pivotButton="0" quotePrefix="0" xfId="0">
      <alignment horizontal="center"/>
    </xf>
    <xf numFmtId="0" fontId="10" fillId="4" borderId="11" applyAlignment="1" pivotButton="0" quotePrefix="0" xfId="0">
      <alignment horizontal="center" wrapText="1"/>
    </xf>
    <xf numFmtId="0" fontId="10" fillId="4" borderId="11" applyAlignment="1" pivotButton="0" quotePrefix="0" xfId="0">
      <alignment horizontal="center"/>
    </xf>
    <xf numFmtId="0" fontId="10" fillId="4" borderId="4" applyAlignment="1" pivotButton="0" quotePrefix="0" xfId="0">
      <alignment horizontal="center"/>
    </xf>
    <xf numFmtId="0" fontId="10" fillId="4" borderId="3" applyAlignment="1" pivotButton="0" quotePrefix="0" xfId="0">
      <alignment horizontal="center" wrapText="1"/>
    </xf>
    <xf numFmtId="0" fontId="25" fillId="4" borderId="11" applyAlignment="1" pivotButton="0" quotePrefix="0" xfId="0">
      <alignment horizontal="center" wrapText="1"/>
    </xf>
    <xf numFmtId="0" fontId="23" fillId="4" borderId="8" applyAlignment="1" pivotButton="0" quotePrefix="0" xfId="0">
      <alignment horizontal="center"/>
    </xf>
    <xf numFmtId="0" fontId="23" fillId="4" borderId="9" applyAlignment="1" pivotButton="0" quotePrefix="0" xfId="0">
      <alignment horizontal="center"/>
    </xf>
    <xf numFmtId="0" fontId="23" fillId="4" borderId="10" applyAlignment="1" pivotButton="0" quotePrefix="0" xfId="0">
      <alignment horizontal="center"/>
    </xf>
    <xf numFmtId="0" fontId="10" fillId="4" borderId="12" applyAlignment="1" pivotButton="0" quotePrefix="0" xfId="0">
      <alignment horizontal="center" wrapText="1"/>
    </xf>
    <xf numFmtId="0" fontId="10" fillId="4" borderId="0" applyAlignment="1" pivotButton="0" quotePrefix="0" xfId="0">
      <alignment horizontal="center" wrapText="1"/>
    </xf>
    <xf numFmtId="0" fontId="10" fillId="4" borderId="9" applyAlignment="1" pivotButton="0" quotePrefix="0" xfId="0">
      <alignment horizontal="center"/>
    </xf>
    <xf numFmtId="0" fontId="10" fillId="4" borderId="10" applyAlignment="1" pivotButton="0" quotePrefix="0" xfId="0">
      <alignment horizontal="center"/>
    </xf>
    <xf numFmtId="0" fontId="0" fillId="0" borderId="0" pivotButton="0" quotePrefix="0" xfId="0"/>
    <xf numFmtId="165" fontId="0" fillId="2" borderId="33" applyAlignment="1" pivotButton="0" quotePrefix="0" xfId="8">
      <alignment horizontal="center" vertical="center"/>
    </xf>
    <xf numFmtId="165" fontId="0" fillId="2" borderId="15" applyAlignment="1" pivotButton="0" quotePrefix="0" xfId="8">
      <alignment horizontal="center" vertical="center"/>
    </xf>
    <xf numFmtId="165" fontId="0" fillId="2" borderId="1" applyAlignment="1" pivotButton="0" quotePrefix="0" xfId="8">
      <alignment horizontal="center" vertical="center"/>
    </xf>
    <xf numFmtId="165" fontId="0" fillId="2" borderId="17" applyAlignment="1" pivotButton="0" quotePrefix="0" xfId="8">
      <alignment horizontal="center" vertical="center"/>
    </xf>
    <xf numFmtId="166" fontId="0" fillId="2" borderId="0" applyAlignment="1" pivotButton="0" quotePrefix="0" xfId="0">
      <alignment horizontal="left" vertical="center"/>
    </xf>
    <xf numFmtId="166" fontId="20" fillId="2" borderId="0" applyAlignment="1" pivotButton="0" quotePrefix="0" xfId="0">
      <alignment horizontal="left" vertical="center"/>
    </xf>
    <xf numFmtId="165" fontId="0" fillId="2" borderId="19" applyAlignment="1" pivotButton="0" quotePrefix="0" xfId="8">
      <alignment horizontal="center" vertical="center"/>
    </xf>
    <xf numFmtId="165" fontId="0" fillId="2" borderId="20" applyAlignment="1" pivotButton="0" quotePrefix="0" xfId="8">
      <alignment horizontal="center" vertical="center"/>
    </xf>
    <xf numFmtId="165" fontId="14" fillId="2" borderId="7" applyAlignment="1" pivotButton="0" quotePrefix="0" xfId="0">
      <alignment horizontal="center"/>
    </xf>
    <xf numFmtId="165" fontId="14" fillId="2" borderId="1" applyAlignment="1" pivotButton="0" quotePrefix="0" xfId="0">
      <alignment horizontal="center"/>
    </xf>
    <xf numFmtId="165" fontId="13" fillId="2" borderId="1" applyAlignment="1" pivotButton="0" quotePrefix="0" xfId="8">
      <alignment horizontal="center"/>
    </xf>
    <xf numFmtId="165" fontId="14" fillId="2" borderId="19" applyAlignment="1" pivotButton="0" quotePrefix="0" xfId="0">
      <alignment horizontal="center"/>
    </xf>
    <xf numFmtId="165" fontId="13" fillId="2" borderId="19" applyAlignment="1" pivotButton="0" quotePrefix="0" xfId="8">
      <alignment horizontal="center"/>
    </xf>
    <xf numFmtId="165" fontId="17" fillId="2" borderId="2" applyAlignment="1" pivotButton="0" quotePrefix="0" xfId="0">
      <alignment horizontal="center"/>
    </xf>
    <xf numFmtId="0" fontId="0" fillId="2" borderId="0" pivotButton="0" quotePrefix="0" xfId="0"/>
    <xf numFmtId="0" fontId="5" fillId="2" borderId="0" pivotButton="0" quotePrefix="0" xfId="1"/>
    <xf numFmtId="167" fontId="0" fillId="0" borderId="0" pivotButton="0" quotePrefix="0" xfId="0"/>
    <xf numFmtId="0" fontId="22" fillId="2" borderId="16" applyAlignment="1" pivotButton="0" quotePrefix="0" xfId="0">
      <alignment horizontal="center"/>
    </xf>
    <xf numFmtId="0" fontId="0" fillId="0" borderId="30" pivotButton="0" quotePrefix="0" xfId="0"/>
    <xf numFmtId="0" fontId="22" fillId="2" borderId="18" applyAlignment="1" pivotButton="0" quotePrefix="0" xfId="0">
      <alignment horizontal="center"/>
    </xf>
    <xf numFmtId="0" fontId="0" fillId="0" borderId="35" pivotButton="0" quotePrefix="0" xfId="0"/>
    <xf numFmtId="0" fontId="1" fillId="6" borderId="1" applyAlignment="1" pivotButton="0" quotePrefix="0" xfId="0">
      <alignment horizontal="center"/>
    </xf>
    <xf numFmtId="0" fontId="0" fillId="0" borderId="29" pivotButton="0" quotePrefix="0" xfId="0"/>
    <xf numFmtId="0" fontId="22" fillId="2" borderId="14" applyAlignment="1" pivotButton="0" quotePrefix="0" xfId="0">
      <alignment horizontal="center"/>
    </xf>
    <xf numFmtId="0" fontId="0" fillId="0" borderId="34" pivotButton="0" quotePrefix="0" xfId="0"/>
    <xf numFmtId="0" fontId="1" fillId="2" borderId="28" applyAlignment="1" pivotButton="0" quotePrefix="0" xfId="0">
      <alignment horizontal="center" vertical="center"/>
    </xf>
    <xf numFmtId="0" fontId="0" fillId="2" borderId="0" pivotButton="0" quotePrefix="0" xfId="0"/>
    <xf numFmtId="0" fontId="0" fillId="0" borderId="28" pivotButton="0" quotePrefix="0" xfId="0"/>
    <xf numFmtId="0" fontId="10" fillId="4" borderId="2" applyAlignment="1" pivotButton="0" quotePrefix="0" xfId="0">
      <alignment horizontal="center"/>
    </xf>
    <xf numFmtId="0" fontId="0" fillId="0" borderId="9" pivotButton="0" quotePrefix="0" xfId="0"/>
    <xf numFmtId="0" fontId="0" fillId="0" borderId="10" pivotButton="0" quotePrefix="0" xfId="0"/>
    <xf numFmtId="0" fontId="0" fillId="2" borderId="0" applyAlignment="1" pivotButton="0" quotePrefix="0" xfId="0">
      <alignment vertical="center" wrapText="1"/>
    </xf>
    <xf numFmtId="0" fontId="5" fillId="2" borderId="0" pivotButton="0" quotePrefix="0" xfId="1"/>
    <xf numFmtId="0" fontId="0" fillId="2" borderId="0" applyAlignment="1" pivotButton="0" quotePrefix="0" xfId="0">
      <alignment wrapText="1"/>
    </xf>
    <xf numFmtId="0" fontId="5" fillId="2" borderId="0" applyAlignment="1" pivotButton="0" quotePrefix="0" xfId="1">
      <alignment wrapText="1"/>
    </xf>
    <xf numFmtId="166" fontId="0" fillId="2" borderId="0" applyAlignment="1" pivotButton="0" quotePrefix="0" xfId="0">
      <alignment horizontal="left" vertical="center" wrapText="1"/>
    </xf>
    <xf numFmtId="0" fontId="24" fillId="4" borderId="2" applyAlignment="1" pivotButton="0" quotePrefix="0" xfId="0">
      <alignment horizontal="center" vertical="center" wrapText="1"/>
    </xf>
    <xf numFmtId="0" fontId="24" fillId="4" borderId="10" applyAlignment="1" pivotButton="0" quotePrefix="0" xfId="0">
      <alignment horizontal="center" vertical="center" wrapText="1"/>
    </xf>
    <xf numFmtId="169" fontId="0" fillId="0" borderId="0" pivotButton="0" quotePrefix="0" xfId="0"/>
  </cellXfs>
  <cellStyles count="9">
    <cellStyle name="Normal" xfId="0" builtinId="0"/>
    <cellStyle name="Hyperlink" xfId="1" builtinId="8"/>
    <cellStyle name="Normal 2" xfId="2"/>
    <cellStyle name="Normal 3" xfId="3"/>
    <cellStyle name="Normal 4" xfId="4"/>
    <cellStyle name="Normal 5" xfId="5"/>
    <cellStyle name="Normal 6" xfId="6"/>
    <cellStyle name="Normal 7" xfId="7"/>
    <cellStyle name="Per cent" xfId="8" builtinId="5"/>
  </cellStyles>
  <dxfs count="65">
    <dxf>
      <font>
        <b val="1"/>
        <color rgb="FF00B050"/>
      </font>
    </dxf>
    <dxf>
      <font>
        <b val="1"/>
        <color rgb="FFFF0000"/>
      </font>
    </dxf>
    <dxf>
      <font>
        <b val="1"/>
        <color theme="1"/>
      </font>
    </dxf>
    <dxf>
      <font>
        <b val="1"/>
        <color rgb="FF00B050"/>
      </font>
    </dxf>
    <dxf>
      <font>
        <b val="1"/>
        <color rgb="FFFF0000"/>
      </font>
    </dxf>
    <dxf>
      <font>
        <b val="1"/>
        <color theme="1"/>
      </font>
    </dxf>
    <dxf>
      <font>
        <b val="1"/>
        <color rgb="FF00B050"/>
      </font>
    </dxf>
    <dxf>
      <font>
        <b val="1"/>
        <color rgb="FFFF0000"/>
      </font>
    </dxf>
    <dxf>
      <font>
        <b val="1"/>
        <color theme="1"/>
      </font>
    </dxf>
    <dxf>
      <font>
        <b val="1"/>
        <color rgb="FF00B050"/>
      </font>
    </dxf>
    <dxf>
      <font>
        <b val="1"/>
        <color rgb="FFFF0000"/>
      </font>
    </dxf>
    <dxf>
      <font>
        <b val="1"/>
        <color theme="1"/>
      </font>
    </dxf>
    <dxf>
      <font>
        <color rgb="FF00B050"/>
      </font>
      <fill>
        <patternFill>
          <bgColor theme="0"/>
        </patternFill>
      </fill>
    </dxf>
    <dxf>
      <font>
        <color rgb="FFFF0000"/>
      </font>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theme="4" tint="0.3999450666829432"/>
        </bottom>
      </border>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indexed="64"/>
        </bottom>
      </border>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top style="medium">
          <color indexed="64"/>
        </top>
        <bottom style="thin">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indexed="64"/>
        </bottom>
      </border>
    </dxf>
    <dxf>
      <border>
        <bottom style="medium">
          <color indexed="64"/>
        </bottom>
      </border>
    </dxf>
    <dxf>
      <font>
        <name val="Calibri"/>
        <family val="2"/>
        <strike val="0"/>
        <outline val="0"/>
        <shadow val="0"/>
        <color theme="0"/>
        <sz val="11"/>
        <vertAlign val="baseline"/>
        <scheme val="minor"/>
      </font>
      <fill>
        <patternFill patternType="solid">
          <fgColor indexed="64"/>
          <bgColor rgb="FF00B050"/>
        </patternFill>
      </fill>
      <alignment horizontal="center" vertical="bottom"/>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
        </bottom>
      </border>
    </dxf>
    <dxf>
      <fill>
        <patternFill>
          <bgColor theme="0"/>
        </patternFill>
      </fill>
      <alignment horizontal="center" vertical="bottom"/>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
        </bottom>
      </border>
    </dxf>
    <dxf>
      <fill>
        <patternFill>
          <bgColor theme="0"/>
        </patternFill>
      </fill>
      <alignment horizontal="center" vertical="bottom"/>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
        </bottom>
      </border>
    </dxf>
    <dxf>
      <fill>
        <patternFill>
          <bgColor theme="0"/>
        </patternFill>
      </fill>
      <alignment horizontal="center" vertical="bottom"/>
    </dxf>
    <dxf>
      <border>
        <bottom style="thin">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border outline="0">
        <left style="thin">
          <color indexed="64"/>
        </left>
        <right style="thin">
          <color indexed="64"/>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styles" Target="styles.xml" Id="rId20"/><Relationship Type="http://schemas.openxmlformats.org/officeDocument/2006/relationships/theme" Target="theme/theme1.xml" Id="rId21"/><Relationship Type="http://schemas.microsoft.com/office/2006/relationships/vbaProject" Target="vbaProject.bin" Id="rId22"/></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Retail Sales mom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rgbClr val="00B050"/>
            </a:solidFill>
            <a:ln xmlns:a="http://schemas.openxmlformats.org/drawingml/2006/main" w="34925">
              <a:solidFill>
                <a:schemeClr val="accent1"/>
              </a:solidFill>
              <a:prstDash val="solid"/>
            </a:ln>
          </spPr>
          <invertIfNegative val="1"/>
          <cat>
            <numRef>
              <f>'Retail Sales ex Auto and Gas'!$A$8:$A$381</f>
              <numCache>
                <formatCode>[$-409]mmm\-yy;@</formatCode>
                <ptCount val="374"/>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numCache>
            </numRef>
          </cat>
          <val>
            <numRef>
              <f>'Retail Sales ex Auto and Gas'!$C$8:$C$381</f>
              <numCache>
                <formatCode>0.00%</formatCode>
                <ptCount val="374"/>
                <pt idx="0">
                  <v>-0.0001612711562293106</v>
                </pt>
                <pt idx="1">
                  <v>-0.0004159769090368861</v>
                </pt>
                <pt idx="2">
                  <v>0.00405109303076113</v>
                </pt>
                <pt idx="3">
                  <v>0.001370291736802483</v>
                </pt>
                <pt idx="4">
                  <v>0.0002111754022891414</v>
                </pt>
                <pt idx="5">
                  <v>0.005759648678321088</v>
                </pt>
                <pt idx="6">
                  <v>0.008657172606052463</v>
                </pt>
                <pt idx="7">
                  <v>0.001173796858220324</v>
                </pt>
                <pt idx="8">
                  <v>0.009021818665602341</v>
                </pt>
                <pt idx="9">
                  <v>0.003032575464157101</v>
                </pt>
                <pt idx="10">
                  <v>0.01348209370917785</v>
                </pt>
                <pt idx="11">
                  <v>0.005925841858655296</v>
                </pt>
                <pt idx="12">
                  <v>-0.005350998073963042</v>
                </pt>
                <pt idx="13">
                  <v>-0.004545270407129836</v>
                </pt>
                <pt idx="14">
                  <v>0.0148538221122542</v>
                </pt>
                <pt idx="15">
                  <v>0.0097041439100482</v>
                </pt>
                <pt idx="16">
                  <v>-0.0007545731101915028</v>
                </pt>
                <pt idx="17">
                  <v>0.009117357158754889</v>
                </pt>
                <pt idx="18">
                  <v>-0.0009452465912044805</v>
                </pt>
                <pt idx="19">
                  <v>0.01043120372779525</v>
                </pt>
                <pt idx="20">
                  <v>0.0009207672019601417</v>
                </pt>
                <pt idx="21">
                  <v>0.005020581264812274</v>
                </pt>
                <pt idx="22">
                  <v>0.008222408389959353</v>
                </pt>
                <pt idx="23">
                  <v>-0.008847787283806242</v>
                </pt>
                <pt idx="24">
                  <v>0.01310294505767469</v>
                </pt>
                <pt idx="25">
                  <v>0.02052653355195611</v>
                </pt>
                <pt idx="26">
                  <v>-0.003701395718994241</v>
                </pt>
                <pt idx="27">
                  <v>0.002697814619442351</v>
                </pt>
                <pt idx="28">
                  <v>0.01106284477445926</v>
                </pt>
                <pt idx="29">
                  <v>0.003077380509923437</v>
                </pt>
                <pt idx="30">
                  <v>0.009648446763101731</v>
                </pt>
                <pt idx="31">
                  <v>0.004080853749834857</v>
                </pt>
                <pt idx="32">
                  <v>0.007448721509919445</v>
                </pt>
                <pt idx="33">
                  <v>-0.00124073980017559</v>
                </pt>
                <pt idx="34">
                  <v>0.008906647293861243</v>
                </pt>
                <pt idx="35">
                  <v>0.004017972867882139</v>
                </pt>
                <pt idx="36">
                  <v>-0.01362651863964313</v>
                </pt>
                <pt idx="37">
                  <v>0.00807800253028342</v>
                </pt>
                <pt idx="38">
                  <v>0.002235926286559198</v>
                </pt>
                <pt idx="39">
                  <v>0.007901838724767012</v>
                </pt>
                <pt idx="40">
                  <v>0.003298751187050617</v>
                </pt>
                <pt idx="41">
                  <v>0.002305803650855781</v>
                </pt>
                <pt idx="42">
                  <v>0.005019916358395046</v>
                </pt>
                <pt idx="43">
                  <v>0.007615898718437823</v>
                </pt>
                <pt idx="44">
                  <v>-0.005090307381646847</v>
                </pt>
                <pt idx="45">
                  <v>0.01354494073207515</v>
                </pt>
                <pt idx="46">
                  <v>0.008135168961201502</v>
                </pt>
                <pt idx="47">
                  <v>-0.01461480102076005</v>
                </pt>
                <pt idx="48">
                  <v>0.009743054923672403</v>
                </pt>
                <pt idx="49">
                  <v>0.009212341348786591</v>
                </pt>
                <pt idx="50">
                  <v>0.008935930545634376</v>
                </pt>
                <pt idx="51">
                  <v>0.004887911609130455</v>
                </pt>
                <pt idx="52">
                  <v>0.002079790801498533</v>
                </pt>
                <pt idx="53">
                  <v>0.002264768317581363</v>
                </pt>
                <pt idx="54">
                  <v>0.003824543179564663</v>
                </pt>
                <pt idx="55">
                  <v>0.00782152936433275</v>
                </pt>
                <pt idx="56">
                  <v>0.008440900362705355</v>
                </pt>
                <pt idx="57">
                  <v>0.002651239669421488</v>
                </pt>
                <pt idx="58">
                  <v>0.004919189454734884</v>
                </pt>
                <pt idx="59">
                  <v>0.0008924060184911777</v>
                </pt>
                <pt idx="60">
                  <v>0.008548969731140147</v>
                </pt>
                <pt idx="61">
                  <v>0.00729343395932058</v>
                </pt>
                <pt idx="62">
                  <v>-0.005278815686730038</v>
                </pt>
                <pt idx="63">
                  <v>0.001492140313089963</v>
                </pt>
                <pt idx="64">
                  <v>0.008045552597314263</v>
                </pt>
                <pt idx="65">
                  <v>0.00924729939015378</v>
                </pt>
                <pt idx="66">
                  <v>0.0005539566513002063</v>
                </pt>
                <pt idx="67">
                  <v>0.006885623556214562</v>
                </pt>
                <pt idx="68">
                  <v>0.0003033731299890659</v>
                </pt>
                <pt idx="69">
                  <v>0.001383720122070652</v>
                </pt>
                <pt idx="70">
                  <v>0.002485992630356872</v>
                </pt>
                <pt idx="71">
                  <v>0.006205863471003638</v>
                </pt>
                <pt idx="72">
                  <v>0.005761002827332549</v>
                </pt>
                <pt idx="73">
                  <v>0.002836014901516895</v>
                </pt>
                <pt idx="74">
                  <v>0.009172377438060094</v>
                </pt>
                <pt idx="75">
                  <v>0.002531894496202158</v>
                </pt>
                <pt idx="76">
                  <v>0.003910847391133778</v>
                </pt>
                <pt idx="77">
                  <v>0.007510349628146104</v>
                </pt>
                <pt idx="78">
                  <v>0.003193861966982619</v>
                </pt>
                <pt idx="79">
                  <v>6.645280944354834e-05</v>
                </pt>
                <pt idx="80">
                  <v>0.01066194681712194</v>
                </pt>
                <pt idx="81">
                  <v>0.006891522769519506</v>
                </pt>
                <pt idx="82">
                  <v>0.00711148047014128</v>
                </pt>
                <pt idx="83">
                  <v>0.001656273208454656</v>
                </pt>
                <pt idx="84">
                  <v>0.01183954242404628</v>
                </pt>
                <pt idx="85">
                  <v>0.003175323202540259</v>
                </pt>
                <pt idx="86">
                  <v>0.004144999623181852</v>
                </pt>
                <pt idx="87">
                  <v>0.00650070433919128</v>
                </pt>
                <pt idx="88">
                  <v>0.003378494648326813</v>
                </pt>
                <pt idx="89">
                  <v>0.001806467840870763</v>
                </pt>
                <pt idx="90">
                  <v>0.00649954634421917</v>
                </pt>
                <pt idx="91">
                  <v>0.008198115453957888</v>
                </pt>
                <pt idx="92">
                  <v>0.004718042153091751</v>
                </pt>
                <pt idx="93">
                  <v>0.005804093649079013</v>
                </pt>
                <pt idx="94">
                  <v>0.02312135511730401</v>
                </pt>
                <pt idx="95">
                  <v>-0.01551188682631799</v>
                </pt>
                <pt idx="96">
                  <v>0.009469247045694365</v>
                </pt>
                <pt idx="97">
                  <v>0.01761702267391269</v>
                </pt>
                <pt idx="98">
                  <v>-0.00329676239647198</v>
                </pt>
                <pt idx="99">
                  <v>0.0002374181851538092</v>
                </pt>
                <pt idx="100">
                  <v>0.002848341973663626</v>
                </pt>
                <pt idx="101">
                  <v>0.003340523617663355</v>
                </pt>
                <pt idx="102">
                  <v>0.002750375294874544</v>
                </pt>
                <pt idx="103">
                  <v>0.01250046783187994</v>
                </pt>
                <pt idx="104">
                  <v>-0.0003379609338283053</v>
                </pt>
                <pt idx="105">
                  <v>0.0009032946483753903</v>
                </pt>
                <pt idx="106">
                  <v>0.00350964228037028</v>
                </pt>
                <pt idx="107">
                  <v>0.004386172512267084</v>
                </pt>
                <pt idx="108">
                  <v>-3.665362844740466e-05</v>
                </pt>
                <pt idx="109">
                  <v>-0.004414305911923338</v>
                </pt>
                <pt idx="110">
                  <v>0.01120303796935732</v>
                </pt>
                <pt idx="111">
                  <v>-0.002226186822846503</v>
                </pt>
                <pt idx="112">
                  <v>-0.0003440564252537416</v>
                </pt>
                <pt idx="113">
                  <v>0.005152193071656159</v>
                </pt>
                <pt idx="114">
                  <v>0.007439650118546726</v>
                </pt>
                <pt idx="115">
                  <v>-0.0173339856322579</v>
                </pt>
                <pt idx="116">
                  <v>0.01694275727259864</v>
                </pt>
                <pt idx="117">
                  <v>0.007219714303382599</v>
                </pt>
                <pt idx="118">
                  <v>0.005535857725386666</v>
                </pt>
                <pt idx="119">
                  <v>0.0009056910982776605</v>
                </pt>
                <pt idx="120">
                  <v>0.005617320665131435</v>
                </pt>
                <pt idx="121">
                  <v>0.0003083642540112629</v>
                </pt>
                <pt idx="122">
                  <v>0.009333986931407577</v>
                </pt>
                <pt idx="123">
                  <v>-0.003840261157786167</v>
                </pt>
                <pt idx="124">
                  <v>0.001638528541056197</v>
                </pt>
                <pt idx="125">
                  <v>-0.001415058835336327</v>
                </pt>
                <pt idx="126">
                  <v>0.001311538017014819</v>
                </pt>
                <pt idx="127">
                  <v>-0.0009635458487233017</v>
                </pt>
                <pt idx="128">
                  <v>0.006490114129561164</v>
                </pt>
                <pt idx="129">
                  <v>0.005889281507656066</v>
                </pt>
                <pt idx="130">
                  <v>0.0007194458778232048</v>
                </pt>
                <pt idx="131">
                  <v>0.004030958555003</v>
                </pt>
                <pt idx="132">
                  <v>-0.008666581070804239</v>
                </pt>
                <pt idx="133">
                  <v>0.01485451837387358</v>
                </pt>
                <pt idx="134">
                  <v>-0.001423459595835644</v>
                </pt>
                <pt idx="135">
                  <v>0.007378133003013188</v>
                </pt>
                <pt idx="136">
                  <v>0.01260856836147165</v>
                </pt>
                <pt idx="137">
                  <v>0.009531427690291243</v>
                </pt>
                <pt idx="138">
                  <v>0.01105001384234995</v>
                </pt>
                <pt idx="139">
                  <v>-0.001331337900168542</v>
                </pt>
                <pt idx="140">
                  <v>0.003512421112345475</v>
                </pt>
                <pt idx="141">
                  <v>0.004894525103873223</v>
                </pt>
                <pt idx="142">
                  <v>-3.281501239938683e-05</v>
                </pt>
                <pt idx="143">
                  <v>0.008368102761239511</v>
                </pt>
                <pt idx="144">
                  <v>-0.0002371045352053744</v>
                </pt>
                <pt idx="145">
                  <v>0.01884265545655773</v>
                </pt>
                <pt idx="146">
                  <v>-0.004847190272757148</v>
                </pt>
                <pt idx="147">
                  <v>0.005035911830265005</v>
                </pt>
                <pt idx="148">
                  <v>-0.0009811437854808974</v>
                </pt>
                <pt idx="149">
                  <v>0.007532535161727961</v>
                </pt>
                <pt idx="150">
                  <v>0.002239692427663375</v>
                </pt>
                <pt idx="151">
                  <v>0.007323803492264544</v>
                </pt>
                <pt idx="152">
                  <v>0.006947219989311969</v>
                </pt>
                <pt idx="153">
                  <v>0.003808657336794127</v>
                </pt>
                <pt idx="154">
                  <v>0.01048960369646348</v>
                </pt>
                <pt idx="155">
                  <v>0.003504205486257975</v>
                </pt>
                <pt idx="156">
                  <v>0.008762782709277158</v>
                </pt>
                <pt idx="157">
                  <v>-0.001311686168225923</v>
                </pt>
                <pt idx="158">
                  <v>0.0129992693619094</v>
                </pt>
                <pt idx="159">
                  <v>-0.003297198669099496</v>
                </pt>
                <pt idx="160">
                  <v>0.009963085325878609</v>
                </pt>
                <pt idx="161">
                  <v>-0.002025845523947627</v>
                </pt>
                <pt idx="162">
                  <v>0.009085664223594522</v>
                </pt>
                <pt idx="163">
                  <v>0.004624747481164319</v>
                </pt>
                <pt idx="164">
                  <v>0.01315273614852474</v>
                </pt>
                <pt idx="165">
                  <v>0.002479892482513845</v>
                </pt>
                <pt idx="166">
                  <v>-4.150600384345595e-05</v>
                </pt>
                <pt idx="167">
                  <v>0.02223568917353965</v>
                </pt>
                <pt idx="168">
                  <v>0.0006009517776803261</v>
                </pt>
                <pt idx="169">
                  <v>0.001773366230561958</v>
                </pt>
                <pt idx="170">
                  <v>7.291552736155165e-05</v>
                </pt>
                <pt idx="171">
                  <v>-0.001680985422008352</v>
                </pt>
                <pt idx="172">
                  <v>-0.0007384445598545833</v>
                </pt>
                <pt idx="173">
                  <v>-0.0008242583704858657</v>
                </pt>
                <pt idx="174">
                  <v>0.007026198903604127</v>
                </pt>
                <pt idx="175">
                  <v>0.006613991477272727</v>
                </pt>
                <pt idx="176">
                  <v>0.002629817155548072</v>
                </pt>
                <pt idx="177">
                  <v>-0.0008916326473492921</v>
                </pt>
                <pt idx="178">
                  <v>0.01407475588282375</v>
                </pt>
                <pt idx="179">
                  <v>0.002273112941352897</v>
                </pt>
                <pt idx="180">
                  <v>-0.002913695550314403</v>
                </pt>
                <pt idx="181">
                  <v>0.009690680124628306</v>
                </pt>
                <pt idx="182">
                  <v>-0.008037170446678947</v>
                </pt>
                <pt idx="183">
                  <v>0.008358566742366893</v>
                </pt>
                <pt idx="184">
                  <v>0.001165191279051581</v>
                </pt>
                <pt idx="185">
                  <v>0.00651825815270455</v>
                </pt>
                <pt idx="186">
                  <v>-0.0005160659477958552</v>
                </pt>
                <pt idx="187">
                  <v>-0.0003998664523693058</v>
                </pt>
                <pt idx="188">
                  <v>0.00342546886590571</v>
                </pt>
                <pt idx="189">
                  <v>0.01002070713912488</v>
                </pt>
                <pt idx="190">
                  <v>-0.006108356262023192</v>
                </pt>
                <pt idx="191">
                  <v>-0.001469000616903146</v>
                </pt>
                <pt idx="192">
                  <v>-0.007166604242042791</v>
                </pt>
                <pt idx="193">
                  <v>0.003126908133461417</v>
                </pt>
                <pt idx="194">
                  <v>0.006435929545956801</v>
                </pt>
                <pt idx="195">
                  <v>0.01141043272582988</v>
                </pt>
                <pt idx="196">
                  <v>0.0007541449405634757</v>
                </pt>
                <pt idx="197">
                  <v>0.004114223949274397</v>
                </pt>
                <pt idx="198">
                  <v>-0.008240217111148172</v>
                </pt>
                <pt idx="199">
                  <v>-0.01242480527719813</v>
                </pt>
                <pt idx="200">
                  <v>-0.01020111995603766</v>
                </pt>
                <pt idx="201">
                  <v>-0.01242146172101952</v>
                </pt>
                <pt idx="202">
                  <v>-0.01037649946553704</v>
                </pt>
                <pt idx="203">
                  <v>0.009409166736675348</v>
                </pt>
                <pt idx="204">
                  <v>-0.003142822040178978</v>
                </pt>
                <pt idx="205">
                  <v>-0.01473394612130657</v>
                </pt>
                <pt idx="206">
                  <v>0.004947099127599648</v>
                </pt>
                <pt idx="207">
                  <v>0.002533648132086987</v>
                </pt>
                <pt idx="208">
                  <v>0.0008731210874763196</v>
                </pt>
                <pt idx="209">
                  <v>-0.0007763198437756355</v>
                </pt>
                <pt idx="210">
                  <v>0.0001762093366919901</v>
                </pt>
                <pt idx="211">
                  <v>0.001705726194909248</v>
                </pt>
                <pt idx="212">
                  <v>0.0005076487070946905</v>
                </pt>
                <pt idx="213">
                  <v>0.0005872952457051539</v>
                </pt>
                <pt idx="214">
                  <v>0.00544626208339489</v>
                </pt>
                <pt idx="215">
                  <v>0.0001389931337391933</v>
                </pt>
                <pt idx="216">
                  <v>0.008878441587319234</v>
                </pt>
                <pt idx="217">
                  <v>0.008886894781999511</v>
                </pt>
                <pt idx="218">
                  <v>0.008114223297183427</v>
                </pt>
                <pt idx="219">
                  <v>-0.009062766039780203</v>
                </pt>
                <pt idx="220">
                  <v>0.002553909355743172</v>
                </pt>
                <pt idx="221">
                  <v>-0.001289282208684543</v>
                </pt>
                <pt idx="222">
                  <v>0.005620102885714174</v>
                </pt>
                <pt idx="223">
                  <v>0.004603594449313921</v>
                </pt>
                <pt idx="224">
                  <v>0.004296816186604589</v>
                </pt>
                <pt idx="225">
                  <v>0.009241106780143152</v>
                </pt>
                <pt idx="226">
                  <v>0.0004113564861014832</v>
                </pt>
                <pt idx="227">
                  <v>0.005235024024001157</v>
                </pt>
                <pt idx="228">
                  <v>0.005628169632881237</v>
                </pt>
                <pt idx="229">
                  <v>0.006402651450953807</v>
                </pt>
                <pt idx="230">
                  <v>0.007114121587485732</v>
                </pt>
                <pt idx="231">
                  <v>-0.0001932252262964669</v>
                </pt>
                <pt idx="232">
                  <v>0.01065174084976065</v>
                </pt>
                <pt idx="233">
                  <v>-0.00113264443055198</v>
                </pt>
                <pt idx="234">
                  <v>0.005076908350575432</v>
                </pt>
                <pt idx="235">
                  <v>0.003146508620847543</v>
                </pt>
                <pt idx="236">
                  <v>0.005542978164025414</v>
                </pt>
                <pt idx="237">
                  <v>0.0006173332655477198</v>
                </pt>
                <pt idx="238">
                  <v>-0.002446034810631905</v>
                </pt>
                <pt idx="239">
                  <v>0.01198731054956089</v>
                </pt>
                <pt idx="240">
                  <v>0.008584709295428318</v>
                </pt>
                <pt idx="241">
                  <v>0.00359998146544196</v>
                </pt>
                <pt idx="242">
                  <v>-0.00475197732688845</v>
                </pt>
                <pt idx="243">
                  <v>-0.0009777717509608214</v>
                </pt>
                <pt idx="244">
                  <v>-0.001328784983300888</v>
                </pt>
                <pt idx="245">
                  <v>0.004957382959622008</v>
                </pt>
                <pt idx="246">
                  <v>0.00338471503973748</v>
                </pt>
                <pt idx="247">
                  <v>0.004628972758229285</v>
                </pt>
                <pt idx="248">
                  <v>-0.001585312031070703</v>
                </pt>
                <pt idx="249">
                  <v>0.006651908224177441</v>
                </pt>
                <pt idx="250">
                  <v>0.00577185876335379</v>
                </pt>
                <pt idx="251">
                  <v>0.008278030038421237</v>
                </pt>
                <pt idx="252">
                  <v>0.002483805036893339</v>
                </pt>
                <pt idx="253">
                  <v>-0.002837031380124194</v>
                </pt>
                <pt idx="254">
                  <v>-0.003416895961409175</v>
                </pt>
                <pt idx="255">
                  <v>0.005306349537519995</v>
                </pt>
                <pt idx="256">
                  <v>-0.002383208926829606</v>
                </pt>
                <pt idx="257">
                  <v>0.00838369444242191</v>
                </pt>
                <pt idx="258">
                  <v>-0.0006395378823043994</v>
                </pt>
                <pt idx="259">
                  <v>0.004431462003997949</v>
                </pt>
                <pt idx="260">
                  <v>0.003394568006110908</v>
                </pt>
                <pt idx="261">
                  <v>0.004236535940572428</v>
                </pt>
                <pt idx="262">
                  <v>0.002287800550023966</v>
                </pt>
                <pt idx="263">
                  <v>-0.006247413869123124</v>
                </pt>
                <pt idx="264">
                  <v>0.009843003412969283</v>
                </pt>
                <pt idx="265">
                  <v>0.007824012112855038</v>
                </pt>
                <pt idx="266">
                  <v>0.008631819690877568</v>
                </pt>
                <pt idx="267">
                  <v>0.003421184747301121</v>
                </pt>
                <pt idx="268">
                  <v>0.005841578253291894</v>
                </pt>
                <pt idx="269">
                  <v>0.001703094889068239</v>
                </pt>
                <pt idx="270">
                  <v>0.007682138370571096</v>
                </pt>
                <pt idx="271">
                  <v>0.001481636196307006</v>
                </pt>
                <pt idx="272">
                  <v>0.006507599259626164</v>
                </pt>
                <pt idx="273">
                  <v>0.003632607998860358</v>
                </pt>
                <pt idx="274">
                  <v>0.00260975318638283</v>
                </pt>
                <pt idx="275">
                  <v>0.002014157014157014</v>
                </pt>
                <pt idx="276">
                  <v>-0.002780756905332246</v>
                </pt>
                <pt idx="277">
                  <v>0.006768418341061309</v>
                </pt>
                <pt idx="278">
                  <v>0.002868912755627483</v>
                </pt>
                <pt idx="279">
                  <v>0.003406057552167216</v>
                </pt>
                <pt idx="280">
                  <v>0.0001048861032269958</v>
                </pt>
                <pt idx="281">
                  <v>0.008809508676031272</v>
                </pt>
                <pt idx="282">
                  <v>0.001543637692482169</v>
                </pt>
                <pt idx="283">
                  <v>0.000355433093651902</v>
                </pt>
                <pt idx="284">
                  <v>-0.0005188108227081925</v>
                </pt>
                <pt idx="285">
                  <v>0.003296945292100544</v>
                </pt>
                <pt idx="286">
                  <v>0.008199599897152247</v>
                </pt>
                <pt idx="287">
                  <v>-0.004761564131830947</v>
                </pt>
                <pt idx="288">
                  <v>0.01225929837938513</v>
                </pt>
                <pt idx="289">
                  <v>-0.002355483522420313</v>
                </pt>
                <pt idx="290">
                  <v>0.001067576014506656</v>
                </pt>
                <pt idx="291">
                  <v>0.001814489330988201</v>
                </pt>
                <pt idx="292">
                  <v>0.009426277561448222</v>
                </pt>
                <pt idx="293">
                  <v>-0.005780240807705357</v>
                </pt>
                <pt idx="294">
                  <v>0.003474165124301324</v>
                </pt>
                <pt idx="295">
                  <v>0.003615328994938539</v>
                </pt>
                <pt idx="296">
                  <v>0.0006380354613393249</v>
                </pt>
                <pt idx="297">
                  <v>0.0008359341869624775</v>
                </pt>
                <pt idx="298">
                  <v>0.005352826237383822</v>
                </pt>
                <pt idx="299">
                  <v>0.01278626590703047</v>
                </pt>
                <pt idx="300">
                  <v>0.0006825856824659305</v>
                </pt>
                <pt idx="301">
                  <v>0.003925182197862691</v>
                </pt>
                <pt idx="302">
                  <v>0.004648889630592077</v>
                </pt>
                <pt idx="303">
                  <v>-0.003565453660967478</v>
                </pt>
                <pt idx="304">
                  <v>0.004765987342299701</v>
                </pt>
                <pt idx="305">
                  <v>-7.703178746337287e-05</v>
                </pt>
                <pt idx="306">
                  <v>0.00510523056501243</v>
                </pt>
                <pt idx="307">
                  <v>0.01005247332114852</v>
                </pt>
                <pt idx="308">
                  <v>-0.000452383037095409</v>
                </pt>
                <pt idx="309">
                  <v>0.01369735017154537</v>
                </pt>
                <pt idx="310">
                  <v>0.008215090187403145</v>
                </pt>
                <pt idx="311">
                  <v>-0.00560256901073659</v>
                </pt>
                <pt idx="312">
                  <v>0.008380811188971922</v>
                </pt>
                <pt idx="313">
                  <v>-0.0008519149566634565</v>
                </pt>
                <pt idx="314">
                  <v>0.002897269551579098</v>
                </pt>
                <pt idx="315">
                  <v>0.01296308407096002</v>
                </pt>
                <pt idx="316">
                  <v>-0.002981052631578947</v>
                </pt>
                <pt idx="317">
                  <v>0.007336959581967859</v>
                </pt>
                <pt idx="318">
                  <v>5.589808660849539e-05</v>
                </pt>
                <pt idx="319">
                  <v>-0.002532041787073731</v>
                </pt>
                <pt idx="320">
                  <v>0.008635278559180518</v>
                </pt>
                <pt idx="321">
                  <v>0.006675185421817273</v>
                </pt>
                <pt idx="322">
                  <v>-0.02023493831282613</v>
                </pt>
                <pt idx="323">
                  <v>0.01827860079986481</v>
                </pt>
                <pt idx="324">
                  <v>-0.004040934863780943</v>
                </pt>
                <pt idx="325">
                  <v>0.008025793623243143</v>
                </pt>
                <pt idx="326">
                  <v>0.003879012284457228</v>
                </pt>
                <pt idx="327">
                  <v>0.00547220400288704</v>
                </pt>
                <pt idx="328">
                  <v>0.005996489992657917</v>
                </pt>
                <pt idx="329">
                  <v>0.01057306730190082</v>
                </pt>
                <pt idx="330">
                  <v>0.0005799046915900396</v>
                </pt>
                <pt idx="331">
                  <v>-0.002710019828758945</v>
                </pt>
                <pt idx="332">
                  <v>0.003346956126355665</v>
                </pt>
                <pt idx="333">
                  <v>-0.0003110545015753838</v>
                </pt>
                <pt idx="334">
                  <v>0.01310322443932416</v>
                </pt>
                <pt idx="335">
                  <v>0.0002329928460605676</v>
                </pt>
                <pt idx="336">
                  <v>0.007641973413238323</v>
                </pt>
                <pt idx="337">
                  <v>-0.02945603660923269</v>
                </pt>
                <pt idx="338">
                  <v>-0.148163786756745</v>
                </pt>
                <pt idx="339">
                  <v>0.1298059202582646</v>
                </pt>
                <pt idx="340">
                  <v>0.08124184403545875</v>
                </pt>
                <pt idx="341">
                  <v>0.02692642832060969</v>
                </pt>
                <pt idx="342">
                  <v>0.004665570772554691</v>
                </pt>
                <pt idx="343">
                  <v>0.01885798275049225</v>
                </pt>
                <pt idx="344">
                  <v>-0.003632503482798809</v>
                </pt>
                <pt idx="345">
                  <v>-0.009802290264018616</v>
                </pt>
                <pt idx="346">
                  <v>-0.01542709812045727</v>
                </pt>
                <pt idx="347">
                  <v>0.06145000929787066</v>
                </pt>
                <pt idx="348">
                  <v>-0.02043985159088618</v>
                </pt>
                <pt idx="349">
                  <v>0.09876056241409809</v>
                </pt>
                <pt idx="350">
                  <v>-0.004622279700321085</v>
                </pt>
                <pt idx="351">
                  <v>-0.001877210706821354</v>
                </pt>
                <pt idx="352">
                  <v>0.02142204686591751</v>
                </pt>
                <pt idx="353">
                  <v>-0.01381851580043681</v>
                </pt>
                <pt idx="354">
                  <v>0.01486548209212945</v>
                </pt>
                <pt idx="355">
                  <v>0.007666351260271747</v>
                </pt>
                <pt idx="356">
                  <v>0.01146868443470323</v>
                </pt>
                <pt idx="357">
                  <v>0.003463628667989222</v>
                </pt>
                <pt idx="358">
                  <v>-0.01756961840549005</v>
                </pt>
                <pt idx="359">
                  <v>0.02031131193245877</v>
                </pt>
                <pt idx="360">
                  <v>0.01184011032781409</v>
                </pt>
                <pt idx="361">
                  <v>0.009056065489808487</v>
                </pt>
                <pt idx="362">
                  <v>0.006940307898821259</v>
                </pt>
                <pt idx="363">
                  <v>0.007598591094567882</v>
                </pt>
                <pt idx="364">
                  <v>0.009174406754083314</v>
                </pt>
                <pt idx="365">
                  <v>0.002247144978747376</v>
                </pt>
                <pt idx="366">
                  <v>0.005849507022678592</v>
                </pt>
                <pt idx="367">
                  <v>0.002812242194199141</v>
                </pt>
              </numCache>
            </numRef>
          </val>
        </ser>
        <dLbls>
          <showLegendKey val="0"/>
          <showVal val="0"/>
          <showCatName val="0"/>
          <showSerName val="0"/>
          <showPercent val="0"/>
          <showBubbleSize val="0"/>
        </dLbls>
        <gapWidth val="219"/>
        <axId val="1023425784"/>
        <axId val="1023428408"/>
      </barChart>
      <dateAx>
        <axId val="1023425784"/>
        <scaling>
          <orientation val="minMax"/>
          <min val="42401"/>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23428408"/>
        <crosses val="autoZero"/>
        <lblOffset val="100"/>
        <baseTimeUnit val="months"/>
      </dateAx>
      <valAx>
        <axId val="1023428408"/>
        <scaling>
          <orientation val="minMax"/>
          <max val="0.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23425784"/>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Retail Sales mom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rgbClr val="00B050"/>
            </a:solidFill>
            <a:ln xmlns:a="http://schemas.openxmlformats.org/drawingml/2006/main">
              <a:noFill/>
              <a:prstDash val="solid"/>
            </a:ln>
          </spPr>
          <invertIfNegative val="1"/>
          <cat>
            <numRef>
              <f>'Retail Sales ex Auto and Gas'!$A$8:$A$378</f>
              <numCache>
                <formatCode>[$-409]mmm\-yy;@</formatCode>
                <ptCount val="371"/>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numCache>
            </numRef>
          </cat>
          <val>
            <numRef>
              <f>'Retail Sales ex Auto and Gas'!$C$8:$C$378</f>
              <numCache>
                <formatCode>0.00%</formatCode>
                <ptCount val="371"/>
                <pt idx="0">
                  <v>-0.0001612711562293106</v>
                </pt>
                <pt idx="1">
                  <v>-0.0004159769090368861</v>
                </pt>
                <pt idx="2">
                  <v>0.00405109303076113</v>
                </pt>
                <pt idx="3">
                  <v>0.001370291736802483</v>
                </pt>
                <pt idx="4">
                  <v>0.0002111754022891414</v>
                </pt>
                <pt idx="5">
                  <v>0.005759648678321088</v>
                </pt>
                <pt idx="6">
                  <v>0.008657172606052463</v>
                </pt>
                <pt idx="7">
                  <v>0.001173796858220324</v>
                </pt>
                <pt idx="8">
                  <v>0.009021818665602341</v>
                </pt>
                <pt idx="9">
                  <v>0.003032575464157101</v>
                </pt>
                <pt idx="10">
                  <v>0.01348209370917785</v>
                </pt>
                <pt idx="11">
                  <v>0.005925841858655296</v>
                </pt>
                <pt idx="12">
                  <v>-0.005350998073963042</v>
                </pt>
                <pt idx="13">
                  <v>-0.004545270407129836</v>
                </pt>
                <pt idx="14">
                  <v>0.0148538221122542</v>
                </pt>
                <pt idx="15">
                  <v>0.0097041439100482</v>
                </pt>
                <pt idx="16">
                  <v>-0.0007545731101915028</v>
                </pt>
                <pt idx="17">
                  <v>0.009117357158754889</v>
                </pt>
                <pt idx="18">
                  <v>-0.0009452465912044805</v>
                </pt>
                <pt idx="19">
                  <v>0.01043120372779525</v>
                </pt>
                <pt idx="20">
                  <v>0.0009207672019601417</v>
                </pt>
                <pt idx="21">
                  <v>0.005020581264812274</v>
                </pt>
                <pt idx="22">
                  <v>0.008222408389959353</v>
                </pt>
                <pt idx="23">
                  <v>-0.008847787283806242</v>
                </pt>
                <pt idx="24">
                  <v>0.01310294505767469</v>
                </pt>
                <pt idx="25">
                  <v>0.02052653355195611</v>
                </pt>
                <pt idx="26">
                  <v>-0.003701395718994241</v>
                </pt>
                <pt idx="27">
                  <v>0.002697814619442351</v>
                </pt>
                <pt idx="28">
                  <v>0.01106284477445926</v>
                </pt>
                <pt idx="29">
                  <v>0.003077380509923437</v>
                </pt>
                <pt idx="30">
                  <v>0.009648446763101731</v>
                </pt>
                <pt idx="31">
                  <v>0.004080853749834857</v>
                </pt>
                <pt idx="32">
                  <v>0.007448721509919445</v>
                </pt>
                <pt idx="33">
                  <v>-0.00124073980017559</v>
                </pt>
                <pt idx="34">
                  <v>0.008906647293861243</v>
                </pt>
                <pt idx="35">
                  <v>0.004017972867882139</v>
                </pt>
                <pt idx="36">
                  <v>-0.01362651863964313</v>
                </pt>
                <pt idx="37">
                  <v>0.00807800253028342</v>
                </pt>
                <pt idx="38">
                  <v>0.002235926286559198</v>
                </pt>
                <pt idx="39">
                  <v>0.007901838724767012</v>
                </pt>
                <pt idx="40">
                  <v>0.003298751187050617</v>
                </pt>
                <pt idx="41">
                  <v>0.002305803650855781</v>
                </pt>
                <pt idx="42">
                  <v>0.005019916358395046</v>
                </pt>
                <pt idx="43">
                  <v>0.007615898718437823</v>
                </pt>
                <pt idx="44">
                  <v>-0.005090307381646847</v>
                </pt>
                <pt idx="45">
                  <v>0.01354494073207515</v>
                </pt>
                <pt idx="46">
                  <v>0.008135168961201502</v>
                </pt>
                <pt idx="47">
                  <v>-0.01461480102076005</v>
                </pt>
                <pt idx="48">
                  <v>0.009743054923672403</v>
                </pt>
                <pt idx="49">
                  <v>0.009212341348786591</v>
                </pt>
                <pt idx="50">
                  <v>0.008935930545634376</v>
                </pt>
                <pt idx="51">
                  <v>0.004887911609130455</v>
                </pt>
                <pt idx="52">
                  <v>0.002079790801498533</v>
                </pt>
                <pt idx="53">
                  <v>0.002264768317581363</v>
                </pt>
                <pt idx="54">
                  <v>0.003824543179564663</v>
                </pt>
                <pt idx="55">
                  <v>0.00782152936433275</v>
                </pt>
                <pt idx="56">
                  <v>0.008440900362705355</v>
                </pt>
                <pt idx="57">
                  <v>0.002651239669421488</v>
                </pt>
                <pt idx="58">
                  <v>0.004919189454734884</v>
                </pt>
                <pt idx="59">
                  <v>0.0008924060184911777</v>
                </pt>
                <pt idx="60">
                  <v>0.008548969731140147</v>
                </pt>
                <pt idx="61">
                  <v>0.00729343395932058</v>
                </pt>
                <pt idx="62">
                  <v>-0.005278815686730038</v>
                </pt>
                <pt idx="63">
                  <v>0.001492140313089963</v>
                </pt>
                <pt idx="64">
                  <v>0.008045552597314263</v>
                </pt>
                <pt idx="65">
                  <v>0.00924729939015378</v>
                </pt>
                <pt idx="66">
                  <v>0.0005539566513002063</v>
                </pt>
                <pt idx="67">
                  <v>0.006885623556214562</v>
                </pt>
                <pt idx="68">
                  <v>0.0003033731299890659</v>
                </pt>
                <pt idx="69">
                  <v>0.001383720122070652</v>
                </pt>
                <pt idx="70">
                  <v>0.002485992630356872</v>
                </pt>
                <pt idx="71">
                  <v>0.006205863471003638</v>
                </pt>
                <pt idx="72">
                  <v>0.005761002827332549</v>
                </pt>
                <pt idx="73">
                  <v>0.002836014901516895</v>
                </pt>
                <pt idx="74">
                  <v>0.009172377438060094</v>
                </pt>
                <pt idx="75">
                  <v>0.002531894496202158</v>
                </pt>
                <pt idx="76">
                  <v>0.003910847391133778</v>
                </pt>
                <pt idx="77">
                  <v>0.007510349628146104</v>
                </pt>
                <pt idx="78">
                  <v>0.003193861966982619</v>
                </pt>
                <pt idx="79">
                  <v>6.645280944354834e-05</v>
                </pt>
                <pt idx="80">
                  <v>0.01066194681712194</v>
                </pt>
                <pt idx="81">
                  <v>0.006891522769519506</v>
                </pt>
                <pt idx="82">
                  <v>0.00711148047014128</v>
                </pt>
                <pt idx="83">
                  <v>0.001656273208454656</v>
                </pt>
                <pt idx="84">
                  <v>0.01183954242404628</v>
                </pt>
                <pt idx="85">
                  <v>0.003175323202540259</v>
                </pt>
                <pt idx="86">
                  <v>0.004144999623181852</v>
                </pt>
                <pt idx="87">
                  <v>0.00650070433919128</v>
                </pt>
                <pt idx="88">
                  <v>0.003378494648326813</v>
                </pt>
                <pt idx="89">
                  <v>0.001806467840870763</v>
                </pt>
                <pt idx="90">
                  <v>0.00649954634421917</v>
                </pt>
                <pt idx="91">
                  <v>0.008198115453957888</v>
                </pt>
                <pt idx="92">
                  <v>0.004718042153091751</v>
                </pt>
                <pt idx="93">
                  <v>0.005804093649079013</v>
                </pt>
                <pt idx="94">
                  <v>0.02312135511730401</v>
                </pt>
                <pt idx="95">
                  <v>-0.01551188682631799</v>
                </pt>
                <pt idx="96">
                  <v>0.009469247045694365</v>
                </pt>
                <pt idx="97">
                  <v>0.01761702267391269</v>
                </pt>
                <pt idx="98">
                  <v>-0.00329676239647198</v>
                </pt>
                <pt idx="99">
                  <v>0.0002374181851538092</v>
                </pt>
                <pt idx="100">
                  <v>0.002848341973663626</v>
                </pt>
                <pt idx="101">
                  <v>0.003340523617663355</v>
                </pt>
                <pt idx="102">
                  <v>0.002750375294874544</v>
                </pt>
                <pt idx="103">
                  <v>0.01250046783187994</v>
                </pt>
                <pt idx="104">
                  <v>-0.0003379609338283053</v>
                </pt>
                <pt idx="105">
                  <v>0.0009032946483753903</v>
                </pt>
                <pt idx="106">
                  <v>0.00350964228037028</v>
                </pt>
                <pt idx="107">
                  <v>0.004386172512267084</v>
                </pt>
                <pt idx="108">
                  <v>-3.665362844740466e-05</v>
                </pt>
                <pt idx="109">
                  <v>-0.004414305911923338</v>
                </pt>
                <pt idx="110">
                  <v>0.01120303796935732</v>
                </pt>
                <pt idx="111">
                  <v>-0.002226186822846503</v>
                </pt>
                <pt idx="112">
                  <v>-0.0003440564252537416</v>
                </pt>
                <pt idx="113">
                  <v>0.005152193071656159</v>
                </pt>
                <pt idx="114">
                  <v>0.007439650118546726</v>
                </pt>
                <pt idx="115">
                  <v>-0.0173339856322579</v>
                </pt>
                <pt idx="116">
                  <v>0.01694275727259864</v>
                </pt>
                <pt idx="117">
                  <v>0.007219714303382599</v>
                </pt>
                <pt idx="118">
                  <v>0.005535857725386666</v>
                </pt>
                <pt idx="119">
                  <v>0.0009056910982776605</v>
                </pt>
                <pt idx="120">
                  <v>0.005617320665131435</v>
                </pt>
                <pt idx="121">
                  <v>0.0003083642540112629</v>
                </pt>
                <pt idx="122">
                  <v>0.009333986931407577</v>
                </pt>
                <pt idx="123">
                  <v>-0.003840261157786167</v>
                </pt>
                <pt idx="124">
                  <v>0.001638528541056197</v>
                </pt>
                <pt idx="125">
                  <v>-0.001415058835336327</v>
                </pt>
                <pt idx="126">
                  <v>0.001311538017014819</v>
                </pt>
                <pt idx="127">
                  <v>-0.0009635458487233017</v>
                </pt>
                <pt idx="128">
                  <v>0.006490114129561164</v>
                </pt>
                <pt idx="129">
                  <v>0.005889281507656066</v>
                </pt>
                <pt idx="130">
                  <v>0.0007194458778232048</v>
                </pt>
                <pt idx="131">
                  <v>0.004030958555003</v>
                </pt>
                <pt idx="132">
                  <v>-0.008666581070804239</v>
                </pt>
                <pt idx="133">
                  <v>0.01485451837387358</v>
                </pt>
                <pt idx="134">
                  <v>-0.001423459595835644</v>
                </pt>
                <pt idx="135">
                  <v>0.007378133003013188</v>
                </pt>
                <pt idx="136">
                  <v>0.01260856836147165</v>
                </pt>
                <pt idx="137">
                  <v>0.009531427690291243</v>
                </pt>
                <pt idx="138">
                  <v>0.01105001384234995</v>
                </pt>
                <pt idx="139">
                  <v>-0.001331337900168542</v>
                </pt>
                <pt idx="140">
                  <v>0.003512421112345475</v>
                </pt>
                <pt idx="141">
                  <v>0.004894525103873223</v>
                </pt>
                <pt idx="142">
                  <v>-3.281501239938683e-05</v>
                </pt>
                <pt idx="143">
                  <v>0.008368102761239511</v>
                </pt>
                <pt idx="144">
                  <v>-0.0002371045352053744</v>
                </pt>
                <pt idx="145">
                  <v>0.01884265545655773</v>
                </pt>
                <pt idx="146">
                  <v>-0.004847190272757148</v>
                </pt>
                <pt idx="147">
                  <v>0.005035911830265005</v>
                </pt>
                <pt idx="148">
                  <v>-0.0009811437854808974</v>
                </pt>
                <pt idx="149">
                  <v>0.007532535161727961</v>
                </pt>
                <pt idx="150">
                  <v>0.002239692427663375</v>
                </pt>
                <pt idx="151">
                  <v>0.007323803492264544</v>
                </pt>
                <pt idx="152">
                  <v>0.006947219989311969</v>
                </pt>
                <pt idx="153">
                  <v>0.003808657336794127</v>
                </pt>
                <pt idx="154">
                  <v>0.01048960369646348</v>
                </pt>
                <pt idx="155">
                  <v>0.003504205486257975</v>
                </pt>
                <pt idx="156">
                  <v>0.008762782709277158</v>
                </pt>
                <pt idx="157">
                  <v>-0.001311686168225923</v>
                </pt>
                <pt idx="158">
                  <v>0.0129992693619094</v>
                </pt>
                <pt idx="159">
                  <v>-0.003297198669099496</v>
                </pt>
                <pt idx="160">
                  <v>0.009963085325878609</v>
                </pt>
                <pt idx="161">
                  <v>-0.002025845523947627</v>
                </pt>
                <pt idx="162">
                  <v>0.009085664223594522</v>
                </pt>
                <pt idx="163">
                  <v>0.004624747481164319</v>
                </pt>
                <pt idx="164">
                  <v>0.01315273614852474</v>
                </pt>
                <pt idx="165">
                  <v>0.002479892482513845</v>
                </pt>
                <pt idx="166">
                  <v>-4.150600384345595e-05</v>
                </pt>
                <pt idx="167">
                  <v>0.02223568917353965</v>
                </pt>
                <pt idx="168">
                  <v>0.0006009517776803261</v>
                </pt>
                <pt idx="169">
                  <v>0.001773366230561958</v>
                </pt>
                <pt idx="170">
                  <v>7.291552736155165e-05</v>
                </pt>
                <pt idx="171">
                  <v>-0.001680985422008352</v>
                </pt>
                <pt idx="172">
                  <v>-0.0007384445598545833</v>
                </pt>
                <pt idx="173">
                  <v>-0.0008242583704858657</v>
                </pt>
                <pt idx="174">
                  <v>0.007026198903604127</v>
                </pt>
                <pt idx="175">
                  <v>0.006613991477272727</v>
                </pt>
                <pt idx="176">
                  <v>0.002629817155548072</v>
                </pt>
                <pt idx="177">
                  <v>-0.0008916326473492921</v>
                </pt>
                <pt idx="178">
                  <v>0.01407475588282375</v>
                </pt>
                <pt idx="179">
                  <v>0.002273112941352897</v>
                </pt>
                <pt idx="180">
                  <v>-0.002913695550314403</v>
                </pt>
                <pt idx="181">
                  <v>0.009690680124628306</v>
                </pt>
                <pt idx="182">
                  <v>-0.008037170446678947</v>
                </pt>
                <pt idx="183">
                  <v>0.008358566742366893</v>
                </pt>
                <pt idx="184">
                  <v>0.001165191279051581</v>
                </pt>
                <pt idx="185">
                  <v>0.00651825815270455</v>
                </pt>
                <pt idx="186">
                  <v>-0.0005160659477958552</v>
                </pt>
                <pt idx="187">
                  <v>-0.0003998664523693058</v>
                </pt>
                <pt idx="188">
                  <v>0.00342546886590571</v>
                </pt>
                <pt idx="189">
                  <v>0.01002070713912488</v>
                </pt>
                <pt idx="190">
                  <v>-0.006108356262023192</v>
                </pt>
                <pt idx="191">
                  <v>-0.001469000616903146</v>
                </pt>
                <pt idx="192">
                  <v>-0.007166604242042791</v>
                </pt>
                <pt idx="193">
                  <v>0.003126908133461417</v>
                </pt>
                <pt idx="194">
                  <v>0.006435929545956801</v>
                </pt>
                <pt idx="195">
                  <v>0.01141043272582988</v>
                </pt>
                <pt idx="196">
                  <v>0.0007541449405634757</v>
                </pt>
                <pt idx="197">
                  <v>0.004114223949274397</v>
                </pt>
                <pt idx="198">
                  <v>-0.008240217111148172</v>
                </pt>
                <pt idx="199">
                  <v>-0.01242480527719813</v>
                </pt>
                <pt idx="200">
                  <v>-0.01020111995603766</v>
                </pt>
                <pt idx="201">
                  <v>-0.01242146172101952</v>
                </pt>
                <pt idx="202">
                  <v>-0.01037649946553704</v>
                </pt>
                <pt idx="203">
                  <v>0.009409166736675348</v>
                </pt>
                <pt idx="204">
                  <v>-0.003142822040178978</v>
                </pt>
                <pt idx="205">
                  <v>-0.01473394612130657</v>
                </pt>
                <pt idx="206">
                  <v>0.004947099127599648</v>
                </pt>
                <pt idx="207">
                  <v>0.002533648132086987</v>
                </pt>
                <pt idx="208">
                  <v>0.0008731210874763196</v>
                </pt>
                <pt idx="209">
                  <v>-0.0007763198437756355</v>
                </pt>
                <pt idx="210">
                  <v>0.0001762093366919901</v>
                </pt>
                <pt idx="211">
                  <v>0.001705726194909248</v>
                </pt>
                <pt idx="212">
                  <v>0.0005076487070946905</v>
                </pt>
                <pt idx="213">
                  <v>0.0005872952457051539</v>
                </pt>
                <pt idx="214">
                  <v>0.00544626208339489</v>
                </pt>
                <pt idx="215">
                  <v>0.0001389931337391933</v>
                </pt>
                <pt idx="216">
                  <v>0.008878441587319234</v>
                </pt>
                <pt idx="217">
                  <v>0.008886894781999511</v>
                </pt>
                <pt idx="218">
                  <v>0.008114223297183427</v>
                </pt>
                <pt idx="219">
                  <v>-0.009062766039780203</v>
                </pt>
                <pt idx="220">
                  <v>0.002553909355743172</v>
                </pt>
                <pt idx="221">
                  <v>-0.001289282208684543</v>
                </pt>
                <pt idx="222">
                  <v>0.005620102885714174</v>
                </pt>
                <pt idx="223">
                  <v>0.004603594449313921</v>
                </pt>
                <pt idx="224">
                  <v>0.004296816186604589</v>
                </pt>
                <pt idx="225">
                  <v>0.009241106780143152</v>
                </pt>
                <pt idx="226">
                  <v>0.0004113564861014832</v>
                </pt>
                <pt idx="227">
                  <v>0.005235024024001157</v>
                </pt>
                <pt idx="228">
                  <v>0.005628169632881237</v>
                </pt>
                <pt idx="229">
                  <v>0.006402651450953807</v>
                </pt>
                <pt idx="230">
                  <v>0.007114121587485732</v>
                </pt>
                <pt idx="231">
                  <v>-0.0001932252262964669</v>
                </pt>
                <pt idx="232">
                  <v>0.01065174084976065</v>
                </pt>
                <pt idx="233">
                  <v>-0.00113264443055198</v>
                </pt>
                <pt idx="234">
                  <v>0.005076908350575432</v>
                </pt>
                <pt idx="235">
                  <v>0.003146508620847543</v>
                </pt>
                <pt idx="236">
                  <v>0.005542978164025414</v>
                </pt>
                <pt idx="237">
                  <v>0.0006173332655477198</v>
                </pt>
                <pt idx="238">
                  <v>-0.002446034810631905</v>
                </pt>
                <pt idx="239">
                  <v>0.01198731054956089</v>
                </pt>
                <pt idx="240">
                  <v>0.008584709295428318</v>
                </pt>
                <pt idx="241">
                  <v>0.00359998146544196</v>
                </pt>
                <pt idx="242">
                  <v>-0.00475197732688845</v>
                </pt>
                <pt idx="243">
                  <v>-0.0009777717509608214</v>
                </pt>
                <pt idx="244">
                  <v>-0.001328784983300888</v>
                </pt>
                <pt idx="245">
                  <v>0.004957382959622008</v>
                </pt>
                <pt idx="246">
                  <v>0.00338471503973748</v>
                </pt>
                <pt idx="247">
                  <v>0.004628972758229285</v>
                </pt>
                <pt idx="248">
                  <v>-0.001585312031070703</v>
                </pt>
                <pt idx="249">
                  <v>0.006651908224177441</v>
                </pt>
                <pt idx="250">
                  <v>0.00577185876335379</v>
                </pt>
                <pt idx="251">
                  <v>0.008278030038421237</v>
                </pt>
                <pt idx="252">
                  <v>0.002483805036893339</v>
                </pt>
                <pt idx="253">
                  <v>-0.002837031380124194</v>
                </pt>
                <pt idx="254">
                  <v>-0.003416895961409175</v>
                </pt>
                <pt idx="255">
                  <v>0.005306349537519995</v>
                </pt>
                <pt idx="256">
                  <v>-0.002383208926829606</v>
                </pt>
                <pt idx="257">
                  <v>0.00838369444242191</v>
                </pt>
                <pt idx="258">
                  <v>-0.0006395378823043994</v>
                </pt>
                <pt idx="259">
                  <v>0.004431462003997949</v>
                </pt>
                <pt idx="260">
                  <v>0.003394568006110908</v>
                </pt>
                <pt idx="261">
                  <v>0.004236535940572428</v>
                </pt>
                <pt idx="262">
                  <v>0.002287800550023966</v>
                </pt>
                <pt idx="263">
                  <v>-0.006247413869123124</v>
                </pt>
                <pt idx="264">
                  <v>0.009843003412969283</v>
                </pt>
                <pt idx="265">
                  <v>0.007824012112855038</v>
                </pt>
                <pt idx="266">
                  <v>0.008631819690877568</v>
                </pt>
                <pt idx="267">
                  <v>0.003421184747301121</v>
                </pt>
                <pt idx="268">
                  <v>0.005841578253291894</v>
                </pt>
                <pt idx="269">
                  <v>0.001703094889068239</v>
                </pt>
                <pt idx="270">
                  <v>0.007682138370571096</v>
                </pt>
                <pt idx="271">
                  <v>0.001481636196307006</v>
                </pt>
                <pt idx="272">
                  <v>0.006507599259626164</v>
                </pt>
                <pt idx="273">
                  <v>0.003632607998860358</v>
                </pt>
                <pt idx="274">
                  <v>0.00260975318638283</v>
                </pt>
                <pt idx="275">
                  <v>0.002014157014157014</v>
                </pt>
                <pt idx="276">
                  <v>-0.002780756905332246</v>
                </pt>
                <pt idx="277">
                  <v>0.006768418341061309</v>
                </pt>
                <pt idx="278">
                  <v>0.002868912755627483</v>
                </pt>
                <pt idx="279">
                  <v>0.003406057552167216</v>
                </pt>
                <pt idx="280">
                  <v>0.0001048861032269958</v>
                </pt>
                <pt idx="281">
                  <v>0.008809508676031272</v>
                </pt>
                <pt idx="282">
                  <v>0.001543637692482169</v>
                </pt>
                <pt idx="283">
                  <v>0.000355433093651902</v>
                </pt>
                <pt idx="284">
                  <v>-0.0005188108227081925</v>
                </pt>
                <pt idx="285">
                  <v>0.003296945292100544</v>
                </pt>
                <pt idx="286">
                  <v>0.008199599897152247</v>
                </pt>
                <pt idx="287">
                  <v>-0.004761564131830947</v>
                </pt>
                <pt idx="288">
                  <v>0.01225929837938513</v>
                </pt>
                <pt idx="289">
                  <v>-0.002355483522420313</v>
                </pt>
                <pt idx="290">
                  <v>0.001067576014506656</v>
                </pt>
                <pt idx="291">
                  <v>0.001814489330988201</v>
                </pt>
                <pt idx="292">
                  <v>0.009426277561448222</v>
                </pt>
                <pt idx="293">
                  <v>-0.005780240807705357</v>
                </pt>
                <pt idx="294">
                  <v>0.003474165124301324</v>
                </pt>
                <pt idx="295">
                  <v>0.003615328994938539</v>
                </pt>
                <pt idx="296">
                  <v>0.0006380354613393249</v>
                </pt>
                <pt idx="297">
                  <v>0.0008359341869624775</v>
                </pt>
                <pt idx="298">
                  <v>0.005352826237383822</v>
                </pt>
                <pt idx="299">
                  <v>0.01278626590703047</v>
                </pt>
                <pt idx="300">
                  <v>0.0006825856824659305</v>
                </pt>
                <pt idx="301">
                  <v>0.003925182197862691</v>
                </pt>
                <pt idx="302">
                  <v>0.004648889630592077</v>
                </pt>
                <pt idx="303">
                  <v>-0.003565453660967478</v>
                </pt>
                <pt idx="304">
                  <v>0.004765987342299701</v>
                </pt>
                <pt idx="305">
                  <v>-7.703178746337287e-05</v>
                </pt>
                <pt idx="306">
                  <v>0.00510523056501243</v>
                </pt>
                <pt idx="307">
                  <v>0.01005247332114852</v>
                </pt>
                <pt idx="308">
                  <v>-0.000452383037095409</v>
                </pt>
                <pt idx="309">
                  <v>0.01369735017154537</v>
                </pt>
                <pt idx="310">
                  <v>0.008215090187403145</v>
                </pt>
                <pt idx="311">
                  <v>-0.00560256901073659</v>
                </pt>
                <pt idx="312">
                  <v>0.008380811188971922</v>
                </pt>
                <pt idx="313">
                  <v>-0.0008519149566634565</v>
                </pt>
                <pt idx="314">
                  <v>0.002897269551579098</v>
                </pt>
                <pt idx="315">
                  <v>0.01296308407096002</v>
                </pt>
                <pt idx="316">
                  <v>-0.002981052631578947</v>
                </pt>
                <pt idx="317">
                  <v>0.007336959581967859</v>
                </pt>
                <pt idx="318">
                  <v>5.589808660849539e-05</v>
                </pt>
                <pt idx="319">
                  <v>-0.002532041787073731</v>
                </pt>
                <pt idx="320">
                  <v>0.008635278559180518</v>
                </pt>
                <pt idx="321">
                  <v>0.006675185421817273</v>
                </pt>
                <pt idx="322">
                  <v>-0.02023493831282613</v>
                </pt>
                <pt idx="323">
                  <v>0.01827860079986481</v>
                </pt>
                <pt idx="324">
                  <v>-0.004040934863780943</v>
                </pt>
                <pt idx="325">
                  <v>0.008025793623243143</v>
                </pt>
                <pt idx="326">
                  <v>0.003879012284457228</v>
                </pt>
                <pt idx="327">
                  <v>0.00547220400288704</v>
                </pt>
                <pt idx="328">
                  <v>0.005996489992657917</v>
                </pt>
                <pt idx="329">
                  <v>0.01057306730190082</v>
                </pt>
                <pt idx="330">
                  <v>0.0005799046915900396</v>
                </pt>
                <pt idx="331">
                  <v>-0.002710019828758945</v>
                </pt>
                <pt idx="332">
                  <v>0.003346956126355665</v>
                </pt>
                <pt idx="333">
                  <v>-0.0003110545015753838</v>
                </pt>
                <pt idx="334">
                  <v>0.01310322443932416</v>
                </pt>
                <pt idx="335">
                  <v>0.0002329928460605676</v>
                </pt>
                <pt idx="336">
                  <v>0.007641973413238323</v>
                </pt>
                <pt idx="337">
                  <v>-0.02945603660923269</v>
                </pt>
                <pt idx="338">
                  <v>-0.148163786756745</v>
                </pt>
                <pt idx="339">
                  <v>0.1298059202582646</v>
                </pt>
                <pt idx="340">
                  <v>0.08124184403545875</v>
                </pt>
                <pt idx="341">
                  <v>0.02692642832060969</v>
                </pt>
                <pt idx="342">
                  <v>0.004665570772554691</v>
                </pt>
                <pt idx="343">
                  <v>0.01885798275049225</v>
                </pt>
                <pt idx="344">
                  <v>-0.003632503482798809</v>
                </pt>
                <pt idx="345">
                  <v>-0.009802290264018616</v>
                </pt>
                <pt idx="346">
                  <v>-0.01542709812045727</v>
                </pt>
                <pt idx="347">
                  <v>0.06145000929787066</v>
                </pt>
                <pt idx="348">
                  <v>-0.02043985159088618</v>
                </pt>
                <pt idx="349">
                  <v>0.09876056241409809</v>
                </pt>
                <pt idx="350">
                  <v>-0.004622279700321085</v>
                </pt>
                <pt idx="351">
                  <v>-0.001877210706821354</v>
                </pt>
                <pt idx="352">
                  <v>0.02142204686591751</v>
                </pt>
                <pt idx="353">
                  <v>-0.01381851580043681</v>
                </pt>
                <pt idx="354">
                  <v>0.01486548209212945</v>
                </pt>
                <pt idx="355">
                  <v>0.007666351260271747</v>
                </pt>
                <pt idx="356">
                  <v>0.01146868443470323</v>
                </pt>
                <pt idx="357">
                  <v>0.003463628667989222</v>
                </pt>
                <pt idx="358">
                  <v>-0.01756961840549005</v>
                </pt>
                <pt idx="359">
                  <v>0.02031131193245877</v>
                </pt>
                <pt idx="360">
                  <v>0.01184011032781409</v>
                </pt>
                <pt idx="361">
                  <v>0.009056065489808487</v>
                </pt>
                <pt idx="362">
                  <v>0.006940307898821259</v>
                </pt>
                <pt idx="363">
                  <v>0.007598591094567882</v>
                </pt>
                <pt idx="364">
                  <v>0.009174406754083314</v>
                </pt>
                <pt idx="365">
                  <v>0.002247144978747376</v>
                </pt>
                <pt idx="366">
                  <v>0.005849507022678592</v>
                </pt>
                <pt idx="367">
                  <v>0.002812242194199141</v>
                </pt>
              </numCache>
            </numRef>
          </val>
        </ser>
        <dLbls>
          <showLegendKey val="0"/>
          <showVal val="0"/>
          <showCatName val="0"/>
          <showSerName val="0"/>
          <showPercent val="0"/>
          <showBubbleSize val="0"/>
        </dLbls>
        <gapWidth val="219"/>
        <axId val="1023425784"/>
        <axId val="1023428408"/>
      </barChart>
      <dateAx>
        <axId val="102342578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23428408"/>
        <crosses val="autoZero"/>
        <lblOffset val="100"/>
        <baseTimeUnit val="months"/>
      </dateAx>
      <valAx>
        <axId val="10234284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23425784"/>
        <crosses val="autoZero"/>
        <crossBetween val="between"/>
      </valAx>
    </plotArea>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baseline="0"/>
              <a:t>Core Retail Sales yoy %</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'Retail Sales ex Auto and Gas'!$A$19:$A$378</f>
              <numCache>
                <formatCode>[$-409]mmm\-yy;@</formatCode>
                <ptCount val="360"/>
                <pt idx="0">
                  <v>33970</v>
                </pt>
                <pt idx="1">
                  <v>34001</v>
                </pt>
                <pt idx="2">
                  <v>34029</v>
                </pt>
                <pt idx="3">
                  <v>34060</v>
                </pt>
                <pt idx="4">
                  <v>34090</v>
                </pt>
                <pt idx="5">
                  <v>34121</v>
                </pt>
                <pt idx="6">
                  <v>34151</v>
                </pt>
                <pt idx="7">
                  <v>34182</v>
                </pt>
                <pt idx="8">
                  <v>34213</v>
                </pt>
                <pt idx="9">
                  <v>34243</v>
                </pt>
                <pt idx="10">
                  <v>34274</v>
                </pt>
                <pt idx="11">
                  <v>34304</v>
                </pt>
                <pt idx="12">
                  <v>34335</v>
                </pt>
                <pt idx="13">
                  <v>34366</v>
                </pt>
                <pt idx="14">
                  <v>34394</v>
                </pt>
                <pt idx="15">
                  <v>34425</v>
                </pt>
                <pt idx="16">
                  <v>34455</v>
                </pt>
                <pt idx="17">
                  <v>34486</v>
                </pt>
                <pt idx="18">
                  <v>34516</v>
                </pt>
                <pt idx="19">
                  <v>34547</v>
                </pt>
                <pt idx="20">
                  <v>34578</v>
                </pt>
                <pt idx="21">
                  <v>34608</v>
                </pt>
                <pt idx="22">
                  <v>34639</v>
                </pt>
                <pt idx="23">
                  <v>34669</v>
                </pt>
                <pt idx="24">
                  <v>34700</v>
                </pt>
                <pt idx="25">
                  <v>34731</v>
                </pt>
                <pt idx="26">
                  <v>34759</v>
                </pt>
                <pt idx="27">
                  <v>34790</v>
                </pt>
                <pt idx="28">
                  <v>34820</v>
                </pt>
                <pt idx="29">
                  <v>34851</v>
                </pt>
                <pt idx="30">
                  <v>34881</v>
                </pt>
                <pt idx="31">
                  <v>34912</v>
                </pt>
                <pt idx="32">
                  <v>34943</v>
                </pt>
                <pt idx="33">
                  <v>34973</v>
                </pt>
                <pt idx="34">
                  <v>35004</v>
                </pt>
                <pt idx="35">
                  <v>35034</v>
                </pt>
                <pt idx="36">
                  <v>35065</v>
                </pt>
                <pt idx="37">
                  <v>35096</v>
                </pt>
                <pt idx="38">
                  <v>35125</v>
                </pt>
                <pt idx="39">
                  <v>35156</v>
                </pt>
                <pt idx="40">
                  <v>35186</v>
                </pt>
                <pt idx="41">
                  <v>35217</v>
                </pt>
                <pt idx="42">
                  <v>35247</v>
                </pt>
                <pt idx="43">
                  <v>35278</v>
                </pt>
                <pt idx="44">
                  <v>35309</v>
                </pt>
                <pt idx="45">
                  <v>35339</v>
                </pt>
                <pt idx="46">
                  <v>35370</v>
                </pt>
                <pt idx="47">
                  <v>35400</v>
                </pt>
                <pt idx="48">
                  <v>35431</v>
                </pt>
                <pt idx="49">
                  <v>35462</v>
                </pt>
                <pt idx="50">
                  <v>35490</v>
                </pt>
                <pt idx="51">
                  <v>35521</v>
                </pt>
                <pt idx="52">
                  <v>35551</v>
                </pt>
                <pt idx="53">
                  <v>35582</v>
                </pt>
                <pt idx="54">
                  <v>35612</v>
                </pt>
                <pt idx="55">
                  <v>35643</v>
                </pt>
                <pt idx="56">
                  <v>35674</v>
                </pt>
                <pt idx="57">
                  <v>35704</v>
                </pt>
                <pt idx="58">
                  <v>35735</v>
                </pt>
                <pt idx="59">
                  <v>35765</v>
                </pt>
                <pt idx="60">
                  <v>35796</v>
                </pt>
                <pt idx="61">
                  <v>35827</v>
                </pt>
                <pt idx="62">
                  <v>35855</v>
                </pt>
                <pt idx="63">
                  <v>35886</v>
                </pt>
                <pt idx="64">
                  <v>35916</v>
                </pt>
                <pt idx="65">
                  <v>35947</v>
                </pt>
                <pt idx="66">
                  <v>35977</v>
                </pt>
                <pt idx="67">
                  <v>36008</v>
                </pt>
                <pt idx="68">
                  <v>36039</v>
                </pt>
                <pt idx="69">
                  <v>36069</v>
                </pt>
                <pt idx="70">
                  <v>36100</v>
                </pt>
                <pt idx="71">
                  <v>36130</v>
                </pt>
                <pt idx="72">
                  <v>36161</v>
                </pt>
                <pt idx="73">
                  <v>36192</v>
                </pt>
                <pt idx="74">
                  <v>36220</v>
                </pt>
                <pt idx="75">
                  <v>36251</v>
                </pt>
                <pt idx="76">
                  <v>36281</v>
                </pt>
                <pt idx="77">
                  <v>36312</v>
                </pt>
                <pt idx="78">
                  <v>36342</v>
                </pt>
                <pt idx="79">
                  <v>36373</v>
                </pt>
                <pt idx="80">
                  <v>36404</v>
                </pt>
                <pt idx="81">
                  <v>36434</v>
                </pt>
                <pt idx="82">
                  <v>36465</v>
                </pt>
                <pt idx="83">
                  <v>36495</v>
                </pt>
                <pt idx="84">
                  <v>36526</v>
                </pt>
                <pt idx="85">
                  <v>36557</v>
                </pt>
                <pt idx="86">
                  <v>36586</v>
                </pt>
                <pt idx="87">
                  <v>36617</v>
                </pt>
                <pt idx="88">
                  <v>36647</v>
                </pt>
                <pt idx="89">
                  <v>36678</v>
                </pt>
                <pt idx="90">
                  <v>36708</v>
                </pt>
                <pt idx="91">
                  <v>36739</v>
                </pt>
                <pt idx="92">
                  <v>36770</v>
                </pt>
                <pt idx="93">
                  <v>36800</v>
                </pt>
                <pt idx="94">
                  <v>36831</v>
                </pt>
                <pt idx="95">
                  <v>36861</v>
                </pt>
                <pt idx="96">
                  <v>36892</v>
                </pt>
                <pt idx="97">
                  <v>36923</v>
                </pt>
                <pt idx="98">
                  <v>36951</v>
                </pt>
                <pt idx="99">
                  <v>36982</v>
                </pt>
                <pt idx="100">
                  <v>37012</v>
                </pt>
                <pt idx="101">
                  <v>37043</v>
                </pt>
                <pt idx="102">
                  <v>37073</v>
                </pt>
                <pt idx="103">
                  <v>37104</v>
                </pt>
                <pt idx="104">
                  <v>37135</v>
                </pt>
                <pt idx="105">
                  <v>37165</v>
                </pt>
                <pt idx="106">
                  <v>37196</v>
                </pt>
                <pt idx="107">
                  <v>37226</v>
                </pt>
                <pt idx="108">
                  <v>37257</v>
                </pt>
                <pt idx="109">
                  <v>37288</v>
                </pt>
                <pt idx="110">
                  <v>37316</v>
                </pt>
                <pt idx="111">
                  <v>37347</v>
                </pt>
                <pt idx="112">
                  <v>37377</v>
                </pt>
                <pt idx="113">
                  <v>37408</v>
                </pt>
                <pt idx="114">
                  <v>37438</v>
                </pt>
                <pt idx="115">
                  <v>37469</v>
                </pt>
                <pt idx="116">
                  <v>37500</v>
                </pt>
                <pt idx="117">
                  <v>37530</v>
                </pt>
                <pt idx="118">
                  <v>37561</v>
                </pt>
                <pt idx="119">
                  <v>37591</v>
                </pt>
                <pt idx="120">
                  <v>37622</v>
                </pt>
                <pt idx="121">
                  <v>37653</v>
                </pt>
                <pt idx="122">
                  <v>37681</v>
                </pt>
                <pt idx="123">
                  <v>37712</v>
                </pt>
                <pt idx="124">
                  <v>37742</v>
                </pt>
                <pt idx="125">
                  <v>37773</v>
                </pt>
                <pt idx="126">
                  <v>37803</v>
                </pt>
                <pt idx="127">
                  <v>37834</v>
                </pt>
                <pt idx="128">
                  <v>37865</v>
                </pt>
                <pt idx="129">
                  <v>37895</v>
                </pt>
                <pt idx="130">
                  <v>37926</v>
                </pt>
                <pt idx="131">
                  <v>37956</v>
                </pt>
                <pt idx="132">
                  <v>37987</v>
                </pt>
                <pt idx="133">
                  <v>38018</v>
                </pt>
                <pt idx="134">
                  <v>38047</v>
                </pt>
                <pt idx="135">
                  <v>38078</v>
                </pt>
                <pt idx="136">
                  <v>38108</v>
                </pt>
                <pt idx="137">
                  <v>38139</v>
                </pt>
                <pt idx="138">
                  <v>38169</v>
                </pt>
                <pt idx="139">
                  <v>38200</v>
                </pt>
                <pt idx="140">
                  <v>38231</v>
                </pt>
                <pt idx="141">
                  <v>38261</v>
                </pt>
                <pt idx="142">
                  <v>38292</v>
                </pt>
                <pt idx="143">
                  <v>38322</v>
                </pt>
                <pt idx="144">
                  <v>38353</v>
                </pt>
                <pt idx="145">
                  <v>38384</v>
                </pt>
                <pt idx="146">
                  <v>38412</v>
                </pt>
                <pt idx="147">
                  <v>38443</v>
                </pt>
                <pt idx="148">
                  <v>38473</v>
                </pt>
                <pt idx="149">
                  <v>38504</v>
                </pt>
                <pt idx="150">
                  <v>38534</v>
                </pt>
                <pt idx="151">
                  <v>38565</v>
                </pt>
                <pt idx="152">
                  <v>38596</v>
                </pt>
                <pt idx="153">
                  <v>38626</v>
                </pt>
                <pt idx="154">
                  <v>38657</v>
                </pt>
                <pt idx="155">
                  <v>38687</v>
                </pt>
                <pt idx="156">
                  <v>38718</v>
                </pt>
                <pt idx="157">
                  <v>38749</v>
                </pt>
                <pt idx="158">
                  <v>38777</v>
                </pt>
                <pt idx="159">
                  <v>38808</v>
                </pt>
                <pt idx="160">
                  <v>38838</v>
                </pt>
                <pt idx="161">
                  <v>38869</v>
                </pt>
                <pt idx="162">
                  <v>38899</v>
                </pt>
                <pt idx="163">
                  <v>38930</v>
                </pt>
                <pt idx="164">
                  <v>38961</v>
                </pt>
                <pt idx="165">
                  <v>38991</v>
                </pt>
                <pt idx="166">
                  <v>39022</v>
                </pt>
                <pt idx="167">
                  <v>39052</v>
                </pt>
                <pt idx="168">
                  <v>39083</v>
                </pt>
                <pt idx="169">
                  <v>39114</v>
                </pt>
                <pt idx="170">
                  <v>39142</v>
                </pt>
                <pt idx="171">
                  <v>39173</v>
                </pt>
                <pt idx="172">
                  <v>39203</v>
                </pt>
                <pt idx="173">
                  <v>39234</v>
                </pt>
                <pt idx="174">
                  <v>39264</v>
                </pt>
                <pt idx="175">
                  <v>39295</v>
                </pt>
                <pt idx="176">
                  <v>39326</v>
                </pt>
                <pt idx="177">
                  <v>39356</v>
                </pt>
                <pt idx="178">
                  <v>39387</v>
                </pt>
                <pt idx="179">
                  <v>39417</v>
                </pt>
                <pt idx="180">
                  <v>39448</v>
                </pt>
                <pt idx="181">
                  <v>39479</v>
                </pt>
                <pt idx="182">
                  <v>39508</v>
                </pt>
                <pt idx="183">
                  <v>39539</v>
                </pt>
                <pt idx="184">
                  <v>39569</v>
                </pt>
                <pt idx="185">
                  <v>39600</v>
                </pt>
                <pt idx="186">
                  <v>39630</v>
                </pt>
                <pt idx="187">
                  <v>39661</v>
                </pt>
                <pt idx="188">
                  <v>39692</v>
                </pt>
                <pt idx="189">
                  <v>39722</v>
                </pt>
                <pt idx="190">
                  <v>39753</v>
                </pt>
                <pt idx="191">
                  <v>39783</v>
                </pt>
                <pt idx="192">
                  <v>39814</v>
                </pt>
                <pt idx="193">
                  <v>39845</v>
                </pt>
                <pt idx="194">
                  <v>39873</v>
                </pt>
                <pt idx="195">
                  <v>39904</v>
                </pt>
                <pt idx="196">
                  <v>39934</v>
                </pt>
                <pt idx="197">
                  <v>39965</v>
                </pt>
                <pt idx="198">
                  <v>39995</v>
                </pt>
                <pt idx="199">
                  <v>40026</v>
                </pt>
                <pt idx="200">
                  <v>40057</v>
                </pt>
                <pt idx="201">
                  <v>40087</v>
                </pt>
                <pt idx="202">
                  <v>40118</v>
                </pt>
                <pt idx="203">
                  <v>40148</v>
                </pt>
                <pt idx="204">
                  <v>40179</v>
                </pt>
                <pt idx="205">
                  <v>40210</v>
                </pt>
                <pt idx="206">
                  <v>40238</v>
                </pt>
                <pt idx="207">
                  <v>40269</v>
                </pt>
                <pt idx="208">
                  <v>40299</v>
                </pt>
                <pt idx="209">
                  <v>40330</v>
                </pt>
                <pt idx="210">
                  <v>40360</v>
                </pt>
                <pt idx="211">
                  <v>40391</v>
                </pt>
                <pt idx="212">
                  <v>40422</v>
                </pt>
                <pt idx="213">
                  <v>40452</v>
                </pt>
                <pt idx="214">
                  <v>40483</v>
                </pt>
                <pt idx="215">
                  <v>40513</v>
                </pt>
                <pt idx="216">
                  <v>40544</v>
                </pt>
                <pt idx="217">
                  <v>40575</v>
                </pt>
                <pt idx="218">
                  <v>40603</v>
                </pt>
                <pt idx="219">
                  <v>40634</v>
                </pt>
                <pt idx="220">
                  <v>40664</v>
                </pt>
                <pt idx="221">
                  <v>40695</v>
                </pt>
                <pt idx="222">
                  <v>40725</v>
                </pt>
                <pt idx="223">
                  <v>40756</v>
                </pt>
                <pt idx="224">
                  <v>40787</v>
                </pt>
                <pt idx="225">
                  <v>40817</v>
                </pt>
                <pt idx="226">
                  <v>40848</v>
                </pt>
                <pt idx="227">
                  <v>40878</v>
                </pt>
                <pt idx="228">
                  <v>40909</v>
                </pt>
                <pt idx="229">
                  <v>40940</v>
                </pt>
                <pt idx="230">
                  <v>40969</v>
                </pt>
                <pt idx="231">
                  <v>41000</v>
                </pt>
                <pt idx="232">
                  <v>41030</v>
                </pt>
                <pt idx="233">
                  <v>41061</v>
                </pt>
                <pt idx="234">
                  <v>41091</v>
                </pt>
                <pt idx="235">
                  <v>41122</v>
                </pt>
                <pt idx="236">
                  <v>41153</v>
                </pt>
                <pt idx="237">
                  <v>41183</v>
                </pt>
                <pt idx="238">
                  <v>41214</v>
                </pt>
                <pt idx="239">
                  <v>41244</v>
                </pt>
                <pt idx="240">
                  <v>41275</v>
                </pt>
                <pt idx="241">
                  <v>41306</v>
                </pt>
                <pt idx="242">
                  <v>41334</v>
                </pt>
                <pt idx="243">
                  <v>41365</v>
                </pt>
                <pt idx="244">
                  <v>41395</v>
                </pt>
                <pt idx="245">
                  <v>41426</v>
                </pt>
                <pt idx="246">
                  <v>41456</v>
                </pt>
                <pt idx="247">
                  <v>41487</v>
                </pt>
                <pt idx="248">
                  <v>41518</v>
                </pt>
                <pt idx="249">
                  <v>41548</v>
                </pt>
                <pt idx="250">
                  <v>41579</v>
                </pt>
                <pt idx="251">
                  <v>41609</v>
                </pt>
                <pt idx="252">
                  <v>41640</v>
                </pt>
                <pt idx="253">
                  <v>41671</v>
                </pt>
                <pt idx="254">
                  <v>41699</v>
                </pt>
                <pt idx="255">
                  <v>41730</v>
                </pt>
                <pt idx="256">
                  <v>41760</v>
                </pt>
                <pt idx="257">
                  <v>41791</v>
                </pt>
                <pt idx="258">
                  <v>41821</v>
                </pt>
                <pt idx="259">
                  <v>41852</v>
                </pt>
                <pt idx="260">
                  <v>41883</v>
                </pt>
                <pt idx="261">
                  <v>41913</v>
                </pt>
                <pt idx="262">
                  <v>41944</v>
                </pt>
                <pt idx="263">
                  <v>41974</v>
                </pt>
                <pt idx="264">
                  <v>42005</v>
                </pt>
                <pt idx="265">
                  <v>42036</v>
                </pt>
                <pt idx="266">
                  <v>42064</v>
                </pt>
                <pt idx="267">
                  <v>42095</v>
                </pt>
                <pt idx="268">
                  <v>42125</v>
                </pt>
                <pt idx="269">
                  <v>42156</v>
                </pt>
                <pt idx="270">
                  <v>42186</v>
                </pt>
                <pt idx="271">
                  <v>42217</v>
                </pt>
                <pt idx="272">
                  <v>42248</v>
                </pt>
                <pt idx="273">
                  <v>42278</v>
                </pt>
                <pt idx="274">
                  <v>42309</v>
                </pt>
                <pt idx="275">
                  <v>42339</v>
                </pt>
                <pt idx="276">
                  <v>42370</v>
                </pt>
                <pt idx="277">
                  <v>42401</v>
                </pt>
                <pt idx="278">
                  <v>42430</v>
                </pt>
                <pt idx="279">
                  <v>42461</v>
                </pt>
                <pt idx="280">
                  <v>42491</v>
                </pt>
                <pt idx="281">
                  <v>42522</v>
                </pt>
                <pt idx="282">
                  <v>42552</v>
                </pt>
                <pt idx="283">
                  <v>42583</v>
                </pt>
                <pt idx="284">
                  <v>42614</v>
                </pt>
                <pt idx="285">
                  <v>42644</v>
                </pt>
                <pt idx="286">
                  <v>42675</v>
                </pt>
                <pt idx="287">
                  <v>42705</v>
                </pt>
                <pt idx="288">
                  <v>42736</v>
                </pt>
                <pt idx="289">
                  <v>42767</v>
                </pt>
                <pt idx="290">
                  <v>42795</v>
                </pt>
                <pt idx="291">
                  <v>42826</v>
                </pt>
                <pt idx="292">
                  <v>42856</v>
                </pt>
                <pt idx="293">
                  <v>42887</v>
                </pt>
                <pt idx="294">
                  <v>42917</v>
                </pt>
                <pt idx="295">
                  <v>42948</v>
                </pt>
                <pt idx="296">
                  <v>42979</v>
                </pt>
                <pt idx="297">
                  <v>43009</v>
                </pt>
                <pt idx="298">
                  <v>43040</v>
                </pt>
                <pt idx="299">
                  <v>43070</v>
                </pt>
                <pt idx="300">
                  <v>43101</v>
                </pt>
                <pt idx="301">
                  <v>43132</v>
                </pt>
                <pt idx="302">
                  <v>43160</v>
                </pt>
                <pt idx="303">
                  <v>43191</v>
                </pt>
                <pt idx="304">
                  <v>43221</v>
                </pt>
                <pt idx="305">
                  <v>43252</v>
                </pt>
                <pt idx="306">
                  <v>43282</v>
                </pt>
                <pt idx="307">
                  <v>43313</v>
                </pt>
                <pt idx="308">
                  <v>43344</v>
                </pt>
                <pt idx="309">
                  <v>43374</v>
                </pt>
                <pt idx="310">
                  <v>43405</v>
                </pt>
                <pt idx="311">
                  <v>43435</v>
                </pt>
                <pt idx="312">
                  <v>43466</v>
                </pt>
                <pt idx="313">
                  <v>43497</v>
                </pt>
                <pt idx="314">
                  <v>43525</v>
                </pt>
                <pt idx="315">
                  <v>43556</v>
                </pt>
                <pt idx="316">
                  <v>43586</v>
                </pt>
                <pt idx="317">
                  <v>43617</v>
                </pt>
                <pt idx="318">
                  <v>43647</v>
                </pt>
                <pt idx="319">
                  <v>43678</v>
                </pt>
                <pt idx="320">
                  <v>43709</v>
                </pt>
                <pt idx="321">
                  <v>43739</v>
                </pt>
                <pt idx="322">
                  <v>43770</v>
                </pt>
                <pt idx="323">
                  <v>43800</v>
                </pt>
                <pt idx="324">
                  <v>43831</v>
                </pt>
                <pt idx="325">
                  <v>43862</v>
                </pt>
                <pt idx="326">
                  <v>43891</v>
                </pt>
                <pt idx="327">
                  <v>43922</v>
                </pt>
                <pt idx="328">
                  <v>43952</v>
                </pt>
                <pt idx="329">
                  <v>43983</v>
                </pt>
                <pt idx="330">
                  <v>44013</v>
                </pt>
                <pt idx="331">
                  <v>44044</v>
                </pt>
                <pt idx="332">
                  <v>44075</v>
                </pt>
                <pt idx="333">
                  <v>44105</v>
                </pt>
                <pt idx="334">
                  <v>44136</v>
                </pt>
                <pt idx="335">
                  <v>44166</v>
                </pt>
                <pt idx="336">
                  <v>44197</v>
                </pt>
                <pt idx="337">
                  <v>44228</v>
                </pt>
                <pt idx="338">
                  <v>44256</v>
                </pt>
                <pt idx="339">
                  <v>44287</v>
                </pt>
                <pt idx="340">
                  <v>44317</v>
                </pt>
                <pt idx="341">
                  <v>44348</v>
                </pt>
                <pt idx="342">
                  <v>44378</v>
                </pt>
                <pt idx="343">
                  <v>44409</v>
                </pt>
                <pt idx="344">
                  <v>44440</v>
                </pt>
                <pt idx="345">
                  <v>44470</v>
                </pt>
                <pt idx="346">
                  <v>44501</v>
                </pt>
                <pt idx="347">
                  <v>44531</v>
                </pt>
                <pt idx="348">
                  <v>44562</v>
                </pt>
                <pt idx="349">
                  <v>44593</v>
                </pt>
                <pt idx="350">
                  <v>44621</v>
                </pt>
                <pt idx="351">
                  <v>44652</v>
                </pt>
                <pt idx="352">
                  <v>44682</v>
                </pt>
                <pt idx="353">
                  <v>44713</v>
                </pt>
                <pt idx="354">
                  <v>44743</v>
                </pt>
                <pt idx="355">
                  <v>44774</v>
                </pt>
                <pt idx="356">
                  <v>44805</v>
                </pt>
              </numCache>
            </numRef>
          </cat>
          <val>
            <numRef>
              <f>'Retail Sales ex Auto and Gas'!$D$19:$D$378</f>
              <numCache>
                <formatCode>0.00%</formatCode>
                <ptCount val="360"/>
                <pt idx="0">
                  <v>0.05326192133362758</v>
                </pt>
                <pt idx="1">
                  <v>0.04779489791587079</v>
                </pt>
                <pt idx="2">
                  <v>0.04346644471999049</v>
                </pt>
                <pt idx="3">
                  <v>0.0546932491985485</v>
                </pt>
                <pt idx="4">
                  <v>0.06347087891202433</v>
                </pt>
                <pt idx="5">
                  <v>0.06244405033358669</v>
                </pt>
                <pt idx="6">
                  <v>0.06599099855573842</v>
                </pt>
                <pt idx="7">
                  <v>0.05584276116980096</v>
                </pt>
                <pt idx="8">
                  <v>0.06560566753143085</v>
                </pt>
                <pt idx="9">
                  <v>0.05705032591945546</v>
                </pt>
                <pt idx="10">
                  <v>0.0591453946449551</v>
                </pt>
                <pt idx="11">
                  <v>0.05364872971351676</v>
                </pt>
                <pt idx="12">
                  <v>0.03817421366922129</v>
                </pt>
                <pt idx="13">
                  <v>0.0574356896900952</v>
                </pt>
                <pt idx="14">
                  <v>0.08406856361505405</v>
                </pt>
                <pt idx="15">
                  <v>0.06424784864743482</v>
                </pt>
                <pt idx="16">
                  <v>0.05686304100906282</v>
                </pt>
                <pt idx="17">
                  <v>0.06936186448761565</v>
                </pt>
                <pt idx="18">
                  <v>0.0629613000291451</v>
                </pt>
                <pt idx="19">
                  <v>0.0742326402851038</v>
                </pt>
                <pt idx="20">
                  <v>0.06748131154704497</v>
                </pt>
                <pt idx="21">
                  <v>0.07444337033803168</v>
                </pt>
                <pt idx="22">
                  <v>0.06774954233764621</v>
                </pt>
                <pt idx="23">
                  <v>0.06847417984858743</v>
                </pt>
                <pt idx="24">
                  <v>0.08234362628661916</v>
                </pt>
                <pt idx="25">
                  <v>0.05378733315966103</v>
                </pt>
                <pt idx="26">
                  <v>0.0409330820688775</v>
                </pt>
                <pt idx="27">
                  <v>0.04713639788997739</v>
                </pt>
                <pt idx="28">
                  <v>0.05257105923732508</v>
                </pt>
                <pt idx="29">
                  <v>0.04448821824128447</v>
                </pt>
                <pt idx="30">
                  <v>0.04368478776381314</v>
                </pt>
                <pt idx="31">
                  <v>0.03890022459374954</v>
                </pt>
                <pt idx="32">
                  <v>0.04255785734126694</v>
                </pt>
                <pt idx="33">
                  <v>0.02958184891997591</v>
                </pt>
                <pt idx="34">
                  <v>0.044823828550672</v>
                </pt>
                <pt idx="35">
                  <v>0.04402488550937527</v>
                </pt>
                <pt idx="36">
                  <v>0.02464965503392286</v>
                </pt>
                <pt idx="37">
                  <v>0.04892608373202263</v>
                </pt>
                <pt idx="38">
                  <v>0.05010638681524757</v>
                </pt>
                <pt idx="39">
                  <v>0.05712640782987298</v>
                </pt>
                <pt idx="40">
                  <v>0.05396528457084104</v>
                </pt>
                <pt idx="41">
                  <v>0.05268476675088069</v>
                </pt>
                <pt idx="42">
                  <v>0.05264166885592769</v>
                </pt>
                <pt idx="43">
                  <v>0.05138965424667599</v>
                </pt>
                <pt idx="44">
                  <v>0.05160421808391295</v>
                </pt>
                <pt idx="45">
                  <v>0.06590649621559148</v>
                </pt>
                <pt idx="46">
                  <v>0.05445000695313586</v>
                </pt>
                <pt idx="47">
                  <v>0.0510862818125388</v>
                </pt>
                <pt idx="48">
                  <v>0.06762744013830659</v>
                </pt>
                <pt idx="49">
                  <v>0.06636490298967858</v>
                </pt>
                <pt idx="50">
                  <v>0.06433732622671576</v>
                </pt>
                <pt idx="51">
                  <v>0.04934203808214142</v>
                </pt>
                <pt idx="52">
                  <v>0.04579604501019572</v>
                </pt>
                <pt idx="53">
                  <v>0.05202206627996592</v>
                </pt>
                <pt idx="54">
                  <v>0.05935124415694792</v>
                </pt>
                <pt idx="55">
                  <v>0.05589974465797608</v>
                </pt>
                <pt idx="56">
                  <v>0.05491919138041391</v>
                </pt>
                <pt idx="57">
                  <v>0.04640661157024793</v>
                </pt>
                <pt idx="58">
                  <v>0.04508377788474854</v>
                </pt>
                <pt idx="59">
                  <v>0.04255333110231829</v>
                </pt>
                <pt idx="60">
                  <v>0.04808795473766333</v>
                </pt>
                <pt idx="61">
                  <v>0.04519068884598634</v>
                </pt>
                <pt idx="62">
                  <v>0.0405655689569499</v>
                </pt>
                <pt idx="63">
                  <v>0.05568278394457023</v>
                </pt>
                <pt idx="64">
                  <v>0.05677879912677899</v>
                </pt>
                <pt idx="65">
                  <v>0.0524442045330403</v>
                </pt>
                <pt idx="66">
                  <v>0.05063291139240506</v>
                </pt>
                <pt idx="67">
                  <v>0.05340494721234067</v>
                </pt>
                <pt idx="68">
                  <v>0.04627072259687399</v>
                </pt>
                <pt idx="69">
                  <v>0.05710530805148197</v>
                </pt>
                <pt idx="70">
                  <v>0.06291959012669729</v>
                </pt>
                <pt idx="71">
                  <v>0.06782391963847384</v>
                </pt>
                <pt idx="72">
                  <v>0.06299572147021293</v>
                </pt>
                <pt idx="73">
                  <v>0.06942017177792013</v>
                </pt>
                <pt idx="74">
                  <v>0.0697820087444572</v>
                </pt>
                <pt idx="75">
                  <v>0.06445269290332097</v>
                </pt>
                <pt idx="76">
                  <v>0.06866663397410749</v>
                </pt>
                <pt idx="77">
                  <v>0.06809994260383211</v>
                </pt>
                <pt idx="78">
                  <v>0.06205304113839664</v>
                </pt>
                <pt idx="79">
                  <v>0.065552675933813</v>
                </pt>
                <pt idx="80">
                  <v>0.07421681506807939</v>
                </pt>
                <pt idx="81">
                  <v>0.06789913153663624</v>
                </pt>
                <pt idx="82">
                  <v>0.06674581503027426</v>
                </pt>
                <pt idx="83">
                  <v>0.08370368623937569</v>
                </pt>
                <pt idx="84">
                  <v>0.06512925226110546</v>
                </pt>
                <pt idx="85">
                  <v>0.06263412251164575</v>
                </pt>
                <pt idx="86">
                  <v>0.07793179011808901</v>
                </pt>
                <pt idx="87">
                  <v>0.06994319100293282</v>
                </pt>
                <pt idx="88">
                  <v>0.0632851128268077</v>
                </pt>
                <pt idx="89">
                  <v>0.06272330743681651</v>
                </pt>
                <pt idx="90">
                  <v>0.0643506445335905</v>
                </pt>
                <pt idx="91">
                  <v>0.06038598042884195</v>
                </pt>
                <pt idx="92">
                  <v>0.06491103763186899</v>
                </pt>
                <pt idx="93">
                  <v>0.05955212770125429</v>
                </pt>
                <pt idx="94">
                  <v>0.0543894404131238</v>
                </pt>
                <pt idx="95">
                  <v>0.03417836494270066</v>
                </pt>
                <pt idx="96">
                  <v>0.05508074273370643</v>
                </pt>
                <pt idx="97">
                  <v>0.04514533085961658</v>
                </pt>
                <pt idx="98">
                  <v>0.02251801656448317</v>
                </pt>
                <pt idx="99">
                  <v>0.03739336416172495</v>
                </pt>
                <pt idx="100">
                  <v>0.03483824330666609</v>
                </pt>
                <pt idx="101">
                  <v>0.03154401045729133</v>
                </pt>
                <pt idx="102">
                  <v>0.03340660518979198</v>
                </pt>
                <pt idx="103">
                  <v>0.03823924120342399</v>
                </pt>
                <pt idx="104">
                  <v>0.007646366127865407</v>
                </pt>
                <pt idx="105">
                  <v>0.02506510588620601</v>
                </pt>
                <pt idx="106">
                  <v>0.03153400394768786</v>
                </pt>
                <pt idx="107">
                  <v>0.03361680419473764</v>
                </pt>
                <pt idx="108">
                  <v>0.03003503039633045</v>
                </pt>
                <pt idx="109">
                  <v>0.03585903545059434</v>
                </pt>
                <pt idx="110">
                  <v>0.0407727466377737</v>
                </pt>
                <pt idx="111">
                  <v>0.03884904060710404</v>
                </pt>
                <pt idx="112">
                  <v>0.03716851987968451</v>
                </pt>
                <pt idx="113">
                  <v>0.03922550231275063</v>
                </pt>
                <pt idx="114">
                  <v>0.03243562938713677</v>
                </pt>
                <pt idx="115">
                  <v>0.02615547029894173</v>
                </pt>
                <pt idx="116">
                  <v>0.04325041007446848</v>
                </pt>
                <pt idx="117">
                  <v>0.03252736379939398</v>
                </pt>
                <pt idx="118">
                  <v>0.03116350222304083</v>
                </pt>
                <pt idx="119">
                  <v>0.02622433663215203</v>
                </pt>
                <pt idx="120">
                  <v>0.02942866002755283</v>
                </pt>
                <pt idx="121">
                  <v>0.01480653934424572</v>
                </pt>
                <pt idx="122">
                  <v>0.02956352114170781</v>
                </pt>
                <pt idx="123">
                  <v>0.01859046894245116</v>
                </pt>
                <pt idx="124">
                  <v>0.03006146995109545</v>
                </pt>
                <pt idx="125">
                  <v>0.04134280051182979</v>
                </pt>
                <pt idx="126">
                  <v>0.05275799862313633</v>
                </pt>
                <pt idx="127">
                  <v>0.06299682832824795</v>
                </pt>
                <pt idx="128">
                  <v>0.06260548947114612</v>
                </pt>
                <pt idx="129">
                  <v>0.05946177956119862</v>
                </pt>
                <pt idx="130">
                  <v>0.05841404358353511</v>
                </pt>
                <pt idx="131">
                  <v>0.05761841250638359</v>
                </pt>
                <pt idx="132">
                  <v>0.06218704012799874</v>
                </pt>
                <pt idx="133">
                  <v>0.07121899704603307</v>
                </pt>
                <pt idx="134">
                  <v>0.07542863313519431</v>
                </pt>
                <pt idx="135">
                  <v>0.071741406514975</v>
                </pt>
                <pt idx="136">
                  <v>0.06924953644969259</v>
                </pt>
                <pt idx="137">
                  <v>0.05489967425454405</v>
                </pt>
                <pt idx="138">
                  <v>0.05281095168542544</v>
                </pt>
                <pt idx="139">
                  <v>0.04363672415339656</v>
                </pt>
                <pt idx="140">
                  <v>0.05268158933509821</v>
                </pt>
                <pt idx="141">
                  <v>0.0562846832926634</v>
                </pt>
                <pt idx="142">
                  <v>0.05514328440771247</v>
                </pt>
                <pt idx="143">
                  <v>0.06624630818995828</v>
                </pt>
                <pt idx="144">
                  <v>0.06110323345498501</v>
                </pt>
                <pt idx="145">
                  <v>0.0706553077509719</v>
                </pt>
                <pt idx="146">
                  <v>0.0494760287727754</v>
                </pt>
                <pt idx="147">
                  <v>0.06829668767256483</v>
                </pt>
                <pt idx="148">
                  <v>0.05943905956227297</v>
                </pt>
                <pt idx="149">
                  <v>0.0710451906430291</v>
                </pt>
                <pt idx="150">
                  <v>0.06088427046779649</v>
                </pt>
                <pt idx="151">
                  <v>0.06813082421062155</v>
                </pt>
                <pt idx="152">
                  <v>0.0652688398995864</v>
                </pt>
                <pt idx="153">
                  <v>0.0718337748521581</v>
                </pt>
                <pt idx="154">
                  <v>0.07041496356850897</v>
                </pt>
                <pt idx="155">
                  <v>0.05925932439621704</v>
                </pt>
                <pt idx="156">
                  <v>0.07903153725497068</v>
                </pt>
                <pt idx="157">
                  <v>0.07030116661889002</v>
                </pt>
                <pt idx="158">
                  <v>0.07360743859160809</v>
                </pt>
                <pt idx="159">
                  <v>0.05990769561017495</v>
                </pt>
                <pt idx="160">
                  <v>0.06162639937628415</v>
                </pt>
                <pt idx="161">
                  <v>0.05037744700814603</v>
                </pt>
                <pt idx="162">
                  <v>0.05164212910532277</v>
                </pt>
                <pt idx="163">
                  <v>0.04949580935198479</v>
                </pt>
                <pt idx="164">
                  <v>0.05157390193623453</v>
                </pt>
                <pt idx="165">
                  <v>0.0406519287821481</v>
                </pt>
                <pt idx="166">
                  <v>0.03715202404027743</v>
                </pt>
                <pt idx="167">
                  <v>0.05179334133048867</v>
                </pt>
                <pt idx="168">
                  <v>0.03125355292436129</v>
                </pt>
                <pt idx="169">
                  <v>0.02763123721715417</v>
                </pt>
                <pt idx="170">
                  <v>0.03575291358294749</v>
                </pt>
                <pt idx="171">
                  <v>0.02735348085499374</v>
                </pt>
                <pt idx="172">
                  <v>0.0376850168787328</v>
                </pt>
                <pt idx="173">
                  <v>0.03966185104879772</v>
                </pt>
                <pt idx="174">
                  <v>0.0473018827287172</v>
                </pt>
                <pt idx="175">
                  <v>0.03945796745867768</v>
                </pt>
                <pt idx="176">
                  <v>0.03221526015546389</v>
                </pt>
                <pt idx="177">
                  <v>0.03303438983138947</v>
                </pt>
                <pt idx="178">
                  <v>0.04431727229069954</v>
                </pt>
                <pt idx="179">
                  <v>0.02353224387029049</v>
                </pt>
                <pt idx="180">
                  <v>0.019710756655235</v>
                </pt>
                <pt idx="181">
                  <v>0.01536134705982238</v>
                </pt>
                <pt idx="182">
                  <v>0.00876071133847243</v>
                </pt>
                <pt idx="183">
                  <v>0.02347889856169568</v>
                </pt>
                <pt idx="184">
                  <v>0.02657652726078388</v>
                </pt>
                <pt idx="185">
                  <v>0.02615504784221832</v>
                </pt>
                <pt idx="186">
                  <v>0.02370411184274345</v>
                </pt>
                <pt idx="187">
                  <v>0.01579278376930423</v>
                </pt>
                <pt idx="188">
                  <v>0.003573051424754255</v>
                </pt>
                <pt idx="189">
                  <v>-0.01005554157877422</v>
                </pt>
                <pt idx="190">
                  <v>-0.03205162595706523</v>
                </pt>
                <pt idx="191">
                  <v>-0.0362083590376311</v>
                </pt>
                <pt idx="192">
                  <v>-0.02570864819155221</v>
                </pt>
                <pt idx="193">
                  <v>-0.02176001368994606</v>
                </pt>
                <pt idx="194">
                  <v>-0.03917775184451414</v>
                </pt>
                <pt idx="195">
                  <v>-0.04059910550220158</v>
                </pt>
                <pt idx="196">
                  <v>-0.04901942113662593</v>
                </pt>
                <pt idx="197">
                  <v>-0.04890636239424237</v>
                </pt>
                <pt idx="198">
                  <v>-0.05353866913291994</v>
                </pt>
                <pt idx="199">
                  <v>-0.04550666146896283</v>
                </pt>
                <pt idx="200">
                  <v>-0.03184947543178678</v>
                </pt>
                <pt idx="201">
                  <v>-0.02137492327000747</v>
                </pt>
                <pt idx="202">
                  <v>-0.008484104675561186</v>
                </pt>
                <pt idx="203">
                  <v>0.007368913745304418</v>
                </pt>
                <pt idx="204">
                  <v>-0.001882522659628013</v>
                </pt>
                <pt idx="205">
                  <v>0.01015393912407366</v>
                </pt>
                <pt idx="206">
                  <v>0.0343714440203049</v>
                </pt>
                <pt idx="207">
                  <v>0.03763129999036331</v>
                </pt>
                <pt idx="208">
                  <v>0.02562890751725215</v>
                </pt>
                <pt idx="209">
                  <v>0.02735126872271376</v>
                </pt>
                <pt idx="210">
                  <v>0.0268238667537034</v>
                </pt>
                <pt idx="211">
                  <v>0.03241280175537644</v>
                </pt>
                <pt idx="212">
                  <v>0.03539950354354787</v>
                </pt>
                <pt idx="213">
                  <v>0.03932081502197363</v>
                </pt>
                <pt idx="214">
                  <v>0.04830962239515746</v>
                </pt>
                <pt idx="215">
                  <v>0.04306007283240208</v>
                </pt>
                <pt idx="216">
                  <v>0.04837480047330511</v>
                </pt>
                <pt idx="217">
                  <v>0.04499728434127565</v>
                </pt>
                <pt idx="218">
                  <v>0.04242412421003355</v>
                </pt>
                <pt idx="219">
                  <v>0.04138998529525578</v>
                </pt>
                <pt idx="220">
                  <v>0.05071111145822757</v>
                </pt>
                <pt idx="221">
                  <v>0.05919791845192652</v>
                </pt>
                <pt idx="222">
                  <v>0.05936404304195381</v>
                </pt>
                <pt idx="223">
                  <v>0.05879181824528199</v>
                </pt>
                <pt idx="224">
                  <v>0.05725613734369511</v>
                </pt>
                <pt idx="225">
                  <v>0.05856801285451792</v>
                </pt>
                <pt idx="226">
                  <v>0.04952275029899522</v>
                </pt>
                <pt idx="227">
                  <v>0.04652508623512301</v>
                </pt>
                <pt idx="228">
                  <v>0.05355472315541096</v>
                </pt>
                <pt idx="229">
                  <v>0.05665216654426303</v>
                </pt>
                <pt idx="230">
                  <v>0.05370955971783021</v>
                </pt>
                <pt idx="231">
                  <v>0.04129446038139687</v>
                </pt>
                <pt idx="232">
                  <v>0.04047735854666547</v>
                </pt>
                <pt idx="233">
                  <v>0.02814327216563086</v>
                </pt>
                <pt idx="234">
                  <v>0.03441179285919403</v>
                </pt>
                <pt idx="235">
                  <v>0.03267020999923077</v>
                </pt>
                <pt idx="236">
                  <v>0.03419630468122398</v>
                </pt>
                <pt idx="237">
                  <v>0.02686489116777666</v>
                </pt>
                <pt idx="238">
                  <v>0.03305776126119587</v>
                </pt>
                <pt idx="239">
                  <v>0.04156813667353042</v>
                </pt>
                <pt idx="240">
                  <v>0.03775043229116113</v>
                </pt>
                <pt idx="241">
                  <v>0.03147310528698268</v>
                </pt>
                <pt idx="242">
                  <v>0.0248573163758537</v>
                </pt>
                <pt idx="243">
                  <v>0.02623211730406204</v>
                </pt>
                <pt idx="244">
                  <v>0.03268739618867318</v>
                </pt>
                <pt idx="245">
                  <v>0.03159705704567159</v>
                </pt>
                <pt idx="246">
                  <v>0.03511419409258672</v>
                </pt>
                <pt idx="247">
                  <v>0.03096268444948922</v>
                </pt>
                <pt idx="248">
                  <v>0.03075999646923824</v>
                </pt>
                <pt idx="249">
                  <v>0.03590120802331174</v>
                </pt>
                <pt idx="250">
                  <v>0.03341565462995816</v>
                </pt>
                <pt idx="251">
                  <v>0.02983583653510304</v>
                </pt>
                <pt idx="252">
                  <v>0.01499982679183843</v>
                </pt>
                <pt idx="253">
                  <v>0.02245090484368683</v>
                </pt>
                <pt idx="254">
                  <v>0.03338231115238802</v>
                </pt>
                <pt idx="255">
                  <v>0.04587593017595104</v>
                </pt>
                <pt idx="256">
                  <v>0.04391468873008516</v>
                </pt>
                <pt idx="257">
                  <v>0.05252117593623122</v>
                </pt>
                <pt idx="258">
                  <v>0.04554816304777623</v>
                </pt>
                <pt idx="259">
                  <v>0.05425444436416434</v>
                </pt>
                <pt idx="260">
                  <v>0.05115829785193381</v>
                </pt>
                <pt idx="261">
                  <v>0.05441951605855364</v>
                </pt>
                <pt idx="262">
                  <v>0.0537854090675768</v>
                </pt>
                <pt idx="263">
                  <v>0.05412390365009056</v>
                </pt>
                <pt idx="264">
                  <v>0.06288737201365188</v>
                </pt>
                <pt idx="265">
                  <v>0.04960051912235876</v>
                </pt>
                <pt idx="266">
                  <v>0.04850116868265823</v>
                </pt>
                <pt idx="267">
                  <v>0.04251046470261626</v>
                </pt>
                <pt idx="268">
                  <v>0.04249474821240416</v>
                </pt>
                <pt idx="269">
                  <v>0.03654900927313755</v>
                </pt>
                <pt idx="270">
                  <v>0.04390263152702232</v>
                </pt>
                <pt idx="271">
                  <v>0.0375434863487132</v>
                </pt>
                <pt idx="272">
                  <v>0.03637673036314815</v>
                </pt>
                <pt idx="273">
                  <v>0.02914180445431558</v>
                </pt>
                <pt idx="274">
                  <v>0.0287976102532009</v>
                </pt>
                <pt idx="275">
                  <v>0.03453346203346203</v>
                </pt>
                <pt idx="276">
                  <v>0.02753784205557661</v>
                </pt>
                <pt idx="277">
                  <v>0.04303516228748068</v>
                </pt>
                <pt idx="278">
                  <v>0.03358259078493709</v>
                </pt>
                <pt idx="279">
                  <v>0.03172608663760249</v>
                </pt>
                <pt idx="280">
                  <v>0.03008959815908997</v>
                </pt>
                <pt idx="281">
                  <v>0.0396904595436344</v>
                </pt>
                <pt idx="282">
                  <v>0.02465409914564379</v>
                </pt>
                <pt idx="283">
                  <v>0.0266291731934248</v>
                </pt>
                <pt idx="284">
                  <v>0.02997468832046787</v>
                </pt>
                <pt idx="285">
                  <v>0.03116682920690848</v>
                </pt>
                <pt idx="286">
                  <v>0.02863745539605792</v>
                </pt>
                <pt idx="287">
                  <v>0.02573297297633525</v>
                </pt>
                <pt idx="288">
                  <v>0.04381847613452416</v>
                </pt>
                <pt idx="289">
                  <v>0.0318808366134136</v>
                </pt>
                <pt idx="290">
                  <v>0.03837703690409144</v>
                </pt>
                <pt idx="291">
                  <v>0.04209182490641625</v>
                </pt>
                <pt idx="292">
                  <v>0.03649558461434028</v>
                </pt>
                <pt idx="293">
                  <v>0.03171032159658137</v>
                </pt>
                <pt idx="294">
                  <v>0.03762859022683531</v>
                </pt>
                <pt idx="295">
                  <v>0.03931517090089096</v>
                </pt>
                <pt idx="296">
                  <v>0.04598129243393738</v>
                </pt>
                <pt idx="297">
                  <v>0.04484146233567334</v>
                </pt>
                <pt idx="298">
                  <v>0.05826837900204541</v>
                </pt>
                <pt idx="299">
                  <v>0.06128129481787833</v>
                </pt>
                <pt idx="300">
                  <v>0.04201195123703686</v>
                </pt>
                <pt idx="301">
                  <v>0.05002812249440542</v>
                </pt>
                <pt idx="302">
                  <v>0.04503164821017749</v>
                </pt>
                <pt idx="303">
                  <v>0.04320962019909588</v>
                </pt>
                <pt idx="304">
                  <v>0.06051404790397771</v>
                </pt>
                <pt idx="305">
                  <v>0.05233717405924929</v>
                </pt>
                <pt idx="306">
                  <v>0.06013979383520446</v>
                </pt>
                <pt idx="307">
                  <v>0.0548139850244679</v>
                </pt>
                <pt idx="308">
                  <v>0.04167177421708548</v>
                </pt>
                <pt idx="309">
                  <v>0.05114241915468282</v>
                </pt>
                <pt idx="310">
                  <v>0.04386086195076707</v>
                </pt>
                <pt idx="311">
                  <v>0.01440497345850785</v>
                </pt>
                <pt idx="312">
                  <v>0.0387666387976682</v>
                </pt>
                <pt idx="313">
                  <v>0.02597058471567695</v>
                </pt>
                <pt idx="314">
                  <v>0.03508661866400514</v>
                </pt>
                <pt idx="315">
                  <v>0.03609987176242781</v>
                </pt>
                <pt idx="316">
                  <v>0.02843789473684211</v>
                </pt>
                <pt idx="317">
                  <v>0.03769834566483102</v>
                </pt>
                <pt idx="318">
                  <v>0.04103199047496604</v>
                </pt>
                <pt idx="319">
                  <v>0.04157746762284315</v>
                </pt>
                <pt idx="320">
                  <v>0.04139161912873906</v>
                </pt>
                <pt idx="321">
                  <v>0.03593155365426817</v>
                </pt>
                <pt idx="322">
                  <v>0.02874227703073735</v>
                </pt>
                <pt idx="323">
                  <v>0.06374697234270264</v>
                </pt>
                <pt idx="324">
                  <v>0.04489558843866685</v>
                </pt>
                <pt idx="325">
                  <v>0.05715253728939235</v>
                </pt>
                <pt idx="326">
                  <v>0.01784400750456638</v>
                </pt>
                <pt idx="327">
                  <v>-0.1363138641060191</v>
                </pt>
                <pt idx="328">
                  <v>-0.02951299330478382</v>
                </pt>
                <pt idx="329">
                  <v>0.04307636375475476</v>
                </pt>
                <pt idx="330">
                  <v>0.05995570172494798</v>
                </pt>
                <pt idx="331">
                  <v>0.0642838168885216</v>
                </pt>
                <pt idx="332">
                  <v>0.08730066912217735</v>
                </pt>
                <pt idx="333">
                  <v>0.07973721257625528</v>
                </pt>
                <pt idx="334">
                  <v>0.06948598343924101</v>
                </pt>
                <pt idx="335">
                  <v>0.03936784804630204</v>
                </pt>
                <pt idx="336">
                  <v>0.1029800255173619</v>
                </pt>
                <pt idx="337">
                  <v>0.07224123845125292</v>
                </pt>
                <pt idx="338">
                  <v>0.2138928586895327</v>
                </pt>
                <pt idx="339">
                  <v>0.4184439304007422</v>
                </pt>
                <pt idx="340">
                  <v>0.2531189533366332</v>
                </pt>
                <pt idx="341">
                  <v>0.1837900404468663</v>
                </pt>
                <pt idx="342">
                  <v>0.1368212822974263</v>
                </pt>
                <pt idx="343">
                  <v>0.1483629102808781</v>
                </pt>
                <pt idx="344">
                  <v>0.1357487336964187</v>
                </pt>
                <pt idx="345">
                  <v>0.1529624175174651</v>
                </pt>
                <pt idx="346">
                  <v>0.1684089347251413</v>
                </pt>
                <pt idx="347">
                  <v>0.1658663704933985</v>
                </pt>
                <pt idx="348">
                  <v>0.1206808004108609</v>
                </pt>
                <pt idx="349">
                  <v>0.1576111855628428</v>
                </pt>
                <pt idx="350">
                  <v>0.06310203353549768</v>
                </pt>
                <pt idx="351">
                  <v>0.07545132580806305</v>
                </pt>
                <pt idx="352">
                  <v>0.08566125560799787</v>
                </pt>
                <pt idx="353">
                  <v>0.07264333771318834</v>
                </pt>
                <pt idx="354">
                  <v>0.09011752910377095</v>
                </pt>
                <pt idx="355">
                  <v>0.08043302151276517</v>
                </pt>
                <pt idx="356">
                  <v>0.07522838237953415</v>
                </pt>
              </numCache>
            </numRef>
          </val>
          <smooth val="0"/>
        </ser>
        <dLbls>
          <showLegendKey val="0"/>
          <showVal val="0"/>
          <showCatName val="0"/>
          <showSerName val="0"/>
          <showPercent val="0"/>
          <showBubbleSize val="0"/>
        </dLbls>
        <smooth val="0"/>
        <axId val="728847040"/>
        <axId val="728846712"/>
      </lineChart>
      <dateAx>
        <axId val="728847040"/>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28846712"/>
        <crosses val="autoZero"/>
        <lblOffset val="100"/>
        <baseTimeUnit val="months"/>
      </dateAx>
      <valAx>
        <axId val="7288467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28847040"/>
        <crosses val="autoZero"/>
        <crossBetween val="between"/>
      </valAx>
    </plotArea>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Retail Sales mil$</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'Retail Sales ex Auto and Gas'!$A$7:$A$378</f>
              <numCache>
                <formatCode>[$-409]mmm\-yy;@</formatCode>
                <ptCount val="372"/>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numCache>
            </numRef>
          </cat>
          <val>
            <numRef>
              <f>'Retail Sales ex Auto and Gas'!$B$7:$B$378</f>
              <numCache>
                <formatCode>#,##0</formatCode>
                <ptCount val="372"/>
                <pt idx="0">
                  <v>117814</v>
                </pt>
                <pt idx="1">
                  <v>117795</v>
                </pt>
                <pt idx="2">
                  <v>117746</v>
                </pt>
                <pt idx="3">
                  <v>118223</v>
                </pt>
                <pt idx="4">
                  <v>118385</v>
                </pt>
                <pt idx="5">
                  <v>118410</v>
                </pt>
                <pt idx="6">
                  <v>119092</v>
                </pt>
                <pt idx="7">
                  <v>120123</v>
                </pt>
                <pt idx="8">
                  <v>120264</v>
                </pt>
                <pt idx="9">
                  <v>121349</v>
                </pt>
                <pt idx="10">
                  <v>121717</v>
                </pt>
                <pt idx="11">
                  <v>123358</v>
                </pt>
                <pt idx="12">
                  <v>124089</v>
                </pt>
                <pt idx="13">
                  <v>123425</v>
                </pt>
                <pt idx="14">
                  <v>122864</v>
                </pt>
                <pt idx="15">
                  <v>124689</v>
                </pt>
                <pt idx="16">
                  <v>125899</v>
                </pt>
                <pt idx="17">
                  <v>125804</v>
                </pt>
                <pt idx="18">
                  <v>126951</v>
                </pt>
                <pt idx="19">
                  <v>126831</v>
                </pt>
                <pt idx="20">
                  <v>128154</v>
                </pt>
                <pt idx="21">
                  <v>128272</v>
                </pt>
                <pt idx="22">
                  <v>128916</v>
                </pt>
                <pt idx="23">
                  <v>129976</v>
                </pt>
                <pt idx="24">
                  <v>128826</v>
                </pt>
                <pt idx="25">
                  <v>130514</v>
                </pt>
                <pt idx="26">
                  <v>133193</v>
                </pt>
                <pt idx="27">
                  <v>132700</v>
                </pt>
                <pt idx="28">
                  <v>133058</v>
                </pt>
                <pt idx="29">
                  <v>134530</v>
                </pt>
                <pt idx="30">
                  <v>134944</v>
                </pt>
                <pt idx="31">
                  <v>136246</v>
                </pt>
                <pt idx="32">
                  <v>136802</v>
                </pt>
                <pt idx="33">
                  <v>137821</v>
                </pt>
                <pt idx="34">
                  <v>137650</v>
                </pt>
                <pt idx="35">
                  <v>138876</v>
                </pt>
                <pt idx="36">
                  <v>139434</v>
                </pt>
                <pt idx="37">
                  <v>137534</v>
                </pt>
                <pt idx="38">
                  <v>138645</v>
                </pt>
                <pt idx="39">
                  <v>138955</v>
                </pt>
                <pt idx="40">
                  <v>140053</v>
                </pt>
                <pt idx="41">
                  <v>140515</v>
                </pt>
                <pt idx="42">
                  <v>140839</v>
                </pt>
                <pt idx="43">
                  <v>141546</v>
                </pt>
                <pt idx="44">
                  <v>142624</v>
                </pt>
                <pt idx="45">
                  <v>141898</v>
                </pt>
                <pt idx="46">
                  <v>143820</v>
                </pt>
                <pt idx="47">
                  <v>144990</v>
                </pt>
                <pt idx="48">
                  <v>142871</v>
                </pt>
                <pt idx="49">
                  <v>144263</v>
                </pt>
                <pt idx="50">
                  <v>145592</v>
                </pt>
                <pt idx="51">
                  <v>146893</v>
                </pt>
                <pt idx="52">
                  <v>147611</v>
                </pt>
                <pt idx="53">
                  <v>147918</v>
                </pt>
                <pt idx="54">
                  <v>148253</v>
                </pt>
                <pt idx="55">
                  <v>148820</v>
                </pt>
                <pt idx="56">
                  <v>149984</v>
                </pt>
                <pt idx="57">
                  <v>151250</v>
                </pt>
                <pt idx="58">
                  <v>151651</v>
                </pt>
                <pt idx="59">
                  <v>152397</v>
                </pt>
                <pt idx="60">
                  <v>152533</v>
                </pt>
                <pt idx="61">
                  <v>153837</v>
                </pt>
                <pt idx="62">
                  <v>154959</v>
                </pt>
                <pt idx="63">
                  <v>154141</v>
                </pt>
                <pt idx="64">
                  <v>154371</v>
                </pt>
                <pt idx="65">
                  <v>155613</v>
                </pt>
                <pt idx="66">
                  <v>157052</v>
                </pt>
                <pt idx="67">
                  <v>157139</v>
                </pt>
                <pt idx="68">
                  <v>158221</v>
                </pt>
                <pt idx="69">
                  <v>158269</v>
                </pt>
                <pt idx="70">
                  <v>158488</v>
                </pt>
                <pt idx="71">
                  <v>158882</v>
                </pt>
                <pt idx="72">
                  <v>159868</v>
                </pt>
                <pt idx="73">
                  <v>160789</v>
                </pt>
                <pt idx="74">
                  <v>161245</v>
                </pt>
                <pt idx="75">
                  <v>162724</v>
                </pt>
                <pt idx="76">
                  <v>163136</v>
                </pt>
                <pt idx="77">
                  <v>163774</v>
                </pt>
                <pt idx="78">
                  <v>165004</v>
                </pt>
                <pt idx="79">
                  <v>165531</v>
                </pt>
                <pt idx="80">
                  <v>165542</v>
                </pt>
                <pt idx="81">
                  <v>167307</v>
                </pt>
                <pt idx="82">
                  <v>168460</v>
                </pt>
                <pt idx="83">
                  <v>169658</v>
                </pt>
                <pt idx="84">
                  <v>169939</v>
                </pt>
                <pt idx="85">
                  <v>171951</v>
                </pt>
                <pt idx="86">
                  <v>172497</v>
                </pt>
                <pt idx="87">
                  <v>173212</v>
                </pt>
                <pt idx="88">
                  <v>174338</v>
                </pt>
                <pt idx="89">
                  <v>174927</v>
                </pt>
                <pt idx="90">
                  <v>175243</v>
                </pt>
                <pt idx="91">
                  <v>176382</v>
                </pt>
                <pt idx="92">
                  <v>177828</v>
                </pt>
                <pt idx="93">
                  <v>178667</v>
                </pt>
                <pt idx="94">
                  <v>179704</v>
                </pt>
                <pt idx="95">
                  <v>183859</v>
                </pt>
                <pt idx="96">
                  <v>181007</v>
                </pt>
                <pt idx="97">
                  <v>182721</v>
                </pt>
                <pt idx="98">
                  <v>185940</v>
                </pt>
                <pt idx="99">
                  <v>185327</v>
                </pt>
                <pt idx="100">
                  <v>185371</v>
                </pt>
                <pt idx="101">
                  <v>185899</v>
                </pt>
                <pt idx="102">
                  <v>186520</v>
                </pt>
                <pt idx="103">
                  <v>187033</v>
                </pt>
                <pt idx="104">
                  <v>189371</v>
                </pt>
                <pt idx="105">
                  <v>189307</v>
                </pt>
                <pt idx="106">
                  <v>189478</v>
                </pt>
                <pt idx="107">
                  <v>190143</v>
                </pt>
                <pt idx="108">
                  <v>190977</v>
                </pt>
                <pt idx="109">
                  <v>190970</v>
                </pt>
                <pt idx="110">
                  <v>190127</v>
                </pt>
                <pt idx="111">
                  <v>192257</v>
                </pt>
                <pt idx="112">
                  <v>191829</v>
                </pt>
                <pt idx="113">
                  <v>191763</v>
                </pt>
                <pt idx="114">
                  <v>192751</v>
                </pt>
                <pt idx="115">
                  <v>194185</v>
                </pt>
                <pt idx="116">
                  <v>190819</v>
                </pt>
                <pt idx="117">
                  <v>194052</v>
                </pt>
                <pt idx="118">
                  <v>195453</v>
                </pt>
                <pt idx="119">
                  <v>196535</v>
                </pt>
                <pt idx="120">
                  <v>196713</v>
                </pt>
                <pt idx="121">
                  <v>197818</v>
                </pt>
                <pt idx="122">
                  <v>197879</v>
                </pt>
                <pt idx="123">
                  <v>199726</v>
                </pt>
                <pt idx="124">
                  <v>198959</v>
                </pt>
                <pt idx="125">
                  <v>199285</v>
                </pt>
                <pt idx="126">
                  <v>199003</v>
                </pt>
                <pt idx="127">
                  <v>199264</v>
                </pt>
                <pt idx="128">
                  <v>199072</v>
                </pt>
                <pt idx="129">
                  <v>200364</v>
                </pt>
                <pt idx="130">
                  <v>201544</v>
                </pt>
                <pt idx="131">
                  <v>201689</v>
                </pt>
                <pt idx="132">
                  <v>202502</v>
                </pt>
                <pt idx="133">
                  <v>200747</v>
                </pt>
                <pt idx="134">
                  <v>203729</v>
                </pt>
                <pt idx="135">
                  <v>203439</v>
                </pt>
                <pt idx="136">
                  <v>204940</v>
                </pt>
                <pt idx="137">
                  <v>207524</v>
                </pt>
                <pt idx="138">
                  <v>209502</v>
                </pt>
                <pt idx="139">
                  <v>211817</v>
                </pt>
                <pt idx="140">
                  <v>211535</v>
                </pt>
                <pt idx="141">
                  <v>212278</v>
                </pt>
                <pt idx="142">
                  <v>213317</v>
                </pt>
                <pt idx="143">
                  <v>213310</v>
                </pt>
                <pt idx="144">
                  <v>215095</v>
                </pt>
                <pt idx="145">
                  <v>215044</v>
                </pt>
                <pt idx="146">
                  <v>219096</v>
                </pt>
                <pt idx="147">
                  <v>218034</v>
                </pt>
                <pt idx="148">
                  <v>219132</v>
                </pt>
                <pt idx="149">
                  <v>218917</v>
                </pt>
                <pt idx="150">
                  <v>220566</v>
                </pt>
                <pt idx="151">
                  <v>221060</v>
                </pt>
                <pt idx="152">
                  <v>222679</v>
                </pt>
                <pt idx="153">
                  <v>224226</v>
                </pt>
                <pt idx="154">
                  <v>225080</v>
                </pt>
                <pt idx="155">
                  <v>227441</v>
                </pt>
                <pt idx="156">
                  <v>228238</v>
                </pt>
                <pt idx="157">
                  <v>230238</v>
                </pt>
                <pt idx="158">
                  <v>229936</v>
                </pt>
                <pt idx="159">
                  <v>232925</v>
                </pt>
                <pt idx="160">
                  <v>232157</v>
                </pt>
                <pt idx="161">
                  <v>234470</v>
                </pt>
                <pt idx="162">
                  <v>233995</v>
                </pt>
                <pt idx="163">
                  <v>236121</v>
                </pt>
                <pt idx="164">
                  <v>237213</v>
                </pt>
                <pt idx="165">
                  <v>240333</v>
                </pt>
                <pt idx="166">
                  <v>240929</v>
                </pt>
                <pt idx="167">
                  <v>240919</v>
                </pt>
                <pt idx="168">
                  <v>246276</v>
                </pt>
                <pt idx="169">
                  <v>246424</v>
                </pt>
                <pt idx="170">
                  <v>246861</v>
                </pt>
                <pt idx="171">
                  <v>246879</v>
                </pt>
                <pt idx="172">
                  <v>246464</v>
                </pt>
                <pt idx="173">
                  <v>246282</v>
                </pt>
                <pt idx="174">
                  <v>246079</v>
                </pt>
                <pt idx="175">
                  <v>247808</v>
                </pt>
                <pt idx="176">
                  <v>249447</v>
                </pt>
                <pt idx="177">
                  <v>250103</v>
                </pt>
                <pt idx="178">
                  <v>249880</v>
                </pt>
                <pt idx="179">
                  <v>253397</v>
                </pt>
                <pt idx="180">
                  <v>253973</v>
                </pt>
                <pt idx="181">
                  <v>253233</v>
                </pt>
                <pt idx="182">
                  <v>255687</v>
                </pt>
                <pt idx="183">
                  <v>253632</v>
                </pt>
                <pt idx="184">
                  <v>255752</v>
                </pt>
                <pt idx="185">
                  <v>256050</v>
                </pt>
                <pt idx="186">
                  <v>257719</v>
                </pt>
                <pt idx="187">
                  <v>257586</v>
                </pt>
                <pt idx="188">
                  <v>257483</v>
                </pt>
                <pt idx="189">
                  <v>258365</v>
                </pt>
                <pt idx="190">
                  <v>260954</v>
                </pt>
                <pt idx="191">
                  <v>259360</v>
                </pt>
                <pt idx="192">
                  <v>258979</v>
                </pt>
                <pt idx="193">
                  <v>257123</v>
                </pt>
                <pt idx="194">
                  <v>257927</v>
                </pt>
                <pt idx="195">
                  <v>259587</v>
                </pt>
                <pt idx="196">
                  <v>262549</v>
                </pt>
                <pt idx="197">
                  <v>262747</v>
                </pt>
                <pt idx="198">
                  <v>263828</v>
                </pt>
                <pt idx="199">
                  <v>261654</v>
                </pt>
                <pt idx="200">
                  <v>258403</v>
                </pt>
                <pt idx="201">
                  <v>255767</v>
                </pt>
                <pt idx="202">
                  <v>252590</v>
                </pt>
                <pt idx="203">
                  <v>249969</v>
                </pt>
                <pt idx="204">
                  <v>252321</v>
                </pt>
                <pt idx="205">
                  <v>251528</v>
                </pt>
                <pt idx="206">
                  <v>247822</v>
                </pt>
                <pt idx="207">
                  <v>249048</v>
                </pt>
                <pt idx="208">
                  <v>249679</v>
                </pt>
                <pt idx="209">
                  <v>249897</v>
                </pt>
                <pt idx="210">
                  <v>249703</v>
                </pt>
                <pt idx="211">
                  <v>249747</v>
                </pt>
                <pt idx="212">
                  <v>250173</v>
                </pt>
                <pt idx="213">
                  <v>250300</v>
                </pt>
                <pt idx="214">
                  <v>250447</v>
                </pt>
                <pt idx="215">
                  <v>251811</v>
                </pt>
                <pt idx="216">
                  <v>251846</v>
                </pt>
                <pt idx="217">
                  <v>254082</v>
                </pt>
                <pt idx="218">
                  <v>256340</v>
                </pt>
                <pt idx="219">
                  <v>258420</v>
                </pt>
                <pt idx="220">
                  <v>256078</v>
                </pt>
                <pt idx="221">
                  <v>256732</v>
                </pt>
                <pt idx="222">
                  <v>256401</v>
                </pt>
                <pt idx="223">
                  <v>257842</v>
                </pt>
                <pt idx="224">
                  <v>259029</v>
                </pt>
                <pt idx="225">
                  <v>260142</v>
                </pt>
                <pt idx="226">
                  <v>262546</v>
                </pt>
                <pt idx="227">
                  <v>262654</v>
                </pt>
                <pt idx="228">
                  <v>264029</v>
                </pt>
                <pt idx="229">
                  <v>265515</v>
                </pt>
                <pt idx="230">
                  <v>267215</v>
                </pt>
                <pt idx="231">
                  <v>269116</v>
                </pt>
                <pt idx="232">
                  <v>269064</v>
                </pt>
                <pt idx="233">
                  <v>271930</v>
                </pt>
                <pt idx="234">
                  <v>271622</v>
                </pt>
                <pt idx="235">
                  <v>273001</v>
                </pt>
                <pt idx="236">
                  <v>273860</v>
                </pt>
                <pt idx="237">
                  <v>275378</v>
                </pt>
                <pt idx="238">
                  <v>275548</v>
                </pt>
                <pt idx="239">
                  <v>274874</v>
                </pt>
                <pt idx="240">
                  <v>278169</v>
                </pt>
                <pt idx="241">
                  <v>280557</v>
                </pt>
                <pt idx="242">
                  <v>281567</v>
                </pt>
                <pt idx="243">
                  <v>280229</v>
                </pt>
                <pt idx="244">
                  <v>279955</v>
                </pt>
                <pt idx="245">
                  <v>279583</v>
                </pt>
                <pt idx="246">
                  <v>280969</v>
                </pt>
                <pt idx="247">
                  <v>281920</v>
                </pt>
                <pt idx="248">
                  <v>283225</v>
                </pt>
                <pt idx="249">
                  <v>282776</v>
                </pt>
                <pt idx="250">
                  <v>284657</v>
                </pt>
                <pt idx="251">
                  <v>286300</v>
                </pt>
                <pt idx="252">
                  <v>288670</v>
                </pt>
                <pt idx="253">
                  <v>289387</v>
                </pt>
                <pt idx="254">
                  <v>288566</v>
                </pt>
                <pt idx="255">
                  <v>287580</v>
                </pt>
                <pt idx="256">
                  <v>289106</v>
                </pt>
                <pt idx="257">
                  <v>288417</v>
                </pt>
                <pt idx="258">
                  <v>290835</v>
                </pt>
                <pt idx="259">
                  <v>290649</v>
                </pt>
                <pt idx="260">
                  <v>291937</v>
                </pt>
                <pt idx="261">
                  <v>292928</v>
                </pt>
                <pt idx="262">
                  <v>294169</v>
                </pt>
                <pt idx="263">
                  <v>294842</v>
                </pt>
                <pt idx="264">
                  <v>293000</v>
                </pt>
                <pt idx="265">
                  <v>295884</v>
                </pt>
                <pt idx="266">
                  <v>298199</v>
                </pt>
                <pt idx="267">
                  <v>300773</v>
                </pt>
                <pt idx="268">
                  <v>301802</v>
                </pt>
                <pt idx="269">
                  <v>303565</v>
                </pt>
                <pt idx="270">
                  <v>304082</v>
                </pt>
                <pt idx="271">
                  <v>306418</v>
                </pt>
                <pt idx="272">
                  <v>306872</v>
                </pt>
                <pt idx="273">
                  <v>308869</v>
                </pt>
                <pt idx="274">
                  <v>309991</v>
                </pt>
                <pt idx="275">
                  <v>310800</v>
                </pt>
                <pt idx="276">
                  <v>311426</v>
                </pt>
                <pt idx="277">
                  <v>310560</v>
                </pt>
                <pt idx="278">
                  <v>312662</v>
                </pt>
                <pt idx="279">
                  <v>313559</v>
                </pt>
                <pt idx="280">
                  <v>314627</v>
                </pt>
                <pt idx="281">
                  <v>314660</v>
                </pt>
                <pt idx="282">
                  <v>317432</v>
                </pt>
                <pt idx="283">
                  <v>317922</v>
                </pt>
                <pt idx="284">
                  <v>318035</v>
                </pt>
                <pt idx="285">
                  <v>317870</v>
                </pt>
                <pt idx="286">
                  <v>318918</v>
                </pt>
                <pt idx="287">
                  <v>321533</v>
                </pt>
                <pt idx="288">
                  <v>320002</v>
                </pt>
                <pt idx="289">
                  <v>323925</v>
                </pt>
                <pt idx="290">
                  <v>323162</v>
                </pt>
                <pt idx="291">
                  <v>323507</v>
                </pt>
                <pt idx="292">
                  <v>324094</v>
                </pt>
                <pt idx="293">
                  <v>327149</v>
                </pt>
                <pt idx="294">
                  <v>325258</v>
                </pt>
                <pt idx="295">
                  <v>326388</v>
                </pt>
                <pt idx="296">
                  <v>327568</v>
                </pt>
                <pt idx="297">
                  <v>327777</v>
                </pt>
                <pt idx="298">
                  <v>328051</v>
                </pt>
                <pt idx="299">
                  <v>329807</v>
                </pt>
                <pt idx="300">
                  <v>334024</v>
                </pt>
                <pt idx="301">
                  <v>334252</v>
                </pt>
                <pt idx="302">
                  <v>335564</v>
                </pt>
                <pt idx="303">
                  <v>337124</v>
                </pt>
                <pt idx="304">
                  <v>335922</v>
                </pt>
                <pt idx="305">
                  <v>337523</v>
                </pt>
                <pt idx="306">
                  <v>337497</v>
                </pt>
                <pt idx="307">
                  <v>339220</v>
                </pt>
                <pt idx="308">
                  <v>342630</v>
                </pt>
                <pt idx="309">
                  <v>342475</v>
                </pt>
                <pt idx="310">
                  <v>347166</v>
                </pt>
                <pt idx="311">
                  <v>350018</v>
                </pt>
                <pt idx="312">
                  <v>348057</v>
                </pt>
                <pt idx="313">
                  <v>350974</v>
                </pt>
                <pt idx="314">
                  <v>350675</v>
                </pt>
                <pt idx="315">
                  <v>351691</v>
                </pt>
                <pt idx="316">
                  <v>356250</v>
                </pt>
                <pt idx="317">
                  <v>355188</v>
                </pt>
                <pt idx="318">
                  <v>357794</v>
                </pt>
                <pt idx="319">
                  <v>357814</v>
                </pt>
                <pt idx="320">
                  <v>356908</v>
                </pt>
                <pt idx="321">
                  <v>359990</v>
                </pt>
                <pt idx="322">
                  <v>362393</v>
                </pt>
                <pt idx="323">
                  <v>355060</v>
                </pt>
                <pt idx="324">
                  <v>361550</v>
                </pt>
                <pt idx="325">
                  <v>360089</v>
                </pt>
                <pt idx="326">
                  <v>362979</v>
                </pt>
                <pt idx="327">
                  <v>364387</v>
                </pt>
                <pt idx="328">
                  <v>366381</v>
                </pt>
                <pt idx="329">
                  <v>368578</v>
                </pt>
                <pt idx="330">
                  <v>372475</v>
                </pt>
                <pt idx="331">
                  <v>372691</v>
                </pt>
                <pt idx="332">
                  <v>371681</v>
                </pt>
                <pt idx="333">
                  <v>372925</v>
                </pt>
                <pt idx="334">
                  <v>372809</v>
                </pt>
                <pt idx="335">
                  <v>377694</v>
                </pt>
                <pt idx="336">
                  <v>377782</v>
                </pt>
                <pt idx="337">
                  <v>380669</v>
                </pt>
                <pt idx="338">
                  <v>369456</v>
                </pt>
                <pt idx="339">
                  <v>314716</v>
                </pt>
                <pt idx="340">
                  <v>355568</v>
                </pt>
                <pt idx="341">
                  <v>384455</v>
                </pt>
                <pt idx="342">
                  <v>394807</v>
                </pt>
                <pt idx="343">
                  <v>396649</v>
                </pt>
                <pt idx="344">
                  <v>404129</v>
                </pt>
                <pt idx="345">
                  <v>402661</v>
                </pt>
                <pt idx="346">
                  <v>398714</v>
                </pt>
                <pt idx="347">
                  <v>392563</v>
                </pt>
                <pt idx="348">
                  <v>416686</v>
                </pt>
                <pt idx="349">
                  <v>408169</v>
                </pt>
                <pt idx="350">
                  <v>448480</v>
                </pt>
                <pt idx="351">
                  <v>446407</v>
                </pt>
                <pt idx="352">
                  <v>445569</v>
                </pt>
                <pt idx="353">
                  <v>455114</v>
                </pt>
                <pt idx="354">
                  <v>448825</v>
                </pt>
                <pt idx="355">
                  <v>455497</v>
                </pt>
                <pt idx="356">
                  <v>458989</v>
                </pt>
                <pt idx="357">
                  <v>464253</v>
                </pt>
                <pt idx="358">
                  <v>465861</v>
                </pt>
                <pt idx="359">
                  <v>457676</v>
                </pt>
                <pt idx="360">
                  <v>466972</v>
                </pt>
                <pt idx="361">
                  <v>472501</v>
                </pt>
                <pt idx="362">
                  <v>476780</v>
                </pt>
                <pt idx="363">
                  <v>480089</v>
                </pt>
                <pt idx="364">
                  <v>483737</v>
                </pt>
                <pt idx="365">
                  <v>488175</v>
                </pt>
                <pt idx="366">
                  <v>489272</v>
                </pt>
                <pt idx="367">
                  <v>492134</v>
                </pt>
                <pt idx="368">
                  <v>493518</v>
                </pt>
              </numCache>
            </numRef>
          </val>
          <smooth val="0"/>
        </ser>
        <dLbls>
          <showLegendKey val="0"/>
          <showVal val="0"/>
          <showCatName val="0"/>
          <showSerName val="0"/>
          <showPercent val="0"/>
          <showBubbleSize val="0"/>
        </dLbls>
        <smooth val="0"/>
        <axId val="1560528767"/>
        <axId val="1592998671"/>
      </lineChart>
      <dateAx>
        <axId val="1560528767"/>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92998671"/>
        <crosses val="autoZero"/>
        <lblOffset val="100"/>
        <baseTimeUnit val="months"/>
      </dateAx>
      <valAx>
        <axId val="1592998671"/>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60528767"/>
        <crosses val="autoZero"/>
        <crossBetween val="between"/>
      </valAx>
    </plotArea>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Retail Sales y/y %</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a:prstDash val="solid"/>
            </a:ln>
          </spPr>
          <marker>
            <symbol val="none"/>
            <spPr>
              <a:ln xmlns:a="http://schemas.openxmlformats.org/drawingml/2006/main">
                <a:prstDash val="solid"/>
              </a:ln>
            </spPr>
          </marker>
          <cat>
            <numRef>
              <f>'Retail Sales'!$A$7:$A$380</f>
              <numCache>
                <formatCode>[$-409]mmm\-yy;@</formatCode>
                <ptCount val="374"/>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numCache>
            </numRef>
          </cat>
          <val>
            <numRef>
              <f>'Retail Sales'!$D$7:$D$380</f>
              <numCache>
                <formatCode>General</formatCode>
                <ptCount val="374"/>
                <pt idx="12">
                  <formatCode>0.00%</formatCode>
                  <v>0.06711356226576069</v>
                </pt>
                <pt idx="13">
                  <formatCode>0.00%</formatCode>
                  <v>0.0580404718262257</v>
                </pt>
                <pt idx="14">
                  <formatCode>0.00%</formatCode>
                  <v>0.05243676742751388</v>
                </pt>
                <pt idx="15">
                  <formatCode>0.00%</formatCode>
                  <v>0.07309861634761913</v>
                </pt>
                <pt idx="16">
                  <formatCode>0.00%</formatCode>
                  <v>0.07737362026906262</v>
                </pt>
                <pt idx="17">
                  <formatCode>0.00%</formatCode>
                  <v>0.07273734472563931</v>
                </pt>
                <pt idx="18">
                  <formatCode>0.00%</formatCode>
                  <v>0.08063040709805867</v>
                </pt>
                <pt idx="19">
                  <formatCode>0.00%</formatCode>
                  <v>0.07691895113230036</v>
                </pt>
                <pt idx="20">
                  <formatCode>0.00%</formatCode>
                  <v>0.07304014167650531</v>
                </pt>
                <pt idx="21">
                  <formatCode>0.00%</formatCode>
                  <v>0.07184761904761905</v>
                </pt>
                <pt idx="22">
                  <formatCode>0.00%</formatCode>
                  <v>0.08037285895569084</v>
                </pt>
                <pt idx="23">
                  <formatCode>0.00%</formatCode>
                  <v>0.07679731954594032</v>
                </pt>
                <pt idx="24">
                  <formatCode>0.00%</formatCode>
                  <v>0.05730177947323938</v>
                </pt>
                <pt idx="25">
                  <formatCode>0.00%</formatCode>
                  <v>0.08247766829358136</v>
                </pt>
                <pt idx="26">
                  <formatCode>0.00%</formatCode>
                  <v>0.1118533307023551</v>
                </pt>
                <pt idx="27">
                  <formatCode>0.00%</formatCode>
                  <v>0.08424375809764129</v>
                </pt>
                <pt idx="28">
                  <formatCode>0.00%</formatCode>
                  <v>0.07007386815822807</v>
                </pt>
                <pt idx="29">
                  <formatCode>0.00%</formatCode>
                  <v>0.08404384896467722</v>
                </pt>
                <pt idx="30">
                  <formatCode>0.00%</formatCode>
                  <v>0.0719253304415662</v>
                </pt>
                <pt idx="31">
                  <formatCode>0.00%</formatCode>
                  <v>0.08553072100140005</v>
                </pt>
                <pt idx="32">
                  <formatCode>0.00%</formatCode>
                  <v>0.08797786249883095</v>
                </pt>
                <pt idx="33">
                  <formatCode>0.00%</formatCode>
                  <v>0.09124362984186697</v>
                </pt>
                <pt idx="34">
                  <formatCode>0.00%</formatCode>
                  <v>0.08110551186216826</v>
                </pt>
                <pt idx="35">
                  <formatCode>0.00%</formatCode>
                  <v>0.07673324427706157</v>
                </pt>
                <pt idx="36">
                  <formatCode>0.00%</formatCode>
                  <v>0.08874809605600026</v>
                </pt>
                <pt idx="37">
                  <formatCode>0.00%</formatCode>
                  <v>0.05489860374108064</v>
                </pt>
                <pt idx="38">
                  <formatCode>0.00%</formatCode>
                  <v>0.04524504251509821</v>
                </pt>
                <pt idx="39">
                  <formatCode>0.00%</formatCode>
                  <v>0.049014031590647</v>
                </pt>
                <pt idx="40">
                  <formatCode>0.00%</formatCode>
                  <v>0.06314912873371777</v>
                </pt>
                <pt idx="41">
                  <formatCode>0.00%</formatCode>
                  <v>0.06405012167969762</v>
                </pt>
                <pt idx="42">
                  <formatCode>0.00%</formatCode>
                  <v>0.05768982621307608</v>
                </pt>
                <pt idx="43">
                  <formatCode>0.00%</formatCode>
                  <v>0.05280302605486254</v>
                </pt>
                <pt idx="44">
                  <formatCode>0.00%</formatCode>
                  <v>0.04672717619396759</v>
                </pt>
                <pt idx="45">
                  <formatCode>0.00%</formatCode>
                  <v>0.03309599090048154</v>
                </pt>
                <pt idx="46">
                  <formatCode>0.00%</formatCode>
                  <v>0.04472515533392413</v>
                </pt>
                <pt idx="47">
                  <formatCode>0.00%</formatCode>
                  <v>0.04831541290071848</v>
                </pt>
                <pt idx="48">
                  <formatCode>0.00%</formatCode>
                  <v>0.03535195685930159</v>
                </pt>
                <pt idx="49">
                  <formatCode>0.00%</formatCode>
                  <v>0.06859409573636964</v>
                </pt>
                <pt idx="50">
                  <formatCode>0.00%</formatCode>
                  <v>0.06813585222250521</v>
                </pt>
                <pt idx="51">
                  <formatCode>0.00%</formatCode>
                  <v>0.06786979187393052</v>
                </pt>
                <pt idx="52">
                  <formatCode>0.00%</formatCode>
                  <v>0.06558580394707024</v>
                </pt>
                <pt idx="53">
                  <formatCode>0.00%</formatCode>
                  <v>0.05142579075425791</v>
                </pt>
                <pt idx="54">
                  <formatCode>0.00%</formatCode>
                  <v>0.0556900253757564</v>
                </pt>
                <pt idx="55">
                  <formatCode>0.00%</formatCode>
                  <v>0.04763195994596191</v>
                </pt>
                <pt idx="56">
                  <formatCode>0.00%</formatCode>
                  <v>0.05917702868515889</v>
                </pt>
                <pt idx="57">
                  <formatCode>0.00%</formatCode>
                  <v>0.0721907496507838</v>
                </pt>
                <pt idx="58">
                  <formatCode>0.00%</formatCode>
                  <v>0.05894164781658551</v>
                </pt>
                <pt idx="59">
                  <formatCode>0.00%</formatCode>
                  <v>0.05509531889410121</v>
                </pt>
                <pt idx="60">
                  <formatCode>0.00%</formatCode>
                  <v>0.07082928044695949</v>
                </pt>
                <pt idx="61">
                  <formatCode>0.00%</formatCode>
                  <v>0.06327119731330894</v>
                </pt>
                <pt idx="62">
                  <formatCode>0.00%</formatCode>
                  <v>0.05736566755964487</v>
                </pt>
                <pt idx="63">
                  <formatCode>0.00%</formatCode>
                  <v>0.04629767649853733</v>
                </pt>
                <pt idx="64">
                  <formatCode>0.00%</formatCode>
                  <v>0.0306520141100976</v>
                </pt>
                <pt idx="65">
                  <formatCode>0.00%</formatCode>
                  <v>0.04623081622452191</v>
                </pt>
                <pt idx="66">
                  <formatCode>0.00%</formatCode>
                  <v>0.05718525229739475</v>
                </pt>
                <pt idx="67">
                  <formatCode>0.00%</formatCode>
                  <v>0.05985912238049899</v>
                </pt>
                <pt idx="68">
                  <formatCode>0.00%</formatCode>
                  <v>0.05042507388623344</v>
                </pt>
                <pt idx="69">
                  <formatCode>0.00%</formatCode>
                  <v>0.03969962905998371</v>
                </pt>
                <pt idx="70">
                  <formatCode>0.00%</formatCode>
                  <v>0.04288953354181469</v>
                </pt>
                <pt idx="71">
                  <formatCode>0.00%</formatCode>
                  <v>0.04139807469672194</v>
                </pt>
                <pt idx="72">
                  <formatCode>0.00%</formatCode>
                  <v>0.03627153986244916</v>
                </pt>
                <pt idx="73">
                  <formatCode>0.00%</formatCode>
                  <v>0.02777901003451305</v>
                </pt>
                <pt idx="74">
                  <formatCode>0.00%</formatCode>
                  <v>0.03060651482793231</v>
                </pt>
                <pt idx="75">
                  <formatCode>0.00%</formatCode>
                  <v>0.05062440175411259</v>
                </pt>
                <pt idx="76">
                  <formatCode>0.00%</formatCode>
                  <v>0.06345518079747363</v>
                </pt>
                <pt idx="77">
                  <formatCode>0.00%</formatCode>
                  <v>0.05712718473659299</v>
                </pt>
                <pt idx="78">
                  <formatCode>0.00%</formatCode>
                  <v>0.03807558274268374</v>
                </pt>
                <pt idx="79">
                  <formatCode>0.00%</formatCode>
                  <v>0.03083175976520764</v>
                </pt>
                <pt idx="80">
                  <formatCode>0.00%</formatCode>
                  <v>0.03576887005453472</v>
                </pt>
                <pt idx="81">
                  <formatCode>0.00%</formatCode>
                  <v>0.0553133538697158</v>
                </pt>
                <pt idx="82">
                  <formatCode>0.00%</formatCode>
                  <v>0.06010675229994793</v>
                </pt>
                <pt idx="83">
                  <formatCode>0.00%</formatCode>
                  <v>0.06639386454769207</v>
                </pt>
                <pt idx="84">
                  <formatCode>0.00%</formatCode>
                  <v>0.06598384192549668</v>
                </pt>
                <pt idx="85">
                  <formatCode>0.00%</formatCode>
                  <v>0.07698416809102053</v>
                </pt>
                <pt idx="86">
                  <formatCode>0.00%</formatCode>
                  <v>0.07544093734849817</v>
                </pt>
                <pt idx="87">
                  <formatCode>0.00%</formatCode>
                  <v>0.06988126414278813</v>
                </pt>
                <pt idx="88">
                  <formatCode>0.00%</formatCode>
                  <v>0.07449119476958768</v>
                </pt>
                <pt idx="89">
                  <formatCode>0.00%</formatCode>
                  <v>0.06895397349469183</v>
                </pt>
                <pt idx="90">
                  <formatCode>0.00%</formatCode>
                  <v>0.08443163964601472</v>
                </pt>
                <pt idx="91">
                  <formatCode>0.00%</formatCode>
                  <v>0.1009015183243858</v>
                </pt>
                <pt idx="92">
                  <formatCode>0.00%</formatCode>
                  <v>0.09543911129742193</v>
                </pt>
                <pt idx="93">
                  <formatCode>0.00%</formatCode>
                  <v>0.07944374126465167</v>
                </pt>
                <pt idx="94">
                  <formatCode>0.00%</formatCode>
                  <v>0.08462857821205039</v>
                </pt>
                <pt idx="95">
                  <formatCode>0.00%</formatCode>
                  <v>0.09464568206709123</v>
                </pt>
                <pt idx="96">
                  <formatCode>0.00%</formatCode>
                  <v>0.08577863473597226</v>
                </pt>
                <pt idx="97">
                  <formatCode>0.00%</formatCode>
                  <v>0.09017313241423533</v>
                </pt>
                <pt idx="98">
                  <formatCode>0.00%</formatCode>
                  <v>0.09783896563967336</v>
                </pt>
                <pt idx="99">
                  <formatCode>0.00%</formatCode>
                  <v>0.07354729341682609</v>
                </pt>
                <pt idx="100">
                  <formatCode>0.00%</formatCode>
                  <v>0.06539737374133904</v>
                </pt>
                <pt idx="101">
                  <formatCode>0.00%</formatCode>
                  <v>0.07035846685639795</v>
                </pt>
                <pt idx="102">
                  <formatCode>0.00%</formatCode>
                  <v>0.05893822633770431</v>
                </pt>
                <pt idx="103">
                  <formatCode>0.00%</formatCode>
                  <v>0.04875686892364447</v>
                </pt>
                <pt idx="104">
                  <formatCode>0.00%</formatCode>
                  <v>0.06211230038612107</v>
                </pt>
                <pt idx="105">
                  <formatCode>0.00%</formatCode>
                  <v>0.0577080261861293</v>
                </pt>
                <pt idx="106">
                  <formatCode>0.00%</formatCode>
                  <v>0.04175645840016606</v>
                </pt>
                <pt idx="107">
                  <formatCode>0.00%</formatCode>
                  <v>0.02196670162267521</v>
                </pt>
                <pt idx="108">
                  <formatCode>0.00%</formatCode>
                  <v>0.04025458506812314</v>
                </pt>
                <pt idx="109">
                  <formatCode>0.00%</formatCode>
                  <v>0.02482538048672892</v>
                </pt>
                <pt idx="110">
                  <formatCode>0.00%</formatCode>
                  <v>0.004571353818424954</v>
                </pt>
                <pt idx="111">
                  <formatCode>0.00%</formatCode>
                  <v>0.03601602679987899</v>
                </pt>
                <pt idx="112">
                  <formatCode>0.00%</formatCode>
                  <v>0.03722263572518184</v>
                </pt>
                <pt idx="113">
                  <formatCode>0.00%</formatCode>
                  <v>0.02552464688284044</v>
                </pt>
                <pt idx="114">
                  <formatCode>0.00%</formatCode>
                  <v>0.02521365953856875</v>
                </pt>
                <pt idx="115">
                  <formatCode>0.00%</formatCode>
                  <v>0.03112656548853502</v>
                </pt>
                <pt idx="116">
                  <formatCode>0.00%</formatCode>
                  <v>-0.005274763284188681</v>
                </pt>
                <pt idx="117">
                  <formatCode>0.00%</formatCode>
                  <v>0.06360159897734782</v>
                </pt>
                <pt idx="118">
                  <formatCode>0.00%</formatCode>
                  <v>0.04014795546844716</v>
                </pt>
                <pt idx="119">
                  <formatCode>0.00%</formatCode>
                  <v>0.02869564271495444</v>
                </pt>
                <pt idx="120">
                  <formatCode>0.00%</formatCode>
                  <v>0.01676266165532181</v>
                </pt>
                <pt idx="121">
                  <formatCode>0.00%</formatCode>
                  <v>0.02253087637611964</v>
                </pt>
                <pt idx="122">
                  <formatCode>0.00%</formatCode>
                  <v>0.02825827455236028</v>
                </pt>
                <pt idx="123">
                  <formatCode>0.00%</formatCode>
                  <v>0.02857824563402752</v>
                </pt>
                <pt idx="124">
                  <formatCode>0.00%</formatCode>
                  <v>0.01227370904027055</v>
                </pt>
                <pt idx="125">
                  <formatCode>0.00%</formatCode>
                  <v>0.02486082431945678</v>
                </pt>
                <pt idx="126">
                  <formatCode>0.00%</formatCode>
                  <v>0.03892967542503864</v>
                </pt>
                <pt idx="127">
                  <formatCode>0.00%</formatCode>
                  <v>0.03993063575598853</v>
                </pt>
                <pt idx="128">
                  <formatCode>0.00%</formatCode>
                  <v>0.04464583242781182</v>
                </pt>
                <pt idx="129">
                  <formatCode>0.00%</formatCode>
                  <v>-0.01685339851972567</v>
                </pt>
                <pt idx="130">
                  <formatCode>0.00%</formatCode>
                  <v>0.01523104304606929</v>
                </pt>
                <pt idx="131">
                  <formatCode>0.00%</formatCode>
                  <v>0.03610087943462399</v>
                </pt>
                <pt idx="132">
                  <formatCode>0.00%</formatCode>
                  <v>0.04140976621470999</v>
                </pt>
                <pt idx="133">
                  <formatCode>0.00%</formatCode>
                  <v>0.02144505953257979</v>
                </pt>
                <pt idx="134">
                  <formatCode>0.00%</formatCode>
                  <v>0.0424362032209722</v>
                </pt>
                <pt idx="135">
                  <formatCode>0.00%</formatCode>
                  <v>0.02342876333382958</v>
                </pt>
                <pt idx="136">
                  <formatCode>0.00%</formatCode>
                  <v>0.04021393151805047</v>
                </pt>
                <pt idx="137">
                  <formatCode>0.00%</formatCode>
                  <v>0.04264159347466003</v>
                </pt>
                <pt idx="138">
                  <formatCode>0.00%</formatCode>
                  <v>0.04257106944229213</v>
                </pt>
                <pt idx="139">
                  <formatCode>0.00%</formatCode>
                  <v>0.05179907739620707</v>
                </pt>
                <pt idx="140">
                  <formatCode>0.00%</formatCode>
                  <v>0.0607572552962796</v>
                </pt>
                <pt idx="141">
                  <formatCode>0.00%</formatCode>
                  <v>0.05260449761029919</v>
                </pt>
                <pt idx="142">
                  <formatCode>0.00%</formatCode>
                  <v>0.05846976163357166</v>
                </pt>
                <pt idx="143">
                  <formatCode>0.00%</formatCode>
                  <v>0.04579056768737221</v>
                </pt>
                <pt idx="144">
                  <formatCode>0.00%</formatCode>
                  <v>0.04743808594808432</v>
                </pt>
                <pt idx="145">
                  <formatCode>0.00%</formatCode>
                  <v>0.06946528967911886</v>
                </pt>
                <pt idx="146">
                  <formatCode>0.00%</formatCode>
                  <v>0.06947439466801654</v>
                </pt>
                <pt idx="147">
                  <formatCode>0.00%</formatCode>
                  <v>0.06059539918809202</v>
                </pt>
                <pt idx="148">
                  <formatCode>0.00%</formatCode>
                  <v>0.07609055025134105</v>
                </pt>
                <pt idx="149">
                  <formatCode>0.00%</formatCode>
                  <v>0.05117045917243497</v>
                </pt>
                <pt idx="150">
                  <formatCode>0.00%</formatCode>
                  <v>0.05219539747710134</v>
                </pt>
                <pt idx="151">
                  <formatCode>0.00%</formatCode>
                  <v>0.03628223996049498</v>
                </pt>
                <pt idx="152">
                  <formatCode>0.00%</formatCode>
                  <v>0.06091529844769934</v>
                </pt>
                <pt idx="153">
                  <formatCode>0.00%</formatCode>
                  <v>0.07194997523039018</v>
                </pt>
                <pt idx="154">
                  <formatCode>0.00%</formatCode>
                  <v>0.06258447396824265</v>
                </pt>
                <pt idx="155">
                  <formatCode>0.00%</formatCode>
                  <v>0.07959155126591132</v>
                </pt>
                <pt idx="156">
                  <formatCode>0.00%</formatCode>
                  <v>0.0628674164279201</v>
                </pt>
                <pt idx="157">
                  <formatCode>0.00%</formatCode>
                  <v>0.06947169653781556</v>
                </pt>
                <pt idx="158">
                  <formatCode>0.00%</formatCode>
                  <v>0.05259819760690665</v>
                </pt>
                <pt idx="159">
                  <formatCode>0.00%</formatCode>
                  <v>0.07358888973946771</v>
                </pt>
                <pt idx="160">
                  <formatCode>0.00%</formatCode>
                  <v>0.04877666445116063</v>
                </pt>
                <pt idx="161">
                  <formatCode>0.00%</formatCode>
                  <v>0.0922027698931286</v>
                </pt>
                <pt idx="162">
                  <formatCode>0.00%</formatCode>
                  <v>0.0879833243865151</v>
                </pt>
                <pt idx="163">
                  <formatCode>0.00%</formatCode>
                  <v>0.07627509193452819</v>
                </pt>
                <pt idx="164">
                  <formatCode>0.00%</formatCode>
                  <v>0.05973152087845728</v>
                </pt>
                <pt idx="165">
                  <formatCode>0.00%</formatCode>
                  <v>0.05312174817898023</v>
                </pt>
                <pt idx="166">
                  <formatCode>0.00%</formatCode>
                  <v>0.05944740663014434</v>
                </pt>
                <pt idx="167">
                  <formatCode>0.00%</formatCode>
                  <v>0.04679788112355894</v>
                </pt>
                <pt idx="168">
                  <formatCode>0.00%</formatCode>
                  <v>0.08711697130479228</v>
                </pt>
                <pt idx="169">
                  <formatCode>0.00%</formatCode>
                  <v>0.06510002222048729</v>
                </pt>
                <pt idx="170">
                  <formatCode>0.00%</formatCode>
                  <v>0.06620281131119578</v>
                </pt>
                <pt idx="171">
                  <formatCode>0.00%</formatCode>
                  <v>0.06191637723830377</v>
                </pt>
                <pt idx="172">
                  <formatCode>0.00%</formatCode>
                  <v>0.06630954017971911</v>
                </pt>
                <pt idx="173">
                  <formatCode>0.00%</formatCode>
                  <v>0.04035197879057437</v>
                </pt>
                <pt idx="174">
                  <formatCode>0.00%</formatCode>
                  <v>0.03586514934675223</v>
                </pt>
                <pt idx="175">
                  <formatCode>0.00%</formatCode>
                  <v>0.05063689350930799</v>
                </pt>
                <pt idx="176">
                  <formatCode>0.00%</formatCode>
                  <v>0.04362476595843654</v>
                </pt>
                <pt idx="177">
                  <formatCode>0.00%</formatCode>
                  <v>0.04174694926140013</v>
                </pt>
                <pt idx="178">
                  <formatCode>0.00%</formatCode>
                  <v>0.03437990354854963</v>
                </pt>
                <pt idx="179">
                  <formatCode>0.00%</formatCode>
                  <v>0.04699126379873635</v>
                </pt>
                <pt idx="180">
                  <formatCode>0.00%</formatCode>
                  <v>0.01758873425479457</v>
                </pt>
                <pt idx="181">
                  <formatCode>0.00%</formatCode>
                  <v>0.02621889677648532</v>
                </pt>
                <pt idx="182">
                  <formatCode>0.00%</formatCode>
                  <v>0.03231411581122685</v>
                </pt>
                <pt idx="183">
                  <formatCode>0.00%</formatCode>
                  <v>0.0245199665382474</v>
                </pt>
                <pt idx="184">
                  <formatCode>0.00%</formatCode>
                  <v>0.03989302054364403</v>
                </pt>
                <pt idx="185">
                  <formatCode>0.00%</formatCode>
                  <v>0.02871082125522872</v>
                </pt>
                <pt idx="186">
                  <formatCode>0.00%</formatCode>
                  <v>0.02954825267544275</v>
                </pt>
                <pt idx="187">
                  <formatCode>0.00%</formatCode>
                  <v>0.02957379030804761</v>
                </pt>
                <pt idx="188">
                  <formatCode>0.00%</formatCode>
                  <v>0.03874515615902564</v>
                </pt>
                <pt idx="189">
                  <formatCode>0.00%</formatCode>
                  <v>0.0469422142374924</v>
                </pt>
                <pt idx="190">
                  <formatCode>0.00%</formatCode>
                  <v>0.05453897669136517</v>
                </pt>
                <pt idx="191">
                  <formatCode>0.00%</formatCode>
                  <v>0.02905451846149617</v>
                </pt>
                <pt idx="192">
                  <formatCode>0.00%</formatCode>
                  <v>0.03195678958021649</v>
                </pt>
                <pt idx="193">
                  <formatCode>0.00%</formatCode>
                  <v>0.02150239281770081</v>
                </pt>
                <pt idx="194">
                  <formatCode>0.00%</formatCode>
                  <v>0.01521688210525169</v>
                </pt>
                <pt idx="195">
                  <formatCode>0.00%</formatCode>
                  <v>0.01743644640579813</v>
                </pt>
                <pt idx="196">
                  <formatCode>0.00%</formatCode>
                  <v>0.01375446844991292</v>
                </pt>
                <pt idx="197">
                  <formatCode>0.00%</formatCode>
                  <v>0.02254762952460112</v>
                </pt>
                <pt idx="198">
                  <formatCode>0.00%</formatCode>
                  <v>0.01467476881286964</v>
                </pt>
                <pt idx="199">
                  <formatCode>0.00%</formatCode>
                  <v>0.002493550697709488</v>
                </pt>
                <pt idx="200">
                  <formatCode>0.00%</formatCode>
                  <v>-0.01646690928985783</v>
                </pt>
                <pt idx="201">
                  <formatCode>0.00%</formatCode>
                  <v>-0.05952479289294384</v>
                </pt>
                <pt idx="202">
                  <formatCode>0.00%</formatCode>
                  <v>-0.1042865438420525</v>
                </pt>
                <pt idx="203">
                  <formatCode>0.00%</formatCode>
                  <v>-0.1127630925091772</v>
                </pt>
                <pt idx="204">
                  <formatCode>0.00%</formatCode>
                  <v>-0.1020877527742541</v>
                </pt>
                <pt idx="205">
                  <formatCode>0.00%</formatCode>
                  <v>-0.09750882788778834</v>
                </pt>
                <pt idx="206">
                  <formatCode>0.00%</formatCode>
                  <v>-0.1153550014084696</v>
                </pt>
                <pt idx="207">
                  <formatCode>0.00%</formatCode>
                  <v>-0.1106363333798568</v>
                </pt>
                <pt idx="208">
                  <formatCode>0.00%</formatCode>
                  <v>-0.1111063834313736</v>
                </pt>
                <pt idx="209">
                  <formatCode>0.00%</formatCode>
                  <v>-0.09714839755083608</v>
                </pt>
                <pt idx="210">
                  <formatCode>0.00%</formatCode>
                  <v>-0.09204667260384281</v>
                </pt>
                <pt idx="211">
                  <formatCode>0.00%</formatCode>
                  <v>-0.06880768445595298</v>
                </pt>
                <pt idx="212">
                  <formatCode>0.00%</formatCode>
                  <v>-0.076956008387665</v>
                </pt>
                <pt idx="213">
                  <formatCode>0.00%</formatCode>
                  <v>-0.03200453322000283</v>
                </pt>
                <pt idx="214">
                  <formatCode>0.00%</formatCode>
                  <v>0.0148077206424046</v>
                </pt>
                <pt idx="215">
                  <formatCode>0.00%</formatCode>
                  <v>0.04209990635097006</v>
                </pt>
                <pt idx="216">
                  <formatCode>0.00%</formatCode>
                  <v>0.02705020939129609</v>
                </pt>
                <pt idx="217">
                  <formatCode>0.00%</formatCode>
                  <v>0.0335512670751186</v>
                </pt>
                <pt idx="218">
                  <formatCode>0.00%</formatCode>
                  <v>0.07464207407497263</v>
                </pt>
                <pt idx="219">
                  <formatCode>0.00%</formatCode>
                  <v>0.07879535961756681</v>
                </pt>
                <pt idx="220">
                  <formatCode>0.00%</formatCode>
                  <v>0.05983138672155474</v>
                </pt>
                <pt idx="221">
                  <formatCode>0.00%</formatCode>
                  <v>0.04084640891130183</v>
                </pt>
                <pt idx="222">
                  <formatCode>0.00%</formatCode>
                  <v>0.04207425767289152</v>
                </pt>
                <pt idx="223">
                  <formatCode>0.00%</formatCode>
                  <v>0.02867873585101596</v>
                </pt>
                <pt idx="224">
                  <formatCode>0.00%</formatCode>
                  <v>0.06244774849559979</v>
                </pt>
                <pt idx="225">
                  <formatCode>0.00%</formatCode>
                  <v>0.06416725693245214</v>
                </pt>
                <pt idx="226">
                  <formatCode>0.00%</formatCode>
                  <v>0.06627368421052632</v>
                </pt>
                <pt idx="227">
                  <formatCode>0.00%</formatCode>
                  <v>0.06691382140132689</v>
                </pt>
                <pt idx="228">
                  <formatCode>0.00%</formatCode>
                  <v>0.07508315440566635</v>
                </pt>
                <pt idx="229">
                  <formatCode>0.00%</formatCode>
                  <v>0.0813902864474462</v>
                </pt>
                <pt idx="230">
                  <formatCode>0.00%</formatCode>
                  <v>0.06833728411784626</v>
                </pt>
                <pt idx="231">
                  <formatCode>0.00%</formatCode>
                  <v>0.06399579254799824</v>
                </pt>
                <pt idx="232">
                  <formatCode>0.00%</formatCode>
                  <v>0.07329183780045448</v>
                </pt>
                <pt idx="233">
                  <formatCode>0.00%</formatCode>
                  <v>0.08356088487870514</v>
                </pt>
                <pt idx="234">
                  <formatCode>0.00%</formatCode>
                  <v>0.07921790984207144</v>
                </pt>
                <pt idx="235">
                  <formatCode>0.00%</formatCode>
                  <v>0.07635512184178794</v>
                </pt>
                <pt idx="236">
                  <formatCode>0.00%</formatCode>
                  <v>0.07816575187823582</v>
                </pt>
                <pt idx="237">
                  <formatCode>0.00%</formatCode>
                  <v>0.07296116090951849</v>
                </pt>
                <pt idx="238">
                  <formatCode>0.00%</formatCode>
                  <v>0.06589088175861524</v>
                </pt>
                <pt idx="239">
                  <formatCode>0.00%</formatCode>
                  <v>0.06054779012482768</v>
                </pt>
                <pt idx="240">
                  <formatCode>0.00%</formatCode>
                  <v>0.06347960486526442</v>
                </pt>
                <pt idx="241">
                  <formatCode>0.00%</formatCode>
                  <v>0.06751114476462684</v>
                </pt>
                <pt idx="242">
                  <formatCode>0.00%</formatCode>
                  <v>0.06096001859600186</v>
                </pt>
                <pt idx="243">
                  <formatCode>0.00%</formatCode>
                  <v>0.05232201968254469</v>
                </pt>
                <pt idx="244">
                  <formatCode>0.00%</formatCode>
                  <v>0.05036045016161738</v>
                </pt>
                <pt idx="245">
                  <formatCode>0.00%</formatCode>
                  <v>0.03189443999509557</v>
                </pt>
                <pt idx="246">
                  <formatCode>0.00%</formatCode>
                  <v>0.03837536623197564</v>
                </pt>
                <pt idx="247">
                  <formatCode>0.00%</formatCode>
                  <v>0.04806181758497703</v>
                </pt>
                <pt idx="248">
                  <formatCode>0.00%</formatCode>
                  <v>0.04563929048530269</v>
                </pt>
                <pt idx="249">
                  <formatCode>0.00%</formatCode>
                  <v>0.03965096487090622</v>
                </pt>
                <pt idx="250">
                  <formatCode>0.00%</formatCode>
                  <v>0.0408617425452167</v>
                </pt>
                <pt idx="251">
                  <formatCode>0.00%</formatCode>
                  <v>0.04442458214691574</v>
                </pt>
                <pt idx="252">
                  <formatCode>0.00%</formatCode>
                  <v>0.04240965926180552</v>
                </pt>
                <pt idx="253">
                  <formatCode>0.00%</formatCode>
                  <v>0.04245413789227868</v>
                </pt>
                <pt idx="254">
                  <formatCode>0.00%</formatCode>
                  <v>0.03102670457657586</v>
                </pt>
                <pt idx="255">
                  <formatCode>0.00%</formatCode>
                  <v>0.02942756416823032</v>
                </pt>
                <pt idx="256">
                  <formatCode>0.00%</formatCode>
                  <v>0.03780733009988307</v>
                </pt>
                <pt idx="257">
                  <formatCode>0.00%</formatCode>
                  <v>0.05055454009955682</v>
                </pt>
                <pt idx="258">
                  <formatCode>0.00%</formatCode>
                  <v>0.05243304413428895</v>
                </pt>
                <pt idx="259">
                  <formatCode>0.00%</formatCode>
                  <v>0.03800271945153584</v>
                </pt>
                <pt idx="260">
                  <formatCode>0.00%</formatCode>
                  <v>0.03059772354515298</v>
                </pt>
                <pt idx="261">
                  <formatCode>0.00%</formatCode>
                  <v>0.03417888808892133</v>
                </pt>
                <pt idx="262">
                  <formatCode>0.00%</formatCode>
                  <v>0.03265207935471518</v>
                </pt>
                <pt idx="263">
                  <formatCode>0.00%</formatCode>
                  <v>0.03416784642807368</v>
                </pt>
                <pt idx="264">
                  <formatCode>0.00%</formatCode>
                  <v>0.01654866398331798</v>
                </pt>
                <pt idx="265">
                  <formatCode>0.00%</formatCode>
                  <v>0.01826380087353821</v>
                </pt>
                <pt idx="266">
                  <formatCode>0.00%</formatCode>
                  <v>0.03707173835350482</v>
                </pt>
                <pt idx="267">
                  <formatCode>0.00%</formatCode>
                  <v>0.05250536995012318</v>
                </pt>
                <pt idx="268">
                  <formatCode>0.00%</formatCode>
                  <v>0.04826692659952807</v>
                </pt>
                <pt idx="269">
                  <formatCode>0.00%</formatCode>
                  <v>0.04819395981229695</v>
                </pt>
                <pt idx="270">
                  <formatCode>0.00%</formatCode>
                  <v>0.04264516129032258</v>
                </pt>
                <pt idx="271">
                  <formatCode>0.00%</formatCode>
                  <v>0.0527354367478896</v>
                </pt>
                <pt idx="272">
                  <formatCode>0.00%</formatCode>
                  <v>0.04978689085605022</v>
                </pt>
                <pt idx="273">
                  <formatCode>0.00%</formatCode>
                  <v>0.049655011277102</v>
                </pt>
                <pt idx="274">
                  <formatCode>0.00%</formatCode>
                  <v>0.04906248811470734</v>
                </pt>
                <pt idx="275">
                  <formatCode>0.00%</formatCode>
                  <v>0.03719308200636001</v>
                </pt>
                <pt idx="276">
                  <formatCode>0.00%</formatCode>
                  <v>0.040906868298966</v>
                </pt>
                <pt idx="277">
                  <formatCode>0.00%</formatCode>
                  <v>0.02526552566316711</v>
                </pt>
                <pt idx="278">
                  <formatCode>0.00%</formatCode>
                  <v>0.02948531671742714</v>
                </pt>
                <pt idx="279">
                  <formatCode>0.00%</formatCode>
                  <v>0.02184029443235066</v>
                </pt>
                <pt idx="280">
                  <formatCode>0.00%</formatCode>
                  <v>0.02699144476846556</v>
                </pt>
                <pt idx="281">
                  <formatCode>0.00%</formatCode>
                  <v>0.02563725816560562</v>
                </pt>
                <pt idx="282">
                  <formatCode>0.00%</formatCode>
                  <v>0.03184621413691397</v>
                </pt>
                <pt idx="283">
                  <formatCode>0.00%</formatCode>
                  <v>0.02408347664673928</v>
                </pt>
                <pt idx="284">
                  <formatCode>0.00%</formatCode>
                  <v>0.02243397581297801</v>
                </pt>
                <pt idx="285">
                  <formatCode>0.00%</formatCode>
                  <v>0.01574066292494679</v>
                </pt>
                <pt idx="286">
                  <formatCode>0.00%</formatCode>
                  <v>0.01744507486495305</v>
                </pt>
                <pt idx="287">
                  <formatCode>0.00%</formatCode>
                  <v>0.02793113981298697</v>
                </pt>
                <pt idx="288">
                  <formatCode>0.00%</formatCode>
                  <v>0.02573585856849872</v>
                </pt>
                <pt idx="289">
                  <formatCode>0.00%</formatCode>
                  <v>0.03820821399720937</v>
                </pt>
                <pt idx="290">
                  <formatCode>0.00%</formatCode>
                  <v>0.0198018234414687</v>
                </pt>
                <pt idx="291">
                  <formatCode>0.00%</formatCode>
                  <v>0.02082059221112162</v>
                </pt>
                <pt idx="292">
                  <formatCode>0.00%</formatCode>
                  <v>0.01795839515192807</v>
                </pt>
                <pt idx="293">
                  <formatCode>0.00%</formatCode>
                  <v>0.0274967319091023</v>
                </pt>
                <pt idx="294">
                  <formatCode>0.00%</formatCode>
                  <v>0.01717739087559384</v>
                </pt>
                <pt idx="295">
                  <formatCode>0.00%</formatCode>
                  <v>0.01881901360113554</v>
                </pt>
                <pt idx="296">
                  <formatCode>0.00%</formatCode>
                  <v>0.02950908126089729</v>
                </pt>
                <pt idx="297">
                  <formatCode>0.00%</formatCode>
                  <v>0.03448191041411836</v>
                </pt>
                <pt idx="298">
                  <formatCode>0.00%</formatCode>
                  <v>0.02932340371514408</v>
                </pt>
                <pt idx="299">
                  <formatCode>0.00%</formatCode>
                  <v>0.03912502577954002</v>
                </pt>
                <pt idx="300">
                  <formatCode>0.00%</formatCode>
                  <v>0.0575614463860455</v>
                </pt>
                <pt idx="301">
                  <formatCode>0.00%</formatCode>
                  <v>0.04656791771755973</v>
                </pt>
                <pt idx="302">
                  <formatCode>0.00%</formatCode>
                  <v>0.04745545437205857</v>
                </pt>
                <pt idx="303">
                  <formatCode>0.00%</formatCode>
                  <v>0.0481756181675491</v>
                </pt>
                <pt idx="304">
                  <formatCode>0.00%</formatCode>
                  <v>0.03865384149657318</v>
                </pt>
                <pt idx="305">
                  <formatCode>0.00%</formatCode>
                  <v>0.03186733706876269</v>
                </pt>
                <pt idx="306">
                  <formatCode>0.00%</formatCode>
                  <v>0.03419385689674372</v>
                </pt>
                <pt idx="307">
                  <formatCode>0.00%</formatCode>
                  <v>0.03464259628696951</v>
                </pt>
                <pt idx="308">
                  <formatCode>0.00%</formatCode>
                  <v>0.04873294769145473</v>
                </pt>
                <pt idx="309">
                  <formatCode>0.00%</formatCode>
                  <v>0.04813763615651163</v>
                </pt>
                <pt idx="310">
                  <formatCode>0.00%</formatCode>
                  <v>0.05990558077344146</v>
                </pt>
                <pt idx="311">
                  <formatCode>0.00%</formatCode>
                  <v>0.05281893030462118</v>
                </pt>
                <pt idx="312">
                  <formatCode>0.00%</formatCode>
                  <v>0.03771926859769494</v>
                </pt>
                <pt idx="313">
                  <formatCode>0.00%</formatCode>
                  <v>0.04427829172474972</v>
                </pt>
                <pt idx="314">
                  <formatCode>0.00%</formatCode>
                  <v>0.04498150473339078</v>
                </pt>
                <pt idx="315">
                  <formatCode>0.00%</formatCode>
                  <v>0.04333979419450496</v>
                </pt>
                <pt idx="316">
                  <formatCode>0.00%</formatCode>
                  <v>0.06126528293568025</v>
                </pt>
                <pt idx="317">
                  <formatCode>0.00%</formatCode>
                  <v>0.05375209012447853</v>
                </pt>
                <pt idx="318">
                  <formatCode>0.00%</formatCode>
                  <v>0.06114176046212606</v>
                </pt>
                <pt idx="319">
                  <formatCode>0.00%</formatCode>
                  <v>0.0589176135405779</v>
                </pt>
                <pt idx="320">
                  <formatCode>0.00%</formatCode>
                  <v>0.03360915903792104</v>
                </pt>
                <pt idx="321">
                  <formatCode>0.00%</formatCode>
                  <v>0.04348498597591156</v>
                </pt>
                <pt idx="322">
                  <formatCode>0.00%</formatCode>
                  <v>0.0355187575783556</v>
                </pt>
                <pt idx="323">
                  <formatCode>0.00%</formatCode>
                  <v>0.01014327065748826</v>
                </pt>
                <pt idx="324">
                  <formatCode>0.00%</formatCode>
                  <v>0.02047234797902485</v>
                </pt>
                <pt idx="325">
                  <formatCode>0.00%</formatCode>
                  <v>0.01742027086063783</v>
                </pt>
                <pt idx="326">
                  <formatCode>0.00%</formatCode>
                  <v>0.03247036129735557</v>
                </pt>
                <pt idx="327">
                  <formatCode>0.00%</formatCode>
                  <v>0.03169889586525594</v>
                </pt>
                <pt idx="328">
                  <formatCode>0.00%</formatCode>
                  <v>0.02439126691979364</v>
                </pt>
                <pt idx="329">
                  <formatCode>0.00%</formatCode>
                  <v>0.0292076391059393</v>
                </pt>
                <pt idx="330">
                  <formatCode>0.00%</formatCode>
                  <v>0.03198194971706898</v>
                </pt>
                <pt idx="331">
                  <formatCode>0.00%</formatCode>
                  <v>0.03712415647269768</v>
                </pt>
                <pt idx="332">
                  <formatCode>0.00%</formatCode>
                  <v>0.03443832189851314</v>
                </pt>
                <pt idx="333">
                  <formatCode>0.00%</formatCode>
                  <v>0.02678841421837479</v>
                </pt>
                <pt idx="334">
                  <formatCode>0.00%</formatCode>
                  <v>0.02856793657176876</v>
                </pt>
                <pt idx="335">
                  <formatCode>0.00%</formatCode>
                  <v>0.05531809863224812</v>
                </pt>
                <pt idx="336">
                  <formatCode>0.00%</formatCode>
                  <v>0.04539751249239485</v>
                </pt>
                <pt idx="337">
                  <formatCode>0.00%</formatCode>
                  <v>0.04599462862572733</v>
                </pt>
                <pt idx="338">
                  <formatCode>0.00%</formatCode>
                  <v>-0.05770166734700286</v>
                </pt>
                <pt idx="339">
                  <formatCode>0.00%</formatCode>
                  <v>-0.2024856622783213</v>
                </pt>
                <pt idx="340">
                  <formatCode>0.00%</formatCode>
                  <v>-0.05813606612034324</v>
                </pt>
                <pt idx="341">
                  <formatCode>0.00%</formatCode>
                  <v>0.02219025334148345</v>
                </pt>
                <pt idx="342">
                  <formatCode>0.00%</formatCode>
                  <v>0.03358011837970193</v>
                </pt>
                <pt idx="343">
                  <formatCode>0.00%</formatCode>
                  <v>0.03630376968213095</v>
                </pt>
                <pt idx="344">
                  <formatCode>0.00%</formatCode>
                  <v>0.06589216907610743</v>
                </pt>
                <pt idx="345">
                  <formatCode>0.00%</formatCode>
                  <v>0.05876589691618593</v>
                </pt>
                <pt idx="346">
                  <formatCode>0.00%</formatCode>
                  <v>0.04227884103079111</v>
                </pt>
                <pt idx="347">
                  <formatCode>0.00%</formatCode>
                  <v>0.03239951093642744</v>
                </pt>
                <pt idx="348">
                  <formatCode>0.00%</formatCode>
                  <v>0.09304034056974066</v>
                </pt>
                <pt idx="349">
                  <formatCode>0.00%</formatCode>
                  <v>0.06939149406850205</v>
                </pt>
                <pt idx="350">
                  <formatCode>0.00%</formatCode>
                  <v>0.3031990003124024</v>
                </pt>
                <pt idx="351">
                  <formatCode>0.00%</formatCode>
                  <v>0.537409250046066</v>
                </pt>
                <pt idx="352">
                  <formatCode>0.00%</formatCode>
                  <v>0.289515304326945</v>
                </pt>
                <pt idx="353">
                  <formatCode>0.00%</formatCode>
                  <v>0.1976564151493164</v>
                </pt>
                <pt idx="354">
                  <formatCode>0.00%</formatCode>
                  <v>0.1546894440641165</v>
                </pt>
                <pt idx="355">
                  <formatCode>0.00%</formatCode>
                  <v>0.1571717418595092</v>
                </pt>
                <pt idx="356">
                  <formatCode>0.00%</formatCode>
                  <v>0.1451661710798357</v>
                </pt>
                <pt idx="357">
                  <formatCode>0.00%</formatCode>
                  <v>0.1651671032944338</v>
                </pt>
                <pt idx="358">
                  <formatCode>0.00%</formatCode>
                  <v>0.1855474280754789</v>
                </pt>
                <pt idx="359">
                  <formatCode>0.00%</formatCode>
                  <v>0.1684360392086079</v>
                </pt>
                <pt idx="360">
                  <formatCode>0.00%</formatCode>
                  <v>0.1374510755522658</v>
                </pt>
                <pt idx="361">
                  <formatCode>0.00%</formatCode>
                  <v>0.1770703376305791</v>
                </pt>
                <pt idx="362">
                  <formatCode>0.00%</formatCode>
                  <v>0.07068053204971465</v>
                </pt>
                <pt idx="363">
                  <formatCode>0.00%</formatCode>
                  <v>0.07823236875243703</v>
                </pt>
                <pt idx="364">
                  <formatCode>0.00%</formatCode>
                  <v>0.08699979612181961</v>
                </pt>
                <pt idx="365">
                  <formatCode>0.00%</formatCode>
                  <v>0.08777972303186135</v>
                </pt>
                <pt idx="366">
                  <formatCode>0.00%</formatCode>
                  <v>0.1003111399742171</v>
                </pt>
                <pt idx="367">
                  <formatCode>0.00%</formatCode>
                  <v>0.09444879136844901</v>
                </pt>
                <pt idx="368">
                  <formatCode>0.00%</formatCode>
                  <v>0.08226474087951594</v>
                </pt>
              </numCache>
            </numRef>
          </val>
          <smooth val="0"/>
        </ser>
        <dLbls>
          <showLegendKey val="0"/>
          <showVal val="0"/>
          <showCatName val="0"/>
          <showSerName val="0"/>
          <showPercent val="0"/>
          <showBubbleSize val="0"/>
        </dLbls>
        <smooth val="0"/>
        <axId val="673094928"/>
        <axId val="673095320"/>
      </lineChart>
      <dateAx>
        <axId val="673094928"/>
        <scaling>
          <orientation val="minMax"/>
          <min val="40909"/>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673095320"/>
        <crosses val="autoZero"/>
        <lblOffset val="100"/>
        <baseTimeUnit val="months"/>
        <majorUnit val="3"/>
        <majorTimeUnit val="months"/>
      </dateAx>
      <valAx>
        <axId val="673095320"/>
        <scaling>
          <orientation val="minMax"/>
          <max val="0.6000000000000001"/>
          <min val="-0.2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673094928"/>
        <crosses val="autoZero"/>
        <crossBetween val="between"/>
      </valAx>
    </plotArea>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Retail Sales (RSAFS), Millions of Dollars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a:prstDash val="solid"/>
            </a:ln>
          </spPr>
          <marker>
            <symbol val="none"/>
            <spPr>
              <a:ln xmlns:a="http://schemas.openxmlformats.org/drawingml/2006/main">
                <a:prstDash val="solid"/>
              </a:ln>
            </spPr>
          </marker>
          <cat>
            <numRef>
              <f>'Retail Sales'!$A$7:$A$383</f>
              <numCache>
                <formatCode>[$-409]mmm\-yy;@</formatCode>
                <ptCount val="377"/>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numCache>
            </numRef>
          </cat>
          <val>
            <numRef>
              <f>'Retail Sales'!$B$7:$B$383</f>
              <numCache>
                <formatCode>#,##0</formatCode>
                <ptCount val="377"/>
                <pt idx="0">
                  <v>164095</v>
                </pt>
                <pt idx="1">
                  <v>164213</v>
                </pt>
                <pt idx="2">
                  <v>163721</v>
                </pt>
                <pt idx="3">
                  <v>164709</v>
                </pt>
                <pt idx="4">
                  <v>165612</v>
                </pt>
                <pt idx="5">
                  <v>166077</v>
                </pt>
                <pt idx="6">
                  <v>167257</v>
                </pt>
                <pt idx="7">
                  <v>167800</v>
                </pt>
                <pt idx="8">
                  <v>169400</v>
                </pt>
                <pt idx="9">
                  <v>170625</v>
                </pt>
                <pt idx="10">
                  <v>171003</v>
                </pt>
                <pt idx="11">
                  <v>173105</v>
                </pt>
                <pt idx="12">
                  <v>175108</v>
                </pt>
                <pt idx="13">
                  <v>173744</v>
                </pt>
                <pt idx="14">
                  <v>172306</v>
                </pt>
                <pt idx="15">
                  <v>176749</v>
                </pt>
                <pt idx="16">
                  <v>178426</v>
                </pt>
                <pt idx="17">
                  <v>178157</v>
                </pt>
                <pt idx="18">
                  <v>180743</v>
                </pt>
                <pt idx="19">
                  <v>180707</v>
                </pt>
                <pt idx="20">
                  <v>181773</v>
                </pt>
                <pt idx="21">
                  <v>182884</v>
                </pt>
                <pt idx="22">
                  <v>184747</v>
                </pt>
                <pt idx="23">
                  <v>186399</v>
                </pt>
                <pt idx="24">
                  <v>185142</v>
                </pt>
                <pt idx="25">
                  <v>188074</v>
                </pt>
                <pt idx="26">
                  <v>191579</v>
                </pt>
                <pt idx="27">
                  <v>191639</v>
                </pt>
                <pt idx="28">
                  <v>190929</v>
                </pt>
                <pt idx="29">
                  <v>193130</v>
                </pt>
                <pt idx="30">
                  <v>193743</v>
                </pt>
                <pt idx="31">
                  <v>196163</v>
                </pt>
                <pt idx="32">
                  <v>197765</v>
                </pt>
                <pt idx="33">
                  <v>199571</v>
                </pt>
                <pt idx="34">
                  <v>199731</v>
                </pt>
                <pt idx="35">
                  <v>200702</v>
                </pt>
                <pt idx="36">
                  <v>201573</v>
                </pt>
                <pt idx="37">
                  <v>198399</v>
                </pt>
                <pt idx="38">
                  <v>200247</v>
                </pt>
                <pt idx="39">
                  <v>201032</v>
                </pt>
                <pt idx="40">
                  <v>202986</v>
                </pt>
                <pt idx="41">
                  <v>205500</v>
                </pt>
                <pt idx="42">
                  <v>204920</v>
                </pt>
                <pt idx="43">
                  <v>206521</v>
                </pt>
                <pt idx="44">
                  <v>207006</v>
                </pt>
                <pt idx="45">
                  <v>206176</v>
                </pt>
                <pt idx="46">
                  <v>208664</v>
                </pt>
                <pt idx="47">
                  <v>210399</v>
                </pt>
                <pt idx="48">
                  <v>208699</v>
                </pt>
                <pt idx="49">
                  <v>212008</v>
                </pt>
                <pt idx="50">
                  <v>213891</v>
                </pt>
                <pt idx="51">
                  <v>214676</v>
                </pt>
                <pt idx="52">
                  <v>216299</v>
                </pt>
                <pt idx="53">
                  <v>216068</v>
                </pt>
                <pt idx="54">
                  <v>216332</v>
                </pt>
                <pt idx="55">
                  <v>216358</v>
                </pt>
                <pt idx="56">
                  <v>219256</v>
                </pt>
                <pt idx="57">
                  <v>221060</v>
                </pt>
                <pt idx="58">
                  <v>220963</v>
                </pt>
                <pt idx="59">
                  <v>221991</v>
                </pt>
                <pt idx="60">
                  <v>223481</v>
                </pt>
                <pt idx="61">
                  <v>225422</v>
                </pt>
                <pt idx="62">
                  <v>226161</v>
                </pt>
                <pt idx="63">
                  <v>224615</v>
                </pt>
                <pt idx="64">
                  <v>222929</v>
                </pt>
                <pt idx="65">
                  <v>226057</v>
                </pt>
                <pt idx="66">
                  <v>228703</v>
                </pt>
                <pt idx="67">
                  <v>229309</v>
                </pt>
                <pt idx="68">
                  <v>230312</v>
                </pt>
                <pt idx="69">
                  <v>229836</v>
                </pt>
                <pt idx="70">
                  <v>230440</v>
                </pt>
                <pt idx="71">
                  <v>231181</v>
                </pt>
                <pt idx="72">
                  <v>231587</v>
                </pt>
                <pt idx="73">
                  <v>231684</v>
                </pt>
                <pt idx="74">
                  <v>233083</v>
                </pt>
                <pt idx="75">
                  <v>235986</v>
                </pt>
                <pt idx="76">
                  <v>237075</v>
                </pt>
                <pt idx="77">
                  <v>238971</v>
                </pt>
                <pt idx="78">
                  <v>237411</v>
                </pt>
                <pt idx="79">
                  <v>236379</v>
                </pt>
                <pt idx="80">
                  <v>238550</v>
                </pt>
                <pt idx="81">
                  <v>242549</v>
                </pt>
                <pt idx="82">
                  <v>244291</v>
                </pt>
                <pt idx="83">
                  <v>246530</v>
                </pt>
                <pt idx="84">
                  <v>246868</v>
                </pt>
                <pt idx="85">
                  <v>249520</v>
                </pt>
                <pt idx="86">
                  <v>250667</v>
                </pt>
                <pt idx="87">
                  <v>252477</v>
                </pt>
                <pt idx="88">
                  <v>254735</v>
                </pt>
                <pt idx="89">
                  <v>255449</v>
                </pt>
                <pt idx="90">
                  <v>257456</v>
                </pt>
                <pt idx="91">
                  <v>260230</v>
                </pt>
                <pt idx="92">
                  <v>261317</v>
                </pt>
                <pt idx="93">
                  <v>261818</v>
                </pt>
                <pt idx="94">
                  <v>264965</v>
                </pt>
                <pt idx="95">
                  <v>269863</v>
                </pt>
                <pt idx="96">
                  <v>268044</v>
                </pt>
                <pt idx="97">
                  <v>272020</v>
                </pt>
                <pt idx="98">
                  <v>275192</v>
                </pt>
                <pt idx="99">
                  <v>271046</v>
                </pt>
                <pt idx="100">
                  <v>271394</v>
                </pt>
                <pt idx="101">
                  <v>273422</v>
                </pt>
                <pt idx="102">
                  <v>272630</v>
                </pt>
                <pt idx="103">
                  <v>272918</v>
                </pt>
                <pt idx="104">
                  <v>277548</v>
                </pt>
                <pt idx="105">
                  <v>276927</v>
                </pt>
                <pt idx="106">
                  <v>276029</v>
                </pt>
                <pt idx="107">
                  <v>275791</v>
                </pt>
                <pt idx="108">
                  <v>278834</v>
                </pt>
                <pt idx="109">
                  <v>278773</v>
                </pt>
                <pt idx="110">
                  <v>276450</v>
                </pt>
                <pt idx="111">
                  <v>280808</v>
                </pt>
                <pt idx="112">
                  <v>281496</v>
                </pt>
                <pt idx="113">
                  <v>280401</v>
                </pt>
                <pt idx="114">
                  <v>279504</v>
                </pt>
                <pt idx="115">
                  <v>281413</v>
                </pt>
                <pt idx="116">
                  <v>276084</v>
                </pt>
                <pt idx="117">
                  <v>294540</v>
                </pt>
                <pt idx="118">
                  <v>287111</v>
                </pt>
                <pt idx="119">
                  <v>283705</v>
                </pt>
                <pt idx="120">
                  <v>283508</v>
                </pt>
                <pt idx="121">
                  <v>285054</v>
                </pt>
                <pt idx="122">
                  <v>284262</v>
                </pt>
                <pt idx="123">
                  <v>288833</v>
                </pt>
                <pt idx="124">
                  <v>284951</v>
                </pt>
                <pt idx="125">
                  <v>287372</v>
                </pt>
                <pt idx="126">
                  <v>290385</v>
                </pt>
                <pt idx="127">
                  <v>292650</v>
                </pt>
                <pt idx="128">
                  <v>288410</v>
                </pt>
                <pt idx="129">
                  <v>289576</v>
                </pt>
                <pt idx="130">
                  <v>291484</v>
                </pt>
                <pt idx="131">
                  <v>293947</v>
                </pt>
                <pt idx="132">
                  <v>295248</v>
                </pt>
                <pt idx="133">
                  <v>291167</v>
                </pt>
                <pt idx="134">
                  <v>296325</v>
                </pt>
                <pt idx="135">
                  <v>295600</v>
                </pt>
                <pt idx="136">
                  <v>296410</v>
                </pt>
                <pt idx="137">
                  <v>299626</v>
                </pt>
                <pt idx="138">
                  <v>302747</v>
                </pt>
                <pt idx="139">
                  <v>307809</v>
                </pt>
                <pt idx="140">
                  <v>305933</v>
                </pt>
                <pt idx="141">
                  <v>304809</v>
                </pt>
                <pt idx="142">
                  <v>308527</v>
                </pt>
                <pt idx="143">
                  <v>307407</v>
                </pt>
                <pt idx="144">
                  <v>309254</v>
                </pt>
                <pt idx="145">
                  <v>311393</v>
                </pt>
                <pt idx="146">
                  <v>316912</v>
                </pt>
                <pt idx="147">
                  <v>313512</v>
                </pt>
                <pt idx="148">
                  <v>318964</v>
                </pt>
                <pt idx="149">
                  <v>314958</v>
                </pt>
                <pt idx="150">
                  <v>318549</v>
                </pt>
                <pt idx="151">
                  <v>318977</v>
                </pt>
                <pt idx="152">
                  <v>324569</v>
                </pt>
                <pt idx="153">
                  <v>326740</v>
                </pt>
                <pt idx="154">
                  <v>327836</v>
                </pt>
                <pt idx="155">
                  <v>331874</v>
                </pt>
                <pt idx="156">
                  <v>328696</v>
                </pt>
                <pt idx="157">
                  <v>333026</v>
                </pt>
                <pt idx="158">
                  <v>333581</v>
                </pt>
                <pt idx="159">
                  <v>336583</v>
                </pt>
                <pt idx="160">
                  <v>334522</v>
                </pt>
                <pt idx="161">
                  <v>343998</v>
                </pt>
                <pt idx="162">
                  <v>346576</v>
                </pt>
                <pt idx="163">
                  <v>343307</v>
                </pt>
                <pt idx="164">
                  <v>343956</v>
                </pt>
                <pt idx="165">
                  <v>344097</v>
                </pt>
                <pt idx="166">
                  <v>347325</v>
                </pt>
                <pt idx="167">
                  <v>347405</v>
                </pt>
                <pt idx="168">
                  <v>357331</v>
                </pt>
                <pt idx="169">
                  <v>354706</v>
                </pt>
                <pt idx="170">
                  <v>355665</v>
                </pt>
                <pt idx="171">
                  <v>357423</v>
                </pt>
                <pt idx="172">
                  <v>356704</v>
                </pt>
                <pt idx="173">
                  <v>357879</v>
                </pt>
                <pt idx="174">
                  <v>359006</v>
                </pt>
                <pt idx="175">
                  <v>360691</v>
                </pt>
                <pt idx="176">
                  <v>358961</v>
                </pt>
                <pt idx="177">
                  <v>358462</v>
                </pt>
                <pt idx="178">
                  <v>359266</v>
                </pt>
                <pt idx="179">
                  <v>363730</v>
                </pt>
                <pt idx="180">
                  <v>363616</v>
                </pt>
                <pt idx="181">
                  <v>364006</v>
                </pt>
                <pt idx="182">
                  <v>367158</v>
                </pt>
                <pt idx="183">
                  <v>366187</v>
                </pt>
                <pt idx="184">
                  <v>370934</v>
                </pt>
                <pt idx="185">
                  <v>368154</v>
                </pt>
                <pt idx="186">
                  <v>369614</v>
                </pt>
                <pt idx="187">
                  <v>371358</v>
                </pt>
                <pt idx="188">
                  <v>372869</v>
                </pt>
                <pt idx="189">
                  <v>375289</v>
                </pt>
                <pt idx="190">
                  <v>378860</v>
                </pt>
                <pt idx="191">
                  <v>374298</v>
                </pt>
                <pt idx="192">
                  <v>375236</v>
                </pt>
                <pt idx="193">
                  <v>371833</v>
                </pt>
                <pt idx="194">
                  <v>372745</v>
                </pt>
                <pt idx="195">
                  <v>372572</v>
                </pt>
                <pt idx="196">
                  <v>376036</v>
                </pt>
                <pt idx="197">
                  <v>376455</v>
                </pt>
                <pt idx="198">
                  <v>375038</v>
                </pt>
                <pt idx="199">
                  <v>372284</v>
                </pt>
                <pt idx="200">
                  <v>366729</v>
                </pt>
                <pt idx="201">
                  <v>352950</v>
                </pt>
                <pt idx="202">
                  <v>339350</v>
                </pt>
                <pt idx="203">
                  <v>332091</v>
                </pt>
                <pt idx="204">
                  <v>336929</v>
                </pt>
                <pt idx="205">
                  <v>335576</v>
                </pt>
                <pt idx="206">
                  <v>329747</v>
                </pt>
                <pt idx="207">
                  <v>331352</v>
                </pt>
                <pt idx="208">
                  <v>334256</v>
                </pt>
                <pt idx="209">
                  <v>339883</v>
                </pt>
                <pt idx="210">
                  <v>340517</v>
                </pt>
                <pt idx="211">
                  <v>346668</v>
                </pt>
                <pt idx="212">
                  <v>338507</v>
                </pt>
                <pt idx="213">
                  <v>341654</v>
                </pt>
                <pt idx="214">
                  <v>344375</v>
                </pt>
                <pt idx="215">
                  <v>346072</v>
                </pt>
                <pt idx="216">
                  <v>346043</v>
                </pt>
                <pt idx="217">
                  <v>346835</v>
                </pt>
                <pt idx="218">
                  <v>354360</v>
                </pt>
                <pt idx="219">
                  <v>357461</v>
                </pt>
                <pt idx="220">
                  <v>354255</v>
                </pt>
                <pt idx="221">
                  <v>353766</v>
                </pt>
                <pt idx="222">
                  <v>354844</v>
                </pt>
                <pt idx="223">
                  <v>356610</v>
                </pt>
                <pt idx="224">
                  <v>359646</v>
                </pt>
                <pt idx="225">
                  <v>363577</v>
                </pt>
                <pt idx="226">
                  <v>367198</v>
                </pt>
                <pt idx="227">
                  <v>369229</v>
                </pt>
                <pt idx="228">
                  <v>372025</v>
                </pt>
                <pt idx="229">
                  <v>375064</v>
                </pt>
                <pt idx="230">
                  <v>378576</v>
                </pt>
                <pt idx="231">
                  <v>380337</v>
                </pt>
                <pt idx="232">
                  <v>380219</v>
                </pt>
                <pt idx="233">
                  <v>383327</v>
                </pt>
                <pt idx="234">
                  <v>382954</v>
                </pt>
                <pt idx="235">
                  <v>383839</v>
                </pt>
                <pt idx="236">
                  <v>387758</v>
                </pt>
                <pt idx="237">
                  <v>390104</v>
                </pt>
                <pt idx="238">
                  <v>391393</v>
                </pt>
                <pt idx="239">
                  <v>391585</v>
                </pt>
                <pt idx="240">
                  <v>395641</v>
                </pt>
                <pt idx="241">
                  <v>400385</v>
                </pt>
                <pt idx="242">
                  <v>401654</v>
                </pt>
                <pt idx="243">
                  <v>400237</v>
                </pt>
                <pt idx="244">
                  <v>399367</v>
                </pt>
                <pt idx="245">
                  <v>395553</v>
                </pt>
                <pt idx="246">
                  <v>397650</v>
                </pt>
                <pt idx="247">
                  <v>402287</v>
                </pt>
                <pt idx="248">
                  <v>405455</v>
                </pt>
                <pt idx="249">
                  <v>405572</v>
                </pt>
                <pt idx="250">
                  <v>407386</v>
                </pt>
                <pt idx="251">
                  <v>408981</v>
                </pt>
                <pt idx="252">
                  <v>412420</v>
                </pt>
                <pt idx="253">
                  <v>417383</v>
                </pt>
                <pt idx="254">
                  <v>414116</v>
                </pt>
                <pt idx="255">
                  <v>412015</v>
                </pt>
                <pt idx="256">
                  <v>414466</v>
                </pt>
                <pt idx="257">
                  <v>415550</v>
                </pt>
                <pt idx="258">
                  <v>418500</v>
                </pt>
                <pt idx="259">
                  <v>417575</v>
                </pt>
                <pt idx="260">
                  <v>417861</v>
                </pt>
                <pt idx="261">
                  <v>419434</v>
                </pt>
                <pt idx="262">
                  <v>420688</v>
                </pt>
                <pt idx="263">
                  <v>422955</v>
                </pt>
                <pt idx="264">
                  <v>419245</v>
                </pt>
                <pt idx="265">
                  <v>425006</v>
                </pt>
                <pt idx="266">
                  <v>429468</v>
                </pt>
                <pt idx="267">
                  <v>433648</v>
                </pt>
                <pt idx="268">
                  <v>434471</v>
                </pt>
                <pt idx="269">
                  <v>435577</v>
                </pt>
                <pt idx="270">
                  <v>436347</v>
                </pt>
                <pt idx="271">
                  <v>439596</v>
                </pt>
                <pt idx="272">
                  <v>438665</v>
                </pt>
                <pt idx="273">
                  <v>440261</v>
                </pt>
                <pt idx="274">
                  <v>441328</v>
                </pt>
                <pt idx="275">
                  <v>438686</v>
                </pt>
                <pt idx="276">
                  <v>436395</v>
                </pt>
                <pt idx="277">
                  <v>435744</v>
                </pt>
                <pt idx="278">
                  <v>442131</v>
                </pt>
                <pt idx="279">
                  <v>443119</v>
                </pt>
                <pt idx="280">
                  <v>446198</v>
                </pt>
                <pt idx="281">
                  <v>446744</v>
                </pt>
                <pt idx="282">
                  <v>450243</v>
                </pt>
                <pt idx="283">
                  <v>450183</v>
                </pt>
                <pt idx="284">
                  <v>448506</v>
                </pt>
                <pt idx="285">
                  <v>447191</v>
                </pt>
                <pt idx="286">
                  <v>449027</v>
                </pt>
                <pt idx="287">
                  <v>450939</v>
                </pt>
                <pt idx="288">
                  <v>447626</v>
                </pt>
                <pt idx="289">
                  <v>452393</v>
                </pt>
                <pt idx="290">
                  <v>450886</v>
                </pt>
                <pt idx="291">
                  <v>452345</v>
                </pt>
                <pt idx="292">
                  <v>454211</v>
                </pt>
                <pt idx="293">
                  <v>459028</v>
                </pt>
                <pt idx="294">
                  <v>457977</v>
                </pt>
                <pt idx="295">
                  <v>458655</v>
                </pt>
                <pt idx="296">
                  <v>461741</v>
                </pt>
                <pt idx="297">
                  <v>462611</v>
                </pt>
                <pt idx="298">
                  <v>462194</v>
                </pt>
                <pt idx="299">
                  <v>468582</v>
                </pt>
                <pt idx="300">
                  <v>473392</v>
                </pt>
                <pt idx="301">
                  <v>473460</v>
                </pt>
                <pt idx="302">
                  <v>472283</v>
                </pt>
                <pt idx="303">
                  <v>474137</v>
                </pt>
                <pt idx="304">
                  <v>471768</v>
                </pt>
                <pt idx="305">
                  <v>473656</v>
                </pt>
                <pt idx="306">
                  <v>473637</v>
                </pt>
                <pt idx="307">
                  <v>474544</v>
                </pt>
                <pt idx="308">
                  <v>484243</v>
                </pt>
                <pt idx="309">
                  <v>484880</v>
                </pt>
                <pt idx="310">
                  <v>489882</v>
                </pt>
                <pt idx="311">
                  <v>493332</v>
                </pt>
                <pt idx="312">
                  <v>491248</v>
                </pt>
                <pt idx="313">
                  <v>494424</v>
                </pt>
                <pt idx="314">
                  <v>493527</v>
                </pt>
                <pt idx="315">
                  <v>494686</v>
                </pt>
                <pt idx="316">
                  <v>500671</v>
                </pt>
                <pt idx="317">
                  <v>499116</v>
                </pt>
                <pt idx="318">
                  <v>502596</v>
                </pt>
                <pt idx="319">
                  <v>502503</v>
                </pt>
                <pt idx="320">
                  <v>500518</v>
                </pt>
                <pt idx="321">
                  <v>505965</v>
                </pt>
                <pt idx="322">
                  <v>507282</v>
                </pt>
                <pt idx="323">
                  <v>498336</v>
                </pt>
                <pt idx="324">
                  <v>501305</v>
                </pt>
                <pt idx="325">
                  <v>503037</v>
                </pt>
                <pt idx="326">
                  <v>509552</v>
                </pt>
                <pt idx="327">
                  <v>510367</v>
                </pt>
                <pt idx="328">
                  <v>512883</v>
                </pt>
                <pt idx="329">
                  <v>513694</v>
                </pt>
                <pt idx="330">
                  <v>518670</v>
                </pt>
                <pt idx="331">
                  <v>521158</v>
                </pt>
                <pt idx="332">
                  <v>517755</v>
                </pt>
                <pt idx="333">
                  <v>519519</v>
                </pt>
                <pt idx="334">
                  <v>521774</v>
                </pt>
                <pt idx="335">
                  <v>525903</v>
                </pt>
                <pt idx="336">
                  <v>524063</v>
                </pt>
                <pt idx="337">
                  <v>526174</v>
                </pt>
                <pt idx="338">
                  <v>480150</v>
                </pt>
                <pt idx="339">
                  <v>407025</v>
                </pt>
                <pt idx="340">
                  <v>483066</v>
                </pt>
                <pt idx="341">
                  <v>525093</v>
                </pt>
                <pt idx="342">
                  <v>536087</v>
                </pt>
                <pt idx="343">
                  <v>540078</v>
                </pt>
                <pt idx="344">
                  <v>551871</v>
                </pt>
                <pt idx="345">
                  <v>550049</v>
                </pt>
                <pt idx="346">
                  <v>543834</v>
                </pt>
                <pt idx="347">
                  <v>542942</v>
                </pt>
                <pt idx="348">
                  <v>572822</v>
                </pt>
                <pt idx="349">
                  <v>562686</v>
                </pt>
                <pt idx="350">
                  <v>625731</v>
                </pt>
                <pt idx="351">
                  <v>625764</v>
                </pt>
                <pt idx="352">
                  <v>622921</v>
                </pt>
                <pt idx="353">
                  <v>628881</v>
                </pt>
                <pt idx="354">
                  <v>619014</v>
                </pt>
                <pt idx="355">
                  <v>624963</v>
                </pt>
                <pt idx="356">
                  <v>631984</v>
                </pt>
                <pt idx="357">
                  <v>640899</v>
                </pt>
                <pt idx="358">
                  <v>644741</v>
                </pt>
                <pt idx="359">
                  <v>634393</v>
                </pt>
                <pt idx="360">
                  <v>651557</v>
                </pt>
                <pt idx="361">
                  <v>662321</v>
                </pt>
                <pt idx="362">
                  <v>669958</v>
                </pt>
                <pt idx="363">
                  <v>674719</v>
                </pt>
                <pt idx="364">
                  <v>677115</v>
                </pt>
                <pt idx="365">
                  <v>684084</v>
                </pt>
                <pt idx="366">
                  <v>681108</v>
                </pt>
                <pt idx="367">
                  <v>683990</v>
                </pt>
                <pt idx="368">
                  <v>683974</v>
                </pt>
              </numCache>
            </numRef>
          </val>
          <smooth val="0"/>
        </ser>
        <dLbls>
          <showLegendKey val="0"/>
          <showVal val="0"/>
          <showCatName val="0"/>
          <showSerName val="0"/>
          <showPercent val="0"/>
          <showBubbleSize val="0"/>
        </dLbls>
        <smooth val="0"/>
        <axId val="1474519791"/>
        <axId val="1311982767"/>
      </lineChart>
      <dateAx>
        <axId val="1474519791"/>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311982767"/>
        <crosses val="autoZero"/>
        <lblOffset val="100"/>
        <baseTimeUnit val="months"/>
      </dateAx>
      <valAx>
        <axId val="131198276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474519791"/>
        <crosses val="autoZero"/>
        <crossBetween val="between"/>
      </valAx>
    </plotArea>
    <plotVisOnly val="1"/>
    <dispBlanksAs val="gap"/>
  </chart>
</chartSpace>
</file>

<file path=xl/charts/chart7.xml><?xml version="1.0" encoding="utf-8"?>
<chartSpace xmlns="http://schemas.openxmlformats.org/drawingml/2006/chart">
  <chart>
    <title>
      <tx>
        <strRef>
          <f>Table7[[#Headers],[mom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'Retail Sales ex Auto'!$C$6</f>
              <strCache>
                <ptCount val="1"/>
                <pt idx="0">
                  <v>mom %</v>
                </pt>
              </strCache>
            </strRef>
          </tx>
          <spPr>
            <a:solidFill xmlns:a="http://schemas.openxmlformats.org/drawingml/2006/main">
              <a:srgbClr val="00B050"/>
            </a:solidFill>
            <a:ln xmlns:a="http://schemas.openxmlformats.org/drawingml/2006/main">
              <a:noFill/>
              <a:prstDash val="solid"/>
            </a:ln>
          </spPr>
          <invertIfNegative val="1"/>
          <cat>
            <numRef>
              <f>'Retail Sales ex Auto'!$A$19:$A$380</f>
              <numCache>
                <formatCode>[$-409]mmm\-yy;@</formatCode>
                <ptCount val="362"/>
                <pt idx="0">
                  <v>33970</v>
                </pt>
                <pt idx="1">
                  <v>34001</v>
                </pt>
                <pt idx="2">
                  <v>34029</v>
                </pt>
                <pt idx="3">
                  <v>34060</v>
                </pt>
                <pt idx="4">
                  <v>34090</v>
                </pt>
                <pt idx="5">
                  <v>34121</v>
                </pt>
                <pt idx="6">
                  <v>34151</v>
                </pt>
                <pt idx="7">
                  <v>34182</v>
                </pt>
                <pt idx="8">
                  <v>34213</v>
                </pt>
                <pt idx="9">
                  <v>34243</v>
                </pt>
                <pt idx="10">
                  <v>34274</v>
                </pt>
                <pt idx="11">
                  <v>34304</v>
                </pt>
                <pt idx="12">
                  <v>34335</v>
                </pt>
                <pt idx="13">
                  <v>34366</v>
                </pt>
                <pt idx="14">
                  <v>34394</v>
                </pt>
                <pt idx="15">
                  <v>34425</v>
                </pt>
                <pt idx="16">
                  <v>34455</v>
                </pt>
                <pt idx="17">
                  <v>34486</v>
                </pt>
                <pt idx="18">
                  <v>34516</v>
                </pt>
                <pt idx="19">
                  <v>34547</v>
                </pt>
                <pt idx="20">
                  <v>34578</v>
                </pt>
                <pt idx="21">
                  <v>34608</v>
                </pt>
                <pt idx="22">
                  <v>34639</v>
                </pt>
                <pt idx="23">
                  <v>34669</v>
                </pt>
                <pt idx="24">
                  <v>34700</v>
                </pt>
                <pt idx="25">
                  <v>34731</v>
                </pt>
                <pt idx="26">
                  <v>34759</v>
                </pt>
                <pt idx="27">
                  <v>34790</v>
                </pt>
                <pt idx="28">
                  <v>34820</v>
                </pt>
                <pt idx="29">
                  <v>34851</v>
                </pt>
                <pt idx="30">
                  <v>34881</v>
                </pt>
                <pt idx="31">
                  <v>34912</v>
                </pt>
                <pt idx="32">
                  <v>34943</v>
                </pt>
                <pt idx="33">
                  <v>34973</v>
                </pt>
                <pt idx="34">
                  <v>35004</v>
                </pt>
                <pt idx="35">
                  <v>35034</v>
                </pt>
                <pt idx="36">
                  <v>35065</v>
                </pt>
                <pt idx="37">
                  <v>35096</v>
                </pt>
                <pt idx="38">
                  <v>35125</v>
                </pt>
                <pt idx="39">
                  <v>35156</v>
                </pt>
                <pt idx="40">
                  <v>35186</v>
                </pt>
                <pt idx="41">
                  <v>35217</v>
                </pt>
                <pt idx="42">
                  <v>35247</v>
                </pt>
                <pt idx="43">
                  <v>35278</v>
                </pt>
                <pt idx="44">
                  <v>35309</v>
                </pt>
                <pt idx="45">
                  <v>35339</v>
                </pt>
                <pt idx="46">
                  <v>35370</v>
                </pt>
                <pt idx="47">
                  <v>35400</v>
                </pt>
                <pt idx="48">
                  <v>35431</v>
                </pt>
                <pt idx="49">
                  <v>35462</v>
                </pt>
                <pt idx="50">
                  <v>35490</v>
                </pt>
                <pt idx="51">
                  <v>35521</v>
                </pt>
                <pt idx="52">
                  <v>35551</v>
                </pt>
                <pt idx="53">
                  <v>35582</v>
                </pt>
                <pt idx="54">
                  <v>35612</v>
                </pt>
                <pt idx="55">
                  <v>35643</v>
                </pt>
                <pt idx="56">
                  <v>35674</v>
                </pt>
                <pt idx="57">
                  <v>35704</v>
                </pt>
                <pt idx="58">
                  <v>35735</v>
                </pt>
                <pt idx="59">
                  <v>35765</v>
                </pt>
                <pt idx="60">
                  <v>35796</v>
                </pt>
                <pt idx="61">
                  <v>35827</v>
                </pt>
                <pt idx="62">
                  <v>35855</v>
                </pt>
                <pt idx="63">
                  <v>35886</v>
                </pt>
                <pt idx="64">
                  <v>35916</v>
                </pt>
                <pt idx="65">
                  <v>35947</v>
                </pt>
                <pt idx="66">
                  <v>35977</v>
                </pt>
                <pt idx="67">
                  <v>36008</v>
                </pt>
                <pt idx="68">
                  <v>36039</v>
                </pt>
                <pt idx="69">
                  <v>36069</v>
                </pt>
                <pt idx="70">
                  <v>36100</v>
                </pt>
                <pt idx="71">
                  <v>36130</v>
                </pt>
                <pt idx="72">
                  <v>36161</v>
                </pt>
                <pt idx="73">
                  <v>36192</v>
                </pt>
                <pt idx="74">
                  <v>36220</v>
                </pt>
                <pt idx="75">
                  <v>36251</v>
                </pt>
                <pt idx="76">
                  <v>36281</v>
                </pt>
                <pt idx="77">
                  <v>36312</v>
                </pt>
                <pt idx="78">
                  <v>36342</v>
                </pt>
                <pt idx="79">
                  <v>36373</v>
                </pt>
                <pt idx="80">
                  <v>36404</v>
                </pt>
                <pt idx="81">
                  <v>36434</v>
                </pt>
                <pt idx="82">
                  <v>36465</v>
                </pt>
                <pt idx="83">
                  <v>36495</v>
                </pt>
                <pt idx="84">
                  <v>36526</v>
                </pt>
                <pt idx="85">
                  <v>36557</v>
                </pt>
                <pt idx="86">
                  <v>36586</v>
                </pt>
                <pt idx="87">
                  <v>36617</v>
                </pt>
                <pt idx="88">
                  <v>36647</v>
                </pt>
                <pt idx="89">
                  <v>36678</v>
                </pt>
                <pt idx="90">
                  <v>36708</v>
                </pt>
                <pt idx="91">
                  <v>36739</v>
                </pt>
                <pt idx="92">
                  <v>36770</v>
                </pt>
                <pt idx="93">
                  <v>36800</v>
                </pt>
                <pt idx="94">
                  <v>36831</v>
                </pt>
                <pt idx="95">
                  <v>36861</v>
                </pt>
                <pt idx="96">
                  <v>36892</v>
                </pt>
                <pt idx="97">
                  <v>36923</v>
                </pt>
                <pt idx="98">
                  <v>36951</v>
                </pt>
                <pt idx="99">
                  <v>36982</v>
                </pt>
                <pt idx="100">
                  <v>37012</v>
                </pt>
                <pt idx="101">
                  <v>37043</v>
                </pt>
                <pt idx="102">
                  <v>37073</v>
                </pt>
                <pt idx="103">
                  <v>37104</v>
                </pt>
                <pt idx="104">
                  <v>37135</v>
                </pt>
                <pt idx="105">
                  <v>37165</v>
                </pt>
                <pt idx="106">
                  <v>37196</v>
                </pt>
                <pt idx="107">
                  <v>37226</v>
                </pt>
                <pt idx="108">
                  <v>37257</v>
                </pt>
                <pt idx="109">
                  <v>37288</v>
                </pt>
                <pt idx="110">
                  <v>37316</v>
                </pt>
                <pt idx="111">
                  <v>37347</v>
                </pt>
                <pt idx="112">
                  <v>37377</v>
                </pt>
                <pt idx="113">
                  <v>37408</v>
                </pt>
                <pt idx="114">
                  <v>37438</v>
                </pt>
                <pt idx="115">
                  <v>37469</v>
                </pt>
                <pt idx="116">
                  <v>37500</v>
                </pt>
                <pt idx="117">
                  <v>37530</v>
                </pt>
                <pt idx="118">
                  <v>37561</v>
                </pt>
                <pt idx="119">
                  <v>37591</v>
                </pt>
                <pt idx="120">
                  <v>37622</v>
                </pt>
                <pt idx="121">
                  <v>37653</v>
                </pt>
                <pt idx="122">
                  <v>37681</v>
                </pt>
                <pt idx="123">
                  <v>37712</v>
                </pt>
                <pt idx="124">
                  <v>37742</v>
                </pt>
                <pt idx="125">
                  <v>37773</v>
                </pt>
                <pt idx="126">
                  <v>37803</v>
                </pt>
                <pt idx="127">
                  <v>37834</v>
                </pt>
                <pt idx="128">
                  <v>37865</v>
                </pt>
                <pt idx="129">
                  <v>37895</v>
                </pt>
                <pt idx="130">
                  <v>37926</v>
                </pt>
                <pt idx="131">
                  <v>37956</v>
                </pt>
                <pt idx="132">
                  <v>37987</v>
                </pt>
                <pt idx="133">
                  <v>38018</v>
                </pt>
                <pt idx="134">
                  <v>38047</v>
                </pt>
                <pt idx="135">
                  <v>38078</v>
                </pt>
                <pt idx="136">
                  <v>38108</v>
                </pt>
                <pt idx="137">
                  <v>38139</v>
                </pt>
                <pt idx="138">
                  <v>38169</v>
                </pt>
                <pt idx="139">
                  <v>38200</v>
                </pt>
                <pt idx="140">
                  <v>38231</v>
                </pt>
                <pt idx="141">
                  <v>38261</v>
                </pt>
                <pt idx="142">
                  <v>38292</v>
                </pt>
                <pt idx="143">
                  <v>38322</v>
                </pt>
                <pt idx="144">
                  <v>38353</v>
                </pt>
                <pt idx="145">
                  <v>38384</v>
                </pt>
                <pt idx="146">
                  <v>38412</v>
                </pt>
                <pt idx="147">
                  <v>38443</v>
                </pt>
                <pt idx="148">
                  <v>38473</v>
                </pt>
                <pt idx="149">
                  <v>38504</v>
                </pt>
                <pt idx="150">
                  <v>38534</v>
                </pt>
                <pt idx="151">
                  <v>38565</v>
                </pt>
                <pt idx="152">
                  <v>38596</v>
                </pt>
                <pt idx="153">
                  <v>38626</v>
                </pt>
                <pt idx="154">
                  <v>38657</v>
                </pt>
                <pt idx="155">
                  <v>38687</v>
                </pt>
                <pt idx="156">
                  <v>38718</v>
                </pt>
                <pt idx="157">
                  <v>38749</v>
                </pt>
                <pt idx="158">
                  <v>38777</v>
                </pt>
                <pt idx="159">
                  <v>38808</v>
                </pt>
                <pt idx="160">
                  <v>38838</v>
                </pt>
                <pt idx="161">
                  <v>38869</v>
                </pt>
                <pt idx="162">
                  <v>38899</v>
                </pt>
                <pt idx="163">
                  <v>38930</v>
                </pt>
                <pt idx="164">
                  <v>38961</v>
                </pt>
                <pt idx="165">
                  <v>38991</v>
                </pt>
                <pt idx="166">
                  <v>39022</v>
                </pt>
                <pt idx="167">
                  <v>39052</v>
                </pt>
                <pt idx="168">
                  <v>39083</v>
                </pt>
                <pt idx="169">
                  <v>39114</v>
                </pt>
                <pt idx="170">
                  <v>39142</v>
                </pt>
                <pt idx="171">
                  <v>39173</v>
                </pt>
                <pt idx="172">
                  <v>39203</v>
                </pt>
                <pt idx="173">
                  <v>39234</v>
                </pt>
                <pt idx="174">
                  <v>39264</v>
                </pt>
                <pt idx="175">
                  <v>39295</v>
                </pt>
                <pt idx="176">
                  <v>39326</v>
                </pt>
                <pt idx="177">
                  <v>39356</v>
                </pt>
                <pt idx="178">
                  <v>39387</v>
                </pt>
                <pt idx="179">
                  <v>39417</v>
                </pt>
                <pt idx="180">
                  <v>39448</v>
                </pt>
                <pt idx="181">
                  <v>39479</v>
                </pt>
                <pt idx="182">
                  <v>39508</v>
                </pt>
                <pt idx="183">
                  <v>39539</v>
                </pt>
                <pt idx="184">
                  <v>39569</v>
                </pt>
                <pt idx="185">
                  <v>39600</v>
                </pt>
                <pt idx="186">
                  <v>39630</v>
                </pt>
                <pt idx="187">
                  <v>39661</v>
                </pt>
                <pt idx="188">
                  <v>39692</v>
                </pt>
                <pt idx="189">
                  <v>39722</v>
                </pt>
                <pt idx="190">
                  <v>39753</v>
                </pt>
                <pt idx="191">
                  <v>39783</v>
                </pt>
                <pt idx="192">
                  <v>39814</v>
                </pt>
                <pt idx="193">
                  <v>39845</v>
                </pt>
                <pt idx="194">
                  <v>39873</v>
                </pt>
                <pt idx="195">
                  <v>39904</v>
                </pt>
                <pt idx="196">
                  <v>39934</v>
                </pt>
                <pt idx="197">
                  <v>39965</v>
                </pt>
                <pt idx="198">
                  <v>39995</v>
                </pt>
                <pt idx="199">
                  <v>40026</v>
                </pt>
                <pt idx="200">
                  <v>40057</v>
                </pt>
                <pt idx="201">
                  <v>40087</v>
                </pt>
                <pt idx="202">
                  <v>40118</v>
                </pt>
                <pt idx="203">
                  <v>40148</v>
                </pt>
                <pt idx="204">
                  <v>40179</v>
                </pt>
                <pt idx="205">
                  <v>40210</v>
                </pt>
                <pt idx="206">
                  <v>40238</v>
                </pt>
                <pt idx="207">
                  <v>40269</v>
                </pt>
                <pt idx="208">
                  <v>40299</v>
                </pt>
                <pt idx="209">
                  <v>40330</v>
                </pt>
                <pt idx="210">
                  <v>40360</v>
                </pt>
                <pt idx="211">
                  <v>40391</v>
                </pt>
                <pt idx="212">
                  <v>40422</v>
                </pt>
                <pt idx="213">
                  <v>40452</v>
                </pt>
                <pt idx="214">
                  <v>40483</v>
                </pt>
                <pt idx="215">
                  <v>40513</v>
                </pt>
                <pt idx="216">
                  <v>40544</v>
                </pt>
                <pt idx="217">
                  <v>40575</v>
                </pt>
                <pt idx="218">
                  <v>40603</v>
                </pt>
                <pt idx="219">
                  <v>40634</v>
                </pt>
                <pt idx="220">
                  <v>40664</v>
                </pt>
                <pt idx="221">
                  <v>40695</v>
                </pt>
                <pt idx="222">
                  <v>40725</v>
                </pt>
                <pt idx="223">
                  <v>40756</v>
                </pt>
                <pt idx="224">
                  <v>40787</v>
                </pt>
                <pt idx="225">
                  <v>40817</v>
                </pt>
                <pt idx="226">
                  <v>40848</v>
                </pt>
                <pt idx="227">
                  <v>40878</v>
                </pt>
                <pt idx="228">
                  <v>40909</v>
                </pt>
                <pt idx="229">
                  <v>40940</v>
                </pt>
                <pt idx="230">
                  <v>40969</v>
                </pt>
                <pt idx="231">
                  <v>41000</v>
                </pt>
                <pt idx="232">
                  <v>41030</v>
                </pt>
                <pt idx="233">
                  <v>41061</v>
                </pt>
                <pt idx="234">
                  <v>41091</v>
                </pt>
                <pt idx="235">
                  <v>41122</v>
                </pt>
                <pt idx="236">
                  <v>41153</v>
                </pt>
                <pt idx="237">
                  <v>41183</v>
                </pt>
                <pt idx="238">
                  <v>41214</v>
                </pt>
                <pt idx="239">
                  <v>41244</v>
                </pt>
                <pt idx="240">
                  <v>41275</v>
                </pt>
                <pt idx="241">
                  <v>41306</v>
                </pt>
                <pt idx="242">
                  <v>41334</v>
                </pt>
                <pt idx="243">
                  <v>41365</v>
                </pt>
                <pt idx="244">
                  <v>41395</v>
                </pt>
                <pt idx="245">
                  <v>41426</v>
                </pt>
                <pt idx="246">
                  <v>41456</v>
                </pt>
                <pt idx="247">
                  <v>41487</v>
                </pt>
                <pt idx="248">
                  <v>41518</v>
                </pt>
                <pt idx="249">
                  <v>41548</v>
                </pt>
                <pt idx="250">
                  <v>41579</v>
                </pt>
                <pt idx="251">
                  <v>41609</v>
                </pt>
                <pt idx="252">
                  <v>41640</v>
                </pt>
                <pt idx="253">
                  <v>41671</v>
                </pt>
                <pt idx="254">
                  <v>41699</v>
                </pt>
                <pt idx="255">
                  <v>41730</v>
                </pt>
                <pt idx="256">
                  <v>41760</v>
                </pt>
                <pt idx="257">
                  <v>41791</v>
                </pt>
                <pt idx="258">
                  <v>41821</v>
                </pt>
                <pt idx="259">
                  <v>41852</v>
                </pt>
                <pt idx="260">
                  <v>41883</v>
                </pt>
                <pt idx="261">
                  <v>41913</v>
                </pt>
                <pt idx="262">
                  <v>41944</v>
                </pt>
                <pt idx="263">
                  <v>41974</v>
                </pt>
                <pt idx="264">
                  <v>42005</v>
                </pt>
                <pt idx="265">
                  <v>42036</v>
                </pt>
                <pt idx="266">
                  <v>42064</v>
                </pt>
                <pt idx="267">
                  <v>42095</v>
                </pt>
                <pt idx="268">
                  <v>42125</v>
                </pt>
                <pt idx="269">
                  <v>42156</v>
                </pt>
                <pt idx="270">
                  <v>42186</v>
                </pt>
                <pt idx="271">
                  <v>42217</v>
                </pt>
                <pt idx="272">
                  <v>42248</v>
                </pt>
                <pt idx="273">
                  <v>42278</v>
                </pt>
                <pt idx="274">
                  <v>42309</v>
                </pt>
                <pt idx="275">
                  <v>42339</v>
                </pt>
                <pt idx="276">
                  <v>42370</v>
                </pt>
                <pt idx="277">
                  <v>42401</v>
                </pt>
                <pt idx="278">
                  <v>42430</v>
                </pt>
                <pt idx="279">
                  <v>42461</v>
                </pt>
                <pt idx="280">
                  <v>42491</v>
                </pt>
                <pt idx="281">
                  <v>42522</v>
                </pt>
                <pt idx="282">
                  <v>42552</v>
                </pt>
                <pt idx="283">
                  <v>42583</v>
                </pt>
                <pt idx="284">
                  <v>42614</v>
                </pt>
                <pt idx="285">
                  <v>42644</v>
                </pt>
                <pt idx="286">
                  <v>42675</v>
                </pt>
                <pt idx="287">
                  <v>42705</v>
                </pt>
                <pt idx="288">
                  <v>42736</v>
                </pt>
                <pt idx="289">
                  <v>42767</v>
                </pt>
                <pt idx="290">
                  <v>42795</v>
                </pt>
                <pt idx="291">
                  <v>42826</v>
                </pt>
                <pt idx="292">
                  <v>42856</v>
                </pt>
                <pt idx="293">
                  <v>42887</v>
                </pt>
                <pt idx="294">
                  <v>42917</v>
                </pt>
                <pt idx="295">
                  <v>42948</v>
                </pt>
                <pt idx="296">
                  <v>42979</v>
                </pt>
                <pt idx="297">
                  <v>43009</v>
                </pt>
                <pt idx="298">
                  <v>43040</v>
                </pt>
                <pt idx="299">
                  <v>43070</v>
                </pt>
                <pt idx="300">
                  <v>43101</v>
                </pt>
                <pt idx="301">
                  <v>43132</v>
                </pt>
                <pt idx="302">
                  <v>43160</v>
                </pt>
                <pt idx="303">
                  <v>43191</v>
                </pt>
                <pt idx="304">
                  <v>43221</v>
                </pt>
                <pt idx="305">
                  <v>43252</v>
                </pt>
                <pt idx="306">
                  <v>43282</v>
                </pt>
                <pt idx="307">
                  <v>43313</v>
                </pt>
                <pt idx="308">
                  <v>43344</v>
                </pt>
                <pt idx="309">
                  <v>43374</v>
                </pt>
                <pt idx="310">
                  <v>43405</v>
                </pt>
                <pt idx="311">
                  <v>43435</v>
                </pt>
                <pt idx="312">
                  <v>43466</v>
                </pt>
                <pt idx="313">
                  <v>43497</v>
                </pt>
                <pt idx="314">
                  <v>43525</v>
                </pt>
                <pt idx="315">
                  <v>43556</v>
                </pt>
                <pt idx="316">
                  <v>43586</v>
                </pt>
                <pt idx="317">
                  <v>43617</v>
                </pt>
                <pt idx="318">
                  <v>43647</v>
                </pt>
                <pt idx="319">
                  <v>43678</v>
                </pt>
                <pt idx="320">
                  <v>43709</v>
                </pt>
                <pt idx="321">
                  <v>43739</v>
                </pt>
                <pt idx="322">
                  <v>43770</v>
                </pt>
                <pt idx="323">
                  <v>43800</v>
                </pt>
                <pt idx="324">
                  <v>43831</v>
                </pt>
                <pt idx="325">
                  <v>43862</v>
                </pt>
                <pt idx="326">
                  <v>43891</v>
                </pt>
                <pt idx="327">
                  <v>43922</v>
                </pt>
                <pt idx="328">
                  <v>43952</v>
                </pt>
                <pt idx="329">
                  <v>43983</v>
                </pt>
                <pt idx="330">
                  <v>44013</v>
                </pt>
                <pt idx="331">
                  <v>44044</v>
                </pt>
                <pt idx="332">
                  <v>44075</v>
                </pt>
                <pt idx="333">
                  <v>44105</v>
                </pt>
                <pt idx="334">
                  <v>44136</v>
                </pt>
                <pt idx="335">
                  <v>44166</v>
                </pt>
                <pt idx="336">
                  <v>44197</v>
                </pt>
                <pt idx="337">
                  <v>44228</v>
                </pt>
                <pt idx="338">
                  <v>44256</v>
                </pt>
                <pt idx="339">
                  <v>44287</v>
                </pt>
                <pt idx="340">
                  <v>44317</v>
                </pt>
                <pt idx="341">
                  <v>44348</v>
                </pt>
                <pt idx="342">
                  <v>44378</v>
                </pt>
                <pt idx="343">
                  <v>44409</v>
                </pt>
                <pt idx="344">
                  <v>44440</v>
                </pt>
                <pt idx="345">
                  <v>44470</v>
                </pt>
                <pt idx="346">
                  <v>44501</v>
                </pt>
                <pt idx="347">
                  <v>44531</v>
                </pt>
                <pt idx="348">
                  <v>44562</v>
                </pt>
                <pt idx="349">
                  <v>44593</v>
                </pt>
                <pt idx="350">
                  <v>44621</v>
                </pt>
                <pt idx="351">
                  <v>44652</v>
                </pt>
                <pt idx="352">
                  <v>44682</v>
                </pt>
                <pt idx="353">
                  <v>44713</v>
                </pt>
                <pt idx="354">
                  <v>44743</v>
                </pt>
                <pt idx="355">
                  <v>44774</v>
                </pt>
                <pt idx="356">
                  <v>44805</v>
                </pt>
              </numCache>
            </numRef>
          </cat>
          <val>
            <numRef>
              <f>'Retail Sales ex Auto'!$C$19:$C$380</f>
              <numCache>
                <formatCode>0.00%</formatCode>
                <ptCount val="362"/>
                <pt idx="0">
                  <v>0.004779548793054307</v>
                </pt>
                <pt idx="1">
                  <v>-0.003389411362528821</v>
                </pt>
                <pt idx="2">
                  <v>-0.004889761423431445</v>
                </pt>
                <pt idx="3">
                  <v>0.01376594231065412</v>
                </pt>
                <pt idx="4">
                  <v>0.008623433747142402</v>
                </pt>
                <pt idx="5">
                  <v>-0.001111748673074164</v>
                </pt>
                <pt idx="6">
                  <v>0.008530499407604208</v>
                </pt>
                <pt idx="7">
                  <v>-0.001779954860344742</v>
                </pt>
                <pt idx="8">
                  <v>0.00975014799968617</v>
                </pt>
                <pt idx="9">
                  <v>0.003228085046266864</v>
                </pt>
                <pt idx="10">
                  <v>0.00452730818787977</v>
                </pt>
                <pt idx="11">
                  <v>0.006539566832550641</v>
                </pt>
                <pt idx="12">
                  <v>-0.007806243602153158</v>
                </pt>
                <pt idx="13">
                  <v>0.01338414676941649</v>
                </pt>
                <pt idx="14">
                  <v>0.01880337144796349</v>
                </pt>
                <pt idx="15">
                  <v>-0.00365047857298238</v>
                </pt>
                <pt idx="16">
                  <v>0.001801224013591054</v>
                </pt>
                <pt idx="17">
                  <v>0.0119729484918035</v>
                </pt>
                <pt idx="18">
                  <v>0.00455619191191811</v>
                </pt>
                <pt idx="19">
                  <v>0.01115458309326973</v>
                </pt>
                <pt idx="20">
                  <v>0.003445282943861765</v>
                </pt>
                <pt idx="21">
                  <v>0.007124416477936758</v>
                </pt>
                <pt idx="22">
                  <v>-1.311217465416639e-05</v>
                </pt>
                <pt idx="23">
                  <v>0.008083761669988461</v>
                </pt>
                <pt idx="24">
                  <v>0.003824116648564981</v>
                </pt>
                <pt idx="25">
                  <v>-0.01199878198109479</v>
                </pt>
                <pt idx="26">
                  <v>0.007009973966700984</v>
                </pt>
                <pt idx="27">
                  <v>0.002669861818371254</v>
                </pt>
                <pt idx="28">
                  <v>0.00839091806515301</v>
                </pt>
                <pt idx="29">
                  <v>0.003735476724115722</v>
                </pt>
                <pt idx="30">
                  <v>0.001539962014270315</v>
                </pt>
                <pt idx="31">
                  <v>0.004388550048690482</v>
                </pt>
                <pt idx="32">
                  <v>0.006665688607094333</v>
                </pt>
                <pt idx="33">
                  <v>-0.005785144913761421</v>
                </pt>
                <pt idx="34">
                  <v>0.01208374494120646</v>
                </pt>
                <pt idx="35">
                  <v>0.009036467024766846</v>
                </pt>
                <pt idx="36">
                  <v>-0.01177013904490876</v>
                </pt>
                <pt idx="37">
                  <v>0.008651720871487212</v>
                </pt>
                <pt idx="38">
                  <v>0.0114137240170298</v>
                </pt>
                <pt idx="39">
                  <v>0.009916864240480862</v>
                </pt>
                <pt idx="40">
                  <v>0.00584755891997916</v>
                </pt>
                <pt idx="41">
                  <v>0.001042053882107752</v>
                </pt>
                <pt idx="42">
                  <v>0.0003530772508674743</v>
                </pt>
                <pt idx="43">
                  <v>0.003395647728932379</v>
                </pt>
                <pt idx="44">
                  <v>0.007192848392222505</v>
                </pt>
                <pt idx="45">
                  <v>0.009261043402861409</v>
                </pt>
                <pt idx="46">
                  <v>0.003836286617743572</v>
                </pt>
                <pt idx="47">
                  <v>0.005366917677545126</v>
                </pt>
                <pt idx="48">
                  <v>0.001862186384166095</v>
                </pt>
                <pt idx="49">
                  <v>0.007965964678322545</v>
                </pt>
                <pt idx="50">
                  <v>0.006480467858167321</v>
                </pt>
                <pt idx="51">
                  <v>-0.006828439812014331</v>
                </pt>
                <pt idx="52">
                  <v>-9.370205090363915e-05</v>
                </pt>
                <pt idx="53">
                  <v>0.007338729515397861</v>
                </pt>
                <pt idx="54">
                  <v>0.008471373502101854</v>
                </pt>
                <pt idx="55">
                  <v>0.002150500438171671</v>
                </pt>
                <pt idx="56">
                  <v>0.006656272832396546</v>
                </pt>
                <pt idx="57">
                  <v>1.143000834390609e-05</v>
                </pt>
                <pt idx="58">
                  <v>0.0008343810721225283</v>
                </pt>
                <pt idx="59">
                  <v>0.001667370921507943</v>
                </pt>
                <pt idx="60">
                  <v>0.003847951749535396</v>
                </pt>
                <pt idx="61">
                  <v>0.004259113082291744</v>
                </pt>
                <pt idx="62">
                  <v>0.0005937469959229372</v>
                </pt>
                <pt idx="63">
                  <v>0.008895268666500892</v>
                </pt>
                <pt idx="64">
                  <v>0.003758640391660412</v>
                </pt>
                <pt idx="65">
                  <v>0.002868415618913685</v>
                </pt>
                <pt idx="66">
                  <v>0.007701425097519852</v>
                </pt>
                <pt idx="67">
                  <v>0.001606926904153161</v>
                </pt>
                <pt idx="68">
                  <v>-0.0001543703344323031</v>
                </pt>
                <pt idx="69">
                  <v>0.01048226121287647</v>
                </pt>
                <pt idx="70">
                  <v>0.006651933098687621</v>
                </pt>
                <pt idx="71">
                  <v>0.008581155067922851</v>
                </pt>
                <pt idx="72">
                  <v>0.001483416372402006</v>
                </pt>
                <pt idx="73">
                  <v>0.01034170007459763</v>
                </pt>
                <pt idx="74">
                  <v>0.004068840964623393</v>
                </pt>
                <pt idx="75">
                  <v>0.006882651063874811</v>
                </pt>
                <pt idx="76">
                  <v>0.006289175997099728</v>
                </pt>
                <pt idx="77">
                  <v>0.00246966437626616</v>
                </pt>
                <pt idx="78">
                  <v>0.00494799397907259</v>
                </pt>
                <pt idx="79">
                  <v>0.008136949524999094</v>
                </pt>
                <pt idx="80">
                  <v>0.008482549083113558</v>
                </pt>
                <pt idx="81">
                  <v>0.005770593422950853</v>
                </pt>
                <pt idx="82">
                  <v>0.007080623824753293</v>
                </pt>
                <pt idx="83">
                  <v>0.02646253573297902</v>
                </pt>
                <pt idx="84">
                  <v>-0.0175971052296106</v>
                </pt>
                <pt idx="85">
                  <v>0.01282659147056622</v>
                </pt>
                <pt idx="86">
                  <v>0.0188434720477</v>
                </pt>
                <pt idx="87">
                  <v>-0.007375736969128309</v>
                </pt>
                <pt idx="88">
                  <v>0.001846672578617578</v>
                </pt>
                <pt idx="89">
                  <v>0.005695165188971514</v>
                </pt>
                <pt idx="90">
                  <v>0.003099852986691427</v>
                </pt>
                <pt idx="91">
                  <v>0.0008774255755092202</v>
                </pt>
                <pt idx="92">
                  <v>0.01488870799154171</v>
                </pt>
                <pt idx="93">
                  <v>9.966872015871057e-05</v>
                </pt>
                <pt idx="94">
                  <v>0.00315586159767273</v>
                </pt>
                <pt idx="95">
                  <v>0.004177231957007153</v>
                </pt>
                <pt idx="96">
                  <v>0.003019781690041316</v>
                </pt>
                <pt idx="97">
                  <v>-0.001517087192590227</v>
                </pt>
                <pt idx="98">
                  <v>-0.008495425359268057</v>
                </pt>
                <pt idx="99">
                  <v>0.01468837028356715</v>
                </pt>
                <pt idx="100">
                  <v>0.002721215663354763</v>
                </pt>
                <pt idx="101">
                  <v>-0.003571811598595523</v>
                </pt>
                <pt idx="102">
                  <v>-0.001188632183854257</v>
                </pt>
                <pt idx="103">
                  <v>0.007618173044036413</v>
                </pt>
                <pt idx="104">
                  <v>-0.01352161924645337</v>
                </pt>
                <pt idx="105">
                  <v>0.009097122386934081</v>
                </pt>
                <pt idx="106">
                  <v>0.002863348669920826</v>
                </pt>
                <pt idx="107">
                  <v>0.003665614025282024</v>
                </pt>
                <pt idx="108">
                  <v>0.001661368540733694</v>
                </pt>
                <pt idx="109">
                  <v>0.00483221600885829</v>
                </pt>
                <pt idx="110">
                  <v>0.0037162380236622</v>
                </pt>
                <pt idx="111">
                  <v>0.01327563713870974</v>
                </pt>
                <pt idx="112">
                  <v>-0.003141688805070223</v>
                </pt>
                <pt idx="113">
                  <v>0.0005866596328147383</v>
                </pt>
                <pt idx="114">
                  <v>0.001922569971547782</v>
                </pt>
                <pt idx="115">
                  <v>2.268180601612223e-05</v>
                </pt>
                <pt idx="116">
                  <v>-0.0004626983478947225</v>
                </pt>
                <pt idx="117">
                  <v>0.007619903423737429</v>
                </pt>
                <pt idx="118">
                  <v>0.006891177941024128</v>
                </pt>
                <pt idx="119">
                  <v>0.00268392730135583</v>
                </pt>
                <pt idx="120">
                  <v>0.006343881188295495</v>
                </pt>
                <pt idx="121">
                  <v>-0.004180427795633382</v>
                </pt>
                <pt idx="122">
                  <v>0.01364453862317034</v>
                </pt>
                <pt idx="123">
                  <v>-0.007365050922937061</v>
                </pt>
                <pt idx="124">
                  <v>0.003229802672329882</v>
                </pt>
                <pt idx="125">
                  <v>0.0112502756339581</v>
                </pt>
                <pt idx="126">
                  <v>0.01045350870689618</v>
                </pt>
                <pt idx="127">
                  <v>0.01377655396248565</v>
                </pt>
                <pt idx="128">
                  <v>-0.0006002809825875942</v>
                </pt>
                <pt idx="129">
                  <v>0.001035148179544961</v>
                </pt>
                <pt idx="130">
                  <v>0.00764706883638592</v>
                </pt>
                <pt idx="131">
                  <v>0.002174932112555904</v>
                </pt>
                <pt idx="132">
                  <v>0.01129353066109294</v>
                </pt>
                <pt idx="133">
                  <v>0.001316754450296686</v>
                </pt>
                <pt idx="134">
                  <v>0.01862255513940907</v>
                </pt>
                <pt idx="135">
                  <v>-0.004996425288530283</v>
                </pt>
                <pt idx="136">
                  <v>0.0106383852319012</v>
                </pt>
                <pt idx="137">
                  <v>-0.0007150315060757364</v>
                </pt>
                <pt idx="138">
                  <v>0.005464147629560063</v>
                </pt>
                <pt idx="139">
                  <v>0.001217091031130843</v>
                </pt>
                <pt idx="140">
                  <v>0.008997948403146858</v>
                </pt>
                <pt idx="141">
                  <v>0.01217579250720461</v>
                </pt>
                <pt idx="142">
                  <v>0.006117477716879809</v>
                </pt>
                <pt idx="143">
                  <v>0.008088700580515586</v>
                </pt>
                <pt idx="144">
                  <v>0.0004912529679866816</v>
                </pt>
                <pt idx="145">
                  <v>0.01028786538484021</v>
                </pt>
                <pt idx="146">
                  <v>0.0006981597127130641</v>
                </pt>
                <pt idx="147">
                  <v>0.01349090712859533</v>
                </pt>
                <pt idx="148">
                  <v>-0.006225896993161782</v>
                </pt>
                <pt idx="149">
                  <v>0.01171846596019089</v>
                </pt>
                <pt idx="150">
                  <v>0.002315033723081113</v>
                </pt>
                <pt idx="151">
                  <v>0.01716791648897427</v>
                </pt>
                <pt idx="152">
                  <v>0.01413253190857821</v>
                </pt>
                <pt idx="153">
                  <v>0.01066480322249011</v>
                </pt>
                <pt idx="154">
                  <v>-0.007710574709314954</v>
                </pt>
                <pt idx="155">
                  <v>-0.0001495728054750943</v>
                </pt>
                <pt idx="156">
                  <v>0.02371995782145633</v>
                </pt>
                <pt idx="157">
                  <v>8.553893090592856e-05</v>
                </pt>
                <pt idx="158">
                  <v>0.001632228312389967</v>
                </pt>
                <pt idx="159">
                  <v>0.005226716383923489</v>
                </pt>
                <pt idx="160">
                  <v>0.0003468719582337846</v>
                </pt>
                <pt idx="161">
                  <v>-0.0003998259165036108</v>
                </pt>
                <pt idx="162">
                  <v>0.00188311918162189</v>
                </pt>
                <pt idx="163">
                  <v>0.008698355721059066</v>
                </pt>
                <pt idx="164">
                  <v>-0.003929892400806994</v>
                </pt>
                <pt idx="165">
                  <v>-0.004806914642980217</v>
                </pt>
                <pt idx="166">
                  <v>0.0006607423634789676</v>
                </pt>
                <pt idx="167">
                  <v>0.01797303691358112</v>
                </pt>
                <pt idx="168">
                  <v>-0.0002601529005314057</v>
                </pt>
                <pt idx="169">
                  <v>-0.0001804196143877703</v>
                </pt>
                <pt idx="170">
                  <v>0.01221869415092048</v>
                </pt>
                <pt idx="171">
                  <v>-0.005841898479872191</v>
                </pt>
                <pt idx="172">
                  <v>0.01298701298701299</v>
                </pt>
                <pt idx="173">
                  <v>-0.001320860056919536</v>
                </pt>
                <pt idx="174">
                  <v>0.004506408508317425</v>
                </pt>
                <pt idx="175">
                  <v>0.0004309730489137443</v>
                </pt>
                <pt idx="176">
                  <v>0.002998551604598231</v>
                </pt>
                <pt idx="177">
                  <v>0.006692752280236597</v>
                </pt>
                <pt idx="178">
                  <v>0.0176939718885216</v>
                </pt>
                <pt idx="179">
                  <v>-0.006555775255084357</v>
                </pt>
                <pt idx="180">
                  <v>0.001491927310909012</v>
                </pt>
                <pt idx="181">
                  <v>-0.00588914473029376</v>
                </pt>
                <pt idx="182">
                  <v>0.004485577067487242</v>
                </pt>
                <pt idx="183">
                  <v>0.005146675261071665</v>
                </pt>
                <pt idx="184">
                  <v>0.01445524262858654</v>
                </pt>
                <pt idx="185">
                  <v>0.00782357368854943</v>
                </pt>
                <pt idx="186">
                  <v>0.004355079632970571</v>
                </pt>
                <pt idx="187">
                  <v>-0.01075839956734623</v>
                </pt>
                <pt idx="188">
                  <v>-0.01014972388455543</v>
                </pt>
                <pt idx="189">
                  <v>-0.02573804983891117</v>
                </pt>
                <pt idx="190">
                  <v>-0.04044190841265932</v>
                </pt>
                <pt idx="191">
                  <v>-0.02249917360021943</v>
                </pt>
                <pt idx="192">
                  <v>0.01140778794681402</v>
                </pt>
                <pt idx="193">
                  <v>0.0008856828828444292</v>
                </pt>
                <pt idx="194">
                  <v>-0.01684862183177676</v>
                </pt>
                <pt idx="195">
                  <v>0.004149692568507882</v>
                </pt>
                <pt idx="196">
                  <v>0.00853867060242265</v>
                </pt>
                <pt idx="197">
                  <v>0.01108267568985641</v>
                </pt>
                <pt idx="198">
                  <v>-0.001775678499816431</v>
                </pt>
                <pt idx="199">
                  <v>0.005785641283167532</v>
                </pt>
                <pt idx="200">
                  <v>0.001997151948805401</v>
                </pt>
                <pt idx="201">
                  <v>0.0007439301267137588</v>
                </pt>
                <pt idx="202">
                  <v>0.006434419762610236</v>
                </pt>
                <pt idx="203">
                  <v>0.006874085429586788</v>
                </pt>
                <pt idx="204">
                  <v>0.0008719934392874568</v>
                </pt>
                <pt idx="205">
                  <v>0.006178153468512852</v>
                </pt>
                <pt idx="206">
                  <v>0.008353033343412409</v>
                </pt>
                <pt idx="207">
                  <v>0.007411496508929576</v>
                </pt>
                <pt idx="208">
                  <v>-0.009991949614055027</v>
                </pt>
                <pt idx="209">
                  <v>-0.001171912369654645</v>
                </pt>
                <pt idx="210">
                  <v>-0.0006020366626644911</v>
                </pt>
                <pt idx="211">
                  <v>0.006503174576010132</v>
                </pt>
                <pt idx="212">
                  <v>0.007892812813493615</v>
                </pt>
                <pt idx="213">
                  <v>0.007675801151201474</v>
                </pt>
                <pt idx="214">
                  <v>0.01057051305660933</v>
                </pt>
                <pt idx="215">
                  <v>0.007007534341888158</v>
                </pt>
                <pt idx="216">
                  <v>0.006165832601264094</v>
                </pt>
                <pt idx="217">
                  <v>0.006546612732867462</v>
                </pt>
                <pt idx="218">
                  <v>0.01035057454460396</v>
                </pt>
                <pt idx="219">
                  <v>0.008623932860656923</v>
                </pt>
                <pt idx="220">
                  <v>0.002190151015216289</v>
                </pt>
                <pt idx="221">
                  <v>0.006801033197185428</v>
                </pt>
                <pt idx="222">
                  <v>-0.0002654011665013175</v>
                </pt>
                <pt idx="223">
                  <v>0.005107168365895746</v>
                </pt>
                <pt idx="224">
                  <v>0.002855040656030487</v>
                </pt>
                <pt idx="225">
                  <v>0.004019539602811797</v>
                </pt>
                <pt idx="226">
                  <v>0.002954182072549215</v>
                </pt>
                <pt idx="227">
                  <v>-0.003129183921287792</v>
                </pt>
                <pt idx="228">
                  <v>0.01173145097059329</v>
                </pt>
                <pt idx="229">
                  <v>0.01175286566786346</v>
                </pt>
                <pt idx="230">
                  <v>0.004070448664746375</v>
                </pt>
                <pt idx="231">
                  <v>-0.005552145188444731</v>
                </pt>
                <pt idx="232">
                  <v>-0.004626644460403074</v>
                </pt>
                <pt idx="233">
                  <v>-0.007650719480782633</v>
                </pt>
                <pt idx="234">
                  <v>0.003786788932923717</v>
                </pt>
                <pt idx="235">
                  <v>0.01189078233210974</v>
                </pt>
                <pt idx="236">
                  <v>0.006155748665137629</v>
                </pt>
                <pt idx="237">
                  <v>0.001271448118862235</v>
                </pt>
                <pt idx="238">
                  <v>0.002198021478328173</v>
                </pt>
                <pt idx="239">
                  <v>0.00213286512871102</v>
                </pt>
                <pt idx="240">
                  <v>0.007607183927076999</v>
                </pt>
                <pt idx="241">
                  <v>0.01127831903750377</v>
                </pt>
                <pt idx="242">
                  <v>-0.006901278627307319</v>
                </pt>
                <pt idx="243">
                  <v>-0.007294319236535853</v>
                </pt>
                <pt idx="244">
                  <v>0.00298172010788133</v>
                </pt>
                <pt idx="245">
                  <v>-0.001356458865534293</v>
                </pt>
                <pt idx="246">
                  <v>0.007644184884559345</v>
                </pt>
                <pt idx="247">
                  <v>-0.00152911554769059</v>
                </pt>
                <pt idx="248">
                  <v>0.004166158658978652</v>
                </pt>
                <pt idx="249">
                  <v>0.0007995688251076457</v>
                </pt>
                <pt idx="250">
                  <v>0.002760747088343907</v>
                </pt>
                <pt idx="251">
                  <v>0.007740088820691385</v>
                </pt>
                <pt idx="252">
                  <v>-0.004193166777937852</v>
                </pt>
                <pt idx="253">
                  <v>0.009936014302685281</v>
                </pt>
                <pt idx="254">
                  <v>0.004673101279643621</v>
                </pt>
                <pt idx="255">
                  <v>0.008094244479221005</v>
                </pt>
                <pt idx="256">
                  <v>0.002095712844218678</v>
                </pt>
                <pt idx="257">
                  <v>0.002051167300663832</v>
                </pt>
                <pt idx="258">
                  <v>0.001574591250425855</v>
                </pt>
                <pt idx="259">
                  <v>0.007083096324964913</v>
                </pt>
                <pt idx="260">
                  <v>-0.0001873270417937983</v>
                </pt>
                <pt idx="261">
                  <v>0.003153929353118018</v>
                </pt>
                <pt idx="262">
                  <v>0.0007103036477346691</v>
                </pt>
                <pt idx="263">
                  <v>-0.006719057974498121</v>
                </pt>
                <pt idx="264">
                  <v>-0.009244259704764481</v>
                </pt>
                <pt idx="265">
                  <v>0.00116092621221961</v>
                </pt>
                <pt idx="266">
                  <v>0.007534399917336869</v>
                </pt>
                <pt idx="267">
                  <v>0.0009999230828397815</v>
                </pt>
                <pt idx="268">
                  <v>0.007234374377451064</v>
                </pt>
                <pt idx="269">
                  <v>0.001522943037974684</v>
                </pt>
                <pt idx="270">
                  <v>0.00917454486978748</v>
                </pt>
                <pt idx="271">
                  <v>-0.001705287229075986</v>
                </pt>
                <pt idx="272">
                  <v>-0.006048708908684097</v>
                </pt>
                <pt idx="273">
                  <v>-0.001465032216621917</v>
                </pt>
                <pt idx="274">
                  <v>0.001746510505867316</v>
                </pt>
                <pt idx="275">
                  <v>0.00692598017124831</v>
                </pt>
                <pt idx="276">
                  <v>-0.008209813174302586</v>
                </pt>
                <pt idx="277">
                  <v>0.006452995792014982</v>
                </pt>
                <pt idx="278">
                  <v>0.001398338807124522</v>
                </pt>
                <pt idx="279">
                  <v>0.003584710830527969</v>
                </pt>
                <pt idx="280">
                  <v>0.004129581297820607</v>
                </pt>
                <pt idx="281">
                  <v>0.01161857528053694</v>
                </pt>
                <pt idx="282">
                  <v>-0.006162554179694041</v>
                </pt>
                <pt idx="283">
                  <v>0.0007512732977583331</v>
                </pt>
                <pt idx="284">
                  <v>0.005950475265232223</v>
                </pt>
                <pt idx="285">
                  <v>0.003281387181738367</v>
                </pt>
                <pt idx="286">
                  <v>-0.0002844047736247389</v>
                </pt>
                <pt idx="287">
                  <v>0.01000623680150559</v>
                </pt>
                <pt idx="288">
                  <v>0.01281586003304174</v>
                </pt>
                <pt idx="289">
                  <v>0.001502826490392072</v>
                </pt>
                <pt idx="290">
                  <v>0.002349649154660315</v>
                </pt>
                <pt idx="291">
                  <v>0.00362276374252805</v>
                </pt>
                <pt idx="292">
                  <v>-0.007434362094042956</v>
                </pt>
                <pt idx="293">
                  <v>0.00260186168150325</v>
                </pt>
                <pt idx="294">
                  <v>-0.0001946998954488233</v>
                </pt>
                <pt idx="295">
                  <v>0.008042938353478472</v>
                </pt>
                <pt idx="296">
                  <v>0.01455760854032254</v>
                </pt>
                <pt idx="297">
                  <v>4.173415862632017e-05</v>
                </pt>
                <pt idx="298">
                  <v>0.01516190873642066</v>
                </pt>
                <pt idx="299">
                  <v>0.009550163408768577</v>
                </pt>
                <pt idx="300">
                  <v>-0.004721002735891073</v>
                </pt>
                <pt idx="301">
                  <v>0.00874779451249137</v>
                </pt>
                <pt idx="302">
                  <v>-0.002271281220610863</v>
                </pt>
                <pt idx="303">
                  <v>0.001864861088174392</v>
                </pt>
                <pt idx="304">
                  <v>0.01442450339690969</v>
                </pt>
                <pt idx="305">
                  <v>-0.003219863155815878</v>
                </pt>
                <pt idx="306">
                  <v>0.007443652204881009</v>
                </pt>
                <pt idx="307">
                  <v>0.001787416883870181</v>
                </pt>
                <pt idx="308">
                  <v>-0.003245405862107526</v>
                </pt>
                <pt idx="309">
                  <v>0.01193441184316483</v>
                </pt>
                <pt idx="310">
                  <v>0.0007292508425803654</v>
                </pt>
                <pt idx="311">
                  <v>-0.0243013156339859</v>
                </pt>
                <pt idx="312">
                  <v>0.01346888002402093</v>
                </pt>
                <pt idx="313">
                  <v>0.001060601156702576</v>
                </pt>
                <pt idx="314">
                  <v>0.009687006478729622</v>
                </pt>
                <pt idx="315">
                  <v>0.005273658800926154</v>
                </pt>
                <pt idx="316">
                  <v>0.004618728269312288</v>
                </pt>
                <pt idx="317">
                  <v>0.001975580845158364</v>
                </pt>
                <pt idx="318">
                  <v>0.01097571662252687</v>
                </pt>
                <pt idx="319">
                  <v>0.0002431830494191296</v>
                </pt>
                <pt idx="320">
                  <v>-0.002782685725014804</v>
                </pt>
                <pt idx="321">
                  <v>0.004608105824703695</v>
                </pt>
                <pt idx="322">
                  <v>-0.0002979487191809294</v>
                </pt>
                <pt idx="323">
                  <v>0.01465671605917487</v>
                </pt>
                <pt idx="324">
                  <v>-0.002416185600955104</v>
                </pt>
                <pt idx="325">
                  <v>0.003671049288467064</v>
                </pt>
                <pt idx="326">
                  <v>-0.04420848918446386</v>
                </pt>
                <pt idx="327">
                  <v>-0.1564606317436193</v>
                </pt>
                <pt idx="328">
                  <v>0.1300501197239307</v>
                </pt>
                <pt idx="329">
                  <v>0.08576666502208501</v>
                </pt>
                <pt idx="330">
                  <v>0.02899323658557585</v>
                </pt>
                <pt idx="331">
                  <v>0.006015037593984963</v>
                </pt>
                <pt idx="332">
                  <v>0.01848245206691572</v>
                </pt>
                <pt idx="333">
                  <v>-0.002849086863123606</v>
                </pt>
                <pt idx="334">
                  <v>-0.01064635669389677</v>
                </pt>
                <pt idx="335">
                  <v>-0.007015292924694245</v>
                </pt>
                <pt idx="336">
                  <v>0.0600524248823682</v>
                </pt>
                <pt idx="337">
                  <v>-0.01502872496122676</v>
                </pt>
                <pt idx="338">
                  <v>0.0969506109866714</v>
                </pt>
                <pt idx="339">
                  <v>-0.004688390824582614</v>
                </pt>
                <pt idx="340">
                  <v>-0.001074532761061695</v>
                </pt>
                <pt idx="341">
                  <v>0.02038724790454229</v>
                </pt>
                <pt idx="342">
                  <v>-0.01019920128177535</v>
                </pt>
                <pt idx="343">
                  <v>0.01743757625542093</v>
                </pt>
                <pt idx="344">
                  <v>0.01146143145205176</v>
                </pt>
                <pt idx="345">
                  <v>0.01387489508724633</v>
                </pt>
                <pt idx="346">
                  <v>0.005478251976435219</v>
                </pt>
                <pt idx="347">
                  <v>-0.01436275356478016</v>
                </pt>
                <pt idx="348">
                  <v>0.01617061212727761</v>
                </pt>
                <pt idx="349">
                  <v>0.01724881249149727</v>
                </pt>
                <pt idx="350">
                  <v>0.01985899230165024</v>
                </pt>
                <pt idx="351">
                  <v>0.004565636566463996</v>
                </pt>
                <pt idx="352">
                  <v>0.01253336961397883</v>
                </pt>
                <pt idx="353">
                  <v>0.01135775568568705</v>
                </pt>
                <pt idx="354">
                  <v>-0.0007630435563215915</v>
                </pt>
                <pt idx="355">
                  <v>-0.001148134506023663</v>
                </pt>
                <pt idx="356">
                  <v>0.000886824628181236</v>
                </pt>
              </numCache>
            </numRef>
          </val>
        </ser>
        <dLbls>
          <showLegendKey val="0"/>
          <showVal val="0"/>
          <showCatName val="0"/>
          <showSerName val="0"/>
          <showPercent val="0"/>
          <showBubbleSize val="0"/>
        </dLbls>
        <gapWidth val="219"/>
        <overlap val="-27"/>
        <axId val="986129336"/>
        <axId val="986131632"/>
      </barChart>
      <dateAx>
        <axId val="986129336"/>
        <scaling>
          <orientation val="minMax"/>
          <max val="44713"/>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986131632"/>
        <crosses val="autoZero"/>
        <lblOffset val="100"/>
        <baseTimeUnit val="months"/>
      </dateAx>
      <valAx>
        <axId val="9861316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98612933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8.xml><?xml version="1.0" encoding="utf-8"?>
<chartSpace xmlns="http://schemas.openxmlformats.org/drawingml/2006/chart">
  <chart>
    <title>
      <tx>
        <strRef>
          <f>Table7[[#Headers],[Retail and Food Services Excluding Motor Vehicles and Parts Dealers, Retail Sales mil$]]</f>
          <strCache>
            <ptCount val="1"/>
            <pt idx="0">
              <v>Retail and Food Services Excluding Motor Vehicles and Parts Dealers, Retail Sales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'Retail Sales ex Auto'!$B$6</f>
              <strCache>
                <ptCount val="1"/>
                <pt idx="0">
                  <v>Retail and Food Services Excluding Motor Vehicles and Parts Dealers, Retail Sales mil$</v>
                </pt>
              </strCache>
            </strRef>
          </tx>
          <spPr>
            <a:ln xmlns:a="http://schemas.openxmlformats.org/drawingml/2006/main">
              <a:prstDash val="solid"/>
            </a:ln>
          </spPr>
          <marker>
            <symbol val="none"/>
            <spPr>
              <a:ln xmlns:a="http://schemas.openxmlformats.org/drawingml/2006/main">
                <a:prstDash val="solid"/>
              </a:ln>
            </spPr>
          </marker>
          <cat>
            <numRef>
              <f>'Retail Sales ex Auto'!$A$7:$A$382</f>
              <numCache>
                <formatCode>[$-409]mmm\-yy;@</formatCode>
                <ptCount val="376"/>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numCache>
            </numRef>
          </cat>
          <val>
            <numRef>
              <f>'Retail Sales ex Auto'!$B$7:$B$382</f>
              <numCache>
                <formatCode>#,##0</formatCode>
                <ptCount val="376"/>
                <pt idx="0">
                  <v>130617</v>
                </pt>
                <pt idx="1">
                  <v>130396</v>
                </pt>
                <pt idx="2">
                  <v>130385</v>
                </pt>
                <pt idx="3">
                  <v>130933</v>
                </pt>
                <pt idx="4">
                  <v>131255</v>
                </pt>
                <pt idx="5">
                  <v>131296</v>
                </pt>
                <pt idx="6">
                  <v>132058</v>
                </pt>
                <pt idx="7">
                  <v>133215</v>
                </pt>
                <pt idx="8">
                  <v>133510</v>
                </pt>
                <pt idx="9">
                  <v>134653</v>
                </pt>
                <pt idx="10">
                  <v>135075</v>
                </pt>
                <pt idx="11">
                  <v>136833</v>
                </pt>
                <pt idx="12">
                  <v>137487</v>
                </pt>
                <pt idx="13">
                  <v>137021</v>
                </pt>
                <pt idx="14">
                  <v>136351</v>
                </pt>
                <pt idx="15">
                  <v>138228</v>
                </pt>
                <pt idx="16">
                  <v>139420</v>
                </pt>
                <pt idx="17">
                  <v>139265</v>
                </pt>
                <pt idx="18">
                  <v>140453</v>
                </pt>
                <pt idx="19">
                  <v>140203</v>
                </pt>
                <pt idx="20">
                  <v>141570</v>
                </pt>
                <pt idx="21">
                  <v>142027</v>
                </pt>
                <pt idx="22">
                  <v>142670</v>
                </pt>
                <pt idx="23">
                  <v>143603</v>
                </pt>
                <pt idx="24">
                  <v>142482</v>
                </pt>
                <pt idx="25">
                  <v>144389</v>
                </pt>
                <pt idx="26">
                  <v>147104</v>
                </pt>
                <pt idx="27">
                  <v>146567</v>
                </pt>
                <pt idx="28">
                  <v>146831</v>
                </pt>
                <pt idx="29">
                  <v>148589</v>
                </pt>
                <pt idx="30">
                  <v>149266</v>
                </pt>
                <pt idx="31">
                  <v>150931</v>
                </pt>
                <pt idx="32">
                  <v>151451</v>
                </pt>
                <pt idx="33">
                  <v>152530</v>
                </pt>
                <pt idx="34">
                  <v>152528</v>
                </pt>
                <pt idx="35">
                  <v>153761</v>
                </pt>
                <pt idx="36">
                  <v>154349</v>
                </pt>
                <pt idx="37">
                  <v>152497</v>
                </pt>
                <pt idx="38">
                  <v>153566</v>
                </pt>
                <pt idx="39">
                  <v>153976</v>
                </pt>
                <pt idx="40">
                  <v>155268</v>
                </pt>
                <pt idx="41">
                  <v>155848</v>
                </pt>
                <pt idx="42">
                  <v>156088</v>
                </pt>
                <pt idx="43">
                  <v>156773</v>
                </pt>
                <pt idx="44">
                  <v>157818</v>
                </pt>
                <pt idx="45">
                  <v>156905</v>
                </pt>
                <pt idx="46">
                  <v>158801</v>
                </pt>
                <pt idx="47">
                  <v>160236</v>
                </pt>
                <pt idx="48">
                  <v>158350</v>
                </pt>
                <pt idx="49">
                  <v>159720</v>
                </pt>
                <pt idx="50">
                  <v>161543</v>
                </pt>
                <pt idx="51">
                  <v>163145</v>
                </pt>
                <pt idx="52">
                  <v>164099</v>
                </pt>
                <pt idx="53">
                  <v>164270</v>
                </pt>
                <pt idx="54">
                  <v>164328</v>
                </pt>
                <pt idx="55">
                  <v>164886</v>
                </pt>
                <pt idx="56">
                  <v>166072</v>
                </pt>
                <pt idx="57">
                  <v>167610</v>
                </pt>
                <pt idx="58">
                  <v>168253</v>
                </pt>
                <pt idx="59">
                  <v>169156</v>
                </pt>
                <pt idx="60">
                  <v>169471</v>
                </pt>
                <pt idx="61">
                  <v>170821</v>
                </pt>
                <pt idx="62">
                  <v>171928</v>
                </pt>
                <pt idx="63">
                  <v>170754</v>
                </pt>
                <pt idx="64">
                  <v>170738</v>
                </pt>
                <pt idx="65">
                  <v>171991</v>
                </pt>
                <pt idx="66">
                  <v>173448</v>
                </pt>
                <pt idx="67">
                  <v>173821</v>
                </pt>
                <pt idx="68">
                  <v>174978</v>
                </pt>
                <pt idx="69">
                  <v>174980</v>
                </pt>
                <pt idx="70">
                  <v>175126</v>
                </pt>
                <pt idx="71">
                  <v>175418</v>
                </pt>
                <pt idx="72">
                  <v>176093</v>
                </pt>
                <pt idx="73">
                  <v>176843</v>
                </pt>
                <pt idx="74">
                  <v>176948</v>
                </pt>
                <pt idx="75">
                  <v>178522</v>
                </pt>
                <pt idx="76">
                  <v>179193</v>
                </pt>
                <pt idx="77">
                  <v>179707</v>
                </pt>
                <pt idx="78">
                  <v>181091</v>
                </pt>
                <pt idx="79">
                  <v>181382</v>
                </pt>
                <pt idx="80">
                  <v>181354</v>
                </pt>
                <pt idx="81">
                  <v>183255</v>
                </pt>
                <pt idx="82">
                  <v>184474</v>
                </pt>
                <pt idx="83">
                  <v>186057</v>
                </pt>
                <pt idx="84">
                  <v>186333</v>
                </pt>
                <pt idx="85">
                  <v>188260</v>
                </pt>
                <pt idx="86">
                  <v>189026</v>
                </pt>
                <pt idx="87">
                  <v>190327</v>
                </pt>
                <pt idx="88">
                  <v>191524</v>
                </pt>
                <pt idx="89">
                  <v>191997</v>
                </pt>
                <pt idx="90">
                  <v>192947</v>
                </pt>
                <pt idx="91">
                  <v>194517</v>
                </pt>
                <pt idx="92">
                  <v>196167</v>
                </pt>
                <pt idx="93">
                  <v>197299</v>
                </pt>
                <pt idx="94">
                  <v>198696</v>
                </pt>
                <pt idx="95">
                  <v>203954</v>
                </pt>
                <pt idx="96">
                  <v>200365</v>
                </pt>
                <pt idx="97">
                  <v>202935</v>
                </pt>
                <pt idx="98">
                  <v>206759</v>
                </pt>
                <pt idx="99">
                  <v>205234</v>
                </pt>
                <pt idx="100">
                  <v>205613</v>
                </pt>
                <pt idx="101">
                  <v>206784</v>
                </pt>
                <pt idx="102">
                  <v>207425</v>
                </pt>
                <pt idx="103">
                  <v>207607</v>
                </pt>
                <pt idx="104">
                  <v>210698</v>
                </pt>
                <pt idx="105">
                  <v>210719</v>
                </pt>
                <pt idx="106">
                  <v>211384</v>
                </pt>
                <pt idx="107">
                  <v>212267</v>
                </pt>
                <pt idx="108">
                  <v>212908</v>
                </pt>
                <pt idx="109">
                  <v>212585</v>
                </pt>
                <pt idx="110">
                  <v>210779</v>
                </pt>
                <pt idx="111">
                  <v>213875</v>
                </pt>
                <pt idx="112">
                  <v>214457</v>
                </pt>
                <pt idx="113">
                  <v>213691</v>
                </pt>
                <pt idx="114">
                  <v>213437</v>
                </pt>
                <pt idx="115">
                  <v>215063</v>
                </pt>
                <pt idx="116">
                  <v>212155</v>
                </pt>
                <pt idx="117">
                  <v>214085</v>
                </pt>
                <pt idx="118">
                  <v>214698</v>
                </pt>
                <pt idx="119">
                  <v>215485</v>
                </pt>
                <pt idx="120">
                  <v>215843</v>
                </pt>
                <pt idx="121">
                  <v>216886</v>
                </pt>
                <pt idx="122">
                  <v>217692</v>
                </pt>
                <pt idx="123">
                  <v>220582</v>
                </pt>
                <pt idx="124">
                  <v>219889</v>
                </pt>
                <pt idx="125">
                  <v>220018</v>
                </pt>
                <pt idx="126">
                  <v>220441</v>
                </pt>
                <pt idx="127">
                  <v>220446</v>
                </pt>
                <pt idx="128">
                  <v>220344</v>
                </pt>
                <pt idx="129">
                  <v>222023</v>
                </pt>
                <pt idx="130">
                  <v>223553</v>
                </pt>
                <pt idx="131">
                  <v>224153</v>
                </pt>
                <pt idx="132">
                  <v>225575</v>
                </pt>
                <pt idx="133">
                  <v>224632</v>
                </pt>
                <pt idx="134">
                  <v>227697</v>
                </pt>
                <pt idx="135">
                  <v>226020</v>
                </pt>
                <pt idx="136">
                  <v>226750</v>
                </pt>
                <pt idx="137">
                  <v>229301</v>
                </pt>
                <pt idx="138">
                  <v>231698</v>
                </pt>
                <pt idx="139">
                  <v>234890</v>
                </pt>
                <pt idx="140">
                  <v>234749</v>
                </pt>
                <pt idx="141">
                  <v>234992</v>
                </pt>
                <pt idx="142">
                  <v>236789</v>
                </pt>
                <pt idx="143">
                  <v>237304</v>
                </pt>
                <pt idx="144">
                  <v>239984</v>
                </pt>
                <pt idx="145">
                  <v>240300</v>
                </pt>
                <pt idx="146">
                  <v>244775</v>
                </pt>
                <pt idx="147">
                  <v>243552</v>
                </pt>
                <pt idx="148">
                  <v>246143</v>
                </pt>
                <pt idx="149">
                  <v>245967</v>
                </pt>
                <pt idx="150">
                  <v>247311</v>
                </pt>
                <pt idx="151">
                  <v>247612</v>
                </pt>
                <pt idx="152">
                  <v>249840</v>
                </pt>
                <pt idx="153">
                  <v>252882</v>
                </pt>
                <pt idx="154">
                  <v>254429</v>
                </pt>
                <pt idx="155">
                  <v>256487</v>
                </pt>
                <pt idx="156">
                  <v>256613</v>
                </pt>
                <pt idx="157">
                  <v>259253</v>
                </pt>
                <pt idx="158">
                  <v>259434</v>
                </pt>
                <pt idx="159">
                  <v>262934</v>
                </pt>
                <pt idx="160">
                  <v>261297</v>
                </pt>
                <pt idx="161">
                  <v>264359</v>
                </pt>
                <pt idx="162">
                  <v>264971</v>
                </pt>
                <pt idx="163">
                  <v>269520</v>
                </pt>
                <pt idx="164">
                  <v>273329</v>
                </pt>
                <pt idx="165">
                  <v>276244</v>
                </pt>
                <pt idx="166">
                  <v>274114</v>
                </pt>
                <pt idx="167">
                  <v>274073</v>
                </pt>
                <pt idx="168">
                  <v>280574</v>
                </pt>
                <pt idx="169">
                  <v>280598</v>
                </pt>
                <pt idx="170">
                  <v>281056</v>
                </pt>
                <pt idx="171">
                  <v>282525</v>
                </pt>
                <pt idx="172">
                  <v>282623</v>
                </pt>
                <pt idx="173">
                  <v>282510</v>
                </pt>
                <pt idx="174">
                  <v>283042</v>
                </pt>
                <pt idx="175">
                  <v>285504</v>
                </pt>
                <pt idx="176">
                  <v>284382</v>
                </pt>
                <pt idx="177">
                  <v>283015</v>
                </pt>
                <pt idx="178">
                  <v>283202</v>
                </pt>
                <pt idx="179">
                  <v>288292</v>
                </pt>
                <pt idx="180">
                  <v>288217</v>
                </pt>
                <pt idx="181">
                  <v>288165</v>
                </pt>
                <pt idx="182">
                  <v>291686</v>
                </pt>
                <pt idx="183">
                  <v>289982</v>
                </pt>
                <pt idx="184">
                  <v>293748</v>
                </pt>
                <pt idx="185">
                  <v>293360</v>
                </pt>
                <pt idx="186">
                  <v>294682</v>
                </pt>
                <pt idx="187">
                  <v>294809</v>
                </pt>
                <pt idx="188">
                  <v>295693</v>
                </pt>
                <pt idx="189">
                  <v>297672</v>
                </pt>
                <pt idx="190">
                  <v>302939</v>
                </pt>
                <pt idx="191">
                  <v>300953</v>
                </pt>
                <pt idx="192">
                  <v>301402</v>
                </pt>
                <pt idx="193">
                  <v>299627</v>
                </pt>
                <pt idx="194">
                  <v>300971</v>
                </pt>
                <pt idx="195">
                  <v>302520</v>
                </pt>
                <pt idx="196">
                  <v>306893</v>
                </pt>
                <pt idx="197">
                  <v>309294</v>
                </pt>
                <pt idx="198">
                  <v>310641</v>
                </pt>
                <pt idx="199">
                  <v>307299</v>
                </pt>
                <pt idx="200">
                  <v>304180</v>
                </pt>
                <pt idx="201">
                  <v>296351</v>
                </pt>
                <pt idx="202">
                  <v>284366</v>
                </pt>
                <pt idx="203">
                  <v>277968</v>
                </pt>
                <pt idx="204">
                  <v>281139</v>
                </pt>
                <pt idx="205">
                  <v>281388</v>
                </pt>
                <pt idx="206">
                  <v>276647</v>
                </pt>
                <pt idx="207">
                  <v>277795</v>
                </pt>
                <pt idx="208">
                  <v>280167</v>
                </pt>
                <pt idx="209">
                  <v>283272</v>
                </pt>
                <pt idx="210">
                  <v>282769</v>
                </pt>
                <pt idx="211">
                  <v>284405</v>
                </pt>
                <pt idx="212">
                  <v>284973</v>
                </pt>
                <pt idx="213">
                  <v>285185</v>
                </pt>
                <pt idx="214">
                  <v>287020</v>
                </pt>
                <pt idx="215">
                  <v>288993</v>
                </pt>
                <pt idx="216">
                  <v>289245</v>
                </pt>
                <pt idx="217">
                  <v>291032</v>
                </pt>
                <pt idx="218">
                  <v>293463</v>
                </pt>
                <pt idx="219">
                  <v>295638</v>
                </pt>
                <pt idx="220">
                  <v>292684</v>
                </pt>
                <pt idx="221">
                  <v>292341</v>
                </pt>
                <pt idx="222">
                  <v>292165</v>
                </pt>
                <pt idx="223">
                  <v>294065</v>
                </pt>
                <pt idx="224">
                  <v>296386</v>
                </pt>
                <pt idx="225">
                  <v>298661</v>
                </pt>
                <pt idx="226">
                  <v>301818</v>
                </pt>
                <pt idx="227">
                  <v>303933</v>
                </pt>
                <pt idx="228">
                  <v>305807</v>
                </pt>
                <pt idx="229">
                  <v>307809</v>
                </pt>
                <pt idx="230">
                  <v>310995</v>
                </pt>
                <pt idx="231">
                  <v>313677</v>
                </pt>
                <pt idx="232">
                  <v>314364</v>
                </pt>
                <pt idx="233">
                  <v>316502</v>
                </pt>
                <pt idx="234">
                  <v>316418</v>
                </pt>
                <pt idx="235">
                  <v>318034</v>
                </pt>
                <pt idx="236">
                  <v>318942</v>
                </pt>
                <pt idx="237">
                  <v>320224</v>
                </pt>
                <pt idx="238">
                  <v>321170</v>
                </pt>
                <pt idx="239">
                  <v>320165</v>
                </pt>
                <pt idx="240">
                  <v>323921</v>
                </pt>
                <pt idx="241">
                  <v>327728</v>
                </pt>
                <pt idx="242">
                  <v>329062</v>
                </pt>
                <pt idx="243">
                  <v>327235</v>
                </pt>
                <pt idx="244">
                  <v>325721</v>
                </pt>
                <pt idx="245">
                  <v>323229</v>
                </pt>
                <pt idx="246">
                  <v>324453</v>
                </pt>
                <pt idx="247">
                  <v>328311</v>
                </pt>
                <pt idx="248">
                  <v>330332</v>
                </pt>
                <pt idx="249">
                  <v>330752</v>
                </pt>
                <pt idx="250">
                  <v>331479</v>
                </pt>
                <pt idx="251">
                  <v>332186</v>
                </pt>
                <pt idx="252">
                  <v>334713</v>
                </pt>
                <pt idx="253">
                  <v>338488</v>
                </pt>
                <pt idx="254">
                  <v>336152</v>
                </pt>
                <pt idx="255">
                  <v>333700</v>
                </pt>
                <pt idx="256">
                  <v>334695</v>
                </pt>
                <pt idx="257">
                  <v>334241</v>
                </pt>
                <pt idx="258">
                  <v>336796</v>
                </pt>
                <pt idx="259">
                  <v>336281</v>
                </pt>
                <pt idx="260">
                  <v>337682</v>
                </pt>
                <pt idx="261">
                  <v>337952</v>
                </pt>
                <pt idx="262">
                  <v>338885</v>
                </pt>
                <pt idx="263">
                  <v>341508</v>
                </pt>
                <pt idx="264">
                  <v>340076</v>
                </pt>
                <pt idx="265">
                  <v>343455</v>
                </pt>
                <pt idx="266">
                  <v>345060</v>
                </pt>
                <pt idx="267">
                  <v>347853</v>
                </pt>
                <pt idx="268">
                  <v>348582</v>
                </pt>
                <pt idx="269">
                  <v>349297</v>
                </pt>
                <pt idx="270">
                  <v>349847</v>
                </pt>
                <pt idx="271">
                  <v>352325</v>
                </pt>
                <pt idx="272">
                  <v>352259</v>
                </pt>
                <pt idx="273">
                  <v>353370</v>
                </pt>
                <pt idx="274">
                  <v>353621</v>
                </pt>
                <pt idx="275">
                  <v>351245</v>
                </pt>
                <pt idx="276">
                  <v>347998</v>
                </pt>
                <pt idx="277">
                  <v>348402</v>
                </pt>
                <pt idx="278">
                  <v>351027</v>
                </pt>
                <pt idx="279">
                  <v>351378</v>
                </pt>
                <pt idx="280">
                  <v>353920</v>
                </pt>
                <pt idx="281">
                  <v>354459</v>
                </pt>
                <pt idx="282">
                  <v>357711</v>
                </pt>
                <pt idx="283">
                  <v>357101</v>
                </pt>
                <pt idx="284">
                  <v>354941</v>
                </pt>
                <pt idx="285">
                  <v>354421</v>
                </pt>
                <pt idx="286">
                  <v>355040</v>
                </pt>
                <pt idx="287">
                  <v>357499</v>
                </pt>
                <pt idx="288">
                  <v>354564</v>
                </pt>
                <pt idx="289">
                  <v>356852</v>
                </pt>
                <pt idx="290">
                  <v>357351</v>
                </pt>
                <pt idx="291">
                  <v>358632</v>
                </pt>
                <pt idx="292">
                  <v>360113</v>
                </pt>
                <pt idx="293">
                  <v>364297</v>
                </pt>
                <pt idx="294">
                  <v>362052</v>
                </pt>
                <pt idx="295">
                  <v>362324</v>
                </pt>
                <pt idx="296">
                  <v>364480</v>
                </pt>
                <pt idx="297">
                  <v>365676</v>
                </pt>
                <pt idx="298">
                  <v>365572</v>
                </pt>
                <pt idx="299">
                  <v>369230</v>
                </pt>
                <pt idx="300">
                  <v>373962</v>
                </pt>
                <pt idx="301">
                  <v>374524</v>
                </pt>
                <pt idx="302">
                  <v>375404</v>
                </pt>
                <pt idx="303">
                  <v>376764</v>
                </pt>
                <pt idx="304">
                  <v>373963</v>
                </pt>
                <pt idx="305">
                  <v>374936</v>
                </pt>
                <pt idx="306">
                  <v>374863</v>
                </pt>
                <pt idx="307">
                  <v>377878</v>
                </pt>
                <pt idx="308">
                  <v>383379</v>
                </pt>
                <pt idx="309">
                  <v>383395</v>
                </pt>
                <pt idx="310">
                  <v>389208</v>
                </pt>
                <pt idx="311">
                  <v>392925</v>
                </pt>
                <pt idx="312">
                  <v>391070</v>
                </pt>
                <pt idx="313">
                  <v>394491</v>
                </pt>
                <pt idx="314">
                  <v>393595</v>
                </pt>
                <pt idx="315">
                  <v>394329</v>
                </pt>
                <pt idx="316">
                  <v>400017</v>
                </pt>
                <pt idx="317">
                  <v>398729</v>
                </pt>
                <pt idx="318">
                  <v>401697</v>
                </pt>
                <pt idx="319">
                  <v>402415</v>
                </pt>
                <pt idx="320">
                  <v>401109</v>
                </pt>
                <pt idx="321">
                  <v>405896</v>
                </pt>
                <pt idx="322">
                  <v>406192</v>
                </pt>
                <pt idx="323">
                  <v>396321</v>
                </pt>
                <pt idx="324">
                  <v>401659</v>
                </pt>
                <pt idx="325">
                  <v>402085</v>
                </pt>
                <pt idx="326">
                  <v>405980</v>
                </pt>
                <pt idx="327">
                  <v>408121</v>
                </pt>
                <pt idx="328">
                  <v>410006</v>
                </pt>
                <pt idx="329">
                  <v>410816</v>
                </pt>
                <pt idx="330">
                  <v>415325</v>
                </pt>
                <pt idx="331">
                  <v>415426</v>
                </pt>
                <pt idx="332">
                  <v>414270</v>
                </pt>
                <pt idx="333">
                  <v>416179</v>
                </pt>
                <pt idx="334">
                  <v>416055</v>
                </pt>
                <pt idx="335">
                  <v>422153</v>
                </pt>
                <pt idx="336">
                  <v>421133</v>
                </pt>
                <pt idx="337">
                  <v>422679</v>
                </pt>
                <pt idx="338">
                  <v>403993</v>
                </pt>
                <pt idx="339">
                  <v>340784</v>
                </pt>
                <pt idx="340">
                  <v>385103</v>
                </pt>
                <pt idx="341">
                  <v>418132</v>
                </pt>
                <pt idx="342">
                  <v>430255</v>
                </pt>
                <pt idx="343">
                  <v>432843</v>
                </pt>
                <pt idx="344">
                  <v>440843</v>
                </pt>
                <pt idx="345">
                  <v>439587</v>
                </pt>
                <pt idx="346">
                  <v>434907</v>
                </pt>
                <pt idx="347">
                  <v>431856</v>
                </pt>
                <pt idx="348">
                  <v>457790</v>
                </pt>
                <pt idx="349">
                  <v>450910</v>
                </pt>
                <pt idx="350">
                  <v>494626</v>
                </pt>
                <pt idx="351">
                  <v>492307</v>
                </pt>
                <pt idx="352">
                  <v>491778</v>
                </pt>
                <pt idx="353">
                  <v>501804</v>
                </pt>
                <pt idx="354">
                  <v>496686</v>
                </pt>
                <pt idx="355">
                  <v>505347</v>
                </pt>
                <pt idx="356">
                  <v>511139</v>
                </pt>
                <pt idx="357">
                  <v>518231</v>
                </pt>
                <pt idx="358">
                  <v>521070</v>
                </pt>
                <pt idx="359">
                  <v>513586</v>
                </pt>
                <pt idx="360">
                  <v>521891</v>
                </pt>
                <pt idx="361">
                  <v>530893</v>
                </pt>
                <pt idx="362">
                  <v>541436</v>
                </pt>
                <pt idx="363">
                  <v>543908</v>
                </pt>
                <pt idx="364">
                  <v>550725</v>
                </pt>
                <pt idx="365">
                  <v>556980</v>
                </pt>
                <pt idx="366">
                  <v>556555</v>
                </pt>
                <pt idx="367">
                  <v>555916</v>
                </pt>
                <pt idx="368">
                  <v>556409</v>
                </pt>
              </numCache>
            </numRef>
          </val>
          <smooth val="0"/>
        </ser>
        <dLbls>
          <showLegendKey val="0"/>
          <showVal val="0"/>
          <showCatName val="0"/>
          <showSerName val="0"/>
          <showPercent val="0"/>
          <showBubbleSize val="0"/>
        </dLbls>
        <smooth val="0"/>
        <axId val="1031856072"/>
        <axId val="1031868208"/>
      </lineChart>
      <dateAx>
        <axId val="1031856072"/>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1868208"/>
        <crosses val="autoZero"/>
        <lblOffset val="100"/>
        <baseTimeUnit val="months"/>
      </dateAx>
      <valAx>
        <axId val="1031868208"/>
        <scaling>
          <orientation val="minMax"/>
          <min val="10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1856072"/>
        <crosses val="autoZero"/>
        <crossBetween val="between"/>
      </valAx>
    </plotArea>
    <plotVisOnly val="1"/>
    <dispBlanksAs val="gap"/>
  </chart>
</chartSpace>
</file>

<file path=xl/charts/chart9.xml><?xml version="1.0" encoding="utf-8"?>
<chartSpace xmlns="http://schemas.openxmlformats.org/drawingml/2006/chart">
  <chart>
    <title>
      <tx>
        <strRef>
          <f>Table7[[#Headers],[yoy %]]</f>
          <strCache>
            <ptCount val="1"/>
            <pt idx="0">
              <v>yoy %</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'Retail Sales ex Auto'!$D$6</f>
              <strCache>
                <ptCount val="1"/>
                <pt idx="0">
                  <v>yoy %</v>
                </pt>
              </strCache>
            </strRef>
          </tx>
          <spPr>
            <a:ln xmlns:a="http://schemas.openxmlformats.org/drawingml/2006/main">
              <a:prstDash val="solid"/>
            </a:ln>
          </spPr>
          <marker>
            <symbol val="none"/>
            <spPr>
              <a:ln xmlns:a="http://schemas.openxmlformats.org/drawingml/2006/main">
                <a:prstDash val="solid"/>
              </a:ln>
            </spPr>
          </marker>
          <cat>
            <numRef>
              <f>'Retail Sales ex Auto'!$A$7:$A$383</f>
              <numCache>
                <formatCode>[$-409]mmm\-yy;@</formatCode>
                <ptCount val="377"/>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numCache>
            </numRef>
          </cat>
          <val>
            <numRef>
              <f>'Retail Sales ex Auto'!$D$7:$D$383</f>
              <numCache>
                <formatCode>General</formatCode>
                <ptCount val="377"/>
                <pt idx="12">
                  <formatCode>0.00%</formatCode>
                  <v>0.05259652265784698</v>
                </pt>
                <pt idx="13">
                  <formatCode>0.00%</formatCode>
                  <v>0.05080677321390226</v>
                </pt>
                <pt idx="14">
                  <formatCode>0.00%</formatCode>
                  <v>0.04575679717758944</v>
                </pt>
                <pt idx="15">
                  <formatCode>0.00%</formatCode>
                  <v>0.05571551862402908</v>
                </pt>
                <pt idx="16">
                  <formatCode>0.00%</formatCode>
                  <v>0.06220715401318045</v>
                </pt>
                <pt idx="17">
                  <formatCode>0.00%</formatCode>
                  <v>0.06069491835242505</v>
                </pt>
                <pt idx="18">
                  <formatCode>0.00%</formatCode>
                  <v>0.06357055233306577</v>
                </pt>
                <pt idx="19">
                  <formatCode>0.00%</formatCode>
                  <v>0.05245655519273355</v>
                </pt>
                <pt idx="20">
                  <formatCode>0.00%</formatCode>
                  <v>0.06037000973709834</v>
                </pt>
                <pt idx="21">
                  <formatCode>0.00%</formatCode>
                  <v>0.05476298337207489</v>
                </pt>
                <pt idx="22">
                  <formatCode>0.00%</formatCode>
                  <v>0.05622802146955395</v>
                </pt>
                <pt idx="23">
                  <formatCode>0.00%</formatCode>
                  <v>0.049476369004553</v>
                </pt>
                <pt idx="24">
                  <formatCode>0.00%</formatCode>
                  <v>0.03633070763053962</v>
                </pt>
                <pt idx="25">
                  <formatCode>0.00%</formatCode>
                  <v>0.05377277935498938</v>
                </pt>
                <pt idx="26">
                  <formatCode>0.00%</formatCode>
                  <v>0.07886264127142449</v>
                </pt>
                <pt idx="27">
                  <formatCode>0.00%</formatCode>
                  <v>0.06032786410857424</v>
                </pt>
                <pt idx="28">
                  <formatCode>0.00%</formatCode>
                  <v>0.05315593171711375</v>
                </pt>
                <pt idx="29">
                  <formatCode>0.00%</formatCode>
                  <v>0.0669514953505906</v>
                </pt>
                <pt idx="30">
                  <formatCode>0.00%</formatCode>
                  <v>0.06274696873687283</v>
                </pt>
                <pt idx="31">
                  <formatCode>0.00%</formatCode>
                  <v>0.0765176208782979</v>
                </pt>
                <pt idx="32">
                  <formatCode>0.00%</formatCode>
                  <v>0.06979586070495161</v>
                </pt>
                <pt idx="33">
                  <formatCode>0.00%</formatCode>
                  <v>0.07395072767854</v>
                </pt>
                <pt idx="34">
                  <formatCode>0.00%</formatCode>
                  <v>0.06909651643653186</v>
                </pt>
                <pt idx="35">
                  <formatCode>0.00%</formatCode>
                  <v>0.07073668377401586</v>
                </pt>
                <pt idx="36">
                  <formatCode>0.00%</formatCode>
                  <v>0.08328771353574486</v>
                </pt>
                <pt idx="37">
                  <formatCode>0.00%</formatCode>
                  <v>0.05615386213631232</v>
                </pt>
                <pt idx="38">
                  <formatCode>0.00%</formatCode>
                  <v>0.04392810528605613</v>
                </pt>
                <pt idx="39">
                  <formatCode>0.00%</formatCode>
                  <v>0.0505502602905156</v>
                </pt>
                <pt idx="40">
                  <formatCode>0.00%</formatCode>
                  <v>0.05746061798938916</v>
                </pt>
                <pt idx="41">
                  <formatCode>0.00%</formatCode>
                  <v>0.04885287605408207</v>
                </pt>
                <pt idx="42">
                  <formatCode>0.00%</formatCode>
                  <v>0.04570364316053221</v>
                </pt>
                <pt idx="43">
                  <formatCode>0.00%</formatCode>
                  <v>0.03870642876546236</v>
                </pt>
                <pt idx="44">
                  <formatCode>0.00%</formatCode>
                  <v>0.04203999973588818</v>
                </pt>
                <pt idx="45">
                  <formatCode>0.00%</formatCode>
                  <v>0.02868288205598898</v>
                </pt>
                <pt idx="46">
                  <formatCode>0.00%</formatCode>
                  <v>0.04112687506556173</v>
                </pt>
                <pt idx="47">
                  <formatCode>0.00%</formatCode>
                  <v>0.04211080833241199</v>
                </pt>
                <pt idx="48">
                  <formatCode>0.00%</formatCode>
                  <v>0.02592177467946018</v>
                </pt>
                <pt idx="49">
                  <formatCode>0.00%</formatCode>
                  <v>0.04736486619408906</v>
                </pt>
                <pt idx="50">
                  <formatCode>0.00%</formatCode>
                  <v>0.05194509201255487</v>
                </pt>
                <pt idx="51">
                  <formatCode>0.00%</formatCode>
                  <v>0.05954824128435601</v>
                </pt>
                <pt idx="52">
                  <formatCode>0.00%</formatCode>
                  <v>0.05687585336321715</v>
                </pt>
                <pt idx="53">
                  <formatCode>0.00%</formatCode>
                  <v>0.05403983368410246</v>
                </pt>
                <pt idx="54">
                  <formatCode>0.00%</formatCode>
                  <v>0.05279073343242274</v>
                </pt>
                <pt idx="55">
                  <formatCode>0.00%</formatCode>
                  <v>0.05174998245871419</v>
                </pt>
                <pt idx="56">
                  <formatCode>0.00%</formatCode>
                  <v>0.05230075149856164</v>
                </pt>
                <pt idx="57">
                  <formatCode>0.00%</formatCode>
                  <v>0.0682259966221599</v>
                </pt>
                <pt idx="58">
                  <formatCode>0.00%</formatCode>
                  <v>0.05952103576173953</v>
                </pt>
                <pt idx="59">
                  <formatCode>0.00%</formatCode>
                  <v>0.05566788986245289</v>
                </pt>
                <pt idx="60">
                  <formatCode>0.00%</formatCode>
                  <v>0.07023050205241553</v>
                </pt>
                <pt idx="61">
                  <formatCode>0.00%</formatCode>
                  <v>0.06950288004007012</v>
                </pt>
                <pt idx="62">
                  <formatCode>0.00%</formatCode>
                  <v>0.06428628909949673</v>
                </pt>
                <pt idx="63">
                  <formatCode>0.00%</formatCode>
                  <v>0.04663949247601826</v>
                </pt>
                <pt idx="64">
                  <formatCode>0.00%</formatCode>
                  <v>0.04045728493165711</v>
                </pt>
                <pt idx="65">
                  <formatCode>0.00%</formatCode>
                  <v>0.0470018871370305</v>
                </pt>
                <pt idx="66">
                  <formatCode>0.00%</formatCode>
                  <v>0.05549875858040017</v>
                </pt>
                <pt idx="67">
                  <formatCode>0.00%</formatCode>
                  <v>0.0541889547930085</v>
                </pt>
                <pt idx="68">
                  <formatCode>0.00%</formatCode>
                  <v>0.05362734235753167</v>
                </pt>
                <pt idx="69">
                  <formatCode>0.00%</formatCode>
                  <v>0.04397112344132212</v>
                </pt>
                <pt idx="70">
                  <formatCode>0.00%</formatCode>
                  <v>0.04084919733972054</v>
                </pt>
                <pt idx="71">
                  <formatCode>0.00%</formatCode>
                  <v>0.03701908297666059</v>
                </pt>
                <pt idx="72">
                  <formatCode>0.00%</formatCode>
                  <v>0.03907453192581622</v>
                </pt>
                <pt idx="73">
                  <formatCode>0.00%</formatCode>
                  <v>0.03525327682193641</v>
                </pt>
                <pt idx="74">
                  <formatCode>0.00%</formatCode>
                  <v>0.02919826904285515</v>
                </pt>
                <pt idx="75">
                  <formatCode>0.00%</formatCode>
                  <v>0.04549234571371681</v>
                </pt>
                <pt idx="76">
                  <formatCode>0.00%</formatCode>
                  <v>0.0495203176797198</v>
                </pt>
                <pt idx="77">
                  <formatCode>0.00%</formatCode>
                  <v>0.04486281258903082</v>
                </pt>
                <pt idx="78">
                  <formatCode>0.00%</formatCode>
                  <v>0.04406508002398413</v>
                </pt>
                <pt idx="79">
                  <formatCode>0.00%</formatCode>
                  <v>0.04349877172493542</v>
                </pt>
                <pt idx="80">
                  <formatCode>0.00%</formatCode>
                  <v>0.03643886660037262</v>
                </pt>
                <pt idx="81">
                  <formatCode>0.00%</formatCode>
                  <v>0.04729111898502686</v>
                </pt>
                <pt idx="82">
                  <formatCode>0.00%</formatCode>
                  <v>0.05337871018580907</v>
                </pt>
                <pt idx="83">
                  <formatCode>0.00%</formatCode>
                  <v>0.0606494202419364</v>
                </pt>
                <pt idx="84">
                  <formatCode>0.00%</formatCode>
                  <v>0.05815109061688994</v>
                </pt>
                <pt idx="85">
                  <formatCode>0.00%</formatCode>
                  <v>0.06456009002335406</v>
                </pt>
                <pt idx="86">
                  <formatCode>0.00%</formatCode>
                  <v>0.06825734113976988</v>
                </pt>
                <pt idx="87">
                  <formatCode>0.00%</formatCode>
                  <v>0.06612630376088101</v>
                </pt>
                <pt idx="88">
                  <formatCode>0.00%</formatCode>
                  <v>0.06881407197825808</v>
                </pt>
                <pt idx="89">
                  <formatCode>0.00%</formatCode>
                  <v>0.06838910003505706</v>
                </pt>
                <pt idx="90">
                  <formatCode>0.00%</formatCode>
                  <v>0.06546984665168341</v>
                </pt>
                <pt idx="91">
                  <formatCode>0.00%</formatCode>
                  <v>0.07241622652743933</v>
                </pt>
                <pt idx="92">
                  <formatCode>0.00%</formatCode>
                  <v>0.08168002911432888</v>
                </pt>
                <pt idx="93">
                  <formatCode>0.00%</formatCode>
                  <v>0.07663638099915418</v>
                </pt>
                <pt idx="94">
                  <formatCode>0.00%</formatCode>
                  <v>0.07709487515855892</v>
                </pt>
                <pt idx="95">
                  <formatCode>0.00%</formatCode>
                  <v>0.09619095223506775</v>
                </pt>
                <pt idx="96">
                  <formatCode>0.00%</formatCode>
                  <v>0.07530603811455834</v>
                </pt>
                <pt idx="97">
                  <formatCode>0.00%</formatCode>
                  <v>0.07795070646977584</v>
                </pt>
                <pt idx="98">
                  <formatCode>0.00%</formatCode>
                  <v>0.09381249140329902</v>
                </pt>
                <pt idx="99">
                  <formatCode>0.00%</formatCode>
                  <v>0.07832309656538483</v>
                </pt>
                <pt idx="100">
                  <formatCode>0.00%</formatCode>
                  <v>0.07356258223512457</v>
                </pt>
                <pt idx="101">
                  <formatCode>0.00%</formatCode>
                  <v>0.07701682838794356</v>
                </pt>
                <pt idx="102">
                  <formatCode>0.00%</formatCode>
                  <v>0.07503614982352667</v>
                </pt>
                <pt idx="103">
                  <formatCode>0.00%</formatCode>
                  <v>0.0672948893927009</v>
                </pt>
                <pt idx="104">
                  <formatCode>0.00%</formatCode>
                  <v>0.07407464048489297</v>
                </pt>
                <pt idx="105">
                  <formatCode>0.00%</formatCode>
                  <v>0.06801859107243322</v>
                </pt>
                <pt idx="106">
                  <formatCode>0.00%</formatCode>
                  <v>0.06385634335869872</v>
                </pt>
                <pt idx="107">
                  <formatCode>0.00%</formatCode>
                  <v>0.04075919079792503</v>
                </pt>
                <pt idx="108">
                  <formatCode>0.00%</formatCode>
                  <v>0.06260075362463505</v>
                </pt>
                <pt idx="109">
                  <formatCode>0.00%</formatCode>
                  <v>0.04755217187769483</v>
                </pt>
                <pt idx="110">
                  <formatCode>0.00%</formatCode>
                  <v>0.01944292630550544</v>
                </pt>
                <pt idx="111">
                  <formatCode>0.00%</formatCode>
                  <v>0.04210316029507782</v>
                </pt>
                <pt idx="112">
                  <formatCode>0.00%</formatCode>
                  <v>0.04301284451858588</v>
                </pt>
                <pt idx="113">
                  <formatCode>0.00%</formatCode>
                  <v>0.03340200402352213</v>
                </pt>
                <pt idx="114">
                  <formatCode>0.00%</formatCode>
                  <v>0.0289839701096782</v>
                </pt>
                <pt idx="115">
                  <formatCode>0.00%</formatCode>
                  <v>0.03591401060657878</v>
                </pt>
                <pt idx="116">
                  <formatCode>0.00%</formatCode>
                  <v>0.006915110727201967</v>
                </pt>
                <pt idx="117">
                  <formatCode>0.00%</formatCode>
                  <v>0.01597387990641565</v>
                </pt>
                <pt idx="118">
                  <formatCode>0.00%</formatCode>
                  <v>0.01567762933807668</v>
                </pt>
                <pt idx="119">
                  <formatCode>0.00%</formatCode>
                  <v>0.01516015207262551</v>
                </pt>
                <pt idx="120">
                  <formatCode>0.00%</formatCode>
                  <v>0.01378529693576568</v>
                </pt>
                <pt idx="121">
                  <formatCode>0.00%</formatCode>
                  <v>0.02023190723710516</v>
                </pt>
                <pt idx="122">
                  <formatCode>0.00%</formatCode>
                  <v>0.03279738493872729</v>
                </pt>
                <pt idx="123">
                  <formatCode>0.00%</formatCode>
                  <v>0.03135943892460549</v>
                </pt>
                <pt idx="124">
                  <formatCode>0.00%</formatCode>
                  <v>0.02532908694983144</v>
                </pt>
                <pt idx="125">
                  <formatCode>0.00%</formatCode>
                  <v>0.02960817254821214</v>
                </pt>
                <pt idx="126">
                  <formatCode>0.00%</formatCode>
                  <v>0.03281530381330322</v>
                </pt>
                <pt idx="127">
                  <formatCode>0.00%</formatCode>
                  <v>0.02502987496687017</v>
                </pt>
                <pt idx="128">
                  <formatCode>0.00%</formatCode>
                  <v>0.03859913742311046</v>
                </pt>
                <pt idx="129">
                  <formatCode>0.00%</formatCode>
                  <v>0.03707873041081813</v>
                </pt>
                <pt idx="130">
                  <formatCode>0.00%</formatCode>
                  <v>0.041243979915975</v>
                </pt>
                <pt idx="131">
                  <formatCode>0.00%</formatCode>
                  <v>0.04022553774044597</v>
                </pt>
                <pt idx="132">
                  <formatCode>0.00%</formatCode>
                  <v>0.04508832809032491</v>
                </pt>
                <pt idx="133">
                  <formatCode>0.00%</formatCode>
                  <v>0.03571461505122507</v>
                </pt>
                <pt idx="134">
                  <formatCode>0.00%</formatCode>
                  <v>0.04595942891792073</v>
                </pt>
                <pt idx="135">
                  <formatCode>0.00%</formatCode>
                  <v>0.02465296352376894</v>
                </pt>
                <pt idx="136">
                  <formatCode>0.00%</formatCode>
                  <v>0.03120210651737922</v>
                </pt>
                <pt idx="137">
                  <formatCode>0.00%</formatCode>
                  <v>0.04219200247252498</v>
                </pt>
                <pt idx="138">
                  <formatCode>0.00%</formatCode>
                  <v>0.05106581806469759</v>
                </pt>
                <pt idx="139">
                  <formatCode>0.00%</formatCode>
                  <v>0.06552171506854286</v>
                </pt>
                <pt idx="140">
                  <formatCode>0.00%</formatCode>
                  <v>0.06537504992194024</v>
                </pt>
                <pt idx="141">
                  <formatCode>0.00%</formatCode>
                  <v>0.05841286713538688</v>
                </pt>
                <pt idx="142">
                  <formatCode>0.00%</formatCode>
                  <v>0.05920743626790962</v>
                </pt>
                <pt idx="143">
                  <formatCode>0.00%</formatCode>
                  <v>0.05866974789541073</v>
                </pt>
                <pt idx="144">
                  <formatCode>0.00%</formatCode>
                  <v>0.0638767593926632</v>
                </pt>
                <pt idx="145">
                  <formatCode>0.00%</formatCode>
                  <v>0.06974963495850992</v>
                </pt>
                <pt idx="146">
                  <formatCode>0.00%</formatCode>
                  <v>0.07500318405600426</v>
                </pt>
                <pt idx="147">
                  <formatCode>0.00%</formatCode>
                  <v>0.07756835678258561</v>
                </pt>
                <pt idx="148">
                  <formatCode>0.00%</formatCode>
                  <v>0.08552590959206174</v>
                </pt>
                <pt idx="149">
                  <formatCode>0.00%</formatCode>
                  <v>0.07268175891077666</v>
                </pt>
                <pt idx="150">
                  <formatCode>0.00%</formatCode>
                  <v>0.06738513064420064</v>
                </pt>
                <pt idx="151">
                  <formatCode>0.00%</formatCode>
                  <v>0.05416152241474733</v>
                </pt>
                <pt idx="152">
                  <formatCode>0.00%</formatCode>
                  <v>0.0642856838580782</v>
                </pt>
                <pt idx="153">
                  <formatCode>0.00%</formatCode>
                  <v>0.0761302512425955</v>
                </pt>
                <pt idx="154">
                  <formatCode>0.00%</formatCode>
                  <v>0.07449670381647797</v>
                </pt>
                <pt idx="155">
                  <formatCode>0.00%</formatCode>
                  <v>0.08083723831035297</v>
                </pt>
                <pt idx="156">
                  <formatCode>0.00%</formatCode>
                  <v>0.06929211947463164</v>
                </pt>
                <pt idx="157">
                  <formatCode>0.00%</formatCode>
                  <v>0.0788722430295464</v>
                </pt>
                <pt idx="158">
                  <formatCode>0.00%</formatCode>
                  <v>0.05988765192523746</v>
                </pt>
                <pt idx="159">
                  <formatCode>0.00%</formatCode>
                  <v>0.07958054132177111</v>
                </pt>
                <pt idx="160">
                  <formatCode>0.00%</formatCode>
                  <v>0.06156583774472563</v>
                </pt>
                <pt idx="161">
                  <formatCode>0.00%</formatCode>
                  <v>0.07477425833546776</v>
                </pt>
                <pt idx="162">
                  <formatCode>0.00%</formatCode>
                  <v>0.07140806514873985</v>
                </pt>
                <pt idx="163">
                  <formatCode>0.00%</formatCode>
                  <v>0.08847713357995574</v>
                </pt>
                <pt idx="164">
                  <formatCode>0.00%</formatCode>
                  <v>0.09401617034902338</v>
                </pt>
                <pt idx="165">
                  <formatCode>0.00%</formatCode>
                  <v>0.09238300867598326</v>
                </pt>
                <pt idx="166">
                  <formatCode>0.00%</formatCode>
                  <v>0.07736932503763329</v>
                </pt>
                <pt idx="167">
                  <formatCode>0.00%</formatCode>
                  <v>0.06856487853185542</v>
                </pt>
                <pt idx="168">
                  <formatCode>0.00%</formatCode>
                  <v>0.09337406912354401</v>
                </pt>
                <pt idx="169">
                  <formatCode>0.00%</formatCode>
                  <v>0.08233270203237764</v>
                </pt>
                <pt idx="170">
                  <formatCode>0.00%</formatCode>
                  <v>0.08334296969556805</v>
                </pt>
                <pt idx="171">
                  <formatCode>0.00%</formatCode>
                  <v>0.07450919242091171</v>
                </pt>
                <pt idx="172">
                  <formatCode>0.00%</formatCode>
                  <v>0.08161593895069595</v>
                </pt>
                <pt idx="173">
                  <formatCode>0.00%</formatCode>
                  <v>0.06866042011053151</v>
                </pt>
                <pt idx="174">
                  <formatCode>0.00%</formatCode>
                  <v>0.06819991621724641</v>
                </pt>
                <pt idx="175">
                  <formatCode>0.00%</formatCode>
                  <v>0.05930543187889582</v>
                </pt>
                <pt idx="176">
                  <formatCode>0.00%</formatCode>
                  <v>0.04043844597536302</v>
                </pt>
                <pt idx="177">
                  <formatCode>0.00%</formatCode>
                  <v>0.0245109396041181</v>
                </pt>
                <pt idx="178">
                  <formatCode>0.00%</formatCode>
                  <v>0.033154089174577</v>
                </pt>
                <pt idx="179">
                  <formatCode>0.00%</formatCode>
                  <v>0.05188033844997501</v>
                </pt>
                <pt idx="180">
                  <formatCode>0.00%</formatCode>
                  <v>0.02724058537141717</v>
                </pt>
                <pt idx="181">
                  <formatCode>0.00%</formatCode>
                  <v>0.02696740532719406</v>
                </pt>
                <pt idx="182">
                  <formatCode>0.00%</formatCode>
                  <v>0.03782164408516452</v>
                </pt>
                <pt idx="183">
                  <formatCode>0.00%</formatCode>
                  <v>0.02639412441376869</v>
                </pt>
                <pt idx="184">
                  <formatCode>0.00%</formatCode>
                  <v>0.03936339222214753</v>
                </pt>
                <pt idx="185">
                  <formatCode>0.00%</formatCode>
                  <v>0.03840572015149906</v>
                </pt>
                <pt idx="186">
                  <formatCode>0.00%</formatCode>
                  <v>0.04112463874619315</v>
                </pt>
                <pt idx="187">
                  <formatCode>0.00%</formatCode>
                  <v>0.03259148733467832</v>
                </pt>
                <pt idx="188">
                  <formatCode>0.00%</formatCode>
                  <v>0.0397739660034742</v>
                </pt>
                <pt idx="189">
                  <formatCode>0.00%</formatCode>
                  <v>0.05178877444658411</v>
                </pt>
                <pt idx="190">
                  <formatCode>0.00%</formatCode>
                  <v>0.0696923044328783</v>
                </pt>
                <pt idx="191">
                  <formatCode>0.00%</formatCode>
                  <v>0.04391727831504169</v>
                </pt>
                <pt idx="192">
                  <formatCode>0.00%</formatCode>
                  <v>0.04574678107120676</v>
                </pt>
                <pt idx="193">
                  <formatCode>0.00%</formatCode>
                  <v>0.03977582287925321</v>
                </pt>
                <pt idx="194">
                  <formatCode>0.00%</formatCode>
                  <v>0.03183217569578245</v>
                </pt>
                <pt idx="195">
                  <formatCode>0.00%</formatCode>
                  <v>0.04323716644481382</v>
                </pt>
                <pt idx="196">
                  <formatCode>0.00%</formatCode>
                  <v>0.04474924084589512</v>
                </pt>
                <pt idx="197">
                  <formatCode>0.00%</formatCode>
                  <v>0.05431551677120262</v>
                </pt>
                <pt idx="198">
                  <formatCode>0.00%</formatCode>
                  <v>0.05415668415444445</v>
                </pt>
                <pt idx="199">
                  <formatCode>0.00%</formatCode>
                  <v>0.04236641350840714</v>
                </pt>
                <pt idx="200">
                  <formatCode>0.00%</formatCode>
                  <v>0.02870206599412228</v>
                </pt>
                <pt idx="201">
                  <formatCode>0.00%</formatCode>
                  <v>-0.004437770431884759</v>
                </pt>
                <pt idx="202">
                  <formatCode>0.00%</formatCode>
                  <v>-0.06130937251393845</v>
                </pt>
                <pt idx="203">
                  <formatCode>0.00%</formatCode>
                  <v>-0.0763740517622353</v>
                </pt>
                <pt idx="204">
                  <formatCode>0.00%</formatCode>
                  <v>-0.06722914910982675</v>
                </pt>
                <pt idx="205">
                  <formatCode>0.00%</formatCode>
                  <v>-0.06087235129010403</v>
                </pt>
                <pt idx="206">
                  <formatCode>0.00%</formatCode>
                  <v>-0.0808184177213087</v>
                </pt>
                <pt idx="207">
                  <formatCode>0.00%</formatCode>
                  <v>-0.08173013354488959</v>
                </pt>
                <pt idx="208">
                  <formatCode>0.00%</formatCode>
                  <v>-0.08708572694717703</v>
                </pt>
                <pt idx="209">
                  <formatCode>0.00%</formatCode>
                  <v>-0.08413354284273215</v>
                </pt>
                <pt idx="210">
                  <formatCode>0.00%</formatCode>
                  <v>-0.08972415102964515</v>
                </pt>
                <pt idx="211">
                  <formatCode>0.00%</formatCode>
                  <v>-0.07450073055883684</v>
                </pt>
                <pt idx="212">
                  <formatCode>0.00%</formatCode>
                  <v>-0.06314353343415083</v>
                </pt>
                <pt idx="213">
                  <formatCode>0.00%</formatCode>
                  <v>-0.03767829364503578</v>
                </pt>
                <pt idx="214">
                  <formatCode>0.00%</formatCode>
                  <v>0.009333042628162298</v>
                </pt>
                <pt idx="215">
                  <formatCode>0.00%</formatCode>
                  <v>0.03966283888792955</v>
                </pt>
                <pt idx="216">
                  <formatCode>0.00%</formatCode>
                  <v>0.02883271264392347</v>
                </pt>
                <pt idx="217">
                  <formatCode>0.00%</formatCode>
                  <v>0.03427296117815969</v>
                </pt>
                <pt idx="218">
                  <formatCode>0.00%</formatCode>
                  <v>0.06078504375612243</v>
                </pt>
                <pt idx="219">
                  <formatCode>0.00%</formatCode>
                  <v>0.06423081768930326</v>
                </pt>
                <pt idx="220">
                  <formatCode>0.00%</formatCode>
                  <v>0.0446769248341168</v>
                </pt>
                <pt idx="221">
                  <formatCode>0.00%</formatCode>
                  <v>0.03201516563585529</v>
                </pt>
                <pt idx="222">
                  <formatCode>0.00%</formatCode>
                  <v>0.03322853636714067</v>
                </pt>
                <pt idx="223">
                  <formatCode>0.00%</formatCode>
                  <v>0.03396564758003551</v>
                </pt>
                <pt idx="224">
                  <formatCode>0.00%</formatCode>
                  <v>0.04004940818954778</v>
                </pt>
                <pt idx="225">
                  <formatCode>0.00%</formatCode>
                  <v>0.04725353717762154</v>
                </pt>
                <pt idx="226">
                  <formatCode>0.00%</formatCode>
                  <v>0.05155738276078322</v>
                </pt>
                <pt idx="227">
                  <formatCode>0.00%</formatCode>
                  <v>0.05169675390061351</v>
                </pt>
                <pt idx="228">
                  <formatCode>0.00%</formatCode>
                  <v>0.05725941675742018</v>
                </pt>
                <pt idx="229">
                  <formatCode>0.00%</formatCode>
                  <v>0.0576465818191814</v>
                </pt>
                <pt idx="230">
                  <formatCode>0.00%</formatCode>
                  <v>0.05974177323887509</v>
                </pt>
                <pt idx="231">
                  <formatCode>0.00%</formatCode>
                  <v>0.06101718994175309</v>
                </pt>
                <pt idx="232">
                  <formatCode>0.00%</formatCode>
                  <v>0.07407306173210698</v>
                </pt>
                <pt idx="233">
                  <formatCode>0.00%</formatCode>
                  <v>0.08264663526498164</v>
                </pt>
                <pt idx="234">
                  <formatCode>0.00%</formatCode>
                  <v>0.08301131210103879</v>
                </pt>
                <pt idx="235">
                  <formatCode>0.00%</formatCode>
                  <v>0.08150919014503596</v>
                </pt>
                <pt idx="236">
                  <formatCode>0.00%</formatCode>
                  <v>0.07610345967758261</v>
                </pt>
                <pt idx="237">
                  <formatCode>0.00%</formatCode>
                  <v>0.07219891448833293</v>
                </pt>
                <pt idx="238">
                  <formatCode>0.00%</formatCode>
                  <v>0.06411811091452464</v>
                </pt>
                <pt idx="239">
                  <formatCode>0.00%</formatCode>
                  <v>0.05340650735523948</v>
                </pt>
                <pt idx="240">
                  <formatCode>0.00%</formatCode>
                  <v>0.0592334380834971</v>
                </pt>
                <pt idx="241">
                  <formatCode>0.00%</formatCode>
                  <v>0.06471220789515576</v>
                </pt>
                <pt idx="242">
                  <formatCode>0.00%</formatCode>
                  <v>0.05809418157848197</v>
                </pt>
                <pt idx="243">
                  <formatCode>0.00%</formatCode>
                  <v>0.0432228056248944</v>
                </pt>
                <pt idx="244">
                  <formatCode>0.00%</formatCode>
                  <v>0.03612691020600323</v>
                </pt>
                <pt idx="245">
                  <formatCode>0.00%</formatCode>
                  <v>0.02125421008398051</v>
                </pt>
                <pt idx="246">
                  <formatCode>0.00%</formatCode>
                  <v>0.02539362488859673</v>
                </pt>
                <pt idx="247">
                  <formatCode>0.00%</formatCode>
                  <v>0.03231415509033626</v>
                </pt>
                <pt idx="248">
                  <formatCode>0.00%</formatCode>
                  <v>0.03571182221218905</v>
                </pt>
                <pt idx="249">
                  <formatCode>0.00%</formatCode>
                  <v>0.03287698610972319</v>
                </pt>
                <pt idx="250">
                  <formatCode>0.00%</formatCode>
                  <v>0.03209826571597596</v>
                </pt>
                <pt idx="251">
                  <formatCode>0.00%</formatCode>
                  <v>0.03754626520700264</v>
                </pt>
                <pt idx="252">
                  <formatCode>0.00%</formatCode>
                  <v>0.03331676550763921</v>
                </pt>
                <pt idx="253">
                  <formatCode>0.00%</formatCode>
                  <v>0.03283210467216716</v>
                </pt>
                <pt idx="254">
                  <formatCode>0.00%</formatCode>
                  <v>0.02154609161799296</v>
                </pt>
                <pt idx="255">
                  <formatCode>0.00%</formatCode>
                  <v>0.01975644414564457</v>
                </pt>
                <pt idx="256">
                  <formatCode>0.00%</formatCode>
                  <v>0.02755118644484083</v>
                </pt>
                <pt idx="257">
                  <formatCode>0.00%</formatCode>
                  <v>0.03406872526908167</v>
                </pt>
                <pt idx="258">
                  <formatCode>0.00%</formatCode>
                  <v>0.03804248997543558</v>
                </pt>
                <pt idx="259">
                  <formatCode>0.00%</formatCode>
                  <v>0.02427576291991435</v>
                </pt>
                <pt idx="260">
                  <formatCode>0.00%</formatCode>
                  <v>0.02225034208008912</v>
                </pt>
                <pt idx="261">
                  <formatCode>0.00%</formatCode>
                  <v>0.02176857585139319</v>
                </pt>
                <pt idx="262">
                  <formatCode>0.00%</formatCode>
                  <v>0.02234229016016098</v>
                </pt>
                <pt idx="263">
                  <formatCode>0.00%</formatCode>
                  <v>0.02806259143973557</v>
                </pt>
                <pt idx="264">
                  <formatCode>0.00%</formatCode>
                  <v>0.01602268211871066</v>
                </pt>
                <pt idx="265">
                  <formatCode>0.00%</formatCode>
                  <v>0.01467408002647066</v>
                </pt>
                <pt idx="266">
                  <formatCode>0.00%</formatCode>
                  <v>0.02649991670434803</v>
                </pt>
                <pt idx="267">
                  <formatCode>0.00%</formatCode>
                  <v>0.04241234641893916</v>
                </pt>
                <pt idx="268">
                  <formatCode>0.00%</formatCode>
                  <v>0.04149150719311612</v>
                </pt>
                <pt idx="269">
                  <formatCode>0.00%</formatCode>
                  <v>0.04504534153500019</v>
                </pt>
                <pt idx="270">
                  <formatCode>0.00%</formatCode>
                  <v>0.03875046021924251</v>
                </pt>
                <pt idx="271">
                  <formatCode>0.00%</formatCode>
                  <v>0.04771009958933154</v>
                </pt>
                <pt idx="272">
                  <formatCode>0.00%</formatCode>
                  <v>0.04316783245775611</v>
                </pt>
                <pt idx="273">
                  <formatCode>0.00%</formatCode>
                  <v>0.04562186345989963</v>
                </pt>
                <pt idx="274">
                  <formatCode>0.00%</formatCode>
                  <v>0.04348377768269472</v>
                </pt>
                <pt idx="275">
                  <formatCode>0.00%</formatCode>
                  <v>0.02851177717652295</v>
                </pt>
                <pt idx="276">
                  <formatCode>0.00%</formatCode>
                  <v>0.02329479292863948</v>
                </pt>
                <pt idx="277">
                  <formatCode>0.00%</formatCode>
                  <v>0.01440363366379875</v>
                </pt>
                <pt idx="278">
                  <formatCode>0.00%</formatCode>
                  <v>0.01729264475743349</v>
                </pt>
                <pt idx="279">
                  <formatCode>0.00%</formatCode>
                  <v>0.01013359091340308</v>
                </pt>
                <pt idx="280">
                  <formatCode>0.00%</formatCode>
                  <v>0.01531347000131963</v>
                </pt>
                <pt idx="281">
                  <formatCode>0.00%</formatCode>
                  <v>0.0147782546085423</v>
                </pt>
                <pt idx="282">
                  <formatCode>0.00%</formatCode>
                  <v>0.02247839769956581</v>
                </pt>
                <pt idx="283">
                  <formatCode>0.00%</formatCode>
                  <v>0.01355566593344213</v>
                </pt>
                <pt idx="284">
                  <formatCode>0.00%</formatCode>
                  <v>0.007613716044160689</v>
                </pt>
                <pt idx="285">
                  <formatCode>0.00%</formatCode>
                  <v>0.002974219656450745</v>
                </pt>
                <pt idx="286">
                  <formatCode>0.00%</formatCode>
                  <v>0.004012770734769711</v>
                </pt>
                <pt idx="287">
                  <formatCode>0.00%</formatCode>
                  <v>0.0178052356617176</v>
                </pt>
                <pt idx="288">
                  <formatCode>0.00%</formatCode>
                  <v>0.01886792452830189</v>
                </pt>
                <pt idx="289">
                  <formatCode>0.00%</formatCode>
                  <v>0.02425359211485583</v>
                </pt>
                <pt idx="290">
                  <formatCode>0.00%</formatCode>
                  <v>0.01801570819338683</v>
                </pt>
                <pt idx="291">
                  <formatCode>0.00%</formatCode>
                  <v>0.02064443419906767</v>
                </pt>
                <pt idx="292">
                  <formatCode>0.00%</formatCode>
                  <v>0.01749830470162749</v>
                </pt>
                <pt idx="293">
                  <formatCode>0.00%</formatCode>
                  <v>0.02775497307163875</v>
                </pt>
                <pt idx="294">
                  <formatCode>0.00%</formatCode>
                  <v>0.01213549485478501</v>
                </pt>
                <pt idx="295">
                  <formatCode>0.00%</formatCode>
                  <v>0.01462611418058196</v>
                </pt>
                <pt idx="296">
                  <formatCode>0.00%</formatCode>
                  <v>0.02687488906607013</v>
                </pt>
                <pt idx="297">
                  <formatCode>0.00%</formatCode>
                  <v>0.03175601897178779</v>
                </pt>
                <pt idx="298">
                  <formatCode>0.00%</formatCode>
                  <v>0.02966426318161334</v>
                </pt>
                <pt idx="299">
                  <formatCode>0.00%</formatCode>
                  <v>0.03281407780161623</v>
                </pt>
                <pt idx="300">
                  <formatCode>0.00%</formatCode>
                  <v>0.05470944596744171</v>
                </pt>
                <pt idx="301">
                  <formatCode>0.00%</formatCode>
                  <v>0.04952193066032978</v>
                </pt>
                <pt idx="302">
                  <formatCode>0.00%</formatCode>
                  <v>0.05051895755153896</v>
                </pt>
                <pt idx="303">
                  <formatCode>0.00%</formatCode>
                  <v>0.0505587900689286</v>
                </pt>
                <pt idx="304">
                  <formatCode>0.00%</formatCode>
                  <v>0.03846015000846956</v>
                </pt>
                <pt idx="305">
                  <formatCode>0.00%</formatCode>
                  <v>0.02920419328185519</v>
                </pt>
                <pt idx="306">
                  <formatCode>0.00%</formatCode>
                  <v>0.0353844199175809</v>
                </pt>
                <pt idx="307">
                  <formatCode>0.00%</formatCode>
                  <v>0.04292842869917533</v>
                </pt>
                <pt idx="308">
                  <formatCode>0.00%</formatCode>
                  <v>0.05185195346795435</v>
                </pt>
                <pt idx="309">
                  <formatCode>0.00%</formatCode>
                  <v>0.04845546330631488</v>
                </pt>
                <pt idx="310">
                  <formatCode>0.00%</formatCode>
                  <v>0.06465484227457245</v>
                </pt>
                <pt idx="311">
                  <formatCode>0.00%</formatCode>
                  <v>0.06417409202935839</v>
                </pt>
                <pt idx="312">
                  <formatCode>0.00%</formatCode>
                  <v>0.0457479636968462</v>
                </pt>
                <pt idx="313">
                  <formatCode>0.00%</formatCode>
                  <v>0.05331300530807104</v>
                </pt>
                <pt idx="314">
                  <formatCode>0.00%</formatCode>
                  <v>0.04845712885318217</v>
                </pt>
                <pt idx="315">
                  <formatCode>0.00%</formatCode>
                  <v>0.04662069624486416</v>
                </pt>
                <pt idx="316">
                  <formatCode>0.00%</formatCode>
                  <v>0.06966999409032444</v>
                </pt>
                <pt idx="317">
                  <formatCode>0.00%</formatCode>
                  <v>0.06345883030703907</v>
                </pt>
                <pt idx="318">
                  <formatCode>0.00%</formatCode>
                  <v>0.07158348516658086</v>
                </pt>
                <pt idx="319">
                  <formatCode>0.00%</formatCode>
                  <v>0.06493365583601056</v>
                </pt>
                <pt idx="320">
                  <formatCode>0.00%</formatCode>
                  <v>0.04624666452779104</v>
                </pt>
                <pt idx="321">
                  <formatCode>0.00%</formatCode>
                  <v>0.05868881962466908</v>
                </pt>
                <pt idx="322">
                  <formatCode>0.00%</formatCode>
                  <v>0.0436373353065713</v>
                </pt>
                <pt idx="323">
                  <formatCode>0.00%</formatCode>
                  <v>0.008642870776865813</v>
                </pt>
                <pt idx="324">
                  <formatCode>0.00%</formatCode>
                  <v>0.02707699388856215</v>
                </pt>
                <pt idx="325">
                  <formatCode>0.00%</formatCode>
                  <v>0.0192501223095077</v>
                </pt>
                <pt idx="326">
                  <formatCode>0.00%</formatCode>
                  <v>0.03146635500959108</v>
                </pt>
                <pt idx="327">
                  <formatCode>0.00%</formatCode>
                  <v>0.03497587040263334</v>
                </pt>
                <pt idx="328">
                  <formatCode>0.00%</formatCode>
                  <v>0.02497143871385466</v>
                </pt>
                <pt idx="329">
                  <formatCode>0.00%</formatCode>
                  <v>0.030313822169945</v>
                </pt>
                <pt idx="330">
                  <formatCode>0.00%</formatCode>
                  <v>0.03392606865373652</v>
                </pt>
                <pt idx="331">
                  <formatCode>0.00%</formatCode>
                  <v>0.03233229377632543</v>
                </pt>
                <pt idx="332">
                  <formatCode>0.00%</formatCode>
                  <v>0.03281153003298355</v>
                </pt>
                <pt idx="333">
                  <formatCode>0.00%</formatCode>
                  <v>0.02533407572383074</v>
                </pt>
                <pt idx="334">
                  <formatCode>0.00%</formatCode>
                  <v>0.02428162051443652</v>
                </pt>
                <pt idx="335">
                  <formatCode>0.00%</formatCode>
                  <v>0.06517948834404434</v>
                </pt>
                <pt idx="336">
                  <formatCode>0.00%</formatCode>
                  <v>0.04848391297095297</v>
                </pt>
                <pt idx="337">
                  <formatCode>0.00%</formatCode>
                  <v>0.0512180260392703</v>
                </pt>
                <pt idx="338">
                  <formatCode>0.00%</formatCode>
                  <v>-0.004894329769939406</v>
                </pt>
                <pt idx="339">
                  <formatCode>0.00%</formatCode>
                  <v>-0.164992734997709</v>
                </pt>
                <pt idx="340">
                  <formatCode>0.00%</formatCode>
                  <v>-0.06073813553947991</v>
                </pt>
                <pt idx="341">
                  <formatCode>0.00%</formatCode>
                  <v>0.01780845926156722</v>
                </pt>
                <pt idx="342">
                  <formatCode>0.00%</formatCode>
                  <v>0.03594775176066935</v>
                </pt>
                <pt idx="343">
                  <formatCode>0.00%</formatCode>
                  <v>0.0419256377790509</v>
                </pt>
                <pt idx="344">
                  <formatCode>0.00%</formatCode>
                  <v>0.06414415719216936</v>
                </pt>
                <pt idx="345">
                  <formatCode>0.00%</formatCode>
                  <v>0.05624502918215479</v>
                </pt>
                <pt idx="346">
                  <formatCode>0.00%</formatCode>
                  <v>0.04531131701337564</v>
                </pt>
                <pt idx="347">
                  <formatCode>0.00%</formatCode>
                  <v>0.0229845577314386</v>
                </pt>
                <pt idx="348">
                  <formatCode>0.00%</formatCode>
                  <v>0.08704376052221033</v>
                </pt>
                <pt idx="349">
                  <formatCode>0.00%</formatCode>
                  <v>0.06679063781261903</v>
                </pt>
                <pt idx="350">
                  <formatCode>0.00%</formatCode>
                  <v>0.2243429960420106</v>
                </pt>
                <pt idx="351">
                  <formatCode>0.00%</formatCode>
                  <v>0.4446306164608667</v>
                </pt>
                <pt idx="352">
                  <formatCode>0.00%</formatCode>
                  <v>0.2770038145638959</v>
                </pt>
                <pt idx="353">
                  <formatCode>0.00%</formatCode>
                  <v>0.2001090564702056</v>
                </pt>
                <pt idx="354">
                  <formatCode>0.00%</formatCode>
                  <v>0.1543991353964509</v>
                </pt>
                <pt idx="355">
                  <formatCode>0.00%</formatCode>
                  <v>0.1675064630824571</v>
                </pt>
                <pt idx="356">
                  <formatCode>0.00%</formatCode>
                  <v>0.159458129084504</v>
                </pt>
                <pt idx="357">
                  <formatCode>0.00%</formatCode>
                  <v>0.1789042897082944</v>
                </pt>
                <pt idx="358">
                  <formatCode>0.00%</formatCode>
                  <v>0.1981182183777221</v>
                </pt>
                <pt idx="359">
                  <formatCode>0.00%</formatCode>
                  <v>0.1892528991145196</v>
                </pt>
                <pt idx="360">
                  <formatCode>0.00%</formatCode>
                  <v>0.1400227178400577</v>
                </pt>
                <pt idx="361">
                  <formatCode>0.00%</formatCode>
                  <v>0.1773812956022266</v>
                </pt>
                <pt idx="362">
                  <formatCode>0.00%</formatCode>
                  <v>0.09463716019780602</v>
                </pt>
                <pt idx="363">
                  <formatCode>0.00%</formatCode>
                  <v>0.1048146786456418</v>
                </pt>
                <pt idx="364">
                  <formatCode>0.00%</formatCode>
                  <v>0.1198650610641387</v>
                </pt>
                <pt idx="365">
                  <formatCode>0.00%</formatCode>
                  <v>0.1099552813449076</v>
                </pt>
                <pt idx="366">
                  <formatCode>0.00%</formatCode>
                  <v>0.1205369186971245</v>
                </pt>
                <pt idx="367">
                  <formatCode>0.00%</formatCode>
                  <v>0.1000678741537993</v>
                </pt>
                <pt idx="368">
                  <formatCode>0.00%</formatCode>
                  <v>0.08856690645793024</v>
                </pt>
              </numCache>
            </numRef>
          </val>
          <smooth val="0"/>
        </ser>
        <dLbls>
          <showLegendKey val="0"/>
          <showVal val="0"/>
          <showCatName val="0"/>
          <showSerName val="0"/>
          <showPercent val="0"/>
          <showBubbleSize val="0"/>
        </dLbls>
        <smooth val="0"/>
        <axId val="1031856072"/>
        <axId val="1031868208"/>
      </lineChart>
      <dateAx>
        <axId val="1031856072"/>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1868208"/>
        <crosses val="autoZero"/>
        <lblOffset val="100"/>
        <baseTimeUnit val="months"/>
      </dateAx>
      <valAx>
        <axId val="1031868208"/>
        <scaling>
          <orientation val="minMax"/>
          <max val="0.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1856072"/>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Food and Beverage Stores yoy %</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'Food and Beverage'!$D$6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'Food and Beverage'!$A$19:$A$382</f>
              <numCache>
                <formatCode>[$-409]mmm\-yy;@</formatCode>
                <ptCount val="364"/>
                <pt idx="0">
                  <v>33970</v>
                </pt>
                <pt idx="1">
                  <v>34001</v>
                </pt>
                <pt idx="2">
                  <v>34029</v>
                </pt>
                <pt idx="3">
                  <v>34060</v>
                </pt>
                <pt idx="4">
                  <v>34090</v>
                </pt>
                <pt idx="5">
                  <v>34121</v>
                </pt>
                <pt idx="6">
                  <v>34151</v>
                </pt>
                <pt idx="7">
                  <v>34182</v>
                </pt>
                <pt idx="8">
                  <v>34213</v>
                </pt>
                <pt idx="9">
                  <v>34243</v>
                </pt>
                <pt idx="10">
                  <v>34274</v>
                </pt>
                <pt idx="11">
                  <v>34304</v>
                </pt>
                <pt idx="12">
                  <v>34335</v>
                </pt>
                <pt idx="13">
                  <v>34366</v>
                </pt>
                <pt idx="14">
                  <v>34394</v>
                </pt>
                <pt idx="15">
                  <v>34425</v>
                </pt>
                <pt idx="16">
                  <v>34455</v>
                </pt>
                <pt idx="17">
                  <v>34486</v>
                </pt>
                <pt idx="18">
                  <v>34516</v>
                </pt>
                <pt idx="19">
                  <v>34547</v>
                </pt>
                <pt idx="20">
                  <v>34578</v>
                </pt>
                <pt idx="21">
                  <v>34608</v>
                </pt>
                <pt idx="22">
                  <v>34639</v>
                </pt>
                <pt idx="23">
                  <v>34669</v>
                </pt>
                <pt idx="24">
                  <v>34700</v>
                </pt>
                <pt idx="25">
                  <v>34731</v>
                </pt>
                <pt idx="26">
                  <v>34759</v>
                </pt>
                <pt idx="27">
                  <v>34790</v>
                </pt>
                <pt idx="28">
                  <v>34820</v>
                </pt>
                <pt idx="29">
                  <v>34851</v>
                </pt>
                <pt idx="30">
                  <v>34881</v>
                </pt>
                <pt idx="31">
                  <v>34912</v>
                </pt>
                <pt idx="32">
                  <v>34943</v>
                </pt>
                <pt idx="33">
                  <v>34973</v>
                </pt>
                <pt idx="34">
                  <v>35004</v>
                </pt>
                <pt idx="35">
                  <v>35034</v>
                </pt>
                <pt idx="36">
                  <v>35065</v>
                </pt>
                <pt idx="37">
                  <v>35096</v>
                </pt>
                <pt idx="38">
                  <v>35125</v>
                </pt>
                <pt idx="39">
                  <v>35156</v>
                </pt>
                <pt idx="40">
                  <v>35186</v>
                </pt>
                <pt idx="41">
                  <v>35217</v>
                </pt>
                <pt idx="42">
                  <v>35247</v>
                </pt>
                <pt idx="43">
                  <v>35278</v>
                </pt>
                <pt idx="44">
                  <v>35309</v>
                </pt>
                <pt idx="45">
                  <v>35339</v>
                </pt>
                <pt idx="46">
                  <v>35370</v>
                </pt>
                <pt idx="47">
                  <v>35400</v>
                </pt>
                <pt idx="48">
                  <v>35431</v>
                </pt>
                <pt idx="49">
                  <v>35462</v>
                </pt>
                <pt idx="50">
                  <v>35490</v>
                </pt>
                <pt idx="51">
                  <v>35521</v>
                </pt>
                <pt idx="52">
                  <v>35551</v>
                </pt>
                <pt idx="53">
                  <v>35582</v>
                </pt>
                <pt idx="54">
                  <v>35612</v>
                </pt>
                <pt idx="55">
                  <v>35643</v>
                </pt>
                <pt idx="56">
                  <v>35674</v>
                </pt>
                <pt idx="57">
                  <v>35704</v>
                </pt>
                <pt idx="58">
                  <v>35735</v>
                </pt>
                <pt idx="59">
                  <v>35765</v>
                </pt>
                <pt idx="60">
                  <v>35796</v>
                </pt>
                <pt idx="61">
                  <v>35827</v>
                </pt>
                <pt idx="62">
                  <v>35855</v>
                </pt>
                <pt idx="63">
                  <v>35886</v>
                </pt>
                <pt idx="64">
                  <v>35916</v>
                </pt>
                <pt idx="65">
                  <v>35947</v>
                </pt>
                <pt idx="66">
                  <v>35977</v>
                </pt>
                <pt idx="67">
                  <v>36008</v>
                </pt>
                <pt idx="68">
                  <v>36039</v>
                </pt>
                <pt idx="69">
                  <v>36069</v>
                </pt>
                <pt idx="70">
                  <v>36100</v>
                </pt>
                <pt idx="71">
                  <v>36130</v>
                </pt>
                <pt idx="72">
                  <v>36161</v>
                </pt>
                <pt idx="73">
                  <v>36192</v>
                </pt>
                <pt idx="74">
                  <v>36220</v>
                </pt>
                <pt idx="75">
                  <v>36251</v>
                </pt>
                <pt idx="76">
                  <v>36281</v>
                </pt>
                <pt idx="77">
                  <v>36312</v>
                </pt>
                <pt idx="78">
                  <v>36342</v>
                </pt>
                <pt idx="79">
                  <v>36373</v>
                </pt>
                <pt idx="80">
                  <v>36404</v>
                </pt>
                <pt idx="81">
                  <v>36434</v>
                </pt>
                <pt idx="82">
                  <v>36465</v>
                </pt>
                <pt idx="83">
                  <v>36495</v>
                </pt>
                <pt idx="84">
                  <v>36526</v>
                </pt>
                <pt idx="85">
                  <v>36557</v>
                </pt>
                <pt idx="86">
                  <v>36586</v>
                </pt>
                <pt idx="87">
                  <v>36617</v>
                </pt>
                <pt idx="88">
                  <v>36647</v>
                </pt>
                <pt idx="89">
                  <v>36678</v>
                </pt>
                <pt idx="90">
                  <v>36708</v>
                </pt>
                <pt idx="91">
                  <v>36739</v>
                </pt>
                <pt idx="92">
                  <v>36770</v>
                </pt>
                <pt idx="93">
                  <v>36800</v>
                </pt>
                <pt idx="94">
                  <v>36831</v>
                </pt>
                <pt idx="95">
                  <v>36861</v>
                </pt>
                <pt idx="96">
                  <v>36892</v>
                </pt>
                <pt idx="97">
                  <v>36923</v>
                </pt>
                <pt idx="98">
                  <v>36951</v>
                </pt>
                <pt idx="99">
                  <v>36982</v>
                </pt>
                <pt idx="100">
                  <v>37012</v>
                </pt>
                <pt idx="101">
                  <v>37043</v>
                </pt>
                <pt idx="102">
                  <v>37073</v>
                </pt>
                <pt idx="103">
                  <v>37104</v>
                </pt>
                <pt idx="104">
                  <v>37135</v>
                </pt>
                <pt idx="105">
                  <v>37165</v>
                </pt>
                <pt idx="106">
                  <v>37196</v>
                </pt>
                <pt idx="107">
                  <v>37226</v>
                </pt>
                <pt idx="108">
                  <v>37257</v>
                </pt>
                <pt idx="109">
                  <v>37288</v>
                </pt>
                <pt idx="110">
                  <v>37316</v>
                </pt>
                <pt idx="111">
                  <v>37347</v>
                </pt>
                <pt idx="112">
                  <v>37377</v>
                </pt>
                <pt idx="113">
                  <v>37408</v>
                </pt>
                <pt idx="114">
                  <v>37438</v>
                </pt>
                <pt idx="115">
                  <v>37469</v>
                </pt>
                <pt idx="116">
                  <v>37500</v>
                </pt>
                <pt idx="117">
                  <v>37530</v>
                </pt>
                <pt idx="118">
                  <v>37561</v>
                </pt>
                <pt idx="119">
                  <v>37591</v>
                </pt>
                <pt idx="120">
                  <v>37622</v>
                </pt>
                <pt idx="121">
                  <v>37653</v>
                </pt>
                <pt idx="122">
                  <v>37681</v>
                </pt>
                <pt idx="123">
                  <v>37712</v>
                </pt>
                <pt idx="124">
                  <v>37742</v>
                </pt>
                <pt idx="125">
                  <v>37773</v>
                </pt>
                <pt idx="126">
                  <v>37803</v>
                </pt>
                <pt idx="127">
                  <v>37834</v>
                </pt>
                <pt idx="128">
                  <v>37865</v>
                </pt>
                <pt idx="129">
                  <v>37895</v>
                </pt>
                <pt idx="130">
                  <v>37926</v>
                </pt>
                <pt idx="131">
                  <v>37956</v>
                </pt>
                <pt idx="132">
                  <v>37987</v>
                </pt>
                <pt idx="133">
                  <v>38018</v>
                </pt>
                <pt idx="134">
                  <v>38047</v>
                </pt>
                <pt idx="135">
                  <v>38078</v>
                </pt>
                <pt idx="136">
                  <v>38108</v>
                </pt>
                <pt idx="137">
                  <v>38139</v>
                </pt>
                <pt idx="138">
                  <v>38169</v>
                </pt>
                <pt idx="139">
                  <v>38200</v>
                </pt>
                <pt idx="140">
                  <v>38231</v>
                </pt>
                <pt idx="141">
                  <v>38261</v>
                </pt>
                <pt idx="142">
                  <v>38292</v>
                </pt>
                <pt idx="143">
                  <v>38322</v>
                </pt>
                <pt idx="144">
                  <v>38353</v>
                </pt>
                <pt idx="145">
                  <v>38384</v>
                </pt>
                <pt idx="146">
                  <v>38412</v>
                </pt>
                <pt idx="147">
                  <v>38443</v>
                </pt>
                <pt idx="148">
                  <v>38473</v>
                </pt>
                <pt idx="149">
                  <v>38504</v>
                </pt>
                <pt idx="150">
                  <v>38534</v>
                </pt>
                <pt idx="151">
                  <v>38565</v>
                </pt>
                <pt idx="152">
                  <v>38596</v>
                </pt>
                <pt idx="153">
                  <v>38626</v>
                </pt>
                <pt idx="154">
                  <v>38657</v>
                </pt>
                <pt idx="155">
                  <v>38687</v>
                </pt>
                <pt idx="156">
                  <v>38718</v>
                </pt>
                <pt idx="157">
                  <v>38749</v>
                </pt>
                <pt idx="158">
                  <v>38777</v>
                </pt>
                <pt idx="159">
                  <v>38808</v>
                </pt>
                <pt idx="160">
                  <v>38838</v>
                </pt>
                <pt idx="161">
                  <v>38869</v>
                </pt>
                <pt idx="162">
                  <v>38899</v>
                </pt>
                <pt idx="163">
                  <v>38930</v>
                </pt>
                <pt idx="164">
                  <v>38961</v>
                </pt>
                <pt idx="165">
                  <v>38991</v>
                </pt>
                <pt idx="166">
                  <v>39022</v>
                </pt>
                <pt idx="167">
                  <v>39052</v>
                </pt>
                <pt idx="168">
                  <v>39083</v>
                </pt>
                <pt idx="169">
                  <v>39114</v>
                </pt>
                <pt idx="170">
                  <v>39142</v>
                </pt>
                <pt idx="171">
                  <v>39173</v>
                </pt>
                <pt idx="172">
                  <v>39203</v>
                </pt>
                <pt idx="173">
                  <v>39234</v>
                </pt>
                <pt idx="174">
                  <v>39264</v>
                </pt>
                <pt idx="175">
                  <v>39295</v>
                </pt>
                <pt idx="176">
                  <v>39326</v>
                </pt>
                <pt idx="177">
                  <v>39356</v>
                </pt>
                <pt idx="178">
                  <v>39387</v>
                </pt>
                <pt idx="179">
                  <v>39417</v>
                </pt>
                <pt idx="180">
                  <v>39448</v>
                </pt>
                <pt idx="181">
                  <v>39479</v>
                </pt>
                <pt idx="182">
                  <v>39508</v>
                </pt>
                <pt idx="183">
                  <v>39539</v>
                </pt>
                <pt idx="184">
                  <v>39569</v>
                </pt>
                <pt idx="185">
                  <v>39600</v>
                </pt>
                <pt idx="186">
                  <v>39630</v>
                </pt>
                <pt idx="187">
                  <v>39661</v>
                </pt>
                <pt idx="188">
                  <v>39692</v>
                </pt>
                <pt idx="189">
                  <v>39722</v>
                </pt>
                <pt idx="190">
                  <v>39753</v>
                </pt>
                <pt idx="191">
                  <v>39783</v>
                </pt>
                <pt idx="192">
                  <v>39814</v>
                </pt>
                <pt idx="193">
                  <v>39845</v>
                </pt>
                <pt idx="194">
                  <v>39873</v>
                </pt>
                <pt idx="195">
                  <v>39904</v>
                </pt>
                <pt idx="196">
                  <v>39934</v>
                </pt>
                <pt idx="197">
                  <v>39965</v>
                </pt>
                <pt idx="198">
                  <v>39995</v>
                </pt>
                <pt idx="199">
                  <v>40026</v>
                </pt>
                <pt idx="200">
                  <v>40057</v>
                </pt>
                <pt idx="201">
                  <v>40087</v>
                </pt>
                <pt idx="202">
                  <v>40118</v>
                </pt>
                <pt idx="203">
                  <v>40148</v>
                </pt>
                <pt idx="204">
                  <v>40179</v>
                </pt>
                <pt idx="205">
                  <v>40210</v>
                </pt>
                <pt idx="206">
                  <v>40238</v>
                </pt>
                <pt idx="207">
                  <v>40269</v>
                </pt>
                <pt idx="208">
                  <v>40299</v>
                </pt>
                <pt idx="209">
                  <v>40330</v>
                </pt>
                <pt idx="210">
                  <v>40360</v>
                </pt>
                <pt idx="211">
                  <v>40391</v>
                </pt>
                <pt idx="212">
                  <v>40422</v>
                </pt>
                <pt idx="213">
                  <v>40452</v>
                </pt>
                <pt idx="214">
                  <v>40483</v>
                </pt>
                <pt idx="215">
                  <v>40513</v>
                </pt>
                <pt idx="216">
                  <v>40544</v>
                </pt>
                <pt idx="217">
                  <v>40575</v>
                </pt>
                <pt idx="218">
                  <v>40603</v>
                </pt>
                <pt idx="219">
                  <v>40634</v>
                </pt>
                <pt idx="220">
                  <v>40664</v>
                </pt>
                <pt idx="221">
                  <v>40695</v>
                </pt>
                <pt idx="222">
                  <v>40725</v>
                </pt>
                <pt idx="223">
                  <v>40756</v>
                </pt>
                <pt idx="224">
                  <v>40787</v>
                </pt>
                <pt idx="225">
                  <v>40817</v>
                </pt>
                <pt idx="226">
                  <v>40848</v>
                </pt>
                <pt idx="227">
                  <v>40878</v>
                </pt>
                <pt idx="228">
                  <v>40909</v>
                </pt>
                <pt idx="229">
                  <v>40940</v>
                </pt>
                <pt idx="230">
                  <v>40969</v>
                </pt>
                <pt idx="231">
                  <v>41000</v>
                </pt>
                <pt idx="232">
                  <v>41030</v>
                </pt>
                <pt idx="233">
                  <v>41061</v>
                </pt>
                <pt idx="234">
                  <v>41091</v>
                </pt>
                <pt idx="235">
                  <v>41122</v>
                </pt>
                <pt idx="236">
                  <v>41153</v>
                </pt>
                <pt idx="237">
                  <v>41183</v>
                </pt>
                <pt idx="238">
                  <v>41214</v>
                </pt>
                <pt idx="239">
                  <v>41244</v>
                </pt>
                <pt idx="240">
                  <v>41275</v>
                </pt>
                <pt idx="241">
                  <v>41306</v>
                </pt>
                <pt idx="242">
                  <v>41334</v>
                </pt>
                <pt idx="243">
                  <v>41365</v>
                </pt>
                <pt idx="244">
                  <v>41395</v>
                </pt>
                <pt idx="245">
                  <v>41426</v>
                </pt>
                <pt idx="246">
                  <v>41456</v>
                </pt>
                <pt idx="247">
                  <v>41487</v>
                </pt>
                <pt idx="248">
                  <v>41518</v>
                </pt>
                <pt idx="249">
                  <v>41548</v>
                </pt>
                <pt idx="250">
                  <v>41579</v>
                </pt>
                <pt idx="251">
                  <v>41609</v>
                </pt>
                <pt idx="252">
                  <v>41640</v>
                </pt>
                <pt idx="253">
                  <v>41671</v>
                </pt>
                <pt idx="254">
                  <v>41699</v>
                </pt>
                <pt idx="255">
                  <v>41730</v>
                </pt>
                <pt idx="256">
                  <v>41760</v>
                </pt>
                <pt idx="257">
                  <v>41791</v>
                </pt>
                <pt idx="258">
                  <v>41821</v>
                </pt>
                <pt idx="259">
                  <v>41852</v>
                </pt>
                <pt idx="260">
                  <v>41883</v>
                </pt>
                <pt idx="261">
                  <v>41913</v>
                </pt>
                <pt idx="262">
                  <v>41944</v>
                </pt>
                <pt idx="263">
                  <v>41974</v>
                </pt>
                <pt idx="264">
                  <v>42005</v>
                </pt>
                <pt idx="265">
                  <v>42036</v>
                </pt>
                <pt idx="266">
                  <v>42064</v>
                </pt>
                <pt idx="267">
                  <v>42095</v>
                </pt>
                <pt idx="268">
                  <v>42125</v>
                </pt>
                <pt idx="269">
                  <v>42156</v>
                </pt>
                <pt idx="270">
                  <v>42186</v>
                </pt>
                <pt idx="271">
                  <v>42217</v>
                </pt>
                <pt idx="272">
                  <v>42248</v>
                </pt>
                <pt idx="273">
                  <v>42278</v>
                </pt>
                <pt idx="274">
                  <v>42309</v>
                </pt>
                <pt idx="275">
                  <v>42339</v>
                </pt>
                <pt idx="276">
                  <v>42370</v>
                </pt>
                <pt idx="277">
                  <v>42401</v>
                </pt>
                <pt idx="278">
                  <v>42430</v>
                </pt>
                <pt idx="279">
                  <v>42461</v>
                </pt>
                <pt idx="280">
                  <v>42491</v>
                </pt>
                <pt idx="281">
                  <v>42522</v>
                </pt>
                <pt idx="282">
                  <v>42552</v>
                </pt>
                <pt idx="283">
                  <v>42583</v>
                </pt>
                <pt idx="284">
                  <v>42614</v>
                </pt>
                <pt idx="285">
                  <v>42644</v>
                </pt>
                <pt idx="286">
                  <v>42675</v>
                </pt>
                <pt idx="287">
                  <v>42705</v>
                </pt>
                <pt idx="288">
                  <v>42736</v>
                </pt>
                <pt idx="289">
                  <v>42767</v>
                </pt>
                <pt idx="290">
                  <v>42795</v>
                </pt>
                <pt idx="291">
                  <v>42826</v>
                </pt>
                <pt idx="292">
                  <v>42856</v>
                </pt>
                <pt idx="293">
                  <v>42887</v>
                </pt>
                <pt idx="294">
                  <v>42917</v>
                </pt>
                <pt idx="295">
                  <v>42948</v>
                </pt>
                <pt idx="296">
                  <v>42979</v>
                </pt>
                <pt idx="297">
                  <v>43009</v>
                </pt>
                <pt idx="298">
                  <v>43040</v>
                </pt>
                <pt idx="299">
                  <v>43070</v>
                </pt>
                <pt idx="300">
                  <v>43101</v>
                </pt>
                <pt idx="301">
                  <v>43132</v>
                </pt>
                <pt idx="302">
                  <v>43160</v>
                </pt>
                <pt idx="303">
                  <v>43191</v>
                </pt>
                <pt idx="304">
                  <v>43221</v>
                </pt>
                <pt idx="305">
                  <v>43252</v>
                </pt>
                <pt idx="306">
                  <v>43282</v>
                </pt>
                <pt idx="307">
                  <v>43313</v>
                </pt>
                <pt idx="308">
                  <v>43344</v>
                </pt>
                <pt idx="309">
                  <v>43374</v>
                </pt>
                <pt idx="310">
                  <v>43405</v>
                </pt>
                <pt idx="311">
                  <v>43435</v>
                </pt>
                <pt idx="312">
                  <v>43466</v>
                </pt>
                <pt idx="313">
                  <v>43497</v>
                </pt>
                <pt idx="314">
                  <v>43525</v>
                </pt>
                <pt idx="315">
                  <v>43556</v>
                </pt>
                <pt idx="316">
                  <v>43586</v>
                </pt>
                <pt idx="317">
                  <v>43617</v>
                </pt>
                <pt idx="318">
                  <v>43647</v>
                </pt>
                <pt idx="319">
                  <v>43678</v>
                </pt>
                <pt idx="320">
                  <v>43709</v>
                </pt>
                <pt idx="321">
                  <v>43739</v>
                </pt>
                <pt idx="322">
                  <v>43770</v>
                </pt>
                <pt idx="323">
                  <v>43800</v>
                </pt>
                <pt idx="324">
                  <v>43831</v>
                </pt>
                <pt idx="325">
                  <v>43862</v>
                </pt>
                <pt idx="326">
                  <v>43891</v>
                </pt>
                <pt idx="327">
                  <v>43922</v>
                </pt>
                <pt idx="328">
                  <v>43952</v>
                </pt>
                <pt idx="329">
                  <v>43983</v>
                </pt>
                <pt idx="330">
                  <v>44013</v>
                </pt>
                <pt idx="331">
                  <v>44044</v>
                </pt>
                <pt idx="332">
                  <v>44075</v>
                </pt>
                <pt idx="333">
                  <v>44105</v>
                </pt>
                <pt idx="334">
                  <v>44136</v>
                </pt>
                <pt idx="335">
                  <v>44166</v>
                </pt>
                <pt idx="336">
                  <v>44197</v>
                </pt>
                <pt idx="337">
                  <v>44228</v>
                </pt>
                <pt idx="338">
                  <v>44256</v>
                </pt>
                <pt idx="339">
                  <v>44287</v>
                </pt>
                <pt idx="340">
                  <v>44317</v>
                </pt>
                <pt idx="341">
                  <v>44348</v>
                </pt>
                <pt idx="342">
                  <v>44378</v>
                </pt>
                <pt idx="343">
                  <v>44409</v>
                </pt>
                <pt idx="344">
                  <v>44440</v>
                </pt>
                <pt idx="345">
                  <v>44470</v>
                </pt>
                <pt idx="346">
                  <v>44501</v>
                </pt>
                <pt idx="347">
                  <v>44531</v>
                </pt>
                <pt idx="348">
                  <v>44562</v>
                </pt>
                <pt idx="349">
                  <v>44593</v>
                </pt>
                <pt idx="350">
                  <v>44621</v>
                </pt>
                <pt idx="351">
                  <v>44652</v>
                </pt>
                <pt idx="352">
                  <v>44682</v>
                </pt>
                <pt idx="353">
                  <v>44713</v>
                </pt>
                <pt idx="354">
                  <v>44743</v>
                </pt>
                <pt idx="355">
                  <v>44774</v>
                </pt>
                <pt idx="356">
                  <v>44805</v>
                </pt>
              </numCache>
            </numRef>
          </cat>
          <val>
            <numRef>
              <f>'Food and Beverage'!$D$19:$D$382</f>
              <numCache>
                <formatCode>0.00%</formatCode>
                <ptCount val="364"/>
                <pt idx="0">
                  <v>0.01997568748562605</v>
                </pt>
                <pt idx="1">
                  <v>0.0280100059245606</v>
                </pt>
                <pt idx="2">
                  <v>0.01742776649413615</v>
                </pt>
                <pt idx="3">
                  <v>0.017221096660349</v>
                </pt>
                <pt idx="4">
                  <v>0.01451917442541832</v>
                </pt>
                <pt idx="5">
                  <v>0.01323103930301356</v>
                </pt>
                <pt idx="6">
                  <v>0.01246649226496141</v>
                </pt>
                <pt idx="7">
                  <v>0.002738313842981863</v>
                </pt>
                <pt idx="8">
                  <v>0.008370499644496154</v>
                </pt>
                <pt idx="9">
                  <v>0.006356748426865289</v>
                </pt>
                <pt idx="10">
                  <v>0.01197083118224058</v>
                </pt>
                <pt idx="11">
                  <v>0.01423189619087484</v>
                </pt>
                <pt idx="12">
                  <v>0.01362538250926075</v>
                </pt>
                <pt idx="13">
                  <v>0.01456792495117344</v>
                </pt>
                <pt idx="14">
                  <v>0.02067100264022152</v>
                </pt>
                <pt idx="15">
                  <v>0.02473577692826625</v>
                </pt>
                <pt idx="16">
                  <v>0.02226928507251957</v>
                </pt>
                <pt idx="17">
                  <v>0.03064040041067762</v>
                </pt>
                <pt idx="18">
                  <v>0.01961785064914351</v>
                </pt>
                <pt idx="19">
                  <v>0.03521172010537814</v>
                </pt>
                <pt idx="20">
                  <v>0.03846030575943079</v>
                </pt>
                <pt idx="21">
                  <v>0.02711669750526383</v>
                </pt>
                <pt idx="22">
                  <v>0.03210789784140548</v>
                </pt>
                <pt idx="23">
                  <v>0.0252388964729039</v>
                </pt>
                <pt idx="24">
                  <v>0.03676750985127749</v>
                </pt>
                <pt idx="25">
                  <v>0.02243751577884373</v>
                </pt>
                <pt idx="26">
                  <v>0.02255520504731861</v>
                </pt>
                <pt idx="27">
                  <v>0.01294711432960281</v>
                </pt>
                <pt idx="28">
                  <v>0.02140749576244586</v>
                </pt>
                <pt idx="29">
                  <v>0.0147557824611649</v>
                </pt>
                <pt idx="30">
                  <v>0.01570516831435365</v>
                </pt>
                <pt idx="31">
                  <v>0.01008627645707902</v>
                </pt>
                <pt idx="32">
                  <v>0.006913366871392858</v>
                </pt>
                <pt idx="33">
                  <v>0.01186482792893527</v>
                </pt>
                <pt idx="34">
                  <v>0.01155390793945011</v>
                </pt>
                <pt idx="35">
                  <v>0.01885799219669288</v>
                </pt>
                <pt idx="36">
                  <v>0.01409961685823755</v>
                </pt>
                <pt idx="37">
                  <v>0.01632766443408747</v>
                </pt>
                <pt idx="38">
                  <v>0.02039179392256671</v>
                </pt>
                <pt idx="39">
                  <v>0.02667739539489973</v>
                </pt>
                <pt idx="40">
                  <v>0.01960663798401967</v>
                </pt>
                <pt idx="41">
                  <v>0.0209835260913581</v>
                </pt>
                <pt idx="42">
                  <v>0.03092465964393519</v>
                </pt>
                <pt idx="43">
                  <v>0.03057117399453099</v>
                </pt>
                <pt idx="44">
                  <v>0.0266360153256705</v>
                </pt>
                <pt idx="45">
                  <v>0.03456320216096753</v>
                </pt>
                <pt idx="46">
                  <v>0.03023454678719766</v>
                </pt>
                <pt idx="47">
                  <v>0.02783940674102665</v>
                </pt>
                <pt idx="48">
                  <v>0.02913707118029318</v>
                </pt>
                <pt idx="49">
                  <v>0.03222181729834791</v>
                </pt>
                <pt idx="50">
                  <v>0.03265207401136776</v>
                </pt>
                <pt idx="51">
                  <v>0.02658708627238198</v>
                </pt>
                <pt idx="52">
                  <v>0.02411236361444331</v>
                </pt>
                <pt idx="53">
                  <v>0.01835882335266368</v>
                </pt>
                <pt idx="54">
                  <v>0.01900209142515686</v>
                </pt>
                <pt idx="55">
                  <v>0.02128674497644744</v>
                </pt>
                <pt idx="56">
                  <v>0.02349674568579447</v>
                </pt>
                <pt idx="57">
                  <v>0.01910752432945645</v>
                </pt>
                <pt idx="58">
                  <v>0.01470326673385901</v>
                </pt>
                <pt idx="59">
                  <v>0.01097016470031639</v>
                </pt>
                <pt idx="60">
                  <v>0.002261446738523892</v>
                </pt>
                <pt idx="61">
                  <v>0.003324605019270941</v>
                </pt>
                <pt idx="62">
                  <v>0.003484014521606745</v>
                </pt>
                <pt idx="63">
                  <v>0.009337561663143059</v>
                </pt>
                <pt idx="64">
                  <v>0.01636352934251575</v>
                </pt>
                <pt idx="65">
                  <v>0.0206538416145403</v>
                </pt>
                <pt idx="66">
                  <v>0.02199026564240896</v>
                </pt>
                <pt idx="67">
                  <v>0.02025922466137319</v>
                </pt>
                <pt idx="68">
                  <v>0.01852338029812433</v>
                </pt>
                <pt idx="69">
                  <v>0.02168976359613369</v>
                </pt>
                <pt idx="70">
                  <v>0.02658486707566462</v>
                </pt>
                <pt idx="71">
                  <v>0.03928049137174613</v>
                </pt>
                <pt idx="72">
                  <v>0.03870948836664127</v>
                </pt>
                <pt idx="73">
                  <v>0.04706468828807694</v>
                </pt>
                <pt idx="74">
                  <v>0.04017505470459519</v>
                </pt>
                <pt idx="75">
                  <v>0.0476813870948973</v>
                </pt>
                <pt idx="76">
                  <v>0.0441883361325071</v>
                </pt>
                <pt idx="77">
                  <v>0.03700277520814061</v>
                </pt>
                <pt idx="78">
                  <v>0.03643562084002754</v>
                </pt>
                <pt idx="79">
                  <v>0.03339055793991416</v>
                </pt>
                <pt idx="80">
                  <v>0.04281704662618856</v>
                </pt>
                <pt idx="81">
                  <v>0.03356794802382242</v>
                </pt>
                <pt idx="82">
                  <v>0.03301081388730791</v>
                </pt>
                <pt idx="83">
                  <v>0.06000056285706245</v>
                </pt>
                <pt idx="84">
                  <v>0.00468304793071346</v>
                </pt>
                <pt idx="85">
                  <v>0.007645559694177613</v>
                </pt>
                <pt idx="86">
                  <v>0.02544036800179513</v>
                </pt>
                <pt idx="87">
                  <v>0.02762891178185655</v>
                </pt>
                <pt idx="88">
                  <v>0.01821963394342762</v>
                </pt>
                <pt idx="89">
                  <v>0.0363235950044603</v>
                </pt>
                <pt idx="90">
                  <v>0.02524497591762166</v>
                </pt>
                <pt idx="91">
                  <v>0.02749397790514162</v>
                </pt>
                <pt idx="92">
                  <v>0.02463541237538107</v>
                </pt>
                <pt idx="93">
                  <v>0.03322213338479777</v>
                </pt>
                <pt idx="94">
                  <v>0.03856749311294766</v>
                </pt>
                <pt idx="95">
                  <v>0.009770343820523032</v>
                </pt>
                <pt idx="96">
                  <v>0.06430236149720607</v>
                </pt>
                <pt idx="97">
                  <v>0.0631461923290717</v>
                </pt>
                <pt idx="98">
                  <v>0.04305369402883011</v>
                </pt>
                <pt idx="99">
                  <v>0.03677583225248595</v>
                </pt>
                <pt idx="100">
                  <v>0.04689925647520223</v>
                </pt>
                <pt idx="101">
                  <v>0.03749831876260928</v>
                </pt>
                <pt idx="102">
                  <v>0.03963496949079324</v>
                </pt>
                <pt idx="103">
                  <v>0.04386957693344112</v>
                </pt>
                <pt idx="104">
                  <v>0.04084914763589579</v>
                </pt>
                <pt idx="105">
                  <v>0.03917173657807663</v>
                </pt>
                <pt idx="106">
                  <v>0.03875331564986737</v>
                </pt>
                <pt idx="107">
                  <v>0.02532011674072516</v>
                </pt>
                <pt idx="108">
                  <v>0.02453631638656571</v>
                </pt>
                <pt idx="109">
                  <v>0.01654815434487086</v>
                </pt>
                <pt idx="110">
                  <v>0.02045472425458264</v>
                </pt>
                <pt idx="111">
                  <v>0.005186478667674425</v>
                </pt>
                <pt idx="112">
                  <v>0.007128177111787508</v>
                </pt>
                <pt idx="113">
                  <v>0.003992843993881097</v>
                </pt>
                <pt idx="114">
                  <v>0.008518153015114528</v>
                </pt>
                <pt idx="115">
                  <v>-0.0023491145645103</v>
                </pt>
                <pt idx="116">
                  <v>-0.00600020601565719</v>
                </pt>
                <pt idx="117">
                  <v>-0.006445152013147083</v>
                </pt>
                <pt idx="118">
                  <v>-0.007022292587012589</v>
                </pt>
                <pt idx="119">
                  <v>0.001948917837726946</v>
                </pt>
                <pt idx="120">
                  <v>0.01490999922746118</v>
                </pt>
                <pt idx="121">
                  <v>0.01028674296001029</v>
                </pt>
                <pt idx="122">
                  <v>0.01040783285791381</v>
                </pt>
                <pt idx="123">
                  <v>0.02263534536403236</v>
                </pt>
                <pt idx="124">
                  <v>0.007904321545733992</v>
                </pt>
                <pt idx="125">
                  <v>0.01954910518296619</v>
                </pt>
                <pt idx="126">
                  <v>0.02508111448730494</v>
                </pt>
                <pt idx="127">
                  <v>0.03068802235619841</v>
                </pt>
                <pt idx="128">
                  <v>0.03313557346045234</v>
                </pt>
                <pt idx="129">
                  <v>0.02798955883493138</v>
                </pt>
                <pt idx="130">
                  <v>0.01915856606490768</v>
                </pt>
                <pt idx="131">
                  <v>0.01886261261261261</v>
                </pt>
                <pt idx="132">
                  <v>0.02615954531614736</v>
                </pt>
                <pt idx="133">
                  <v>0.01621484026982309</v>
                </pt>
                <pt idx="134">
                  <v>0.02800244162978788</v>
                </pt>
                <pt idx="135">
                  <v>0.02428944499378819</v>
                </pt>
                <pt idx="136">
                  <v>0.04141572054640047</v>
                </pt>
                <pt idx="137">
                  <v>0.02857142857142857</v>
                </pt>
                <pt idx="138">
                  <v>0.02067423633440514</v>
                </pt>
                <pt idx="139">
                  <v>0.02354831421183441</v>
                </pt>
                <pt idx="140">
                  <v>0.02926425598074126</v>
                </pt>
                <pt idx="141">
                  <v>0.0352222445695897</v>
                </pt>
                <pt idx="142">
                  <v>0.04473770533168479</v>
                </pt>
                <pt idx="143">
                  <v>0.04333190986962747</v>
                </pt>
                <pt idx="144">
                  <v>0.03085824493731919</v>
                </pt>
                <pt idx="145">
                  <v>0.0459646310305095</v>
                </pt>
                <pt idx="146">
                  <v>0.03416709963136149</v>
                </pt>
                <pt idx="147">
                  <v>0.04663481769350727</v>
                </pt>
                <pt idx="148">
                  <v>0.03558508674787744</v>
                </pt>
                <pt idx="149">
                  <v>0.04321808510638298</v>
                </pt>
                <pt idx="150">
                  <v>0.03822204720533583</v>
                </pt>
                <pt idx="151">
                  <v>0.04343773760761326</v>
                </pt>
                <pt idx="152">
                  <v>0.04385430624923864</v>
                </pt>
                <pt idx="153">
                  <v>0.04043519440464337</v>
                </pt>
                <pt idx="154">
                  <v>0.03427205100956429</v>
                </pt>
                <pt idx="155">
                  <v>0.03989502576202629</v>
                </pt>
                <pt idx="156">
                  <v>0.02374613225876088</v>
                </pt>
                <pt idx="157">
                  <v>0.03884378667049836</v>
                </pt>
                <pt idx="158">
                  <v>0.03428229665071771</v>
                </pt>
                <pt idx="159">
                  <v>0.02331906439940402</v>
                </pt>
                <pt idx="160">
                  <v>0.03738029039233858</v>
                </pt>
                <pt idx="161">
                  <v>0.033496211316479</v>
                </pt>
                <pt idx="162">
                  <v>0.03894841646121752</v>
                </pt>
                <pt idx="163">
                  <v>0.03803300267970476</v>
                </pt>
                <pt idx="164">
                  <v>0.02336328626444159</v>
                </pt>
                <pt idx="165">
                  <v>0.03968068717613557</v>
                </pt>
                <pt idx="166">
                  <v>0.04084253788851785</v>
                </pt>
                <pt idx="167">
                  <v>0.03563242342154616</v>
                </pt>
                <pt idx="168">
                  <v>0.05095944331201237</v>
                </pt>
                <pt idx="169">
                  <v>0.04368473224371239</v>
                </pt>
                <pt idx="170">
                  <v>0.0471399162676659</v>
                </pt>
                <pt idx="171">
                  <v>0.03972821188379672</v>
                </pt>
                <pt idx="172">
                  <v>0.04123333486049388</v>
                </pt>
                <pt idx="173">
                  <v>0.04214060572838153</v>
                </pt>
                <pt idx="174">
                  <v>0.04396833002487052</v>
                </pt>
                <pt idx="175">
                  <v>0.03358242753623188</v>
                </pt>
                <pt idx="176">
                  <v>0.04577384482050814</v>
                </pt>
                <pt idx="177">
                  <v>0.03527008216963765</v>
                </pt>
                <pt idx="178">
                  <v>0.04603787130934218</v>
                </pt>
                <pt idx="179">
                  <v>0.04697071316789626</v>
                </pt>
                <pt idx="180">
                  <v>0.04472088460852506</v>
                </pt>
                <pt idx="181">
                  <v>0.03165172063435968</v>
                </pt>
                <pt idx="182">
                  <v>0.03560778423273177</v>
                </pt>
                <pt idx="183">
                  <v>0.05263625855783764</v>
                </pt>
                <pt idx="184">
                  <v>0.04182250187002244</v>
                </pt>
                <pt idx="185">
                  <v>0.04254060095995792</v>
                </pt>
                <pt idx="186">
                  <v>0.04570092232373126</v>
                </pt>
                <pt idx="187">
                  <v>0.05137699099533335</v>
                </pt>
                <pt idx="188">
                  <v>0.04115325060519486</v>
                </pt>
                <pt idx="189">
                  <v>0.03448051525600156</v>
                </pt>
                <pt idx="190">
                  <v>0.01585020590253947</v>
                </pt>
                <pt idx="191">
                  <v>0.002370224851060195</v>
                </pt>
                <pt idx="192">
                  <v>0.01658059835260979</v>
                </pt>
                <pt idx="193">
                  <v>0.004731624809985655</v>
                </pt>
                <pt idx="194">
                  <v>0.0006185610989057868</v>
                </pt>
                <pt idx="195">
                  <v>-0.004709012585522426</v>
                </pt>
                <pt idx="196">
                  <v>-0.002871924823144335</v>
                </pt>
                <pt idx="197">
                  <v>-0.004582912882610158</v>
                </pt>
                <pt idx="198">
                  <v>-0.01076392517504441</v>
                </pt>
                <pt idx="199">
                  <v>-0.01414937067600233</v>
                </pt>
                <pt idx="200">
                  <v>-0.003791369920402179</v>
                </pt>
                <pt idx="201">
                  <v>-0.002096304215667778</v>
                </pt>
                <pt idx="202">
                  <v>0.006883009944471423</v>
                </pt>
                <pt idx="203">
                  <v>0.02539303821737463</v>
                </pt>
                <pt idx="204">
                  <v>0.004953924305715905</v>
                </pt>
                <pt idx="205">
                  <v>0.03773866348448687</v>
                </pt>
                <pt idx="206">
                  <v>0.02890518417462483</v>
                </pt>
                <pt idx="207">
                  <v>0.02299874822311332</v>
                </pt>
                <pt idx="208">
                  <v>0.02066964569347085</v>
                </pt>
                <pt idx="209">
                  <v>0.01089757127771911</v>
                </pt>
                <pt idx="210">
                  <v>0.01318402704415804</v>
                </pt>
                <pt idx="211">
                  <v>0.01919296539770445</v>
                </pt>
                <pt idx="212">
                  <v>0.02354969616686642</v>
                </pt>
                <pt idx="213">
                  <v>0.0202928386866374</v>
                </pt>
                <pt idx="214">
                  <v>0.03023758099352052</v>
                </pt>
                <pt idx="215">
                  <v>0.02185565296879545</v>
                </pt>
                <pt idx="216">
                  <v>0.03761879895561358</v>
                </pt>
                <pt idx="217">
                  <v>0.02807039158914967</v>
                </pt>
                <pt idx="218">
                  <v>0.03749896411701334</v>
                </pt>
                <pt idx="219">
                  <v>0.0543169421573304</v>
                </pt>
                <pt idx="220">
                  <v>0.0453781512605042</v>
                </pt>
                <pt idx="221">
                  <v>0.06428362512012702</v>
                </pt>
                <pt idx="222">
                  <v>0.06228886015765108</v>
                </pt>
                <pt idx="223">
                  <v>0.0614306157579277</v>
                </pt>
                <pt idx="224">
                  <v>0.04965180057108815</v>
                </pt>
                <pt idx="225">
                  <v>0.05668224587699973</v>
                </pt>
                <pt idx="226">
                  <v>0.04644725326168814</v>
                </pt>
                <pt idx="227">
                  <v>0.04220713211076323</v>
                </pt>
                <pt idx="228">
                  <v>0.03661727997423303</v>
                </pt>
                <pt idx="229">
                  <v>0.03171813206567331</v>
                </pt>
                <pt idx="230">
                  <v>0.04147529853428651</v>
                </pt>
                <pt idx="231">
                  <v>0.02779526319930758</v>
                </pt>
                <pt idx="232">
                  <v>0.03773172958596324</v>
                </pt>
                <pt idx="233">
                  <v>0.02563649569126279</v>
                </pt>
                <pt idx="234">
                  <v>0.02532341336055437</v>
                </pt>
                <pt idx="235">
                  <v>0.02309541022685086</v>
                </pt>
                <pt idx="236">
                  <v>0.02732112102708627</v>
                </pt>
                <pt idx="237">
                  <v>0.02889599002377148</v>
                </pt>
                <pt idx="238">
                  <v>0.0253632349794799</v>
                </pt>
                <pt idx="239">
                  <v>0.02789590729975421</v>
                </pt>
                <pt idx="240">
                  <v>0.02343916885134479</v>
                </pt>
                <pt idx="241">
                  <v>0.03151740426685252</v>
                </pt>
                <pt idx="242">
                  <v>0.01809989454510593</v>
                </pt>
                <pt idx="243">
                  <v>0.009205917816608931</v>
                </pt>
                <pt idx="244">
                  <v>0.01855287569573284</v>
                </pt>
                <pt idx="245">
                  <v>0.01845011387777757</v>
                </pt>
                <pt idx="246">
                  <v>0.02645938235913538</v>
                </pt>
                <pt idx="247">
                  <v>0.02639368996008479</v>
                </pt>
                <pt idx="248">
                  <v>0.02514668901927913</v>
                </pt>
                <pt idx="249">
                  <v>0.02147523908720765</v>
                </pt>
                <pt idx="250">
                  <v>0.02555152986702582</v>
                </pt>
                <pt idx="251">
                  <v>0.03545130190541259</v>
                </pt>
                <pt idx="252">
                  <v>0.03973283746347387</v>
                </pt>
                <pt idx="253">
                  <v>0.02862129799932435</v>
                </pt>
                <pt idx="254">
                  <v>0.03365411777999586</v>
                </pt>
                <pt idx="255">
                  <v>0.04720273089322966</v>
                </pt>
                <pt idx="256">
                  <v>0.04127466997164479</v>
                </pt>
                <pt idx="257">
                  <v>0.05154755416909402</v>
                </pt>
                <pt idx="258">
                  <v>0.04717139499748196</v>
                </pt>
                <pt idx="259">
                  <v>0.04750386096794001</v>
                </pt>
                <pt idx="260">
                  <v>0.04931985430758939</v>
                </pt>
                <pt idx="261">
                  <v>0.05242959639592874</v>
                </pt>
                <pt idx="262">
                  <v>0.04979283811778633</v>
                </pt>
                <pt idx="263">
                  <v>0.04580278592375366</v>
                </pt>
                <pt idx="264">
                  <v>0.04321483319950362</v>
                </pt>
                <pt idx="265">
                  <v>0.04347984746473991</v>
                </pt>
                <pt idx="266">
                  <v>0.04175928287723645</v>
                </pt>
                <pt idx="267">
                  <v>0.03390137452688386</v>
                </pt>
                <pt idx="268">
                  <v>0.02979206867324304</v>
                </pt>
                <pt idx="269">
                  <v>0.02582386160554722</v>
                </pt>
                <pt idx="270">
                  <v>0.02534644294823839</v>
                </pt>
                <pt idx="271">
                  <v>0.02193761546113401</v>
                </pt>
                <pt idx="272">
                  <v>0.01634611978889951</v>
                </pt>
                <pt idx="273">
                  <v>0.007328201243680307</v>
                </pt>
                <pt idx="274">
                  <v>0.01275636056099796</v>
                </pt>
                <pt idx="275">
                  <v>0.005380395730734853</v>
                </pt>
                <pt idx="276">
                  <v>0.006752501574417465</v>
                </pt>
                <pt idx="277">
                  <v>0.008235705542927085</v>
                </pt>
                <pt idx="278">
                  <v>0.000839483717513729</v>
                </pt>
                <pt idx="279">
                  <v>0.01318946944351999</v>
                </pt>
                <pt idx="280">
                  <v>0.01749470255503214</v>
                </pt>
                <pt idx="281">
                  <v>0.01928537830351388</v>
                </pt>
                <pt idx="282">
                  <v>0.01024928341874403</v>
                </pt>
                <pt idx="283">
                  <v>0.01470511550294624</v>
                </pt>
                <pt idx="284">
                  <v>0.02401157016152921</v>
                </pt>
                <pt idx="285">
                  <v>0.03270202682615463</v>
                </pt>
                <pt idx="286">
                  <v>0.02821851078636047</v>
                </pt>
                <pt idx="287">
                  <v>0.03442805843182373</v>
                </pt>
                <pt idx="288">
                  <v>0.03424847958297133</v>
                </pt>
                <pt idx="289">
                  <v>0.03900383274657047</v>
                </pt>
                <pt idx="290">
                  <v>0.05438087582567364</v>
                </pt>
                <pt idx="291">
                  <v>0.0453633911900975</v>
                </pt>
                <pt idx="292">
                  <v>0.04318267873739286</v>
                </pt>
                <pt idx="293">
                  <v>0.03250837492308744</v>
                </pt>
                <pt idx="294">
                  <v>0.03936033015217952</v>
                </pt>
                <pt idx="295">
                  <v>0.03981019922229645</v>
                </pt>
                <pt idx="296">
                  <v>0.04441268058604319</v>
                </pt>
                <pt idx="297">
                  <v>0.04255499297241461</v>
                </pt>
                <pt idx="298">
                  <v>0.04380562417515482</v>
                </pt>
                <pt idx="299">
                  <v>0.04848249945231796</v>
                </pt>
                <pt idx="300">
                  <v>0.03859142151509552</v>
                </pt>
                <pt idx="301">
                  <v>0.03617092305124353</v>
                </pt>
                <pt idx="302">
                  <v>0.03142298385760217</v>
                </pt>
                <pt idx="303">
                  <v>0.03143811602831249</v>
                </pt>
                <pt idx="304">
                  <v>0.03002755275445051</v>
                </pt>
                <pt idx="305">
                  <v>0.03082271147161066</v>
                </pt>
                <pt idx="306">
                  <v>0.03692674210839786</v>
                </pt>
                <pt idx="307">
                  <v>0.02729773809327688</v>
                </pt>
                <pt idx="308">
                  <v>0.02251657787118953</v>
                </pt>
                <pt idx="309">
                  <v>0.02540363187473606</v>
                </pt>
                <pt idx="310">
                  <v>0.02486586374025385</v>
                </pt>
                <pt idx="311">
                  <v>0.01449741232440773</v>
                </pt>
                <pt idx="312">
                  <v>0.0380309942088065</v>
                </pt>
                <pt idx="313">
                  <v>0.01367656297823671</v>
                </pt>
                <pt idx="314">
                  <v>0.02879454960311084</v>
                </pt>
                <pt idx="315">
                  <v>0.03001491125398836</v>
                </pt>
                <pt idx="316">
                  <v>0.03033749259182137</v>
                </pt>
                <pt idx="317">
                  <v>0.03910264645426516</v>
                </pt>
                <pt idx="318">
                  <v>0.04583891760801583</v>
                </pt>
                <pt idx="319">
                  <v>0.04756406555694538</v>
                </pt>
                <pt idx="320">
                  <v>0.0330311190426871</v>
                </pt>
                <pt idx="321">
                  <v>0.02856011405037225</v>
                </pt>
                <pt idx="322">
                  <v>0.02748912613681297</v>
                </pt>
                <pt idx="323">
                  <v>0.03699302915082383</v>
                </pt>
                <pt idx="324">
                  <v>0.009334725490501645</v>
                </pt>
                <pt idx="325">
                  <v>0.03092521374312685</v>
                </pt>
                <pt idx="326">
                  <v>0.2776059725736419</v>
                </pt>
                <pt idx="327">
                  <v>0.1073613424448561</v>
                </pt>
                <pt idx="328">
                  <v>0.1267158958414302</v>
                </pt>
                <pt idx="329">
                  <v>0.1004682646390653</v>
                </pt>
                <pt idx="330">
                  <v>0.0899327220857679</v>
                </pt>
                <pt idx="331">
                  <v>0.07280631927009981</v>
                </pt>
                <pt idx="332">
                  <v>0.08053121915103653</v>
                </pt>
                <pt idx="333">
                  <v>0.07318312722344571</v>
                </pt>
                <pt idx="334">
                  <v>0.08467897110662993</v>
                </pt>
                <pt idx="335">
                  <v>0.06917729737987931</v>
                </pt>
                <pt idx="336">
                  <v>0.0950006175889328</v>
                </pt>
                <pt idx="337">
                  <v>0.09398507830805278</v>
                </pt>
                <pt idx="338">
                  <v>-0.1282518337408313</v>
                </pt>
                <pt idx="339">
                  <v>0.01189237819449521</v>
                </pt>
                <pt idx="340">
                  <v>0.0007450742314697279</v>
                </pt>
                <pt idx="341">
                  <v>0.02679474216380182</v>
                </pt>
                <pt idx="342">
                  <v>0.02051956777336095</v>
                </pt>
                <pt idx="343">
                  <v>0.05714897260273973</v>
                </pt>
                <pt idx="344">
                  <v>0.06643541318715829</v>
                </pt>
                <pt idx="345">
                  <v>0.08394919997129942</v>
                </pt>
                <pt idx="346">
                  <v>0.07548535422343325</v>
                </pt>
                <pt idx="347">
                  <v>0.08865010073875083</v>
                </pt>
                <pt idx="348">
                  <v>0.08011731363065946</v>
                </pt>
                <pt idx="349">
                  <v>0.07840042835604277</v>
                </pt>
                <pt idx="350">
                  <v>0.083565889298686</v>
                </pt>
                <pt idx="351">
                  <v>0.07343298510780173</v>
                </pt>
                <pt idx="352">
                  <v>0.07694747001240866</v>
                </pt>
                <pt idx="353">
                  <v>0.08047486186334045</v>
                </pt>
                <pt idx="354">
                  <v>0.08308873954190098</v>
                </pt>
                <pt idx="355">
                  <v>0.06871836404130391</v>
                </pt>
                <pt idx="356">
                  <v>0.06396990911159597</v>
                </pt>
              </numCache>
            </numRef>
          </val>
          <smooth val="0"/>
        </ser>
        <dLbls>
          <showLegendKey val="0"/>
          <showVal val="0"/>
          <showCatName val="0"/>
          <showSerName val="0"/>
          <showPercent val="0"/>
          <showBubbleSize val="0"/>
        </dLbls>
        <smooth val="0"/>
        <axId val="1033339464"/>
        <axId val="1033342744"/>
      </lineChart>
      <dateAx>
        <axId val="1033339464"/>
        <scaling>
          <orientation val="minMax"/>
          <max val="44805"/>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3342744"/>
        <crosses val="autoZero"/>
        <lblOffset val="100"/>
        <baseTimeUnit val="months"/>
      </dateAx>
      <valAx>
        <axId val="10333427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3339464"/>
        <crosses val="autoZero"/>
        <crossBetween val="between"/>
      </valAx>
    </plotArea>
    <plotVisOnly val="1"/>
    <dispBlanksAs val="gap"/>
  </chart>
</chartSpace>
</file>

<file path=xl/charts/chart11.xml><?xml version="1.0" encoding="utf-8"?>
<chartSpace xmlns="http://schemas.openxmlformats.org/drawingml/2006/chart">
  <chart>
    <title>
      <tx>
        <strRef>
          <f>'Food and Beverage'!$B$6</f>
          <strCache>
            <ptCount val="1"/>
            <pt idx="0">
              <v>Food and Beverage Stores, Millions of Dollars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'Food and Beverage'!$B$6</f>
              <strCache>
                <ptCount val="1"/>
                <pt idx="0">
                  <v>Food and Beverage Stores, Millions of Dollars</v>
                </pt>
              </strCache>
            </strRef>
          </tx>
          <spPr>
            <a:ln xmlns:a="http://schemas.openxmlformats.org/drawingml/2006/main">
              <a:prstDash val="solid"/>
            </a:ln>
          </spPr>
          <marker>
            <symbol val="none"/>
            <spPr>
              <a:ln xmlns:a="http://schemas.openxmlformats.org/drawingml/2006/main">
                <a:prstDash val="solid"/>
              </a:ln>
            </spPr>
          </marker>
          <cat>
            <numRef>
              <f>'Food and Beverage'!$A$7:$A$376</f>
              <numCache>
                <formatCode>[$-409]mmm\-yy;@</formatCode>
                <ptCount val="37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numCache>
            </numRef>
          </cat>
          <val>
            <numRef>
              <f>'Food and Beverage'!$B$7:$B$376</f>
              <numCache>
                <formatCode>#,##0</formatCode>
                <ptCount val="370"/>
                <pt idx="0">
                  <v>30437</v>
                </pt>
                <pt idx="1">
                  <v>30382</v>
                </pt>
                <pt idx="2">
                  <v>30526</v>
                </pt>
                <pt idx="3">
                  <v>30602</v>
                </pt>
                <pt idx="4">
                  <v>30718</v>
                </pt>
                <pt idx="5">
                  <v>30761</v>
                </pt>
                <pt idx="6">
                  <v>30963</v>
                </pt>
                <pt idx="7">
                  <v>31041</v>
                </pt>
                <pt idx="8">
                  <v>30942</v>
                </pt>
                <pt idx="9">
                  <v>31148</v>
                </pt>
                <pt idx="10">
                  <v>30992</v>
                </pt>
                <pt idx="11">
                  <v>31057</v>
                </pt>
                <pt idx="12">
                  <v>31045</v>
                </pt>
                <pt idx="13">
                  <v>31233</v>
                </pt>
                <pt idx="14">
                  <v>31058</v>
                </pt>
                <pt idx="15">
                  <v>31129</v>
                </pt>
                <pt idx="16">
                  <v>31164</v>
                </pt>
                <pt idx="17">
                  <v>31168</v>
                </pt>
                <pt idx="18">
                  <v>31349</v>
                </pt>
                <pt idx="19">
                  <v>31126</v>
                </pt>
                <pt idx="20">
                  <v>31201</v>
                </pt>
                <pt idx="21">
                  <v>31346</v>
                </pt>
                <pt idx="22">
                  <v>31363</v>
                </pt>
                <pt idx="23">
                  <v>31499</v>
                </pt>
                <pt idx="24">
                  <v>31468</v>
                </pt>
                <pt idx="25">
                  <v>31688</v>
                </pt>
                <pt idx="26">
                  <v>31700</v>
                </pt>
                <pt idx="27">
                  <v>31899</v>
                </pt>
                <pt idx="28">
                  <v>31858</v>
                </pt>
                <pt idx="29">
                  <v>32123</v>
                </pt>
                <pt idx="30">
                  <v>31964</v>
                </pt>
                <pt idx="31">
                  <v>32222</v>
                </pt>
                <pt idx="32">
                  <v>32401</v>
                </pt>
                <pt idx="33">
                  <v>32196</v>
                </pt>
                <pt idx="34">
                  <v>32370</v>
                </pt>
                <pt idx="35">
                  <v>32294</v>
                </pt>
                <pt idx="36">
                  <v>32625</v>
                </pt>
                <pt idx="37">
                  <v>32399</v>
                </pt>
                <pt idx="38">
                  <v>32415</v>
                </pt>
                <pt idx="39">
                  <v>32312</v>
                </pt>
                <pt idx="40">
                  <v>32540</v>
                </pt>
                <pt idx="41">
                  <v>32597</v>
                </pt>
                <pt idx="42">
                  <v>32466</v>
                </pt>
                <pt idx="43">
                  <v>32547</v>
                </pt>
                <pt idx="44">
                  <v>32625</v>
                </pt>
                <pt idx="45">
                  <v>32578</v>
                </pt>
                <pt idx="46">
                  <v>32744</v>
                </pt>
                <pt idx="47">
                  <v>32903</v>
                </pt>
                <pt idx="48">
                  <v>33085</v>
                </pt>
                <pt idx="49">
                  <v>32928</v>
                </pt>
                <pt idx="50">
                  <v>33076</v>
                </pt>
                <pt idx="51">
                  <v>33174</v>
                </pt>
                <pt idx="52">
                  <v>33178</v>
                </pt>
                <pt idx="53">
                  <v>33281</v>
                </pt>
                <pt idx="54">
                  <v>33470</v>
                </pt>
                <pt idx="55">
                  <v>33542</v>
                </pt>
                <pt idx="56">
                  <v>33494</v>
                </pt>
                <pt idx="57">
                  <v>33704</v>
                </pt>
                <pt idx="58">
                  <v>33734</v>
                </pt>
                <pt idx="59">
                  <v>33819</v>
                </pt>
                <pt idx="60">
                  <v>34049</v>
                </pt>
                <pt idx="61">
                  <v>33989</v>
                </pt>
                <pt idx="62">
                  <v>34156</v>
                </pt>
                <pt idx="63">
                  <v>34056</v>
                </pt>
                <pt idx="64">
                  <v>33978</v>
                </pt>
                <pt idx="65">
                  <v>33892</v>
                </pt>
                <pt idx="66">
                  <v>34106</v>
                </pt>
                <pt idx="67">
                  <v>34256</v>
                </pt>
                <pt idx="68">
                  <v>34281</v>
                </pt>
                <pt idx="69">
                  <v>34348</v>
                </pt>
                <pt idx="70">
                  <v>34230</v>
                </pt>
                <pt idx="71">
                  <v>34190</v>
                </pt>
                <pt idx="72">
                  <v>34126</v>
                </pt>
                <pt idx="73">
                  <v>34102</v>
                </pt>
                <pt idx="74">
                  <v>34275</v>
                </pt>
                <pt idx="75">
                  <v>34374</v>
                </pt>
                <pt idx="76">
                  <v>34534</v>
                </pt>
                <pt idx="77">
                  <v>34592</v>
                </pt>
                <pt idx="78">
                  <v>34856</v>
                </pt>
                <pt idx="79">
                  <v>34950</v>
                </pt>
                <pt idx="80">
                  <v>34916</v>
                </pt>
                <pt idx="81">
                  <v>35093</v>
                </pt>
                <pt idx="82">
                  <v>35140</v>
                </pt>
                <pt idx="83">
                  <v>35533</v>
                </pt>
                <pt idx="84">
                  <v>35447</v>
                </pt>
                <pt idx="85">
                  <v>35707</v>
                </pt>
                <pt idx="86">
                  <v>35652</v>
                </pt>
                <pt idx="87">
                  <v>36013</v>
                </pt>
                <pt idx="88">
                  <v>36060</v>
                </pt>
                <pt idx="89">
                  <v>35872</v>
                </pt>
                <pt idx="90">
                  <v>36126</v>
                </pt>
                <pt idx="91">
                  <v>36117</v>
                </pt>
                <pt idx="92">
                  <v>36411</v>
                </pt>
                <pt idx="93">
                  <v>36271</v>
                </pt>
                <pt idx="94">
                  <v>36300</v>
                </pt>
                <pt idx="95">
                  <v>37665</v>
                </pt>
                <pt idx="96">
                  <v>35613</v>
                </pt>
                <pt idx="97">
                  <v>35980</v>
                </pt>
                <pt idx="98">
                  <v>36559</v>
                </pt>
                <pt idx="99">
                  <v>37008</v>
                </pt>
                <pt idx="100">
                  <v>36717</v>
                </pt>
                <pt idx="101">
                  <v>37175</v>
                </pt>
                <pt idx="102">
                  <v>37038</v>
                </pt>
                <pt idx="103">
                  <v>37110</v>
                </pt>
                <pt idx="104">
                  <v>37308</v>
                </pt>
                <pt idx="105">
                  <v>37476</v>
                </pt>
                <pt idx="106">
                  <v>37700</v>
                </pt>
                <pt idx="107">
                  <v>38033</v>
                </pt>
                <pt idx="108">
                  <v>37903</v>
                </pt>
                <pt idx="109">
                  <v>38252</v>
                </pt>
                <pt idx="110">
                  <v>38133</v>
                </pt>
                <pt idx="111">
                  <v>38369</v>
                </pt>
                <pt idx="112">
                  <v>38439</v>
                </pt>
                <pt idx="113">
                  <v>38569</v>
                </pt>
                <pt idx="114">
                  <v>38506</v>
                </pt>
                <pt idx="115">
                  <v>38738</v>
                </pt>
                <pt idx="116">
                  <v>38832</v>
                </pt>
                <pt idx="117">
                  <v>38944</v>
                </pt>
                <pt idx="118">
                  <v>39161</v>
                </pt>
                <pt idx="119">
                  <v>38996</v>
                </pt>
                <pt idx="120">
                  <v>38833</v>
                </pt>
                <pt idx="121">
                  <v>38885</v>
                </pt>
                <pt idx="122">
                  <v>38913</v>
                </pt>
                <pt idx="123">
                  <v>38568</v>
                </pt>
                <pt idx="124">
                  <v>38713</v>
                </pt>
                <pt idx="125">
                  <v>38723</v>
                </pt>
                <pt idx="126">
                  <v>38834</v>
                </pt>
                <pt idx="127">
                  <v>38647</v>
                </pt>
                <pt idx="128">
                  <v>38599</v>
                </pt>
                <pt idx="129">
                  <v>38693</v>
                </pt>
                <pt idx="130">
                  <v>38886</v>
                </pt>
                <pt idx="131">
                  <v>39072</v>
                </pt>
                <pt idx="132">
                  <v>39412</v>
                </pt>
                <pt idx="133">
                  <v>39285</v>
                </pt>
                <pt idx="134">
                  <v>39318</v>
                </pt>
                <pt idx="135">
                  <v>39441</v>
                </pt>
                <pt idx="136">
                  <v>39019</v>
                </pt>
                <pt idx="137">
                  <v>39480</v>
                </pt>
                <pt idx="138">
                  <v>39808</v>
                </pt>
                <pt idx="139">
                  <v>39833</v>
                </pt>
                <pt idx="140">
                  <v>39878</v>
                </pt>
                <pt idx="141">
                  <v>39776</v>
                </pt>
                <pt idx="142">
                  <v>39631</v>
                </pt>
                <pt idx="143">
                  <v>39809</v>
                </pt>
                <pt idx="144">
                  <v>40443</v>
                </pt>
                <pt idx="145">
                  <v>39922</v>
                </pt>
                <pt idx="146">
                  <v>40419</v>
                </pt>
                <pt idx="147">
                  <v>40399</v>
                </pt>
                <pt idx="148">
                  <v>40635</v>
                </pt>
                <pt idx="149">
                  <v>40608</v>
                </pt>
                <pt idx="150">
                  <v>40631</v>
                </pt>
                <pt idx="151">
                  <v>40771</v>
                </pt>
                <pt idx="152">
                  <v>41045</v>
                </pt>
                <pt idx="153">
                  <v>41177</v>
                </pt>
                <pt idx="154">
                  <v>41404</v>
                </pt>
                <pt idx="155">
                  <v>41534</v>
                </pt>
                <pt idx="156">
                  <v>41691</v>
                </pt>
                <pt idx="157">
                  <v>41757</v>
                </pt>
                <pt idx="158">
                  <v>41800</v>
                </pt>
                <pt idx="159">
                  <v>42283</v>
                </pt>
                <pt idx="160">
                  <v>42081</v>
                </pt>
                <pt idx="161">
                  <v>42363</v>
                </pt>
                <pt idx="162">
                  <v>42184</v>
                </pt>
                <pt idx="163">
                  <v>42542</v>
                </pt>
                <pt idx="164">
                  <v>42845</v>
                </pt>
                <pt idx="165">
                  <v>42842</v>
                </pt>
                <pt idx="166">
                  <v>42823</v>
                </pt>
                <pt idx="167">
                  <v>43191</v>
                </pt>
                <pt idx="168">
                  <v>42681</v>
                </pt>
                <pt idx="169">
                  <v>43379</v>
                </pt>
                <pt idx="170">
                  <v>43233</v>
                </pt>
                <pt idx="171">
                  <v>43269</v>
                </pt>
                <pt idx="172">
                  <v>43654</v>
                </pt>
                <pt idx="173">
                  <v>43782</v>
                </pt>
                <pt idx="174">
                  <v>43827</v>
                </pt>
                <pt idx="175">
                  <v>44160</v>
                </pt>
                <pt idx="176">
                  <v>43846</v>
                </pt>
                <pt idx="177">
                  <v>44542</v>
                </pt>
                <pt idx="178">
                  <v>44572</v>
                </pt>
                <pt idx="179">
                  <v>44730</v>
                </pt>
                <pt idx="180">
                  <v>44856</v>
                </pt>
                <pt idx="181">
                  <v>45274</v>
                </pt>
                <pt idx="182">
                  <v>45271</v>
                </pt>
                <pt idx="183">
                  <v>44988</v>
                </pt>
                <pt idx="184">
                  <v>45454</v>
                </pt>
                <pt idx="185">
                  <v>45627</v>
                </pt>
                <pt idx="186">
                  <v>45754</v>
                </pt>
                <pt idx="187">
                  <v>45643</v>
                </pt>
                <pt idx="188">
                  <v>45853</v>
                </pt>
                <pt idx="189">
                  <v>46113</v>
                </pt>
                <pt idx="190">
                  <v>46624</v>
                </pt>
                <pt idx="191">
                  <v>46831</v>
                </pt>
                <pt idx="192">
                  <v>46862</v>
                </pt>
                <pt idx="193">
                  <v>46707</v>
                </pt>
                <pt idx="194">
                  <v>46883</v>
                </pt>
                <pt idx="195">
                  <v>47356</v>
                </pt>
                <pt idx="196">
                  <v>47355</v>
                </pt>
                <pt idx="197">
                  <v>47568</v>
                </pt>
                <pt idx="198">
                  <v>47845</v>
                </pt>
                <pt idx="199">
                  <v>47988</v>
                </pt>
                <pt idx="200">
                  <v>47740</v>
                </pt>
                <pt idx="201">
                  <v>47703</v>
                </pt>
                <pt idx="202">
                  <v>47363</v>
                </pt>
                <pt idx="203">
                  <v>46942</v>
                </pt>
                <pt idx="204">
                  <v>47639</v>
                </pt>
                <pt idx="205">
                  <v>46928</v>
                </pt>
                <pt idx="206">
                  <v>46912</v>
                </pt>
                <pt idx="207">
                  <v>47133</v>
                </pt>
                <pt idx="208">
                  <v>47219</v>
                </pt>
                <pt idx="209">
                  <v>47350</v>
                </pt>
                <pt idx="210">
                  <v>47330</v>
                </pt>
                <pt idx="211">
                  <v>47309</v>
                </pt>
                <pt idx="212">
                  <v>47559</v>
                </pt>
                <pt idx="213">
                  <v>47603</v>
                </pt>
                <pt idx="214">
                  <v>47689</v>
                </pt>
                <pt idx="215">
                  <v>48134</v>
                </pt>
                <pt idx="216">
                  <v>47875</v>
                </pt>
                <pt idx="217">
                  <v>48699</v>
                </pt>
                <pt idx="218">
                  <v>48268</v>
                </pt>
                <pt idx="219">
                  <v>48217</v>
                </pt>
                <pt idx="220">
                  <v>48195</v>
                </pt>
                <pt idx="221">
                  <v>47866</v>
                </pt>
                <pt idx="222">
                  <v>47954</v>
                </pt>
                <pt idx="223">
                  <v>48217</v>
                </pt>
                <pt idx="224">
                  <v>48679</v>
                </pt>
                <pt idx="225">
                  <v>48569</v>
                </pt>
                <pt idx="226">
                  <v>49131</v>
                </pt>
                <pt idx="227">
                  <v>49186</v>
                </pt>
                <pt idx="228">
                  <v>49676</v>
                </pt>
                <pt idx="229">
                  <v>50066</v>
                </pt>
                <pt idx="230">
                  <v>50078</v>
                </pt>
                <pt idx="231">
                  <v>50836</v>
                </pt>
                <pt idx="232">
                  <v>50382</v>
                </pt>
                <pt idx="233">
                  <v>50943</v>
                </pt>
                <pt idx="234">
                  <v>50941</v>
                </pt>
                <pt idx="235">
                  <v>51179</v>
                </pt>
                <pt idx="236">
                  <v>51096</v>
                </pt>
                <pt idx="237">
                  <v>51322</v>
                </pt>
                <pt idx="238">
                  <v>51413</v>
                </pt>
                <pt idx="239">
                  <v>51262</v>
                </pt>
                <pt idx="240">
                  <v>51495</v>
                </pt>
                <pt idx="241">
                  <v>51654</v>
                </pt>
                <pt idx="242">
                  <v>52155</v>
                </pt>
                <pt idx="243">
                  <v>52249</v>
                </pt>
                <pt idx="244">
                  <v>52283</v>
                </pt>
                <pt idx="245">
                  <v>52249</v>
                </pt>
                <pt idx="246">
                  <v>52231</v>
                </pt>
                <pt idx="247">
                  <v>52361</v>
                </pt>
                <pt idx="248">
                  <v>52492</v>
                </pt>
                <pt idx="249">
                  <v>52805</v>
                </pt>
                <pt idx="250">
                  <v>52717</v>
                </pt>
                <pt idx="251">
                  <v>52692</v>
                </pt>
                <pt idx="252">
                  <v>52702</v>
                </pt>
                <pt idx="253">
                  <v>53282</v>
                </pt>
                <pt idx="254">
                  <v>53099</v>
                </pt>
                <pt idx="255">
                  <v>52730</v>
                </pt>
                <pt idx="256">
                  <v>53253</v>
                </pt>
                <pt idx="257">
                  <v>53213</v>
                </pt>
                <pt idx="258">
                  <v>53613</v>
                </pt>
                <pt idx="259">
                  <v>53743</v>
                </pt>
                <pt idx="260">
                  <v>53812</v>
                </pt>
                <pt idx="261">
                  <v>53939</v>
                </pt>
                <pt idx="262">
                  <v>54064</v>
                </pt>
                <pt idx="263">
                  <v>54560</v>
                </pt>
                <pt idx="264">
                  <v>54796</v>
                </pt>
                <pt idx="265">
                  <v>54807</v>
                </pt>
                <pt idx="266">
                  <v>54886</v>
                </pt>
                <pt idx="267">
                  <v>55219</v>
                </pt>
                <pt idx="268">
                  <v>55451</v>
                </pt>
                <pt idx="269">
                  <v>55956</v>
                </pt>
                <pt idx="270">
                  <v>56142</v>
                </pt>
                <pt idx="271">
                  <v>56296</v>
                </pt>
                <pt idx="272">
                  <v>56466</v>
                </pt>
                <pt idx="273">
                  <v>56767</v>
                </pt>
                <pt idx="274">
                  <v>56756</v>
                </pt>
                <pt idx="275">
                  <v>57059</v>
                </pt>
                <pt idx="276">
                  <v>57164</v>
                </pt>
                <pt idx="277">
                  <v>57190</v>
                </pt>
                <pt idx="278">
                  <v>57178</v>
                </pt>
                <pt idx="279">
                  <v>57091</v>
                </pt>
                <pt idx="280">
                  <v>57103</v>
                </pt>
                <pt idx="281">
                  <v>57401</v>
                </pt>
                <pt idx="282">
                  <v>57565</v>
                </pt>
                <pt idx="283">
                  <v>57531</v>
                </pt>
                <pt idx="284">
                  <v>57389</v>
                </pt>
                <pt idx="285">
                  <v>57183</v>
                </pt>
                <pt idx="286">
                  <v>57480</v>
                </pt>
                <pt idx="287">
                  <v>57366</v>
                </pt>
                <pt idx="288">
                  <v>57550</v>
                </pt>
                <pt idx="289">
                  <v>57661</v>
                </pt>
                <pt idx="290">
                  <v>57226</v>
                </pt>
                <pt idx="291">
                  <v>57844</v>
                </pt>
                <pt idx="292">
                  <v>58102</v>
                </pt>
                <pt idx="293">
                  <v>58508</v>
                </pt>
                <pt idx="294">
                  <v>58155</v>
                </pt>
                <pt idx="295">
                  <v>58377</v>
                </pt>
                <pt idx="296">
                  <v>58767</v>
                </pt>
                <pt idx="297">
                  <v>59053</v>
                </pt>
                <pt idx="298">
                  <v>59102</v>
                </pt>
                <pt idx="299">
                  <v>59341</v>
                </pt>
                <pt idx="300">
                  <v>59521</v>
                </pt>
                <pt idx="301">
                  <v>59910</v>
                </pt>
                <pt idx="302">
                  <v>60338</v>
                </pt>
                <pt idx="303">
                  <v>60468</v>
                </pt>
                <pt idx="304">
                  <v>60611</v>
                </pt>
                <pt idx="305">
                  <v>60410</v>
                </pt>
                <pt idx="306">
                  <v>60444</v>
                </pt>
                <pt idx="307">
                  <v>60701</v>
                </pt>
                <pt idx="308">
                  <v>61377</v>
                </pt>
                <pt idx="309">
                  <v>61566</v>
                </pt>
                <pt idx="310">
                  <v>61691</v>
                </pt>
                <pt idx="311">
                  <v>62218</v>
                </pt>
                <pt idx="312">
                  <v>61818</v>
                </pt>
                <pt idx="313">
                  <v>62077</v>
                </pt>
                <pt idx="314">
                  <v>62234</v>
                </pt>
                <pt idx="315">
                  <v>62369</v>
                </pt>
                <pt idx="316">
                  <v>62431</v>
                </pt>
                <pt idx="317">
                  <v>62272</v>
                </pt>
                <pt idx="318">
                  <v>62676</v>
                </pt>
                <pt idx="319">
                  <v>62358</v>
                </pt>
                <pt idx="320">
                  <v>62759</v>
                </pt>
                <pt idx="321">
                  <v>63130</v>
                </pt>
                <pt idx="322">
                  <v>63225</v>
                </pt>
                <pt idx="323">
                  <v>63120</v>
                </pt>
                <pt idx="324">
                  <v>64169</v>
                </pt>
                <pt idx="325">
                  <v>62926</v>
                </pt>
                <pt idx="326">
                  <v>64026</v>
                </pt>
                <pt idx="327">
                  <v>64241</v>
                </pt>
                <pt idx="328">
                  <v>64325</v>
                </pt>
                <pt idx="329">
                  <v>64707</v>
                </pt>
                <pt idx="330">
                  <v>65549</v>
                </pt>
                <pt idx="331">
                  <v>65324</v>
                </pt>
                <pt idx="332">
                  <v>64832</v>
                </pt>
                <pt idx="333">
                  <v>64933</v>
                </pt>
                <pt idx="334">
                  <v>64963</v>
                </pt>
                <pt idx="335">
                  <v>65455</v>
                </pt>
                <pt idx="336">
                  <v>64768</v>
                </pt>
                <pt idx="337">
                  <v>64872</v>
                </pt>
                <pt idx="338">
                  <v>81800</v>
                </pt>
                <pt idx="339">
                  <v>71138</v>
                </pt>
                <pt idx="340">
                  <v>72476</v>
                </pt>
                <pt idx="341">
                  <v>71208</v>
                </pt>
                <pt idx="342">
                  <v>71444</v>
                </pt>
                <pt idx="343">
                  <v>70080</v>
                </pt>
                <pt idx="344">
                  <v>70053</v>
                </pt>
                <pt idx="345">
                  <v>69685</v>
                </pt>
                <pt idx="346">
                  <v>70464</v>
                </pt>
                <pt idx="347">
                  <v>69983</v>
                </pt>
                <pt idx="348">
                  <v>70921</v>
                </pt>
                <pt idx="349">
                  <v>70969</v>
                </pt>
                <pt idx="350">
                  <v>71309</v>
                </pt>
                <pt idx="351">
                  <v>71984</v>
                </pt>
                <pt idx="352">
                  <v>72530</v>
                </pt>
                <pt idx="353">
                  <v>73116</v>
                </pt>
                <pt idx="354">
                  <v>72910</v>
                </pt>
                <pt idx="355">
                  <v>74085</v>
                </pt>
                <pt idx="356">
                  <v>74707</v>
                </pt>
                <pt idx="357">
                  <v>75535</v>
                </pt>
                <pt idx="358">
                  <v>75783</v>
                </pt>
                <pt idx="359">
                  <v>76187</v>
                </pt>
                <pt idx="360">
                  <v>76603</v>
                </pt>
                <pt idx="361">
                  <v>76533</v>
                </pt>
                <pt idx="362">
                  <v>77268</v>
                </pt>
                <pt idx="363">
                  <v>77270</v>
                </pt>
                <pt idx="364">
                  <v>78111</v>
                </pt>
                <pt idx="365">
                  <v>79000</v>
                </pt>
                <pt idx="366">
                  <v>78968</v>
                </pt>
                <pt idx="367">
                  <v>79176</v>
                </pt>
                <pt idx="368">
                  <v>79486</v>
                </pt>
              </numCache>
            </numRef>
          </val>
          <smooth val="0"/>
        </ser>
        <dLbls>
          <showLegendKey val="0"/>
          <showVal val="0"/>
          <showCatName val="0"/>
          <showSerName val="0"/>
          <showPercent val="0"/>
          <showBubbleSize val="0"/>
        </dLbls>
        <smooth val="0"/>
        <axId val="644217568"/>
        <axId val="644219216"/>
      </lineChart>
      <dateAx>
        <axId val="644217568"/>
        <scaling>
          <orientation val="minMax"/>
          <max val="44774"/>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644219216"/>
        <crosses val="autoZero"/>
        <lblOffset val="100"/>
        <baseTimeUnit val="months"/>
      </dateAx>
      <valAx>
        <axId val="644219216"/>
        <scaling>
          <orientation val="minMax"/>
          <min val="3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644217568"/>
        <crosses val="autoZero"/>
        <crossBetween val="between"/>
      </valAx>
    </plotArea>
    <plotVisOnly val="1"/>
    <dispBlanksAs val="gap"/>
  </chart>
</chartSpace>
</file>

<file path=xl/charts/chart12.xml><?xml version="1.0" encoding="utf-8"?>
<chartSpace xmlns="http://schemas.openxmlformats.org/drawingml/2006/chart">
  <chart>
    <title>
      <tx>
        <strRef>
          <f>'Non Store Retail'!$B$6</f>
          <strCache>
            <ptCount val="1"/>
            <pt idx="0">
              <v>Nonstore Retailers, Millions of Dollars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'Non Store Retail'!$B$6</f>
              <strCache>
                <ptCount val="1"/>
                <pt idx="0">
                  <v>Nonstore Retailers, Millions of Dollars</v>
                </pt>
              </strCache>
            </strRef>
          </tx>
          <spPr>
            <a:ln xmlns:a="http://schemas.openxmlformats.org/drawingml/2006/main">
              <a:prstDash val="solid"/>
            </a:ln>
          </spPr>
          <marker>
            <symbol val="none"/>
            <spPr>
              <a:ln xmlns:a="http://schemas.openxmlformats.org/drawingml/2006/main">
                <a:prstDash val="solid"/>
              </a:ln>
            </spPr>
          </marker>
          <cat>
            <numRef>
              <f>'Non Store Retail'!$A$7:$A$376</f>
              <numCache>
                <formatCode>[$-409]mmm\-yy;@</formatCode>
                <ptCount val="37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numCache>
            </numRef>
          </cat>
          <val>
            <numRef>
              <f>'Non Store Retail'!$B$7:$B$376</f>
              <numCache>
                <formatCode>#,##0</formatCode>
                <ptCount val="370"/>
                <pt idx="0">
                  <v>6515</v>
                </pt>
                <pt idx="1">
                  <v>6110</v>
                </pt>
                <pt idx="2">
                  <v>6018</v>
                </pt>
                <pt idx="3">
                  <v>6327</v>
                </pt>
                <pt idx="4">
                  <v>6550</v>
                </pt>
                <pt idx="5">
                  <v>6653</v>
                </pt>
                <pt idx="6">
                  <v>6891</v>
                </pt>
                <pt idx="7">
                  <v>6766</v>
                </pt>
                <pt idx="8">
                  <v>6714</v>
                </pt>
                <pt idx="9">
                  <v>6665</v>
                </pt>
                <pt idx="10">
                  <v>6610</v>
                </pt>
                <pt idx="11">
                  <v>6597</v>
                </pt>
                <pt idx="12">
                  <v>6644</v>
                </pt>
                <pt idx="13">
                  <v>6780</v>
                </pt>
                <pt idx="14">
                  <v>7009</v>
                </pt>
                <pt idx="15">
                  <v>6868</v>
                </pt>
                <pt idx="16">
                  <v>7309</v>
                </pt>
                <pt idx="17">
                  <v>6858</v>
                </pt>
                <pt idx="18">
                  <v>7046</v>
                </pt>
                <pt idx="19">
                  <v>6999</v>
                </pt>
                <pt idx="20">
                  <v>7486</v>
                </pt>
                <pt idx="21">
                  <v>7343</v>
                </pt>
                <pt idx="22">
                  <v>7561</v>
                </pt>
                <pt idx="23">
                  <v>7438</v>
                </pt>
                <pt idx="24">
                  <v>7720</v>
                </pt>
                <pt idx="25">
                  <v>7681</v>
                </pt>
                <pt idx="26">
                  <v>7853</v>
                </pt>
                <pt idx="27">
                  <v>7941</v>
                </pt>
                <pt idx="28">
                  <v>7859</v>
                </pt>
                <pt idx="29">
                  <v>8074</v>
                </pt>
                <pt idx="30">
                  <v>8077</v>
                </pt>
                <pt idx="31">
                  <v>8241</v>
                </pt>
                <pt idx="32">
                  <v>8106</v>
                </pt>
                <pt idx="33">
                  <v>8306</v>
                </pt>
                <pt idx="34">
                  <v>8092</v>
                </pt>
                <pt idx="35">
                  <v>8237</v>
                </pt>
                <pt idx="36">
                  <v>8182</v>
                </pt>
                <pt idx="37">
                  <v>8307</v>
                </pt>
                <pt idx="38">
                  <v>8216</v>
                </pt>
                <pt idx="39">
                  <v>8365</v>
                </pt>
                <pt idx="40">
                  <v>8518</v>
                </pt>
                <pt idx="41">
                  <v>8429</v>
                </pt>
                <pt idx="42">
                  <v>8499</v>
                </pt>
                <pt idx="43">
                  <v>8699</v>
                </pt>
                <pt idx="44">
                  <v>8842</v>
                </pt>
                <pt idx="45">
                  <v>8702</v>
                </pt>
                <pt idx="46">
                  <v>9170</v>
                </pt>
                <pt idx="47">
                  <v>9543</v>
                </pt>
                <pt idx="48">
                  <v>9038</v>
                </pt>
                <pt idx="49">
                  <v>9400</v>
                </pt>
                <pt idx="50">
                  <v>9606</v>
                </pt>
                <pt idx="51">
                  <v>9632</v>
                </pt>
                <pt idx="52">
                  <v>9519</v>
                </pt>
                <pt idx="53">
                  <v>9610</v>
                </pt>
                <pt idx="54">
                  <v>9550</v>
                </pt>
                <pt idx="55">
                  <v>9468</v>
                </pt>
                <pt idx="56">
                  <v>9889</v>
                </pt>
                <pt idx="57">
                  <v>10025</v>
                </pt>
                <pt idx="58">
                  <v>10390</v>
                </pt>
                <pt idx="59">
                  <v>10765</v>
                </pt>
                <pt idx="60">
                  <v>10006</v>
                </pt>
                <pt idx="61">
                  <v>10350</v>
                </pt>
                <pt idx="62">
                  <v>10488</v>
                </pt>
                <pt idx="63">
                  <v>10642</v>
                </pt>
                <pt idx="64">
                  <v>10547</v>
                </pt>
                <pt idx="65">
                  <v>10643</v>
                </pt>
                <pt idx="66">
                  <v>10836</v>
                </pt>
                <pt idx="67">
                  <v>10432</v>
                </pt>
                <pt idx="68">
                  <v>10669</v>
                </pt>
                <pt idx="69">
                  <v>10529</v>
                </pt>
                <pt idx="70">
                  <v>10675</v>
                </pt>
                <pt idx="71">
                  <v>10490</v>
                </pt>
                <pt idx="72">
                  <v>10390</v>
                </pt>
                <pt idx="73">
                  <v>10626</v>
                </pt>
                <pt idx="74">
                  <v>10844</v>
                </pt>
                <pt idx="75">
                  <v>10992</v>
                </pt>
                <pt idx="76">
                  <v>11189</v>
                </pt>
                <pt idx="77">
                  <v>11103</v>
                </pt>
                <pt idx="78">
                  <v>11580</v>
                </pt>
                <pt idx="79">
                  <v>11375</v>
                </pt>
                <pt idx="80">
                  <v>11302</v>
                </pt>
                <pt idx="81">
                  <v>11577</v>
                </pt>
                <pt idx="82">
                  <v>11553</v>
                </pt>
                <pt idx="83">
                  <v>11459</v>
                </pt>
                <pt idx="84">
                  <v>11720</v>
                </pt>
                <pt idx="85">
                  <v>11821</v>
                </pt>
                <pt idx="86">
                  <v>12052</v>
                </pt>
                <pt idx="87">
                  <v>12345</v>
                </pt>
                <pt idx="88">
                  <v>12558</v>
                </pt>
                <pt idx="89">
                  <v>12558</v>
                </pt>
                <pt idx="90">
                  <v>12742</v>
                </pt>
                <pt idx="91">
                  <v>12965</v>
                </pt>
                <pt idx="92">
                  <v>13196</v>
                </pt>
                <pt idx="93">
                  <v>13127</v>
                </pt>
                <pt idx="94">
                  <v>13110</v>
                </pt>
                <pt idx="95">
                  <v>13528</v>
                </pt>
                <pt idx="96">
                  <v>13855</v>
                </pt>
                <pt idx="97">
                  <v>14241</v>
                </pt>
                <pt idx="98">
                  <v>14261</v>
                </pt>
                <pt idx="99">
                  <v>14458</v>
                </pt>
                <pt idx="100">
                  <v>14539</v>
                </pt>
                <pt idx="101">
                  <v>14949</v>
                </pt>
                <pt idx="102">
                  <v>15037</v>
                </pt>
                <pt idx="103">
                  <v>15280</v>
                </pt>
                <pt idx="104">
                  <v>15775</v>
                </pt>
                <pt idx="105">
                  <v>15698</v>
                </pt>
                <pt idx="106">
                  <v>15883</v>
                </pt>
                <pt idx="107">
                  <v>16538</v>
                </pt>
                <pt idx="108">
                  <v>15505</v>
                </pt>
                <pt idx="109">
                  <v>15223</v>
                </pt>
                <pt idx="110">
                  <v>15354</v>
                </pt>
                <pt idx="111">
                  <v>15289</v>
                </pt>
                <pt idx="112">
                  <v>14876</v>
                </pt>
                <pt idx="113">
                  <v>14981</v>
                </pt>
                <pt idx="114">
                  <v>14964</v>
                </pt>
                <pt idx="115">
                  <v>15214</v>
                </pt>
                <pt idx="116">
                  <v>14473</v>
                </pt>
                <pt idx="117">
                  <v>14979</v>
                </pt>
                <pt idx="118">
                  <v>14837</v>
                </pt>
                <pt idx="119">
                  <v>14810</v>
                </pt>
                <pt idx="120">
                  <v>15091</v>
                </pt>
                <pt idx="121">
                  <v>15054</v>
                </pt>
                <pt idx="122">
                  <v>15345</v>
                </pt>
                <pt idx="123">
                  <v>15675</v>
                </pt>
                <pt idx="124">
                  <v>15850</v>
                </pt>
                <pt idx="125">
                  <v>15725</v>
                </pt>
                <pt idx="126">
                  <v>16018</v>
                </pt>
                <pt idx="127">
                  <v>15881</v>
                </pt>
                <pt idx="128">
                  <v>15725</v>
                </pt>
                <pt idx="129">
                  <v>15977</v>
                </pt>
                <pt idx="130">
                  <v>16416</v>
                </pt>
                <pt idx="131">
                  <v>16497</v>
                </pt>
                <pt idx="132">
                  <v>16434</v>
                </pt>
                <pt idx="133">
                  <v>16933</v>
                </pt>
                <pt idx="134">
                  <v>16764</v>
                </pt>
                <pt idx="135">
                  <v>16593</v>
                </pt>
                <pt idx="136">
                  <v>16722</v>
                </pt>
                <pt idx="137">
                  <v>16938</v>
                </pt>
                <pt idx="138">
                  <v>17049</v>
                </pt>
                <pt idx="139">
                  <v>17312</v>
                </pt>
                <pt idx="140">
                  <v>17595</v>
                </pt>
                <pt idx="141">
                  <v>17778</v>
                </pt>
                <pt idx="142">
                  <v>17881</v>
                </pt>
                <pt idx="143">
                  <v>17742</v>
                </pt>
                <pt idx="144">
                  <v>18275</v>
                </pt>
                <pt idx="145">
                  <v>18566</v>
                </pt>
                <pt idx="146">
                  <v>18072</v>
                </pt>
                <pt idx="147">
                  <v>18442</v>
                </pt>
                <pt idx="148">
                  <v>18351</v>
                </pt>
                <pt idx="149">
                  <v>18649</v>
                </pt>
                <pt idx="150">
                  <v>18927</v>
                </pt>
                <pt idx="151">
                  <v>19178</v>
                </pt>
                <pt idx="152">
                  <v>19472</v>
                </pt>
                <pt idx="153">
                  <v>19675</v>
                </pt>
                <pt idx="154">
                  <v>19789</v>
                </pt>
                <pt idx="155">
                  <v>19942</v>
                </pt>
                <pt idx="156">
                  <v>20237</v>
                </pt>
                <pt idx="157">
                  <v>20175</v>
                </pt>
                <pt idx="158">
                  <v>20506</v>
                </pt>
                <pt idx="159">
                  <v>20741</v>
                </pt>
                <pt idx="160">
                  <v>20568</v>
                </pt>
                <pt idx="161">
                  <v>21024</v>
                </pt>
                <pt idx="162">
                  <v>20988</v>
                </pt>
                <pt idx="163">
                  <v>21767</v>
                </pt>
                <pt idx="164">
                  <v>21951</v>
                </pt>
                <pt idx="165">
                  <v>22255</v>
                </pt>
                <pt idx="166">
                  <v>22461</v>
                </pt>
                <pt idx="167">
                  <v>22827</v>
                </pt>
                <pt idx="168">
                  <v>22574</v>
                </pt>
                <pt idx="169">
                  <v>23068</v>
                </pt>
                <pt idx="170">
                  <v>23677</v>
                </pt>
                <pt idx="171">
                  <v>23305</v>
                </pt>
                <pt idx="172">
                  <v>23794</v>
                </pt>
                <pt idx="173">
                  <v>23762</v>
                </pt>
                <pt idx="174">
                  <v>23638</v>
                </pt>
                <pt idx="175">
                  <v>24225</v>
                </pt>
                <pt idx="176">
                  <v>24206</v>
                </pt>
                <pt idx="177">
                  <v>24349</v>
                </pt>
                <pt idx="178">
                  <v>24259</v>
                </pt>
                <pt idx="179">
                  <v>24206</v>
                </pt>
                <pt idx="180">
                  <v>24243</v>
                </pt>
                <pt idx="181">
                  <v>25505</v>
                </pt>
                <pt idx="182">
                  <v>25034</v>
                </pt>
                <pt idx="183">
                  <v>25303</v>
                </pt>
                <pt idx="184">
                  <v>25271</v>
                </pt>
                <pt idx="185">
                  <v>25462</v>
                </pt>
                <pt idx="186">
                  <v>25970</v>
                </pt>
                <pt idx="187">
                  <v>25826</v>
                </pt>
                <pt idx="188">
                  <v>26112</v>
                </pt>
                <pt idx="189">
                  <v>26397</v>
                </pt>
                <pt idx="190">
                  <v>27065</v>
                </pt>
                <pt idx="191">
                  <v>26268</v>
                </pt>
                <pt idx="192">
                  <v>26019</v>
                </pt>
                <pt idx="193">
                  <v>26101</v>
                </pt>
                <pt idx="194">
                  <v>26530</v>
                </pt>
                <pt idx="195">
                  <v>27243</v>
                </pt>
                <pt idx="196">
                  <v>27526</v>
                </pt>
                <pt idx="197">
                  <v>27403</v>
                </pt>
                <pt idx="198">
                  <v>27823</v>
                </pt>
                <pt idx="199">
                  <v>27374</v>
                </pt>
                <pt idx="200">
                  <v>27258</v>
                </pt>
                <pt idx="201">
                  <v>26333</v>
                </pt>
                <pt idx="202">
                  <v>25149</v>
                </pt>
                <pt idx="203">
                  <v>24751</v>
                </pt>
                <pt idx="204">
                  <v>25049</v>
                </pt>
                <pt idx="205">
                  <v>25241</v>
                </pt>
                <pt idx="206">
                  <v>24941</v>
                </pt>
                <pt idx="207">
                  <v>24932</v>
                </pt>
                <pt idx="208">
                  <v>25159</v>
                </pt>
                <pt idx="209">
                  <v>25768</v>
                </pt>
                <pt idx="210">
                  <v>26110</v>
                </pt>
                <pt idx="211">
                  <v>26150</v>
                </pt>
                <pt idx="212">
                  <v>26339</v>
                </pt>
                <pt idx="213">
                  <v>26634</v>
                </pt>
                <pt idx="214">
                  <v>26666</v>
                </pt>
                <pt idx="215">
                  <v>26984</v>
                </pt>
                <pt idx="216">
                  <v>27236</v>
                </pt>
                <pt idx="217">
                  <v>27249</v>
                </pt>
                <pt idx="218">
                  <v>27852</v>
                </pt>
                <pt idx="219">
                  <v>27767</v>
                </pt>
                <pt idx="220">
                  <v>27752</v>
                </pt>
                <pt idx="221">
                  <v>28465</v>
                </pt>
                <pt idx="222">
                  <v>28113</v>
                </pt>
                <pt idx="223">
                  <v>28764</v>
                </pt>
                <pt idx="224">
                  <v>28998</v>
                </pt>
                <pt idx="225">
                  <v>28899</v>
                </pt>
                <pt idx="226">
                  <v>28943</v>
                </pt>
                <pt idx="227">
                  <v>29646</v>
                </pt>
                <pt idx="228">
                  <v>30596</v>
                </pt>
                <pt idx="229">
                  <v>30116</v>
                </pt>
                <pt idx="230">
                  <v>30497</v>
                </pt>
                <pt idx="231">
                  <v>30696</v>
                </pt>
                <pt idx="232">
                  <v>30943</v>
                </pt>
                <pt idx="233">
                  <v>31181</v>
                </pt>
                <pt idx="234">
                  <v>31130</v>
                </pt>
                <pt idx="235">
                  <v>31648</v>
                </pt>
                <pt idx="236">
                  <v>31604</v>
                </pt>
                <pt idx="237">
                  <v>32441</v>
                </pt>
                <pt idx="238">
                  <v>32722</v>
                </pt>
                <pt idx="239">
                  <v>32460</v>
                </pt>
                <pt idx="240">
                  <v>32483</v>
                </pt>
                <pt idx="241">
                  <v>32903</v>
                </pt>
                <pt idx="242">
                  <v>32899</v>
                </pt>
                <pt idx="243">
                  <v>33185</v>
                </pt>
                <pt idx="244">
                  <v>33845</v>
                </pt>
                <pt idx="245">
                  <v>33686</v>
                </pt>
                <pt idx="246">
                  <v>34154</v>
                </pt>
                <pt idx="247">
                  <v>34451</v>
                </pt>
                <pt idx="248">
                  <v>34766</v>
                </pt>
                <pt idx="249">
                  <v>34738</v>
                </pt>
                <pt idx="250">
                  <v>35177</v>
                </pt>
                <pt idx="251">
                  <v>35232</v>
                </pt>
                <pt idx="252">
                  <v>35822</v>
                </pt>
                <pt idx="253">
                  <v>35555</v>
                </pt>
                <pt idx="254">
                  <v>35372</v>
                </pt>
                <pt idx="255">
                  <v>35134</v>
                </pt>
                <pt idx="256">
                  <v>35184</v>
                </pt>
                <pt idx="257">
                  <v>35194</v>
                </pt>
                <pt idx="258">
                  <v>35608</v>
                </pt>
                <pt idx="259">
                  <v>35763</v>
                </pt>
                <pt idx="260">
                  <v>35662</v>
                </pt>
                <pt idx="261">
                  <v>35655</v>
                </pt>
                <pt idx="262">
                  <v>36542</v>
                </pt>
                <pt idx="263">
                  <v>37329</v>
                </pt>
                <pt idx="264">
                  <v>36494</v>
                </pt>
                <pt idx="265">
                  <v>37222</v>
                </pt>
                <pt idx="266">
                  <v>37682</v>
                </pt>
                <pt idx="267">
                  <v>37846</v>
                </pt>
                <pt idx="268">
                  <v>37955</v>
                </pt>
                <pt idx="269">
                  <v>38559</v>
                </pt>
                <pt idx="270">
                  <v>38651</v>
                </pt>
                <pt idx="271">
                  <v>38975</v>
                </pt>
                <pt idx="272">
                  <v>39185</v>
                </pt>
                <pt idx="273">
                  <v>39547</v>
                </pt>
                <pt idx="274">
                  <v>39811</v>
                </pt>
                <pt idx="275">
                  <v>39845</v>
                </pt>
                <pt idx="276">
                  <v>39923</v>
                </pt>
                <pt idx="277">
                  <v>40821</v>
                </pt>
                <pt idx="278">
                  <v>40614</v>
                </pt>
                <pt idx="279">
                  <v>40977</v>
                </pt>
                <pt idx="280">
                  <v>40687</v>
                </pt>
                <pt idx="281">
                  <v>40957</v>
                </pt>
                <pt idx="282">
                  <v>41636</v>
                </pt>
                <pt idx="283">
                  <v>41527</v>
                </pt>
                <pt idx="284">
                  <v>42038</v>
                </pt>
                <pt idx="285">
                  <v>42287</v>
                </pt>
                <pt idx="286">
                  <v>42112</v>
                </pt>
                <pt idx="287">
                  <v>42614</v>
                </pt>
                <pt idx="288">
                  <v>43126</v>
                </pt>
                <pt idx="289">
                  <v>43429</v>
                </pt>
                <pt idx="290">
                  <v>43585</v>
                </pt>
                <pt idx="291">
                  <v>43979</v>
                </pt>
                <pt idx="292">
                  <v>44826</v>
                </pt>
                <pt idx="293">
                  <v>45352</v>
                </pt>
                <pt idx="294">
                  <v>45204</v>
                </pt>
                <pt idx="295">
                  <v>45596</v>
                </pt>
                <pt idx="296">
                  <v>45978</v>
                </pt>
                <pt idx="297">
                  <v>46397</v>
                </pt>
                <pt idx="298">
                  <v>46452</v>
                </pt>
                <pt idx="299">
                  <v>48167</v>
                </pt>
                <pt idx="300">
                  <v>48082</v>
                </pt>
                <pt idx="301">
                  <v>48270</v>
                </pt>
                <pt idx="302">
                  <v>48919</v>
                </pt>
                <pt idx="303">
                  <v>49435</v>
                </pt>
                <pt idx="304">
                  <v>49924</v>
                </pt>
                <pt idx="305">
                  <v>50255</v>
                </pt>
                <pt idx="306">
                  <v>50606</v>
                </pt>
                <pt idx="307">
                  <v>50947</v>
                </pt>
                <pt idx="308">
                  <v>51433</v>
                </pt>
                <pt idx="309">
                  <v>50938</v>
                </pt>
                <pt idx="310">
                  <v>53336</v>
                </pt>
                <pt idx="311">
                  <v>55188</v>
                </pt>
                <pt idx="312">
                  <v>54273</v>
                </pt>
                <pt idx="313">
                  <v>54595</v>
                </pt>
                <pt idx="314">
                  <v>55486</v>
                </pt>
                <pt idx="315">
                  <v>55831</v>
                </pt>
                <pt idx="316">
                  <v>55791</v>
                </pt>
                <pt idx="317">
                  <v>55728</v>
                </pt>
                <pt idx="318">
                  <v>56803</v>
                </pt>
                <pt idx="319">
                  <v>57127</v>
                </pt>
                <pt idx="320">
                  <v>57839</v>
                </pt>
                <pt idx="321">
                  <v>58059</v>
                </pt>
                <pt idx="322">
                  <v>59497</v>
                </pt>
                <pt idx="323">
                  <v>55333</v>
                </pt>
                <pt idx="324">
                  <v>59084</v>
                </pt>
                <pt idx="325">
                  <v>59819</v>
                </pt>
                <pt idx="326">
                  <v>60006</v>
                </pt>
                <pt idx="327">
                  <v>59864</v>
                </pt>
                <pt idx="328">
                  <v>61676</v>
                </pt>
                <pt idx="329">
                  <v>62748</v>
                </pt>
                <pt idx="330">
                  <v>63746</v>
                </pt>
                <pt idx="331">
                  <v>63727</v>
                </pt>
                <pt idx="332">
                  <v>63995</v>
                </pt>
                <pt idx="333">
                  <v>64346</v>
                </pt>
                <pt idx="334">
                  <v>64466</v>
                </pt>
                <pt idx="335">
                  <v>66026</v>
                </pt>
                <pt idx="336">
                  <v>64673</v>
                </pt>
                <pt idx="337">
                  <v>66932</v>
                </pt>
                <pt idx="338">
                  <v>71863</v>
                </pt>
                <pt idx="339">
                  <v>76674</v>
                </pt>
                <pt idx="340">
                  <v>84419</v>
                </pt>
                <pt idx="341">
                  <v>82753</v>
                </pt>
                <pt idx="342">
                  <v>87256</v>
                </pt>
                <pt idx="343">
                  <v>87790</v>
                </pt>
                <pt idx="344">
                  <v>88022</v>
                </pt>
                <pt idx="345">
                  <v>88693</v>
                </pt>
                <pt idx="346">
                  <v>88465</v>
                </pt>
                <pt idx="347">
                  <v>85101</v>
                </pt>
                <pt idx="348">
                  <v>91081</v>
                </pt>
                <pt idx="349">
                  <v>90997</v>
                </pt>
                <pt idx="350">
                  <v>99351</v>
                </pt>
                <pt idx="351">
                  <v>95121</v>
                </pt>
                <pt idx="352">
                  <v>96292</v>
                </pt>
                <pt idx="353">
                  <v>98517</v>
                </pt>
                <pt idx="354">
                  <v>92162</v>
                </pt>
                <pt idx="355">
                  <v>97186</v>
                </pt>
                <pt idx="356">
                  <v>97872</v>
                </pt>
                <pt idx="357">
                  <v>99837</v>
                </pt>
                <pt idx="358">
                  <v>100341</v>
                </pt>
                <pt idx="359">
                  <v>95958</v>
                </pt>
                <pt idx="360">
                  <v>102773</v>
                </pt>
                <pt idx="361">
                  <v>104095</v>
                </pt>
                <pt idx="362">
                  <v>102895</v>
                </pt>
                <pt idx="363">
                  <v>104003</v>
                </pt>
                <pt idx="364">
                  <v>106789</v>
                </pt>
                <pt idx="365">
                  <v>107157</v>
                </pt>
                <pt idx="366">
                  <v>108939</v>
                </pt>
                <pt idx="367">
                  <v>108666</v>
                </pt>
                <pt idx="368">
                  <v>109246</v>
                </pt>
              </numCache>
            </numRef>
          </val>
          <smooth val="0"/>
        </ser>
        <dLbls>
          <showLegendKey val="0"/>
          <showVal val="0"/>
          <showCatName val="0"/>
          <showSerName val="0"/>
          <showPercent val="0"/>
          <showBubbleSize val="0"/>
        </dLbls>
        <smooth val="0"/>
        <axId val="721545464"/>
        <axId val="721548088"/>
      </lineChart>
      <dateAx>
        <axId val="72154546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21548088"/>
        <crosses val="autoZero"/>
        <lblOffset val="100"/>
        <baseTimeUnit val="months"/>
      </dateAx>
      <valAx>
        <axId val="7215480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2154546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3.xml><?xml version="1.0" encoding="utf-8"?>
<chartSpace xmlns="http://schemas.openxmlformats.org/drawingml/2006/chart">
  <chart>
    <title>
      <tx>
        <strRef>
          <f>'Non Store Retail'!$D$6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'Non Store Retail'!$D$6</f>
              <strCache>
                <ptCount val="1"/>
                <pt idx="0">
                  <v>yoy</v>
                </pt>
              </strCache>
            </strRef>
          </tx>
          <spPr>
            <a:ln xmlns:a="http://schemas.openxmlformats.org/drawingml/2006/main" w="12700">
              <a:solidFill>
                <a:schemeClr val="tx1"/>
              </a:solidFill>
              <a:prstDash val="solid"/>
            </a:ln>
          </spPr>
          <marker>
            <symbol val="none"/>
            <spPr>
              <a:ln xmlns:a="http://schemas.openxmlformats.org/drawingml/2006/main">
                <a:prstDash val="solid"/>
              </a:ln>
            </spPr>
          </marker>
          <cat>
            <numRef>
              <f>'Non Store Retail'!$A$7:$A$376</f>
              <numCache>
                <formatCode>[$-409]mmm\-yy;@</formatCode>
                <ptCount val="37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numCache>
            </numRef>
          </cat>
          <val>
            <numRef>
              <f>'Non Store Retail'!$D$7:$D$376</f>
              <numCache>
                <formatCode>General</formatCode>
                <ptCount val="370"/>
                <pt idx="12">
                  <formatCode>0.00%</formatCode>
                  <v>0.01980046047582502</v>
                </pt>
                <pt idx="13">
                  <formatCode>0.00%</formatCode>
                  <v>0.1096563011456629</v>
                </pt>
                <pt idx="14">
                  <formatCode>0.00%</formatCode>
                  <v>0.1646726487205052</v>
                </pt>
                <pt idx="15">
                  <formatCode>0.00%</formatCode>
                  <v>0.08550655919076972</v>
                </pt>
                <pt idx="16">
                  <formatCode>0.00%</formatCode>
                  <v>0.1158778625954199</v>
                </pt>
                <pt idx="17">
                  <formatCode>0.00%</formatCode>
                  <v>0.03081316699233428</v>
                </pt>
                <pt idx="18">
                  <formatCode>0.00%</formatCode>
                  <v>0.02249310695109563</v>
                </pt>
                <pt idx="19">
                  <formatCode>0.00%</formatCode>
                  <v>0.03443689033402306</v>
                </pt>
                <pt idx="20">
                  <formatCode>0.00%</formatCode>
                  <v>0.1149836163240989</v>
                </pt>
                <pt idx="21">
                  <formatCode>0.00%</formatCode>
                  <v>0.1017254313578395</v>
                </pt>
                <pt idx="22">
                  <formatCode>0.00%</formatCode>
                  <v>0.1438729198184569</v>
                </pt>
                <pt idx="23">
                  <formatCode>0.00%</formatCode>
                  <v>0.1274821888737305</v>
                </pt>
                <pt idx="24">
                  <formatCode>0.00%</formatCode>
                  <v>0.1619506321493076</v>
                </pt>
                <pt idx="25">
                  <formatCode>0.00%</formatCode>
                  <v>0.1328908554572271</v>
                </pt>
                <pt idx="26">
                  <formatCode>0.00%</formatCode>
                  <v>0.1204166072192895</v>
                </pt>
                <pt idx="27">
                  <formatCode>0.00%</formatCode>
                  <v>0.1562317996505533</v>
                </pt>
                <pt idx="28">
                  <formatCode>0.00%</formatCode>
                  <v>0.07524969216035025</v>
                </pt>
                <pt idx="29">
                  <formatCode>0.00%</formatCode>
                  <v>0.1773111694371537</v>
                </pt>
                <pt idx="30">
                  <formatCode>0.00%</formatCode>
                  <v>0.1463241555492478</v>
                </pt>
                <pt idx="31">
                  <formatCode>0.00%</formatCode>
                  <v>0.1774539219888555</v>
                </pt>
                <pt idx="32">
                  <formatCode>0.00%</formatCode>
                  <v>0.08282126636387924</v>
                </pt>
                <pt idx="33">
                  <formatCode>0.00%</formatCode>
                  <v>0.1311453084570339</v>
                </pt>
                <pt idx="34">
                  <formatCode>0.00%</formatCode>
                  <v>0.07022880571352996</v>
                </pt>
                <pt idx="35">
                  <formatCode>0.00%</formatCode>
                  <v>0.1074213498252218</v>
                </pt>
                <pt idx="36">
                  <formatCode>0.00%</formatCode>
                  <v>0.05984455958549223</v>
                </pt>
                <pt idx="37">
                  <formatCode>0.00%</formatCode>
                  <v>0.081499804712928</v>
                </pt>
                <pt idx="38">
                  <formatCode>0.00%</formatCode>
                  <v>0.04622437285113969</v>
                </pt>
                <pt idx="39">
                  <formatCode>0.00%</formatCode>
                  <v>0.0533937791210175</v>
                </pt>
                <pt idx="40">
                  <formatCode>0.00%</formatCode>
                  <v>0.08385290749459219</v>
                </pt>
                <pt idx="41">
                  <formatCode>0.00%</formatCode>
                  <v>0.04396829328709437</v>
                </pt>
                <pt idx="42">
                  <formatCode>0.00%</formatCode>
                  <v>0.05224712145598613</v>
                </pt>
                <pt idx="43">
                  <formatCode>0.00%</formatCode>
                  <v>0.0555757796383934</v>
                </pt>
                <pt idx="44">
                  <formatCode>0.00%</formatCode>
                  <v>0.09079694053787318</v>
                </pt>
                <pt idx="45">
                  <formatCode>0.00%</formatCode>
                  <v>0.04767637852155068</v>
                </pt>
                <pt idx="46">
                  <formatCode>0.00%</formatCode>
                  <v>0.1332179930795848</v>
                </pt>
                <pt idx="47">
                  <formatCode>0.00%</formatCode>
                  <v>0.1585528711909676</v>
                </pt>
                <pt idx="48">
                  <formatCode>0.00%</formatCode>
                  <v>0.1046198973356148</v>
                </pt>
                <pt idx="49">
                  <formatCode>0.00%</formatCode>
                  <v>0.1315757794631034</v>
                </pt>
                <pt idx="50">
                  <formatCode>0.00%</formatCode>
                  <v>0.1691820837390458</v>
                </pt>
                <pt idx="51">
                  <formatCode>0.00%</formatCode>
                  <v>0.1514644351464435</v>
                </pt>
                <pt idx="52">
                  <formatCode>0.00%</formatCode>
                  <v>0.117515848790796</v>
                </pt>
                <pt idx="53">
                  <formatCode>0.00%</formatCode>
                  <v>0.1401115197532329</v>
                </pt>
                <pt idx="54">
                  <formatCode>0.00%</formatCode>
                  <v>0.1236616072479115</v>
                </pt>
                <pt idx="55">
                  <formatCode>0.00%</formatCode>
                  <v>0.08840096562823313</v>
                </pt>
                <pt idx="56">
                  <formatCode>0.00%</formatCode>
                  <v>0.1184121239538566</v>
                </pt>
                <pt idx="57">
                  <formatCode>0.00%</formatCode>
                  <v>0.1520340151689267</v>
                </pt>
                <pt idx="58">
                  <formatCode>0.00%</formatCode>
                  <v>0.1330425299890949</v>
                </pt>
                <pt idx="59">
                  <formatCode>0.00%</formatCode>
                  <v>0.1280519752698313</v>
                </pt>
                <pt idx="60">
                  <formatCode>0.00%</formatCode>
                  <v>0.1071033414472228</v>
                </pt>
                <pt idx="61">
                  <formatCode>0.00%</formatCode>
                  <v>0.101063829787234</v>
                </pt>
                <pt idx="62">
                  <formatCode>0.00%</formatCode>
                  <v>0.09181761399125546</v>
                </pt>
                <pt idx="63">
                  <formatCode>0.00%</formatCode>
                  <v>0.104858803986711</v>
                </pt>
                <pt idx="64">
                  <formatCode>0.00%</formatCode>
                  <v>0.1079945372413069</v>
                </pt>
                <pt idx="65">
                  <formatCode>0.00%</formatCode>
                  <v>0.1074921956295525</v>
                </pt>
                <pt idx="66">
                  <formatCode>0.00%</formatCode>
                  <v>0.1346596858638743</v>
                </pt>
                <pt idx="67">
                  <formatCode>0.00%</formatCode>
                  <v>0.1018166455428813</v>
                </pt>
                <pt idx="68">
                  <formatCode>0.00%</formatCode>
                  <v>0.0788755182526039</v>
                </pt>
                <pt idx="69">
                  <formatCode>0.00%</formatCode>
                  <v>0.05027431421446384</v>
                </pt>
                <pt idx="70">
                  <formatCode>0.00%</formatCode>
                  <v>0.02743022136669875</v>
                </pt>
                <pt idx="71">
                  <formatCode>0.00%</formatCode>
                  <v>-0.02554575011611705</v>
                </pt>
                <pt idx="72">
                  <formatCode>0.00%</formatCode>
                  <v>0.03837697381571057</v>
                </pt>
                <pt idx="73">
                  <formatCode>0.00%</formatCode>
                  <v>0.02666666666666667</v>
                </pt>
                <pt idx="74">
                  <formatCode>0.00%</formatCode>
                  <v>0.03394355453852022</v>
                </pt>
                <pt idx="75">
                  <formatCode>0.00%</formatCode>
                  <v>0.03288855478293554</v>
                </pt>
                <pt idx="76">
                  <formatCode>0.00%</formatCode>
                  <v>0.06087038968427041</v>
                </pt>
                <pt idx="77">
                  <formatCode>0.00%</formatCode>
                  <v>0.04322089636380719</v>
                </pt>
                <pt idx="78">
                  <formatCode>0.00%</formatCode>
                  <v>0.06866002214839424</v>
                </pt>
                <pt idx="79">
                  <formatCode>0.00%</formatCode>
                  <v>0.09039493865030675</v>
                </pt>
                <pt idx="80">
                  <formatCode>0.00%</formatCode>
                  <v>0.05933077139375761</v>
                </pt>
                <pt idx="81">
                  <formatCode>0.00%</formatCode>
                  <v>0.09953461867223858</v>
                </pt>
                <pt idx="82">
                  <formatCode>0.00%</formatCode>
                  <v>0.08224824355971896</v>
                </pt>
                <pt idx="83">
                  <formatCode>0.00%</formatCode>
                  <v>0.09237368922783604</v>
                </pt>
                <pt idx="84">
                  <formatCode>0.00%</formatCode>
                  <v>0.1280076997112608</v>
                </pt>
                <pt idx="85">
                  <formatCode>0.00%</formatCode>
                  <v>0.1124600037643516</v>
                </pt>
                <pt idx="86">
                  <formatCode>0.00%</formatCode>
                  <v>0.1113980081150867</v>
                </pt>
                <pt idx="87">
                  <formatCode>0.00%</formatCode>
                  <v>0.123089519650655</v>
                </pt>
                <pt idx="88">
                  <formatCode>0.00%</formatCode>
                  <v>0.1223523103047636</v>
                </pt>
                <pt idx="89">
                  <formatCode>0.00%</formatCode>
                  <v>0.131045663334234</v>
                </pt>
                <pt idx="90">
                  <formatCode>0.00%</formatCode>
                  <v>0.1003454231433506</v>
                </pt>
                <pt idx="91">
                  <formatCode>0.00%</formatCode>
                  <v>0.1397802197802198</v>
                </pt>
                <pt idx="92">
                  <formatCode>0.00%</formatCode>
                  <v>0.1675809591222792</v>
                </pt>
                <pt idx="93">
                  <formatCode>0.00%</formatCode>
                  <v>0.1338861535803749</v>
                </pt>
                <pt idx="94">
                  <formatCode>0.00%</formatCode>
                  <v>0.1347701895611529</v>
                </pt>
                <pt idx="95">
                  <formatCode>0.00%</formatCode>
                  <v>0.1805567676062484</v>
                </pt>
                <pt idx="96">
                  <formatCode>0.00%</formatCode>
                  <v>0.1821672354948805</v>
                </pt>
                <pt idx="97">
                  <formatCode>0.00%</formatCode>
                  <v>0.2047204128246341</v>
                </pt>
                <pt idx="98">
                  <formatCode>0.00%</formatCode>
                  <v>0.1832890806505144</v>
                </pt>
                <pt idx="99">
                  <formatCode>0.00%</formatCode>
                  <v>0.1711624139327663</v>
                </pt>
                <pt idx="100">
                  <formatCode>0.00%</formatCode>
                  <v>0.1577480490523969</v>
                </pt>
                <pt idx="101">
                  <formatCode>0.00%</formatCode>
                  <v>0.1903965599617773</v>
                </pt>
                <pt idx="102">
                  <formatCode>0.00%</formatCode>
                  <v>0.1801130120860148</v>
                </pt>
                <pt idx="103">
                  <formatCode>0.00%</formatCode>
                  <v>0.1785576552256074</v>
                </pt>
                <pt idx="104">
                  <formatCode>0.00%</formatCode>
                  <v>0.195438011518642</v>
                </pt>
                <pt idx="105">
                  <formatCode>0.00%</formatCode>
                  <v>0.195855869581778</v>
                </pt>
                <pt idx="106">
                  <formatCode>0.00%</formatCode>
                  <v>0.2115179252479024</v>
                </pt>
                <pt idx="107">
                  <formatCode>0.00%</formatCode>
                  <v>0.222501478415139</v>
                </pt>
                <pt idx="108">
                  <formatCode>0.00%</formatCode>
                  <v>0.1190905810176831</v>
                </pt>
                <pt idx="109">
                  <formatCode>0.00%</formatCode>
                  <v>0.06895583175338811</v>
                </pt>
                <pt idx="110">
                  <formatCode>0.00%</formatCode>
                  <v>0.07664259168361265</v>
                </pt>
                <pt idx="111">
                  <formatCode>0.00%</formatCode>
                  <v>0.0574768294369899</v>
                </pt>
                <pt idx="112">
                  <formatCode>0.00%</formatCode>
                  <v>0.02317903569709058</v>
                </pt>
                <pt idx="113">
                  <formatCode>0.00%</formatCode>
                  <v>0.002140611412134591</v>
                </pt>
                <pt idx="114">
                  <formatCode>0.00%</formatCode>
                  <v>-0.004854691760324533</v>
                </pt>
                <pt idx="115">
                  <formatCode>0.00%</formatCode>
                  <v>-0.004319371727748691</v>
                </pt>
                <pt idx="116">
                  <formatCode>0.00%</formatCode>
                  <v>-0.08253565768621236</v>
                </pt>
                <pt idx="117">
                  <formatCode>0.00%</formatCode>
                  <v>-0.04580201299528602</v>
                </pt>
                <pt idx="118">
                  <formatCode>0.00%</formatCode>
                  <v>-0.06585657621356167</v>
                </pt>
                <pt idx="119">
                  <formatCode>0.00%</formatCode>
                  <v>-0.1044866368363768</v>
                </pt>
                <pt idx="120">
                  <formatCode>0.00%</formatCode>
                  <v>-0.02670106417284747</v>
                </pt>
                <pt idx="121">
                  <formatCode>0.00%</formatCode>
                  <v>-0.01110162254483348</v>
                </pt>
                <pt idx="122">
                  <formatCode>0.00%</formatCode>
                  <v>-0.0005861664712778429</v>
                </pt>
                <pt idx="123">
                  <formatCode>0.00%</formatCode>
                  <v>0.02524690954280856</v>
                </pt>
                <pt idx="124">
                  <formatCode>0.00%</formatCode>
                  <v>0.06547458994353321</v>
                </pt>
                <pt idx="125">
                  <formatCode>0.00%</formatCode>
                  <v>0.04966290634804085</v>
                </pt>
                <pt idx="126">
                  <formatCode>0.00%</formatCode>
                  <v>0.07043571237636996</v>
                </pt>
                <pt idx="127">
                  <formatCode>0.00%</formatCode>
                  <v>0.04384119889575391</v>
                </pt>
                <pt idx="128">
                  <formatCode>0.00%</formatCode>
                  <v>0.08650590755199336</v>
                </pt>
                <pt idx="129">
                  <formatCode>0.00%</formatCode>
                  <v>0.06662661058815675</v>
                </pt>
                <pt idx="130">
                  <formatCode>0.00%</formatCode>
                  <v>0.1064231313607872</v>
                </pt>
                <pt idx="131">
                  <formatCode>0.00%</formatCode>
                  <v>0.1139095205941931</v>
                </pt>
                <pt idx="132">
                  <formatCode>0.00%</formatCode>
                  <v>0.08899343979855542</v>
                </pt>
                <pt idx="133">
                  <formatCode>0.00%</formatCode>
                  <v>0.1248173242991896</v>
                </pt>
                <pt idx="134">
                  <formatCode>0.00%</formatCode>
                  <v>0.09247311827956989</v>
                </pt>
                <pt idx="135">
                  <formatCode>0.00%</formatCode>
                  <v>0.05856459330143541</v>
                </pt>
                <pt idx="136">
                  <formatCode>0.00%</formatCode>
                  <v>0.05501577287066246</v>
                </pt>
                <pt idx="137">
                  <formatCode>0.00%</formatCode>
                  <v>0.07713831478537361</v>
                </pt>
                <pt idx="138">
                  <formatCode>0.00%</formatCode>
                  <v>0.06436508927456611</v>
                </pt>
                <pt idx="139">
                  <formatCode>0.00%</formatCode>
                  <v>0.09010767583905295</v>
                </pt>
                <pt idx="140">
                  <formatCode>0.00%</formatCode>
                  <v>0.1189189189189189</v>
                </pt>
                <pt idx="141">
                  <formatCode>0.00%</formatCode>
                  <v>0.1127245415284471</v>
                </pt>
                <pt idx="142">
                  <formatCode>0.00%</formatCode>
                  <v>0.08924220272904483</v>
                </pt>
                <pt idx="143">
                  <formatCode>0.00%</formatCode>
                  <v>0.07546826695762866</v>
                </pt>
                <pt idx="144">
                  <formatCode>0.00%</formatCode>
                  <v>0.1120238529877084</v>
                </pt>
                <pt idx="145">
                  <formatCode>0.00%</formatCode>
                  <v>0.09643890627768263</v>
                </pt>
                <pt idx="146">
                  <formatCode>0.00%</formatCode>
                  <v>0.07802433786685756</v>
                </pt>
                <pt idx="147">
                  <formatCode>0.00%</formatCode>
                  <v>0.1114325317905141</v>
                </pt>
                <pt idx="148">
                  <formatCode>0.00%</formatCode>
                  <v>0.09741657696447793</v>
                </pt>
                <pt idx="149">
                  <formatCode>0.00%</formatCode>
                  <v>0.1010154681780612</v>
                </pt>
                <pt idx="150">
                  <formatCode>0.00%</formatCode>
                  <v>0.1101530881576632</v>
                </pt>
                <pt idx="151">
                  <formatCode>0.00%</formatCode>
                  <v>0.1077865064695009</v>
                </pt>
                <pt idx="152">
                  <formatCode>0.00%</formatCode>
                  <v>0.1066780335322535</v>
                </pt>
                <pt idx="153">
                  <formatCode>0.00%</formatCode>
                  <v>0.1067049161885476</v>
                </pt>
                <pt idx="154">
                  <formatCode>0.00%</formatCode>
                  <v>0.1067054415301158</v>
                </pt>
                <pt idx="155">
                  <formatCode>0.00%</formatCode>
                  <v>0.1239995490925488</v>
                </pt>
                <pt idx="156">
                  <formatCode>0.00%</formatCode>
                  <v>0.107359781121751</v>
                </pt>
                <pt idx="157">
                  <formatCode>0.00%</formatCode>
                  <v>0.08666379403210168</v>
                </pt>
                <pt idx="158">
                  <formatCode>0.00%</formatCode>
                  <v>0.1346834882691456</v>
                </pt>
                <pt idx="159">
                  <formatCode>0.00%</formatCode>
                  <v>0.1246610996638109</v>
                </pt>
                <pt idx="160">
                  <formatCode>0.00%</formatCode>
                  <v>0.1208108549942782</v>
                </pt>
                <pt idx="161">
                  <formatCode>0.00%</formatCode>
                  <v>0.1273526730655799</v>
                </pt>
                <pt idx="162">
                  <formatCode>0.00%</formatCode>
                  <v>0.1088920589633856</v>
                </pt>
                <pt idx="163">
                  <formatCode>0.00%</formatCode>
                  <v>0.1349984357075816</v>
                </pt>
                <pt idx="164">
                  <formatCode>0.00%</formatCode>
                  <v>0.1273110106820049</v>
                </pt>
                <pt idx="165">
                  <formatCode>0.00%</formatCode>
                  <v>0.1311308767471411</v>
                </pt>
                <pt idx="166">
                  <formatCode>0.00%</formatCode>
                  <v>0.1350245085653646</v>
                </pt>
                <pt idx="167">
                  <formatCode>0.00%</formatCode>
                  <v>0.1446695416708454</v>
                </pt>
                <pt idx="168">
                  <formatCode>0.00%</formatCode>
                  <v>0.1154815437070712</v>
                </pt>
                <pt idx="169">
                  <formatCode>0.00%</formatCode>
                  <v>0.1433952912019827</v>
                </pt>
                <pt idx="170">
                  <formatCode>0.00%</formatCode>
                  <v>0.1546376670242856</v>
                </pt>
                <pt idx="171">
                  <formatCode>0.00%</formatCode>
                  <v>0.123619883322887</v>
                </pt>
                <pt idx="172">
                  <formatCode>0.00%</formatCode>
                  <v>0.1568455853753403</v>
                </pt>
                <pt idx="173">
                  <formatCode>0.00%</formatCode>
                  <v>0.1302321156773212</v>
                </pt>
                <pt idx="174">
                  <formatCode>0.00%</formatCode>
                  <v>0.1262626262626263</v>
                </pt>
                <pt idx="175">
                  <formatCode>0.00%</formatCode>
                  <v>0.1129232324160426</v>
                </pt>
                <pt idx="176">
                  <formatCode>0.00%</formatCode>
                  <v>0.1027288050658284</v>
                </pt>
                <pt idx="177">
                  <formatCode>0.00%</formatCode>
                  <v>0.09409121545720063</v>
                </pt>
                <pt idx="178">
                  <formatCode>0.00%</formatCode>
                  <v>0.08004986420907351</v>
                </pt>
                <pt idx="179">
                  <formatCode>0.00%</formatCode>
                  <v>0.06041091689665747</v>
                </pt>
                <pt idx="180">
                  <formatCode>0.00%</formatCode>
                  <v>0.07393461504385576</v>
                </pt>
                <pt idx="181">
                  <formatCode>0.00%</formatCode>
                  <v>0.1056441824172013</v>
                </pt>
                <pt idx="182">
                  <formatCode>0.00%</formatCode>
                  <v>0.05731300418127296</v>
                </pt>
                <pt idx="183">
                  <formatCode>0.00%</formatCode>
                  <v>0.08573267539154687</v>
                </pt>
                <pt idx="184">
                  <formatCode>0.00%</formatCode>
                  <v>0.06207447255610658</v>
                </pt>
                <pt idx="185">
                  <formatCode>0.00%</formatCode>
                  <v>0.07154279942765761</v>
                </pt>
                <pt idx="186">
                  <formatCode>0.00%</formatCode>
                  <v>0.09865470852017937</v>
                </pt>
                <pt idx="187">
                  <formatCode>0.00%</formatCode>
                  <v>0.06608875128998969</v>
                </pt>
                <pt idx="188">
                  <formatCode>0.00%</formatCode>
                  <v>0.07874080806411633</v>
                </pt>
                <pt idx="189">
                  <formatCode>0.00%</formatCode>
                  <v>0.08411023039960573</v>
                </pt>
                <pt idx="190">
                  <formatCode>0.00%</formatCode>
                  <v>0.1156684117234841</v>
                </pt>
                <pt idx="191">
                  <formatCode>0.00%</formatCode>
                  <v>0.08518549120052879</v>
                </pt>
                <pt idx="192">
                  <formatCode>0.00%</formatCode>
                  <v>0.07325826011632224</v>
                </pt>
                <pt idx="193">
                  <formatCode>0.00%</formatCode>
                  <v>0.02336796706528132</v>
                </pt>
                <pt idx="194">
                  <formatCode>0.00%</formatCode>
                  <v>0.05975872812974355</v>
                </pt>
                <pt idx="195">
                  <formatCode>0.00%</formatCode>
                  <v>0.07667075050389281</v>
                </pt>
                <pt idx="196">
                  <formatCode>0.00%</formatCode>
                  <v>0.08923271734399113</v>
                </pt>
                <pt idx="197">
                  <formatCode>0.00%</formatCode>
                  <v>0.0762312465635064</v>
                </pt>
                <pt idx="198">
                  <formatCode>0.00%</formatCode>
                  <v>0.07135155949172121</v>
                </pt>
                <pt idx="199">
                  <formatCode>0.00%</formatCode>
                  <v>0.05993959575621467</v>
                </pt>
                <pt idx="200">
                  <formatCode>0.00%</formatCode>
                  <v>0.04388786764705882</v>
                </pt>
                <pt idx="201">
                  <formatCode>0.00%</formatCode>
                  <v>-0.002424517937644429</v>
                </pt>
                <pt idx="202">
                  <formatCode>0.00%</formatCode>
                  <v>-0.07079253648623683</v>
                </pt>
                <pt idx="203">
                  <formatCode>0.00%</formatCode>
                  <v>-0.05775087559007157</v>
                </pt>
                <pt idx="204">
                  <formatCode>0.00%</formatCode>
                  <v>-0.03728044890272493</v>
                </pt>
                <pt idx="205">
                  <formatCode>0.00%</formatCode>
                  <v>-0.03294892915980231</v>
                </pt>
                <pt idx="206">
                  <formatCode>0.00%</formatCode>
                  <v>-0.05989445910290237</v>
                </pt>
                <pt idx="207">
                  <formatCode>0.00%</formatCode>
                  <v>-0.08482913041882319</v>
                </pt>
                <pt idx="208">
                  <formatCode>0.00%</formatCode>
                  <v>-0.08599142628787328</v>
                </pt>
                <pt idx="209">
                  <formatCode>0.00%</formatCode>
                  <v>-0.05966500018246178</v>
                </pt>
                <pt idx="210">
                  <formatCode>0.00%</formatCode>
                  <v>-0.06156776767422636</v>
                </pt>
                <pt idx="211">
                  <formatCode>0.00%</formatCode>
                  <v>-0.04471396215386864</v>
                </pt>
                <pt idx="212">
                  <formatCode>0.00%</formatCode>
                  <v>-0.03371487269792355</v>
                </pt>
                <pt idx="213">
                  <formatCode>0.00%</formatCode>
                  <v>0.01143052443701819</v>
                </pt>
                <pt idx="214">
                  <formatCode>0.00%</formatCode>
                  <v>0.06032048988031333</v>
                </pt>
                <pt idx="215">
                  <formatCode>0.00%</formatCode>
                  <v>0.09021857702719083</v>
                </pt>
                <pt idx="216">
                  <formatCode>0.00%</formatCode>
                  <v>0.08730887460577269</v>
                </pt>
                <pt idx="217">
                  <formatCode>0.00%</formatCode>
                  <v>0.07955310803850878</v>
                </pt>
                <pt idx="218">
                  <formatCode>0.00%</formatCode>
                  <v>0.1167154484583617</v>
                </pt>
                <pt idx="219">
                  <formatCode>0.00%</formatCode>
                  <v>0.1137092892668057</v>
                </pt>
                <pt idx="220">
                  <formatCode>0.00%</formatCode>
                  <v>0.1030645097181923</v>
                </pt>
                <pt idx="221">
                  <formatCode>0.00%</formatCode>
                  <v>0.1046647004036014</v>
                </pt>
                <pt idx="222">
                  <formatCode>0.00%</formatCode>
                  <v>0.07671390271926465</v>
                </pt>
                <pt idx="223">
                  <formatCode>0.00%</formatCode>
                  <v>0.09996175908221798</v>
                </pt>
                <pt idx="224">
                  <formatCode>0.00%</formatCode>
                  <v>0.1009529594897301</v>
                </pt>
                <pt idx="225">
                  <formatCode>0.00%</formatCode>
                  <v>0.08504167605316512</v>
                </pt>
                <pt idx="226">
                  <formatCode>0.00%</formatCode>
                  <v>0.08538963474086853</v>
                </pt>
                <pt idx="227">
                  <formatCode>0.00%</formatCode>
                  <v>0.09865105247554107</v>
                </pt>
                <pt idx="228">
                  <formatCode>0.00%</formatCode>
                  <v>0.1233661330591864</v>
                </pt>
                <pt idx="229">
                  <formatCode>0.00%</formatCode>
                  <v>0.1052148702704686</v>
                </pt>
                <pt idx="230">
                  <formatCode>0.00%</formatCode>
                  <v>0.09496625017952032</v>
                </pt>
                <pt idx="231">
                  <formatCode>0.00%</formatCode>
                  <v>0.105484928152123</v>
                </pt>
                <pt idx="232">
                  <formatCode>0.00%</formatCode>
                  <v>0.1149827039492649</v>
                </pt>
                <pt idx="233">
                  <formatCode>0.00%</formatCode>
                  <v>0.09541542244862111</v>
                </pt>
                <pt idx="234">
                  <formatCode>0.00%</formatCode>
                  <v>0.1073168996549639</v>
                </pt>
                <pt idx="235">
                  <formatCode>0.00%</formatCode>
                  <v>0.1002642191628424</v>
                </pt>
                <pt idx="236">
                  <formatCode>0.00%</formatCode>
                  <v>0.0898682667770191</v>
                </pt>
                <pt idx="237">
                  <formatCode>0.00%</formatCode>
                  <v>0.122564794629572</v>
                </pt>
                <pt idx="238">
                  <formatCode>0.00%</formatCode>
                  <v>0.1305669764709947</v>
                </pt>
                <pt idx="239">
                  <formatCode>0.00%</formatCode>
                  <v>0.09492005666869055</v>
                </pt>
                <pt idx="240">
                  <formatCode>0.00%</formatCode>
                  <v>0.06167472872270885</v>
                </pt>
                <pt idx="241">
                  <formatCode>0.00%</formatCode>
                  <v>0.09254217027493691</v>
                </pt>
                <pt idx="242">
                  <formatCode>0.00%</formatCode>
                  <v>0.0787618454274191</v>
                </pt>
                <pt idx="243">
                  <formatCode>0.00%</formatCode>
                  <v>0.08108548345061246</v>
                </pt>
                <pt idx="244">
                  <formatCode>0.00%</formatCode>
                  <v>0.09378534725139773</v>
                </pt>
                <pt idx="245">
                  <formatCode>0.00%</formatCode>
                  <v>0.08033738494596068</v>
                </pt>
                <pt idx="246">
                  <formatCode>0.00%</formatCode>
                  <v>0.09714102152264696</v>
                </pt>
                <pt idx="247">
                  <formatCode>0.00%</formatCode>
                  <v>0.0885679979777553</v>
                </pt>
                <pt idx="248">
                  <formatCode>0.00%</formatCode>
                  <v>0.1000506265029743</v>
                </pt>
                <pt idx="249">
                  <formatCode>0.00%</formatCode>
                  <v>0.07080546222372923</v>
                </pt>
                <pt idx="250">
                  <formatCode>0.00%</formatCode>
                  <v>0.07502597640731007</v>
                </pt>
                <pt idx="251">
                  <formatCode>0.00%</formatCode>
                  <v>0.08539741219963032</v>
                </pt>
                <pt idx="252">
                  <formatCode>0.00%</formatCode>
                  <v>0.102792229781732</v>
                </pt>
                <pt idx="253">
                  <formatCode>0.00%</formatCode>
                  <v>0.08060055314105097</v>
                </pt>
                <pt idx="254">
                  <formatCode>0.00%</formatCode>
                  <v>0.07516945803823824</v>
                </pt>
                <pt idx="255">
                  <formatCode>0.00%</formatCode>
                  <v>0.05873135452764804</v>
                </pt>
                <pt idx="256">
                  <formatCode>0.00%</formatCode>
                  <v>0.03956271236519427</v>
                </pt>
                <pt idx="257">
                  <formatCode>0.00%</formatCode>
                  <v>0.04476637178649884</v>
                </pt>
                <pt idx="258">
                  <formatCode>0.00%</formatCode>
                  <v>0.04257188030684547</v>
                </pt>
                <pt idx="259">
                  <formatCode>0.00%</formatCode>
                  <v>0.03808307451162521</v>
                </pt>
                <pt idx="260">
                  <formatCode>0.00%</formatCode>
                  <v>0.02577230627624691</v>
                </pt>
                <pt idx="261">
                  <formatCode>0.00%</formatCode>
                  <v>0.02639760492832057</v>
                </pt>
                <pt idx="262">
                  <formatCode>0.00%</formatCode>
                  <v>0.0388037638229525</v>
                </pt>
                <pt idx="263">
                  <formatCode>0.00%</formatCode>
                  <v>0.05951975476839237</v>
                </pt>
                <pt idx="264">
                  <formatCode>0.00%</formatCode>
                  <v>0.01875942158450114</v>
                </pt>
                <pt idx="265">
                  <formatCode>0.00%</formatCode>
                  <v>0.04688510757980593</v>
                </pt>
                <pt idx="266">
                  <formatCode>0.00%</formatCode>
                  <v>0.0653058916657243</v>
                </pt>
                <pt idx="267">
                  <formatCode>0.00%</formatCode>
                  <v>0.07719018614447544</v>
                </pt>
                <pt idx="268">
                  <formatCode>0.00%</formatCode>
                  <v>0.07875738972260118</v>
                </pt>
                <pt idx="269">
                  <formatCode>0.00%</formatCode>
                  <v>0.0956128885605501</v>
                </pt>
                <pt idx="270">
                  <formatCode>0.00%</formatCode>
                  <v>0.08545832397214109</v>
                </pt>
                <pt idx="271">
                  <formatCode>0.00%</formatCode>
                  <v>0.08981349439364707</v>
                </pt>
                <pt idx="272">
                  <formatCode>0.00%</formatCode>
                  <v>0.09878862654926814</v>
                </pt>
                <pt idx="273">
                  <formatCode>0.00%</formatCode>
                  <v>0.1091572009535829</v>
                </pt>
                <pt idx="274">
                  <formatCode>0.00%</formatCode>
                  <v>0.08945870505172131</v>
                </pt>
                <pt idx="275">
                  <formatCode>0.00%</formatCode>
                  <v>0.06740068043612205</v>
                </pt>
                <pt idx="276">
                  <formatCode>0.00%</formatCode>
                  <v>0.09396065106592864</v>
                </pt>
                <pt idx="277">
                  <formatCode>0.00%</formatCode>
                  <v>0.09669012949331041</v>
                </pt>
                <pt idx="278">
                  <formatCode>0.00%</formatCode>
                  <v>0.07780903349079137</v>
                </pt>
                <pt idx="279">
                  <formatCode>0.00%</formatCode>
                  <v>0.08273001109760608</v>
                </pt>
                <pt idx="280">
                  <formatCode>0.00%</formatCode>
                  <v>0.07197997628770914</v>
                </pt>
                <pt idx="281">
                  <formatCode>0.00%</formatCode>
                  <v>0.06219040950232112</v>
                </pt>
                <pt idx="282">
                  <formatCode>0.00%</formatCode>
                  <v>0.07722956715220822</v>
                </pt>
                <pt idx="283">
                  <formatCode>0.00%</formatCode>
                  <v>0.06547787042976266</v>
                </pt>
                <pt idx="284">
                  <formatCode>0.00%</formatCode>
                  <v>0.07280847262983284</v>
                </pt>
                <pt idx="285">
                  <formatCode>0.00%</formatCode>
                  <v>0.06928464864591499</v>
                </pt>
                <pt idx="286">
                  <formatCode>0.00%</formatCode>
                  <v>0.05779809600361709</v>
                </pt>
                <pt idx="287">
                  <formatCode>0.00%</formatCode>
                  <v>0.06949429037520391</v>
                </pt>
                <pt idx="288">
                  <formatCode>0.00%</formatCode>
                  <v>0.08022944167522481</v>
                </pt>
                <pt idx="289">
                  <formatCode>0.00%</formatCode>
                  <v>0.06388868474559663</v>
                </pt>
                <pt idx="290">
                  <formatCode>0.00%</formatCode>
                  <v>0.07315211503422465</v>
                </pt>
                <pt idx="291">
                  <formatCode>0.00%</formatCode>
                  <v>0.07326060961026917</v>
                </pt>
                <pt idx="292">
                  <formatCode>0.00%</formatCode>
                  <v>0.101727824612284</v>
                </pt>
                <pt idx="293">
                  <formatCode>0.00%</formatCode>
                  <v>0.1073076641355568</v>
                </pt>
                <pt idx="294">
                  <formatCode>0.00%</formatCode>
                  <v>0.08569507157267749</v>
                </pt>
                <pt idx="295">
                  <formatCode>0.00%</formatCode>
                  <v>0.09798444385580465</v>
                </pt>
                <pt idx="296">
                  <formatCode>0.00%</formatCode>
                  <v>0.09372472524858462</v>
                </pt>
                <pt idx="297">
                  <formatCode>0.00%</formatCode>
                  <v>0.09719299075365952</v>
                </pt>
                <pt idx="298">
                  <formatCode>0.00%</formatCode>
                  <v>0.1030585106382979</v>
                </pt>
                <pt idx="299">
                  <formatCode>0.00%</formatCode>
                  <v>0.1303092880274088</v>
                </pt>
                <pt idx="300">
                  <formatCode>0.00%</formatCode>
                  <v>0.1149190743403052</v>
                </pt>
                <pt idx="301">
                  <formatCode>0.00%</formatCode>
                  <v>0.1114692947109075</v>
                </pt>
                <pt idx="302">
                  <formatCode>0.00%</formatCode>
                  <v>0.1223815532866812</v>
                </pt>
                <pt idx="303">
                  <formatCode>0.00%</formatCode>
                  <v>0.124059210077537</v>
                </pt>
                <pt idx="304">
                  <formatCode>0.00%</formatCode>
                  <v>0.1137286396287869</v>
                </pt>
                <pt idx="305">
                  <formatCode>0.00%</formatCode>
                  <v>0.1081098959252073</v>
                </pt>
                <pt idx="306">
                  <formatCode>0.00%</formatCode>
                  <v>0.1195026988762056</v>
                </pt>
                <pt idx="307">
                  <formatCode>0.00%</formatCode>
                  <v>0.1173567856829546</v>
                </pt>
                <pt idx="308">
                  <formatCode>0.00%</formatCode>
                  <v>0.118643699160468</v>
                </pt>
                <pt idx="309">
                  <formatCode>0.00%</formatCode>
                  <v>0.09787270728710908</v>
                </pt>
                <pt idx="310">
                  <formatCode>0.00%</formatCode>
                  <v>0.1481959872556618</v>
                </pt>
                <pt idx="311">
                  <formatCode>0.00%</formatCode>
                  <v>0.145763697137044</v>
                </pt>
                <pt idx="312">
                  <formatCode>0.00%</formatCode>
                  <v>0.1287592030281602</v>
                </pt>
                <pt idx="313">
                  <formatCode>0.00%</formatCode>
                  <v>0.1310337683861612</v>
                </pt>
                <pt idx="314">
                  <formatCode>0.00%</formatCode>
                  <v>0.134242318935383</v>
                </pt>
                <pt idx="315">
                  <formatCode>0.00%</formatCode>
                  <v>0.1293820167897239</v>
                </pt>
                <pt idx="316">
                  <formatCode>0.00%</formatCode>
                  <v>0.1175186283150389</v>
                </pt>
                <pt idx="317">
                  <formatCode>0.00%</formatCode>
                  <v>0.1089045866082977</v>
                </pt>
                <pt idx="318">
                  <formatCode>0.00%</formatCode>
                  <v>0.1224558352764494</v>
                </pt>
                <pt idx="319">
                  <formatCode>0.00%</formatCode>
                  <v>0.1213025300802795</v>
                </pt>
                <pt idx="320">
                  <formatCode>0.00%</formatCode>
                  <v>0.1245503859389886</v>
                </pt>
                <pt idx="321">
                  <formatCode>0.00%</formatCode>
                  <v>0.1397974007617103</v>
                </pt>
                <pt idx="322">
                  <formatCode>0.00%</formatCode>
                  <v>0.1155129743512824</v>
                </pt>
                <pt idx="323">
                  <formatCode>0.00%</formatCode>
                  <v>0.002627382764369066</v>
                </pt>
                <pt idx="324">
                  <formatCode>0.00%</formatCode>
                  <v>0.08864444567280232</v>
                </pt>
                <pt idx="325">
                  <formatCode>0.00%</formatCode>
                  <v>0.0956864181701621</v>
                </pt>
                <pt idx="326">
                  <formatCode>0.00%</formatCode>
                  <v>0.08146199041199582</v>
                </pt>
                <pt idx="327">
                  <formatCode>0.00%</formatCode>
                  <v>0.07223585463273093</v>
                </pt>
                <pt idx="328">
                  <formatCode>0.00%</formatCode>
                  <v>0.1054829632019501</v>
                </pt>
                <pt idx="329">
                  <formatCode>0.00%</formatCode>
                  <v>0.125968992248062</v>
                </pt>
                <pt idx="330">
                  <formatCode>0.00%</formatCode>
                  <v>0.1222294597116349</v>
                </pt>
                <pt idx="331">
                  <formatCode>0.00%</formatCode>
                  <v>0.1155320601466907</v>
                </pt>
                <pt idx="332">
                  <formatCode>0.00%</formatCode>
                  <v>0.1064333754041391</v>
                </pt>
                <pt idx="333">
                  <formatCode>0.00%</formatCode>
                  <v>0.1082863983189514</v>
                </pt>
                <pt idx="334">
                  <formatCode>0.00%</formatCode>
                  <v>0.08351681597391465</v>
                </pt>
                <pt idx="335">
                  <formatCode>0.00%</formatCode>
                  <v>0.1932481520973018</v>
                </pt>
                <pt idx="336">
                  <formatCode>0.00%</formatCode>
                  <v>0.09459413716065262</v>
                </pt>
                <pt idx="337">
                  <formatCode>0.00%</formatCode>
                  <v>0.1189087079356057</v>
                </pt>
                <pt idx="338">
                  <formatCode>0.00%</formatCode>
                  <v>0.1975969069759691</v>
                </pt>
                <pt idx="339">
                  <formatCode>0.00%</formatCode>
                  <v>0.2808031538153147</v>
                </pt>
                <pt idx="340">
                  <formatCode>0.00%</formatCode>
                  <v>0.368749594655944</v>
                </pt>
                <pt idx="341">
                  <formatCode>0.00%</formatCode>
                  <v>0.3188149423089182</v>
                </pt>
                <pt idx="342">
                  <formatCode>0.00%</formatCode>
                  <v>0.3688074545853858</v>
                </pt>
                <pt idx="343">
                  <formatCode>0.00%</formatCode>
                  <v>0.3775950539017999</v>
                </pt>
                <pt idx="344">
                  <formatCode>0.00%</formatCode>
                  <v>0.3754512071255567</v>
                </pt>
                <pt idx="345">
                  <formatCode>0.00%</formatCode>
                  <v>0.378376278245734</v>
                </pt>
                <pt idx="346">
                  <formatCode>0.00%</formatCode>
                  <v>0.3722737567089628</v>
                </pt>
                <pt idx="347">
                  <formatCode>0.00%</formatCode>
                  <v>0.2889013418956169</v>
                </pt>
                <pt idx="348">
                  <formatCode>0.00%</formatCode>
                  <v>0.4083311428262181</v>
                </pt>
                <pt idx="349">
                  <formatCode>0.00%</formatCode>
                  <v>0.3595440148210124</v>
                </pt>
                <pt idx="350">
                  <formatCode>0.00%</formatCode>
                  <v>0.3825056009351127</v>
                </pt>
                <pt idx="351">
                  <formatCode>0.00%</formatCode>
                  <v>0.2405900305188199</v>
                </pt>
                <pt idx="352">
                  <formatCode>0.00%</formatCode>
                  <v>0.1406436939551523</v>
                </pt>
                <pt idx="353">
                  <formatCode>0.00%</formatCode>
                  <v>0.1904946044252172</v>
                </pt>
                <pt idx="354">
                  <formatCode>0.00%</formatCode>
                  <v>0.05622535986063996</v>
                </pt>
                <pt idx="355">
                  <formatCode>0.00%</formatCode>
                  <v>0.1070281353229297</v>
                </pt>
                <pt idx="356">
                  <formatCode>0.00%</formatCode>
                  <v>0.1119038422212629</v>
                </pt>
                <pt idx="357">
                  <formatCode>0.00%</formatCode>
                  <v>0.1256468943434093</v>
                </pt>
                <pt idx="358">
                  <formatCode>0.00%</formatCode>
                  <v>0.1342451817102809</v>
                </pt>
                <pt idx="359">
                  <formatCode>0.00%</formatCode>
                  <v>0.1275778192970705</v>
                </pt>
                <pt idx="360">
                  <formatCode>0.00%</formatCode>
                  <v>0.1283692537411754</v>
                </pt>
                <pt idx="361">
                  <formatCode>0.00%</formatCode>
                  <v>0.143938811169599</v>
                </pt>
                <pt idx="362">
                  <formatCode>0.00%</formatCode>
                  <v>0.03567150808748779</v>
                </pt>
                <pt idx="363">
                  <formatCode>0.00%</formatCode>
                  <v>0.09337580555292732</v>
                </pt>
                <pt idx="364">
                  <formatCode>0.00%</formatCode>
                  <v>0.1090121713122585</v>
                </pt>
                <pt idx="365">
                  <formatCode>0.00%</formatCode>
                  <v>0.08770059989646457</v>
                </pt>
                <pt idx="366">
                  <formatCode>0.00%</formatCode>
                  <v>0.1820381502137541</v>
                </pt>
                <pt idx="367">
                  <formatCode>0.00%</formatCode>
                  <v>0.1181240096310168</v>
                </pt>
                <pt idx="368">
                  <formatCode>0.00%</formatCode>
                  <v>0.1162130129148275</v>
                </pt>
              </numCache>
            </numRef>
          </val>
          <smooth val="0"/>
        </ser>
        <dLbls>
          <showLegendKey val="0"/>
          <showVal val="0"/>
          <showCatName val="0"/>
          <showSerName val="0"/>
          <showPercent val="0"/>
          <showBubbleSize val="0"/>
        </dLbls>
        <smooth val="0"/>
        <axId val="721545464"/>
        <axId val="721548088"/>
      </lineChart>
      <dateAx>
        <axId val="721545464"/>
        <scaling>
          <orientation val="minMax"/>
          <max val="44805"/>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21548088"/>
        <crosses val="autoZero"/>
        <lblOffset val="100"/>
        <baseTimeUnit val="months"/>
      </dateAx>
      <valAx>
        <axId val="7215480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21545464"/>
        <crosses val="autoZero"/>
        <crossBetween val="between"/>
      </valAx>
    </plotArea>
    <plotVisOnly val="1"/>
    <dispBlanksAs val="gap"/>
  </chart>
</chartSpace>
</file>

<file path=xl/charts/chart1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Health and Personal Care Stores, Millions of Dollars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Health!$B$6</f>
              <strCache>
                <ptCount val="1"/>
                <pt idx="0">
                  <v>Health and Personal Care Stores, Millions of Dollars</v>
                </pt>
              </strCache>
            </strRef>
          </tx>
          <spPr>
            <a:ln xmlns:a="http://schemas.openxmlformats.org/drawingml/2006/main">
              <a:prstDash val="solid"/>
            </a:ln>
          </spPr>
          <marker>
            <symbol val="none"/>
            <spPr>
              <a:ln xmlns:a="http://schemas.openxmlformats.org/drawingml/2006/main">
                <a:prstDash val="solid"/>
              </a:ln>
            </spPr>
          </marker>
          <cat>
            <numRef>
              <f>Health!$A$7:$A$376</f>
              <numCache>
                <formatCode>[$-409]mmm\-yy;@</formatCode>
                <ptCount val="37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numCache>
            </numRef>
          </cat>
          <val>
            <numRef>
              <f>Health!$B$7:$B$376</f>
              <numCache>
                <formatCode>#,##0</formatCode>
                <ptCount val="370"/>
                <pt idx="0">
                  <v>7421</v>
                </pt>
                <pt idx="1">
                  <v>7425</v>
                </pt>
                <pt idx="2">
                  <v>7443</v>
                </pt>
                <pt idx="3">
                  <v>7516</v>
                </pt>
                <pt idx="4">
                  <v>7458</v>
                </pt>
                <pt idx="5">
                  <v>7417</v>
                </pt>
                <pt idx="6">
                  <v>7292</v>
                </pt>
                <pt idx="7">
                  <v>7508</v>
                </pt>
                <pt idx="8">
                  <v>7420</v>
                </pt>
                <pt idx="9">
                  <v>7535</v>
                </pt>
                <pt idx="10">
                  <v>7497</v>
                </pt>
                <pt idx="11">
                  <v>7526</v>
                </pt>
                <pt idx="12">
                  <v>7518</v>
                </pt>
                <pt idx="13">
                  <v>7651</v>
                </pt>
                <pt idx="14">
                  <v>7605</v>
                </pt>
                <pt idx="15">
                  <v>7683</v>
                </pt>
                <pt idx="16">
                  <v>7666</v>
                </pt>
                <pt idx="17">
                  <v>7680</v>
                </pt>
                <pt idx="18">
                  <v>7756</v>
                </pt>
                <pt idx="19">
                  <v>7678</v>
                </pt>
                <pt idx="20">
                  <v>7772</v>
                </pt>
                <pt idx="21">
                  <v>7758</v>
                </pt>
                <pt idx="22">
                  <v>7784</v>
                </pt>
                <pt idx="23">
                  <v>7989</v>
                </pt>
                <pt idx="24">
                  <v>7865</v>
                </pt>
                <pt idx="25">
                  <v>7729</v>
                </pt>
                <pt idx="26">
                  <v>7911</v>
                </pt>
                <pt idx="27">
                  <v>7838</v>
                </pt>
                <pt idx="28">
                  <v>7955</v>
                </pt>
                <pt idx="29">
                  <v>8014</v>
                </pt>
                <pt idx="30">
                  <v>8084</v>
                </pt>
                <pt idx="31">
                  <v>8126</v>
                </pt>
                <pt idx="32">
                  <v>8190</v>
                </pt>
                <pt idx="33">
                  <v>8214</v>
                </pt>
                <pt idx="34">
                  <v>8190</v>
                </pt>
                <pt idx="35">
                  <v>8287</v>
                </pt>
                <pt idx="36">
                  <v>8306</v>
                </pt>
                <pt idx="37">
                  <v>8304</v>
                </pt>
                <pt idx="38">
                  <v>8304</v>
                </pt>
                <pt idx="39">
                  <v>8450</v>
                </pt>
                <pt idx="40">
                  <v>8424</v>
                </pt>
                <pt idx="41">
                  <v>8482</v>
                </pt>
                <pt idx="42">
                  <v>8431</v>
                </pt>
                <pt idx="43">
                  <v>8488</v>
                </pt>
                <pt idx="44">
                  <v>8611</v>
                </pt>
                <pt idx="45">
                  <v>8584</v>
                </pt>
                <pt idx="46">
                  <v>8691</v>
                </pt>
                <pt idx="47">
                  <v>8761</v>
                </pt>
                <pt idx="48">
                  <v>8546</v>
                </pt>
                <pt idx="49">
                  <v>8782</v>
                </pt>
                <pt idx="50">
                  <v>8991</v>
                </pt>
                <pt idx="51">
                  <v>8922</v>
                </pt>
                <pt idx="52">
                  <v>9076</v>
                </pt>
                <pt idx="53">
                  <v>9072</v>
                </pt>
                <pt idx="54">
                  <v>9134</v>
                </pt>
                <pt idx="55">
                  <v>9237</v>
                </pt>
                <pt idx="56">
                  <v>9190</v>
                </pt>
                <pt idx="57">
                  <v>9363</v>
                </pt>
                <pt idx="58">
                  <v>9414</v>
                </pt>
                <pt idx="59">
                  <v>9505</v>
                </pt>
                <pt idx="60">
                  <v>9448</v>
                </pt>
                <pt idx="61">
                  <v>9649</v>
                </pt>
                <pt idx="62">
                  <v>9922</v>
                </pt>
                <pt idx="63">
                  <v>9578</v>
                </pt>
                <pt idx="64">
                  <v>9722</v>
                </pt>
                <pt idx="65">
                  <v>9916</v>
                </pt>
                <pt idx="66">
                  <v>9950</v>
                </pt>
                <pt idx="67">
                  <v>9989</v>
                </pt>
                <pt idx="68">
                  <v>10077</v>
                </pt>
                <pt idx="69">
                  <v>10058</v>
                </pt>
                <pt idx="70">
                  <v>10217</v>
                </pt>
                <pt idx="71">
                  <v>10201</v>
                </pt>
                <pt idx="72">
                  <v>10382</v>
                </pt>
                <pt idx="73">
                  <v>10406</v>
                </pt>
                <pt idx="74">
                  <v>10393</v>
                </pt>
                <pt idx="75">
                  <v>10620</v>
                </pt>
                <pt idx="76">
                  <v>10645</v>
                </pt>
                <pt idx="77">
                  <v>10672</v>
                </pt>
                <pt idx="78">
                  <v>10828</v>
                </pt>
                <pt idx="79">
                  <v>11019</v>
                </pt>
                <pt idx="80">
                  <v>10985</v>
                </pt>
                <pt idx="81">
                  <v>11106</v>
                </pt>
                <pt idx="82">
                  <v>11232</v>
                </pt>
                <pt idx="83">
                  <v>11311</v>
                </pt>
                <pt idx="84">
                  <v>11415</v>
                </pt>
                <pt idx="85">
                  <v>11498</v>
                </pt>
                <pt idx="86">
                  <v>11595</v>
                </pt>
                <pt idx="87">
                  <v>11619</v>
                </pt>
                <pt idx="88">
                  <v>11741</v>
                </pt>
                <pt idx="89">
                  <v>11837</v>
                </pt>
                <pt idx="90">
                  <v>11857</v>
                </pt>
                <pt idx="91">
                  <v>11848</v>
                </pt>
                <pt idx="92">
                  <v>11993</v>
                </pt>
                <pt idx="93">
                  <v>12155</v>
                </pt>
                <pt idx="94">
                  <v>12258</v>
                </pt>
                <pt idx="95">
                  <v>12801</v>
                </pt>
                <pt idx="96">
                  <v>12381</v>
                </pt>
                <pt idx="97">
                  <v>12386</v>
                </pt>
                <pt idx="98">
                  <v>12580</v>
                </pt>
                <pt idx="99">
                  <v>12733</v>
                </pt>
                <pt idx="100">
                  <v>12814</v>
                </pt>
                <pt idx="101">
                  <v>12864</v>
                </pt>
                <pt idx="102">
                  <v>12967</v>
                </pt>
                <pt idx="103">
                  <v>13034</v>
                </pt>
                <pt idx="104">
                  <v>13233</v>
                </pt>
                <pt idx="105">
                  <v>13302</v>
                </pt>
                <pt idx="106">
                  <v>13340</v>
                </pt>
                <pt idx="107">
                  <v>13527</v>
                </pt>
                <pt idx="108">
                  <v>13413</v>
                </pt>
                <pt idx="109">
                  <v>13582</v>
                </pt>
                <pt idx="110">
                  <v>13650</v>
                </pt>
                <pt idx="111">
                  <v>13643</v>
                </pt>
                <pt idx="112">
                  <v>13812</v>
                </pt>
                <pt idx="113">
                  <v>13843</v>
                </pt>
                <pt idx="114">
                  <v>13879</v>
                </pt>
                <pt idx="115">
                  <v>14004</v>
                </pt>
                <pt idx="116">
                  <v>13894</v>
                </pt>
                <pt idx="117">
                  <v>14298</v>
                </pt>
                <pt idx="118">
                  <v>14280</v>
                </pt>
                <pt idx="119">
                  <v>14350</v>
                </pt>
                <pt idx="120">
                  <v>14525</v>
                </pt>
                <pt idx="121">
                  <v>14747</v>
                </pt>
                <pt idx="122">
                  <v>14745</v>
                </pt>
                <pt idx="123">
                  <v>14940</v>
                </pt>
                <pt idx="124">
                  <v>14903</v>
                </pt>
                <pt idx="125">
                  <v>14947</v>
                </pt>
                <pt idx="126">
                  <v>15004</v>
                </pt>
                <pt idx="127">
                  <v>15120</v>
                </pt>
                <pt idx="128">
                  <v>15288</v>
                </pt>
                <pt idx="129">
                  <v>15298</v>
                </pt>
                <pt idx="130">
                  <v>15348</v>
                </pt>
                <pt idx="131">
                  <v>15293</v>
                </pt>
                <pt idx="132">
                  <v>15441</v>
                </pt>
                <pt idx="133">
                  <v>15534</v>
                </pt>
                <pt idx="134">
                  <v>15677</v>
                </pt>
                <pt idx="135">
                  <v>15705</v>
                </pt>
                <pt idx="136">
                  <v>15791</v>
                </pt>
                <pt idx="137">
                  <v>15934</v>
                </pt>
                <pt idx="138">
                  <v>16182</v>
                </pt>
                <pt idx="139">
                  <v>16345</v>
                </pt>
                <pt idx="140">
                  <v>16339</v>
                </pt>
                <pt idx="141">
                  <v>16434</v>
                </pt>
                <pt idx="142">
                  <v>16500</v>
                </pt>
                <pt idx="143">
                  <v>16648</v>
                </pt>
                <pt idx="144">
                  <v>16287</v>
                </pt>
                <pt idx="145">
                  <v>16133</v>
                </pt>
                <pt idx="146">
                  <v>16526</v>
                </pt>
                <pt idx="147">
                  <v>16476</v>
                </pt>
                <pt idx="148">
                  <v>16462</v>
                </pt>
                <pt idx="149">
                  <v>16570</v>
                </pt>
                <pt idx="150">
                  <v>16554</v>
                </pt>
                <pt idx="151">
                  <v>16610</v>
                </pt>
                <pt idx="152">
                  <v>16635</v>
                </pt>
                <pt idx="153">
                  <v>16739</v>
                </pt>
                <pt idx="154">
                  <v>16813</v>
                </pt>
                <pt idx="155">
                  <v>16882</v>
                </pt>
                <pt idx="156">
                  <v>17116</v>
                </pt>
                <pt idx="157">
                  <v>17292</v>
                </pt>
                <pt idx="158">
                  <v>17245</v>
                </pt>
                <pt idx="159">
                  <v>17350</v>
                </pt>
                <pt idx="160">
                  <v>17413</v>
                </pt>
                <pt idx="161">
                  <v>17392</v>
                </pt>
                <pt idx="162">
                  <v>17635</v>
                </pt>
                <pt idx="163">
                  <v>17548</v>
                </pt>
                <pt idx="164">
                  <v>17707</v>
                </pt>
                <pt idx="165">
                  <v>17742</v>
                </pt>
                <pt idx="166">
                  <v>17859</v>
                </pt>
                <pt idx="167">
                  <v>18005</v>
                </pt>
                <pt idx="168">
                  <v>18000</v>
                </pt>
                <pt idx="169">
                  <v>18124</v>
                </pt>
                <pt idx="170">
                  <v>18222</v>
                </pt>
                <pt idx="171">
                  <v>18294</v>
                </pt>
                <pt idx="172">
                  <v>18466</v>
                </pt>
                <pt idx="173">
                  <v>18584</v>
                </pt>
                <pt idx="174">
                  <v>18640</v>
                </pt>
                <pt idx="175">
                  <v>18757</v>
                </pt>
                <pt idx="176">
                  <v>18933</v>
                </pt>
                <pt idx="177">
                  <v>19044</v>
                </pt>
                <pt idx="178">
                  <v>19276</v>
                </pt>
                <pt idx="179">
                  <v>19385</v>
                </pt>
                <pt idx="180">
                  <v>19423</v>
                </pt>
                <pt idx="181">
                  <v>19401</v>
                </pt>
                <pt idx="182">
                  <v>19540</v>
                </pt>
                <pt idx="183">
                  <v>19572</v>
                </pt>
                <pt idx="184">
                  <v>19650</v>
                </pt>
                <pt idx="185">
                  <v>19880</v>
                </pt>
                <pt idx="186">
                  <v>19831</v>
                </pt>
                <pt idx="187">
                  <v>20014</v>
                </pt>
                <pt idx="188">
                  <v>20132</v>
                </pt>
                <pt idx="189">
                  <v>19988</v>
                </pt>
                <pt idx="190">
                  <v>19938</v>
                </pt>
                <pt idx="191">
                  <v>19825</v>
                </pt>
                <pt idx="192">
                  <v>20120</v>
                </pt>
                <pt idx="193">
                  <v>20279</v>
                </pt>
                <pt idx="194">
                  <v>20288</v>
                </pt>
                <pt idx="195">
                  <v>20172</v>
                </pt>
                <pt idx="196">
                  <v>20536</v>
                </pt>
                <pt idx="197">
                  <v>20497</v>
                </pt>
                <pt idx="198">
                  <v>20640</v>
                </pt>
                <pt idx="199">
                  <v>20620</v>
                </pt>
                <pt idx="200">
                  <v>20654</v>
                </pt>
                <pt idx="201">
                  <v>20659</v>
                </pt>
                <pt idx="202">
                  <v>20789</v>
                </pt>
                <pt idx="203">
                  <v>20682</v>
                </pt>
                <pt idx="204">
                  <v>20753</v>
                </pt>
                <pt idx="205">
                  <v>20906</v>
                </pt>
                <pt idx="206">
                  <v>20908</v>
                </pt>
                <pt idx="207">
                  <v>21059</v>
                </pt>
                <pt idx="208">
                  <v>21121</v>
                </pt>
                <pt idx="209">
                  <v>21055</v>
                </pt>
                <pt idx="210">
                  <v>21027</v>
                </pt>
                <pt idx="211">
                  <v>21070</v>
                </pt>
                <pt idx="212">
                  <v>21231</v>
                </pt>
                <pt idx="213">
                  <v>21278</v>
                </pt>
                <pt idx="214">
                  <v>21288</v>
                </pt>
                <pt idx="215">
                  <v>21195</v>
                </pt>
                <pt idx="216">
                  <v>21187</v>
                </pt>
                <pt idx="217">
                  <v>21199</v>
                </pt>
                <pt idx="218">
                  <v>21363</v>
                </pt>
                <pt idx="219">
                  <v>21471</v>
                </pt>
                <pt idx="220">
                  <v>21399</v>
                </pt>
                <pt idx="221">
                  <v>21661</v>
                </pt>
                <pt idx="222">
                  <v>21733</v>
                </pt>
                <pt idx="223">
                  <v>21863</v>
                </pt>
                <pt idx="224">
                  <v>21888</v>
                </pt>
                <pt idx="225">
                  <v>22105</v>
                </pt>
                <pt idx="226">
                  <v>22180</v>
                </pt>
                <pt idx="227">
                  <v>22272</v>
                </pt>
                <pt idx="228">
                  <v>22695</v>
                </pt>
                <pt idx="229">
                  <v>22428</v>
                </pt>
                <pt idx="230">
                  <v>22563</v>
                </pt>
                <pt idx="231">
                  <v>22448</v>
                </pt>
                <pt idx="232">
                  <v>22608</v>
                </pt>
                <pt idx="233">
                  <v>22607</v>
                </pt>
                <pt idx="234">
                  <v>22728</v>
                </pt>
                <pt idx="235">
                  <v>22822</v>
                </pt>
                <pt idx="236">
                  <v>22718</v>
                </pt>
                <pt idx="237">
                  <v>22830</v>
                </pt>
                <pt idx="238">
                  <v>22735</v>
                </pt>
                <pt idx="239">
                  <v>22656</v>
                </pt>
                <pt idx="240">
                  <v>22973</v>
                </pt>
                <pt idx="241">
                  <v>22999</v>
                </pt>
                <pt idx="242">
                  <v>22945</v>
                </pt>
                <pt idx="243">
                  <v>23045</v>
                </pt>
                <pt idx="244">
                  <v>22883</v>
                </pt>
                <pt idx="245">
                  <v>22471</v>
                </pt>
                <pt idx="246">
                  <v>22793</v>
                </pt>
                <pt idx="247">
                  <v>22741</v>
                </pt>
                <pt idx="248">
                  <v>22608</v>
                </pt>
                <pt idx="249">
                  <v>22504</v>
                </pt>
                <pt idx="250">
                  <v>22661</v>
                </pt>
                <pt idx="251">
                  <v>22898</v>
                </pt>
                <pt idx="252">
                  <v>23167</v>
                </pt>
                <pt idx="253">
                  <v>22992</v>
                </pt>
                <pt idx="254">
                  <v>23025</v>
                </pt>
                <pt idx="255">
                  <v>22925</v>
                </pt>
                <pt idx="256">
                  <v>23021</v>
                </pt>
                <pt idx="257">
                  <v>23001</v>
                </pt>
                <pt idx="258">
                  <v>23262</v>
                </pt>
                <pt idx="259">
                  <v>23254</v>
                </pt>
                <pt idx="260">
                  <v>23674</v>
                </pt>
                <pt idx="261">
                  <v>23690</v>
                </pt>
                <pt idx="262">
                  <v>23711</v>
                </pt>
                <pt idx="263">
                  <v>23755</v>
                </pt>
                <pt idx="264">
                  <v>23735</v>
                </pt>
                <pt idx="265">
                  <v>23842</v>
                </pt>
                <pt idx="266">
                  <v>23989</v>
                </pt>
                <pt idx="267">
                  <v>24191</v>
                </pt>
                <pt idx="268">
                  <v>24523</v>
                </pt>
                <pt idx="269">
                  <v>24717</v>
                </pt>
                <pt idx="270">
                  <v>24730</v>
                </pt>
                <pt idx="271">
                  <v>24836</v>
                </pt>
                <pt idx="272">
                  <v>24949</v>
                </pt>
                <pt idx="273">
                  <v>24859</v>
                </pt>
                <pt idx="274">
                  <v>24950</v>
                </pt>
                <pt idx="275">
                  <v>25117</v>
                </pt>
                <pt idx="276">
                  <v>25313</v>
                </pt>
                <pt idx="277">
                  <v>25111</v>
                </pt>
                <pt idx="278">
                  <v>25650</v>
                </pt>
                <pt idx="279">
                  <v>25225</v>
                </pt>
                <pt idx="280">
                  <v>25202</v>
                </pt>
                <pt idx="281">
                  <v>25362</v>
                </pt>
                <pt idx="282">
                  <v>25642</v>
                </pt>
                <pt idx="283">
                  <v>25816</v>
                </pt>
                <pt idx="284">
                  <v>26062</v>
                </pt>
                <pt idx="285">
                  <v>25924</v>
                </pt>
                <pt idx="286">
                  <v>26098</v>
                </pt>
                <pt idx="287">
                  <v>26298</v>
                </pt>
                <pt idx="288">
                  <v>26178</v>
                </pt>
                <pt idx="289">
                  <v>26752</v>
                </pt>
                <pt idx="290">
                  <v>26567</v>
                </pt>
                <pt idx="291">
                  <v>26781</v>
                </pt>
                <pt idx="292">
                  <v>26700</v>
                </pt>
                <pt idx="293">
                  <v>26877</v>
                </pt>
                <pt idx="294">
                  <v>26845</v>
                </pt>
                <pt idx="295">
                  <v>26744</v>
                </pt>
                <pt idx="296">
                  <v>26682</v>
                </pt>
                <pt idx="297">
                  <v>25894</v>
                </pt>
                <pt idx="298">
                  <v>26119</v>
                </pt>
                <pt idx="299">
                  <v>26179</v>
                </pt>
                <pt idx="300">
                  <v>26149</v>
                </pt>
                <pt idx="301">
                  <v>26447</v>
                </pt>
                <pt idx="302">
                  <v>26580</v>
                </pt>
                <pt idx="303">
                  <v>26763</v>
                </pt>
                <pt idx="304">
                  <v>26765</v>
                </pt>
                <pt idx="305">
                  <v>27011</v>
                </pt>
                <pt idx="306">
                  <v>27047</v>
                </pt>
                <pt idx="307">
                  <v>27333</v>
                </pt>
                <pt idx="308">
                  <v>27395</v>
                </pt>
                <pt idx="309">
                  <v>27559</v>
                </pt>
                <pt idx="310">
                  <v>27721</v>
                </pt>
                <pt idx="311">
                  <v>27603</v>
                </pt>
                <pt idx="312">
                  <v>27603</v>
                </pt>
                <pt idx="313">
                  <v>27494</v>
                </pt>
                <pt idx="314">
                  <v>27656</v>
                </pt>
                <pt idx="315">
                  <v>27950</v>
                </pt>
                <pt idx="316">
                  <v>28294</v>
                </pt>
                <pt idx="317">
                  <v>28127</v>
                </pt>
                <pt idx="318">
                  <v>28308</v>
                </pt>
                <pt idx="319">
                  <v>28535</v>
                </pt>
                <pt idx="320">
                  <v>28358</v>
                </pt>
                <pt idx="321">
                  <v>28542</v>
                </pt>
                <pt idx="322">
                  <v>29088</v>
                </pt>
                <pt idx="323">
                  <v>27847</v>
                </pt>
                <pt idx="324">
                  <v>28629</v>
                </pt>
                <pt idx="325">
                  <v>28875</v>
                </pt>
                <pt idx="326">
                  <v>28827</v>
                </pt>
                <pt idx="327">
                  <v>28719</v>
                </pt>
                <pt idx="328">
                  <v>28862</v>
                </pt>
                <pt idx="329">
                  <v>28805</v>
                </pt>
                <pt idx="330">
                  <v>28665</v>
                </pt>
                <pt idx="331">
                  <v>28580</v>
                </pt>
                <pt idx="332">
                  <v>28600</v>
                </pt>
                <pt idx="333">
                  <v>28809</v>
                </pt>
                <pt idx="334">
                  <v>28576</v>
                </pt>
                <pt idx="335">
                  <v>28267</v>
                </pt>
                <pt idx="336">
                  <v>28983</v>
                </pt>
                <pt idx="337">
                  <v>29290</v>
                </pt>
                <pt idx="338">
                  <v>30733</v>
                </pt>
                <pt idx="339">
                  <v>26103</v>
                </pt>
                <pt idx="340">
                  <v>26413</v>
                </pt>
                <pt idx="341">
                  <v>28579</v>
                </pt>
                <pt idx="342">
                  <v>30173</v>
                </pt>
                <pt idx="343">
                  <v>29802</v>
                </pt>
                <pt idx="344">
                  <v>30274</v>
                </pt>
                <pt idx="345">
                  <v>30170</v>
                </pt>
                <pt idx="346">
                  <v>29698</v>
                </pt>
                <pt idx="347">
                  <v>29948</v>
                </pt>
                <pt idx="348">
                  <v>29977</v>
                </pt>
                <pt idx="349">
                  <v>29740</v>
                </pt>
                <pt idx="350">
                  <v>32383</v>
                </pt>
                <pt idx="351">
                  <v>32315</v>
                </pt>
                <pt idx="352">
                  <v>31531</v>
                </pt>
                <pt idx="353">
                  <v>32715</v>
                </pt>
                <pt idx="354">
                  <v>32512</v>
                </pt>
                <pt idx="355">
                  <v>32799</v>
                </pt>
                <pt idx="356">
                  <v>32545</v>
                </pt>
                <pt idx="357">
                  <v>32444</v>
                </pt>
                <pt idx="358">
                  <v>32793</v>
                </pt>
                <pt idx="359">
                  <v>32797</v>
                </pt>
                <pt idx="360">
                  <v>32815</v>
                </pt>
                <pt idx="361">
                  <v>32445</v>
                </pt>
                <pt idx="362">
                  <v>32763</v>
                </pt>
                <pt idx="363">
                  <v>32962</v>
                </pt>
                <pt idx="364">
                  <v>32985</v>
                </pt>
                <pt idx="365">
                  <v>33426</v>
                </pt>
                <pt idx="366">
                  <v>33641</v>
                </pt>
                <pt idx="367">
                  <v>33788</v>
                </pt>
                <pt idx="368">
                  <v>33949</v>
                </pt>
              </numCache>
            </numRef>
          </val>
          <smooth val="0"/>
        </ser>
        <dLbls>
          <showLegendKey val="0"/>
          <showVal val="0"/>
          <showCatName val="0"/>
          <showSerName val="0"/>
          <showPercent val="0"/>
          <showBubbleSize val="0"/>
        </dLbls>
        <smooth val="0"/>
        <axId val="892479320"/>
        <axId val="892479648"/>
      </lineChart>
      <dateAx>
        <axId val="892479320"/>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92479648"/>
        <crosses val="autoZero"/>
        <lblOffset val="100"/>
        <baseTimeUnit val="months"/>
      </dateAx>
      <valAx>
        <axId val="892479648"/>
        <scaling>
          <orientation val="minMax"/>
          <min val="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92479320"/>
        <crosses val="autoZero"/>
        <crossBetween val="between"/>
      </valAx>
    </plotArea>
    <plotVisOnly val="1"/>
    <dispBlanksAs val="gap"/>
  </chart>
</chartSpace>
</file>

<file path=xl/charts/chart15.xml><?xml version="1.0" encoding="utf-8"?>
<chartSpace xmlns="http://schemas.openxmlformats.org/drawingml/2006/chart">
  <chart>
    <title>
      <tx>
        <strRef>
          <f>Health!$D$6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Health!$D$6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Health!$A$7:$A$381</f>
              <numCache>
                <formatCode>[$-409]mmm\-yy;@</formatCode>
                <ptCount val="375"/>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numCache>
            </numRef>
          </cat>
          <val>
            <numRef>
              <f>Health!$D$7:$D$381</f>
              <numCache>
                <formatCode>General</formatCode>
                <ptCount val="375"/>
                <pt idx="12">
                  <formatCode>0.00%</formatCode>
                  <v>0.01307101468804743</v>
                </pt>
                <pt idx="13">
                  <formatCode>0.00%</formatCode>
                  <v>0.03043771043771044</v>
                </pt>
                <pt idx="14">
                  <formatCode>0.00%</formatCode>
                  <v>0.02176541717049577</v>
                </pt>
                <pt idx="15">
                  <formatCode>0.00%</formatCode>
                  <v>0.02221926556679085</v>
                </pt>
                <pt idx="16">
                  <formatCode>0.00%</formatCode>
                  <v>0.02788951461517833</v>
                </pt>
                <pt idx="17">
                  <formatCode>0.00%</formatCode>
                  <v>0.03545908049076446</v>
                </pt>
                <pt idx="18">
                  <formatCode>0.00%</formatCode>
                  <v>0.06363137685134394</v>
                </pt>
                <pt idx="19">
                  <formatCode>0.00%</formatCode>
                  <v>0.02264251465103889</v>
                </pt>
                <pt idx="20">
                  <formatCode>0.00%</formatCode>
                  <v>0.04743935309973046</v>
                </pt>
                <pt idx="21">
                  <formatCode>0.00%</formatCode>
                  <v>0.02959522229595222</v>
                </pt>
                <pt idx="22">
                  <formatCode>0.00%</formatCode>
                  <v>0.03828197945845005</v>
                </pt>
                <pt idx="23">
                  <formatCode>0.00%</formatCode>
                  <v>0.06152006377889981</v>
                </pt>
                <pt idx="24">
                  <formatCode>0.00%</formatCode>
                  <v>0.04615589252460761</v>
                </pt>
                <pt idx="25">
                  <formatCode>0.00%</formatCode>
                  <v>0.01019474578486472</v>
                </pt>
                <pt idx="26">
                  <formatCode>0.00%</formatCode>
                  <v>0.04023668639053254</v>
                </pt>
                <pt idx="27">
                  <formatCode>0.00%</formatCode>
                  <v>0.0201744110373552</v>
                </pt>
                <pt idx="28">
                  <formatCode>0.00%</formatCode>
                  <v>0.03769893034176885</v>
                </pt>
                <pt idx="29">
                  <formatCode>0.00%</formatCode>
                  <v>0.04348958333333333</v>
                </pt>
                <pt idx="30">
                  <formatCode>0.00%</formatCode>
                  <v>0.04228984012377515</v>
                </pt>
                <pt idx="31">
                  <formatCode>0.00%</formatCode>
                  <v>0.05834852826256838</v>
                </pt>
                <pt idx="32">
                  <formatCode>0.00%</formatCode>
                  <v>0.05378281008749357</v>
                </pt>
                <pt idx="33">
                  <formatCode>0.00%</formatCode>
                  <v>0.05877803557617943</v>
                </pt>
                <pt idx="34">
                  <formatCode>0.00%</formatCode>
                  <v>0.05215827338129497</v>
                </pt>
                <pt idx="35">
                  <formatCode>0.00%</formatCode>
                  <v>0.03730128927275003</v>
                </pt>
                <pt idx="36">
                  <formatCode>0.00%</formatCode>
                  <v>0.05607120152574698</v>
                </pt>
                <pt idx="37">
                  <formatCode>0.00%</formatCode>
                  <v>0.07439513520507181</v>
                </pt>
                <pt idx="38">
                  <formatCode>0.00%</formatCode>
                  <v>0.049677664012135</v>
                </pt>
                <pt idx="39">
                  <formatCode>0.00%</formatCode>
                  <v>0.07808114314876244</v>
                </pt>
                <pt idx="40">
                  <formatCode>0.00%</formatCode>
                  <v>0.0589566310496543</v>
                </pt>
                <pt idx="41">
                  <formatCode>0.00%</formatCode>
                  <v>0.05839780384327427</v>
                </pt>
                <pt idx="42">
                  <formatCode>0.00%</formatCode>
                  <v>0.04292429490351311</v>
                </pt>
                <pt idx="43">
                  <formatCode>0.00%</formatCode>
                  <v>0.04454836327836574</v>
                </pt>
                <pt idx="44">
                  <formatCode>0.00%</formatCode>
                  <v>0.0514041514041514</v>
                </pt>
                <pt idx="45">
                  <formatCode>0.00%</formatCode>
                  <v>0.04504504504504504</v>
                </pt>
                <pt idx="46">
                  <formatCode>0.00%</formatCode>
                  <v>0.06117216117216117</v>
                </pt>
                <pt idx="47">
                  <formatCode>0.00%</formatCode>
                  <v>0.05719802099674189</v>
                </pt>
                <pt idx="48">
                  <formatCode>0.00%</formatCode>
                  <v>0.02889477486154587</v>
                </pt>
                <pt idx="49">
                  <formatCode>0.00%</formatCode>
                  <v>0.0575626204238921</v>
                </pt>
                <pt idx="50">
                  <formatCode>0.00%</formatCode>
                  <v>0.08273121387283237</v>
                </pt>
                <pt idx="51">
                  <formatCode>0.00%</formatCode>
                  <v>0.05585798816568047</v>
                </pt>
                <pt idx="52">
                  <formatCode>0.00%</formatCode>
                  <v>0.07739791073124407</v>
                </pt>
                <pt idx="53">
                  <formatCode>0.00%</formatCode>
                  <v>0.06955906625795803</v>
                </pt>
                <pt idx="54">
                  <formatCode>0.00%</formatCode>
                  <v>0.08338275412169376</v>
                </pt>
                <pt idx="55">
                  <formatCode>0.00%</formatCode>
                  <v>0.08824222431668237</v>
                </pt>
                <pt idx="56">
                  <formatCode>0.00%</formatCode>
                  <v>0.06723957728486819</v>
                </pt>
                <pt idx="57">
                  <formatCode>0.00%</formatCode>
                  <v>0.09075023299161231</v>
                </pt>
                <pt idx="58">
                  <formatCode>0.00%</formatCode>
                  <v>0.08318950638591646</v>
                </pt>
                <pt idx="59">
                  <formatCode>0.00%</formatCode>
                  <v>0.08492181257847278</v>
                </pt>
                <pt idx="60">
                  <formatCode>0.00%</formatCode>
                  <v>0.1055464544816288</v>
                </pt>
                <pt idx="61">
                  <formatCode>0.00%</formatCode>
                  <v>0.0987246640856297</v>
                </pt>
                <pt idx="62">
                  <formatCode>0.00%</formatCode>
                  <v>0.1035479924368813</v>
                </pt>
                <pt idx="63">
                  <formatCode>0.00%</formatCode>
                  <v>0.0735261152208025</v>
                </pt>
                <pt idx="64">
                  <formatCode>0.00%</formatCode>
                  <v>0.07117672983693257</v>
                </pt>
                <pt idx="65">
                  <formatCode>0.00%</formatCode>
                  <v>0.09303350970017636</v>
                </pt>
                <pt idx="66">
                  <formatCode>0.00%</formatCode>
                  <v>0.08933654477775345</v>
                </pt>
                <pt idx="67">
                  <formatCode>0.00%</formatCode>
                  <v>0.08141171375987875</v>
                </pt>
                <pt idx="68">
                  <formatCode>0.00%</formatCode>
                  <v>0.09651795429815016</v>
                </pt>
                <pt idx="69">
                  <formatCode>0.00%</formatCode>
                  <v>0.07422834561572146</v>
                </pt>
                <pt idx="70">
                  <formatCode>0.00%</formatCode>
                  <v>0.08529849160824304</v>
                </pt>
                <pt idx="71">
                  <formatCode>0.00%</formatCode>
                  <v>0.07322461862177801</v>
                </pt>
                <pt idx="72">
                  <formatCode>0.00%</formatCode>
                  <v>0.09885690093141405</v>
                </pt>
                <pt idx="73">
                  <formatCode>0.00%</formatCode>
                  <v>0.07845372577469167</v>
                </pt>
                <pt idx="74">
                  <formatCode>0.00%</formatCode>
                  <v>0.04747026809111066</v>
                </pt>
                <pt idx="75">
                  <formatCode>0.00%</formatCode>
                  <v>0.1087909793276258</v>
                </pt>
                <pt idx="76">
                  <formatCode>0.00%</formatCode>
                  <v>0.09493931289858054</v>
                </pt>
                <pt idx="77">
                  <formatCode>0.00%</formatCode>
                  <v>0.07624041952400161</v>
                </pt>
                <pt idx="78">
                  <formatCode>0.00%</formatCode>
                  <v>0.08824120603015076</v>
                </pt>
                <pt idx="79">
                  <formatCode>0.00%</formatCode>
                  <v>0.103113424767244</v>
                </pt>
                <pt idx="80">
                  <formatCode>0.00%</formatCode>
                  <v>0.09010618239555424</v>
                </pt>
                <pt idx="81">
                  <formatCode>0.00%</formatCode>
                  <v>0.1041956651421754</v>
                </pt>
                <pt idx="82">
                  <formatCode>0.00%</formatCode>
                  <v>0.09934423020456103</v>
                </pt>
                <pt idx="83">
                  <formatCode>0.00%</formatCode>
                  <v>0.1088128614841682</v>
                </pt>
                <pt idx="84">
                  <formatCode>0.00%</formatCode>
                  <v>0.09949913311500674</v>
                </pt>
                <pt idx="85">
                  <formatCode>0.00%</formatCode>
                  <v>0.1049394580049971</v>
                </pt>
                <pt idx="86">
                  <formatCode>0.00%</formatCode>
                  <v>0.11565476763206</v>
                </pt>
                <pt idx="87">
                  <formatCode>0.00%</formatCode>
                  <v>0.09406779661016949</v>
                </pt>
                <pt idx="88">
                  <formatCode>0.00%</formatCode>
                  <v>0.102959135744481</v>
                </pt>
                <pt idx="89">
                  <formatCode>0.00%</formatCode>
                  <v>0.109164167916042</v>
                </pt>
                <pt idx="90">
                  <formatCode>0.00%</formatCode>
                  <v>0.09503140007388253</v>
                </pt>
                <pt idx="91">
                  <formatCode>0.00%</formatCode>
                  <v>0.07523368726744714</v>
                </pt>
                <pt idx="92">
                  <formatCode>0.00%</formatCode>
                  <v>0.0917614929449249</v>
                </pt>
                <pt idx="93">
                  <formatCode>0.00%</formatCode>
                  <v>0.09445344858634971</v>
                </pt>
                <pt idx="94">
                  <formatCode>0.00%</formatCode>
                  <v>0.09134615384615384</v>
                </pt>
                <pt idx="95">
                  <formatCode>0.00%</formatCode>
                  <v>0.1317301741667403</v>
                </pt>
                <pt idx="96">
                  <formatCode>0.00%</formatCode>
                  <v>0.08462549277266754</v>
                </pt>
                <pt idx="97">
                  <formatCode>0.00%</formatCode>
                  <v>0.07723082275178292</v>
                </pt>
                <pt idx="98">
                  <formatCode>0.00%</formatCode>
                  <v>0.08495040965933592</v>
                </pt>
                <pt idx="99">
                  <formatCode>0.00%</formatCode>
                  <v>0.09587744212066443</v>
                </pt>
                <pt idx="100">
                  <formatCode>0.00%</formatCode>
                  <v>0.09138914913550805</v>
                </pt>
                <pt idx="101">
                  <formatCode>0.00%</formatCode>
                  <v>0.08676184844132805</v>
                </pt>
                <pt idx="102">
                  <formatCode>0.00%</formatCode>
                  <v>0.09361558572994855</v>
                </pt>
                <pt idx="103">
                  <formatCode>0.00%</formatCode>
                  <v>0.100101282916948</v>
                </pt>
                <pt idx="104">
                  <formatCode>0.00%</formatCode>
                  <v>0.1033936462936713</v>
                </pt>
                <pt idx="105">
                  <formatCode>0.00%</formatCode>
                  <v>0.09436445907034142</v>
                </pt>
                <pt idx="106">
                  <formatCode>0.00%</formatCode>
                  <v>0.08826888562571382</v>
                </pt>
                <pt idx="107">
                  <formatCode>0.00%</formatCode>
                  <v>0.05671431919381299</v>
                </pt>
                <pt idx="108">
                  <formatCode>0.00%</formatCode>
                  <v>0.08335352556336321</v>
                </pt>
                <pt idx="109">
                  <formatCode>0.00%</formatCode>
                  <v>0.09656063297271113</v>
                </pt>
                <pt idx="110">
                  <formatCode>0.00%</formatCode>
                  <v>0.08505564387917329</v>
                </pt>
                <pt idx="111">
                  <formatCode>0.00%</formatCode>
                  <v>0.07146783947223749</v>
                </pt>
                <pt idx="112">
                  <formatCode>0.00%</formatCode>
                  <v>0.07788356485094428</v>
                </pt>
                <pt idx="113">
                  <formatCode>0.00%</formatCode>
                  <v>0.07610385572139304</v>
                </pt>
                <pt idx="114">
                  <formatCode>0.00%</formatCode>
                  <v>0.0703323822009717</v>
                </pt>
                <pt idx="115">
                  <formatCode>0.00%</formatCode>
                  <v>0.07442074574190578</v>
                </pt>
                <pt idx="116">
                  <formatCode>0.00%</formatCode>
                  <v>0.04995088037482052</v>
                </pt>
                <pt idx="117">
                  <formatCode>0.00%</formatCode>
                  <v>0.07487595850248083</v>
                </pt>
                <pt idx="118">
                  <formatCode>0.00%</formatCode>
                  <v>0.0704647676161919</v>
                </pt>
                <pt idx="119">
                  <formatCode>0.00%</formatCode>
                  <v>0.06084128040215864</v>
                </pt>
                <pt idx="120">
                  <formatCode>0.00%</formatCode>
                  <v>0.0829046447476329</v>
                </pt>
                <pt idx="121">
                  <formatCode>0.00%</formatCode>
                  <v>0.08577529082609336</v>
                </pt>
                <pt idx="122">
                  <formatCode>0.00%</formatCode>
                  <v>0.08021978021978023</v>
                </pt>
                <pt idx="123">
                  <formatCode>0.00%</formatCode>
                  <v>0.09506706736055121</v>
                </pt>
                <pt idx="124">
                  <formatCode>0.00%</formatCode>
                  <v>0.07898928467998842</v>
                </pt>
                <pt idx="125">
                  <formatCode>0.00%</formatCode>
                  <v>0.07975149895253919</v>
                </pt>
                <pt idx="126">
                  <formatCode>0.00%</formatCode>
                  <v>0.0810577130917213</v>
                </pt>
                <pt idx="127">
                  <formatCode>0.00%</formatCode>
                  <v>0.07969151670951156</v>
                </pt>
                <pt idx="128">
                  <formatCode>0.00%</formatCode>
                  <v>0.1003310781632359</v>
                </pt>
                <pt idx="129">
                  <formatCode>0.00%</formatCode>
                  <v>0.06993985172751434</v>
                </pt>
                <pt idx="130">
                  <formatCode>0.00%</formatCode>
                  <v>0.07478991596638655</v>
                </pt>
                <pt idx="131">
                  <formatCode>0.00%</formatCode>
                  <v>0.06571428571428571</v>
                </pt>
                <pt idx="132">
                  <formatCode>0.00%</formatCode>
                  <v>0.06306368330464716</v>
                </pt>
                <pt idx="133">
                  <formatCode>0.00%</formatCode>
                  <v>0.05336678646504374</v>
                </pt>
                <pt idx="134">
                  <formatCode>0.00%</formatCode>
                  <v>0.06320786707358426</v>
                </pt>
                <pt idx="135">
                  <formatCode>0.00%</formatCode>
                  <v>0.05120481927710843</v>
                </pt>
                <pt idx="136">
                  <formatCode>0.00%</formatCode>
                  <v>0.05958531839227001</v>
                </pt>
                <pt idx="137">
                  <formatCode>0.00%</formatCode>
                  <v>0.06603331772261993</v>
                </pt>
                <pt idx="138">
                  <formatCode>0.00%</formatCode>
                  <v>0.07851239669421488</v>
                </pt>
                <pt idx="139">
                  <formatCode>0.00%</formatCode>
                  <v>0.08101851851851852</v>
                </pt>
                <pt idx="140">
                  <formatCode>0.00%</formatCode>
                  <v>0.06874672946101518</v>
                </pt>
                <pt idx="141">
                  <formatCode>0.00%</formatCode>
                  <v>0.07425807295071252</v>
                </pt>
                <pt idx="142">
                  <formatCode>0.00%</formatCode>
                  <v>0.07505863956215794</v>
                </pt>
                <pt idx="143">
                  <formatCode>0.00%</formatCode>
                  <v>0.08860262865363239</v>
                </pt>
                <pt idx="144">
                  <formatCode>0.00%</formatCode>
                  <v>0.05478919759082961</v>
                </pt>
                <pt idx="145">
                  <formatCode>0.00%</formatCode>
                  <v>0.038560576799279</v>
                </pt>
                <pt idx="146">
                  <formatCode>0.00%</formatCode>
                  <v>0.05415576959877528</v>
                </pt>
                <pt idx="147">
                  <formatCode>0.00%</formatCode>
                  <v>0.04909264565425024</v>
                </pt>
                <pt idx="148">
                  <formatCode>0.00%</formatCode>
                  <v>0.04249255905262491</v>
                </pt>
                <pt idx="149">
                  <formatCode>0.00%</formatCode>
                  <v>0.03991464792268106</v>
                </pt>
                <pt idx="150">
                  <formatCode>0.00%</formatCode>
                  <v>0.02298850574712644</v>
                </pt>
                <pt idx="151">
                  <formatCode>0.00%</formatCode>
                  <v>0.01621290914652799</v>
                </pt>
                <pt idx="152">
                  <formatCode>0.00%</formatCode>
                  <v>0.01811616377991309</v>
                </pt>
                <pt idx="153">
                  <formatCode>0.00%</formatCode>
                  <v>0.01855908482414506</v>
                </pt>
                <pt idx="154">
                  <formatCode>0.00%</formatCode>
                  <v>0.01896969696969697</v>
                </pt>
                <pt idx="155">
                  <formatCode>0.00%</formatCode>
                  <v>0.01405574243152331</v>
                </pt>
                <pt idx="156">
                  <formatCode>0.00%</formatCode>
                  <v>0.05089949039110948</v>
                </pt>
                <pt idx="157">
                  <formatCode>0.00%</formatCode>
                  <v>0.07184032727948925</v>
                </pt>
                <pt idx="158">
                  <formatCode>0.00%</formatCode>
                  <v>0.04350720077453709</v>
                </pt>
                <pt idx="159">
                  <formatCode>0.00%</formatCode>
                  <v>0.05304685603301772</v>
                </pt>
                <pt idx="160">
                  <formatCode>0.00%</formatCode>
                  <v>0.05776940833434577</v>
                </pt>
                <pt idx="161">
                  <formatCode>0.00%</formatCode>
                  <v>0.0496077248038624</v>
                </pt>
                <pt idx="162">
                  <formatCode>0.00%</formatCode>
                  <v>0.06530143771898031</v>
                </pt>
                <pt idx="163">
                  <formatCode>0.00%</formatCode>
                  <v>0.05647200481637567</v>
                </pt>
                <pt idx="164">
                  <formatCode>0.00%</formatCode>
                  <v>0.0644424406372107</v>
                </pt>
                <pt idx="165">
                  <formatCode>0.00%</formatCode>
                  <v>0.05991994742816178</v>
                </pt>
                <pt idx="166">
                  <formatCode>0.00%</formatCode>
                  <v>0.06221376315945994</v>
                </pt>
                <pt idx="167">
                  <formatCode>0.00%</formatCode>
                  <v>0.06652055443667812</v>
                </pt>
                <pt idx="168">
                  <formatCode>0.00%</formatCode>
                  <v>0.05164758121056322</v>
                </pt>
                <pt idx="169">
                  <formatCode>0.00%</formatCode>
                  <v>0.0481147351376359</v>
                </pt>
                <pt idx="170">
                  <formatCode>0.00%</formatCode>
                  <v>0.05665410263844593</v>
                </pt>
                <pt idx="171">
                  <formatCode>0.00%</formatCode>
                  <v>0.05440922190201729</v>
                </pt>
                <pt idx="172">
                  <formatCode>0.00%</formatCode>
                  <v>0.06047206110377305</v>
                </pt>
                <pt idx="173">
                  <formatCode>0.00%</formatCode>
                  <v>0.06853725850965961</v>
                </pt>
                <pt idx="174">
                  <formatCode>0.00%</formatCode>
                  <v>0.0569889424440034</v>
                </pt>
                <pt idx="175">
                  <formatCode>0.00%</formatCode>
                  <v>0.06889674036927285</v>
                </pt>
                <pt idx="176">
                  <formatCode>0.00%</formatCode>
                  <v>0.06923815440221381</v>
                </pt>
                <pt idx="177">
                  <formatCode>0.00%</formatCode>
                  <v>0.07338518769022657</v>
                </pt>
                <pt idx="178">
                  <formatCode>0.00%</formatCode>
                  <v>0.07934374825018198</v>
                </pt>
                <pt idx="179">
                  <formatCode>0.00%</formatCode>
                  <v>0.07664537628436545</v>
                </pt>
                <pt idx="180">
                  <formatCode>0.00%</formatCode>
                  <v>0.07905555555555556</v>
                </pt>
                <pt idx="181">
                  <formatCode>0.00%</formatCode>
                  <v>0.07045905981019643</v>
                </pt>
                <pt idx="182">
                  <formatCode>0.00%</formatCode>
                  <v>0.0723301503676874</v>
                </pt>
                <pt idx="183">
                  <formatCode>0.00%</formatCode>
                  <v>0.06985897015414889</v>
                </pt>
                <pt idx="184">
                  <formatCode>0.00%</formatCode>
                  <v>0.0641178381891043</v>
                </pt>
                <pt idx="185">
                  <formatCode>0.00%</formatCode>
                  <v>0.06973740852346104</v>
                </pt>
                <pt idx="186">
                  <formatCode>0.00%</formatCode>
                  <v>0.06389484978540773</v>
                </pt>
                <pt idx="187">
                  <formatCode>0.00%</formatCode>
                  <v>0.06701498107373248</v>
                </pt>
                <pt idx="188">
                  <formatCode>0.00%</formatCode>
                  <v>0.06332857972851634</v>
                </pt>
                <pt idx="189">
                  <formatCode>0.00%</formatCode>
                  <v>0.049569418189456</v>
                </pt>
                <pt idx="190">
                  <formatCode>0.00%</formatCode>
                  <v>0.03434322473542228</v>
                </pt>
                <pt idx="191">
                  <formatCode>0.00%</formatCode>
                  <v>0.02269796234201702</v>
                </pt>
                <pt idx="192">
                  <formatCode>0.00%</formatCode>
                  <v>0.0358852906348144</v>
                </pt>
                <pt idx="193">
                  <formatCode>0.00%</formatCode>
                  <v>0.04525539920622648</v>
                </pt>
                <pt idx="194">
                  <formatCode>0.00%</formatCode>
                  <v>0.03828045035823951</v>
                </pt>
                <pt idx="195">
                  <formatCode>0.00%</formatCode>
                  <v>0.03065603923973023</v>
                </pt>
                <pt idx="196">
                  <formatCode>0.00%</formatCode>
                  <v>0.04508905852417303</v>
                </pt>
                <pt idx="197">
                  <formatCode>0.00%</formatCode>
                  <v>0.03103621730382294</v>
                </pt>
                <pt idx="198">
                  <formatCode>0.00%</formatCode>
                  <v>0.0407947153446624</v>
                </pt>
                <pt idx="199">
                  <formatCode>0.00%</formatCode>
                  <v>0.03027880483661437</v>
                </pt>
                <pt idx="200">
                  <formatCode>0.00%</formatCode>
                  <v>0.02592886946155375</v>
                </pt>
                <pt idx="201">
                  <formatCode>0.00%</formatCode>
                  <v>0.03357014208525115</v>
                </pt>
                <pt idx="202">
                  <formatCode>0.00%</formatCode>
                  <v>0.04268231517704885</v>
                </pt>
                <pt idx="203">
                  <formatCode>0.00%</formatCode>
                  <v>0.04322824716267339</v>
                </pt>
                <pt idx="204">
                  <formatCode>0.00%</formatCode>
                  <v>0.03146123260437376</v>
                </pt>
                <pt idx="205">
                  <formatCode>0.00%</formatCode>
                  <v>0.03091868435327186</v>
                </pt>
                <pt idx="206">
                  <formatCode>0.00%</formatCode>
                  <v>0.03055993690851735</v>
                </pt>
                <pt idx="207">
                  <formatCode>0.00%</formatCode>
                  <v>0.04397184215744596</v>
                </pt>
                <pt idx="208">
                  <formatCode>0.00%</formatCode>
                  <v>0.0284865601869887</v>
                </pt>
                <pt idx="209">
                  <formatCode>0.00%</formatCode>
                  <v>0.02722349612138362</v>
                </pt>
                <pt idx="210">
                  <formatCode>0.00%</formatCode>
                  <v>0.01875</v>
                </pt>
                <pt idx="211">
                  <formatCode>0.00%</formatCode>
                  <v>0.02182347235693502</v>
                </pt>
                <pt idx="212">
                  <formatCode>0.00%</formatCode>
                  <v>0.02793647719570059</v>
                </pt>
                <pt idx="213">
                  <formatCode>0.00%</formatCode>
                  <v>0.02996272810881456</v>
                </pt>
                <pt idx="214">
                  <formatCode>0.00%</formatCode>
                  <v>0.02400307855115686</v>
                </pt>
                <pt idx="215">
                  <formatCode>0.00%</formatCode>
                  <v>0.02480417754569191</v>
                </pt>
                <pt idx="216">
                  <formatCode>0.00%</formatCode>
                  <v>0.02091263913651038</v>
                </pt>
                <pt idx="217">
                  <formatCode>0.00%</formatCode>
                  <v>0.01401511527791065</v>
                </pt>
                <pt idx="218">
                  <formatCode>0.00%</formatCode>
                  <v>0.02176200497417257</v>
                </pt>
                <pt idx="219">
                  <formatCode>0.00%</formatCode>
                  <v>0.01956408186523577</v>
                </pt>
                <pt idx="220">
                  <formatCode>0.00%</formatCode>
                  <v>0.01316225557502012</v>
                </pt>
                <pt idx="221">
                  <formatCode>0.00%</formatCode>
                  <v>0.02878176205176917</v>
                </pt>
                <pt idx="222">
                  <formatCode>0.00%</formatCode>
                  <v>0.03357587863223475</v>
                </pt>
                <pt idx="223">
                  <formatCode>0.00%</formatCode>
                  <v>0.03763644992880873</v>
                </pt>
                <pt idx="224">
                  <formatCode>0.00%</formatCode>
                  <v>0.03094531581178465</v>
                </pt>
                <pt idx="225">
                  <formatCode>0.00%</formatCode>
                  <v>0.03886643481530219</v>
                </pt>
                <pt idx="226">
                  <formatCode>0.00%</formatCode>
                  <v>0.04190154077414506</v>
                </pt>
                <pt idx="227">
                  <formatCode>0.00%</formatCode>
                  <v>0.0508138711960368</v>
                </pt>
                <pt idx="228">
                  <formatCode>0.00%</formatCode>
                  <v>0.07117572096096662</v>
                </pt>
                <pt idx="229">
                  <formatCode>0.00%</formatCode>
                  <v>0.05797443275626209</v>
                </pt>
                <pt idx="230">
                  <formatCode>0.00%</formatCode>
                  <v>0.05617188597107148</v>
                </pt>
                <pt idx="231">
                  <formatCode>0.00%</formatCode>
                  <v>0.04550323692422337</v>
                </pt>
                <pt idx="232">
                  <formatCode>0.00%</formatCode>
                  <v>0.05649796719472872</v>
                </pt>
                <pt idx="233">
                  <formatCode>0.00%</formatCode>
                  <v>0.04367296062046997</v>
                </pt>
                <pt idx="234">
                  <formatCode>0.00%</formatCode>
                  <v>0.04578291078084019</v>
                </pt>
                <pt idx="235">
                  <formatCode>0.00%</formatCode>
                  <v>0.04386406257146778</v>
                </pt>
                <pt idx="236">
                  <formatCode>0.00%</formatCode>
                  <v>0.0379203216374269</v>
                </pt>
                <pt idx="237">
                  <formatCode>0.00%</formatCode>
                  <v>0.0327980095001131</v>
                </pt>
                <pt idx="238">
                  <formatCode>0.00%</formatCode>
                  <v>0.02502254283137962</v>
                </pt>
                <pt idx="239">
                  <formatCode>0.00%</formatCode>
                  <v>0.01724137931034483</v>
                </pt>
                <pt idx="240">
                  <formatCode>0.00%</formatCode>
                  <v>0.01224939413967834</v>
                </pt>
                <pt idx="241">
                  <formatCode>0.00%</formatCode>
                  <v>0.02545924736935973</v>
                </pt>
                <pt idx="242">
                  <formatCode>0.00%</formatCode>
                  <v>0.01693037273412223</v>
                </pt>
                <pt idx="243">
                  <formatCode>0.00%</formatCode>
                  <v>0.02659479686386315</v>
                </pt>
                <pt idx="244">
                  <formatCode>0.00%</formatCode>
                  <v>0.01216383581033263</v>
                </pt>
                <pt idx="245">
                  <formatCode>0.00%</formatCode>
                  <v>-0.006015835803069846</v>
                </pt>
                <pt idx="246">
                  <formatCode>0.00%</formatCode>
                  <v>0.002859908482928546</v>
                </pt>
                <pt idx="247">
                  <formatCode>0.00%</formatCode>
                  <v>-0.003549206905617387</v>
                </pt>
                <pt idx="248">
                  <formatCode>0.00%</formatCode>
                  <v>-0.004841975526014614</v>
                </pt>
                <pt idx="249">
                  <formatCode>0.00%</formatCode>
                  <v>-0.01427945685501533</v>
                </pt>
                <pt idx="250">
                  <formatCode>0.00%</formatCode>
                  <v>-0.00325489333626567</v>
                </pt>
                <pt idx="251">
                  <formatCode>0.00%</formatCode>
                  <v>0.01068149717514124</v>
                </pt>
                <pt idx="252">
                  <formatCode>0.00%</formatCode>
                  <v>0.008444695947416533</v>
                </pt>
                <pt idx="253">
                  <formatCode>0.00%</formatCode>
                  <v>-0.0003043610591764859</v>
                </pt>
                <pt idx="254">
                  <formatCode>0.00%</formatCode>
                  <v>0.003486598387448246</v>
                </pt>
                <pt idx="255">
                  <formatCode>0.00%</formatCode>
                  <v>-0.005207203297895422</v>
                </pt>
                <pt idx="256">
                  <formatCode>0.00%</formatCode>
                  <v>0.006030677795743565</v>
                </pt>
                <pt idx="257">
                  <formatCode>0.00%</formatCode>
                  <v>0.02358595523118686</v>
                </pt>
                <pt idx="258">
                  <formatCode>0.00%</formatCode>
                  <v>0.02057649278287194</v>
                </pt>
                <pt idx="259">
                  <formatCode>0.00%</formatCode>
                  <v>0.02255837474165604</v>
                </pt>
                <pt idx="260">
                  <formatCode>0.00%</formatCode>
                  <v>0.0471514508138712</v>
                </pt>
                <pt idx="261">
                  <formatCode>0.00%</formatCode>
                  <v>0.05270174191254888</v>
                </pt>
                <pt idx="262">
                  <formatCode>0.00%</formatCode>
                  <v>0.04633511319006222</v>
                </pt>
                <pt idx="263">
                  <formatCode>0.00%</formatCode>
                  <v>0.03742684950650712</v>
                </pt>
                <pt idx="264">
                  <formatCode>0.00%</formatCode>
                  <v>0.02451763283981525</v>
                </pt>
                <pt idx="265">
                  <formatCode>0.00%</formatCode>
                  <v>0.03696938065414057</v>
                </pt>
                <pt idx="266">
                  <formatCode>0.00%</formatCode>
                  <v>0.04186753528773073</v>
                </pt>
                <pt idx="267">
                  <formatCode>0.00%</formatCode>
                  <v>0.05522355507088331</v>
                </pt>
                <pt idx="268">
                  <formatCode>0.00%</formatCode>
                  <v>0.06524477650840536</v>
                </pt>
                <pt idx="269">
                  <formatCode>0.00%</formatCode>
                  <v>0.07460545193687231</v>
                </pt>
                <pt idx="270">
                  <formatCode>0.00%</formatCode>
                  <v>0.06310721348121399</v>
                </pt>
                <pt idx="271">
                  <formatCode>0.00%</formatCode>
                  <v>0.06803130644190247</v>
                </pt>
                <pt idx="272">
                  <formatCode>0.00%</formatCode>
                  <v>0.05385655149108727</v>
                </pt>
                <pt idx="273">
                  <formatCode>0.00%</formatCode>
                  <v>0.04934571549176868</v>
                </pt>
                <pt idx="274">
                  <formatCode>0.00%</formatCode>
                  <v>0.05225422799544515</v>
                </pt>
                <pt idx="275">
                  <formatCode>0.00%</formatCode>
                  <v>0.05733529783203536</v>
                </pt>
                <pt idx="276">
                  <formatCode>0.00%</formatCode>
                  <v>0.06648409521803245</v>
                </pt>
                <pt idx="277">
                  <formatCode>0.00%</formatCode>
                  <v>0.05322540055364483</v>
                </pt>
                <pt idx="278">
                  <formatCode>0.00%</formatCode>
                  <v>0.06924006836466715</v>
                </pt>
                <pt idx="279">
                  <formatCode>0.00%</formatCode>
                  <v>0.0427431689471291</v>
                </pt>
                <pt idx="280">
                  <formatCode>0.00%</formatCode>
                  <v>0.02768829262325164</v>
                </pt>
                <pt idx="281">
                  <formatCode>0.00%</formatCode>
                  <v>0.02609539992717563</v>
                </pt>
                <pt idx="282">
                  <formatCode>0.00%</formatCode>
                  <v>0.03687828548321876</v>
                </pt>
                <pt idx="283">
                  <formatCode>0.00%</formatCode>
                  <v>0.03945885005636979</v>
                </pt>
                <pt idx="284">
                  <formatCode>0.00%</formatCode>
                  <v>0.04461100645316445</v>
                </pt>
                <pt idx="285">
                  <formatCode>0.00%</formatCode>
                  <v>0.04284162677501106</v>
                </pt>
                <pt idx="286">
                  <formatCode>0.00%</formatCode>
                  <v>0.04601202404809619</v>
                </pt>
                <pt idx="287">
                  <formatCode>0.00%</formatCode>
                  <v>0.0470199466496795</v>
                </pt>
                <pt idx="288">
                  <formatCode>0.00%</formatCode>
                  <v>0.03417216450045431</v>
                </pt>
                <pt idx="289">
                  <formatCode>0.00%</formatCode>
                  <v>0.06534984668073753</v>
                </pt>
                <pt idx="290">
                  <formatCode>0.00%</formatCode>
                  <v>0.0357504873294347</v>
                </pt>
                <pt idx="291">
                  <formatCode>0.00%</formatCode>
                  <v>0.06168483647175421</v>
                </pt>
                <pt idx="292">
                  <formatCode>0.00%</formatCode>
                  <v>0.05943972700579319</v>
                </pt>
                <pt idx="293">
                  <formatCode>0.00%</formatCode>
                  <v>0.05973503666903241</v>
                </pt>
                <pt idx="294">
                  <formatCode>0.00%</formatCode>
                  <v>0.04691521722174558</v>
                </pt>
                <pt idx="295">
                  <formatCode>0.00%</formatCode>
                  <v>0.03594669972110319</v>
                </pt>
                <pt idx="296">
                  <formatCode>0.00%</formatCode>
                  <v>0.02378942521679073</v>
                </pt>
                <pt idx="297">
                  <formatCode>0.00%</formatCode>
                  <v>-0.001157228822712544</v>
                </pt>
                <pt idx="298">
                  <formatCode>0.00%</formatCode>
                  <v>0.0008046593608705648</v>
                </pt>
                <pt idx="299">
                  <formatCode>0.00%</formatCode>
                  <v>-0.004525058939843334</v>
                </pt>
                <pt idx="300">
                  <formatCode>0.00%</formatCode>
                  <v>-0.001107800443120177</v>
                </pt>
                <pt idx="301">
                  <formatCode>0.00%</formatCode>
                  <v>-0.01140101674641148</v>
                </pt>
                <pt idx="302">
                  <formatCode>0.00%</formatCode>
                  <v>0.0004893288666390635</v>
                </pt>
                <pt idx="303">
                  <formatCode>0.00%</formatCode>
                  <v>-0.0006721182928195363</v>
                </pt>
                <pt idx="304">
                  <formatCode>0.00%</formatCode>
                  <v>0.002434456928838951</v>
                </pt>
                <pt idx="305">
                  <formatCode>0.00%</formatCode>
                  <v>0.004985675484615098</v>
                </pt>
                <pt idx="306">
                  <formatCode>0.00%</formatCode>
                  <v>0.007524678711119389</v>
                </pt>
                <pt idx="307">
                  <formatCode>0.00%</formatCode>
                  <v>0.02202363146874065</v>
                </pt>
                <pt idx="308">
                  <formatCode>0.00%</formatCode>
                  <v>0.02672213477250581</v>
                </pt>
                <pt idx="309">
                  <formatCode>0.00%</formatCode>
                  <v>0.06430061017996447</v>
                </pt>
                <pt idx="310">
                  <formatCode>0.00%</formatCode>
                  <v>0.06133466059190627</v>
                </pt>
                <pt idx="311">
                  <formatCode>0.00%</formatCode>
                  <v>0.05439474387868139</v>
                </pt>
                <pt idx="312">
                  <formatCode>0.00%</formatCode>
                  <v>0.05560442081915178</v>
                </pt>
                <pt idx="313">
                  <formatCode>0.00%</formatCode>
                  <v>0.03958861118463342</v>
                </pt>
                <pt idx="314">
                  <formatCode>0.00%</formatCode>
                  <v>0.04048156508653122</v>
                </pt>
                <pt idx="315">
                  <formatCode>0.00%</formatCode>
                  <v>0.04435227739790008</v>
                </pt>
                <pt idx="316">
                  <formatCode>0.00%</formatCode>
                  <v>0.05712684475994769</v>
                </pt>
                <pt idx="317">
                  <formatCode>0.00%</formatCode>
                  <v>0.04131650068490615</v>
                </pt>
                <pt idx="318">
                  <formatCode>0.00%</formatCode>
                  <v>0.04662254593855141</v>
                </pt>
                <pt idx="319">
                  <formatCode>0.00%</formatCode>
                  <v>0.04397614605056159</v>
                </pt>
                <pt idx="320">
                  <formatCode>0.00%</formatCode>
                  <v>0.03515240007300603</v>
                </pt>
                <pt idx="321">
                  <formatCode>0.00%</formatCode>
                  <v>0.0356689284807141</v>
                </pt>
                <pt idx="322">
                  <formatCode>0.00%</formatCode>
                  <v>0.04931279535370297</v>
                </pt>
                <pt idx="323">
                  <formatCode>0.00%</formatCode>
                  <v>0.008839618882005578</v>
                </pt>
                <pt idx="324">
                  <formatCode>0.00%</formatCode>
                  <v>0.0371698728399087</v>
                </pt>
                <pt idx="325">
                  <formatCode>0.00%</formatCode>
                  <v>0.05022914090346985</v>
                </pt>
                <pt idx="326">
                  <formatCode>0.00%</formatCode>
                  <v>0.04234162568701186</v>
                </pt>
                <pt idx="327">
                  <formatCode>0.00%</formatCode>
                  <v>0.0275134168157424</v>
                </pt>
                <pt idx="328">
                  <formatCode>0.00%</formatCode>
                  <v>0.02007492754647628</v>
                </pt>
                <pt idx="329">
                  <formatCode>0.00%</formatCode>
                  <v>0.0241049525367085</v>
                </pt>
                <pt idx="330">
                  <formatCode>0.00%</formatCode>
                  <v>0.01261127596439169</v>
                </pt>
                <pt idx="331">
                  <formatCode>0.00%</formatCode>
                  <v>0.001577010688628001</v>
                </pt>
                <pt idx="332">
                  <formatCode>0.00%</formatCode>
                  <v>0.008533747090768037</v>
                </pt>
                <pt idx="333">
                  <formatCode>0.00%</formatCode>
                  <v>0.009354635274332562</v>
                </pt>
                <pt idx="334">
                  <formatCode>0.00%</formatCode>
                  <v>-0.0176017601760176</v>
                </pt>
                <pt idx="335">
                  <formatCode>0.00%</formatCode>
                  <v>0.01508241462276008</v>
                </pt>
                <pt idx="336">
                  <formatCode>0.00%</formatCode>
                  <v>0.01236508435502463</v>
                </pt>
                <pt idx="337">
                  <formatCode>0.00%</formatCode>
                  <v>0.01437229437229437</v>
                </pt>
                <pt idx="338">
                  <formatCode>0.00%</formatCode>
                  <v>0.06611856939674611</v>
                </pt>
                <pt idx="339">
                  <formatCode>0.00%</formatCode>
                  <v>-0.09108952261568996</v>
                </pt>
                <pt idx="340">
                  <formatCode>0.00%</formatCode>
                  <v>-0.0848520546046705</v>
                </pt>
                <pt idx="341">
                  <formatCode>0.00%</formatCode>
                  <v>-0.007845860093733727</v>
                </pt>
                <pt idx="342">
                  <formatCode>0.00%</formatCode>
                  <v>0.0526077097505669</v>
                </pt>
                <pt idx="343">
                  <formatCode>0.00%</formatCode>
                  <v>0.04275717284814556</v>
                </pt>
                <pt idx="344">
                  <formatCode>0.00%</formatCode>
                  <v>0.05853146853146853</v>
                </pt>
                <pt idx="345">
                  <formatCode>0.00%</formatCode>
                  <v>0.04724218126279982</v>
                </pt>
                <pt idx="346">
                  <formatCode>0.00%</formatCode>
                  <v>0.03926371780515118</v>
                </pt>
                <pt idx="347">
                  <formatCode>0.00%</formatCode>
                  <v>0.05946863834152899</v>
                </pt>
                <pt idx="348">
                  <formatCode>0.00%</formatCode>
                  <v>0.034295966601111</v>
                </pt>
                <pt idx="349">
                  <formatCode>0.00%</formatCode>
                  <v>0.01536360532604985</v>
                </pt>
                <pt idx="350">
                  <formatCode>0.00%</formatCode>
                  <v>0.05368821787654963</v>
                </pt>
                <pt idx="351">
                  <formatCode>0.00%</formatCode>
                  <v>0.237980308776769</v>
                </pt>
                <pt idx="352">
                  <formatCode>0.00%</formatCode>
                  <v>0.1937682201946011</v>
                </pt>
                <pt idx="353">
                  <formatCode>0.00%</formatCode>
                  <v>0.1447216487630778</v>
                </pt>
                <pt idx="354">
                  <formatCode>0.00%</formatCode>
                  <v>0.07751963676134292</v>
                </pt>
                <pt idx="355">
                  <formatCode>0.00%</formatCode>
                  <v>0.1005637205556674</v>
                </pt>
                <pt idx="356">
                  <formatCode>0.00%</formatCode>
                  <v>0.07501486423994186</v>
                </pt>
                <pt idx="357">
                  <formatCode>0.00%</formatCode>
                  <v>0.07537288697381504</v>
                </pt>
                <pt idx="358">
                  <formatCode>0.00%</formatCode>
                  <v>0.1042157721058657</v>
                </pt>
                <pt idx="359">
                  <formatCode>0.00%</formatCode>
                  <v>0.09513156137304661</v>
                </pt>
                <pt idx="360">
                  <formatCode>0.00%</formatCode>
                  <v>0.09467258231310671</v>
                </pt>
                <pt idx="361">
                  <formatCode>0.00%</formatCode>
                  <v>0.09095494283792871</v>
                </pt>
                <pt idx="362">
                  <formatCode>0.00%</formatCode>
                  <v>0.01173455207979495</v>
                </pt>
                <pt idx="363">
                  <formatCode>0.00%</formatCode>
                  <v>0.02002166176698128</v>
                </pt>
                <pt idx="364">
                  <formatCode>0.00%</formatCode>
                  <v>0.04611334876787923</v>
                </pt>
                <pt idx="365">
                  <formatCode>0.00%</formatCode>
                  <v>0.02173314993122421</v>
                </pt>
                <pt idx="366">
                  <formatCode>0.00%</formatCode>
                  <v>0.03472563976377953</v>
                </pt>
                <pt idx="367">
                  <formatCode>0.00%</formatCode>
                  <v>0.03015335833409555</v>
                </pt>
                <pt idx="368">
                  <formatCode>0.00%</formatCode>
                  <v>0.0431402673221693</v>
                </pt>
              </numCache>
            </numRef>
          </val>
          <smooth val="0"/>
        </ser>
        <dLbls>
          <showLegendKey val="0"/>
          <showVal val="0"/>
          <showCatName val="0"/>
          <showSerName val="0"/>
          <showPercent val="0"/>
          <showBubbleSize val="0"/>
        </dLbls>
        <smooth val="0"/>
        <axId val="892479320"/>
        <axId val="892479648"/>
      </lineChart>
      <dateAx>
        <axId val="892479320"/>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92479648"/>
        <crosses val="autoZero"/>
        <lblOffset val="100"/>
        <baseTimeUnit val="months"/>
      </dateAx>
      <valAx>
        <axId val="8924796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92479320"/>
        <crosses val="autoZero"/>
        <crossBetween val="between"/>
      </valAx>
    </plotArea>
    <plotVisOnly val="1"/>
    <dispBlanksAs val="gap"/>
  </chart>
</chartSpace>
</file>

<file path=xl/charts/chart16.xml><?xml version="1.0" encoding="utf-8"?>
<chartSpace xmlns="http://schemas.openxmlformats.org/drawingml/2006/chart">
  <chart>
    <title>
      <tx>
        <strRef>
          <f>'Sporting Goods'!$B$6</f>
          <strCache>
            <ptCount val="1"/>
            <pt idx="0">
              <v>Sporting Goods, Millions of Dollars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'Sporting Goods'!$B$6</f>
              <strCache>
                <ptCount val="1"/>
                <pt idx="0">
                  <v>Sporting Goods, Millions of Dollars</v>
                </pt>
              </strCache>
            </strRef>
          </tx>
          <spPr>
            <a:ln xmlns:a="http://schemas.openxmlformats.org/drawingml/2006/main">
              <a:prstDash val="solid"/>
            </a:ln>
          </spPr>
          <marker>
            <symbol val="none"/>
            <spPr>
              <a:ln xmlns:a="http://schemas.openxmlformats.org/drawingml/2006/main">
                <a:prstDash val="solid"/>
              </a:ln>
            </spPr>
          </marker>
          <cat>
            <numRef>
              <f>'Sporting Goods'!$A$7:$A$375</f>
              <numCache>
                <formatCode>[$-409]mmm\-yy;@</formatCode>
                <ptCount val="369"/>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numCache>
            </numRef>
          </cat>
          <val>
            <numRef>
              <f>'Sporting Goods'!$B$7:$B$375</f>
              <numCache>
                <formatCode>#,##0</formatCode>
                <ptCount val="369"/>
                <pt idx="0">
                  <v>3385</v>
                </pt>
                <pt idx="1">
                  <v>3516</v>
                </pt>
                <pt idx="2">
                  <v>3482</v>
                </pt>
                <pt idx="3">
                  <v>3535</v>
                </pt>
                <pt idx="4">
                  <v>3512</v>
                </pt>
                <pt idx="5">
                  <v>3549</v>
                </pt>
                <pt idx="6">
                  <v>3586</v>
                </pt>
                <pt idx="7">
                  <v>3512</v>
                </pt>
                <pt idx="8">
                  <v>3566</v>
                </pt>
                <pt idx="9">
                  <v>3607</v>
                </pt>
                <pt idx="10">
                  <v>3626</v>
                </pt>
                <pt idx="11">
                  <v>3800</v>
                </pt>
                <pt idx="12">
                  <v>3648</v>
                </pt>
                <pt idx="13">
                  <v>3585</v>
                </pt>
                <pt idx="14">
                  <v>3608</v>
                </pt>
                <pt idx="15">
                  <v>3749</v>
                </pt>
                <pt idx="16">
                  <v>3746</v>
                </pt>
                <pt idx="17">
                  <v>3702</v>
                </pt>
                <pt idx="18">
                  <v>3810</v>
                </pt>
                <pt idx="19">
                  <v>3804</v>
                </pt>
                <pt idx="20">
                  <v>3825</v>
                </pt>
                <pt idx="21">
                  <v>3817</v>
                </pt>
                <pt idx="22">
                  <v>3930</v>
                </pt>
                <pt idx="23">
                  <v>4018</v>
                </pt>
                <pt idx="24">
                  <v>3981</v>
                </pt>
                <pt idx="25">
                  <v>4095</v>
                </pt>
                <pt idx="26">
                  <v>4131</v>
                </pt>
                <pt idx="27">
                  <v>4035</v>
                </pt>
                <pt idx="28">
                  <v>4119</v>
                </pt>
                <pt idx="29">
                  <v>4135</v>
                </pt>
                <pt idx="30">
                  <v>4111</v>
                </pt>
                <pt idx="31">
                  <v>4249</v>
                </pt>
                <pt idx="32">
                  <v>4306</v>
                </pt>
                <pt idx="33">
                  <v>4347</v>
                </pt>
                <pt idx="34">
                  <v>4221</v>
                </pt>
                <pt idx="35">
                  <v>4255</v>
                </pt>
                <pt idx="36">
                  <v>4436</v>
                </pt>
                <pt idx="37">
                  <v>4298</v>
                </pt>
                <pt idx="38">
                  <v>4347</v>
                </pt>
                <pt idx="39">
                  <v>4345</v>
                </pt>
                <pt idx="40">
                  <v>4380</v>
                </pt>
                <pt idx="41">
                  <v>4421</v>
                </pt>
                <pt idx="42">
                  <v>4429</v>
                </pt>
                <pt idx="43">
                  <v>4462</v>
                </pt>
                <pt idx="44">
                  <v>4441</v>
                </pt>
                <pt idx="45">
                  <v>4414</v>
                </pt>
                <pt idx="46">
                  <v>4532</v>
                </pt>
                <pt idx="47">
                  <v>4505</v>
                </pt>
                <pt idx="48">
                  <v>4600</v>
                </pt>
                <pt idx="49">
                  <v>4485</v>
                </pt>
                <pt idx="50">
                  <v>4548</v>
                </pt>
                <pt idx="51">
                  <v>4628</v>
                </pt>
                <pt idx="52">
                  <v>4432</v>
                </pt>
                <pt idx="53">
                  <v>4609</v>
                </pt>
                <pt idx="54">
                  <v>4655</v>
                </pt>
                <pt idx="55">
                  <v>4738</v>
                </pt>
                <pt idx="56">
                  <v>4690</v>
                </pt>
                <pt idx="57">
                  <v>4769</v>
                </pt>
                <pt idx="58">
                  <v>4692</v>
                </pt>
                <pt idx="59">
                  <v>4940</v>
                </pt>
                <pt idx="60">
                  <v>4748</v>
                </pt>
                <pt idx="61">
                  <v>4666</v>
                </pt>
                <pt idx="62">
                  <v>4698</v>
                </pt>
                <pt idx="63">
                  <v>4725</v>
                </pt>
                <pt idx="64">
                  <v>4763</v>
                </pt>
                <pt idx="65">
                  <v>4838</v>
                </pt>
                <pt idx="66">
                  <v>4786</v>
                </pt>
                <pt idx="67">
                  <v>4745</v>
                </pt>
                <pt idx="68">
                  <v>4827</v>
                </pt>
                <pt idx="69">
                  <v>4878</v>
                </pt>
                <pt idx="70">
                  <v>5015</v>
                </pt>
                <pt idx="71">
                  <v>4915</v>
                </pt>
                <pt idx="72">
                  <v>4834</v>
                </pt>
                <pt idx="73">
                  <v>5027</v>
                </pt>
                <pt idx="74">
                  <v>5008</v>
                </pt>
                <pt idx="75">
                  <v>5036</v>
                </pt>
                <pt idx="76">
                  <v>4986</v>
                </pt>
                <pt idx="77">
                  <v>5083</v>
                </pt>
                <pt idx="78">
                  <v>5032</v>
                </pt>
                <pt idx="79">
                  <v>5057</v>
                </pt>
                <pt idx="80">
                  <v>5047</v>
                </pt>
                <pt idx="81">
                  <v>5108</v>
                </pt>
                <pt idx="82">
                  <v>5093</v>
                </pt>
                <pt idx="83">
                  <v>5154</v>
                </pt>
                <pt idx="84">
                  <v>5122</v>
                </pt>
                <pt idx="85">
                  <v>5292</v>
                </pt>
                <pt idx="86">
                  <v>5273</v>
                </pt>
                <pt idx="87">
                  <v>5277</v>
                </pt>
                <pt idx="88">
                  <v>5328</v>
                </pt>
                <pt idx="89">
                  <v>5367</v>
                </pt>
                <pt idx="90">
                  <v>5326</v>
                </pt>
                <pt idx="91">
                  <v>5290</v>
                </pt>
                <pt idx="92">
                  <v>5385</v>
                </pt>
                <pt idx="93">
                  <v>5373</v>
                </pt>
                <pt idx="94">
                  <v>5414</v>
                </pt>
                <pt idx="95">
                  <v>5455</v>
                </pt>
                <pt idx="96">
                  <v>5232</v>
                </pt>
                <pt idx="97">
                  <v>5541</v>
                </pt>
                <pt idx="98">
                  <v>5635</v>
                </pt>
                <pt idx="99">
                  <v>5649</v>
                </pt>
                <pt idx="100">
                  <v>5757</v>
                </pt>
                <pt idx="101">
                  <v>5686</v>
                </pt>
                <pt idx="102">
                  <v>5800</v>
                </pt>
                <pt idx="103">
                  <v>5633</v>
                </pt>
                <pt idx="104">
                  <v>5728</v>
                </pt>
                <pt idx="105">
                  <v>5626</v>
                </pt>
                <pt idx="106">
                  <v>5615</v>
                </pt>
                <pt idx="107">
                  <v>5601</v>
                </pt>
                <pt idx="108">
                  <v>5386</v>
                </pt>
                <pt idx="109">
                  <v>5715</v>
                </pt>
                <pt idx="110">
                  <v>5723</v>
                </pt>
                <pt idx="111">
                  <v>5658</v>
                </pt>
                <pt idx="112">
                  <v>5679</v>
                </pt>
                <pt idx="113">
                  <v>5621</v>
                </pt>
                <pt idx="114">
                  <v>5703</v>
                </pt>
                <pt idx="115">
                  <v>5775</v>
                </pt>
                <pt idx="116">
                  <v>5672</v>
                </pt>
                <pt idx="117">
                  <v>5798</v>
                </pt>
                <pt idx="118">
                  <v>6066</v>
                </pt>
                <pt idx="119">
                  <v>5797</v>
                </pt>
                <pt idx="120">
                  <v>5775</v>
                </pt>
                <pt idx="121">
                  <v>5711</v>
                </pt>
                <pt idx="122">
                  <v>5717</v>
                </pt>
                <pt idx="123">
                  <v>5799</v>
                </pt>
                <pt idx="124">
                  <v>5731</v>
                </pt>
                <pt idx="125">
                  <v>5670</v>
                </pt>
                <pt idx="126">
                  <v>5666</v>
                </pt>
                <pt idx="127">
                  <v>5689</v>
                </pt>
                <pt idx="128">
                  <v>5852</v>
                </pt>
                <pt idx="129">
                  <v>5839</v>
                </pt>
                <pt idx="130">
                  <v>5985</v>
                </pt>
                <pt idx="131">
                  <v>5809</v>
                </pt>
                <pt idx="132">
                  <v>5794</v>
                </pt>
                <pt idx="133">
                  <v>5576</v>
                </pt>
                <pt idx="134">
                  <v>5660</v>
                </pt>
                <pt idx="135">
                  <v>5709</v>
                </pt>
                <pt idx="136">
                  <v>5748</v>
                </pt>
                <pt idx="137">
                  <v>5908</v>
                </pt>
                <pt idx="138">
                  <v>5808</v>
                </pt>
                <pt idx="139">
                  <v>6132</v>
                </pt>
                <pt idx="140">
                  <v>5954</v>
                </pt>
                <pt idx="141">
                  <v>5841</v>
                </pt>
                <pt idx="142">
                  <v>6011</v>
                </pt>
                <pt idx="143">
                  <v>6013</v>
                </pt>
                <pt idx="144">
                  <v>6087</v>
                </pt>
                <pt idx="145">
                  <v>6093</v>
                </pt>
                <pt idx="146">
                  <v>6067</v>
                </pt>
                <pt idx="147">
                  <v>5941</v>
                </pt>
                <pt idx="148">
                  <v>5985</v>
                </pt>
                <pt idx="149">
                  <v>6017</v>
                </pt>
                <pt idx="150">
                  <v>6124</v>
                </pt>
                <pt idx="151">
                  <v>6192</v>
                </pt>
                <pt idx="152">
                  <v>6111</v>
                </pt>
                <pt idx="153">
                  <v>6094</v>
                </pt>
                <pt idx="154">
                  <v>6140</v>
                </pt>
                <pt idx="155">
                  <v>6122</v>
                </pt>
                <pt idx="156">
                  <v>6192</v>
                </pt>
                <pt idx="157">
                  <v>6269</v>
                </pt>
                <pt idx="158">
                  <v>6137</v>
                </pt>
                <pt idx="159">
                  <v>6318</v>
                </pt>
                <pt idx="160">
                  <v>6232</v>
                </pt>
                <pt idx="161">
                  <v>6135</v>
                </pt>
                <pt idx="162">
                  <v>6239</v>
                </pt>
                <pt idx="163">
                  <v>6274</v>
                </pt>
                <pt idx="164">
                  <v>6155</v>
                </pt>
                <pt idx="165">
                  <v>6377</v>
                </pt>
                <pt idx="166">
                  <v>6287</v>
                </pt>
                <pt idx="167">
                  <v>6462</v>
                </pt>
                <pt idx="168">
                  <v>6735</v>
                </pt>
                <pt idx="169">
                  <v>6629</v>
                </pt>
                <pt idx="170">
                  <v>6610</v>
                </pt>
                <pt idx="171">
                  <v>6580</v>
                </pt>
                <pt idx="172">
                  <v>6503</v>
                </pt>
                <pt idx="173">
                  <v>6524</v>
                </pt>
                <pt idx="174">
                  <v>6461</v>
                </pt>
                <pt idx="175">
                  <v>6412</v>
                </pt>
                <pt idx="176">
                  <v>6690</v>
                </pt>
                <pt idx="177">
                  <v>6589</v>
                </pt>
                <pt idx="178">
                  <v>6461</v>
                </pt>
                <pt idx="179">
                  <v>6566</v>
                </pt>
                <pt idx="180">
                  <v>6489</v>
                </pt>
                <pt idx="181">
                  <v>6494</v>
                </pt>
                <pt idx="182">
                  <v>6779</v>
                </pt>
                <pt idx="183">
                  <v>6640</v>
                </pt>
                <pt idx="184">
                  <v>6805</v>
                </pt>
                <pt idx="185">
                  <v>6850</v>
                </pt>
                <pt idx="186">
                  <v>6936</v>
                </pt>
                <pt idx="187">
                  <v>6780</v>
                </pt>
                <pt idx="188">
                  <v>6749</v>
                </pt>
                <pt idx="189">
                  <v>6834</v>
                </pt>
                <pt idx="190">
                  <v>6940</v>
                </pt>
                <pt idx="191">
                  <v>6756</v>
                </pt>
                <pt idx="192">
                  <v>6818</v>
                </pt>
                <pt idx="193">
                  <v>6751</v>
                </pt>
                <pt idx="194">
                  <v>6733</v>
                </pt>
                <pt idx="195">
                  <v>6809</v>
                </pt>
                <pt idx="196">
                  <v>6949</v>
                </pt>
                <pt idx="197">
                  <v>6879</v>
                </pt>
                <pt idx="198">
                  <v>6858</v>
                </pt>
                <pt idx="199">
                  <v>6931</v>
                </pt>
                <pt idx="200">
                  <v>6536</v>
                </pt>
                <pt idx="201">
                  <v>6426</v>
                </pt>
                <pt idx="202">
                  <v>6431</v>
                </pt>
                <pt idx="203">
                  <v>6470</v>
                </pt>
                <pt idx="204">
                  <v>6661</v>
                </pt>
                <pt idx="205">
                  <v>6535</v>
                </pt>
                <pt idx="206">
                  <v>6360</v>
                </pt>
                <pt idx="207">
                  <v>6514</v>
                </pt>
                <pt idx="208">
                  <v>6453</v>
                </pt>
                <pt idx="209">
                  <v>6473</v>
                </pt>
                <pt idx="210">
                  <v>6455</v>
                </pt>
                <pt idx="211">
                  <v>6628</v>
                </pt>
                <pt idx="212">
                  <v>6484</v>
                </pt>
                <pt idx="213">
                  <v>6408</v>
                </pt>
                <pt idx="214">
                  <v>6307</v>
                </pt>
                <pt idx="215">
                  <v>6523</v>
                </pt>
                <pt idx="216">
                  <v>6507</v>
                </pt>
                <pt idx="217">
                  <v>6412</v>
                </pt>
                <pt idx="218">
                  <v>6515</v>
                </pt>
                <pt idx="219">
                  <v>6409</v>
                </pt>
                <pt idx="220">
                  <v>6496</v>
                </pt>
                <pt idx="221">
                  <v>6497</v>
                </pt>
                <pt idx="222">
                  <v>6516</v>
                </pt>
                <pt idx="223">
                  <v>6441</v>
                </pt>
                <pt idx="224">
                  <v>6469</v>
                </pt>
                <pt idx="225">
                  <v>6579</v>
                </pt>
                <pt idx="226">
                  <v>6723</v>
                </pt>
                <pt idx="227">
                  <v>6588</v>
                </pt>
                <pt idx="228">
                  <v>6565</v>
                </pt>
                <pt idx="229">
                  <v>6611</v>
                </pt>
                <pt idx="230">
                  <v>6566</v>
                </pt>
                <pt idx="231">
                  <v>6608</v>
                </pt>
                <pt idx="232">
                  <v>6542</v>
                </pt>
                <pt idx="233">
                  <v>6585</v>
                </pt>
                <pt idx="234">
                  <v>6462</v>
                </pt>
                <pt idx="235">
                  <v>6661</v>
                </pt>
                <pt idx="236">
                  <v>6686</v>
                </pt>
                <pt idx="237">
                  <v>6605</v>
                </pt>
                <pt idx="238">
                  <v>6544</v>
                </pt>
                <pt idx="239">
                  <v>6353</v>
                </pt>
                <pt idx="240">
                  <v>6575</v>
                </pt>
                <pt idx="241">
                  <v>6683</v>
                </pt>
                <pt idx="242">
                  <v>6815</v>
                </pt>
                <pt idx="243">
                  <v>6859</v>
                </pt>
                <pt idx="244">
                  <v>6869</v>
                </pt>
                <pt idx="245">
                  <v>6797</v>
                </pt>
                <pt idx="246">
                  <v>6813</v>
                </pt>
                <pt idx="247">
                  <v>6715</v>
                </pt>
                <pt idx="248">
                  <v>6720</v>
                </pt>
                <pt idx="249">
                  <v>6749</v>
                </pt>
                <pt idx="250">
                  <v>6675</v>
                </pt>
                <pt idx="251">
                  <v>6828</v>
                </pt>
                <pt idx="252">
                  <v>7012</v>
                </pt>
                <pt idx="253">
                  <v>7021</v>
                </pt>
                <pt idx="254">
                  <v>6899</v>
                </pt>
                <pt idx="255">
                  <v>6795</v>
                </pt>
                <pt idx="256">
                  <v>6862</v>
                </pt>
                <pt idx="257">
                  <v>6913</v>
                </pt>
                <pt idx="258">
                  <v>6938</v>
                </pt>
                <pt idx="259">
                  <v>6713</v>
                </pt>
                <pt idx="260">
                  <v>6877</v>
                </pt>
                <pt idx="261">
                  <v>6860</v>
                </pt>
                <pt idx="262">
                  <v>6875</v>
                </pt>
                <pt idx="263">
                  <v>6861</v>
                </pt>
                <pt idx="264">
                  <v>6488</v>
                </pt>
                <pt idx="265">
                  <v>6795</v>
                </pt>
                <pt idx="266">
                  <v>6803</v>
                </pt>
                <pt idx="267">
                  <v>6894</v>
                </pt>
                <pt idx="268">
                  <v>6860</v>
                </pt>
                <pt idx="269">
                  <v>6950</v>
                </pt>
                <pt idx="270">
                  <v>6922</v>
                </pt>
                <pt idx="271">
                  <v>7122</v>
                </pt>
                <pt idx="272">
                  <v>7043</v>
                </pt>
                <pt idx="273">
                  <v>7156</v>
                </pt>
                <pt idx="274">
                  <v>7147</v>
                </pt>
                <pt idx="275">
                  <v>7066</v>
                </pt>
                <pt idx="276">
                  <v>6939</v>
                </pt>
                <pt idx="277">
                  <v>6977</v>
                </pt>
                <pt idx="278">
                  <v>7061</v>
                </pt>
                <pt idx="279">
                  <v>7084</v>
                </pt>
                <pt idx="280">
                  <v>7121</v>
                </pt>
                <pt idx="281">
                  <v>7069</v>
                </pt>
                <pt idx="282">
                  <v>7124</v>
                </pt>
                <pt idx="283">
                  <v>7158</v>
                </pt>
                <pt idx="284">
                  <v>7188</v>
                </pt>
                <pt idx="285">
                  <v>7082</v>
                </pt>
                <pt idx="286">
                  <v>7195</v>
                </pt>
                <pt idx="287">
                  <v>7336</v>
                </pt>
                <pt idx="288">
                  <v>7292</v>
                </pt>
                <pt idx="289">
                  <v>7272</v>
                </pt>
                <pt idx="290">
                  <v>7257</v>
                </pt>
                <pt idx="291">
                  <v>7190</v>
                </pt>
                <pt idx="292">
                  <v>7246</v>
                </pt>
                <pt idx="293">
                  <v>7573</v>
                </pt>
                <pt idx="294">
                  <v>7203</v>
                </pt>
                <pt idx="295">
                  <v>7013</v>
                </pt>
                <pt idx="296">
                  <v>7045</v>
                </pt>
                <pt idx="297">
                  <v>7094</v>
                </pt>
                <pt idx="298">
                  <v>6952</v>
                </pt>
                <pt idx="299">
                  <v>7069</v>
                </pt>
                <pt idx="300">
                  <v>7223</v>
                </pt>
                <pt idx="301">
                  <v>7058</v>
                </pt>
                <pt idx="302">
                  <v>6974</v>
                </pt>
                <pt idx="303">
                  <v>7046</v>
                </pt>
                <pt idx="304">
                  <v>6951</v>
                </pt>
                <pt idx="305">
                  <v>6963</v>
                </pt>
                <pt idx="306">
                  <v>6854</v>
                </pt>
                <pt idx="307">
                  <v>6921</v>
                </pt>
                <pt idx="308">
                  <v>6985</v>
                </pt>
                <pt idx="309">
                  <v>7013</v>
                </pt>
                <pt idx="310">
                  <v>7124</v>
                </pt>
                <pt idx="311">
                  <v>7077</v>
                </pt>
                <pt idx="312">
                  <v>6820</v>
                </pt>
                <pt idx="313">
                  <v>7092</v>
                </pt>
                <pt idx="314">
                  <v>7153</v>
                </pt>
                <pt idx="315">
                  <v>7051</v>
                </pt>
                <pt idx="316">
                  <v>7044</v>
                </pt>
                <pt idx="317">
                  <v>6830</v>
                </pt>
                <pt idx="318">
                  <v>6574</v>
                </pt>
                <pt idx="319">
                  <v>6515</v>
                </pt>
                <pt idx="320">
                  <v>6426</v>
                </pt>
                <pt idx="321">
                  <v>6426</v>
                </pt>
                <pt idx="322">
                  <v>6473</v>
                </pt>
                <pt idx="323">
                  <v>6366</v>
                </pt>
                <pt idx="324">
                  <v>6477</v>
                </pt>
                <pt idx="325">
                  <v>6536</v>
                </pt>
                <pt idx="326">
                  <v>6558</v>
                </pt>
                <pt idx="327">
                  <v>6683</v>
                </pt>
                <pt idx="328">
                  <v>6717</v>
                </pt>
                <pt idx="329">
                  <v>6799</v>
                </pt>
                <pt idx="330">
                  <v>6680</v>
                </pt>
                <pt idx="331">
                  <v>6740</v>
                </pt>
                <pt idx="332">
                  <v>6698</v>
                </pt>
                <pt idx="333">
                  <v>6742</v>
                </pt>
                <pt idx="334">
                  <v>6532</v>
                </pt>
                <pt idx="335">
                  <v>6720</v>
                </pt>
                <pt idx="336">
                  <v>6702</v>
                </pt>
                <pt idx="337">
                  <v>6635</v>
                </pt>
                <pt idx="338">
                  <v>5482</v>
                </pt>
                <pt idx="339">
                  <v>3693</v>
                </pt>
                <pt idx="340">
                  <v>6455</v>
                </pt>
                <pt idx="341">
                  <v>8244</v>
                </pt>
                <pt idx="342">
                  <v>7889</v>
                </pt>
                <pt idx="343">
                  <v>7467</v>
                </pt>
                <pt idx="344">
                  <v>7855</v>
                </pt>
                <pt idx="345">
                  <v>7764</v>
                </pt>
                <pt idx="346">
                  <v>7664</v>
                </pt>
                <pt idx="347">
                  <v>7711</v>
                </pt>
                <pt idx="348">
                  <v>8545</v>
                </pt>
                <pt idx="349">
                  <v>7830</v>
                </pt>
                <pt idx="350">
                  <v>9513</v>
                </pt>
                <pt idx="351">
                  <v>9367</v>
                </pt>
                <pt idx="352">
                  <v>9095</v>
                </pt>
                <pt idx="353">
                  <v>8957</v>
                </pt>
                <pt idx="354">
                  <v>8912</v>
                </pt>
                <pt idx="355">
                  <v>8801</v>
                </pt>
                <pt idx="356">
                  <v>8904</v>
                </pt>
                <pt idx="357">
                  <v>9020</v>
                </pt>
                <pt idx="358">
                  <v>9194</v>
                </pt>
                <pt idx="359">
                  <v>8968</v>
                </pt>
                <pt idx="360">
                  <v>8877</v>
                </pt>
                <pt idx="361">
                  <v>8916</v>
                </pt>
                <pt idx="362">
                  <v>9009</v>
                </pt>
                <pt idx="363">
                  <v>9069</v>
                </pt>
                <pt idx="364">
                  <v>9153</v>
                </pt>
                <pt idx="365">
                  <v>9233</v>
                </pt>
                <pt idx="366">
                  <v>9236</v>
                </pt>
                <pt idx="367">
                  <v>9295</v>
                </pt>
                <pt idx="368">
                  <v>9234</v>
                </pt>
              </numCache>
            </numRef>
          </val>
          <smooth val="0"/>
        </ser>
        <dLbls>
          <showLegendKey val="0"/>
          <showVal val="0"/>
          <showCatName val="0"/>
          <showSerName val="0"/>
          <showPercent val="0"/>
          <showBubbleSize val="0"/>
        </dLbls>
        <smooth val="0"/>
        <axId val="919503544"/>
        <axId val="919502560"/>
      </lineChart>
      <dateAx>
        <axId val="91950354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919502560"/>
        <crosses val="autoZero"/>
        <lblOffset val="100"/>
        <baseTimeUnit val="months"/>
      </dateAx>
      <valAx>
        <axId val="919502560"/>
        <scaling>
          <orientation val="minMax"/>
          <min val="3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91950354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7.xml><?xml version="1.0" encoding="utf-8"?>
<chartSpace xmlns="http://schemas.openxmlformats.org/drawingml/2006/chart">
  <chart>
    <title>
      <tx>
        <strRef>
          <f>'Sporting Goods'!$D$6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'Sporting Goods'!$D$6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'Sporting Goods'!$A$7:$A$375</f>
              <numCache>
                <formatCode>[$-409]mmm\-yy;@</formatCode>
                <ptCount val="369"/>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numCache>
            </numRef>
          </cat>
          <val>
            <numRef>
              <f>'Sporting Goods'!$D$7:$D$375</f>
              <numCache>
                <formatCode>General</formatCode>
                <ptCount val="369"/>
                <pt idx="12">
                  <formatCode>0.00%</formatCode>
                  <v>0.0776957163958641</v>
                </pt>
                <pt idx="13">
                  <formatCode>0.00%</formatCode>
                  <v>0.01962457337883959</v>
                </pt>
                <pt idx="14">
                  <formatCode>0.00%</formatCode>
                  <v>0.03618609994256174</v>
                </pt>
                <pt idx="15">
                  <formatCode>0.00%</formatCode>
                  <v>0.06053748231966054</v>
                </pt>
                <pt idx="16">
                  <formatCode>0.00%</formatCode>
                  <v>0.06662870159453303</v>
                </pt>
                <pt idx="17">
                  <formatCode>0.00%</formatCode>
                  <v>0.04311073541842773</v>
                </pt>
                <pt idx="18">
                  <formatCode>0.00%</formatCode>
                  <v>0.06246514221974345</v>
                </pt>
                <pt idx="19">
                  <formatCode>0.00%</formatCode>
                  <v>0.08314350797266515</v>
                </pt>
                <pt idx="20">
                  <formatCode>0.00%</formatCode>
                  <v>0.07263039820527202</v>
                </pt>
                <pt idx="21">
                  <formatCode>0.00%</formatCode>
                  <v>0.05822012752980316</v>
                </pt>
                <pt idx="22">
                  <formatCode>0.00%</formatCode>
                  <v>0.08383894098179813</v>
                </pt>
                <pt idx="23">
                  <formatCode>0.00%</formatCode>
                  <v>0.05736842105263158</v>
                </pt>
                <pt idx="24">
                  <formatCode>0.00%</formatCode>
                  <v>0.0912828947368421</v>
                </pt>
                <pt idx="25">
                  <formatCode>0.00%</formatCode>
                  <v>0.1422594142259414</v>
                </pt>
                <pt idx="26">
                  <formatCode>0.00%</formatCode>
                  <v>0.1449556541019956</v>
                </pt>
                <pt idx="27">
                  <formatCode>0.00%</formatCode>
                  <v>0.07628700986929848</v>
                </pt>
                <pt idx="28">
                  <formatCode>0.00%</formatCode>
                  <v>0.09957287773625201</v>
                </pt>
                <pt idx="29">
                  <formatCode>0.00%</formatCode>
                  <v>0.1169638033495408</v>
                </pt>
                <pt idx="30">
                  <formatCode>0.00%</formatCode>
                  <v>0.07900262467191602</v>
                </pt>
                <pt idx="31">
                  <formatCode>0.00%</formatCode>
                  <v>0.1169821240799159</v>
                </pt>
                <pt idx="32">
                  <formatCode>0.00%</formatCode>
                  <v>0.1257516339869281</v>
                </pt>
                <pt idx="33">
                  <formatCode>0.00%</formatCode>
                  <v>0.1388525019648939</v>
                </pt>
                <pt idx="34">
                  <formatCode>0.00%</formatCode>
                  <v>0.07404580152671755</v>
                </pt>
                <pt idx="35">
                  <formatCode>0.00%</formatCode>
                  <v>0.05898456943753111</v>
                </pt>
                <pt idx="36">
                  <formatCode>0.00%</formatCode>
                  <v>0.1142928912333585</v>
                </pt>
                <pt idx="37">
                  <formatCode>0.00%</formatCode>
                  <v>0.04957264957264957</v>
                </pt>
                <pt idx="38">
                  <formatCode>0.00%</formatCode>
                  <v>0.05228758169934641</v>
                </pt>
                <pt idx="39">
                  <formatCode>0.00%</formatCode>
                  <v>0.0768277571251549</v>
                </pt>
                <pt idx="40">
                  <formatCode>0.00%</formatCode>
                  <v>0.06336489439184267</v>
                </pt>
                <pt idx="41">
                  <formatCode>0.00%</formatCode>
                  <v>0.06916565900846433</v>
                </pt>
                <pt idx="42">
                  <formatCode>0.00%</formatCode>
                  <v>0.07735344198491852</v>
                </pt>
                <pt idx="43">
                  <formatCode>0.00%</formatCode>
                  <v>0.05012944222169922</v>
                </pt>
                <pt idx="44">
                  <formatCode>0.00%</formatCode>
                  <v>0.03135160241523455</v>
                </pt>
                <pt idx="45">
                  <formatCode>0.00%</formatCode>
                  <v>0.01541292845640672</v>
                </pt>
                <pt idx="46">
                  <formatCode>0.00%</formatCode>
                  <v>0.07367922293295427</v>
                </pt>
                <pt idx="47">
                  <formatCode>0.00%</formatCode>
                  <v>0.05875440658049354</v>
                </pt>
                <pt idx="48">
                  <formatCode>0.00%</formatCode>
                  <v>0.0369702434625789</v>
                </pt>
                <pt idx="49">
                  <formatCode>0.00%</formatCode>
                  <v>0.04350860865518846</v>
                </pt>
                <pt idx="50">
                  <formatCode>0.00%</formatCode>
                  <v>0.04623878536922015</v>
                </pt>
                <pt idx="51">
                  <formatCode>0.00%</formatCode>
                  <v>0.06513233601841197</v>
                </pt>
                <pt idx="52">
                  <formatCode>0.00%</formatCode>
                  <v>0.01187214611872146</v>
                </pt>
                <pt idx="53">
                  <formatCode>0.00%</formatCode>
                  <v>0.04252431576566388</v>
                </pt>
                <pt idx="54">
                  <formatCode>0.00%</formatCode>
                  <v>0.05102731993678031</v>
                </pt>
                <pt idx="55">
                  <formatCode>0.00%</formatCode>
                  <v>0.06185567010309279</v>
                </pt>
                <pt idx="56">
                  <formatCode>0.00%</formatCode>
                  <v>0.05606845305111462</v>
                </pt>
                <pt idx="57">
                  <formatCode>0.00%</formatCode>
                  <v>0.08042591753511553</v>
                </pt>
                <pt idx="58">
                  <formatCode>0.00%</formatCode>
                  <v>0.0353045013239188</v>
                </pt>
                <pt idx="59">
                  <formatCode>0.00%</formatCode>
                  <v>0.09655937846836848</v>
                </pt>
                <pt idx="60">
                  <formatCode>0.00%</formatCode>
                  <v>0.03217391304347826</v>
                </pt>
                <pt idx="61">
                  <formatCode>0.00%</formatCode>
                  <v>0.04035674470457079</v>
                </pt>
                <pt idx="62">
                  <formatCode>0.00%</formatCode>
                  <v>0.03298153034300792</v>
                </pt>
                <pt idx="63">
                  <formatCode>0.00%</formatCode>
                  <v>0.02095937770095074</v>
                </pt>
                <pt idx="64">
                  <formatCode>0.00%</formatCode>
                  <v>0.07468411552346571</v>
                </pt>
                <pt idx="65">
                  <formatCode>0.00%</formatCode>
                  <v>0.04968539813408548</v>
                </pt>
                <pt idx="66">
                  <formatCode>0.00%</formatCode>
                  <v>0.02814178302900107</v>
                </pt>
                <pt idx="67">
                  <formatCode>0.00%</formatCode>
                  <v>0.00147741663149008</v>
                </pt>
                <pt idx="68">
                  <formatCode>0.00%</formatCode>
                  <v>0.02921108742004264</v>
                </pt>
                <pt idx="69">
                  <formatCode>0.00%</formatCode>
                  <v>0.0228559446424827</v>
                </pt>
                <pt idx="70">
                  <formatCode>0.00%</formatCode>
                  <v>0.06884057971014493</v>
                </pt>
                <pt idx="71">
                  <formatCode>0.00%</formatCode>
                  <v>-0.005060728744939271</v>
                </pt>
                <pt idx="72">
                  <formatCode>0.00%</formatCode>
                  <v>0.01811288963774221</v>
                </pt>
                <pt idx="73">
                  <formatCode>0.00%</formatCode>
                  <v>0.07736819545649379</v>
                </pt>
                <pt idx="74">
                  <formatCode>0.00%</formatCode>
                  <v>0.06598552575564069</v>
                </pt>
                <pt idx="75">
                  <formatCode>0.00%</formatCode>
                  <v>0.06582010582010582</v>
                </pt>
                <pt idx="76">
                  <formatCode>0.00%</formatCode>
                  <v>0.04681923157673735</v>
                </pt>
                <pt idx="77">
                  <formatCode>0.00%</formatCode>
                  <v>0.05064076064489458</v>
                </pt>
                <pt idx="78">
                  <formatCode>0.00%</formatCode>
                  <v>0.05139991642290013</v>
                </pt>
                <pt idx="79">
                  <formatCode>0.00%</formatCode>
                  <v>0.06575342465753424</v>
                </pt>
                <pt idx="80">
                  <formatCode>0.00%</formatCode>
                  <v>0.04557696291692562</v>
                </pt>
                <pt idx="81">
                  <formatCode>0.00%</formatCode>
                  <v>0.04715047150471505</v>
                </pt>
                <pt idx="82">
                  <formatCode>0.00%</formatCode>
                  <v>0.01555333998005982</v>
                </pt>
                <pt idx="83">
                  <formatCode>0.00%</formatCode>
                  <v>0.04862665310274669</v>
                </pt>
                <pt idx="84">
                  <formatCode>0.00%</formatCode>
                  <v>0.05957798924286305</v>
                </pt>
                <pt idx="85">
                  <formatCode>0.00%</formatCode>
                  <v>0.05271533717923214</v>
                </pt>
                <pt idx="86">
                  <formatCode>0.00%</formatCode>
                  <v>0.05291533546325879</v>
                </pt>
                <pt idx="87">
                  <formatCode>0.00%</formatCode>
                  <v>0.04785544082605242</v>
                </pt>
                <pt idx="88">
                  <formatCode>0.00%</formatCode>
                  <v>0.06859205776173286</v>
                </pt>
                <pt idx="89">
                  <formatCode>0.00%</formatCode>
                  <v>0.0558725162305725</v>
                </pt>
                <pt idx="90">
                  <formatCode>0.00%</formatCode>
                  <v>0.05842607313195548</v>
                </pt>
                <pt idx="91">
                  <formatCode>0.00%</formatCode>
                  <v>0.04607474787423373</v>
                </pt>
                <pt idx="92">
                  <formatCode>0.00%</formatCode>
                  <v>0.0669704775113929</v>
                </pt>
                <pt idx="93">
                  <formatCode>0.00%</formatCode>
                  <v>0.05187940485512921</v>
                </pt>
                <pt idx="94">
                  <formatCode>0.00%</formatCode>
                  <v>0.06302768505792264</v>
                </pt>
                <pt idx="95">
                  <formatCode>0.00%</formatCode>
                  <v>0.05840124175397749</v>
                </pt>
                <pt idx="96">
                  <formatCode>0.00%</formatCode>
                  <v>0.02147598594299102</v>
                </pt>
                <pt idx="97">
                  <formatCode>0.00%</formatCode>
                  <v>0.04705215419501134</v>
                </pt>
                <pt idx="98">
                  <formatCode>0.00%</formatCode>
                  <v>0.06865162146785511</v>
                </pt>
                <pt idx="99">
                  <formatCode>0.00%</formatCode>
                  <v>0.07049459920409323</v>
                </pt>
                <pt idx="100">
                  <formatCode>0.00%</formatCode>
                  <v>0.08051801801801801</v>
                </pt>
                <pt idx="101">
                  <formatCode>0.00%</formatCode>
                  <v>0.05943730203092976</v>
                </pt>
                <pt idx="102">
                  <formatCode>0.00%</formatCode>
                  <v>0.08899737138565528</v>
                </pt>
                <pt idx="103">
                  <formatCode>0.00%</formatCode>
                  <v>0.06483931947069943</v>
                </pt>
                <pt idx="104">
                  <formatCode>0.00%</formatCode>
                  <v>0.06369545032497678</v>
                </pt>
                <pt idx="105">
                  <formatCode>0.00%</formatCode>
                  <v>0.04708728829331844</v>
                </pt>
                <pt idx="106">
                  <formatCode>0.00%</formatCode>
                  <v>0.03712596970816402</v>
                </pt>
                <pt idx="107">
                  <formatCode>0.00%</formatCode>
                  <v>0.02676443629697525</v>
                </pt>
                <pt idx="108">
                  <formatCode>0.00%</formatCode>
                  <v>0.02943425076452599</v>
                </pt>
                <pt idx="109">
                  <formatCode>0.00%</formatCode>
                  <v>0.03140227395776936</v>
                </pt>
                <pt idx="110">
                  <formatCode>0.00%</formatCode>
                  <v>0.01561668145519077</v>
                </pt>
                <pt idx="111">
                  <formatCode>0.00%</formatCode>
                  <v>0.00159320233669676</v>
                </pt>
                <pt idx="112">
                  <formatCode>0.00%</formatCode>
                  <v>-0.01354872329338197</v>
                </pt>
                <pt idx="113">
                  <formatCode>0.00%</formatCode>
                  <v>-0.0114315863524446</v>
                </pt>
                <pt idx="114">
                  <formatCode>0.00%</formatCode>
                  <v>-0.01672413793103448</v>
                </pt>
                <pt idx="115">
                  <formatCode>0.00%</formatCode>
                  <v>0.02520859222439198</v>
                </pt>
                <pt idx="116">
                  <formatCode>0.00%</formatCode>
                  <v>-0.009776536312849162</v>
                </pt>
                <pt idx="117">
                  <formatCode>0.00%</formatCode>
                  <v>0.03057234269463207</v>
                </pt>
                <pt idx="118">
                  <formatCode>0.00%</formatCode>
                  <v>0.08032056990204808</v>
                </pt>
                <pt idx="119">
                  <formatCode>0.00%</formatCode>
                  <v>0.03499375111587216</v>
                </pt>
                <pt idx="120">
                  <formatCode>0.00%</formatCode>
                  <v>0.07222428518380988</v>
                </pt>
                <pt idx="121">
                  <formatCode>0.00%</formatCode>
                  <v>-0.0006999125109361329</v>
                </pt>
                <pt idx="122">
                  <formatCode>0.00%</formatCode>
                  <v>-0.001048401188188013</v>
                </pt>
                <pt idx="123">
                  <formatCode>0.00%</formatCode>
                  <v>0.02492046659597031</v>
                </pt>
                <pt idx="124">
                  <formatCode>0.00%</formatCode>
                  <v>0.00915654164465575</v>
                </pt>
                <pt idx="125">
                  <formatCode>0.00%</formatCode>
                  <v>0.008717310087173101</v>
                </pt>
                <pt idx="126">
                  <formatCode>0.00%</formatCode>
                  <v>-0.006487813431527266</v>
                </pt>
                <pt idx="127">
                  <formatCode>0.00%</formatCode>
                  <v>-0.01489177489177489</v>
                </pt>
                <pt idx="128">
                  <formatCode>0.00%</formatCode>
                  <v>0.03173483779971791</v>
                </pt>
                <pt idx="129">
                  <formatCode>0.00%</formatCode>
                  <v>0.007071403932390479</v>
                </pt>
                <pt idx="130">
                  <formatCode>0.00%</formatCode>
                  <v>-0.01335311572700297</v>
                </pt>
                <pt idx="131">
                  <formatCode>0.00%</formatCode>
                  <v>0.002070036225633949</v>
                </pt>
                <pt idx="132">
                  <formatCode>0.00%</formatCode>
                  <v>0.00329004329004329</v>
                </pt>
                <pt idx="133">
                  <formatCode>0.00%</formatCode>
                  <v>-0.02363859219050954</v>
                </pt>
                <pt idx="134">
                  <formatCode>0.00%</formatCode>
                  <v>-0.009970264124540842</v>
                </pt>
                <pt idx="135">
                  <formatCode>0.00%</formatCode>
                  <v>-0.01551991722710812</v>
                </pt>
                <pt idx="136">
                  <formatCode>0.00%</formatCode>
                  <v>0.002966323503751527</v>
                </pt>
                <pt idx="137">
                  <formatCode>0.00%</formatCode>
                  <v>0.04197530864197531</v>
                </pt>
                <pt idx="138">
                  <formatCode>0.00%</formatCode>
                  <v>0.02506177197317331</v>
                </pt>
                <pt idx="139">
                  <formatCode>0.00%</formatCode>
                  <v>0.07786957285990508</v>
                </pt>
                <pt idx="140">
                  <formatCode>0.00%</formatCode>
                  <v>0.01742993848257006</v>
                </pt>
                <pt idx="141">
                  <formatCode>0.00%</formatCode>
                  <v>0.0003425244048638465</v>
                </pt>
                <pt idx="142">
                  <formatCode>0.00%</formatCode>
                  <v>0.004344193817878028</v>
                </pt>
                <pt idx="143">
                  <formatCode>0.00%</formatCode>
                  <v>0.03511792046823894</v>
                </pt>
                <pt idx="144">
                  <formatCode>0.00%</formatCode>
                  <v>0.0505695547117708</v>
                </pt>
                <pt idx="145">
                  <formatCode>0.00%</formatCode>
                  <v>0.09271879483500717</v>
                </pt>
                <pt idx="146">
                  <formatCode>0.00%</formatCode>
                  <v>0.07190812720848057</v>
                </pt>
                <pt idx="147">
                  <formatCode>0.00%</formatCode>
                  <v>0.04063758977053775</v>
                </pt>
                <pt idx="148">
                  <formatCode>0.00%</formatCode>
                  <v>0.04123173277661795</v>
                </pt>
                <pt idx="149">
                  <formatCode>0.00%</formatCode>
                  <v>0.01844955991875423</v>
                </pt>
                <pt idx="150">
                  <formatCode>0.00%</formatCode>
                  <v>0.05440771349862259</v>
                </pt>
                <pt idx="151">
                  <formatCode>0.00%</formatCode>
                  <v>0.009784735812133072</v>
                </pt>
                <pt idx="152">
                  <formatCode>0.00%</formatCode>
                  <v>0.02636882767887135</v>
                </pt>
                <pt idx="153">
                  <formatCode>0.00%</formatCode>
                  <v>0.04331450094161959</v>
                </pt>
                <pt idx="154">
                  <formatCode>0.00%</formatCode>
                  <v>0.02146065546498087</v>
                </pt>
                <pt idx="155">
                  <formatCode>0.00%</formatCode>
                  <v>0.0181273906535839</v>
                </pt>
                <pt idx="156">
                  <formatCode>0.00%</formatCode>
                  <v>0.01724987678659438</v>
                </pt>
                <pt idx="157">
                  <formatCode>0.00%</formatCode>
                  <v>0.02888560643361234</v>
                </pt>
                <pt idx="158">
                  <formatCode>0.00%</formatCode>
                  <v>0.01153782759189056</v>
                </pt>
                <pt idx="159">
                  <formatCode>0.00%</formatCode>
                  <v>0.06345733041575492</v>
                </pt>
                <pt idx="160">
                  <formatCode>0.00%</formatCode>
                  <v>0.04126984126984127</v>
                </pt>
                <pt idx="161">
                  <formatCode>0.00%</formatCode>
                  <v>0.0196111018780123</v>
                </pt>
                <pt idx="162">
                  <formatCode>0.00%</formatCode>
                  <v>0.01877857609405617</v>
                </pt>
                <pt idx="163">
                  <formatCode>0.00%</formatCode>
                  <v>0.01324289405684755</v>
                </pt>
                <pt idx="164">
                  <formatCode>0.00%</formatCode>
                  <v>0.007200130911471117</v>
                </pt>
                <pt idx="165">
                  <formatCode>0.00%</formatCode>
                  <v>0.04643912044634067</v>
                </pt>
                <pt idx="166">
                  <formatCode>0.00%</formatCode>
                  <v>0.0239413680781759</v>
                </pt>
                <pt idx="167">
                  <formatCode>0.00%</formatCode>
                  <v>0.0555374060764456</v>
                </pt>
                <pt idx="168">
                  <formatCode>0.00%</formatCode>
                  <v>0.08769379844961241</v>
                </pt>
                <pt idx="169">
                  <formatCode>0.00%</formatCode>
                  <v>0.05742542670282342</v>
                </pt>
                <pt idx="170">
                  <formatCode>0.00%</formatCode>
                  <v>0.07707348867524849</v>
                </pt>
                <pt idx="171">
                  <formatCode>0.00%</formatCode>
                  <v>0.04146881924659702</v>
                </pt>
                <pt idx="172">
                  <formatCode>0.00%</formatCode>
                  <v>0.04348523748395379</v>
                </pt>
                <pt idx="173">
                  <formatCode>0.00%</formatCode>
                  <v>0.06340668296658517</v>
                </pt>
                <pt idx="174">
                  <formatCode>0.00%</formatCode>
                  <v>0.0355826254207405</v>
                </pt>
                <pt idx="175">
                  <formatCode>0.00%</formatCode>
                  <v>0.02199553713739241</v>
                </pt>
                <pt idx="176">
                  <formatCode>0.00%</formatCode>
                  <v>0.08692120227457352</v>
                </pt>
                <pt idx="177">
                  <formatCode>0.00%</formatCode>
                  <v>0.03324447232240866</v>
                </pt>
                <pt idx="178">
                  <formatCode>0.00%</formatCode>
                  <v>0.02767615714967393</v>
                </pt>
                <pt idx="179">
                  <formatCode>0.00%</formatCode>
                  <v>0.01609408851748684</v>
                </pt>
                <pt idx="180">
                  <formatCode>0.00%</formatCode>
                  <v>-0.03652561247216036</v>
                </pt>
                <pt idx="181">
                  <formatCode>0.00%</formatCode>
                  <v>-0.02036506260371097</v>
                </pt>
                <pt idx="182">
                  <formatCode>0.00%</formatCode>
                  <v>0.02556732223903177</v>
                </pt>
                <pt idx="183">
                  <formatCode>0.00%</formatCode>
                  <v>0.00911854103343465</v>
                </pt>
                <pt idx="184">
                  <formatCode>0.00%</formatCode>
                  <v>0.04644010456712287</v>
                </pt>
                <pt idx="185">
                  <formatCode>0.00%</formatCode>
                  <v>0.04996934396076027</v>
                </pt>
                <pt idx="186">
                  <formatCode>0.00%</formatCode>
                  <v>0.07351803126451013</v>
                </pt>
                <pt idx="187">
                  <formatCode>0.00%</formatCode>
                  <v>0.05739238927011853</v>
                </pt>
                <pt idx="188">
                  <formatCode>0.00%</formatCode>
                  <v>0.008819133034379671</v>
                </pt>
                <pt idx="189">
                  <formatCode>0.00%</formatCode>
                  <v>0.03718318409470329</v>
                </pt>
                <pt idx="190">
                  <formatCode>0.00%</formatCode>
                  <v>0.07413713047515864</v>
                </pt>
                <pt idx="191">
                  <formatCode>0.00%</formatCode>
                  <v>0.02893694791349376</v>
                </pt>
                <pt idx="192">
                  <formatCode>0.00%</formatCode>
                  <v>0.05070118662351672</v>
                </pt>
                <pt idx="193">
                  <formatCode>0.00%</formatCode>
                  <v>0.03957499230058516</v>
                </pt>
                <pt idx="194">
                  <formatCode>0.00%</formatCode>
                  <v>-0.006785661602006196</v>
                </pt>
                <pt idx="195">
                  <formatCode>0.00%</formatCode>
                  <v>0.02545180722891566</v>
                </pt>
                <pt idx="196">
                  <formatCode>0.00%</formatCode>
                  <v>0.02116091109478325</v>
                </pt>
                <pt idx="197">
                  <formatCode>0.00%</formatCode>
                  <v>0.004233576642335766</v>
                </pt>
                <pt idx="198">
                  <formatCode>0.00%</formatCode>
                  <v>-0.01124567474048443</v>
                </pt>
                <pt idx="199">
                  <formatCode>0.00%</formatCode>
                  <v>0.02227138643067847</v>
                </pt>
                <pt idx="200">
                  <formatCode>0.00%</formatCode>
                  <v>-0.03156023114535487</v>
                </pt>
                <pt idx="201">
                  <formatCode>0.00%</formatCode>
                  <v>-0.05970149253731343</v>
                </pt>
                <pt idx="202">
                  <formatCode>0.00%</formatCode>
                  <v>-0.07334293948126801</v>
                </pt>
                <pt idx="203">
                  <formatCode>0.00%</formatCode>
                  <v>-0.0423327412670219</v>
                </pt>
                <pt idx="204">
                  <formatCode>0.00%</formatCode>
                  <v>-0.02302728072748607</v>
                </pt>
                <pt idx="205">
                  <formatCode>0.00%</formatCode>
                  <v>-0.03199525996148719</v>
                </pt>
                <pt idx="206">
                  <formatCode>0.00%</formatCode>
                  <v>-0.05539878211792663</v>
                </pt>
                <pt idx="207">
                  <formatCode>0.00%</formatCode>
                  <v>-0.04332501101483331</v>
                </pt>
                <pt idx="208">
                  <formatCode>0.00%</formatCode>
                  <v>-0.07137717657216866</v>
                </pt>
                <pt idx="209">
                  <formatCode>0.00%</formatCode>
                  <v>-0.05902020642535252</v>
                </pt>
                <pt idx="210">
                  <formatCode>0.00%</formatCode>
                  <v>-0.05876348789734617</v>
                </pt>
                <pt idx="211">
                  <formatCode>0.00%</formatCode>
                  <v>-0.0437166354061463</v>
                </pt>
                <pt idx="212">
                  <formatCode>0.00%</formatCode>
                  <v>-0.00795593635250918</v>
                </pt>
                <pt idx="213">
                  <formatCode>0.00%</formatCode>
                  <v>-0.002801120448179272</v>
                </pt>
                <pt idx="214">
                  <formatCode>0.00%</formatCode>
                  <v>-0.01928160472710309</v>
                </pt>
                <pt idx="215">
                  <formatCode>0.00%</formatCode>
                  <v>0.008191653786707883</v>
                </pt>
                <pt idx="216">
                  <formatCode>0.00%</formatCode>
                  <v>-0.02311965170394836</v>
                </pt>
                <pt idx="217">
                  <formatCode>0.00%</formatCode>
                  <v>-0.01882172915072686</v>
                </pt>
                <pt idx="218">
                  <formatCode>0.00%</formatCode>
                  <v>0.02437106918238994</v>
                </pt>
                <pt idx="219">
                  <formatCode>0.00%</formatCode>
                  <v>-0.01611912803193122</v>
                </pt>
                <pt idx="220">
                  <formatCode>0.00%</formatCode>
                  <v>0.0066635673330234</v>
                </pt>
                <pt idx="221">
                  <formatCode>0.00%</formatCode>
                  <v>0.003707708944847829</v>
                </pt>
                <pt idx="222">
                  <formatCode>0.00%</formatCode>
                  <v>0.009450038729666925</v>
                </pt>
                <pt idx="223">
                  <formatCode>0.00%</formatCode>
                  <v>-0.02821363910681955</v>
                </pt>
                <pt idx="224">
                  <formatCode>0.00%</formatCode>
                  <v>-0.002313386798272671</v>
                </pt>
                <pt idx="225">
                  <formatCode>0.00%</formatCode>
                  <v>0.02668539325842697</v>
                </pt>
                <pt idx="226">
                  <formatCode>0.00%</formatCode>
                  <v>0.06595845885524021</v>
                </pt>
                <pt idx="227">
                  <formatCode>0.00%</formatCode>
                  <v>0.009964740150237621</v>
                </pt>
                <pt idx="228">
                  <formatCode>0.00%</formatCode>
                  <v>0.008913477793145844</v>
                </pt>
                <pt idx="229">
                  <formatCode>0.00%</formatCode>
                  <v>0.03103555832813475</v>
                </pt>
                <pt idx="230">
                  <formatCode>0.00%</formatCode>
                  <v>0.00782808902532617</v>
                </pt>
                <pt idx="231">
                  <formatCode>0.00%</formatCode>
                  <v>0.0310500858168201</v>
                </pt>
                <pt idx="232">
                  <formatCode>0.00%</formatCode>
                  <v>0.00708128078817734</v>
                </pt>
                <pt idx="233">
                  <formatCode>0.00%</formatCode>
                  <v>0.01354471294443589</v>
                </pt>
                <pt idx="234">
                  <formatCode>0.00%</formatCode>
                  <v>-0.008287292817679558</v>
                </pt>
                <pt idx="235">
                  <formatCode>0.00%</formatCode>
                  <v>0.03415618692749573</v>
                </pt>
                <pt idx="236">
                  <formatCode>0.00%</formatCode>
                  <v>0.03354459731024888</v>
                </pt>
                <pt idx="237">
                  <formatCode>0.00%</formatCode>
                  <v>0.003951968384252926</v>
                </pt>
                <pt idx="238">
                  <formatCode>0.00%</formatCode>
                  <v>-0.02662501859289008</v>
                </pt>
                <pt idx="239">
                  <formatCode>0.00%</formatCode>
                  <v>-0.03567091681845781</v>
                </pt>
                <pt idx="240">
                  <formatCode>0.00%</formatCode>
                  <v>0.001523229246001523</v>
                </pt>
                <pt idx="241">
                  <formatCode>0.00%</formatCode>
                  <v>0.01089093934351838</v>
                </pt>
                <pt idx="242">
                  <formatCode>0.00%</formatCode>
                  <v>0.03792263173926287</v>
                </pt>
                <pt idx="243">
                  <formatCode>0.00%</formatCode>
                  <v>0.03798426150121065</v>
                </pt>
                <pt idx="244">
                  <formatCode>0.00%</formatCode>
                  <v>0.04998471415469275</v>
                </pt>
                <pt idx="245">
                  <formatCode>0.00%</formatCode>
                  <v>0.03219438116932422</v>
                </pt>
                <pt idx="246">
                  <formatCode>0.00%</formatCode>
                  <v>0.0543175487465181</v>
                </pt>
                <pt idx="247">
                  <formatCode>0.00%</formatCode>
                  <v>0.008106890857228644</v>
                </pt>
                <pt idx="248">
                  <formatCode>0.00%</formatCode>
                  <v>0.00508525276697577</v>
                </pt>
                <pt idx="249">
                  <formatCode>0.00%</formatCode>
                  <v>0.02180166540499621</v>
                </pt>
                <pt idx="250">
                  <formatCode>0.00%</formatCode>
                  <v>0.02001833740831296</v>
                </pt>
                <pt idx="251">
                  <formatCode>0.00%</formatCode>
                  <v>0.07476782622383125</v>
                </pt>
                <pt idx="252">
                  <formatCode>0.00%</formatCode>
                  <v>0.0664638783269962</v>
                </pt>
                <pt idx="253">
                  <formatCode>0.00%</formatCode>
                  <v>0.05057608858297172</v>
                </pt>
                <pt idx="254">
                  <formatCode>0.00%</formatCode>
                  <v>0.01232575201760822</v>
                </pt>
                <pt idx="255">
                  <formatCode>0.00%</formatCode>
                  <v>-0.009330806239976673</v>
                </pt>
                <pt idx="256">
                  <formatCode>0.00%</formatCode>
                  <v>-0.00101907118940166</v>
                </pt>
                <pt idx="257">
                  <formatCode>0.00%</formatCode>
                  <v>0.01706635280270708</v>
                </pt>
                <pt idx="258">
                  <formatCode>0.00%</formatCode>
                  <v>0.01834727726405401</v>
                </pt>
                <pt idx="259">
                  <formatCode>0.00%</formatCode>
                  <v>-0.0002978406552494416</v>
                </pt>
                <pt idx="260">
                  <formatCode>0.00%</formatCode>
                  <v>0.02336309523809524</v>
                </pt>
                <pt idx="261">
                  <formatCode>0.00%</formatCode>
                  <v>0.01644688101941028</v>
                </pt>
                <pt idx="262">
                  <formatCode>0.00%</formatCode>
                  <v>0.0299625468164794</v>
                </pt>
                <pt idx="263">
                  <formatCode>0.00%</formatCode>
                  <v>0.004833040421792618</v>
                </pt>
                <pt idx="264">
                  <formatCode>0.00%</formatCode>
                  <v>-0.07472903593839134</v>
                </pt>
                <pt idx="265">
                  <formatCode>0.00%</formatCode>
                  <v>-0.03218914684517875</v>
                </pt>
                <pt idx="266">
                  <formatCode>0.00%</formatCode>
                  <v>-0.01391506015364546</v>
                </pt>
                <pt idx="267">
                  <formatCode>0.00%</formatCode>
                  <v>0.01456953642384106</v>
                </pt>
                <pt idx="268">
                  <formatCode>0.00%</formatCode>
                  <v>-0.0002914602156805596</v>
                </pt>
                <pt idx="269">
                  <formatCode>0.00%</formatCode>
                  <v>0.005352234919716477</v>
                </pt>
                <pt idx="270">
                  <formatCode>0.00%</formatCode>
                  <v>-0.002306140098010954</v>
                </pt>
                <pt idx="271">
                  <formatCode>0.00%</formatCode>
                  <v>0.06092656040518397</v>
                </pt>
                <pt idx="272">
                  <formatCode>0.00%</formatCode>
                  <v>0.02413843245601279</v>
                </pt>
                <pt idx="273">
                  <formatCode>0.00%</formatCode>
                  <v>0.04314868804664723</v>
                </pt>
                <pt idx="274">
                  <formatCode>0.00%</formatCode>
                  <v>0.03956363636363636</v>
                </pt>
                <pt idx="275">
                  <formatCode>0.00%</formatCode>
                  <v>0.02987902638099402</v>
                </pt>
                <pt idx="276">
                  <formatCode>0.00%</formatCode>
                  <v>0.06951294697903822</v>
                </pt>
                <pt idx="277">
                  <formatCode>0.00%</formatCode>
                  <v>0.02678440029433407</v>
                </pt>
                <pt idx="278">
                  <formatCode>0.00%</formatCode>
                  <v>0.03792444509775099</v>
                </pt>
                <pt idx="279">
                  <formatCode>0.00%</formatCode>
                  <v>0.02756019727299101</v>
                </pt>
                <pt idx="280">
                  <formatCode>0.00%</formatCode>
                  <v>0.0380466472303207</v>
                </pt>
                <pt idx="281">
                  <formatCode>0.00%</formatCode>
                  <v>0.01712230215827338</v>
                </pt>
                <pt idx="282">
                  <formatCode>0.00%</formatCode>
                  <v>0.0291823172493499</v>
                </pt>
                <pt idx="283">
                  <formatCode>0.00%</formatCode>
                  <v>0.005054759898904802</v>
                </pt>
                <pt idx="284">
                  <formatCode>0.00%</formatCode>
                  <v>0.02058781769132472</v>
                </pt>
                <pt idx="285">
                  <formatCode>0.00%</formatCode>
                  <v>-0.01034097261039687</v>
                </pt>
                <pt idx="286">
                  <formatCode>0.00%</formatCode>
                  <v>0.006716104659297607</v>
                </pt>
                <pt idx="287">
                  <formatCode>0.00%</formatCode>
                  <v>0.03821115199547127</v>
                </pt>
                <pt idx="288">
                  <formatCode>0.00%</formatCode>
                  <v>0.05087188355670846</v>
                </pt>
                <pt idx="289">
                  <formatCode>0.00%</formatCode>
                  <v>0.04228178300128995</v>
                </pt>
                <pt idx="290">
                  <formatCode>0.00%</formatCode>
                  <v>0.02775810791672568</v>
                </pt>
                <pt idx="291">
                  <formatCode>0.00%</formatCode>
                  <v>0.01496329757199322</v>
                </pt>
                <pt idx="292">
                  <formatCode>0.00%</formatCode>
                  <v>0.01755371436595984</v>
                </pt>
                <pt idx="293">
                  <formatCode>0.00%</formatCode>
                  <v>0.07129721318432593</v>
                </pt>
                <pt idx="294">
                  <formatCode>0.00%</formatCode>
                  <v>0.01108927568781583</v>
                </pt>
                <pt idx="295">
                  <formatCode>0.00%</formatCode>
                  <v>-0.02025705504330819</v>
                </pt>
                <pt idx="296">
                  <formatCode>0.00%</formatCode>
                  <v>-0.01989426822481914</v>
                </pt>
                <pt idx="297">
                  <formatCode>0.00%</formatCode>
                  <v>0.001694436599830556</v>
                </pt>
                <pt idx="298">
                  <formatCode>0.00%</formatCode>
                  <v>-0.03377345378735233</v>
                </pt>
                <pt idx="299">
                  <formatCode>0.00%</formatCode>
                  <v>-0.03639585605234461</v>
                </pt>
                <pt idx="300">
                  <formatCode>0.00%</formatCode>
                  <v>-0.009462424574876577</v>
                </pt>
                <pt idx="301">
                  <formatCode>0.00%</formatCode>
                  <v>-0.02942794279427943</v>
                </pt>
                <pt idx="302">
                  <formatCode>0.00%</formatCode>
                  <v>-0.03899683064627257</v>
                </pt>
                <pt idx="303">
                  <formatCode>0.00%</formatCode>
                  <v>-0.02002781641168289</v>
                </pt>
                <pt idx="304">
                  <formatCode>0.00%</formatCode>
                  <v>-0.04071211703008557</v>
                </pt>
                <pt idx="305">
                  <formatCode>0.00%</formatCode>
                  <v>-0.0805493199524627</v>
                </pt>
                <pt idx="306">
                  <formatCode>0.00%</formatCode>
                  <v>-0.0484520338747744</v>
                </pt>
                <pt idx="307">
                  <formatCode>0.00%</formatCode>
                  <v>-0.01311849422501069</v>
                </pt>
                <pt idx="308">
                  <formatCode>0.00%</formatCode>
                  <v>-0.008516678495386799</v>
                </pt>
                <pt idx="309">
                  <formatCode>0.00%</formatCode>
                  <v>-0.01141809980265013</v>
                </pt>
                <pt idx="310">
                  <formatCode>0.00%</formatCode>
                  <v>0.02474108170310702</v>
                </pt>
                <pt idx="311">
                  <formatCode>0.00%</formatCode>
                  <v>0.001131701796576602</v>
                </pt>
                <pt idx="312">
                  <formatCode>0.00%</formatCode>
                  <v>-0.05579399141630902</v>
                </pt>
                <pt idx="313">
                  <formatCode>0.00%</formatCode>
                  <v>0.004817228676678946</v>
                </pt>
                <pt idx="314">
                  <formatCode>0.00%</formatCode>
                  <v>0.0256667622598222</v>
                </pt>
                <pt idx="315">
                  <formatCode>0.00%</formatCode>
                  <v>0.000709622480840193</v>
                </pt>
                <pt idx="316">
                  <formatCode>0.00%</formatCode>
                  <v>0.01337936987483815</v>
                </pt>
                <pt idx="317">
                  <formatCode>0.00%</formatCode>
                  <v>-0.01910096222892431</v>
                </pt>
                <pt idx="318">
                  <formatCode>0.00%</formatCode>
                  <v>-0.04085205719288007</v>
                </pt>
                <pt idx="319">
                  <formatCode>0.00%</formatCode>
                  <v>-0.05866204305736165</v>
                </pt>
                <pt idx="320">
                  <formatCode>0.00%</formatCode>
                  <v>-0.0800286327845383</v>
                </pt>
                <pt idx="321">
                  <formatCode>0.00%</formatCode>
                  <v>-0.08370169684870954</v>
                </pt>
                <pt idx="322">
                  <formatCode>0.00%</formatCode>
                  <v>-0.09138124649073555</v>
                </pt>
                <pt idx="323">
                  <formatCode>0.00%</formatCode>
                  <v>-0.1004662992793557</v>
                </pt>
                <pt idx="324">
                  <formatCode>0.00%</formatCode>
                  <v>-0.05029325513196481</v>
                </pt>
                <pt idx="325">
                  <formatCode>0.00%</formatCode>
                  <v>-0.07839819514946418</v>
                </pt>
                <pt idx="326">
                  <formatCode>0.00%</formatCode>
                  <v>-0.08318188172794631</v>
                </pt>
                <pt idx="327">
                  <formatCode>0.00%</formatCode>
                  <v>-0.05219117855623316</v>
                </pt>
                <pt idx="328">
                  <formatCode>0.00%</formatCode>
                  <v>-0.04642248722316866</v>
                </pt>
                <pt idx="329">
                  <formatCode>0.00%</formatCode>
                  <v>-0.004538799414348462</v>
                </pt>
                <pt idx="330">
                  <formatCode>0.00%</formatCode>
                  <v>0.01612412534225738</v>
                </pt>
                <pt idx="331">
                  <formatCode>0.00%</formatCode>
                  <v>0.03453568687643899</v>
                </pt>
                <pt idx="332">
                  <formatCode>0.00%</formatCode>
                  <v>0.04232804232804233</v>
                </pt>
                <pt idx="333">
                  <formatCode>0.00%</formatCode>
                  <v>0.04917522564581388</v>
                </pt>
                <pt idx="334">
                  <formatCode>0.00%</formatCode>
                  <v>0.00911478448941758</v>
                </pt>
                <pt idx="335">
                  <formatCode>0.00%</formatCode>
                  <v>0.05560791705937795</v>
                </pt>
                <pt idx="336">
                  <formatCode>0.00%</formatCode>
                  <v>0.03473830477072719</v>
                </pt>
                <pt idx="337">
                  <formatCode>0.00%</formatCode>
                  <v>0.0151468788249694</v>
                </pt>
                <pt idx="338">
                  <formatCode>0.00%</formatCode>
                  <v>-0.1640744129307716</v>
                </pt>
                <pt idx="339">
                  <formatCode>0.00%</formatCode>
                  <v>-0.4474038605416729</v>
                </pt>
                <pt idx="340">
                  <formatCode>0.00%</formatCode>
                  <v>-0.03900550841149322</v>
                </pt>
                <pt idx="341">
                  <formatCode>0.00%</formatCode>
                  <v>0.2125312545962642</v>
                </pt>
                <pt idx="342">
                  <formatCode>0.00%</formatCode>
                  <v>0.1809880239520958</v>
                </pt>
                <pt idx="343">
                  <formatCode>0.00%</formatCode>
                  <v>0.1078635014836795</v>
                </pt>
                <pt idx="344">
                  <formatCode>0.00%</formatCode>
                  <v>0.1727381307853091</v>
                </pt>
                <pt idx="345">
                  <formatCode>0.00%</formatCode>
                  <v>0.151587066152477</v>
                </pt>
                <pt idx="346">
                  <formatCode>0.00%</formatCode>
                  <v>0.1733006736068586</v>
                </pt>
                <pt idx="347">
                  <formatCode>0.00%</formatCode>
                  <v>0.1474702380952381</v>
                </pt>
                <pt idx="348">
                  <formatCode>0.00%</formatCode>
                  <v>0.2749925395404357</v>
                </pt>
                <pt idx="349">
                  <formatCode>0.00%</formatCode>
                  <v>0.1801055011303692</v>
                </pt>
                <pt idx="350">
                  <formatCode>0.00%</formatCode>
                  <v>0.7353155782561109</v>
                </pt>
                <pt idx="351">
                  <formatCode>0.00%</formatCode>
                  <v>1.536420254535608</v>
                </pt>
                <pt idx="352">
                  <formatCode>0.00%</formatCode>
                  <v>0.4089852827265685</v>
                </pt>
                <pt idx="353">
                  <formatCode>0.00%</formatCode>
                  <v>0.08648714216399805</v>
                </pt>
                <pt idx="354">
                  <formatCode>0.00%</formatCode>
                  <v>0.1296742299404234</v>
                </pt>
                <pt idx="355">
                  <formatCode>0.00%</formatCode>
                  <v>0.1786527387170216</v>
                </pt>
                <pt idx="356">
                  <formatCode>0.00%</formatCode>
                  <v>0.1335455124124761</v>
                </pt>
                <pt idx="357">
                  <formatCode>0.00%</formatCode>
                  <v>0.1617722823286966</v>
                </pt>
                <pt idx="358">
                  <formatCode>0.00%</formatCode>
                  <v>0.1996346555323591</v>
                </pt>
                <pt idx="359">
                  <formatCode>0.00%</formatCode>
                  <v>0.163013876280638</v>
                </pt>
                <pt idx="360">
                  <formatCode>0.00%</formatCode>
                  <v>0.03885313048566413</v>
                </pt>
                <pt idx="361">
                  <formatCode>0.00%</formatCode>
                  <v>0.1386973180076628</v>
                </pt>
                <pt idx="362">
                  <formatCode>0.00%</formatCode>
                  <v>-0.05298013245033113</v>
                </pt>
                <pt idx="363">
                  <formatCode>0.00%</formatCode>
                  <v>-0.0318138144550016</v>
                </pt>
                <pt idx="364">
                  <formatCode>0.00%</formatCode>
                  <v>0.006377130291368884</v>
                </pt>
                <pt idx="365">
                  <formatCode>0.00%</formatCode>
                  <v>0.03081388857876521</v>
                </pt>
                <pt idx="366">
                  <formatCode>0.00%</formatCode>
                  <v>0.03635547576301616</v>
                </pt>
                <pt idx="367">
                  <formatCode>0.00%</formatCode>
                  <v>0.05612998522895125</v>
                </pt>
                <pt idx="368">
                  <formatCode>0.00%</formatCode>
                  <v>0.03706199460916442</v>
                </pt>
              </numCache>
            </numRef>
          </val>
          <smooth val="0"/>
        </ser>
        <dLbls>
          <showLegendKey val="0"/>
          <showVal val="0"/>
          <showCatName val="0"/>
          <showSerName val="0"/>
          <showPercent val="0"/>
          <showBubbleSize val="0"/>
        </dLbls>
        <smooth val="0"/>
        <axId val="1039182047"/>
        <axId val="1039181719"/>
      </lineChart>
      <dateAx>
        <axId val="1039182047"/>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9181719"/>
        <crosses val="autoZero"/>
        <lblOffset val="100"/>
        <baseTimeUnit val="months"/>
      </dateAx>
      <valAx>
        <axId val="1039181719"/>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9182047"/>
        <crosses val="autoZero"/>
        <crossBetween val="between"/>
      </valAx>
    </plotArea>
    <plotVisOnly val="1"/>
    <dispBlanksAs val="gap"/>
  </chart>
</chartSpace>
</file>

<file path=xl/charts/chart18.xml><?xml version="1.0" encoding="utf-8"?>
<chartSpace xmlns="http://schemas.openxmlformats.org/drawingml/2006/chart">
  <chart>
    <title>
      <tx>
        <strRef>
          <f>'General Merchandising'!$B$6</f>
          <strCache>
            <ptCount val="1"/>
            <pt idx="0">
              <v>General Merchandise Stores, Millions of Dollars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'General Merchandising'!$B$6</f>
              <strCache>
                <ptCount val="1"/>
                <pt idx="0">
                  <v>General Merchandise Stores, Millions of Dollars</v>
                </pt>
              </strCache>
            </strRef>
          </tx>
          <spPr>
            <a:ln xmlns:a="http://schemas.openxmlformats.org/drawingml/2006/main">
              <a:prstDash val="solid"/>
            </a:ln>
          </spPr>
          <marker>
            <symbol val="none"/>
            <spPr>
              <a:ln xmlns:a="http://schemas.openxmlformats.org/drawingml/2006/main">
                <a:prstDash val="solid"/>
              </a:ln>
            </spPr>
          </marker>
          <cat>
            <numRef>
              <f>'General Merchandising'!$A$7:$A$375</f>
              <numCache>
                <formatCode>[$-409]mmm\-yy;@</formatCode>
                <ptCount val="369"/>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numCache>
            </numRef>
          </cat>
          <val>
            <numRef>
              <f>'General Merchandising'!$B$7:$B$375</f>
              <numCache>
                <formatCode>#,##0</formatCode>
                <ptCount val="369"/>
                <pt idx="0">
                  <v>19879</v>
                </pt>
                <pt idx="1">
                  <v>20202</v>
                </pt>
                <pt idx="2">
                  <v>20168</v>
                </pt>
                <pt idx="3">
                  <v>20258</v>
                </pt>
                <pt idx="4">
                  <v>20345</v>
                </pt>
                <pt idx="5">
                  <v>20298</v>
                </pt>
                <pt idx="6">
                  <v>20205</v>
                </pt>
                <pt idx="7">
                  <v>20593</v>
                </pt>
                <pt idx="8">
                  <v>20684</v>
                </pt>
                <pt idx="9">
                  <v>20851</v>
                </pt>
                <pt idx="10">
                  <v>21078</v>
                </pt>
                <pt idx="11">
                  <v>21752</v>
                </pt>
                <pt idx="12">
                  <v>21383</v>
                </pt>
                <pt idx="13">
                  <v>21392</v>
                </pt>
                <pt idx="14">
                  <v>21273</v>
                </pt>
                <pt idx="15">
                  <v>21759</v>
                </pt>
                <pt idx="16">
                  <v>21993</v>
                </pt>
                <pt idx="17">
                  <v>21957</v>
                </pt>
                <pt idx="18">
                  <v>22343</v>
                </pt>
                <pt idx="19">
                  <v>22315</v>
                </pt>
                <pt idx="20">
                  <v>22429</v>
                </pt>
                <pt idx="21">
                  <v>22647</v>
                </pt>
                <pt idx="22">
                  <v>22760</v>
                </pt>
                <pt idx="23">
                  <v>22905</v>
                </pt>
                <pt idx="24">
                  <v>22706</v>
                </pt>
                <pt idx="25">
                  <v>23070</v>
                </pt>
                <pt idx="26">
                  <v>23657</v>
                </pt>
                <pt idx="27">
                  <v>23354</v>
                </pt>
                <pt idx="28">
                  <v>23271</v>
                </pt>
                <pt idx="29">
                  <v>23626</v>
                </pt>
                <pt idx="30">
                  <v>23635</v>
                </pt>
                <pt idx="31">
                  <v>23889</v>
                </pt>
                <pt idx="32">
                  <v>23995</v>
                </pt>
                <pt idx="33">
                  <v>24255</v>
                </pt>
                <pt idx="34">
                  <v>24356</v>
                </pt>
                <pt idx="35">
                  <v>24583</v>
                </pt>
                <pt idx="36">
                  <v>24936</v>
                </pt>
                <pt idx="37">
                  <v>24115</v>
                </pt>
                <pt idx="38">
                  <v>24579</v>
                </pt>
                <pt idx="39">
                  <v>24747</v>
                </pt>
                <pt idx="40">
                  <v>24851</v>
                </pt>
                <pt idx="41">
                  <v>25166</v>
                </pt>
                <pt idx="42">
                  <v>25375</v>
                </pt>
                <pt idx="43">
                  <v>25174</v>
                </pt>
                <pt idx="44">
                  <v>25469</v>
                </pt>
                <pt idx="45">
                  <v>25135</v>
                </pt>
                <pt idx="46">
                  <v>25414</v>
                </pt>
                <pt idx="47">
                  <v>25554</v>
                </pt>
                <pt idx="48">
                  <v>25215</v>
                </pt>
                <pt idx="49">
                  <v>25616</v>
                </pt>
                <pt idx="50">
                  <v>25576</v>
                </pt>
                <pt idx="51">
                  <v>26103</v>
                </pt>
                <pt idx="52">
                  <v>26216</v>
                </pt>
                <pt idx="53">
                  <v>26085</v>
                </pt>
                <pt idx="54">
                  <v>26209</v>
                </pt>
                <pt idx="55">
                  <v>26441</v>
                </pt>
                <pt idx="56">
                  <v>26590</v>
                </pt>
                <pt idx="57">
                  <v>26904</v>
                </pt>
                <pt idx="58">
                  <v>26772</v>
                </pt>
                <pt idx="59">
                  <v>27051</v>
                </pt>
                <pt idx="60">
                  <v>27216</v>
                </pt>
                <pt idx="61">
                  <v>27262</v>
                </pt>
                <pt idx="62">
                  <v>27304</v>
                </pt>
                <pt idx="63">
                  <v>27179</v>
                </pt>
                <pt idx="64">
                  <v>27328</v>
                </pt>
                <pt idx="65">
                  <v>27433</v>
                </pt>
                <pt idx="66">
                  <v>27949</v>
                </pt>
                <pt idx="67">
                  <v>27939</v>
                </pt>
                <pt idx="68">
                  <v>27868</v>
                </pt>
                <pt idx="69">
                  <v>28155</v>
                </pt>
                <pt idx="70">
                  <v>28151</v>
                </pt>
                <pt idx="71">
                  <v>28008</v>
                </pt>
                <pt idx="72">
                  <v>28402</v>
                </pt>
                <pt idx="73">
                  <v>28748</v>
                </pt>
                <pt idx="74">
                  <v>28714</v>
                </pt>
                <pt idx="75">
                  <v>29123</v>
                </pt>
                <pt idx="76">
                  <v>29076</v>
                </pt>
                <pt idx="77">
                  <v>29170</v>
                </pt>
                <pt idx="78">
                  <v>29113</v>
                </pt>
                <pt idx="79">
                  <v>29274</v>
                </pt>
                <pt idx="80">
                  <v>29559</v>
                </pt>
                <pt idx="81">
                  <v>29720</v>
                </pt>
                <pt idx="82">
                  <v>30094</v>
                </pt>
                <pt idx="83">
                  <v>30129</v>
                </pt>
                <pt idx="84">
                  <v>30664</v>
                </pt>
                <pt idx="85">
                  <v>31094</v>
                </pt>
                <pt idx="86">
                  <v>31390</v>
                </pt>
                <pt idx="87">
                  <v>31009</v>
                </pt>
                <pt idx="88">
                  <v>31165</v>
                </pt>
                <pt idx="89">
                  <v>31652</v>
                </pt>
                <pt idx="90">
                  <v>31549</v>
                </pt>
                <pt idx="91">
                  <v>31806</v>
                </pt>
                <pt idx="92">
                  <v>32152</v>
                </pt>
                <pt idx="93">
                  <v>32085</v>
                </pt>
                <pt idx="94">
                  <v>32161</v>
                </pt>
                <pt idx="95">
                  <v>33101</v>
                </pt>
                <pt idx="96">
                  <v>32179</v>
                </pt>
                <pt idx="97">
                  <v>32576</v>
                </pt>
                <pt idx="98">
                  <v>33105</v>
                </pt>
                <pt idx="99">
                  <v>32879</v>
                </pt>
                <pt idx="100">
                  <v>33339</v>
                </pt>
                <pt idx="101">
                  <v>33408</v>
                </pt>
                <pt idx="102">
                  <v>33586</v>
                </pt>
                <pt idx="103">
                  <v>33823</v>
                </pt>
                <pt idx="104">
                  <v>34146</v>
                </pt>
                <pt idx="105">
                  <v>34280</v>
                </pt>
                <pt idx="106">
                  <v>34458</v>
                </pt>
                <pt idx="107">
                  <v>34734</v>
                </pt>
                <pt idx="108">
                  <v>35601</v>
                </pt>
                <pt idx="109">
                  <v>34655</v>
                </pt>
                <pt idx="110">
                  <v>34069</v>
                </pt>
                <pt idx="111">
                  <v>35364</v>
                </pt>
                <pt idx="112">
                  <v>35202</v>
                </pt>
                <pt idx="113">
                  <v>35114</v>
                </pt>
                <pt idx="114">
                  <v>35720</v>
                </pt>
                <pt idx="115">
                  <v>35915</v>
                </pt>
                <pt idx="116">
                  <v>35822</v>
                </pt>
                <pt idx="117">
                  <v>36229</v>
                </pt>
                <pt idx="118">
                  <v>36656</v>
                </pt>
                <pt idx="119">
                  <v>37054</v>
                </pt>
                <pt idx="120">
                  <v>36811</v>
                </pt>
                <pt idx="121">
                  <v>36974</v>
                </pt>
                <pt idx="122">
                  <v>37144</v>
                </pt>
                <pt idx="123">
                  <v>37491</v>
                </pt>
                <pt idx="124">
                  <v>37114</v>
                </pt>
                <pt idx="125">
                  <v>37417</v>
                </pt>
                <pt idx="126">
                  <v>37132</v>
                </pt>
                <pt idx="127">
                  <v>37202</v>
                </pt>
                <pt idx="128">
                  <v>37059</v>
                </pt>
                <pt idx="129">
                  <v>37816</v>
                </pt>
                <pt idx="130">
                  <v>37698</v>
                </pt>
                <pt idx="131">
                  <v>37716</v>
                </pt>
                <pt idx="132">
                  <v>37740</v>
                </pt>
                <pt idx="133">
                  <v>38030</v>
                </pt>
                <pt idx="134">
                  <v>38391</v>
                </pt>
                <pt idx="135">
                  <v>38321</v>
                </pt>
                <pt idx="136">
                  <v>38483</v>
                </pt>
                <pt idx="137">
                  <v>38866</v>
                </pt>
                <pt idx="138">
                  <v>39404</v>
                </pt>
                <pt idx="139">
                  <v>40085</v>
                </pt>
                <pt idx="140">
                  <v>39896</v>
                </pt>
                <pt idx="141">
                  <v>39649</v>
                </pt>
                <pt idx="142">
                  <v>39945</v>
                </pt>
                <pt idx="143">
                  <v>40084</v>
                </pt>
                <pt idx="144">
                  <v>40436</v>
                </pt>
                <pt idx="145">
                  <v>40519</v>
                </pt>
                <pt idx="146">
                  <v>41079</v>
                </pt>
                <pt idx="147">
                  <v>40662</v>
                </pt>
                <pt idx="148">
                  <v>41332</v>
                </pt>
                <pt idx="149">
                  <v>40756</v>
                </pt>
                <pt idx="150">
                  <v>41197</v>
                </pt>
                <pt idx="151">
                  <v>41323</v>
                </pt>
                <pt idx="152">
                  <v>41555</v>
                </pt>
                <pt idx="153">
                  <v>42042</v>
                </pt>
                <pt idx="154">
                  <v>42179</v>
                </pt>
                <pt idx="155">
                  <v>42656</v>
                </pt>
                <pt idx="156">
                  <v>42556</v>
                </pt>
                <pt idx="157">
                  <v>43183</v>
                </pt>
                <pt idx="158">
                  <v>42949</v>
                </pt>
                <pt idx="159">
                  <v>43601</v>
                </pt>
                <pt idx="160">
                  <v>43423</v>
                </pt>
                <pt idx="161">
                  <v>44354</v>
                </pt>
                <pt idx="162">
                  <v>44017</v>
                </pt>
                <pt idx="163">
                  <v>44214</v>
                </pt>
                <pt idx="164">
                  <v>44502</v>
                </pt>
                <pt idx="165">
                  <v>45267</v>
                </pt>
                <pt idx="166">
                  <v>45226</v>
                </pt>
                <pt idx="167">
                  <v>44778</v>
                </pt>
                <pt idx="168">
                  <v>45710</v>
                </pt>
                <pt idx="169">
                  <v>45774</v>
                </pt>
                <pt idx="170">
                  <v>45635</v>
                </pt>
                <pt idx="171">
                  <v>46048</v>
                </pt>
                <pt idx="172">
                  <v>45806</v>
                </pt>
                <pt idx="173">
                  <v>45956</v>
                </pt>
                <pt idx="174">
                  <v>45838</v>
                </pt>
                <pt idx="175">
                  <v>46043</v>
                </pt>
                <pt idx="176">
                  <v>46712</v>
                </pt>
                <pt idx="177">
                  <v>46679</v>
                </pt>
                <pt idx="178">
                  <v>46800</v>
                </pt>
                <pt idx="179">
                  <v>47344</v>
                </pt>
                <pt idx="180">
                  <v>48034</v>
                </pt>
                <pt idx="181">
                  <v>47293</v>
                </pt>
                <pt idx="182">
                  <v>48132</v>
                </pt>
                <pt idx="183">
                  <v>47679</v>
                </pt>
                <pt idx="184">
                  <v>47887</v>
                </pt>
                <pt idx="185">
                  <v>47852</v>
                </pt>
                <pt idx="186">
                  <v>48412</v>
                </pt>
                <pt idx="187">
                  <v>48704</v>
                </pt>
                <pt idx="188">
                  <v>48288</v>
                </pt>
                <pt idx="189">
                  <v>48540</v>
                </pt>
                <pt idx="190">
                  <v>49047</v>
                </pt>
                <pt idx="191">
                  <v>49302</v>
                </pt>
                <pt idx="192">
                  <v>48951</v>
                </pt>
                <pt idx="193">
                  <v>48927</v>
                </pt>
                <pt idx="194">
                  <v>48990</v>
                </pt>
                <pt idx="195">
                  <v>49433</v>
                </pt>
                <pt idx="196">
                  <v>50375</v>
                </pt>
                <pt idx="197">
                  <v>50762</v>
                </pt>
                <pt idx="198">
                  <v>50582</v>
                </pt>
                <pt idx="199">
                  <v>50131</v>
                </pt>
                <pt idx="200">
                  <v>49436</v>
                </pt>
                <pt idx="201">
                  <v>49260</v>
                </pt>
                <pt idx="202">
                  <v>49464</v>
                </pt>
                <pt idx="203">
                  <v>48906</v>
                </pt>
                <pt idx="204">
                  <v>49288</v>
                </pt>
                <pt idx="205">
                  <v>49199</v>
                </pt>
                <pt idx="206">
                  <v>48840</v>
                </pt>
                <pt idx="207">
                  <v>48887</v>
                </pt>
                <pt idx="208">
                  <v>49085</v>
                </pt>
                <pt idx="209">
                  <v>48792</v>
                </pt>
                <pt idx="210">
                  <v>48812</v>
                </pt>
                <pt idx="211">
                  <v>48934</v>
                </pt>
                <pt idx="212">
                  <v>49220</v>
                </pt>
                <pt idx="213">
                  <v>49725</v>
                </pt>
                <pt idx="214">
                  <v>49156</v>
                </pt>
                <pt idx="215">
                  <v>49657</v>
                </pt>
                <pt idx="216">
                  <v>49844</v>
                </pt>
                <pt idx="217">
                  <v>50538</v>
                </pt>
                <pt idx="218">
                  <v>50095</v>
                </pt>
                <pt idx="219">
                  <v>50650</v>
                </pt>
                <pt idx="220">
                  <v>50023</v>
                </pt>
                <pt idx="221">
                  <v>49966</v>
                </pt>
                <pt idx="222">
                  <v>49913</v>
                </pt>
                <pt idx="223">
                  <v>50133</v>
                </pt>
                <pt idx="224">
                  <v>50297</v>
                </pt>
                <pt idx="225">
                  <v>50255</v>
                </pt>
                <pt idx="226">
                  <v>51382</v>
                </pt>
                <pt idx="227">
                  <v>50935</v>
                </pt>
                <pt idx="228">
                  <v>50889</v>
                </pt>
                <pt idx="229">
                  <v>51513</v>
                </pt>
                <pt idx="230">
                  <v>51635</v>
                </pt>
                <pt idx="231">
                  <v>52018</v>
                </pt>
                <pt idx="232">
                  <v>51752</v>
                </pt>
                <pt idx="233">
                  <v>52419</v>
                </pt>
                <pt idx="234">
                  <v>52110</v>
                </pt>
                <pt idx="235">
                  <v>52132</v>
                </pt>
                <pt idx="236">
                  <v>52570</v>
                </pt>
                <pt idx="237">
                  <v>52463</v>
                </pt>
                <pt idx="238">
                  <v>52639</v>
                </pt>
                <pt idx="239">
                  <v>52459</v>
                </pt>
                <pt idx="240">
                  <v>53097</v>
                </pt>
                <pt idx="241">
                  <v>53944</v>
                </pt>
                <pt idx="242">
                  <v>53681</v>
                </pt>
                <pt idx="243">
                  <v>53301</v>
                </pt>
                <pt idx="244">
                  <v>53117</v>
                </pt>
                <pt idx="245">
                  <v>53158</v>
                </pt>
                <pt idx="246">
                  <v>53303</v>
                </pt>
                <pt idx="247">
                  <v>53564</v>
                </pt>
                <pt idx="248">
                  <v>53450</v>
                </pt>
                <pt idx="249">
                  <v>53646</v>
                </pt>
                <pt idx="250">
                  <v>53436</v>
                </pt>
                <pt idx="251">
                  <v>53698</v>
                </pt>
                <pt idx="252">
                  <v>54062</v>
                </pt>
                <pt idx="253">
                  <v>54584</v>
                </pt>
                <pt idx="254">
                  <v>54227</v>
                </pt>
                <pt idx="255">
                  <v>54152</v>
                </pt>
                <pt idx="256">
                  <v>54488</v>
                </pt>
                <pt idx="257">
                  <v>54418</v>
                </pt>
                <pt idx="258">
                  <v>54644</v>
                </pt>
                <pt idx="259">
                  <v>54470</v>
                </pt>
                <pt idx="260">
                  <v>54841</v>
                </pt>
                <pt idx="261">
                  <v>54845</v>
                </pt>
                <pt idx="262">
                  <v>54799</v>
                </pt>
                <pt idx="263">
                  <v>54632</v>
                </pt>
                <pt idx="264">
                  <v>54553</v>
                </pt>
                <pt idx="265">
                  <v>55394</v>
                </pt>
                <pt idx="266">
                  <v>55526</v>
                </pt>
                <pt idx="267">
                  <v>55954</v>
                </pt>
                <pt idx="268">
                  <v>55977</v>
                </pt>
                <pt idx="269">
                  <v>55945</v>
                </pt>
                <pt idx="270">
                  <v>56080</v>
                </pt>
                <pt idx="271">
                  <v>56404</v>
                </pt>
                <pt idx="272">
                  <v>56074</v>
                </pt>
                <pt idx="273">
                  <v>56232</v>
                </pt>
                <pt idx="274">
                  <v>56337</v>
                </pt>
                <pt idx="275">
                  <v>56353</v>
                </pt>
                <pt idx="276">
                  <v>56507</v>
                </pt>
                <pt idx="277">
                  <v>56147</v>
                </pt>
                <pt idx="278">
                  <v>56316</v>
                </pt>
                <pt idx="279">
                  <v>56230</v>
                </pt>
                <pt idx="280">
                  <v>56735</v>
                </pt>
                <pt idx="281">
                  <v>56607</v>
                </pt>
                <pt idx="282">
                  <v>56915</v>
                </pt>
                <pt idx="283">
                  <v>56752</v>
                </pt>
                <pt idx="284">
                  <v>57139</v>
                </pt>
                <pt idx="285">
                  <v>56789</v>
                </pt>
                <pt idx="286">
                  <v>56970</v>
                </pt>
                <pt idx="287">
                  <v>57204</v>
                </pt>
                <pt idx="288">
                  <v>56301</v>
                </pt>
                <pt idx="289">
                  <v>57209</v>
                </pt>
                <pt idx="290">
                  <v>56986</v>
                </pt>
                <pt idx="291">
                  <v>56870</v>
                </pt>
                <pt idx="292">
                  <v>56608</v>
                </pt>
                <pt idx="293">
                  <v>57111</v>
                </pt>
                <pt idx="294">
                  <v>56779</v>
                </pt>
                <pt idx="295">
                  <v>56867</v>
                </pt>
                <pt idx="296">
                  <v>56370</v>
                </pt>
                <pt idx="297">
                  <v>56836</v>
                </pt>
                <pt idx="298">
                  <v>56518</v>
                </pt>
                <pt idx="299">
                  <v>56445</v>
                </pt>
                <pt idx="300">
                  <v>57804</v>
                </pt>
                <pt idx="301">
                  <v>57170</v>
                </pt>
                <pt idx="302">
                  <v>57361</v>
                </pt>
                <pt idx="303">
                  <v>57644</v>
                </pt>
                <pt idx="304">
                  <v>56574</v>
                </pt>
                <pt idx="305">
                  <v>57790</v>
                </pt>
                <pt idx="306">
                  <v>57475</v>
                </pt>
                <pt idx="307">
                  <v>57612</v>
                </pt>
                <pt idx="308">
                  <v>58351</v>
                </pt>
                <pt idx="309">
                  <v>57945</v>
                </pt>
                <pt idx="310">
                  <v>57965</v>
                </pt>
                <pt idx="311">
                  <v>58394</v>
                </pt>
                <pt idx="312">
                  <v>58569</v>
                </pt>
                <pt idx="313">
                  <v>58800</v>
                </pt>
                <pt idx="314">
                  <v>57897</v>
                </pt>
                <pt idx="315">
                  <v>58154</v>
                </pt>
                <pt idx="316">
                  <v>59558</v>
                </pt>
                <pt idx="317">
                  <v>58534</v>
                </pt>
                <pt idx="318">
                  <v>58872</v>
                </pt>
                <pt idx="319">
                  <v>59007</v>
                </pt>
                <pt idx="320">
                  <v>58841</v>
                </pt>
                <pt idx="321">
                  <v>59247</v>
                </pt>
                <pt idx="322">
                  <v>60634</v>
                </pt>
                <pt idx="323">
                  <v>59479</v>
                </pt>
                <pt idx="324">
                  <v>59441</v>
                </pt>
                <pt idx="325">
                  <v>59106</v>
                </pt>
                <pt idx="326">
                  <v>59339</v>
                </pt>
                <pt idx="327">
                  <v>59893</v>
                </pt>
                <pt idx="328">
                  <v>59540</v>
                </pt>
                <pt idx="329">
                  <v>59459</v>
                </pt>
                <pt idx="330">
                  <v>60437</v>
                </pt>
                <pt idx="331">
                  <v>60074</v>
                </pt>
                <pt idx="332">
                  <v>59377</v>
                </pt>
                <pt idx="333">
                  <v>59662</v>
                </pt>
                <pt idx="334">
                  <v>60033</v>
                </pt>
                <pt idx="335">
                  <v>60632</v>
                </pt>
                <pt idx="336">
                  <v>60118</v>
                </pt>
                <pt idx="337">
                  <v>60618</v>
                </pt>
                <pt idx="338">
                  <v>64302</v>
                </pt>
                <pt idx="339">
                  <v>56625</v>
                </pt>
                <pt idx="340">
                  <v>60494</v>
                </pt>
                <pt idx="341">
                  <v>61107</v>
                </pt>
                <pt idx="342">
                  <v>61181</v>
                </pt>
                <pt idx="343">
                  <v>59992</v>
                </pt>
                <pt idx="344">
                  <v>62289</v>
                </pt>
                <pt idx="345">
                  <v>61465</v>
                </pt>
                <pt idx="346">
                  <v>61442</v>
                </pt>
                <pt idx="347">
                  <v>60493</v>
                </pt>
                <pt idx="348">
                  <v>65762</v>
                </pt>
                <pt idx="349">
                  <v>62783</v>
                </pt>
                <pt idx="350">
                  <v>69549</v>
                </pt>
                <pt idx="351">
                  <v>68499</v>
                </pt>
                <pt idx="352">
                  <v>66475</v>
                </pt>
                <pt idx="353">
                  <v>66887</v>
                </pt>
                <pt idx="354">
                  <v>66654</v>
                </pt>
                <pt idx="355">
                  <v>67314</v>
                </pt>
                <pt idx="356">
                  <v>67608</v>
                </pt>
                <pt idx="357">
                  <v>68516</v>
                </pt>
                <pt idx="358">
                  <v>68402</v>
                </pt>
                <pt idx="359">
                  <v>67197</v>
                </pt>
                <pt idx="360">
                  <v>69233</v>
                </pt>
                <pt idx="361">
                  <v>67568</v>
                </pt>
                <pt idx="362">
                  <v>68468</v>
                </pt>
                <pt idx="363">
                  <v>68026</v>
                </pt>
                <pt idx="364">
                  <v>68053</v>
                </pt>
                <pt idx="365">
                  <v>69621</v>
                </pt>
                <pt idx="366">
                  <v>69346</v>
                </pt>
                <pt idx="367">
                  <v>69616</v>
                </pt>
                <pt idx="368">
                  <v>70132</v>
                </pt>
              </numCache>
            </numRef>
          </val>
          <smooth val="0"/>
        </ser>
        <dLbls>
          <showLegendKey val="0"/>
          <showVal val="0"/>
          <showCatName val="0"/>
          <showSerName val="0"/>
          <showPercent val="0"/>
          <showBubbleSize val="0"/>
        </dLbls>
        <smooth val="0"/>
        <axId val="991627056"/>
        <axId val="991625088"/>
      </lineChart>
      <dateAx>
        <axId val="99162705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991625088"/>
        <crosses val="autoZero"/>
        <lblOffset val="100"/>
        <baseTimeUnit val="months"/>
      </dateAx>
      <valAx>
        <axId val="991625088"/>
        <scaling>
          <orientation val="minMax"/>
          <min val="2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991627056"/>
        <crosses val="autoZero"/>
        <crossBetween val="between"/>
      </valAx>
    </plotArea>
    <plotVisOnly val="1"/>
    <dispBlanksAs val="gap"/>
  </chart>
</chartSpace>
</file>

<file path=xl/charts/chart19.xml><?xml version="1.0" encoding="utf-8"?>
<chartSpace xmlns="http://schemas.openxmlformats.org/drawingml/2006/chart">
  <chart>
    <title>
      <tx>
        <strRef>
          <f>'General Merchandising'!$D$6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'General Merchandising'!$D$6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'General Merchandising'!$A$7:$A$377</f>
              <numCache>
                <formatCode>[$-409]mmm\-yy;@</formatCode>
                <ptCount val="371"/>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numCache>
            </numRef>
          </cat>
          <val>
            <numRef>
              <f>'General Merchandising'!$D$7:$D$377</f>
              <numCache>
                <formatCode>General</formatCode>
                <ptCount val="371"/>
                <pt idx="12">
                  <formatCode>0.00%</formatCode>
                  <v>0.07565772926203532</v>
                </pt>
                <pt idx="13">
                  <formatCode>0.00%</formatCode>
                  <v>0.05890505890505891</v>
                </pt>
                <pt idx="14">
                  <formatCode>0.00%</formatCode>
                  <v>0.05478976596588656</v>
                </pt>
                <pt idx="15">
                  <formatCode>0.00%</formatCode>
                  <v>0.07409418501332807</v>
                </pt>
                <pt idx="16">
                  <formatCode>0.00%</formatCode>
                  <v>0.08100270336692061</v>
                </pt>
                <pt idx="17">
                  <formatCode>0.00%</formatCode>
                  <v>0.08173219036358262</v>
                </pt>
                <pt idx="18">
                  <formatCode>0.00%</formatCode>
                  <v>0.1058153922296461</v>
                </pt>
                <pt idx="19">
                  <formatCode>0.00%</formatCode>
                  <v>0.08362064779293935</v>
                </pt>
                <pt idx="20">
                  <formatCode>0.00%</formatCode>
                  <v>0.08436472635853801</v>
                </pt>
                <pt idx="21">
                  <formatCode>0.00%</formatCode>
                  <v>0.08613495755599251</v>
                </pt>
                <pt idx="22">
                  <formatCode>0.00%</formatCode>
                  <v>0.07979884239491412</v>
                </pt>
                <pt idx="23">
                  <formatCode>0.00%</formatCode>
                  <v>0.0530066200809121</v>
                </pt>
                <pt idx="24">
                  <formatCode>0.00%</formatCode>
                  <v>0.06187158022728335</v>
                </pt>
                <pt idx="25">
                  <formatCode>0.00%</formatCode>
                  <v>0.07844053851907255</v>
                </pt>
                <pt idx="26">
                  <formatCode>0.00%</formatCode>
                  <v>0.1120669393127438</v>
                </pt>
                <pt idx="27">
                  <formatCode>0.00%</formatCode>
                  <v>0.07330300105703387</v>
                </pt>
                <pt idx="28">
                  <formatCode>0.00%</formatCode>
                  <v>0.05810939844495976</v>
                </pt>
                <pt idx="29">
                  <formatCode>0.00%</formatCode>
                  <v>0.07601220567472788</v>
                </pt>
                <pt idx="30">
                  <formatCode>0.00%</formatCode>
                  <v>0.05782571722687195</v>
                </pt>
                <pt idx="31">
                  <formatCode>0.00%</formatCode>
                  <v>0.07053551422809769</v>
                </pt>
                <pt idx="32">
                  <formatCode>0.00%</formatCode>
                  <v>0.06982032190467698</v>
                </pt>
                <pt idx="33">
                  <formatCode>0.00%</formatCode>
                  <v>0.07100278182540734</v>
                </pt>
                <pt idx="34">
                  <formatCode>0.00%</formatCode>
                  <v>0.07012302284710017</v>
                </pt>
                <pt idx="35">
                  <formatCode>0.00%</formatCode>
                  <v>0.0732591137306265</v>
                </pt>
                <pt idx="36">
                  <formatCode>0.00%</formatCode>
                  <v>0.09821192636307584</v>
                </pt>
                <pt idx="37">
                  <formatCode>0.00%</formatCode>
                  <v>0.04529692241005635</v>
                </pt>
                <pt idx="38">
                  <formatCode>0.00%</formatCode>
                  <v>0.03897366529991123</v>
                </pt>
                <pt idx="39">
                  <formatCode>0.00%</formatCode>
                  <v>0.0596471696497388</v>
                </pt>
                <pt idx="40">
                  <formatCode>0.00%</formatCode>
                  <v>0.06789566413132225</v>
                </pt>
                <pt idx="41">
                  <formatCode>0.00%</formatCode>
                  <v>0.06518242614069246</v>
                </pt>
                <pt idx="42">
                  <formatCode>0.00%</formatCode>
                  <v>0.0736196319018405</v>
                </pt>
                <pt idx="43">
                  <formatCode>0.00%</formatCode>
                  <v>0.05379044748629076</v>
                </pt>
                <pt idx="44">
                  <formatCode>0.00%</formatCode>
                  <v>0.06142946447176495</v>
                </pt>
                <pt idx="45">
                  <formatCode>0.00%</formatCode>
                  <v>0.036281179138322</v>
                </pt>
                <pt idx="46">
                  <formatCode>0.00%</formatCode>
                  <v>0.04343898833962884</v>
                </pt>
                <pt idx="47">
                  <formatCode>0.00%</formatCode>
                  <v>0.03949884066224627</v>
                </pt>
                <pt idx="48">
                  <formatCode>0.00%</formatCode>
                  <v>0.01118864292589028</v>
                </pt>
                <pt idx="49">
                  <formatCode>0.00%</formatCode>
                  <v>0.06224341696039809</v>
                </pt>
                <pt idx="50">
                  <formatCode>0.00%</formatCode>
                  <v>0.04056308230603361</v>
                </pt>
                <pt idx="51">
                  <formatCode>0.00%</formatCode>
                  <v>0.0547945205479452</v>
                </pt>
                <pt idx="52">
                  <formatCode>0.00%</formatCode>
                  <v>0.05492736710796346</v>
                </pt>
                <pt idx="53">
                  <formatCode>0.00%</formatCode>
                  <v>0.03651752364301041</v>
                </pt>
                <pt idx="54">
                  <formatCode>0.00%</formatCode>
                  <v>0.03286699507389163</v>
                </pt>
                <pt idx="55">
                  <formatCode>0.00%</formatCode>
                  <v>0.05032970525144991</v>
                </pt>
                <pt idx="56">
                  <formatCode>0.00%</formatCode>
                  <v>0.04401429188425144</v>
                </pt>
                <pt idx="57">
                  <formatCode>0.00%</formatCode>
                  <v>0.07037994827929182</v>
                </pt>
                <pt idx="58">
                  <formatCode>0.00%</formatCode>
                  <v>0.05343511450381679</v>
                </pt>
                <pt idx="59">
                  <formatCode>0.00%</formatCode>
                  <v>0.0585818267198873</v>
                </pt>
                <pt idx="60">
                  <formatCode>0.00%</formatCode>
                  <v>0.0793575252825699</v>
                </pt>
                <pt idx="61">
                  <formatCode>0.00%</formatCode>
                  <v>0.06425671455340412</v>
                </pt>
                <pt idx="62">
                  <formatCode>0.00%</formatCode>
                  <v>0.06756334063184236</v>
                </pt>
                <pt idx="63">
                  <formatCode>0.00%</formatCode>
                  <v>0.04122131555759875</v>
                </pt>
                <pt idx="64">
                  <formatCode>0.00%</formatCode>
                  <v>0.04241684467500763</v>
                </pt>
                <pt idx="65">
                  <formatCode>0.00%</formatCode>
                  <v>0.05167720912401763</v>
                </pt>
                <pt idx="66">
                  <formatCode>0.00%</formatCode>
                  <v>0.06638940821855088</v>
                </pt>
                <pt idx="67">
                  <formatCode>0.00%</formatCode>
                  <v>0.05665443818312469</v>
                </pt>
                <pt idx="68">
                  <formatCode>0.00%</formatCode>
                  <v>0.0480631816472358</v>
                </pt>
                <pt idx="69">
                  <formatCode>0.00%</formatCode>
                  <v>0.04649866190900982</v>
                </pt>
                <pt idx="70">
                  <formatCode>0.00%</formatCode>
                  <v>0.0515090392947856</v>
                </pt>
                <pt idx="71">
                  <formatCode>0.00%</formatCode>
                  <v>0.03537762005101475</v>
                </pt>
                <pt idx="72">
                  <formatCode>0.00%</formatCode>
                  <v>0.04357730746619635</v>
                </pt>
                <pt idx="73">
                  <formatCode>0.00%</formatCode>
                  <v>0.05450810652189862</v>
                </pt>
                <pt idx="74">
                  <formatCode>0.00%</formatCode>
                  <v>0.0516407852329329</v>
                </pt>
                <pt idx="75">
                  <formatCode>0.00%</formatCode>
                  <v>0.07152581036829905</v>
                </pt>
                <pt idx="76">
                  <formatCode>0.00%</formatCode>
                  <v>0.06396370023419204</v>
                </pt>
                <pt idx="77">
                  <formatCode>0.00%</formatCode>
                  <v>0.06331790179710567</v>
                </pt>
                <pt idx="78">
                  <formatCode>0.00%</formatCode>
                  <v>0.04164728612830513</v>
                </pt>
                <pt idx="79">
                  <formatCode>0.00%</formatCode>
                  <v>0.04778266938687856</v>
                </pt>
                <pt idx="80">
                  <formatCode>0.00%</formatCode>
                  <v>0.06067891488445529</v>
                </pt>
                <pt idx="81">
                  <formatCode>0.00%</formatCode>
                  <v>0.05558515361392292</v>
                </pt>
                <pt idx="82">
                  <formatCode>0.00%</formatCode>
                  <v>0.06902063869844766</v>
                </pt>
                <pt idx="83">
                  <formatCode>0.00%</formatCode>
                  <v>0.07572836332476435</v>
                </pt>
                <pt idx="84">
                  <formatCode>0.00%</formatCode>
                  <v>0.0796422787127667</v>
                </pt>
                <pt idx="85">
                  <formatCode>0.00%</formatCode>
                  <v>0.08160567691665507</v>
                </pt>
                <pt idx="86">
                  <formatCode>0.00%</formatCode>
                  <v>0.09319495716375287</v>
                </pt>
                <pt idx="87">
                  <formatCode>0.00%</formatCode>
                  <v>0.06475981183257219</v>
                </pt>
                <pt idx="88">
                  <formatCode>0.00%</formatCode>
                  <v>0.07184619617553996</v>
                </pt>
                <pt idx="89">
                  <formatCode>0.00%</formatCode>
                  <v>0.08508741858073363</v>
                </pt>
                <pt idx="90">
                  <formatCode>0.00%</formatCode>
                  <v>0.08367396008655927</v>
                </pt>
                <pt idx="91">
                  <formatCode>0.00%</formatCode>
                  <v>0.08649313383890142</v>
                </pt>
                <pt idx="92">
                  <formatCode>0.00%</formatCode>
                  <v>0.08772285936601373</v>
                </pt>
                <pt idx="93">
                  <formatCode>0.00%</formatCode>
                  <v>0.07957604306864065</v>
                </pt>
                <pt idx="94">
                  <formatCode>0.00%</formatCode>
                  <v>0.06868478766531534</v>
                </pt>
                <pt idx="95">
                  <formatCode>0.00%</formatCode>
                  <v>0.09864250389989711</v>
                </pt>
                <pt idx="96">
                  <formatCode>0.00%</formatCode>
                  <v>0.0494064701278372</v>
                </pt>
                <pt idx="97">
                  <formatCode>0.00%</formatCode>
                  <v>0.04766192834630475</v>
                </pt>
                <pt idx="98">
                  <formatCode>0.00%</formatCode>
                  <v>0.05463523415100351</v>
                </pt>
                <pt idx="99">
                  <formatCode>0.00%</formatCode>
                  <v>0.06030507272082299</v>
                </pt>
                <pt idx="100">
                  <formatCode>0.00%</formatCode>
                  <v>0.06975774105567142</v>
                </pt>
                <pt idx="101">
                  <formatCode>0.00%</formatCode>
                  <v>0.05547832680399343</v>
                </pt>
                <pt idx="102">
                  <formatCode>0.00%</formatCode>
                  <v>0.06456623030840915</v>
                </pt>
                <pt idx="103">
                  <formatCode>0.00%</formatCode>
                  <v>0.06341570772810162</v>
                </pt>
                <pt idx="104">
                  <formatCode>0.00%</formatCode>
                  <v>0.06201791490420502</v>
                </pt>
                <pt idx="105">
                  <formatCode>0.00%</formatCode>
                  <v>0.06841203054386785</v>
                </pt>
                <pt idx="106">
                  <formatCode>0.00%</formatCode>
                  <v>0.07142190852274494</v>
                </pt>
                <pt idx="107">
                  <formatCode>0.00%</formatCode>
                  <v>0.04933385698317271</v>
                </pt>
                <pt idx="108">
                  <formatCode>0.00%</formatCode>
                  <v>0.1063426458249169</v>
                </pt>
                <pt idx="109">
                  <formatCode>0.00%</formatCode>
                  <v>0.06381999017681729</v>
                </pt>
                <pt idx="110">
                  <formatCode>0.00%</formatCode>
                  <v>0.02911946835825404</v>
                </pt>
                <pt idx="111">
                  <formatCode>0.00%</formatCode>
                  <v>0.07558015754737066</v>
                </pt>
                <pt idx="112">
                  <formatCode>0.00%</formatCode>
                  <v>0.05588050031494646</v>
                </pt>
                <pt idx="113">
                  <formatCode>0.00%</formatCode>
                  <v>0.05106561302681992</v>
                </pt>
                <pt idx="114">
                  <formatCode>0.00%</formatCode>
                  <v>0.06353837908652414</v>
                </pt>
                <pt idx="115">
                  <formatCode>0.00%</formatCode>
                  <v>0.06185140289152352</v>
                </pt>
                <pt idx="116">
                  <formatCode>0.00%</formatCode>
                  <v>0.04908334797633691</v>
                </pt>
                <pt idx="117">
                  <formatCode>0.00%</formatCode>
                  <v>0.05685530921820303</v>
                </pt>
                <pt idx="118">
                  <formatCode>0.00%</formatCode>
                  <v>0.06378779964014163</v>
                </pt>
                <pt idx="119">
                  <formatCode>0.00%</formatCode>
                  <v>0.0667933436978177</v>
                </pt>
                <pt idx="120">
                  <formatCode>0.00%</formatCode>
                  <v>0.03398780933119856</v>
                </pt>
                <pt idx="121">
                  <formatCode>0.00%</formatCode>
                  <v>0.06691675082960612</v>
                </pt>
                <pt idx="122">
                  <formatCode>0.00%</formatCode>
                  <v>0.09025800581173501</v>
                </pt>
                <pt idx="123">
                  <formatCode>0.00%</formatCode>
                  <v>0.06014591109602986</v>
                </pt>
                <pt idx="124">
                  <formatCode>0.00%</formatCode>
                  <v>0.05431509573319698</v>
                </pt>
                <pt idx="125">
                  <formatCode>0.00%</formatCode>
                  <v>0.06558637580452241</v>
                </pt>
                <pt idx="126">
                  <formatCode>0.00%</formatCode>
                  <v>0.03952967525195969</v>
                </pt>
                <pt idx="127">
                  <formatCode>0.00%</formatCode>
                  <v>0.03583460949464012</v>
                </pt>
                <pt idx="128">
                  <formatCode>0.00%</formatCode>
                  <v>0.03453185193456535</v>
                </pt>
                <pt idx="129">
                  <formatCode>0.00%</formatCode>
                  <v>0.0438046868530735</v>
                </pt>
                <pt idx="130">
                  <formatCode>0.00%</formatCode>
                  <v>0.02842645133129638</v>
                </pt>
                <pt idx="131">
                  <formatCode>0.00%</formatCode>
                  <v>0.01786581745560533</v>
                </pt>
                <pt idx="132">
                  <formatCode>0.00%</formatCode>
                  <v>0.02523702154247372</v>
                </pt>
                <pt idx="133">
                  <formatCode>0.00%</formatCode>
                  <v>0.02856061015848975</v>
                </pt>
                <pt idx="134">
                  <formatCode>0.00%</formatCode>
                  <v>0.03357204393710963</v>
                </pt>
                <pt idx="135">
                  <formatCode>0.00%</formatCode>
                  <v>0.02213864660851938</v>
                </pt>
                <pt idx="136">
                  <formatCode>0.00%</formatCode>
                  <v>0.03688635016435846</v>
                </pt>
                <pt idx="137">
                  <formatCode>0.00%</formatCode>
                  <v>0.03872571291124356</v>
                </pt>
                <pt idx="138">
                  <formatCode>0.00%</formatCode>
                  <v>0.06118711623397609</v>
                </pt>
                <pt idx="139">
                  <formatCode>0.00%</formatCode>
                  <v>0.07749583355733562</v>
                </pt>
                <pt idx="140">
                  <formatCode>0.00%</formatCode>
                  <v>0.07655360371299819</v>
                </pt>
                <pt idx="141">
                  <formatCode>0.00%</formatCode>
                  <v>0.04847154643537127</v>
                </pt>
                <pt idx="142">
                  <formatCode>0.00%</formatCode>
                  <v>0.05960528409995225</v>
                </pt>
                <pt idx="143">
                  <formatCode>0.00%</formatCode>
                  <v>0.06278502492310956</v>
                </pt>
                <pt idx="144">
                  <formatCode>0.00%</formatCode>
                  <v>0.07143614202437731</v>
                </pt>
                <pt idx="145">
                  <formatCode>0.00%</formatCode>
                  <v>0.06544833026557981</v>
                </pt>
                <pt idx="146">
                  <formatCode>0.00%</formatCode>
                  <v>0.07001641009611628</v>
                </pt>
                <pt idx="147">
                  <formatCode>0.00%</formatCode>
                  <v>0.06108922000991623</v>
                </pt>
                <pt idx="148">
                  <formatCode>0.00%</formatCode>
                  <v>0.07403268975911441</v>
                </pt>
                <pt idx="149">
                  <formatCode>0.00%</formatCode>
                  <v>0.04862862141717697</v>
                </pt>
                <pt idx="150">
                  <formatCode>0.00%</formatCode>
                  <v>0.04550299461983555</v>
                </pt>
                <pt idx="151">
                  <formatCode>0.00%</formatCode>
                  <v>0.0308843707122365</v>
                </pt>
                <pt idx="152">
                  <formatCode>0.00%</formatCode>
                  <v>0.04158311610186485</v>
                </pt>
                <pt idx="153">
                  <formatCode>0.00%</formatCode>
                  <v>0.06035461171782391</v>
                </pt>
                <pt idx="154">
                  <formatCode>0.00%</formatCode>
                  <v>0.05592689948679434</v>
                </pt>
                <pt idx="155">
                  <formatCode>0.00%</formatCode>
                  <v>0.06416525296876559</v>
                </pt>
                <pt idx="156">
                  <formatCode>0.00%</formatCode>
                  <v>0.05242852903353448</v>
                </pt>
                <pt idx="157">
                  <formatCode>0.00%</formatCode>
                  <v>0.06574693353735285</v>
                </pt>
                <pt idx="158">
                  <formatCode>0.00%</formatCode>
                  <v>0.04552204289296234</v>
                </pt>
                <pt idx="159">
                  <formatCode>0.00%</formatCode>
                  <v>0.07227878609020708</v>
                </pt>
                <pt idx="160">
                  <formatCode>0.00%</formatCode>
                  <v>0.05059034162392335</v>
                </pt>
                <pt idx="161">
                  <formatCode>0.00%</formatCode>
                  <v>0.08828148002748061</v>
                </pt>
                <pt idx="162">
                  <formatCode>0.00%</formatCode>
                  <v>0.06845158628055441</v>
                </pt>
                <pt idx="163">
                  <formatCode>0.00%</formatCode>
                  <v>0.06996103864675847</v>
                </pt>
                <pt idx="164">
                  <formatCode>0.00%</formatCode>
                  <v>0.07091806040187704</v>
                </pt>
                <pt idx="165">
                  <formatCode>0.00%</formatCode>
                  <v>0.07670900528043385</v>
                </pt>
                <pt idx="166">
                  <formatCode>0.00%</formatCode>
                  <v>0.07223974015505347</v>
                </pt>
                <pt idx="167">
                  <formatCode>0.00%</formatCode>
                  <v>0.04974681170292573</v>
                </pt>
                <pt idx="168">
                  <formatCode>0.00%</formatCode>
                  <v>0.07411410846884106</v>
                </pt>
                <pt idx="169">
                  <formatCode>0.00%</formatCode>
                  <v>0.06000046314521918</v>
                </pt>
                <pt idx="170">
                  <formatCode>0.00%</formatCode>
                  <v>0.06253929078674707</v>
                </pt>
                <pt idx="171">
                  <formatCode>0.00%</formatCode>
                  <v>0.05612256599619275</v>
                </pt>
                <pt idx="172">
                  <formatCode>0.00%</formatCode>
                  <v>0.05487875089238422</v>
                </pt>
                <pt idx="173">
                  <formatCode>0.00%</formatCode>
                  <v>0.03611850114983992</v>
                </pt>
                <pt idx="174">
                  <formatCode>0.00%</formatCode>
                  <v>0.04137037962605357</v>
                </pt>
                <pt idx="175">
                  <formatCode>0.00%</formatCode>
                  <v>0.04136698783190845</v>
                </pt>
                <pt idx="176">
                  <formatCode>0.00%</formatCode>
                  <v>0.04966068940721766</v>
                </pt>
                <pt idx="177">
                  <formatCode>0.00%</formatCode>
                  <v>0.03119270108467537</v>
                </pt>
                <pt idx="178">
                  <formatCode>0.00%</formatCode>
                  <v>0.03480298943085836</v>
                </pt>
                <pt idx="179">
                  <formatCode>0.00%</formatCode>
                  <v>0.05730492652641923</v>
                </pt>
                <pt idx="180">
                  <formatCode>0.00%</formatCode>
                  <v>0.05084226646248086</v>
                </pt>
                <pt idx="181">
                  <formatCode>0.00%</formatCode>
                  <v>0.03318477738454145</v>
                </pt>
                <pt idx="182">
                  <formatCode>0.00%</formatCode>
                  <v>0.05471677440560973</v>
                </pt>
                <pt idx="183">
                  <formatCode>0.00%</formatCode>
                  <v>0.03541956219596942</v>
                </pt>
                <pt idx="184">
                  <formatCode>0.00%</formatCode>
                  <v>0.04543072959874252</v>
                </pt>
                <pt idx="185">
                  <formatCode>0.00%</formatCode>
                  <v>0.04125685438245278</v>
                </pt>
                <pt idx="186">
                  <formatCode>0.00%</formatCode>
                  <v>0.05615428247305729</v>
                </pt>
                <pt idx="187">
                  <formatCode>0.00%</formatCode>
                  <v>0.05779380144647395</v>
                </pt>
                <pt idx="188">
                  <formatCode>0.00%</formatCode>
                  <v>0.03373865387908889</v>
                </pt>
                <pt idx="189">
                  <formatCode>0.00%</formatCode>
                  <v>0.03986803487649693</v>
                </pt>
                <pt idx="190">
                  <formatCode>0.00%</formatCode>
                  <v>0.04801282051282051</v>
                </pt>
                <pt idx="191">
                  <formatCode>0.00%</formatCode>
                  <v>0.04135687732342008</v>
                </pt>
                <pt idx="192">
                  <formatCode>0.00%</formatCode>
                  <v>0.01909064412707666</v>
                </pt>
                <pt idx="193">
                  <formatCode>0.00%</formatCode>
                  <v>0.03455056773729728</v>
                </pt>
                <pt idx="194">
                  <formatCode>0.00%</formatCode>
                  <v>0.01782597855896285</v>
                </pt>
                <pt idx="195">
                  <formatCode>0.00%</formatCode>
                  <v>0.03678768430545943</v>
                </pt>
                <pt idx="196">
                  <formatCode>0.00%</formatCode>
                  <v>0.05195564558230835</v>
                </pt>
                <pt idx="197">
                  <formatCode>0.00%</formatCode>
                  <v>0.06081250522444203</v>
                </pt>
                <pt idx="198">
                  <formatCode>0.00%</formatCode>
                  <v>0.0448235974551764</v>
                </pt>
                <pt idx="199">
                  <formatCode>0.00%</formatCode>
                  <v>0.02929944152431012</v>
                </pt>
                <pt idx="200">
                  <formatCode>0.00%</formatCode>
                  <v>0.0237740225314778</v>
                </pt>
                <pt idx="201">
                  <formatCode>0.00%</formatCode>
                  <v>0.01483312731767614</v>
                </pt>
                <pt idx="202">
                  <formatCode>0.00%</formatCode>
                  <v>0.008502049054988072</v>
                </pt>
                <pt idx="203">
                  <formatCode>0.00%</formatCode>
                  <v>-0.008032128514056224</v>
                </pt>
                <pt idx="204">
                  <formatCode>0.00%</formatCode>
                  <v>0.006884435455864027</v>
                </pt>
                <pt idx="205">
                  <formatCode>0.00%</formatCode>
                  <v>0.005559302634537168</v>
                </pt>
                <pt idx="206">
                  <formatCode>0.00%</formatCode>
                  <v>-0.003061849357011635</v>
                </pt>
                <pt idx="207">
                  <formatCode>0.00%</formatCode>
                  <v>-0.01104525317095867</v>
                </pt>
                <pt idx="208">
                  <formatCode>0.00%</formatCode>
                  <v>-0.02560794044665013</v>
                </pt>
                <pt idx="209">
                  <formatCode>0.00%</formatCode>
                  <v>-0.03880855758244356</v>
                </pt>
                <pt idx="210">
                  <formatCode>0.00%</formatCode>
                  <v>-0.03499268514491321</v>
                </pt>
                <pt idx="211">
                  <formatCode>0.00%</formatCode>
                  <v>-0.02387744110430672</v>
                </pt>
                <pt idx="212">
                  <formatCode>0.00%</formatCode>
                  <v>-0.004369285540901368</v>
                </pt>
                <pt idx="213">
                  <formatCode>0.00%</formatCode>
                  <v>0.009439707673568819</v>
                </pt>
                <pt idx="214">
                  <formatCode>0.00%</formatCode>
                  <v>-0.006226750768235484</v>
                </pt>
                <pt idx="215">
                  <formatCode>0.00%</formatCode>
                  <v>0.01535598904019957</v>
                </pt>
                <pt idx="216">
                  <formatCode>0.00%</formatCode>
                  <v>0.01128063626034735</v>
                </pt>
                <pt idx="217">
                  <formatCode>0.00%</formatCode>
                  <v>0.02721600032520986</v>
                </pt>
                <pt idx="218">
                  <formatCode>0.00%</formatCode>
                  <v>0.0256961506961507</v>
                </pt>
                <pt idx="219">
                  <formatCode>0.00%</formatCode>
                  <v>0.03606275697015567</v>
                </pt>
                <pt idx="220">
                  <formatCode>0.00%</formatCode>
                  <v>0.01910970764999491</v>
                </pt>
                <pt idx="221">
                  <formatCode>0.00%</formatCode>
                  <v>0.02406132152811936</v>
                </pt>
                <pt idx="222">
                  <formatCode>0.00%</formatCode>
                  <v>0.02255592886995001</v>
                </pt>
                <pt idx="223">
                  <formatCode>0.00%</formatCode>
                  <v>0.02450239097559979</v>
                </pt>
                <pt idx="224">
                  <formatCode>0.00%</formatCode>
                  <v>0.02188134904510362</v>
                </pt>
                <pt idx="225">
                  <formatCode>0.00%</formatCode>
                  <v>0.01065862242332831</v>
                </pt>
                <pt idx="226">
                  <formatCode>0.00%</formatCode>
                  <v>0.04528440068353812</v>
                </pt>
                <pt idx="227">
                  <formatCode>0.00%</formatCode>
                  <v>0.02573655275187788</v>
                </pt>
                <pt idx="228">
                  <formatCode>0.00%</formatCode>
                  <v>0.02096541208570741</v>
                </pt>
                <pt idx="229">
                  <formatCode>0.00%</formatCode>
                  <v>0.01929241362934821</v>
                </pt>
                <pt idx="230">
                  <formatCode>0.00%</formatCode>
                  <v>0.03074159097714343</v>
                </pt>
                <pt idx="231">
                  <formatCode>0.00%</formatCode>
                  <v>0.02700888450148075</v>
                </pt>
                <pt idx="232">
                  <formatCode>0.00%</formatCode>
                  <v>0.03456410051376367</v>
                </pt>
                <pt idx="233">
                  <formatCode>0.00%</formatCode>
                  <v>0.04909338350078053</v>
                </pt>
                <pt idx="234">
                  <formatCode>0.00%</formatCode>
                  <v>0.04401658886462444</v>
                </pt>
                <pt idx="235">
                  <formatCode>0.00%</formatCode>
                  <v>0.03987393533201684</v>
                </pt>
                <pt idx="236">
                  <formatCode>0.00%</formatCode>
                  <v>0.04519156212100126</v>
                </pt>
                <pt idx="237">
                  <formatCode>0.00%</formatCode>
                  <v>0.04393592677345538</v>
                </pt>
                <pt idx="238">
                  <formatCode>0.00%</formatCode>
                  <v>0.02446382001479117</v>
                </pt>
                <pt idx="239">
                  <formatCode>0.00%</formatCode>
                  <v>0.02992048689506233</v>
                </pt>
                <pt idx="240">
                  <formatCode>0.00%</formatCode>
                  <v>0.04338855155338089</v>
                </pt>
                <pt idx="241">
                  <formatCode>0.00%</formatCode>
                  <v>0.04719197095878711</v>
                </pt>
                <pt idx="242">
                  <formatCode>0.00%</formatCode>
                  <v>0.03962428585261935</v>
                </pt>
                <pt idx="243">
                  <formatCode>0.00%</formatCode>
                  <v>0.02466453919796993</v>
                </pt>
                <pt idx="244">
                  <formatCode>0.00%</formatCode>
                  <v>0.02637579223991343</v>
                </pt>
                <pt idx="245">
                  <formatCode>0.00%</formatCode>
                  <v>0.01409794158606612</v>
                </pt>
                <pt idx="246">
                  <formatCode>0.00%</formatCode>
                  <v>0.02289387833429284</v>
                </pt>
                <pt idx="247">
                  <formatCode>0.00%</formatCode>
                  <v>0.02746873321568327</v>
                </pt>
                <pt idx="248">
                  <formatCode>0.00%</formatCode>
                  <v>0.01673958531481834</v>
                </pt>
                <pt idx="249">
                  <formatCode>0.00%</formatCode>
                  <v>0.02254922516821379</v>
                </pt>
                <pt idx="250">
                  <formatCode>0.00%</formatCode>
                  <v>0.01514086513801554</v>
                </pt>
                <pt idx="251">
                  <formatCode>0.00%</formatCode>
                  <v>0.02361844488076403</v>
                </pt>
                <pt idx="252">
                  <formatCode>0.00%</formatCode>
                  <v>0.01817428479951786</v>
                </pt>
                <pt idx="253">
                  <formatCode>0.00%</formatCode>
                  <v>0.01186415542043601</v>
                </pt>
                <pt idx="254">
                  <formatCode>0.00%</formatCode>
                  <v>0.01017119651273262</v>
                </pt>
                <pt idx="255">
                  <formatCode>0.00%</formatCode>
                  <v>0.0159659293446652</v>
                </pt>
                <pt idx="256">
                  <formatCode>0.00%</formatCode>
                  <v>0.02581094564828586</v>
                </pt>
                <pt idx="257">
                  <formatCode>0.00%</formatCode>
                  <v>0.0237029233605478</v>
                </pt>
                <pt idx="258">
                  <formatCode>0.00%</formatCode>
                  <v>0.02515805864585483</v>
                </pt>
                <pt idx="259">
                  <formatCode>0.00%</formatCode>
                  <v>0.01691434545590322</v>
                </pt>
                <pt idx="260">
                  <formatCode>0.00%</formatCode>
                  <v>0.02602432179607109</v>
                </pt>
                <pt idx="261">
                  <formatCode>0.00%</formatCode>
                  <v>0.02235022182455355</v>
                </pt>
                <pt idx="262">
                  <formatCode>0.00%</formatCode>
                  <v>0.02550714873867805</v>
                </pt>
                <pt idx="263">
                  <formatCode>0.00%</formatCode>
                  <v>0.01739357145517524</v>
                </pt>
                <pt idx="264">
                  <formatCode>0.00%</formatCode>
                  <v>0.009082164921756501</v>
                </pt>
                <pt idx="265">
                  <formatCode>0.00%</formatCode>
                  <v>0.01483951341052323</v>
                </pt>
                <pt idx="266">
                  <formatCode>0.00%</formatCode>
                  <v>0.02395485643683036</v>
                </pt>
                <pt idx="267">
                  <formatCode>0.00%</formatCode>
                  <v>0.03327670261486187</v>
                </pt>
                <pt idx="268">
                  <formatCode>0.00%</formatCode>
                  <v>0.02732711789751872</v>
                </pt>
                <pt idx="269">
                  <formatCode>0.00%</formatCode>
                  <v>0.02806056819434746</v>
                </pt>
                <pt idx="270">
                  <formatCode>0.00%</formatCode>
                  <v>0.02627918893199619</v>
                </pt>
                <pt idx="271">
                  <formatCode>0.00%</formatCode>
                  <v>0.03550578299981641</v>
                </pt>
                <pt idx="272">
                  <formatCode>0.00%</formatCode>
                  <v>0.02248317864371547</v>
                </pt>
                <pt idx="273">
                  <formatCode>0.00%</formatCode>
                  <v>0.02528945209226001</v>
                </pt>
                <pt idx="274">
                  <formatCode>0.00%</formatCode>
                  <v>0.02806620558769321</v>
                </pt>
                <pt idx="275">
                  <formatCode>0.00%</formatCode>
                  <v>0.03150168399472836</v>
                </pt>
                <pt idx="276">
                  <formatCode>0.00%</formatCode>
                  <v>0.03581837845764669</v>
                </pt>
                <pt idx="277">
                  <formatCode>0.00%</formatCode>
                  <v>0.01359352998519695</v>
                </pt>
                <pt idx="278">
                  <formatCode>0.00%</formatCode>
                  <v>0.01422756906674351</v>
                </pt>
                <pt idx="279">
                  <formatCode>0.00%</formatCode>
                  <v>0.004932623226221539</v>
                </pt>
                <pt idx="280">
                  <formatCode>0.00%</formatCode>
                  <v>0.01354127588116548</v>
                </pt>
                <pt idx="281">
                  <formatCode>0.00%</formatCode>
                  <v>0.0118330503172759</v>
                </pt>
                <pt idx="282">
                  <formatCode>0.00%</formatCode>
                  <v>0.01488944365192582</v>
                </pt>
                <pt idx="283">
                  <formatCode>0.00%</formatCode>
                  <v>0.006169775193248706</v>
                </pt>
                <pt idx="284">
                  <formatCode>0.00%</formatCode>
                  <v>0.01899275956771409</v>
                </pt>
                <pt idx="285">
                  <formatCode>0.00%</formatCode>
                  <v>0.009905391947645469</v>
                </pt>
                <pt idx="286">
                  <formatCode>0.00%</formatCode>
                  <v>0.01123595505617977</v>
                </pt>
                <pt idx="287">
                  <formatCode>0.00%</formatCode>
                  <v>0.01510123684630809</v>
                </pt>
                <pt idx="288">
                  <formatCode>0.00%</formatCode>
                  <v>-0.003645566036066328</v>
                </pt>
                <pt idx="289">
                  <formatCode>0.00%</formatCode>
                  <v>0.01891463479794112</v>
                </pt>
                <pt idx="290">
                  <formatCode>0.00%</formatCode>
                  <v>0.01189715178634846</v>
                </pt>
                <pt idx="291">
                  <formatCode>0.00%</formatCode>
                  <v>0.011381824648764</v>
                </pt>
                <pt idx="292">
                  <formatCode>0.00%</formatCode>
                  <v>-0.00223847713051908</v>
                </pt>
                <pt idx="293">
                  <formatCode>0.00%</formatCode>
                  <v>0.008903492500927448</v>
                </pt>
                <pt idx="294">
                  <formatCode>0.00%</formatCode>
                  <v>-0.002389528243872441</v>
                </pt>
                <pt idx="295">
                  <formatCode>0.00%</formatCode>
                  <v>0.002026360304482661</v>
                </pt>
                <pt idx="296">
                  <formatCode>0.00%</formatCode>
                  <v>-0.01345840844256987</v>
                </pt>
                <pt idx="297">
                  <formatCode>0.00%</formatCode>
                  <v>0.0008276250682350456</v>
                </pt>
                <pt idx="298">
                  <formatCode>0.00%</formatCode>
                  <v>-0.007934000351061963</v>
                </pt>
                <pt idx="299">
                  <formatCode>0.00%</formatCode>
                  <v>-0.01326830291588001</v>
                </pt>
                <pt idx="300">
                  <formatCode>0.00%</formatCode>
                  <v>0.0266957958117973</v>
                </pt>
                <pt idx="301">
                  <formatCode>0.00%</formatCode>
                  <v>-0.0006817109196105508</v>
                </pt>
                <pt idx="302">
                  <formatCode>0.00%</formatCode>
                  <v>0.006580563647211596</v>
                </pt>
                <pt idx="303">
                  <formatCode>0.00%</formatCode>
                  <v>0.0136099876912256</v>
                </pt>
                <pt idx="304">
                  <formatCode>0.00%</formatCode>
                  <v>-0.0006006218202374222</v>
                </pt>
                <pt idx="305">
                  <formatCode>0.00%</formatCode>
                  <v>0.01188912818896535</v>
                </pt>
                <pt idx="306">
                  <formatCode>0.00%</formatCode>
                  <v>0.01225805315345462</v>
                </pt>
                <pt idx="307">
                  <formatCode>0.00%</formatCode>
                  <v>0.01310074384089191</v>
                </pt>
                <pt idx="308">
                  <formatCode>0.00%</formatCode>
                  <v>0.03514280645733546</v>
                </pt>
                <pt idx="309">
                  <formatCode>0.00%</formatCode>
                  <v>0.01951228094869449</v>
                </pt>
                <pt idx="310">
                  <formatCode>0.00%</formatCode>
                  <v>0.0256024629321632</v>
                </pt>
                <pt idx="311">
                  <formatCode>0.00%</formatCode>
                  <v>0.03452918770484543</v>
                </pt>
                <pt idx="312">
                  <formatCode>0.00%</formatCode>
                  <v>0.01323437824372016</v>
                </pt>
                <pt idx="313">
                  <formatCode>0.00%</formatCode>
                  <v>0.0285114570578975</v>
                </pt>
                <pt idx="314">
                  <formatCode>0.00%</formatCode>
                  <v>0.00934432802775405</v>
                </pt>
                <pt idx="315">
                  <formatCode>0.00%</formatCode>
                  <v>0.00884740822982444</v>
                </pt>
                <pt idx="316">
                  <formatCode>0.00%</formatCode>
                  <v>0.05274507724396366</v>
                </pt>
                <pt idx="317">
                  <formatCode>0.00%</formatCode>
                  <v>0.01287419968852743</v>
                </pt>
                <pt idx="318">
                  <formatCode>0.00%</formatCode>
                  <v>0.02430622009569378</v>
                </pt>
                <pt idx="319">
                  <formatCode>0.00%</formatCode>
                  <v>0.02421370547802541</v>
                </pt>
                <pt idx="320">
                  <formatCode>0.00%</formatCode>
                  <v>0.0083974567702353</v>
                </pt>
                <pt idx="321">
                  <formatCode>0.00%</formatCode>
                  <v>0.02246958322547243</v>
                </pt>
                <pt idx="322">
                  <formatCode>0.00%</formatCode>
                  <v>0.04604502717156905</v>
                </pt>
                <pt idx="323">
                  <formatCode>0.00%</formatCode>
                  <v>0.01858067609685927</v>
                </pt>
                <pt idx="324">
                  <formatCode>0.00%</formatCode>
                  <v>0.01488842220287183</v>
                </pt>
                <pt idx="325">
                  <formatCode>0.00%</formatCode>
                  <v>0.005204081632653061</v>
                </pt>
                <pt idx="326">
                  <formatCode>0.00%</formatCode>
                  <v>0.02490629911739814</v>
                </pt>
                <pt idx="327">
                  <formatCode>0.00%</formatCode>
                  <v>0.02990336004402105</v>
                </pt>
                <pt idx="328">
                  <formatCode>0.00%</formatCode>
                  <v>-0.0003022264011551765</v>
                </pt>
                <pt idx="329">
                  <formatCode>0.00%</formatCode>
                  <v>0.01580278128950695</v>
                </pt>
                <pt idx="330">
                  <formatCode>0.00%</formatCode>
                  <v>0.02658309552928387</v>
                </pt>
                <pt idx="331">
                  <formatCode>0.00%</formatCode>
                  <v>0.01808260036944769</v>
                </pt>
                <pt idx="332">
                  <formatCode>0.00%</formatCode>
                  <v>0.009109294539521763</v>
                </pt>
                <pt idx="333">
                  <formatCode>0.00%</formatCode>
                  <v>0.007004574071260992</v>
                </pt>
                <pt idx="334">
                  <formatCode>0.00%</formatCode>
                  <v>-0.009911930599993403</v>
                </pt>
                <pt idx="335">
                  <formatCode>0.00%</formatCode>
                  <v>0.01938499302274753</v>
                </pt>
                <pt idx="336">
                  <formatCode>0.00%</formatCode>
                  <v>0.01138944499587827</v>
                </pt>
                <pt idx="337">
                  <formatCode>0.00%</formatCode>
                  <v>0.02558115927317024</v>
                </pt>
                <pt idx="338">
                  <formatCode>0.00%</formatCode>
                  <v>0.08363807950926035</v>
                </pt>
                <pt idx="339">
                  <formatCode>0.00%</formatCode>
                  <v>-0.05456397241747783</v>
                </pt>
                <pt idx="340">
                  <formatCode>0.00%</formatCode>
                  <v>0.01602284178703393</v>
                </pt>
                <pt idx="341">
                  <formatCode>0.00%</formatCode>
                  <v>0.02771657780991944</v>
                </pt>
                <pt idx="342">
                  <formatCode>0.00%</formatCode>
                  <v>0.01231033969257243</v>
                </pt>
                <pt idx="343">
                  <formatCode>0.00%</formatCode>
                  <v>-0.001364983187402204</v>
                </pt>
                <pt idx="344">
                  <formatCode>0.00%</formatCode>
                  <v>0.04904255856644829</v>
                </pt>
                <pt idx="345">
                  <formatCode>0.00%</formatCode>
                  <v>0.03022024068921592</v>
                </pt>
                <pt idx="346">
                  <formatCode>0.00%</formatCode>
                  <v>0.02347042459980344</v>
                </pt>
                <pt idx="347">
                  <formatCode>0.00%</formatCode>
                  <v>-0.002292518801952764</v>
                </pt>
                <pt idx="348">
                  <formatCode>0.00%</formatCode>
                  <v>0.09388203200372601</v>
                </pt>
                <pt idx="349">
                  <formatCode>0.00%</formatCode>
                  <v>0.03571546405358145</v>
                </pt>
                <pt idx="350">
                  <formatCode>0.00%</formatCode>
                  <v>0.08159932817019688</v>
                </pt>
                <pt idx="351">
                  <formatCode>0.00%</formatCode>
                  <v>0.2096953642384106</v>
                </pt>
                <pt idx="352">
                  <formatCode>0.00%</formatCode>
                  <v>0.09886930935299368</v>
                </pt>
                <pt idx="353">
                  <formatCode>0.00%</formatCode>
                  <v>0.09458818138674784</v>
                </pt>
                <pt idx="354">
                  <formatCode>0.00%</formatCode>
                  <v>0.08945587682450434</v>
                </pt>
                <pt idx="355">
                  <formatCode>0.00%</formatCode>
                  <v>0.1220496066142152</v>
                </pt>
                <pt idx="356">
                  <formatCode>0.00%</formatCode>
                  <v>0.08539228435197226</v>
                </pt>
                <pt idx="357">
                  <formatCode>0.00%</formatCode>
                  <v>0.1147156918571545</v>
                </pt>
                <pt idx="358">
                  <formatCode>0.00%</formatCode>
                  <v>0.1132775625793431</v>
                </pt>
                <pt idx="359">
                  <formatCode>0.00%</formatCode>
                  <v>0.1108227398211363</v>
                </pt>
                <pt idx="360">
                  <formatCode>0.00%</formatCode>
                  <v>0.05278124144642803</v>
                </pt>
                <pt idx="361">
                  <formatCode>0.00%</formatCode>
                  <v>0.07621489893761051</v>
                </pt>
                <pt idx="362">
                  <formatCode>0.00%</formatCode>
                  <v>-0.01554299846151634</v>
                </pt>
                <pt idx="363">
                  <formatCode>0.00%</formatCode>
                  <v>-0.006905210295040804</v>
                </pt>
                <pt idx="364">
                  <formatCode>0.00%</formatCode>
                  <v>0.02373824746145167</v>
                </pt>
                <pt idx="365">
                  <formatCode>0.00%</formatCode>
                  <v>0.04087490842764663</v>
                </pt>
                <pt idx="366">
                  <formatCode>0.00%</formatCode>
                  <v>0.04038767365799502</v>
                </pt>
                <pt idx="367">
                  <formatCode>0.00%</formatCode>
                  <v>0.03419793802180824</v>
                </pt>
                <pt idx="368">
                  <formatCode>0.00%</formatCode>
                  <v>0.03733286001656608</v>
                </pt>
              </numCache>
            </numRef>
          </val>
          <smooth val="0"/>
        </ser>
        <dLbls>
          <showLegendKey val="0"/>
          <showVal val="0"/>
          <showCatName val="0"/>
          <showSerName val="0"/>
          <showPercent val="0"/>
          <showBubbleSize val="0"/>
        </dLbls>
        <smooth val="0"/>
        <axId val="991627056"/>
        <axId val="991625088"/>
      </lineChart>
      <dateAx>
        <axId val="991627056"/>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ysClr val="windowText" lastClr="000000"/>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991625088"/>
        <crosses val="autoZero"/>
        <lblOffset val="100"/>
        <baseTimeUnit val="months"/>
      </dateAx>
      <valAx>
        <axId val="9916250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99162705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0.xml><?xml version="1.0" encoding="utf-8"?>
<chartSpace xmlns="http://schemas.openxmlformats.org/drawingml/2006/chart">
  <chart>
    <title>
      <tx>
        <strRef>
          <f>'Food Services'!$B$6</f>
          <strCache>
            <ptCount val="1"/>
            <pt idx="0">
              <v>Food Services and Drinking Places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'Food Services'!$B$6</f>
              <strCache>
                <ptCount val="1"/>
                <pt idx="0">
                  <v>Food Services and Drinking Places</v>
                </pt>
              </strCache>
            </strRef>
          </tx>
          <spPr>
            <a:ln xmlns:a="http://schemas.openxmlformats.org/drawingml/2006/main">
              <a:prstDash val="solid"/>
            </a:ln>
          </spPr>
          <marker>
            <symbol val="none"/>
            <spPr>
              <a:ln xmlns:a="http://schemas.openxmlformats.org/drawingml/2006/main">
                <a:prstDash val="solid"/>
              </a:ln>
            </spPr>
          </marker>
          <cat>
            <numRef>
              <f>'Food Services'!$A$7:$A$375</f>
              <numCache>
                <formatCode>[$-409]mmm\-yy;@</formatCode>
                <ptCount val="369"/>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numCache>
            </numRef>
          </cat>
          <val>
            <numRef>
              <f>'Food Services'!$B$7:$B$375</f>
              <numCache>
                <formatCode>#,##0</formatCode>
                <ptCount val="369"/>
                <pt idx="0">
                  <v>17170</v>
                </pt>
                <pt idx="1">
                  <v>16990</v>
                </pt>
                <pt idx="2">
                  <v>16916</v>
                </pt>
                <pt idx="3">
                  <v>16677</v>
                </pt>
                <pt idx="4">
                  <v>16602</v>
                </pt>
                <pt idx="5">
                  <v>16277</v>
                </pt>
                <pt idx="6">
                  <v>16496</v>
                </pt>
                <pt idx="7">
                  <v>16733</v>
                </pt>
                <pt idx="8">
                  <v>16812</v>
                </pt>
                <pt idx="9">
                  <v>17104</v>
                </pt>
                <pt idx="10">
                  <v>17420</v>
                </pt>
                <pt idx="11">
                  <v>17491</v>
                </pt>
                <pt idx="12">
                  <v>17553</v>
                </pt>
                <pt idx="13">
                  <v>17478</v>
                </pt>
                <pt idx="14">
                  <v>17554</v>
                </pt>
                <pt idx="15">
                  <v>17770</v>
                </pt>
                <pt idx="16">
                  <v>17821</v>
                </pt>
                <pt idx="17">
                  <v>18030</v>
                </pt>
                <pt idx="18">
                  <v>17927</v>
                </pt>
                <pt idx="19">
                  <v>18201</v>
                </pt>
                <pt idx="20">
                  <v>18515</v>
                </pt>
                <pt idx="21">
                  <v>18199</v>
                </pt>
                <pt idx="22">
                  <v>18153</v>
                </pt>
                <pt idx="23">
                  <v>18238</v>
                </pt>
                <pt idx="24">
                  <v>17624</v>
                </pt>
                <pt idx="25">
                  <v>18425</v>
                </pt>
                <pt idx="26">
                  <v>18813</v>
                </pt>
                <pt idx="27">
                  <v>18533</v>
                </pt>
                <pt idx="28">
                  <v>18600</v>
                </pt>
                <pt idx="29">
                  <v>18889</v>
                </pt>
                <pt idx="30">
                  <v>18962</v>
                </pt>
                <pt idx="31">
                  <v>18868</v>
                </pt>
                <pt idx="32">
                  <v>18978</v>
                </pt>
                <pt idx="33">
                  <v>19010</v>
                </pt>
                <pt idx="34">
                  <v>19028</v>
                </pt>
                <pt idx="35">
                  <v>19178</v>
                </pt>
                <pt idx="36">
                  <v>19160</v>
                </pt>
                <pt idx="37">
                  <v>18911</v>
                </pt>
                <pt idx="38">
                  <v>19234</v>
                </pt>
                <pt idx="39">
                  <v>19346</v>
                </pt>
                <pt idx="40">
                  <v>19450</v>
                </pt>
                <pt idx="41">
                  <v>19419</v>
                </pt>
                <pt idx="42">
                  <v>19489</v>
                </pt>
                <pt idx="43">
                  <v>19715</v>
                </pt>
                <pt idx="44">
                  <v>19640</v>
                </pt>
                <pt idx="45">
                  <v>19611</v>
                </pt>
                <pt idx="46">
                  <v>19609</v>
                </pt>
                <pt idx="47">
                  <v>19625</v>
                </pt>
                <pt idx="48">
                  <v>19564</v>
                </pt>
                <pt idx="49">
                  <v>19742</v>
                </pt>
                <pt idx="50">
                  <v>19862</v>
                </pt>
                <pt idx="51">
                  <v>19932</v>
                </pt>
                <pt idx="52">
                  <v>20094</v>
                </pt>
                <pt idx="53">
                  <v>19932</v>
                </pt>
                <pt idx="54">
                  <v>20145</v>
                </pt>
                <pt idx="55">
                  <v>20140</v>
                </pt>
                <pt idx="56">
                  <v>20397</v>
                </pt>
                <pt idx="57">
                  <v>20551</v>
                </pt>
                <pt idx="58">
                  <v>20789</v>
                </pt>
                <pt idx="59">
                  <v>20707</v>
                </pt>
                <pt idx="60">
                  <v>21110</v>
                </pt>
                <pt idx="61">
                  <v>21136</v>
                </pt>
                <pt idx="62">
                  <v>21171</v>
                </pt>
                <pt idx="63">
                  <v>21216</v>
                </pt>
                <pt idx="64">
                  <v>21230</v>
                </pt>
                <pt idx="65">
                  <v>21382</v>
                </pt>
                <pt idx="66">
                  <v>21689</v>
                </pt>
                <pt idx="67">
                  <v>21674</v>
                </pt>
                <pt idx="68">
                  <v>21986</v>
                </pt>
                <pt idx="69">
                  <v>21758</v>
                </pt>
                <pt idx="70">
                  <v>21504</v>
                </pt>
                <pt idx="71">
                  <v>21818</v>
                </pt>
                <pt idx="72">
                  <v>21921</v>
                </pt>
                <pt idx="73">
                  <v>22132</v>
                </pt>
                <pt idx="74">
                  <v>22251</v>
                </pt>
                <pt idx="75">
                  <v>22353</v>
                </pt>
                <pt idx="76">
                  <v>22436</v>
                </pt>
                <pt idx="77">
                  <v>22634</v>
                </pt>
                <pt idx="78">
                  <v>22570</v>
                </pt>
                <pt idx="79">
                  <v>22743</v>
                </pt>
                <pt idx="80">
                  <v>22830</v>
                </pt>
                <pt idx="81">
                  <v>23066</v>
                </pt>
                <pt idx="82">
                  <v>23157</v>
                </pt>
                <pt idx="83">
                  <v>23351</v>
                </pt>
                <pt idx="84">
                  <v>22871</v>
                </pt>
                <pt idx="85">
                  <v>23270</v>
                </pt>
                <pt idx="86">
                  <v>23250</v>
                </pt>
                <pt idx="87">
                  <v>23440</v>
                </pt>
                <pt idx="88">
                  <v>23500</v>
                </pt>
                <pt idx="89">
                  <v>23546</v>
                </pt>
                <pt idx="90">
                  <v>23508</v>
                </pt>
                <pt idx="91">
                  <v>23664</v>
                </pt>
                <pt idx="92">
                  <v>23836</v>
                </pt>
                <pt idx="93">
                  <v>24265</v>
                </pt>
                <pt idx="94">
                  <v>24421</v>
                </pt>
                <pt idx="95">
                  <v>24378</v>
                </pt>
                <pt idx="96">
                  <v>24608</v>
                </pt>
                <pt idx="97">
                  <v>24887</v>
                </pt>
                <pt idx="98">
                  <v>25367</v>
                </pt>
                <pt idx="99">
                  <v>25215</v>
                </pt>
                <pt idx="100">
                  <v>25193</v>
                </pt>
                <pt idx="101">
                  <v>25262</v>
                </pt>
                <pt idx="102">
                  <v>25454</v>
                </pt>
                <pt idx="103">
                  <v>25342</v>
                </pt>
                <pt idx="104">
                  <v>25711</v>
                </pt>
                <pt idx="105">
                  <v>25706</v>
                </pt>
                <pt idx="106">
                  <v>25698</v>
                </pt>
                <pt idx="107">
                  <v>25133</v>
                </pt>
                <pt idx="108">
                  <v>26180</v>
                </pt>
                <pt idx="109">
                  <v>26069</v>
                </pt>
                <pt idx="110">
                  <v>26122</v>
                </pt>
                <pt idx="111">
                  <v>26045</v>
                </pt>
                <pt idx="112">
                  <v>26278</v>
                </pt>
                <pt idx="113">
                  <v>26379</v>
                </pt>
                <pt idx="114">
                  <v>26507</v>
                </pt>
                <pt idx="115">
                  <v>26853</v>
                </pt>
                <pt idx="116">
                  <v>26239</v>
                </pt>
                <pt idx="117">
                  <v>26541</v>
                </pt>
                <pt idx="118">
                  <v>26597</v>
                </pt>
                <pt idx="119">
                  <v>27156</v>
                </pt>
                <pt idx="120">
                  <v>27201</v>
                </pt>
                <pt idx="121">
                  <v>27384</v>
                </pt>
                <pt idx="122">
                  <v>27203</v>
                </pt>
                <pt idx="123">
                  <v>27500</v>
                </pt>
                <pt idx="124">
                  <v>27378</v>
                </pt>
                <pt idx="125">
                  <v>27586</v>
                </pt>
                <pt idx="126">
                  <v>27616</v>
                </pt>
                <pt idx="127">
                  <v>27607</v>
                </pt>
                <pt idx="128">
                  <v>27784</v>
                </pt>
                <pt idx="129">
                  <v>27623</v>
                </pt>
                <pt idx="130">
                  <v>27916</v>
                </pt>
                <pt idx="131">
                  <v>28017</v>
                </pt>
                <pt idx="132">
                  <v>28018</v>
                </pt>
                <pt idx="133">
                  <v>27979</v>
                </pt>
                <pt idx="134">
                  <v>28505</v>
                </pt>
                <pt idx="135">
                  <v>28403</v>
                </pt>
                <pt idx="136">
                  <v>29048</v>
                </pt>
                <pt idx="137">
                  <v>29230</v>
                </pt>
                <pt idx="138">
                  <v>29395</v>
                </pt>
                <pt idx="139">
                  <v>29844</v>
                </pt>
                <pt idx="140">
                  <v>29503</v>
                </pt>
                <pt idx="141">
                  <v>30045</v>
                </pt>
                <pt idx="142">
                  <v>30229</v>
                </pt>
                <pt idx="143">
                  <v>29795</v>
                </pt>
                <pt idx="144">
                  <v>30341</v>
                </pt>
                <pt idx="145">
                  <v>30461</v>
                </pt>
                <pt idx="146">
                  <v>30703</v>
                </pt>
                <pt idx="147">
                  <v>30560</v>
                </pt>
                <pt idx="148">
                  <v>30712</v>
                </pt>
                <pt idx="149">
                  <v>30825</v>
                </pt>
                <pt idx="150">
                  <v>31191</v>
                </pt>
                <pt idx="151">
                  <v>31036</v>
                </pt>
                <pt idx="152">
                  <v>31430</v>
                </pt>
                <pt idx="153">
                  <v>31625</v>
                </pt>
                <pt idx="154">
                  <v>31659</v>
                </pt>
                <pt idx="155">
                  <v>32111</v>
                </pt>
                <pt idx="156">
                  <v>32000</v>
                </pt>
                <pt idx="157">
                  <v>32469</v>
                </pt>
                <pt idx="158">
                  <v>32273</v>
                </pt>
                <pt idx="159">
                  <v>32823</v>
                </pt>
                <pt idx="160">
                  <v>32746</v>
                </pt>
                <pt idx="161">
                  <v>33009</v>
                </pt>
                <pt idx="162">
                  <v>33056</v>
                </pt>
                <pt idx="163">
                  <v>33261</v>
                </pt>
                <pt idx="164">
                  <v>33283</v>
                </pt>
                <pt idx="165">
                  <v>33618</v>
                </pt>
                <pt idx="166">
                  <v>34022</v>
                </pt>
                <pt idx="167">
                  <v>33932</v>
                </pt>
                <pt idx="168">
                  <v>34983</v>
                </pt>
                <pt idx="169">
                  <v>34535</v>
                </pt>
                <pt idx="170">
                  <v>34796</v>
                </pt>
                <pt idx="171">
                  <v>34862</v>
                </pt>
                <pt idx="172">
                  <v>34910</v>
                </pt>
                <pt idx="173">
                  <v>34695</v>
                </pt>
                <pt idx="174">
                  <v>34802</v>
                </pt>
                <pt idx="175">
                  <v>35367</v>
                </pt>
                <pt idx="176">
                  <v>35725</v>
                </pt>
                <pt idx="177">
                  <v>35784</v>
                </pt>
                <pt idx="178">
                  <v>35923</v>
                </pt>
                <pt idx="179">
                  <v>36881</v>
                </pt>
                <pt idx="180">
                  <v>36435</v>
                </pt>
                <pt idx="181">
                  <v>36053</v>
                </pt>
                <pt idx="182">
                  <v>36579</v>
                </pt>
                <pt idx="183">
                  <v>36627</v>
                </pt>
                <pt idx="184">
                  <v>36732</v>
                </pt>
                <pt idx="185">
                  <v>37078</v>
                </pt>
                <pt idx="186">
                  <v>37272</v>
                </pt>
                <pt idx="187">
                  <v>37189</v>
                </pt>
                <pt idx="188">
                  <v>37427</v>
                </pt>
                <pt idx="189">
                  <v>37759</v>
                </pt>
                <pt idx="190">
                  <v>37727</v>
                </pt>
                <pt idx="191">
                  <v>38109</v>
                </pt>
                <pt idx="192">
                  <v>37824</v>
                </pt>
                <pt idx="193">
                  <v>37249</v>
                </pt>
                <pt idx="194">
                  <v>37552</v>
                </pt>
                <pt idx="195">
                  <v>37729</v>
                </pt>
                <pt idx="196">
                  <v>38089</v>
                </pt>
                <pt idx="197">
                  <v>38144</v>
                </pt>
                <pt idx="198">
                  <v>38267</v>
                </pt>
                <pt idx="199">
                  <v>38239</v>
                </pt>
                <pt idx="200">
                  <v>38386</v>
                </pt>
                <pt idx="201">
                  <v>38120</v>
                </pt>
                <pt idx="202">
                  <v>38018</v>
                </pt>
                <pt idx="203">
                  <v>38066</v>
                </pt>
                <pt idx="204">
                  <v>38256</v>
                </pt>
                <pt idx="205">
                  <v>37945</v>
                </pt>
                <pt idx="206">
                  <v>37447</v>
                </pt>
                <pt idx="207">
                  <v>37738</v>
                </pt>
                <pt idx="208">
                  <v>37755</v>
                </pt>
                <pt idx="209">
                  <v>37714</v>
                </pt>
                <pt idx="210">
                  <v>37715</v>
                </pt>
                <pt idx="211">
                  <v>37645</v>
                </pt>
                <pt idx="212">
                  <v>37474</v>
                </pt>
                <pt idx="213">
                  <v>37500</v>
                </pt>
                <pt idx="214">
                  <v>37700</v>
                </pt>
                <pt idx="215">
                  <v>37659</v>
                </pt>
                <pt idx="216">
                  <v>37700</v>
                </pt>
                <pt idx="217">
                  <v>38267</v>
                </pt>
                <pt idx="218">
                  <v>38376</v>
                </pt>
                <pt idx="219">
                  <v>38658</v>
                </pt>
                <pt idx="220">
                  <v>38695</v>
                </pt>
                <pt idx="221">
                  <v>38877</v>
                </pt>
                <pt idx="222">
                  <v>39033</v>
                </pt>
                <pt idx="223">
                  <v>39402</v>
                </pt>
                <pt idx="224">
                  <v>39385</v>
                </pt>
                <pt idx="225">
                  <v>39479</v>
                </pt>
                <pt idx="226">
                  <v>39710</v>
                </pt>
                <pt idx="227">
                  <v>39469</v>
                </pt>
                <pt idx="228">
                  <v>39743</v>
                </pt>
                <pt idx="229">
                  <v>40382</v>
                </pt>
                <pt idx="230">
                  <v>40575</v>
                </pt>
                <pt idx="231">
                  <v>40624</v>
                </pt>
                <pt idx="232">
                  <v>41050</v>
                </pt>
                <pt idx="233">
                  <v>41540</v>
                </pt>
                <pt idx="234">
                  <v>41516</v>
                </pt>
                <pt idx="235">
                  <v>41718</v>
                </pt>
                <pt idx="236">
                  <v>42013</v>
                </pt>
                <pt idx="237">
                  <v>42162</v>
                </pt>
                <pt idx="238">
                  <v>42237</v>
                </pt>
                <pt idx="239">
                  <v>41864</v>
                </pt>
                <pt idx="240">
                  <v>42905</v>
                </pt>
                <pt idx="241">
                  <v>42950</v>
                </pt>
                <pt idx="242">
                  <v>42942</v>
                </pt>
                <pt idx="243">
                  <v>43365</v>
                </pt>
                <pt idx="244">
                  <v>43313</v>
                </pt>
                <pt idx="245">
                  <v>43542</v>
                </pt>
                <pt idx="246">
                  <v>43676</v>
                </pt>
                <pt idx="247">
                  <v>43712</v>
                </pt>
                <pt idx="248">
                  <v>44085</v>
                </pt>
                <pt idx="249">
                  <v>43708</v>
                </pt>
                <pt idx="250">
                  <v>44520</v>
                </pt>
                <pt idx="251">
                  <v>44538</v>
                </pt>
                <pt idx="252">
                  <v>45143</v>
                </pt>
                <pt idx="253">
                  <v>44868</v>
                </pt>
                <pt idx="254">
                  <v>45054</v>
                </pt>
                <pt idx="255">
                  <v>44725</v>
                </pt>
                <pt idx="256">
                  <v>44818</v>
                </pt>
                <pt idx="257">
                  <v>44703</v>
                </pt>
                <pt idx="258">
                  <v>45053</v>
                </pt>
                <pt idx="259">
                  <v>45156</v>
                </pt>
                <pt idx="260">
                  <v>45346</v>
                </pt>
                <pt idx="261">
                  <v>45942</v>
                </pt>
                <pt idx="262">
                  <v>46748</v>
                </pt>
                <pt idx="263">
                  <v>46334</v>
                </pt>
                <pt idx="264">
                  <v>45918</v>
                </pt>
                <pt idx="265">
                  <v>46426</v>
                </pt>
                <pt idx="266">
                  <v>47064</v>
                </pt>
                <pt idx="267">
                  <v>47141</v>
                </pt>
                <pt idx="268">
                  <v>47542</v>
                </pt>
                <pt idx="269">
                  <v>47714</v>
                </pt>
                <pt idx="270">
                  <v>48086</v>
                </pt>
                <pt idx="271">
                  <v>48379</v>
                </pt>
                <pt idx="272">
                  <v>48985</v>
                </pt>
                <pt idx="273">
                  <v>49664</v>
                </pt>
                <pt idx="274">
                  <v>49736</v>
                </pt>
                <pt idx="275">
                  <v>50463</v>
                </pt>
                <pt idx="276">
                  <v>50837</v>
                </pt>
                <pt idx="277">
                  <v>50640</v>
                </pt>
                <pt idx="278">
                  <v>51075</v>
                </pt>
                <pt idx="279">
                  <v>51744</v>
                </pt>
                <pt idx="280">
                  <v>51866</v>
                </pt>
                <pt idx="281">
                  <v>51885</v>
                </pt>
                <pt idx="282">
                  <v>52115</v>
                </pt>
                <pt idx="283">
                  <v>52473</v>
                </pt>
                <pt idx="284">
                  <v>52394</v>
                </pt>
                <pt idx="285">
                  <v>52766</v>
                </pt>
                <pt idx="286">
                  <v>52886</v>
                </pt>
                <pt idx="287">
                  <v>53695</v>
                </pt>
                <pt idx="288">
                  <v>53050</v>
                </pt>
                <pt idx="289">
                  <v>54244</v>
                </pt>
                <pt idx="290">
                  <v>53927</v>
                </pt>
                <pt idx="291">
                  <v>54246</v>
                </pt>
                <pt idx="292">
                  <v>54302</v>
                </pt>
                <pt idx="293">
                  <v>54351</v>
                </pt>
                <pt idx="294">
                  <v>54329</v>
                </pt>
                <pt idx="295">
                  <v>54794</v>
                </pt>
                <pt idx="296">
                  <v>55357</v>
                </pt>
                <pt idx="297">
                  <v>55358</v>
                </pt>
                <pt idx="298">
                  <v>56322</v>
                </pt>
                <pt idx="299">
                  <v>55371</v>
                </pt>
                <pt idx="300">
                  <v>57368</v>
                </pt>
                <pt idx="301">
                  <v>57449</v>
                </pt>
                <pt idx="302">
                  <v>57341</v>
                </pt>
                <pt idx="303">
                  <v>57435</v>
                </pt>
                <pt idx="304">
                  <v>57494</v>
                </pt>
                <pt idx="305">
                  <v>57296</v>
                </pt>
                <pt idx="306">
                  <v>57150</v>
                </pt>
                <pt idx="307">
                  <v>57530</v>
                </pt>
                <pt idx="308">
                  <v>57788</v>
                </pt>
                <pt idx="309">
                  <v>58224</v>
                </pt>
                <pt idx="310">
                  <v>58915</v>
                </pt>
                <pt idx="311">
                  <v>59203</v>
                </pt>
                <pt idx="312">
                  <v>59463</v>
                </pt>
                <pt idx="313">
                  <v>59793</v>
                </pt>
                <pt idx="314">
                  <v>60288</v>
                </pt>
                <pt idx="315">
                  <v>59625</v>
                </pt>
                <pt idx="316">
                  <v>60912</v>
                </pt>
                <pt idx="317">
                  <v>61589</v>
                </pt>
                <pt idx="318">
                  <v>62174</v>
                </pt>
                <pt idx="319">
                  <v>62627</v>
                </pt>
                <pt idx="320">
                  <v>61172</v>
                </pt>
                <pt idx="321">
                  <v>61817</v>
                </pt>
                <pt idx="322">
                  <v>61475</v>
                </pt>
                <pt idx="323">
                  <v>61452</v>
                </pt>
                <pt idx="324">
                  <v>61512</v>
                </pt>
                <pt idx="325">
                  <v>62162</v>
                </pt>
                <pt idx="326">
                  <v>62598</v>
                </pt>
                <pt idx="327">
                  <v>63137</v>
                </pt>
                <pt idx="328">
                  <v>63898</v>
                </pt>
                <pt idx="329">
                  <v>64702</v>
                </pt>
                <pt idx="330">
                  <v>65003</v>
                </pt>
                <pt idx="331">
                  <v>65191</v>
                </pt>
                <pt idx="332">
                  <v>65707</v>
                </pt>
                <pt idx="333">
                  <v>66068</v>
                </pt>
                <pt idx="334">
                  <v>65841</v>
                </pt>
                <pt idx="335">
                  <v>66980</v>
                </pt>
                <pt idx="336">
                  <v>67950</v>
                </pt>
                <pt idx="337">
                  <v>68276</v>
                </pt>
                <pt idx="338">
                  <v>47758</v>
                </pt>
                <pt idx="339">
                  <v>31107</v>
                </pt>
                <pt idx="340">
                  <v>41021</v>
                </pt>
                <pt idx="341">
                  <v>52844</v>
                </pt>
                <pt idx="342">
                  <v>54918</v>
                </pt>
                <pt idx="343">
                  <v>57687</v>
                </pt>
                <pt idx="344">
                  <v>59171</v>
                </pt>
                <pt idx="345">
                  <v>59223</v>
                </pt>
                <pt idx="346">
                  <v>57001</v>
                </pt>
                <pt idx="347">
                  <v>54066</v>
                </pt>
                <pt idx="348">
                  <v>59553</v>
                </pt>
                <pt idx="349">
                  <v>59036</v>
                </pt>
                <pt idx="350">
                  <v>67362</v>
                </pt>
                <pt idx="351">
                  <v>69899</v>
                </pt>
                <pt idx="352">
                  <v>72480</v>
                </pt>
                <pt idx="353">
                  <v>75837</v>
                </pt>
                <pt idx="354">
                  <v>77293</v>
                </pt>
                <pt idx="355">
                  <v>77564</v>
                </pt>
                <pt idx="356">
                  <v>78288</v>
                </pt>
                <pt idx="357">
                  <v>78603</v>
                </pt>
                <pt idx="358">
                  <v>79051</v>
                </pt>
                <pt idx="359">
                  <v>77583</v>
                </pt>
                <pt idx="360">
                  <v>75557</v>
                </pt>
                <pt idx="361">
                  <v>80553</v>
                </pt>
                <pt idx="362">
                  <v>82388</v>
                </pt>
                <pt idx="363">
                  <v>84481</v>
                </pt>
                <pt idx="364">
                  <v>85322</v>
                </pt>
                <pt idx="365">
                  <v>85939</v>
                </pt>
                <pt idx="366">
                  <v>85214</v>
                </pt>
                <pt idx="367">
                  <v>86760</v>
                </pt>
                <pt idx="368">
                  <v>87222</v>
                </pt>
              </numCache>
            </numRef>
          </val>
          <smooth val="0"/>
        </ser>
        <dLbls>
          <showLegendKey val="0"/>
          <showVal val="0"/>
          <showCatName val="0"/>
          <showSerName val="0"/>
          <showPercent val="0"/>
          <showBubbleSize val="0"/>
        </dLbls>
        <smooth val="0"/>
        <axId val="1585895695"/>
        <axId val="1585895367"/>
      </lineChart>
      <dateAx>
        <axId val="1585895695"/>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85895367"/>
        <crosses val="autoZero"/>
        <lblOffset val="100"/>
        <baseTimeUnit val="months"/>
      </dateAx>
      <valAx>
        <axId val="1585895367"/>
        <scaling>
          <orientation val="minMax"/>
          <min val="1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85895695"/>
        <crosses val="autoZero"/>
        <crossBetween val="between"/>
      </valAx>
    </plotArea>
    <plotVisOnly val="1"/>
    <dispBlanksAs val="gap"/>
  </chart>
</chartSpace>
</file>

<file path=xl/charts/chart21.xml><?xml version="1.0" encoding="utf-8"?>
<chartSpace xmlns="http://schemas.openxmlformats.org/drawingml/2006/chart">
  <chart>
    <title>
      <tx>
        <strRef>
          <f>'Food Services'!$D$6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'Food Services'!$D$6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'Food Services'!$A$7:$A$378</f>
              <numCache>
                <formatCode>[$-409]mmm\-yy;@</formatCode>
                <ptCount val="372"/>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numCache>
            </numRef>
          </cat>
          <val>
            <numRef>
              <f>'Food Services'!$D$7:$D$378</f>
              <numCache>
                <formatCode>General</formatCode>
                <ptCount val="372"/>
                <pt idx="12">
                  <formatCode>0.00%</formatCode>
                  <v>0.02230634828188701</v>
                </pt>
                <pt idx="13">
                  <formatCode>0.00%</formatCode>
                  <v>0.02872277810476751</v>
                </pt>
                <pt idx="14">
                  <formatCode>0.00%</formatCode>
                  <v>0.03771577205013005</v>
                </pt>
                <pt idx="15">
                  <formatCode>0.00%</formatCode>
                  <v>0.06553936559333214</v>
                </pt>
                <pt idx="16">
                  <formatCode>0.00%</formatCode>
                  <v>0.07342488856764245</v>
                </pt>
                <pt idx="17">
                  <formatCode>0.00%</formatCode>
                  <v>0.1076979787430116</v>
                </pt>
                <pt idx="18">
                  <formatCode>0.00%</formatCode>
                  <v>0.08674830261881668</v>
                </pt>
                <pt idx="19">
                  <formatCode>0.00%</formatCode>
                  <v>0.08773083129145999</v>
                </pt>
                <pt idx="20">
                  <formatCode>0.00%</formatCode>
                  <v>0.1012966928384487</v>
                </pt>
                <pt idx="21">
                  <formatCode>0.00%</formatCode>
                  <v>0.0640201122544434</v>
                </pt>
                <pt idx="22">
                  <formatCode>0.00%</formatCode>
                  <v>0.0420780711825488</v>
                </pt>
                <pt idx="23">
                  <formatCode>0.00%</formatCode>
                  <v>0.04270767823452061</v>
                </pt>
                <pt idx="24">
                  <formatCode>0.00%</formatCode>
                  <v>0.004044892610949695</v>
                </pt>
                <pt idx="25">
                  <formatCode>0.00%</formatCode>
                  <v>0.05418240073234924</v>
                </pt>
                <pt idx="26">
                  <formatCode>0.00%</formatCode>
                  <v>0.07172154494702063</v>
                </pt>
                <pt idx="27">
                  <formatCode>0.00%</formatCode>
                  <v>0.04293753517163759</v>
                </pt>
                <pt idx="28">
                  <formatCode>0.00%</formatCode>
                  <v>0.04371247404747208</v>
                </pt>
                <pt idx="29">
                  <formatCode>0.00%</formatCode>
                  <v>0.04764281752634498</v>
                </pt>
                <pt idx="30">
                  <formatCode>0.00%</formatCode>
                  <v>0.05773414402856027</v>
                </pt>
                <pt idx="31">
                  <formatCode>0.00%</formatCode>
                  <v>0.03664633811329048</v>
                </pt>
                <pt idx="32">
                  <formatCode>0.00%</formatCode>
                  <v>0.02500675128274372</v>
                </pt>
                <pt idx="33">
                  <formatCode>0.00%</formatCode>
                  <v>0.04456288807077312</v>
                </pt>
                <pt idx="34">
                  <formatCode>0.00%</formatCode>
                  <v>0.04820139921776015</v>
                </pt>
                <pt idx="35">
                  <formatCode>0.00%</formatCode>
                  <v>0.05154073911613116</v>
                </pt>
                <pt idx="36">
                  <formatCode>0.00%</formatCode>
                  <v>0.08715388107126645</v>
                </pt>
                <pt idx="37">
                  <formatCode>0.00%</formatCode>
                  <v>0.02637720488466757</v>
                </pt>
                <pt idx="38">
                  <formatCode>0.00%</formatCode>
                  <v>0.02237814277361399</v>
                </pt>
                <pt idx="39">
                  <formatCode>0.00%</formatCode>
                  <v>0.0438676954621486</v>
                </pt>
                <pt idx="40">
                  <formatCode>0.00%</formatCode>
                  <v>0.0456989247311828</v>
                </pt>
                <pt idx="41">
                  <formatCode>0.00%</formatCode>
                  <v>0.02805865847847954</v>
                </pt>
                <pt idx="42">
                  <formatCode>0.00%</formatCode>
                  <v>0.02779242695918152</v>
                </pt>
                <pt idx="43">
                  <formatCode>0.00%</formatCode>
                  <v>0.04489082043671825</v>
                </pt>
                <pt idx="44">
                  <formatCode>0.00%</formatCode>
                  <v>0.03488249552112973</v>
                </pt>
                <pt idx="45">
                  <formatCode>0.00%</formatCode>
                  <v>0.03161493950552341</v>
                </pt>
                <pt idx="46">
                  <formatCode>0.00%</formatCode>
                  <v>0.03053394996846752</v>
                </pt>
                <pt idx="47">
                  <formatCode>0.00%</formatCode>
                  <v>0.02330795703410158</v>
                </pt>
                <pt idx="48">
                  <formatCode>0.00%</formatCode>
                  <v>0.02108559498956159</v>
                </pt>
                <pt idx="49">
                  <formatCode>0.00%</formatCode>
                  <v>0.04394267886415314</v>
                </pt>
                <pt idx="50">
                  <formatCode>0.00%</formatCode>
                  <v>0.03265051471352812</v>
                </pt>
                <pt idx="51">
                  <formatCode>0.00%</formatCode>
                  <v>0.03029049932802647</v>
                </pt>
                <pt idx="52">
                  <formatCode>0.00%</formatCode>
                  <v>0.03311053984575835</v>
                </pt>
                <pt idx="53">
                  <formatCode>0.00%</formatCode>
                  <v>0.02641742623204078</v>
                </pt>
                <pt idx="54">
                  <formatCode>0.00%</formatCode>
                  <v>0.03366001334085895</v>
                </pt>
                <pt idx="55">
                  <formatCode>0.00%</formatCode>
                  <v>0.02155718995688562</v>
                </pt>
                <pt idx="56">
                  <formatCode>0.00%</formatCode>
                  <v>0.03854378818737271</v>
                </pt>
                <pt idx="57">
                  <formatCode>0.00%</formatCode>
                  <v>0.0479322829024527</v>
                </pt>
                <pt idx="58">
                  <formatCode>0.00%</formatCode>
                  <v>0.06017644958947422</v>
                </pt>
                <pt idx="59">
                  <formatCode>0.00%</formatCode>
                  <v>0.05513375796178344</v>
                </pt>
                <pt idx="60">
                  <formatCode>0.00%</formatCode>
                  <v>0.07902269474545083</v>
                </pt>
                <pt idx="61">
                  <formatCode>0.00%</formatCode>
                  <v>0.07061088035660014</v>
                </pt>
                <pt idx="62">
                  <formatCode>0.00%</formatCode>
                  <v>0.06590474272480112</v>
                </pt>
                <pt idx="63">
                  <formatCode>0.00%</formatCode>
                  <v>0.06441902468392535</v>
                </pt>
                <pt idx="64">
                  <formatCode>0.00%</formatCode>
                  <v>0.05653428884244053</v>
                </pt>
                <pt idx="65">
                  <formatCode>0.00%</formatCode>
                  <v>0.07274734095926148</v>
                </pt>
                <pt idx="66">
                  <formatCode>0.00%</formatCode>
                  <v>0.07664432861752296</v>
                </pt>
                <pt idx="67">
                  <formatCode>0.00%</formatCode>
                  <v>0.07616683217477656</v>
                </pt>
                <pt idx="68">
                  <formatCode>0.00%</formatCode>
                  <v>0.07790361327646222</v>
                </pt>
                <pt idx="69">
                  <formatCode>0.00%</formatCode>
                  <v>0.05873193518563573</v>
                </pt>
                <pt idx="70">
                  <formatCode>0.00%</formatCode>
                  <v>0.03439318870556544</v>
                </pt>
                <pt idx="71">
                  <formatCode>0.00%</formatCode>
                  <v>0.05365335393828174</v>
                </pt>
                <pt idx="72">
                  <formatCode>0.00%</formatCode>
                  <v>0.03841781146376125</v>
                </pt>
                <pt idx="73">
                  <formatCode>0.00%</formatCode>
                  <v>0.04712339137017411</v>
                </pt>
                <pt idx="74">
                  <formatCode>0.00%</formatCode>
                  <v>0.05101317840442114</v>
                </pt>
                <pt idx="75">
                  <formatCode>0.00%</formatCode>
                  <v>0.05359162895927602</v>
                </pt>
                <pt idx="76">
                  <formatCode>0.00%</formatCode>
                  <v>0.05680640602920396</v>
                </pt>
                <pt idx="77">
                  <formatCode>0.00%</formatCode>
                  <v>0.05855392386119165</v>
                </pt>
                <pt idx="78">
                  <formatCode>0.00%</formatCode>
                  <v>0.04061966895661395</v>
                </pt>
                <pt idx="79">
                  <formatCode>0.00%</formatCode>
                  <v>0.04932176801697887</v>
                </pt>
                <pt idx="80">
                  <formatCode>0.00%</formatCode>
                  <v>0.03838806513235696</v>
                </pt>
                <pt idx="81">
                  <formatCode>0.00%</formatCode>
                  <v>0.06011581946870117</v>
                </pt>
                <pt idx="82">
                  <formatCode>0.00%</formatCode>
                  <v>0.07686941964285714</v>
                </pt>
                <pt idx="83">
                  <formatCode>0.00%</formatCode>
                  <v>0.07026308552571271</v>
                </pt>
                <pt idx="84">
                  <formatCode>0.00%</formatCode>
                  <v>0.04333743898544774</v>
                </pt>
                <pt idx="85">
                  <formatCode>0.00%</formatCode>
                  <v>0.05141876016627508</v>
                </pt>
                <pt idx="86">
                  <formatCode>0.00%</formatCode>
                  <v>0.04489685856815424</v>
                </pt>
                <pt idx="87">
                  <formatCode>0.00%</formatCode>
                  <v>0.04862881939784369</v>
                </pt>
                <pt idx="88">
                  <formatCode>0.00%</formatCode>
                  <v>0.04742378320556249</v>
                </pt>
                <pt idx="89">
                  <formatCode>0.00%</formatCode>
                  <v>0.0402933639657153</v>
                </pt>
                <pt idx="90">
                  <formatCode>0.00%</formatCode>
                  <v>0.04155959237926451</v>
                </pt>
                <pt idx="91">
                  <formatCode>0.00%</formatCode>
                  <v>0.04049597678406543</v>
                </pt>
                <pt idx="92">
                  <formatCode>0.00%</formatCode>
                  <v>0.04406482698204117</v>
                </pt>
                <pt idx="93">
                  <formatCode>0.00%</formatCode>
                  <v>0.0519812711350039</v>
                </pt>
                <pt idx="94">
                  <formatCode>0.00%</formatCode>
                  <v>0.05458392710627456</v>
                </pt>
                <pt idx="95">
                  <formatCode>0.00%</formatCode>
                  <v>0.0439809858250182</v>
                </pt>
                <pt idx="96">
                  <formatCode>0.00%</formatCode>
                  <v>0.07594770670281142</v>
                </pt>
                <pt idx="97">
                  <formatCode>0.00%</formatCode>
                  <v>0.06948861194671251</v>
                </pt>
                <pt idx="98">
                  <formatCode>0.00%</formatCode>
                  <v>0.09105376344086022</v>
                </pt>
                <pt idx="99">
                  <formatCode>0.00%</formatCode>
                  <v>0.07572525597269625</v>
                </pt>
                <pt idx="100">
                  <formatCode>0.00%</formatCode>
                  <v>0.07204255319148936</v>
                </pt>
                <pt idx="101">
                  <formatCode>0.00%</formatCode>
                  <v>0.07287862057249639</v>
                </pt>
                <pt idx="102">
                  <formatCode>0.00%</formatCode>
                  <v>0.08278033010039136</v>
                </pt>
                <pt idx="103">
                  <formatCode>0.00%</formatCode>
                  <v>0.07090939824205544</v>
                </pt>
                <pt idx="104">
                  <formatCode>0.00%</formatCode>
                  <v>0.07866252726967612</v>
                </pt>
                <pt idx="105">
                  <formatCode>0.00%</formatCode>
                  <v>0.05938594683700803</v>
                </pt>
                <pt idx="106">
                  <formatCode>0.00%</formatCode>
                  <v>0.05229106097211417</v>
                </pt>
                <pt idx="107">
                  <formatCode>0.00%</formatCode>
                  <v>0.03097054721470178</v>
                </pt>
                <pt idx="108">
                  <formatCode>0.00%</formatCode>
                  <v>0.0638816644993498</v>
                </pt>
                <pt idx="109">
                  <formatCode>0.00%</formatCode>
                  <v>0.04749467593522723</v>
                </pt>
                <pt idx="110">
                  <formatCode>0.00%</formatCode>
                  <v>0.02976307801474357</v>
                </pt>
                <pt idx="111">
                  <formatCode>0.00%</formatCode>
                  <v>0.03291691453499901</v>
                </pt>
                <pt idx="112">
                  <formatCode>0.00%</formatCode>
                  <v>0.04306751875520978</v>
                </pt>
                <pt idx="113">
                  <formatCode>0.00%</formatCode>
                  <v>0.04421660992795503</v>
                </pt>
                <pt idx="114">
                  <formatCode>0.00%</formatCode>
                  <v>0.04136874361593463</v>
                </pt>
                <pt idx="115">
                  <formatCode>0.00%</formatCode>
                  <v>0.05962433904190672</v>
                </pt>
                <pt idx="116">
                  <formatCode>0.00%</formatCode>
                  <v>0.02053595737233091</v>
                </pt>
                <pt idx="117">
                  <formatCode>0.00%</formatCode>
                  <v>0.03248268886641251</v>
                </pt>
                <pt idx="118">
                  <formatCode>0.00%</formatCode>
                  <v>0.03498326718032532</v>
                </pt>
                <pt idx="119">
                  <formatCode>0.00%</formatCode>
                  <v>0.08049178371065929</v>
                </pt>
                <pt idx="120">
                  <formatCode>0.00%</formatCode>
                  <v>0.03899923605805958</v>
                </pt>
                <pt idx="121">
                  <formatCode>0.00%</formatCode>
                  <v>0.05044305496950401</v>
                </pt>
                <pt idx="122">
                  <formatCode>0.00%</formatCode>
                  <v>0.04138274251588699</v>
                </pt>
                <pt idx="123">
                  <formatCode>0.00%</formatCode>
                  <v>0.05586484929928969</v>
                </pt>
                <pt idx="124">
                  <formatCode>0.00%</formatCode>
                  <v>0.0418601111195677</v>
                </pt>
                <pt idx="125">
                  <formatCode>0.00%</formatCode>
                  <v>0.04575609386254217</v>
                </pt>
                <pt idx="126">
                  <formatCode>0.00%</formatCode>
                  <v>0.04183800505526842</v>
                </pt>
                <pt idx="127">
                  <formatCode>0.00%</formatCode>
                  <v>0.02807879938926749</v>
                </pt>
                <pt idx="128">
                  <formatCode>0.00%</formatCode>
                  <v>0.05888181714242158</v>
                </pt>
                <pt idx="129">
                  <formatCode>0.00%</formatCode>
                  <v>0.04076711502957688</v>
                </pt>
                <pt idx="130">
                  <formatCode>0.00%</formatCode>
                  <v>0.04959205925480317</v>
                </pt>
                <pt idx="131">
                  <formatCode>0.00%</formatCode>
                  <v>0.03170570039770217</v>
                </pt>
                <pt idx="132">
                  <formatCode>0.00%</formatCode>
                  <v>0.03003566045365979</v>
                </pt>
                <pt idx="133">
                  <formatCode>0.00%</formatCode>
                  <v>0.0217280163599182</v>
                </pt>
                <pt idx="134">
                  <formatCode>0.00%</formatCode>
                  <v>0.04786236812116311</v>
                </pt>
                <pt idx="135">
                  <formatCode>0.00%</formatCode>
                  <v>0.03283636363636364</v>
                </pt>
                <pt idx="136">
                  <formatCode>0.00%</formatCode>
                  <v>0.06099788151070203</v>
                </pt>
                <pt idx="137">
                  <formatCode>0.00%</formatCode>
                  <v>0.05959544696585224</v>
                </pt>
                <pt idx="138">
                  <formatCode>0.00%</formatCode>
                  <v>0.06441917728852839</v>
                </pt>
                <pt idx="139">
                  <formatCode>0.00%</formatCode>
                  <v>0.08103017350671932</v>
                </pt>
                <pt idx="140">
                  <formatCode>0.00%</formatCode>
                  <v>0.0618701410883962</v>
                </pt>
                <pt idx="141">
                  <formatCode>0.00%</formatCode>
                  <v>0.08768055605835717</v>
                </pt>
                <pt idx="142">
                  <formatCode>0.00%</formatCode>
                  <v>0.08285570998710418</v>
                </pt>
                <pt idx="143">
                  <formatCode>0.00%</formatCode>
                  <v>0.06346146982189385</v>
                </pt>
                <pt idx="144">
                  <formatCode>0.00%</formatCode>
                  <v>0.08291098579484617</v>
                </pt>
                <pt idx="145">
                  <formatCode>0.00%</formatCode>
                  <v>0.0887093891847457</v>
                </pt>
                <pt idx="146">
                  <formatCode>0.00%</formatCode>
                  <v>0.0771092790738467</v>
                </pt>
                <pt idx="147">
                  <formatCode>0.00%</formatCode>
                  <v>0.0759426821110446</v>
                </pt>
                <pt idx="148">
                  <formatCode>0.00%</formatCode>
                  <v>0.05728449462957863</v>
                </pt>
                <pt idx="149">
                  <formatCode>0.00%</formatCode>
                  <v>0.0545672254533014</v>
                </pt>
                <pt idx="150">
                  <formatCode>0.00%</formatCode>
                  <v>0.06109882633100867</v>
                </pt>
                <pt idx="151">
                  <formatCode>0.00%</formatCode>
                  <v>0.03994102667202788</v>
                </pt>
                <pt idx="152">
                  <formatCode>0.00%</formatCode>
                  <v>0.06531539165508593</v>
                </pt>
                <pt idx="153">
                  <formatCode>0.00%</formatCode>
                  <v>0.05258778498918289</v>
                </pt>
                <pt idx="154">
                  <formatCode>0.00%</formatCode>
                  <v>0.04730556750140594</v>
                </pt>
                <pt idx="155">
                  <formatCode>0.00%</formatCode>
                  <v>0.07773116294680316</v>
                </pt>
                <pt idx="156">
                  <formatCode>0.00%</formatCode>
                  <v>0.05467848785471804</v>
                </pt>
                <pt idx="157">
                  <formatCode>0.00%</formatCode>
                  <v>0.06592035717803092</v>
                </pt>
                <pt idx="158">
                  <formatCode>0.00%</formatCode>
                  <v>0.05113506823437449</v>
                </pt>
                <pt idx="159">
                  <formatCode>0.00%</formatCode>
                  <v>0.07405104712041885</v>
                </pt>
                <pt idx="160">
                  <formatCode>0.00%</formatCode>
                  <v>0.06622818442302683</v>
                </pt>
                <pt idx="161">
                  <formatCode>0.00%</formatCode>
                  <v>0.07085158150851581</v>
                </pt>
                <pt idx="162">
                  <formatCode>0.00%</formatCode>
                  <v>0.05979288897438364</v>
                </pt>
                <pt idx="163">
                  <formatCode>0.00%</formatCode>
                  <v>0.07169093955406625</v>
                </pt>
                <pt idx="164">
                  <formatCode>0.00%</formatCode>
                  <v>0.05895641107222399</v>
                </pt>
                <pt idx="165">
                  <formatCode>0.00%</formatCode>
                  <v>0.0630197628458498</v>
                </pt>
                <pt idx="166">
                  <formatCode>0.00%</formatCode>
                  <v>0.07463912315613254</v>
                </pt>
                <pt idx="167">
                  <formatCode>0.00%</formatCode>
                  <v>0.05670953878733145</v>
                </pt>
                <pt idx="168">
                  <formatCode>0.00%</formatCode>
                  <v>0.09321875</v>
                </pt>
                <pt idx="169">
                  <formatCode>0.00%</formatCode>
                  <v>0.06362992392743848</v>
                </pt>
                <pt idx="170">
                  <formatCode>0.00%</formatCode>
                  <v>0.07817680413968332</v>
                </pt>
                <pt idx="171">
                  <formatCode>0.00%</formatCode>
                  <v>0.06212107363738842</v>
                </pt>
                <pt idx="172">
                  <formatCode>0.00%</formatCode>
                  <v>0.06608440725584805</v>
                </pt>
                <pt idx="173">
                  <formatCode>0.00%</formatCode>
                  <v>0.05107697900572571</v>
                </pt>
                <pt idx="174">
                  <formatCode>0.00%</formatCode>
                  <v>0.05281945788964182</v>
                </pt>
                <pt idx="175">
                  <formatCode>0.00%</formatCode>
                  <v>0.063317398755299</v>
                </pt>
                <pt idx="176">
                  <formatCode>0.00%</formatCode>
                  <v>0.07337078989273803</v>
                </pt>
                <pt idx="177">
                  <formatCode>0.00%</formatCode>
                  <v>0.06442976976619669</v>
                </pt>
                <pt idx="178">
                  <formatCode>0.00%</formatCode>
                  <v>0.05587560989947681</v>
                </pt>
                <pt idx="179">
                  <formatCode>0.00%</formatCode>
                  <v>0.08690911234233173</v>
                </pt>
                <pt idx="180">
                  <formatCode>0.00%</formatCode>
                  <v>0.04150587428179402</v>
                </pt>
                <pt idx="181">
                  <formatCode>0.00%</formatCode>
                  <v>0.04395540755755031</v>
                </pt>
                <pt idx="182">
                  <formatCode>0.00%</formatCode>
                  <v>0.0512415220140246</v>
                </pt>
                <pt idx="183">
                  <formatCode>0.00%</formatCode>
                  <v>0.0506281911536917</v>
                </pt>
                <pt idx="184">
                  <formatCode>0.00%</formatCode>
                  <v>0.05219134918361501</v>
                </pt>
                <pt idx="185">
                  <formatCode>0.00%</formatCode>
                  <v>0.06868424845078541</v>
                </pt>
                <pt idx="186">
                  <formatCode>0.00%</formatCode>
                  <v>0.07097293259008103</v>
                </pt>
                <pt idx="187">
                  <formatCode>0.00%</formatCode>
                  <v>0.05151695082986965</v>
                </pt>
                <pt idx="188">
                  <formatCode>0.00%</formatCode>
                  <v>0.04764170748775368</v>
                </pt>
                <pt idx="189">
                  <formatCode>0.00%</formatCode>
                  <v>0.05519226469930695</v>
                </pt>
                <pt idx="190">
                  <formatCode>0.00%</formatCode>
                  <v>0.05021852295186928</v>
                </pt>
                <pt idx="191">
                  <formatCode>0.00%</formatCode>
                  <v>0.03329627721591063</v>
                </pt>
                <pt idx="192">
                  <formatCode>0.00%</formatCode>
                  <v>0.03812268423219432</v>
                </pt>
                <pt idx="193">
                  <formatCode>0.00%</formatCode>
                  <v>0.03317338362965634</v>
                </pt>
                <pt idx="194">
                  <formatCode>0.00%</formatCode>
                  <v>0.02659996172667378</v>
                </pt>
                <pt idx="195">
                  <formatCode>0.00%</formatCode>
                  <v>0.03008709422011085</v>
                </pt>
                <pt idx="196">
                  <formatCode>0.00%</formatCode>
                  <v>0.0369432647283023</v>
                </pt>
                <pt idx="197">
                  <formatCode>0.00%</formatCode>
                  <v>0.02875020227628243</v>
                </pt>
                <pt idx="198">
                  <formatCode>0.00%</formatCode>
                  <v>0.02669564284181155</v>
                </pt>
                <pt idx="199">
                  <formatCode>0.00%</formatCode>
                  <v>0.02823415526096426</v>
                </pt>
                <pt idx="200">
                  <formatCode>0.00%</formatCode>
                  <v>0.02562321318833997</v>
                </pt>
                <pt idx="201">
                  <formatCode>0.00%</formatCode>
                  <v>0.009560634550703143</v>
                </pt>
                <pt idx="202">
                  <formatCode>0.00%</formatCode>
                  <v>0.007713308770906778</v>
                </pt>
                <pt idx="203">
                  <formatCode>0.00%</formatCode>
                  <v>-0.001128342386312944</v>
                </pt>
                <pt idx="204">
                  <formatCode>0.00%</formatCode>
                  <v>0.01142131979695431</v>
                </pt>
                <pt idx="205">
                  <formatCode>0.00%</formatCode>
                  <v>0.01868506537088244</v>
                </pt>
                <pt idx="206">
                  <formatCode>0.00%</formatCode>
                  <v>-0.002796122709842352</v>
                </pt>
                <pt idx="207">
                  <formatCode>0.00%</formatCode>
                  <v>0.0002385432956081529</v>
                </pt>
                <pt idx="208">
                  <formatCode>0.00%</formatCode>
                  <v>-0.008768935913255796</v>
                </pt>
                <pt idx="209">
                  <formatCode>0.00%</formatCode>
                  <v>-0.01127307046979866</v>
                </pt>
                <pt idx="210">
                  <formatCode>0.00%</formatCode>
                  <v>-0.01442496145503959</v>
                </pt>
                <pt idx="211">
                  <formatCode>0.00%</formatCode>
                  <v>-0.01553387902403306</v>
                </pt>
                <pt idx="212">
                  <formatCode>0.00%</formatCode>
                  <v>-0.02375866201219195</v>
                </pt>
                <pt idx="213">
                  <formatCode>0.00%</formatCode>
                  <v>-0.01626442812172088</v>
                </pt>
                <pt idx="214">
                  <formatCode>0.00%</formatCode>
                  <v>-0.008364458940501867</v>
                </pt>
                <pt idx="215">
                  <formatCode>0.00%</formatCode>
                  <v>-0.01069195607628855</v>
                </pt>
                <pt idx="216">
                  <formatCode>0.00%</formatCode>
                  <v>-0.01453366792137181</v>
                </pt>
                <pt idx="217">
                  <formatCode>0.00%</formatCode>
                  <v>0.008485966530504678</v>
                </pt>
                <pt idx="218">
                  <formatCode>0.00%</formatCode>
                  <v>0.0248083958661575</v>
                </pt>
                <pt idx="219">
                  <formatCode>0.00%</formatCode>
                  <v>0.02437861041920611</v>
                </pt>
                <pt idx="220">
                  <formatCode>0.00%</formatCode>
                  <v>0.02489736458747186</v>
                </pt>
                <pt idx="221">
                  <formatCode>0.00%</formatCode>
                  <v>0.03083735482844567</v>
                </pt>
                <pt idx="222">
                  <formatCode>0.00%</formatCode>
                  <v>0.03494630783507888</v>
                </pt>
                <pt idx="223">
                  <formatCode>0.00%</formatCode>
                  <v>0.04667286492230044</v>
                </pt>
                <pt idx="224">
                  <formatCode>0.00%</formatCode>
                  <v>0.05099535678070129</v>
                </pt>
                <pt idx="225">
                  <formatCode>0.00%</formatCode>
                  <v>0.05277333333333333</v>
                </pt>
                <pt idx="226">
                  <formatCode>0.00%</formatCode>
                  <v>0.05331564986737401</v>
                </pt>
                <pt idx="227">
                  <formatCode>0.00%</formatCode>
                  <v>0.04806288005523248</v>
                </pt>
                <pt idx="228">
                  <formatCode>0.00%</formatCode>
                  <v>0.05419098143236074</v>
                </pt>
                <pt idx="229">
                  <formatCode>0.00%</formatCode>
                  <v>0.05526955340110278</v>
                </pt>
                <pt idx="230">
                  <formatCode>0.00%</formatCode>
                  <v>0.05730143839899937</v>
                </pt>
                <pt idx="231">
                  <formatCode>0.00%</formatCode>
                  <v>0.05085622639557142</v>
                </pt>
                <pt idx="232">
                  <formatCode>0.00%</formatCode>
                  <v>0.06086057630184778</v>
                </pt>
                <pt idx="233">
                  <formatCode>0.00%</formatCode>
                  <v>0.06849808369987397</v>
                </pt>
                <pt idx="234">
                  <formatCode>0.00%</formatCode>
                  <v>0.06361284041708298</v>
                </pt>
                <pt idx="235">
                  <formatCode>0.00%</formatCode>
                  <v>0.05877874219582762</v>
                </pt>
                <pt idx="236">
                  <formatCode>0.00%</formatCode>
                  <v>0.06672591087977657</v>
                </pt>
                <pt idx="237">
                  <formatCode>0.00%</formatCode>
                  <v>0.06796018136224322</v>
                </pt>
                <pt idx="238">
                  <formatCode>0.00%</formatCode>
                  <v>0.06363636363636363</v>
                </pt>
                <pt idx="239">
                  <formatCode>0.00%</formatCode>
                  <v>0.06068053409004535</v>
                </pt>
                <pt idx="240">
                  <formatCode>0.00%</formatCode>
                  <v>0.07956118058526029</v>
                </pt>
                <pt idx="241">
                  <formatCode>0.00%</formatCode>
                  <v>0.0635926898122926</v>
                </pt>
                <pt idx="242">
                  <formatCode>0.00%</formatCode>
                  <v>0.05833641404805915</v>
                </pt>
                <pt idx="243">
                  <formatCode>0.00%</formatCode>
                  <v>0.06747243009058684</v>
                </pt>
                <pt idx="244">
                  <formatCode>0.00%</formatCode>
                  <v>0.0551278928136419</v>
                </pt>
                <pt idx="245">
                  <formatCode>0.00%</formatCode>
                  <v>0.04819451131439576</v>
                </pt>
                <pt idx="246">
                  <formatCode>0.00%</formatCode>
                  <v>0.05202813373157337</v>
                </pt>
                <pt idx="247">
                  <formatCode>0.00%</formatCode>
                  <v>0.04779711395560669</v>
                </pt>
                <pt idx="248">
                  <formatCode>0.00%</formatCode>
                  <v>0.04931806821698046</v>
                </pt>
                <pt idx="249">
                  <formatCode>0.00%</formatCode>
                  <v>0.03666808974906314</v>
                </pt>
                <pt idx="250">
                  <formatCode>0.00%</formatCode>
                  <v>0.05405213438454436</v>
                </pt>
                <pt idx="251">
                  <formatCode>0.00%</formatCode>
                  <v>0.06387349512707816</v>
                </pt>
                <pt idx="252">
                  <formatCode>0.00%</formatCode>
                  <v>0.05216175270947442</v>
                </pt>
                <pt idx="253">
                  <formatCode>0.00%</formatCode>
                  <v>0.04465657741559954</v>
                </pt>
                <pt idx="254">
                  <formatCode>0.00%</formatCode>
                  <v>0.04918261841553723</v>
                </pt>
                <pt idx="255">
                  <formatCode>0.00%</formatCode>
                  <v>0.03136169722126139</v>
                </pt>
                <pt idx="256">
                  <formatCode>0.00%</formatCode>
                  <v>0.03474707362685568</v>
                </pt>
                <pt idx="257">
                  <formatCode>0.00%</formatCode>
                  <v>0.02666391070690368</v>
                </pt>
                <pt idx="258">
                  <formatCode>0.00%</formatCode>
                  <v>0.03152761241871966</v>
                </pt>
                <pt idx="259">
                  <formatCode>0.00%</formatCode>
                  <v>0.03303440702781845</v>
                </pt>
                <pt idx="260">
                  <formatCode>0.00%</formatCode>
                  <v>0.02860383350345923</v>
                </pt>
                <pt idx="261">
                  <formatCode>0.00%</formatCode>
                  <v>0.05111192459046399</v>
                </pt>
                <pt idx="262">
                  <formatCode>0.00%</formatCode>
                  <v>0.05004492362982929</v>
                </pt>
                <pt idx="263">
                  <formatCode>0.00%</formatCode>
                  <v>0.04032511563159549</v>
                </pt>
                <pt idx="264">
                  <formatCode>0.00%</formatCode>
                  <v>0.01716766719092661</v>
                </pt>
                <pt idx="265">
                  <formatCode>0.00%</formatCode>
                  <v>0.03472407952215387</v>
                </pt>
                <pt idx="266">
                  <formatCode>0.00%</formatCode>
                  <v>0.04461313090957518</v>
                </pt>
                <pt idx="267">
                  <formatCode>0.00%</formatCode>
                  <v>0.05401900503074343</v>
                </pt>
                <pt idx="268">
                  <formatCode>0.00%</formatCode>
                  <v>0.06077915123387925</v>
                </pt>
                <pt idx="269">
                  <formatCode>0.00%</formatCode>
                  <v>0.06735565845692683</v>
                </pt>
                <pt idx="270">
                  <formatCode>0.00%</formatCode>
                  <v>0.06732071116240872</v>
                </pt>
                <pt idx="271">
                  <formatCode>0.00%</formatCode>
                  <v>0.07137478961821242</v>
                </pt>
                <pt idx="272">
                  <formatCode>0.00%</formatCode>
                  <v>0.08024963613108102</v>
                </pt>
                <pt idx="273">
                  <formatCode>0.00%</formatCode>
                  <v>0.08101519306952244</v>
                </pt>
                <pt idx="274">
                  <formatCode>0.00%</formatCode>
                  <v>0.06391717292718405</v>
                </pt>
                <pt idx="275">
                  <formatCode>0.00%</formatCode>
                  <v>0.08911382570034963</v>
                </pt>
                <pt idx="276">
                  <formatCode>0.00%</formatCode>
                  <v>0.107125745894856</v>
                </pt>
                <pt idx="277">
                  <formatCode>0.00%</formatCode>
                  <v>0.09076810407961056</v>
                </pt>
                <pt idx="278">
                  <formatCode>0.00%</formatCode>
                  <v>0.08522437531871493</v>
                </pt>
                <pt idx="279">
                  <formatCode>0.00%</formatCode>
                  <v>0.09764324049129208</v>
                </pt>
                <pt idx="280">
                  <formatCode>0.00%</formatCode>
                  <v>0.09095115897522191</v>
                </pt>
                <pt idx="281">
                  <formatCode>0.00%</formatCode>
                  <v>0.08741669111791088</v>
                </pt>
                <pt idx="282">
                  <formatCode>0.00%</formatCode>
                  <v>0.08378738094247806</v>
                </pt>
                <pt idx="283">
                  <formatCode>0.00%</formatCode>
                  <v>0.08462349366460654</v>
                </pt>
                <pt idx="284">
                  <formatCode>0.00%</formatCode>
                  <v>0.0695927324691232</v>
                </pt>
                <pt idx="285">
                  <formatCode>0.00%</formatCode>
                  <v>0.0624597293814433</v>
                </pt>
                <pt idx="286">
                  <formatCode>0.00%</formatCode>
                  <v>0.0633344056618948</v>
                </pt>
                <pt idx="287">
                  <formatCode>0.00%</formatCode>
                  <v>0.06404692547014644</v>
                </pt>
                <pt idx="288">
                  <formatCode>0.00%</formatCode>
                  <v>0.04353128626787576</v>
                </pt>
                <pt idx="289">
                  <formatCode>0.00%</formatCode>
                  <v>0.07116903633491312</v>
                </pt>
                <pt idx="290">
                  <formatCode>0.00%</formatCode>
                  <v>0.05583945178658835</v>
                </pt>
                <pt idx="291">
                  <formatCode>0.00%</formatCode>
                  <v>0.04835343228200371</v>
                </pt>
                <pt idx="292">
                  <formatCode>0.00%</formatCode>
                  <v>0.04696718466818339</v>
                </pt>
                <pt idx="293">
                  <formatCode>0.00%</formatCode>
                  <v>0.04752818733738075</v>
                </pt>
                <pt idx="294">
                  <formatCode>0.00%</formatCode>
                  <v>0.04248297035402476</v>
                </pt>
                <pt idx="295">
                  <formatCode>0.00%</formatCode>
                  <v>0.04423227183503897</v>
                </pt>
                <pt idx="296">
                  <formatCode>0.00%</formatCode>
                  <v>0.05655227697827996</v>
                </pt>
                <pt idx="297">
                  <formatCode>0.00%</formatCode>
                  <v>0.04912254103020885</v>
                </pt>
                <pt idx="298">
                  <formatCode>0.00%</formatCode>
                  <v>0.0649699353326022</v>
                </pt>
                <pt idx="299">
                  <formatCode>0.00%</formatCode>
                  <v>0.03121333457491387</v>
                </pt>
                <pt idx="300">
                  <formatCode>0.00%</formatCode>
                  <v>0.08139491046182847</v>
                </pt>
                <pt idx="301">
                  <formatCode>0.00%</formatCode>
                  <v>0.05908487574662635</v>
                </pt>
                <pt idx="302">
                  <formatCode>0.00%</formatCode>
                  <v>0.06330780499564226</v>
                </pt>
                <pt idx="303">
                  <formatCode>0.00%</formatCode>
                  <v>0.05878774471850459</v>
                </pt>
                <pt idx="304">
                  <formatCode>0.00%</formatCode>
                  <v>0.05878236529041288</v>
                </pt>
                <pt idx="305">
                  <formatCode>0.00%</formatCode>
                  <v>0.05418483560560063</v>
                </pt>
                <pt idx="306">
                  <formatCode>0.00%</formatCode>
                  <v>0.05192438660752084</v>
                </pt>
                <pt idx="307">
                  <formatCode>0.00%</formatCode>
                  <v>0.0499324743585064</v>
                </pt>
                <pt idx="308">
                  <formatCode>0.00%</formatCode>
                  <v>0.04391495203858591</v>
                </pt>
                <pt idx="309">
                  <formatCode>0.00%</formatCode>
                  <v>0.05177210159326565</v>
                </pt>
                <pt idx="310">
                  <formatCode>0.00%</formatCode>
                  <v>0.04603884805227087</v>
                </pt>
                <pt idx="311">
                  <formatCode>0.00%</formatCode>
                  <v>0.06920590200646548</v>
                </pt>
                <pt idx="312">
                  <formatCode>0.00%</formatCode>
                  <v>0.03651861665039743</v>
                </pt>
                <pt idx="313">
                  <formatCode>0.00%</formatCode>
                  <v>0.04080140646486449</v>
                </pt>
                <pt idx="314">
                  <formatCode>0.00%</formatCode>
                  <v>0.05139429029839033</v>
                </pt>
                <pt idx="315">
                  <formatCode>0.00%</formatCode>
                  <v>0.03813006006790284</v>
                </pt>
                <pt idx="316">
                  <formatCode>0.00%</formatCode>
                  <v>0.05944968170591714</v>
                </pt>
                <pt idx="317">
                  <formatCode>0.00%</formatCode>
                  <v>0.07492669645350461</v>
                </pt>
                <pt idx="318">
                  <formatCode>0.00%</formatCode>
                  <v>0.0879090113735783</v>
                </pt>
                <pt idx="319">
                  <formatCode>0.00%</formatCode>
                  <v>0.08859725360681384</v>
                </pt>
                <pt idx="320">
                  <formatCode>0.00%</formatCode>
                  <v>0.05855887035370665</v>
                </pt>
                <pt idx="321">
                  <formatCode>0.00%</formatCode>
                  <v>0.0617099477878538</v>
                </pt>
                <pt idx="322">
                  <formatCode>0.00%</formatCode>
                  <v>0.04345243146906561</v>
                </pt>
                <pt idx="323">
                  <formatCode>0.00%</formatCode>
                  <v>0.03798793980034795</v>
                </pt>
                <pt idx="324">
                  <formatCode>0.00%</formatCode>
                  <v>0.03445840270420261</v>
                </pt>
                <pt idx="325">
                  <formatCode>0.00%</formatCode>
                  <v>0.03962002241065007</v>
                </pt>
                <pt idx="326">
                  <formatCode>0.00%</formatCode>
                  <v>0.03831608280254777</v>
                </pt>
                <pt idx="327">
                  <formatCode>0.00%</formatCode>
                  <v>0.05890146750524109</v>
                </pt>
                <pt idx="328">
                  <formatCode>0.00%</formatCode>
                  <v>0.04902153926976622</v>
                </pt>
                <pt idx="329">
                  <formatCode>0.00%</formatCode>
                  <v>0.05054474013216646</v>
                </pt>
                <pt idx="330">
                  <formatCode>0.00%</formatCode>
                  <v>0.04550133496316788</v>
                </pt>
                <pt idx="331">
                  <formatCode>0.00%</formatCode>
                  <v>0.04094080827757995</v>
                </pt>
                <pt idx="332">
                  <formatCode>0.00%</formatCode>
                  <v>0.07413522526646178</v>
                </pt>
                <pt idx="333">
                  <formatCode>0.00%</formatCode>
                  <v>0.06876749114321304</v>
                </pt>
                <pt idx="334">
                  <formatCode>0.00%</formatCode>
                  <v>0.07102074013826759</v>
                </pt>
                <pt idx="335">
                  <formatCode>0.00%</formatCode>
                  <v>0.08995638872616026</v>
                </pt>
                <pt idx="336">
                  <formatCode>0.00%</formatCode>
                  <v>0.1046625048770971</v>
                </pt>
                <pt idx="337">
                  <formatCode>0.00%</formatCode>
                  <v>0.09835590875454457</v>
                </pt>
                <pt idx="338">
                  <formatCode>0.00%</formatCode>
                  <v>-0.2370682769417553</v>
                </pt>
                <pt idx="339">
                  <formatCode>0.00%</formatCode>
                  <v>-0.5073095015600995</v>
                </pt>
                <pt idx="340">
                  <formatCode>0.00%</formatCode>
                  <v>-0.3580237253122163</v>
                </pt>
                <pt idx="341">
                  <formatCode>0.00%</formatCode>
                  <v>-0.1832709962597756</v>
                </pt>
                <pt idx="342">
                  <formatCode>0.00%</formatCode>
                  <v>-0.1551466855375906</v>
                </pt>
                <pt idx="343">
                  <formatCode>0.00%</formatCode>
                  <v>-0.1151079136690648</v>
                </pt>
                <pt idx="344">
                  <formatCode>0.00%</formatCode>
                  <v>-0.09947189797129682</v>
                </pt>
                <pt idx="345">
                  <formatCode>0.00%</formatCode>
                  <v>-0.1036053762789853</v>
                </pt>
                <pt idx="346">
                  <formatCode>0.00%</formatCode>
                  <v>-0.1342628453395301</v>
                </pt>
                <pt idx="347">
                  <formatCode>0.00%</formatCode>
                  <v>-0.1928038220364288</v>
                </pt>
                <pt idx="348">
                  <formatCode>0.00%</formatCode>
                  <v>-0.1235761589403973</v>
                </pt>
                <pt idx="349">
                  <formatCode>0.00%</formatCode>
                  <v>-0.1353330599332123</v>
                </pt>
                <pt idx="350">
                  <formatCode>0.00%</formatCode>
                  <v>0.4104862012647096</v>
                </pt>
                <pt idx="351">
                  <formatCode>0.00%</formatCode>
                  <v>1.247050503102196</v>
                </pt>
                <pt idx="352">
                  <formatCode>0.00%</formatCode>
                  <v>0.7668998805489871</v>
                </pt>
                <pt idx="353">
                  <formatCode>0.00%</formatCode>
                  <v>0.4351108924381197</v>
                </pt>
                <pt idx="354">
                  <formatCode>0.00%</formatCode>
                  <v>0.4074256163735023</v>
                </pt>
                <pt idx="355">
                  <formatCode>0.00%</formatCode>
                  <v>0.3445663667724097</v>
                </pt>
                <pt idx="356">
                  <formatCode>0.00%</formatCode>
                  <v>0.3230805631136874</v>
                </pt>
                <pt idx="357">
                  <formatCode>0.00%</formatCode>
                  <v>0.3272377285851781</v>
                </pt>
                <pt idx="358">
                  <formatCode>0.00%</formatCode>
                  <v>0.3868353186786197</v>
                </pt>
                <pt idx="359">
                  <formatCode>0.00%</formatCode>
                  <v>0.4349683719897903</v>
                </pt>
                <pt idx="360">
                  <formatCode>0.00%</formatCode>
                  <v>0.2687354121538797</v>
                </pt>
                <pt idx="361">
                  <formatCode>0.00%</formatCode>
                  <v>0.3644725252388373</v>
                </pt>
                <pt idx="362">
                  <formatCode>0.00%</formatCode>
                  <v>0.2230634482349099</v>
                </pt>
                <pt idx="363">
                  <formatCode>0.00%</formatCode>
                  <v>0.2086152877723573</v>
                </pt>
                <pt idx="364">
                  <formatCode>0.00%</formatCode>
                  <v>0.1771799116997793</v>
                </pt>
                <pt idx="365">
                  <formatCode>0.00%</formatCode>
                  <v>0.1332067460474439</v>
                </pt>
                <pt idx="366">
                  <formatCode>0.00%</formatCode>
                  <v>0.1024801728487703</v>
                </pt>
                <pt idx="367">
                  <formatCode>0.00%</formatCode>
                  <v>0.118560156773761</v>
                </pt>
                <pt idx="368">
                  <formatCode>0.00%</formatCode>
                  <v>0.1141171060698958</v>
                </pt>
              </numCache>
            </numRef>
          </val>
          <smooth val="0"/>
        </ser>
        <dLbls>
          <showLegendKey val="0"/>
          <showVal val="0"/>
          <showCatName val="0"/>
          <showSerName val="0"/>
          <showPercent val="0"/>
          <showBubbleSize val="0"/>
        </dLbls>
        <smooth val="0"/>
        <axId val="1585895695"/>
        <axId val="1585895367"/>
      </lineChart>
      <dateAx>
        <axId val="1585895695"/>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85895367"/>
        <crosses val="autoZero"/>
        <lblOffset val="100"/>
        <baseTimeUnit val="months"/>
      </dateAx>
      <valAx>
        <axId val="158589536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85895695"/>
        <crosses val="autoZero"/>
        <crossBetween val="between"/>
      </valAx>
    </plotArea>
    <plotVisOnly val="1"/>
    <dispBlanksAs val="gap"/>
  </chart>
</chartSpace>
</file>

<file path=xl/charts/chart2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Gasoline Stations, Millions of Dollars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'Gas Station'!$B$6</f>
              <strCache>
                <ptCount val="1"/>
                <pt idx="0">
                  <v>Gasoline Stations, Millions of Dollars</v>
                </pt>
              </strCache>
            </strRef>
          </tx>
          <spPr>
            <a:ln xmlns:a="http://schemas.openxmlformats.org/drawingml/2006/main">
              <a:prstDash val="solid"/>
            </a:ln>
          </spPr>
          <marker>
            <symbol val="none"/>
            <spPr>
              <a:ln xmlns:a="http://schemas.openxmlformats.org/drawingml/2006/main">
                <a:prstDash val="solid"/>
              </a:ln>
            </spPr>
          </marker>
          <cat>
            <numRef>
              <f>'Gas Station'!$A$7:$A$376</f>
              <numCache>
                <formatCode>[$-409]mmm\-yy;@</formatCode>
                <ptCount val="37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numCache>
            </numRef>
          </cat>
          <val>
            <numRef>
              <f>'Gas Station'!$B$7:$B$376</f>
              <numCache>
                <formatCode>#,##0</formatCode>
                <ptCount val="370"/>
                <pt idx="0">
                  <v>12803</v>
                </pt>
                <pt idx="1">
                  <v>12601</v>
                </pt>
                <pt idx="2">
                  <v>12639</v>
                </pt>
                <pt idx="3">
                  <v>12710</v>
                </pt>
                <pt idx="4">
                  <v>12870</v>
                </pt>
                <pt idx="5">
                  <v>12886</v>
                </pt>
                <pt idx="6">
                  <v>12966</v>
                </pt>
                <pt idx="7">
                  <v>13092</v>
                </pt>
                <pt idx="8">
                  <v>13246</v>
                </pt>
                <pt idx="9">
                  <v>13304</v>
                </pt>
                <pt idx="10">
                  <v>13358</v>
                </pt>
                <pt idx="11">
                  <v>13475</v>
                </pt>
                <pt idx="12">
                  <v>13398</v>
                </pt>
                <pt idx="13">
                  <v>13596</v>
                </pt>
                <pt idx="14">
                  <v>13487</v>
                </pt>
                <pt idx="15">
                  <v>13539</v>
                </pt>
                <pt idx="16">
                  <v>13521</v>
                </pt>
                <pt idx="17">
                  <v>13461</v>
                </pt>
                <pt idx="18">
                  <v>13502</v>
                </pt>
                <pt idx="19">
                  <v>13372</v>
                </pt>
                <pt idx="20">
                  <v>13416</v>
                </pt>
                <pt idx="21">
                  <v>13755</v>
                </pt>
                <pt idx="22">
                  <v>13754</v>
                </pt>
                <pt idx="23">
                  <v>13627</v>
                </pt>
                <pt idx="24">
                  <v>13656</v>
                </pt>
                <pt idx="25">
                  <v>13875</v>
                </pt>
                <pt idx="26">
                  <v>13911</v>
                </pt>
                <pt idx="27">
                  <v>13867</v>
                </pt>
                <pt idx="28">
                  <v>13773</v>
                </pt>
                <pt idx="29">
                  <v>14059</v>
                </pt>
                <pt idx="30">
                  <v>14322</v>
                </pt>
                <pt idx="31">
                  <v>14685</v>
                </pt>
                <pt idx="32">
                  <v>14649</v>
                </pt>
                <pt idx="33">
                  <v>14709</v>
                </pt>
                <pt idx="34">
                  <v>14878</v>
                </pt>
                <pt idx="35">
                  <v>14885</v>
                </pt>
                <pt idx="36">
                  <v>14915</v>
                </pt>
                <pt idx="37">
                  <v>14963</v>
                </pt>
                <pt idx="38">
                  <v>14921</v>
                </pt>
                <pt idx="39">
                  <v>15021</v>
                </pt>
                <pt idx="40">
                  <v>15215</v>
                </pt>
                <pt idx="41">
                  <v>15333</v>
                </pt>
                <pt idx="42">
                  <v>15249</v>
                </pt>
                <pt idx="43">
                  <v>15227</v>
                </pt>
                <pt idx="44">
                  <v>15194</v>
                </pt>
                <pt idx="45">
                  <v>15007</v>
                </pt>
                <pt idx="46">
                  <v>14981</v>
                </pt>
                <pt idx="47">
                  <v>15246</v>
                </pt>
                <pt idx="48">
                  <v>15479</v>
                </pt>
                <pt idx="49">
                  <v>15457</v>
                </pt>
                <pt idx="50">
                  <v>15951</v>
                </pt>
                <pt idx="51">
                  <v>16252</v>
                </pt>
                <pt idx="52">
                  <v>16488</v>
                </pt>
                <pt idx="53">
                  <v>16352</v>
                </pt>
                <pt idx="54">
                  <v>16075</v>
                </pt>
                <pt idx="55">
                  <v>16066</v>
                </pt>
                <pt idx="56">
                  <v>16088</v>
                </pt>
                <pt idx="57">
                  <v>16360</v>
                </pt>
                <pt idx="58">
                  <v>16602</v>
                </pt>
                <pt idx="59">
                  <v>16759</v>
                </pt>
                <pt idx="60">
                  <v>16938</v>
                </pt>
                <pt idx="61">
                  <v>16984</v>
                </pt>
                <pt idx="62">
                  <v>16969</v>
                </pt>
                <pt idx="63">
                  <v>16613</v>
                </pt>
                <pt idx="64">
                  <v>16367</v>
                </pt>
                <pt idx="65">
                  <v>16378</v>
                </pt>
                <pt idx="66">
                  <v>16396</v>
                </pt>
                <pt idx="67">
                  <v>16682</v>
                </pt>
                <pt idx="68">
                  <v>16757</v>
                </pt>
                <pt idx="69">
                  <v>16711</v>
                </pt>
                <pt idx="70">
                  <v>16638</v>
                </pt>
                <pt idx="71">
                  <v>16536</v>
                </pt>
                <pt idx="72">
                  <v>16225</v>
                </pt>
                <pt idx="73">
                  <v>16054</v>
                </pt>
                <pt idx="74">
                  <v>15703</v>
                </pt>
                <pt idx="75">
                  <v>15798</v>
                </pt>
                <pt idx="76">
                  <v>16057</v>
                </pt>
                <pt idx="77">
                  <v>15933</v>
                </pt>
                <pt idx="78">
                  <v>16087</v>
                </pt>
                <pt idx="79">
                  <v>15851</v>
                </pt>
                <pt idx="80">
                  <v>15812</v>
                </pt>
                <pt idx="81">
                  <v>15948</v>
                </pt>
                <pt idx="82">
                  <v>16014</v>
                </pt>
                <pt idx="83">
                  <v>16399</v>
                </pt>
                <pt idx="84">
                  <v>16394</v>
                </pt>
                <pt idx="85">
                  <v>16309</v>
                </pt>
                <pt idx="86">
                  <v>16529</v>
                </pt>
                <pt idx="87">
                  <v>17115</v>
                </pt>
                <pt idx="88">
                  <v>17186</v>
                </pt>
                <pt idx="89">
                  <v>17070</v>
                </pt>
                <pt idx="90">
                  <v>17704</v>
                </pt>
                <pt idx="91">
                  <v>18135</v>
                </pt>
                <pt idx="92">
                  <v>18339</v>
                </pt>
                <pt idx="93">
                  <v>18632</v>
                </pt>
                <pt idx="94">
                  <v>18992</v>
                </pt>
                <pt idx="95">
                  <v>20095</v>
                </pt>
                <pt idx="96">
                  <v>19358</v>
                </pt>
                <pt idx="97">
                  <v>20214</v>
                </pt>
                <pt idx="98">
                  <v>20819</v>
                </pt>
                <pt idx="99">
                  <v>19907</v>
                </pt>
                <pt idx="100">
                  <v>20242</v>
                </pt>
                <pt idx="101">
                  <v>20885</v>
                </pt>
                <pt idx="102">
                  <v>20905</v>
                </pt>
                <pt idx="103">
                  <v>20574</v>
                </pt>
                <pt idx="104">
                  <v>21327</v>
                </pt>
                <pt idx="105">
                  <v>21412</v>
                </pt>
                <pt idx="106">
                  <v>21906</v>
                </pt>
                <pt idx="107">
                  <v>22124</v>
                </pt>
                <pt idx="108">
                  <v>21931</v>
                </pt>
                <pt idx="109">
                  <v>21615</v>
                </pt>
                <pt idx="110">
                  <v>20652</v>
                </pt>
                <pt idx="111">
                  <v>21618</v>
                </pt>
                <pt idx="112">
                  <v>22628</v>
                </pt>
                <pt idx="113">
                  <v>21928</v>
                </pt>
                <pt idx="114">
                  <v>20686</v>
                </pt>
                <pt idx="115">
                  <v>20878</v>
                </pt>
                <pt idx="116">
                  <v>21336</v>
                </pt>
                <pt idx="117">
                  <v>20033</v>
                </pt>
                <pt idx="118">
                  <v>19245</v>
                </pt>
                <pt idx="119">
                  <v>18950</v>
                </pt>
                <pt idx="120">
                  <v>19130</v>
                </pt>
                <pt idx="121">
                  <v>19068</v>
                </pt>
                <pt idx="122">
                  <v>19813</v>
                </pt>
                <pt idx="123">
                  <v>20856</v>
                </pt>
                <pt idx="124">
                  <v>20930</v>
                </pt>
                <pt idx="125">
                  <v>20733</v>
                </pt>
                <pt idx="126">
                  <v>21438</v>
                </pt>
                <pt idx="127">
                  <v>21182</v>
                </pt>
                <pt idx="128">
                  <v>21272</v>
                </pt>
                <pt idx="129">
                  <v>21659</v>
                </pt>
                <pt idx="130">
                  <v>22009</v>
                </pt>
                <pt idx="131">
                  <v>22464</v>
                </pt>
                <pt idx="132">
                  <v>23073</v>
                </pt>
                <pt idx="133">
                  <v>23885</v>
                </pt>
                <pt idx="134">
                  <v>23968</v>
                </pt>
                <pt idx="135">
                  <v>22581</v>
                </pt>
                <pt idx="136">
                  <v>21810</v>
                </pt>
                <pt idx="137">
                  <v>21777</v>
                </pt>
                <pt idx="138">
                  <v>22196</v>
                </pt>
                <pt idx="139">
                  <v>23073</v>
                </pt>
                <pt idx="140">
                  <v>23214</v>
                </pt>
                <pt idx="141">
                  <v>22714</v>
                </pt>
                <pt idx="142">
                  <v>23472</v>
                </pt>
                <pt idx="143">
                  <v>23994</v>
                </pt>
                <pt idx="144">
                  <v>24889</v>
                </pt>
                <pt idx="145">
                  <v>25256</v>
                </pt>
                <pt idx="146">
                  <v>25679</v>
                </pt>
                <pt idx="147">
                  <v>25518</v>
                </pt>
                <pt idx="148">
                  <v>27011</v>
                </pt>
                <pt idx="149">
                  <v>27050</v>
                </pt>
                <pt idx="150">
                  <v>26745</v>
                </pt>
                <pt idx="151">
                  <v>26552</v>
                </pt>
                <pt idx="152">
                  <v>27161</v>
                </pt>
                <pt idx="153">
                  <v>28656</v>
                </pt>
                <pt idx="154">
                  <v>29349</v>
                </pt>
                <pt idx="155">
                  <v>29046</v>
                </pt>
                <pt idx="156">
                  <v>28375</v>
                </pt>
                <pt idx="157">
                  <v>29015</v>
                </pt>
                <pt idx="158">
                  <v>29498</v>
                </pt>
                <pt idx="159">
                  <v>30009</v>
                </pt>
                <pt idx="160">
                  <v>29140</v>
                </pt>
                <pt idx="161">
                  <v>29889</v>
                </pt>
                <pt idx="162">
                  <v>30976</v>
                </pt>
                <pt idx="163">
                  <v>33399</v>
                </pt>
                <pt idx="164">
                  <v>36116</v>
                </pt>
                <pt idx="165">
                  <v>35911</v>
                </pt>
                <pt idx="166">
                  <v>33185</v>
                </pt>
                <pt idx="167">
                  <v>33154</v>
                </pt>
                <pt idx="168">
                  <v>34298</v>
                </pt>
                <pt idx="169">
                  <v>34174</v>
                </pt>
                <pt idx="170">
                  <v>34195</v>
                </pt>
                <pt idx="171">
                  <v>35646</v>
                </pt>
                <pt idx="172">
                  <v>36159</v>
                </pt>
                <pt idx="173">
                  <v>36228</v>
                </pt>
                <pt idx="174">
                  <v>36963</v>
                </pt>
                <pt idx="175">
                  <v>37696</v>
                </pt>
                <pt idx="176">
                  <v>34935</v>
                </pt>
                <pt idx="177">
                  <v>32912</v>
                </pt>
                <pt idx="178">
                  <v>33322</v>
                </pt>
                <pt idx="179">
                  <v>34895</v>
                </pt>
                <pt idx="180">
                  <v>34244</v>
                </pt>
                <pt idx="181">
                  <v>34932</v>
                </pt>
                <pt idx="182">
                  <v>35999</v>
                </pt>
                <pt idx="183">
                  <v>36350</v>
                </pt>
                <pt idx="184">
                  <v>37996</v>
                </pt>
                <pt idx="185">
                  <v>37310</v>
                </pt>
                <pt idx="186">
                  <v>36963</v>
                </pt>
                <pt idx="187">
                  <v>37223</v>
                </pt>
                <pt idx="188">
                  <v>38210</v>
                </pt>
                <pt idx="189">
                  <v>39307</v>
                </pt>
                <pt idx="190">
                  <v>41985</v>
                </pt>
                <pt idx="191">
                  <v>41593</v>
                </pt>
                <pt idx="192">
                  <v>42423</v>
                </pt>
                <pt idx="193">
                  <v>42504</v>
                </pt>
                <pt idx="194">
                  <v>43044</v>
                </pt>
                <pt idx="195">
                  <v>42933</v>
                </pt>
                <pt idx="196">
                  <v>44344</v>
                </pt>
                <pt idx="197">
                  <v>46547</v>
                </pt>
                <pt idx="198">
                  <v>46813</v>
                </pt>
                <pt idx="199">
                  <v>45645</v>
                </pt>
                <pt idx="200">
                  <v>45777</v>
                </pt>
                <pt idx="201">
                  <v>40584</v>
                </pt>
                <pt idx="202">
                  <v>31776</v>
                </pt>
                <pt idx="203">
                  <v>27999</v>
                </pt>
                <pt idx="204">
                  <v>28818</v>
                </pt>
                <pt idx="205">
                  <v>29860</v>
                </pt>
                <pt idx="206">
                  <v>28825</v>
                </pt>
                <pt idx="207">
                  <v>28747</v>
                </pt>
                <pt idx="208">
                  <v>30488</v>
                </pt>
                <pt idx="209">
                  <v>33375</v>
                </pt>
                <pt idx="210">
                  <v>33066</v>
                </pt>
                <pt idx="211">
                  <v>34658</v>
                </pt>
                <pt idx="212">
                  <v>34800</v>
                </pt>
                <pt idx="213">
                  <v>34885</v>
                </pt>
                <pt idx="214">
                  <v>36573</v>
                </pt>
                <pt idx="215">
                  <v>37182</v>
                </pt>
                <pt idx="216">
                  <v>37399</v>
                </pt>
                <pt idx="217">
                  <v>36950</v>
                </pt>
                <pt idx="218">
                  <v>37123</v>
                </pt>
                <pt idx="219">
                  <v>37218</v>
                </pt>
                <pt idx="220">
                  <v>36606</v>
                </pt>
                <pt idx="221">
                  <v>35609</v>
                </pt>
                <pt idx="222">
                  <v>35764</v>
                </pt>
                <pt idx="223">
                  <v>36223</v>
                </pt>
                <pt idx="224">
                  <v>37357</v>
                </pt>
                <pt idx="225">
                  <v>38519</v>
                </pt>
                <pt idx="226">
                  <v>39272</v>
                </pt>
                <pt idx="227">
                  <v>41279</v>
                </pt>
                <pt idx="228">
                  <v>41778</v>
                </pt>
                <pt idx="229">
                  <v>42294</v>
                </pt>
                <pt idx="230">
                  <v>43780</v>
                </pt>
                <pt idx="231">
                  <v>44561</v>
                </pt>
                <pt idx="232">
                  <v>45300</v>
                </pt>
                <pt idx="233">
                  <v>44572</v>
                </pt>
                <pt idx="234">
                  <v>44796</v>
                </pt>
                <pt idx="235">
                  <v>45033</v>
                </pt>
                <pt idx="236">
                  <v>45082</v>
                </pt>
                <pt idx="237">
                  <v>44846</v>
                </pt>
                <pt idx="238">
                  <v>45622</v>
                </pt>
                <pt idx="239">
                  <v>45291</v>
                </pt>
                <pt idx="240">
                  <v>45752</v>
                </pt>
                <pt idx="241">
                  <v>47171</v>
                </pt>
                <pt idx="242">
                  <v>47495</v>
                </pt>
                <pt idx="243">
                  <v>47006</v>
                </pt>
                <pt idx="244">
                  <v>45766</v>
                </pt>
                <pt idx="245">
                  <v>43646</v>
                </pt>
                <pt idx="246">
                  <v>43484</v>
                </pt>
                <pt idx="247">
                  <v>46391</v>
                </pt>
                <pt idx="248">
                  <v>47107</v>
                </pt>
                <pt idx="249">
                  <v>47976</v>
                </pt>
                <pt idx="250">
                  <v>46822</v>
                </pt>
                <pt idx="251">
                  <v>45886</v>
                </pt>
                <pt idx="252">
                  <v>46043</v>
                </pt>
                <pt idx="253">
                  <v>49101</v>
                </pt>
                <pt idx="254">
                  <v>47586</v>
                </pt>
                <pt idx="255">
                  <v>46120</v>
                </pt>
                <pt idx="256">
                  <v>45589</v>
                </pt>
                <pt idx="257">
                  <v>45824</v>
                </pt>
                <pt idx="258">
                  <v>45961</v>
                </pt>
                <pt idx="259">
                  <v>45632</v>
                </pt>
                <pt idx="260">
                  <v>45745</v>
                </pt>
                <pt idx="261">
                  <v>45024</v>
                </pt>
                <pt idx="262">
                  <v>44716</v>
                </pt>
                <pt idx="263">
                  <v>46666</v>
                </pt>
                <pt idx="264">
                  <v>47076</v>
                </pt>
                <pt idx="265">
                  <v>47571</v>
                </pt>
                <pt idx="266">
                  <v>46861</v>
                </pt>
                <pt idx="267">
                  <v>47080</v>
                </pt>
                <pt idx="268">
                  <v>46780</v>
                </pt>
                <pt idx="269">
                  <v>45732</v>
                </pt>
                <pt idx="270">
                  <v>45765</v>
                </pt>
                <pt idx="271">
                  <v>45907</v>
                </pt>
                <pt idx="272">
                  <v>45387</v>
                </pt>
                <pt idx="273">
                  <v>44501</v>
                </pt>
                <pt idx="274">
                  <v>43630</v>
                </pt>
                <pt idx="275">
                  <v>40445</v>
                </pt>
                <pt idx="276">
                  <v>36572</v>
                </pt>
                <pt idx="277">
                  <v>37842</v>
                </pt>
                <pt idx="278">
                  <v>38365</v>
                </pt>
                <pt idx="279">
                  <v>37819</v>
                </pt>
                <pt idx="280">
                  <v>39293</v>
                </pt>
                <pt idx="281">
                  <v>39799</v>
                </pt>
                <pt idx="282">
                  <v>40279</v>
                </pt>
                <pt idx="283">
                  <v>39179</v>
                </pt>
                <pt idx="284">
                  <v>36906</v>
                </pt>
                <pt idx="285">
                  <v>36551</v>
                </pt>
                <pt idx="286">
                  <v>36122</v>
                </pt>
                <pt idx="287">
                  <v>35966</v>
                </pt>
                <pt idx="288">
                  <v>34562</v>
                </pt>
                <pt idx="289">
                  <v>32927</v>
                </pt>
                <pt idx="290">
                  <v>34189</v>
                </pt>
                <pt idx="291">
                  <v>35125</v>
                </pt>
                <pt idx="292">
                  <v>36019</v>
                </pt>
                <pt idx="293">
                  <v>37148</v>
                </pt>
                <pt idx="294">
                  <v>36794</v>
                </pt>
                <pt idx="295">
                  <v>35936</v>
                </pt>
                <pt idx="296">
                  <v>36912</v>
                </pt>
                <pt idx="297">
                  <v>37899</v>
                </pt>
                <pt idx="298">
                  <v>37521</v>
                </pt>
                <pt idx="299">
                  <v>39423</v>
                </pt>
                <pt idx="300">
                  <v>39938</v>
                </pt>
                <pt idx="301">
                  <v>40272</v>
                </pt>
                <pt idx="302">
                  <v>39840</v>
                </pt>
                <pt idx="303">
                  <v>39640</v>
                </pt>
                <pt idx="304">
                  <v>38041</v>
                </pt>
                <pt idx="305">
                  <v>37413</v>
                </pt>
                <pt idx="306">
                  <v>37366</v>
                </pt>
                <pt idx="307">
                  <v>38658</v>
                </pt>
                <pt idx="308">
                  <v>40749</v>
                </pt>
                <pt idx="309">
                  <v>40920</v>
                </pt>
                <pt idx="310">
                  <v>42042</v>
                </pt>
                <pt idx="311">
                  <v>42907</v>
                </pt>
                <pt idx="312">
                  <v>43013</v>
                </pt>
                <pt idx="313">
                  <v>43517</v>
                </pt>
                <pt idx="314">
                  <v>42920</v>
                </pt>
                <pt idx="315">
                  <v>42638</v>
                </pt>
                <pt idx="316">
                  <v>43767</v>
                </pt>
                <pt idx="317">
                  <v>43541</v>
                </pt>
                <pt idx="318">
                  <v>43903</v>
                </pt>
                <pt idx="319">
                  <v>44601</v>
                </pt>
                <pt idx="320">
                  <v>44201</v>
                </pt>
                <pt idx="321">
                  <v>45906</v>
                </pt>
                <pt idx="322">
                  <v>43799</v>
                </pt>
                <pt idx="323">
                  <v>41261</v>
                </pt>
                <pt idx="324">
                  <v>40109</v>
                </pt>
                <pt idx="325">
                  <v>41996</v>
                </pt>
                <pt idx="326">
                  <v>43001</v>
                </pt>
                <pt idx="327">
                  <v>43734</v>
                </pt>
                <pt idx="328">
                  <v>43625</v>
                </pt>
                <pt idx="329">
                  <v>42238</v>
                </pt>
                <pt idx="330">
                  <v>42850</v>
                </pt>
                <pt idx="331">
                  <v>42735</v>
                </pt>
                <pt idx="332">
                  <v>42589</v>
                </pt>
                <pt idx="333">
                  <v>43254</v>
                </pt>
                <pt idx="334">
                  <v>43246</v>
                </pt>
                <pt idx="335">
                  <v>44459</v>
                </pt>
                <pt idx="336">
                  <v>43351</v>
                </pt>
                <pt idx="337">
                  <v>42010</v>
                </pt>
                <pt idx="338">
                  <v>34537</v>
                </pt>
                <pt idx="339">
                  <v>26068</v>
                </pt>
                <pt idx="340">
                  <v>29535</v>
                </pt>
                <pt idx="341">
                  <v>33677</v>
                </pt>
                <pt idx="342">
                  <v>35448</v>
                </pt>
                <pt idx="343">
                  <v>36194</v>
                </pt>
                <pt idx="344">
                  <v>36714</v>
                </pt>
                <pt idx="345">
                  <v>36926</v>
                </pt>
                <pt idx="346">
                  <v>36193</v>
                </pt>
                <pt idx="347">
                  <v>39293</v>
                </pt>
                <pt idx="348">
                  <v>41104</v>
                </pt>
                <pt idx="349">
                  <v>42741</v>
                </pt>
                <pt idx="350">
                  <v>46146</v>
                </pt>
                <pt idx="351">
                  <v>45900</v>
                </pt>
                <pt idx="352">
                  <v>46209</v>
                </pt>
                <pt idx="353">
                  <v>46690</v>
                </pt>
                <pt idx="354">
                  <v>47861</v>
                </pt>
                <pt idx="355">
                  <v>49850</v>
                </pt>
                <pt idx="356">
                  <v>52150</v>
                </pt>
                <pt idx="357">
                  <v>53978</v>
                </pt>
                <pt idx="358">
                  <v>55209</v>
                </pt>
                <pt idx="359">
                  <v>55910</v>
                </pt>
                <pt idx="360">
                  <v>54919</v>
                </pt>
                <pt idx="361">
                  <v>58392</v>
                </pt>
                <pt idx="362">
                  <v>64656</v>
                </pt>
                <pt idx="363">
                  <v>63819</v>
                </pt>
                <pt idx="364">
                  <v>66988</v>
                </pt>
                <pt idx="365">
                  <v>68805</v>
                </pt>
                <pt idx="366">
                  <v>67283</v>
                </pt>
                <pt idx="367">
                  <v>63782</v>
                </pt>
                <pt idx="368">
                  <v>62891</v>
                </pt>
              </numCache>
            </numRef>
          </val>
          <smooth val="0"/>
        </ser>
        <dLbls>
          <showLegendKey val="0"/>
          <showVal val="0"/>
          <showCatName val="0"/>
          <showSerName val="0"/>
          <showPercent val="0"/>
          <showBubbleSize val="0"/>
        </dLbls>
        <smooth val="0"/>
        <axId val="1045517208"/>
        <axId val="1045518520"/>
      </lineChart>
      <dateAx>
        <axId val="1045517208"/>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45518520"/>
        <crosses val="autoZero"/>
        <lblOffset val="100"/>
        <baseTimeUnit val="months"/>
      </dateAx>
      <valAx>
        <axId val="1045518520"/>
        <scaling>
          <orientation val="minMax"/>
          <min val="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4551720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3.xml><?xml version="1.0" encoding="utf-8"?>
<chartSpace xmlns="http://schemas.openxmlformats.org/drawingml/2006/chart">
  <chart>
    <title>
      <tx>
        <strRef>
          <f>'Gas Station'!$D$6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'Gas Station'!$D$6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'Gas Station'!$A$7:$A$377</f>
              <numCache>
                <formatCode>[$-409]mmm\-yy;@</formatCode>
                <ptCount val="371"/>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numCache>
            </numRef>
          </cat>
          <val>
            <numRef>
              <f>'Gas Station'!$D$7:$D$377</f>
              <numCache>
                <formatCode>General</formatCode>
                <ptCount val="371"/>
                <pt idx="12">
                  <formatCode>0.00%</formatCode>
                  <v>0.04647348277747403</v>
                </pt>
                <pt idx="13">
                  <formatCode>0.00%</formatCode>
                  <v>0.07896198714387748</v>
                </pt>
                <pt idx="14">
                  <formatCode>0.00%</formatCode>
                  <v>0.06709391565788432</v>
                </pt>
                <pt idx="15">
                  <formatCode>0.00%</formatCode>
                  <v>0.06522423288749017</v>
                </pt>
                <pt idx="16">
                  <formatCode>0.00%</formatCode>
                  <v>0.05058275058275058</v>
                </pt>
                <pt idx="17">
                  <formatCode>0.00%</formatCode>
                  <v>0.04462207046406953</v>
                </pt>
                <pt idx="18">
                  <formatCode>0.00%</formatCode>
                  <v>0.04133888631806262</v>
                </pt>
                <pt idx="19">
                  <formatCode>0.00%</formatCode>
                  <v>0.02138710663000306</v>
                </pt>
                <pt idx="20">
                  <formatCode>0.00%</formatCode>
                  <v>0.01283406311339272</v>
                </pt>
                <pt idx="21">
                  <formatCode>0.00%</formatCode>
                  <v>0.03389957907396272</v>
                </pt>
                <pt idx="22">
                  <formatCode>0.00%</formatCode>
                  <v>0.02964515646054799</v>
                </pt>
                <pt idx="23">
                  <formatCode>0.00%</formatCode>
                  <v>0.01128014842300557</v>
                </pt>
                <pt idx="24">
                  <formatCode>0.00%</formatCode>
                  <v>0.01925660546350201</v>
                </pt>
                <pt idx="25">
                  <formatCode>0.00%</formatCode>
                  <v>0.0205207413945278</v>
                </pt>
                <pt idx="26">
                  <formatCode>0.00%</formatCode>
                  <v>0.03143768072959146</v>
                </pt>
                <pt idx="27">
                  <formatCode>0.00%</formatCode>
                  <v>0.02422630918088485</v>
                </pt>
                <pt idx="28">
                  <formatCode>0.00%</formatCode>
                  <v>0.01863767472820058</v>
                </pt>
                <pt idx="29">
                  <formatCode>0.00%</formatCode>
                  <v>0.04442463412822227</v>
                </pt>
                <pt idx="30">
                  <formatCode>0.00%</formatCode>
                  <v>0.06073174344541549</v>
                </pt>
                <pt idx="31">
                  <formatCode>0.00%</formatCode>
                  <v>0.09819024827998804</v>
                </pt>
                <pt idx="32">
                  <formatCode>0.00%</formatCode>
                  <v>0.0919051878354204</v>
                </pt>
                <pt idx="33">
                  <formatCode>0.00%</formatCode>
                  <v>0.06935659760087241</v>
                </pt>
                <pt idx="34">
                  <formatCode>0.00%</formatCode>
                  <v>0.08172168096553729</v>
                </pt>
                <pt idx="35">
                  <formatCode>0.00%</formatCode>
                  <v>0.0923167241505834</v>
                </pt>
                <pt idx="36">
                  <formatCode>0.00%</formatCode>
                  <v>0.09219390743995313</v>
                </pt>
                <pt idx="37">
                  <formatCode>0.00%</formatCode>
                  <v>0.07841441441441442</v>
                </pt>
                <pt idx="38">
                  <formatCode>0.00%</formatCode>
                  <v>0.07260441377327295</v>
                </pt>
                <pt idx="39">
                  <formatCode>0.00%</formatCode>
                  <v>0.08321915338573592</v>
                </pt>
                <pt idx="40">
                  <formatCode>0.00%</formatCode>
                  <v>0.1046975967472591</v>
                </pt>
                <pt idx="41">
                  <formatCode>0.00%</formatCode>
                  <v>0.09061810939611636</v>
                </pt>
                <pt idx="42">
                  <formatCode>0.00%</formatCode>
                  <v>0.0647255969836615</v>
                </pt>
                <pt idx="43">
                  <formatCode>0.00%</formatCode>
                  <v>0.03690840994211781</v>
                </pt>
                <pt idx="44">
                  <formatCode>0.00%</formatCode>
                  <v>0.03720390470339272</v>
                </pt>
                <pt idx="45">
                  <formatCode>0.00%</formatCode>
                  <v>0.02025970494255218</v>
                </pt>
                <pt idx="46">
                  <formatCode>0.00%</formatCode>
                  <v>0.00692297351794596</v>
                </pt>
                <pt idx="47">
                  <formatCode>0.00%</formatCode>
                  <v>0.0242526032919046</v>
                </pt>
                <pt idx="48">
                  <formatCode>0.00%</formatCode>
                  <v>0.03781428092524304</v>
                </pt>
                <pt idx="49">
                  <formatCode>0.00%</formatCode>
                  <v>0.03301476976542137</v>
                </pt>
                <pt idx="50">
                  <formatCode>0.00%</formatCode>
                  <v>0.06903022585617585</v>
                </pt>
                <pt idx="51">
                  <formatCode>0.00%</formatCode>
                  <v>0.0819519339591239</v>
                </pt>
                <pt idx="52">
                  <formatCode>0.00%</formatCode>
                  <v>0.08366743345382846</v>
                </pt>
                <pt idx="53">
                  <formatCode>0.00%</formatCode>
                  <v>0.06645796647753212</v>
                </pt>
                <pt idx="54">
                  <formatCode>0.00%</formatCode>
                  <v>0.05416748639255033</v>
                </pt>
                <pt idx="55">
                  <formatCode>0.00%</formatCode>
                  <v>0.05509949431930124</v>
                </pt>
                <pt idx="56">
                  <formatCode>0.00%</formatCode>
                  <v>0.05883901540081611</v>
                </pt>
                <pt idx="57">
                  <formatCode>0.00%</formatCode>
                  <v>0.09015792630105951</v>
                </pt>
                <pt idx="58">
                  <formatCode>0.00%</formatCode>
                  <v>0.1082037247179761</v>
                </pt>
                <pt idx="59">
                  <formatCode>0.00%</formatCode>
                  <v>0.09923914469369015</v>
                </pt>
                <pt idx="60">
                  <formatCode>0.00%</formatCode>
                  <v>0.0942567349311971</v>
                </pt>
                <pt idx="61">
                  <formatCode>0.00%</formatCode>
                  <v>0.09879019214595329</v>
                </pt>
                <pt idx="62">
                  <formatCode>0.00%</formatCode>
                  <v>0.06382045012851859</v>
                </pt>
                <pt idx="63">
                  <formatCode>0.00%</formatCode>
                  <v>0.02221265075067684</v>
                </pt>
                <pt idx="64">
                  <formatCode>0.00%</formatCode>
                  <v>-0.007338670548277535</v>
                </pt>
                <pt idx="65">
                  <formatCode>0.00%</formatCode>
                  <v>0.001590019569471624</v>
                </pt>
                <pt idx="66">
                  <formatCode>0.00%</formatCode>
                  <v>0.01996889580093313</v>
                </pt>
                <pt idx="67">
                  <formatCode>0.00%</formatCode>
                  <v>0.03834183991036973</v>
                </pt>
                <pt idx="68">
                  <formatCode>0.00%</formatCode>
                  <v>0.04158378915962208</v>
                </pt>
                <pt idx="69">
                  <formatCode>0.00%</formatCode>
                  <v>0.02145476772616137</v>
                </pt>
                <pt idx="70">
                  <formatCode>0.00%</formatCode>
                  <v>0.002168413444163354</v>
                </pt>
                <pt idx="71">
                  <formatCode>0.00%</formatCode>
                  <v>-0.01330628319112119</v>
                </pt>
                <pt idx="72">
                  <formatCode>0.00%</formatCode>
                  <v>-0.04209469831148896</v>
                </pt>
                <pt idx="73">
                  <formatCode>0.00%</formatCode>
                  <v>-0.05475741874705605</v>
                </pt>
                <pt idx="74">
                  <formatCode>0.00%</formatCode>
                  <v>-0.07460663562967765</v>
                </pt>
                <pt idx="75">
                  <formatCode>0.00%</formatCode>
                  <v>-0.04905796665262144</v>
                </pt>
                <pt idx="76">
                  <formatCode>0.00%</formatCode>
                  <v>-0.01894055110893872</v>
                </pt>
                <pt idx="77">
                  <formatCode>0.00%</formatCode>
                  <v>-0.0271705947002076</v>
                </pt>
                <pt idx="78">
                  <formatCode>0.00%</formatCode>
                  <v>-0.01884606001463772</v>
                </pt>
                <pt idx="79">
                  <formatCode>0.00%</formatCode>
                  <v>-0.0498141709627143</v>
                </pt>
                <pt idx="80">
                  <formatCode>0.00%</formatCode>
                  <v>-0.0563943426627678</v>
                </pt>
                <pt idx="81">
                  <formatCode>0.00%</formatCode>
                  <v>-0.04565854826162408</v>
                </pt>
                <pt idx="82">
                  <formatCode>0.00%</formatCode>
                  <v>-0.03750450775333574</v>
                </pt>
                <pt idx="83">
                  <formatCode>0.00%</formatCode>
                  <v>-0.008284954039671021</v>
                </pt>
                <pt idx="84">
                  <formatCode>0.00%</formatCode>
                  <v>0.01041602465331279</v>
                </pt>
                <pt idx="85">
                  <formatCode>0.00%</formatCode>
                  <v>0.01588389186495577</v>
                </pt>
                <pt idx="86">
                  <formatCode>0.00%</formatCode>
                  <v>0.05260141374259696</v>
                </pt>
                <pt idx="87">
                  <formatCode>0.00%</formatCode>
                  <v>0.08336498290922902</v>
                </pt>
                <pt idx="88">
                  <formatCode>0.00%</formatCode>
                  <v>0.07031201345207698</v>
                </pt>
                <pt idx="89">
                  <formatCode>0.00%</formatCode>
                  <v>0.07136132555074375</v>
                </pt>
                <pt idx="90">
                  <formatCode>0.00%</formatCode>
                  <v>0.1005159445515012</v>
                </pt>
                <pt idx="91">
                  <formatCode>0.00%</formatCode>
                  <v>0.1440918554034446</v>
                </pt>
                <pt idx="92">
                  <formatCode>0.00%</formatCode>
                  <v>0.1598153301290159</v>
                </pt>
                <pt idx="93">
                  <formatCode>0.00%</formatCode>
                  <v>0.1682969651366943</v>
                </pt>
                <pt idx="94">
                  <formatCode>0.00%</formatCode>
                  <v>0.1859622830023729</v>
                </pt>
                <pt idx="95">
                  <formatCode>0.00%</formatCode>
                  <v>0.2253795963168486</v>
                </pt>
                <pt idx="96">
                  <formatCode>0.00%</formatCode>
                  <v>0.1807978528730023</v>
                </pt>
                <pt idx="97">
                  <formatCode>0.00%</formatCode>
                  <v>0.2394383469250107</v>
                </pt>
                <pt idx="98">
                  <formatCode>0.00%</formatCode>
                  <v>0.2595438320527558</v>
                </pt>
                <pt idx="99">
                  <formatCode>0.00%</formatCode>
                  <v>0.1631317557697926</v>
                </pt>
                <pt idx="100">
                  <formatCode>0.00%</formatCode>
                  <v>0.1778191551262656</v>
                </pt>
                <pt idx="101">
                  <formatCode>0.00%</formatCode>
                  <v>0.2234915055653193</v>
                </pt>
                <pt idx="102">
                  <formatCode>0.00%</formatCode>
                  <v>0.1808065973791234</v>
                </pt>
                <pt idx="103">
                  <formatCode>0.00%</formatCode>
                  <v>0.1344913151364764</v>
                </pt>
                <pt idx="104">
                  <formatCode>0.00%</formatCode>
                  <v>0.1629314575494847</v>
                </pt>
                <pt idx="105">
                  <formatCode>0.00%</formatCode>
                  <v>0.1492056676685273</v>
                </pt>
                <pt idx="106">
                  <formatCode>0.00%</formatCode>
                  <v>0.1534330244313395</v>
                </pt>
                <pt idx="107">
                  <formatCode>0.00%</formatCode>
                  <v>0.1009703906444389</v>
                </pt>
                <pt idx="108">
                  <formatCode>0.00%</formatCode>
                  <v>0.1329166236181424</v>
                </pt>
                <pt idx="109">
                  <formatCode>0.00%</formatCode>
                  <v>0.06930840011872959</v>
                </pt>
                <pt idx="110">
                  <formatCode>0.00%</formatCode>
                  <v>-0.008021518804937797</v>
                </pt>
                <pt idx="111">
                  <formatCode>0.00%</formatCode>
                  <v>0.08594966594665193</v>
                </pt>
                <pt idx="112">
                  <formatCode>0.00%</formatCode>
                  <v>0.1178737278925007</v>
                </pt>
                <pt idx="113">
                  <formatCode>0.00%</formatCode>
                  <v>0.04994014843188892</v>
                </pt>
                <pt idx="114">
                  <formatCode>0.00%</formatCode>
                  <v>-0.01047596268835207</v>
                </pt>
                <pt idx="115">
                  <formatCode>0.00%</formatCode>
                  <v>0.01477593078642947</v>
                </pt>
                <pt idx="116">
                  <formatCode>0.00%</formatCode>
                  <v>0.0004220002813335209</v>
                </pt>
                <pt idx="117">
                  <formatCode>0.00%</formatCode>
                  <v>-0.06440313842705025</v>
                </pt>
                <pt idx="118">
                  <formatCode>0.00%</formatCode>
                  <v>-0.1214735688852369</v>
                </pt>
                <pt idx="119">
                  <formatCode>0.00%</formatCode>
                  <v>-0.1434641113722654</v>
                </pt>
                <pt idx="120">
                  <formatCode>0.00%</formatCode>
                  <v>-0.1277187542747709</v>
                </pt>
                <pt idx="121">
                  <formatCode>0.00%</formatCode>
                  <v>-0.1178348369188064</v>
                </pt>
                <pt idx="122">
                  <formatCode>0.00%</formatCode>
                  <v>-0.04062560526825489</v>
                </pt>
                <pt idx="123">
                  <formatCode>0.00%</formatCode>
                  <v>-0.03524840410768804</v>
                </pt>
                <pt idx="124">
                  <formatCode>0.00%</formatCode>
                  <v>-0.07503977373165989</v>
                </pt>
                <pt idx="125">
                  <formatCode>0.00%</formatCode>
                  <v>-0.05449653411163809</v>
                </pt>
                <pt idx="126">
                  <formatCode>0.00%</formatCode>
                  <v>0.03635308904573141</v>
                </pt>
                <pt idx="127">
                  <formatCode>0.00%</formatCode>
                  <v>0.01456078168406936</v>
                </pt>
                <pt idx="128">
                  <formatCode>0.00%</formatCode>
                  <v>-0.002999625046869142</v>
                </pt>
                <pt idx="129">
                  <formatCode>0.00%</formatCode>
                  <v>0.08116607597464184</v>
                </pt>
                <pt idx="130">
                  <formatCode>0.00%</formatCode>
                  <v>0.1436217199272538</v>
                </pt>
                <pt idx="131">
                  <formatCode>0.00%</formatCode>
                  <v>0.1854353562005277</v>
                </pt>
                <pt idx="132">
                  <formatCode>0.00%</formatCode>
                  <v>0.2061160480920021</v>
                </pt>
                <pt idx="133">
                  <formatCode>0.00%</formatCode>
                  <v>0.2526221942521502</v>
                </pt>
                <pt idx="134">
                  <formatCode>0.00%</formatCode>
                  <v>0.2097107959420582</v>
                </pt>
                <pt idx="135">
                  <formatCode>0.00%</formatCode>
                  <v>0.08271001150747986</v>
                </pt>
                <pt idx="136">
                  <formatCode>0.00%</formatCode>
                  <v>0.042044911610129</v>
                </pt>
                <pt idx="137">
                  <formatCode>0.00%</formatCode>
                  <v>0.05035450730719143</v>
                </pt>
                <pt idx="138">
                  <formatCode>0.00%</formatCode>
                  <v>0.03535777591193209</v>
                </pt>
                <pt idx="139">
                  <formatCode>0.00%</formatCode>
                  <v>0.08927391181191578</v>
                </pt>
                <pt idx="140">
                  <formatCode>0.00%</formatCode>
                  <v>0.09129371944339977</v>
                </pt>
                <pt idx="141">
                  <formatCode>0.00%</formatCode>
                  <v>0.0487095433768872</v>
                </pt>
                <pt idx="142">
                  <formatCode>0.00%</formatCode>
                  <v>0.06647280657912671</v>
                </pt>
                <pt idx="143">
                  <formatCode>0.00%</formatCode>
                  <v>0.06810897435897435</v>
                </pt>
                <pt idx="144">
                  <formatCode>0.00%</formatCode>
                  <v>0.07870671347462402</v>
                </pt>
                <pt idx="145">
                  <formatCode>0.00%</formatCode>
                  <v>0.05740004186728072</v>
                </pt>
                <pt idx="146">
                  <formatCode>0.00%</formatCode>
                  <v>0.07138684913217623</v>
                </pt>
                <pt idx="147">
                  <formatCode>0.00%</formatCode>
                  <v>0.1300650989770161</v>
                </pt>
                <pt idx="148">
                  <formatCode>0.00%</formatCode>
                  <v>0.2384685923888125</v>
                </pt>
                <pt idx="149">
                  <formatCode>0.00%</formatCode>
                  <v>0.2421361987417918</v>
                </pt>
                <pt idx="150">
                  <formatCode>0.00%</formatCode>
                  <v>0.2049468372679762</v>
                </pt>
                <pt idx="151">
                  <formatCode>0.00%</formatCode>
                  <v>0.1507822996576084</v>
                </pt>
                <pt idx="152">
                  <formatCode>0.00%</formatCode>
                  <v>0.1700267080210218</v>
                </pt>
                <pt idx="153">
                  <formatCode>0.00%</formatCode>
                  <v>0.2616007748525139</v>
                </pt>
                <pt idx="154">
                  <formatCode>0.00%</formatCode>
                  <v>0.2503834355828221</v>
                </pt>
                <pt idx="155">
                  <formatCode>0.00%</formatCode>
                  <v>0.2105526381595399</v>
                </pt>
                <pt idx="156">
                  <formatCode>0.00%</formatCode>
                  <v>0.1400618747237735</v>
                </pt>
                <pt idx="157">
                  <formatCode>0.00%</formatCode>
                  <v>0.1488359201773836</v>
                </pt>
                <pt idx="158">
                  <formatCode>0.00%</formatCode>
                  <v>0.148720744577281</v>
                </pt>
                <pt idx="159">
                  <formatCode>0.00%</formatCode>
                  <v>0.1759934164119445</v>
                </pt>
                <pt idx="160">
                  <formatCode>0.00%</formatCode>
                  <v>0.07881974010588279</v>
                </pt>
                <pt idx="161">
                  <formatCode>0.00%</formatCode>
                  <v>0.1049537892791128</v>
                </pt>
                <pt idx="162">
                  <formatCode>0.00%</formatCode>
                  <v>0.1581977939801832</v>
                </pt>
                <pt idx="163">
                  <formatCode>0.00%</formatCode>
                  <v>0.2578713467912022</v>
                </pt>
                <pt idx="164">
                  <formatCode>0.00%</formatCode>
                  <v>0.3297006737601708</v>
                </pt>
                <pt idx="165">
                  <formatCode>0.00%</formatCode>
                  <v>0.2531756002233389</v>
                </pt>
                <pt idx="166">
                  <formatCode>0.00%</formatCode>
                  <v>0.1307029200313469</v>
                </pt>
                <pt idx="167">
                  <formatCode>0.00%</formatCode>
                  <v>0.1414308338497555</v>
                </pt>
                <pt idx="168">
                  <formatCode>0.00%</formatCode>
                  <v>0.2087400881057269</v>
                </pt>
                <pt idx="169">
                  <formatCode>0.00%</formatCode>
                  <v>0.1778045838359469</v>
                </pt>
                <pt idx="170">
                  <formatCode>0.00%</formatCode>
                  <v>0.1592311343141908</v>
                </pt>
                <pt idx="171">
                  <formatCode>0.00%</formatCode>
                  <v>0.1878436469059282</v>
                </pt>
                <pt idx="172">
                  <formatCode>0.00%</formatCode>
                  <v>0.2408716540837337</v>
                </pt>
                <pt idx="173">
                  <formatCode>0.00%</formatCode>
                  <v>0.212084713439727</v>
                </pt>
                <pt idx="174">
                  <formatCode>0.00%</formatCode>
                  <v>0.1932786673553719</v>
                </pt>
                <pt idx="175">
                  <formatCode>0.00%</formatCode>
                  <v>0.1286565466031917</v>
                </pt>
                <pt idx="176">
                  <formatCode>0.00%</formatCode>
                  <v>-0.03270018828220179</v>
                </pt>
                <pt idx="177">
                  <formatCode>0.00%</formatCode>
                  <v>-0.08351201581688063</v>
                </pt>
                <pt idx="178">
                  <formatCode>0.00%</formatCode>
                  <v>0.004128371252071719</v>
                </pt>
                <pt idx="179">
                  <formatCode>0.00%</formatCode>
                  <v>0.05251251734330699</v>
                </pt>
                <pt idx="180">
                  <formatCode>0.00%</formatCode>
                  <v>-0.001574435827161934</v>
                </pt>
                <pt idx="181">
                  <formatCode>0.00%</formatCode>
                  <v>0.02218060513840932</v>
                </pt>
                <pt idx="182">
                  <formatCode>0.00%</formatCode>
                  <v>0.0527562509138763</v>
                </pt>
                <pt idx="183">
                  <formatCode>0.00%</formatCode>
                  <v>0.01974976154407227</v>
                </pt>
                <pt idx="184">
                  <formatCode>0.00%</formatCode>
                  <v>0.05080339611161813</v>
                </pt>
                <pt idx="185">
                  <formatCode>0.00%</formatCode>
                  <v>0.02986640167825991</v>
                </pt>
                <pt idx="186">
                  <formatCode>0.00%</formatCode>
                  <v>0</v>
                </pt>
                <pt idx="187">
                  <formatCode>0.00%</formatCode>
                  <v>-0.01254775042444822</v>
                </pt>
                <pt idx="188">
                  <formatCode>0.00%</formatCode>
                  <v>0.09374552740804351</v>
                </pt>
                <pt idx="189">
                  <formatCode>0.00%</formatCode>
                  <v>0.1943060281964025</v>
                </pt>
                <pt idx="190">
                  <formatCode>0.00%</formatCode>
                  <v>0.2599783926535022</v>
                </pt>
                <pt idx="191">
                  <formatCode>0.00%</formatCode>
                  <v>0.1919472703825763</v>
                </pt>
                <pt idx="192">
                  <formatCode>0.00%</formatCode>
                  <v>0.2388447611260367</v>
                </pt>
                <pt idx="193">
                  <formatCode>0.00%</formatCode>
                  <v>0.2167639986259018</v>
                </pt>
                <pt idx="194">
                  <formatCode>0.00%</formatCode>
                  <v>0.1956998805522376</v>
                </pt>
                <pt idx="195">
                  <formatCode>0.00%</formatCode>
                  <v>0.1811004126547455</v>
                </pt>
                <pt idx="196">
                  <formatCode>0.00%</formatCode>
                  <v>0.1670702179176755</v>
                </pt>
                <pt idx="197">
                  <formatCode>0.00%</formatCode>
                  <v>0.2475743768426695</v>
                </pt>
                <pt idx="198">
                  <formatCode>0.00%</formatCode>
                  <v>0.2664826989151313</v>
                </pt>
                <pt idx="199">
                  <formatCode>0.00%</formatCode>
                  <v>0.2262579587889208</v>
                </pt>
                <pt idx="200">
                  <formatCode>0.00%</formatCode>
                  <v>0.198037163046323</v>
                </pt>
                <pt idx="201">
                  <formatCode>0.00%</formatCode>
                  <v>0.03248785203653293</v>
                </pt>
                <pt idx="202">
                  <formatCode>0.00%</formatCode>
                  <v>-0.2431582708110039</v>
                </pt>
                <pt idx="203">
                  <formatCode>0.00%</formatCode>
                  <v>-0.3268338422330681</v>
                </pt>
                <pt idx="204">
                  <formatCode>0.00%</formatCode>
                  <v>-0.3206986776041298</v>
                </pt>
                <pt idx="205">
                  <formatCode>0.00%</formatCode>
                  <v>-0.2974778844344061</v>
                </pt>
                <pt idx="206">
                  <formatCode>0.00%</formatCode>
                  <v>-0.3303363999628287</v>
                </pt>
                <pt idx="207">
                  <formatCode>0.00%</formatCode>
                  <v>-0.3304218200451867</v>
                </pt>
                <pt idx="208">
                  <formatCode>0.00%</formatCode>
                  <v>-0.3124661735522281</v>
                </pt>
                <pt idx="209">
                  <formatCode>0.00%</formatCode>
                  <v>-0.2829827915869981</v>
                </pt>
                <pt idx="210">
                  <formatCode>0.00%</formatCode>
                  <v>-0.2936577446435819</v>
                </pt>
                <pt idx="211">
                  <formatCode>0.00%</formatCode>
                  <v>-0.2407054441888487</v>
                </pt>
                <pt idx="212">
                  <formatCode>0.00%</formatCode>
                  <v>-0.2397929091028246</v>
                </pt>
                <pt idx="213">
                  <formatCode>0.00%</formatCode>
                  <v>-0.140424797949931</v>
                </pt>
                <pt idx="214">
                  <formatCode>0.00%</formatCode>
                  <v>0.1509629909365559</v>
                </pt>
                <pt idx="215">
                  <formatCode>0.00%</formatCode>
                  <v>0.3279759991428265</v>
                </pt>
                <pt idx="216">
                  <formatCode>0.00%</formatCode>
                  <v>0.297765285585398</v>
                </pt>
                <pt idx="217">
                  <formatCode>0.00%</formatCode>
                  <v>0.2374413931681179</v>
                </pt>
                <pt idx="218">
                  <formatCode>0.00%</formatCode>
                  <v>0.2878751084128361</v>
                </pt>
                <pt idx="219">
                  <formatCode>0.00%</formatCode>
                  <v>0.2946742268758479</v>
                </pt>
                <pt idx="220">
                  <formatCode>0.00%</formatCode>
                  <v>0.2006691157176594</v>
                </pt>
                <pt idx="221">
                  <formatCode>0.00%</formatCode>
                  <v>0.06693632958801499</v>
                </pt>
                <pt idx="222">
                  <formatCode>0.00%</formatCode>
                  <v>0.08159438698360855</v>
                </pt>
                <pt idx="223">
                  <formatCode>0.00%</formatCode>
                  <v>0.04515551964914306</v>
                </pt>
                <pt idx="224">
                  <formatCode>0.00%</formatCode>
                  <v>0.07347701149425287</v>
                </pt>
                <pt idx="225">
                  <formatCode>0.00%</formatCode>
                  <v>0.1041708470689408</v>
                </pt>
                <pt idx="226">
                  <formatCode>0.00%</formatCode>
                  <v>0.07379761025893419</v>
                </pt>
                <pt idx="227">
                  <formatCode>0.00%</formatCode>
                  <v>0.1101877252433973</v>
                </pt>
                <pt idx="228">
                  <formatCode>0.00%</formatCode>
                  <v>0.1170886922110217</v>
                </pt>
                <pt idx="229">
                  <formatCode>0.00%</formatCode>
                  <v>0.1446278755074425</v>
                </pt>
                <pt idx="230">
                  <formatCode>0.00%</formatCode>
                  <v>0.1793227918002317</v>
                </pt>
                <pt idx="231">
                  <formatCode>0.00%</formatCode>
                  <v>0.1972970068246547</v>
                </pt>
                <pt idx="232">
                  <formatCode>0.00%</formatCode>
                  <v>0.2375020488444517</v>
                </pt>
                <pt idx="233">
                  <formatCode>0.00%</formatCode>
                  <v>0.2517060293745963</v>
                </pt>
                <pt idx="234">
                  <formatCode>0.00%</formatCode>
                  <v>0.2525444581143049</v>
                </pt>
                <pt idx="235">
                  <formatCode>0.00%</formatCode>
                  <v>0.2432156364740634</v>
                </pt>
                <pt idx="236">
                  <formatCode>0.00%</formatCode>
                  <v>0.2067885536847177</v>
                </pt>
                <pt idx="237">
                  <formatCode>0.00%</formatCode>
                  <v>0.1642566006386459</v>
                </pt>
                <pt idx="238">
                  <formatCode>0.00%</formatCode>
                  <v>0.1616928091260949</v>
                </pt>
                <pt idx="239">
                  <formatCode>0.00%</formatCode>
                  <v>0.09719227694469343</v>
                </pt>
                <pt idx="240">
                  <formatCode>0.00%</formatCode>
                  <v>0.09512183445832735</v>
                </pt>
                <pt idx="241">
                  <formatCode>0.00%</formatCode>
                  <v>0.1153118645670781</v>
                </pt>
                <pt idx="242">
                  <formatCode>0.00%</formatCode>
                  <v>0.08485609867519416</v>
                </pt>
                <pt idx="243">
                  <formatCode>0.00%</formatCode>
                  <v>0.05486860707793811</v>
                </pt>
                <pt idx="244">
                  <formatCode>0.00%</formatCode>
                  <v>0.01028697571743929</v>
                </pt>
                <pt idx="245">
                  <formatCode>0.00%</formatCode>
                  <v>-0.02077537467468366</v>
                </pt>
                <pt idx="246">
                  <formatCode>0.00%</formatCode>
                  <v>-0.02928832931511742</v>
                </pt>
                <pt idx="247">
                  <formatCode>0.00%</formatCode>
                  <v>0.03015566362445318</v>
                </pt>
                <pt idx="248">
                  <formatCode>0.00%</formatCode>
                  <v>0.04491814915043698</v>
                </pt>
                <pt idx="249">
                  <formatCode>0.00%</formatCode>
                  <v>0.06979440752798466</v>
                </pt>
                <pt idx="250">
                  <formatCode>0.00%</formatCode>
                  <v>0.02630309938187717</v>
                </pt>
                <pt idx="251">
                  <formatCode>0.00%</formatCode>
                  <v>0.01313726788986774</v>
                </pt>
                <pt idx="252">
                  <formatCode>0.00%</formatCode>
                  <v>0.006360377688407064</v>
                </pt>
                <pt idx="253">
                  <formatCode>0.00%</formatCode>
                  <v>0.04091496894278264</v>
                </pt>
                <pt idx="254">
                  <formatCode>0.00%</formatCode>
                  <v>0.001915991156963891</v>
                </pt>
                <pt idx="255">
                  <formatCode>0.00%</formatCode>
                  <v>-0.0188486576181764</v>
                </pt>
                <pt idx="256">
                  <formatCode>0.00%</formatCode>
                  <v>-0.003867499890748591</v>
                </pt>
                <pt idx="257">
                  <formatCode>0.00%</formatCode>
                  <v>0.0499014800898135</v>
                </pt>
                <pt idx="258">
                  <formatCode>0.00%</formatCode>
                  <v>0.05696348082053169</v>
                </pt>
                <pt idx="259">
                  <formatCode>0.00%</formatCode>
                  <v>-0.01636093207734259</v>
                </pt>
                <pt idx="260">
                  <formatCode>0.00%</formatCode>
                  <v>-0.02891290041819687</v>
                </pt>
                <pt idx="261">
                  <formatCode>0.00%</formatCode>
                  <v>-0.06153076538269135</v>
                </pt>
                <pt idx="262">
                  <formatCode>0.00%</formatCode>
                  <v>-0.04497885609328948</v>
                </pt>
                <pt idx="263">
                  <formatCode>0.00%</formatCode>
                  <v>0.01699864882534978</v>
                </pt>
                <pt idx="264">
                  <formatCode>0.00%</formatCode>
                  <v>0.02243554937775558</v>
                </pt>
                <pt idx="265">
                  <formatCode>0.00%</formatCode>
                  <v>-0.03116026150180241</v>
                </pt>
                <pt idx="266">
                  <formatCode>0.00%</formatCode>
                  <v>-0.01523557348800067</v>
                </pt>
                <pt idx="267">
                  <formatCode>0.00%</formatCode>
                  <v>0.02081526452732003</v>
                </pt>
                <pt idx="268">
                  <formatCode>0.00%</formatCode>
                  <v>0.02612472306916142</v>
                </pt>
                <pt idx="269">
                  <formatCode>0.00%</formatCode>
                  <v>-0.00200768156424581</v>
                </pt>
                <pt idx="270">
                  <formatCode>0.00%</formatCode>
                  <v>-0.004264485106938491</v>
                </pt>
                <pt idx="271">
                  <formatCode>0.00%</formatCode>
                  <v>0.006026472650771389</v>
                </pt>
                <pt idx="272">
                  <formatCode>0.00%</formatCode>
                  <v>-0.007825991911684337</v>
                </pt>
                <pt idx="273">
                  <formatCode>0.00%</formatCode>
                  <v>-0.01161602700781805</v>
                </pt>
                <pt idx="274">
                  <formatCode>0.00%</formatCode>
                  <v>-0.02428660882010913</v>
                </pt>
                <pt idx="275">
                  <formatCode>0.00%</formatCode>
                  <v>-0.1333090472721039</v>
                </pt>
                <pt idx="276">
                  <formatCode>0.00%</formatCode>
                  <v>-0.2231285580763021</v>
                </pt>
                <pt idx="277">
                  <formatCode>0.00%</formatCode>
                  <v>-0.2045153559941982</v>
                </pt>
                <pt idx="278">
                  <formatCode>0.00%</formatCode>
                  <v>-0.181302148908474</v>
                </pt>
                <pt idx="279">
                  <formatCode>0.00%</formatCode>
                  <v>-0.1967077315208156</v>
                </pt>
                <pt idx="280">
                  <formatCode>0.00%</formatCode>
                  <v>-0.16004702864472</v>
                </pt>
                <pt idx="281">
                  <formatCode>0.00%</formatCode>
                  <v>-0.1297341030350739</v>
                </pt>
                <pt idx="282">
                  <formatCode>0.00%</formatCode>
                  <v>-0.1198732655959795</v>
                </pt>
                <pt idx="283">
                  <formatCode>0.00%</formatCode>
                  <v>-0.1465571699305117</v>
                </pt>
                <pt idx="284">
                  <formatCode>0.00%</formatCode>
                  <v>-0.1868596734747835</v>
                </pt>
                <pt idx="285">
                  <formatCode>0.00%</formatCode>
                  <v>-0.1786476708388575</v>
                </pt>
                <pt idx="286">
                  <formatCode>0.00%</formatCode>
                  <v>-0.1720834288333715</v>
                </pt>
                <pt idx="287">
                  <formatCode>0.00%</formatCode>
                  <v>-0.1107429842996662</v>
                </pt>
                <pt idx="288">
                  <formatCode>0.00%</formatCode>
                  <v>-0.05496007874876955</v>
                </pt>
                <pt idx="289">
                  <formatCode>0.00%</formatCode>
                  <v>-0.1298821415358596</v>
                </pt>
                <pt idx="290">
                  <formatCode>0.00%</formatCode>
                  <v>-0.1088492115209175</v>
                </pt>
                <pt idx="291">
                  <formatCode>0.00%</formatCode>
                  <v>-0.07123403580211005</v>
                </pt>
                <pt idx="292">
                  <formatCode>0.00%</formatCode>
                  <v>-0.08332272923930471</v>
                </pt>
                <pt idx="293">
                  <formatCode>0.00%</formatCode>
                  <v>-0.06660971381190482</v>
                </pt>
                <pt idx="294">
                  <formatCode>0.00%</formatCode>
                  <v>-0.08652151245065667</v>
                </pt>
                <pt idx="295">
                  <formatCode>0.00%</formatCode>
                  <v>-0.08277393501620767</v>
                </pt>
                <pt idx="296">
                  <formatCode>0.00%</formatCode>
                  <v>0.0001625751910258494</v>
                </pt>
                <pt idx="297">
                  <formatCode>0.00%</formatCode>
                  <v>0.03687997592405132</v>
                </pt>
                <pt idx="298">
                  <formatCode>0.00%</formatCode>
                  <v>0.03872985991916283</v>
                </pt>
                <pt idx="299">
                  <formatCode>0.00%</formatCode>
                  <v>0.09611855641439138</v>
                </pt>
                <pt idx="300">
                  <formatCode>0.00%</formatCode>
                  <v>0.1555465540188646</v>
                </pt>
                <pt idx="301">
                  <formatCode>0.00%</formatCode>
                  <v>0.2230692137151881</v>
                </pt>
                <pt idx="302">
                  <formatCode>0.00%</formatCode>
                  <v>0.1652870806399719</v>
                </pt>
                <pt idx="303">
                  <formatCode>0.00%</formatCode>
                  <v>0.1285409252669039</v>
                </pt>
                <pt idx="304">
                  <formatCode>0.00%</formatCode>
                  <v>0.05613703878508565</v>
                </pt>
                <pt idx="305">
                  <formatCode>0.00%</formatCode>
                  <v>0.007133627651555939</v>
                </pt>
                <pt idx="306">
                  <formatCode>0.00%</formatCode>
                  <v>0.01554601293689188</v>
                </pt>
                <pt idx="307">
                  <formatCode>0.00%</formatCode>
                  <v>0.07574577025823687</v>
                </pt>
                <pt idx="308">
                  <formatCode>0.00%</formatCode>
                  <v>0.1039499349804942</v>
                </pt>
                <pt idx="309">
                  <formatCode>0.00%</formatCode>
                  <v>0.07971186574843664</v>
                </pt>
                <pt idx="310">
                  <formatCode>0.00%</formatCode>
                  <v>0.1204925241864556</v>
                </pt>
                <pt idx="311">
                  <formatCode>0.00%</formatCode>
                  <v>0.08837480658498846</v>
                </pt>
                <pt idx="312">
                  <formatCode>0.00%</formatCode>
                  <v>0.07699434122890481</v>
                </pt>
                <pt idx="313">
                  <formatCode>0.00%</formatCode>
                  <v>0.08057707588398888</v>
                </pt>
                <pt idx="314">
                  <formatCode>0.00%</formatCode>
                  <v>0.07730923694779117</v>
                </pt>
                <pt idx="315">
                  <formatCode>0.00%</formatCode>
                  <v>0.07563067608476287</v>
                </pt>
                <pt idx="316">
                  <formatCode>0.00%</formatCode>
                  <v>0.1505218054204674</v>
                </pt>
                <pt idx="317">
                  <formatCode>0.00%</formatCode>
                  <v>0.1637933338679069</v>
                </pt>
                <pt idx="318">
                  <formatCode>0.00%</formatCode>
                  <v>0.174945137290585</v>
                </pt>
                <pt idx="319">
                  <formatCode>0.00%</formatCode>
                  <v>0.1537327331988204</v>
                </pt>
                <pt idx="320">
                  <formatCode>0.00%</formatCode>
                  <v>0.08471373530638789</v>
                </pt>
                <pt idx="321">
                  <formatCode>0.00%</formatCode>
                  <v>0.1218475073313783</v>
                </pt>
                <pt idx="322">
                  <formatCode>0.00%</formatCode>
                  <v>0.04179154179154179</v>
                </pt>
                <pt idx="323">
                  <formatCode>0.00%</formatCode>
                  <v>-0.03836203882816323</v>
                </pt>
                <pt idx="324">
                  <formatCode>0.00%</formatCode>
                  <v>-0.06751447236881873</v>
                </pt>
                <pt idx="325">
                  <formatCode>0.00%</formatCode>
                  <v>-0.0349518578946159</v>
                </pt>
                <pt idx="326">
                  <formatCode>0.00%</formatCode>
                  <v>0.001887232059645853</v>
                </pt>
                <pt idx="327">
                  <formatCode>0.00%</formatCode>
                  <v>0.02570477039260753</v>
                </pt>
                <pt idx="328">
                  <formatCode>0.00%</formatCode>
                  <v>-0.003244453583750314</v>
                </pt>
                <pt idx="329">
                  <formatCode>0.00%</formatCode>
                  <v>-0.02992581704600262</v>
                </pt>
                <pt idx="330">
                  <formatCode>0.00%</formatCode>
                  <v>-0.02398469352891602</v>
                </pt>
                <pt idx="331">
                  <formatCode>0.00%</formatCode>
                  <v>-0.04183762695903679</v>
                </pt>
                <pt idx="332">
                  <formatCode>0.00%</formatCode>
                  <v>-0.03646976312753105</v>
                </pt>
                <pt idx="333">
                  <formatCode>0.00%</formatCode>
                  <v>-0.05777022611423344</v>
                </pt>
                <pt idx="334">
                  <formatCode>0.00%</formatCode>
                  <v>-0.01262585903787758</v>
                </pt>
                <pt idx="335">
                  <formatCode>0.00%</formatCode>
                  <v>0.07750660429945953</v>
                </pt>
                <pt idx="336">
                  <formatCode>0.00%</formatCode>
                  <v>0.08082973896133037</v>
                </pt>
                <pt idx="337">
                  <formatCode>0.00%</formatCode>
                  <v>0.0003333650823887989</v>
                </pt>
                <pt idx="338">
                  <formatCode>0.00%</formatCode>
                  <v>-0.1968326317992605</v>
                </pt>
                <pt idx="339">
                  <formatCode>0.00%</formatCode>
                  <v>-0.4039420130790689</v>
                </pt>
                <pt idx="340">
                  <formatCode>0.00%</formatCode>
                  <v>-0.3229799426934097</v>
                </pt>
                <pt idx="341">
                  <formatCode>0.00%</formatCode>
                  <v>-0.2026847862114683</v>
                </pt>
                <pt idx="342">
                  <formatCode>0.00%</formatCode>
                  <v>-0.1727421236872812</v>
                </pt>
                <pt idx="343">
                  <formatCode>0.00%</formatCode>
                  <v>-0.1530595530595531</v>
                </pt>
                <pt idx="344">
                  <formatCode>0.00%</formatCode>
                  <v>-0.137946418089178</v>
                </pt>
                <pt idx="345">
                  <formatCode>0.00%</formatCode>
                  <v>-0.146298608221205</v>
                </pt>
                <pt idx="346">
                  <formatCode>0.00%</formatCode>
                  <v>-0.1630902279979651</v>
                </pt>
                <pt idx="347">
                  <formatCode>0.00%</formatCode>
                  <v>-0.1161969455003486</v>
                </pt>
                <pt idx="348">
                  <formatCode>0.00%</formatCode>
                  <v>-0.05183271435491684</v>
                </pt>
                <pt idx="349">
                  <formatCode>0.00%</formatCode>
                  <v>0.01740061890026184</v>
                </pt>
                <pt idx="350">
                  <formatCode>0.00%</formatCode>
                  <v>0.3361322639488085</v>
                </pt>
                <pt idx="351">
                  <formatCode>0.00%</formatCode>
                  <v>0.7607794997698327</v>
                </pt>
                <pt idx="352">
                  <formatCode>0.00%</formatCode>
                  <v>0.5645505332656171</v>
                </pt>
                <pt idx="353">
                  <formatCode>0.00%</formatCode>
                  <v>0.3864061525670339</v>
                </pt>
                <pt idx="354">
                  <formatCode>0.00%</formatCode>
                  <v>0.3501749040848567</v>
                </pt>
                <pt idx="355">
                  <formatCode>0.00%</formatCode>
                  <v>0.3773001049897773</v>
                </pt>
                <pt idx="356">
                  <formatCode>0.00%</formatCode>
                  <v>0.4204390695647437</v>
                </pt>
                <pt idx="357">
                  <formatCode>0.00%</formatCode>
                  <v>0.4617884417483616</v>
                </pt>
                <pt idx="358">
                  <formatCode>0.00%</formatCode>
                  <v>0.5254054651451938</v>
                </pt>
                <pt idx="359">
                  <formatCode>0.00%</formatCode>
                  <v>0.422899753136691</v>
                </pt>
                <pt idx="360">
                  <formatCode>0.00%</formatCode>
                  <v>0.3360986765278318</v>
                </pt>
                <pt idx="361">
                  <formatCode>0.00%</formatCode>
                  <v>0.3661823541798273</v>
                </pt>
                <pt idx="362">
                  <formatCode>0.00%</formatCode>
                  <v>0.4011181900923157</v>
                </pt>
                <pt idx="363">
                  <formatCode>0.00%</formatCode>
                  <v>0.3903921568627451</v>
                </pt>
                <pt idx="364">
                  <formatCode>0.00%</formatCode>
                  <v>0.4496743058711506</v>
                </pt>
                <pt idx="365">
                  <formatCode>0.00%</formatCode>
                  <v>0.473656029128293</v>
                </pt>
                <pt idx="366">
                  <formatCode>0.00%</formatCode>
                  <v>0.4058001295417981</v>
                </pt>
                <pt idx="367">
                  <formatCode>0.00%</formatCode>
                  <v>0.2794784353059178</v>
                </pt>
                <pt idx="368">
                  <formatCode>0.00%</formatCode>
                  <v>0.2059635666347076</v>
                </pt>
              </numCache>
            </numRef>
          </val>
          <smooth val="0"/>
        </ser>
        <dLbls>
          <showLegendKey val="0"/>
          <showVal val="0"/>
          <showCatName val="0"/>
          <showSerName val="0"/>
          <showPercent val="0"/>
          <showBubbleSize val="0"/>
        </dLbls>
        <smooth val="0"/>
        <axId val="1045517208"/>
        <axId val="1045518520"/>
      </lineChart>
      <dateAx>
        <axId val="1045517208"/>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45518520"/>
        <crosses val="autoZero"/>
        <lblOffset val="100"/>
        <baseTimeUnit val="months"/>
      </dateAx>
      <valAx>
        <axId val="10455185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45517208"/>
        <crosses val="autoZero"/>
        <crossBetween val="between"/>
      </valAx>
    </plotArea>
    <plotVisOnly val="1"/>
    <dispBlanksAs val="gap"/>
  </chart>
</chartSpace>
</file>

<file path=xl/charts/chart24.xml><?xml version="1.0" encoding="utf-8"?>
<chartSpace xmlns="http://schemas.openxmlformats.org/drawingml/2006/chart">
  <chart>
    <title>
      <tx>
        <strRef>
          <f>Motor!$B$6</f>
          <strCache>
            <ptCount val="1"/>
            <pt idx="0">
              <v>Motor Vehicles,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Motor!$B$6</f>
              <strCache>
                <ptCount val="1"/>
                <pt idx="0">
                  <v>Motor Vehicles, mil$</v>
                </pt>
              </strCache>
            </strRef>
          </tx>
          <spPr>
            <a:ln xmlns:a="http://schemas.openxmlformats.org/drawingml/2006/main">
              <a:prstDash val="solid"/>
            </a:ln>
          </spPr>
          <marker>
            <symbol val="none"/>
            <spPr>
              <a:ln xmlns:a="http://schemas.openxmlformats.org/drawingml/2006/main">
                <a:prstDash val="solid"/>
              </a:ln>
            </spPr>
          </marker>
          <cat>
            <numRef>
              <f>Motor!$A$7:$A$376</f>
              <numCache>
                <formatCode>[$-409]mmm\-yy;@</formatCode>
                <ptCount val="37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numCache>
            </numRef>
          </cat>
          <val>
            <numRef>
              <f>Motor!$B$7:$B$376</f>
              <numCache>
                <formatCode>#,##0</formatCode>
                <ptCount val="370"/>
                <pt idx="0">
                  <v>33478</v>
                </pt>
                <pt idx="1">
                  <v>33817</v>
                </pt>
                <pt idx="2">
                  <v>33336</v>
                </pt>
                <pt idx="3">
                  <v>33776</v>
                </pt>
                <pt idx="4">
                  <v>34357</v>
                </pt>
                <pt idx="5">
                  <v>34781</v>
                </pt>
                <pt idx="6">
                  <v>35199</v>
                </pt>
                <pt idx="7">
                  <v>34585</v>
                </pt>
                <pt idx="8">
                  <v>35890</v>
                </pt>
                <pt idx="9">
                  <v>35972</v>
                </pt>
                <pt idx="10">
                  <v>35928</v>
                </pt>
                <pt idx="11">
                  <v>36272</v>
                </pt>
                <pt idx="12">
                  <v>37621</v>
                </pt>
                <pt idx="13">
                  <v>36723</v>
                </pt>
                <pt idx="14">
                  <v>35955</v>
                </pt>
                <pt idx="15">
                  <v>38521</v>
                </pt>
                <pt idx="16">
                  <v>39006</v>
                </pt>
                <pt idx="17">
                  <v>38892</v>
                </pt>
                <pt idx="18">
                  <v>40290</v>
                </pt>
                <pt idx="19">
                  <v>40504</v>
                </pt>
                <pt idx="20">
                  <v>40203</v>
                </pt>
                <pt idx="21">
                  <v>40857</v>
                </pt>
                <pt idx="22">
                  <v>42077</v>
                </pt>
                <pt idx="23">
                  <v>42796</v>
                </pt>
                <pt idx="24">
                  <v>42660</v>
                </pt>
                <pt idx="25">
                  <v>43685</v>
                </pt>
                <pt idx="26">
                  <v>44475</v>
                </pt>
                <pt idx="27">
                  <v>45072</v>
                </pt>
                <pt idx="28">
                  <v>44098</v>
                </pt>
                <pt idx="29">
                  <v>44541</v>
                </pt>
                <pt idx="30">
                  <v>44477</v>
                </pt>
                <pt idx="31">
                  <v>45232</v>
                </pt>
                <pt idx="32">
                  <v>46314</v>
                </pt>
                <pt idx="33">
                  <v>47041</v>
                </pt>
                <pt idx="34">
                  <v>47203</v>
                </pt>
                <pt idx="35">
                  <v>46941</v>
                </pt>
                <pt idx="36">
                  <v>47224</v>
                </pt>
                <pt idx="37">
                  <v>45902</v>
                </pt>
                <pt idx="38">
                  <v>46681</v>
                </pt>
                <pt idx="39">
                  <v>47056</v>
                </pt>
                <pt idx="40">
                  <v>47718</v>
                </pt>
                <pt idx="41">
                  <v>49652</v>
                </pt>
                <pt idx="42">
                  <v>48832</v>
                </pt>
                <pt idx="43">
                  <v>49748</v>
                </pt>
                <pt idx="44">
                  <v>49188</v>
                </pt>
                <pt idx="45">
                  <v>49271</v>
                </pt>
                <pt idx="46">
                  <v>49863</v>
                </pt>
                <pt idx="47">
                  <v>50163</v>
                </pt>
                <pt idx="48">
                  <v>50349</v>
                </pt>
                <pt idx="49">
                  <v>52288</v>
                </pt>
                <pt idx="50">
                  <v>52348</v>
                </pt>
                <pt idx="51">
                  <v>51531</v>
                </pt>
                <pt idx="52">
                  <v>52200</v>
                </pt>
                <pt idx="53">
                  <v>51798</v>
                </pt>
                <pt idx="54">
                  <v>52004</v>
                </pt>
                <pt idx="55">
                  <v>51472</v>
                </pt>
                <pt idx="56">
                  <v>53184</v>
                </pt>
                <pt idx="57">
                  <v>53450</v>
                </pt>
                <pt idx="58">
                  <v>52710</v>
                </pt>
                <pt idx="59">
                  <v>52835</v>
                </pt>
                <pt idx="60">
                  <v>54010</v>
                </pt>
                <pt idx="61">
                  <v>54601</v>
                </pt>
                <pt idx="62">
                  <v>54233</v>
                </pt>
                <pt idx="63">
                  <v>53861</v>
                </pt>
                <pt idx="64">
                  <v>52191</v>
                </pt>
                <pt idx="65">
                  <v>54066</v>
                </pt>
                <pt idx="66">
                  <v>55255</v>
                </pt>
                <pt idx="67">
                  <v>55488</v>
                </pt>
                <pt idx="68">
                  <v>55334</v>
                </pt>
                <pt idx="69">
                  <v>54856</v>
                </pt>
                <pt idx="70">
                  <v>55314</v>
                </pt>
                <pt idx="71">
                  <v>55763</v>
                </pt>
                <pt idx="72">
                  <v>55494</v>
                </pt>
                <pt idx="73">
                  <v>54841</v>
                </pt>
                <pt idx="74">
                  <v>56135</v>
                </pt>
                <pt idx="75">
                  <v>57464</v>
                </pt>
                <pt idx="76">
                  <v>57882</v>
                </pt>
                <pt idx="77">
                  <v>59264</v>
                </pt>
                <pt idx="78">
                  <v>56320</v>
                </pt>
                <pt idx="79">
                  <v>54997</v>
                </pt>
                <pt idx="80">
                  <v>57196</v>
                </pt>
                <pt idx="81">
                  <v>59294</v>
                </pt>
                <pt idx="82">
                  <v>59817</v>
                </pt>
                <pt idx="83">
                  <v>60473</v>
                </pt>
                <pt idx="84">
                  <v>60535</v>
                </pt>
                <pt idx="85">
                  <v>61260</v>
                </pt>
                <pt idx="86">
                  <v>61641</v>
                </pt>
                <pt idx="87">
                  <v>62150</v>
                </pt>
                <pt idx="88">
                  <v>63211</v>
                </pt>
                <pt idx="89">
                  <v>63452</v>
                </pt>
                <pt idx="90">
                  <v>64509</v>
                </pt>
                <pt idx="91">
                  <v>65713</v>
                </pt>
                <pt idx="92">
                  <v>65150</v>
                </pt>
                <pt idx="93">
                  <v>64519</v>
                </pt>
                <pt idx="94">
                  <v>66269</v>
                </pt>
                <pt idx="95">
                  <v>65909</v>
                </pt>
                <pt idx="96">
                  <v>67679</v>
                </pt>
                <pt idx="97">
                  <v>69085</v>
                </pt>
                <pt idx="98">
                  <v>68433</v>
                </pt>
                <pt idx="99">
                  <v>65812</v>
                </pt>
                <pt idx="100">
                  <v>65781</v>
                </pt>
                <pt idx="101">
                  <v>66638</v>
                </pt>
                <pt idx="102">
                  <v>65205</v>
                </pt>
                <pt idx="103">
                  <v>65311</v>
                </pt>
                <pt idx="104">
                  <v>66850</v>
                </pt>
                <pt idx="105">
                  <v>66208</v>
                </pt>
                <pt idx="106">
                  <v>64645</v>
                </pt>
                <pt idx="107">
                  <v>63524</v>
                </pt>
                <pt idx="108">
                  <v>65926</v>
                </pt>
                <pt idx="109">
                  <v>66188</v>
                </pt>
                <pt idx="110">
                  <v>65671</v>
                </pt>
                <pt idx="111">
                  <v>66933</v>
                </pt>
                <pt idx="112">
                  <v>67039</v>
                </pt>
                <pt idx="113">
                  <v>66710</v>
                </pt>
                <pt idx="114">
                  <v>66067</v>
                </pt>
                <pt idx="115">
                  <v>66350</v>
                </pt>
                <pt idx="116">
                  <v>63929</v>
                </pt>
                <pt idx="117">
                  <v>80455</v>
                </pt>
                <pt idx="118">
                  <v>72413</v>
                </pt>
                <pt idx="119">
                  <v>68220</v>
                </pt>
                <pt idx="120">
                  <v>67665</v>
                </pt>
                <pt idx="121">
                  <v>68168</v>
                </pt>
                <pt idx="122">
                  <v>66570</v>
                </pt>
                <pt idx="123">
                  <v>68251</v>
                </pt>
                <pt idx="124">
                  <v>65062</v>
                </pt>
                <pt idx="125">
                  <v>67354</v>
                </pt>
                <pt idx="126">
                  <v>69944</v>
                </pt>
                <pt idx="127">
                  <v>72204</v>
                </pt>
                <pt idx="128">
                  <v>68066</v>
                </pt>
                <pt idx="129">
                  <v>67553</v>
                </pt>
                <pt idx="130">
                  <v>67931</v>
                </pt>
                <pt idx="131">
                  <v>69794</v>
                </pt>
                <pt idx="132">
                  <v>69673</v>
                </pt>
                <pt idx="133">
                  <v>66535</v>
                </pt>
                <pt idx="134">
                  <v>68628</v>
                </pt>
                <pt idx="135">
                  <v>69580</v>
                </pt>
                <pt idx="136">
                  <v>69660</v>
                </pt>
                <pt idx="137">
                  <v>70325</v>
                </pt>
                <pt idx="138">
                  <v>71049</v>
                </pt>
                <pt idx="139">
                  <v>72919</v>
                </pt>
                <pt idx="140">
                  <v>71184</v>
                </pt>
                <pt idx="141">
                  <v>69817</v>
                </pt>
                <pt idx="142">
                  <v>71738</v>
                </pt>
                <pt idx="143">
                  <v>70103</v>
                </pt>
                <pt idx="144">
                  <v>69270</v>
                </pt>
                <pt idx="145">
                  <v>71093</v>
                </pt>
                <pt idx="146">
                  <v>72137</v>
                </pt>
                <pt idx="147">
                  <v>69960</v>
                </pt>
                <pt idx="148">
                  <v>72821</v>
                </pt>
                <pt idx="149">
                  <v>68991</v>
                </pt>
                <pt idx="150">
                  <v>71238</v>
                </pt>
                <pt idx="151">
                  <v>71365</v>
                </pt>
                <pt idx="152">
                  <v>74729</v>
                </pt>
                <pt idx="153">
                  <v>73858</v>
                </pt>
                <pt idx="154">
                  <v>73407</v>
                </pt>
                <pt idx="155">
                  <v>75387</v>
                </pt>
                <pt idx="156">
                  <v>72083</v>
                </pt>
                <pt idx="157">
                  <v>73773</v>
                </pt>
                <pt idx="158">
                  <v>74147</v>
                </pt>
                <pt idx="159">
                  <v>73649</v>
                </pt>
                <pt idx="160">
                  <v>73225</v>
                </pt>
                <pt idx="161">
                  <v>79639</v>
                </pt>
                <pt idx="162">
                  <v>81605</v>
                </pt>
                <pt idx="163">
                  <v>73787</v>
                </pt>
                <pt idx="164">
                  <v>70627</v>
                </pt>
                <pt idx="165">
                  <v>67853</v>
                </pt>
                <pt idx="166">
                  <v>73211</v>
                </pt>
                <pt idx="167">
                  <v>73332</v>
                </pt>
                <pt idx="168">
                  <v>76757</v>
                </pt>
                <pt idx="169">
                  <v>74108</v>
                </pt>
                <pt idx="170">
                  <v>74609</v>
                </pt>
                <pt idx="171">
                  <v>74898</v>
                </pt>
                <pt idx="172">
                  <v>74081</v>
                </pt>
                <pt idx="173">
                  <v>75369</v>
                </pt>
                <pt idx="174">
                  <v>75964</v>
                </pt>
                <pt idx="175">
                  <v>75187</v>
                </pt>
                <pt idx="176">
                  <v>74579</v>
                </pt>
                <pt idx="177">
                  <v>75447</v>
                </pt>
                <pt idx="178">
                  <v>76064</v>
                </pt>
                <pt idx="179">
                  <v>75438</v>
                </pt>
                <pt idx="180">
                  <v>75399</v>
                </pt>
                <pt idx="181">
                  <v>75841</v>
                </pt>
                <pt idx="182">
                  <v>75472</v>
                </pt>
                <pt idx="183">
                  <v>76205</v>
                </pt>
                <pt idx="184">
                  <v>77186</v>
                </pt>
                <pt idx="185">
                  <v>74794</v>
                </pt>
                <pt idx="186">
                  <v>74932</v>
                </pt>
                <pt idx="187">
                  <v>76549</v>
                </pt>
                <pt idx="188">
                  <v>77176</v>
                </pt>
                <pt idx="189">
                  <v>77617</v>
                </pt>
                <pt idx="190">
                  <v>75921</v>
                </pt>
                <pt idx="191">
                  <v>73345</v>
                </pt>
                <pt idx="192">
                  <v>73834</v>
                </pt>
                <pt idx="193">
                  <v>72206</v>
                </pt>
                <pt idx="194">
                  <v>71774</v>
                </pt>
                <pt idx="195">
                  <v>70052</v>
                </pt>
                <pt idx="196">
                  <v>69143</v>
                </pt>
                <pt idx="197">
                  <v>67161</v>
                </pt>
                <pt idx="198">
                  <v>64397</v>
                </pt>
                <pt idx="199">
                  <v>64985</v>
                </pt>
                <pt idx="200">
                  <v>62549</v>
                </pt>
                <pt idx="201">
                  <v>56599</v>
                </pt>
                <pt idx="202">
                  <v>54984</v>
                </pt>
                <pt idx="203">
                  <v>54123</v>
                </pt>
                <pt idx="204">
                  <v>55790</v>
                </pt>
                <pt idx="205">
                  <v>54188</v>
                </pt>
                <pt idx="206">
                  <v>53100</v>
                </pt>
                <pt idx="207">
                  <v>53557</v>
                </pt>
                <pt idx="208">
                  <v>54089</v>
                </pt>
                <pt idx="209">
                  <v>56611</v>
                </pt>
                <pt idx="210">
                  <v>57748</v>
                </pt>
                <pt idx="211">
                  <v>62263</v>
                </pt>
                <pt idx="212">
                  <v>53534</v>
                </pt>
                <pt idx="213">
                  <v>56469</v>
                </pt>
                <pt idx="214">
                  <v>57355</v>
                </pt>
                <pt idx="215">
                  <v>57079</v>
                </pt>
                <pt idx="216">
                  <v>56798</v>
                </pt>
                <pt idx="217">
                  <v>55803</v>
                </pt>
                <pt idx="218">
                  <v>60897</v>
                </pt>
                <pt idx="219">
                  <v>61823</v>
                </pt>
                <pt idx="220">
                  <v>61571</v>
                </pt>
                <pt idx="221">
                  <v>61425</v>
                </pt>
                <pt idx="222">
                  <v>62679</v>
                </pt>
                <pt idx="223">
                  <v>62545</v>
                </pt>
                <pt idx="224">
                  <v>63260</v>
                </pt>
                <pt idx="225">
                  <v>64916</v>
                </pt>
                <pt idx="226">
                  <v>65380</v>
                </pt>
                <pt idx="227">
                  <v>65296</v>
                </pt>
                <pt idx="228">
                  <v>66218</v>
                </pt>
                <pt idx="229">
                  <v>67255</v>
                </pt>
                <pt idx="230">
                  <v>67581</v>
                </pt>
                <pt idx="231">
                  <v>66660</v>
                </pt>
                <pt idx="232">
                  <v>65855</v>
                </pt>
                <pt idx="233">
                  <v>66825</v>
                </pt>
                <pt idx="234">
                  <v>66536</v>
                </pt>
                <pt idx="235">
                  <v>65805</v>
                </pt>
                <pt idx="236">
                  <v>68816</v>
                </pt>
                <pt idx="237">
                  <v>69880</v>
                </pt>
                <pt idx="238">
                  <v>70223</v>
                </pt>
                <pt idx="239">
                  <v>71420</v>
                </pt>
                <pt idx="240">
                  <v>71720</v>
                </pt>
                <pt idx="241">
                  <v>72657</v>
                </pt>
                <pt idx="242">
                  <v>72592</v>
                </pt>
                <pt idx="243">
                  <v>73002</v>
                </pt>
                <pt idx="244">
                  <v>73646</v>
                </pt>
                <pt idx="245">
                  <v>72324</v>
                </pt>
                <pt idx="246">
                  <v>73197</v>
                </pt>
                <pt idx="247">
                  <v>73976</v>
                </pt>
                <pt idx="248">
                  <v>75123</v>
                </pt>
                <pt idx="249">
                  <v>74820</v>
                </pt>
                <pt idx="250">
                  <v>75907</v>
                </pt>
                <pt idx="251">
                  <v>76795</v>
                </pt>
                <pt idx="252">
                  <v>77707</v>
                </pt>
                <pt idx="253">
                  <v>78895</v>
                </pt>
                <pt idx="254">
                  <v>77964</v>
                </pt>
                <pt idx="255">
                  <v>78315</v>
                </pt>
                <pt idx="256">
                  <v>79771</v>
                </pt>
                <pt idx="257">
                  <v>81309</v>
                </pt>
                <pt idx="258">
                  <v>81704</v>
                </pt>
                <pt idx="259">
                  <v>81294</v>
                </pt>
                <pt idx="260">
                  <v>80179</v>
                </pt>
                <pt idx="261">
                  <v>81482</v>
                </pt>
                <pt idx="262">
                  <v>81803</v>
                </pt>
                <pt idx="263">
                  <v>81447</v>
                </pt>
                <pt idx="264">
                  <v>79169</v>
                </pt>
                <pt idx="265">
                  <v>81551</v>
                </pt>
                <pt idx="266">
                  <v>84408</v>
                </pt>
                <pt idx="267">
                  <v>85795</v>
                </pt>
                <pt idx="268">
                  <v>85889</v>
                </pt>
                <pt idx="269">
                  <v>86280</v>
                </pt>
                <pt idx="270">
                  <v>86500</v>
                </pt>
                <pt idx="271">
                  <v>87271</v>
                </pt>
                <pt idx="272">
                  <v>86406</v>
                </pt>
                <pt idx="273">
                  <v>86891</v>
                </pt>
                <pt idx="274">
                  <v>87707</v>
                </pt>
                <pt idx="275">
                  <v>87441</v>
                </pt>
                <pt idx="276">
                  <v>88397</v>
                </pt>
                <pt idx="277">
                  <v>87342</v>
                </pt>
                <pt idx="278">
                  <v>91104</v>
                </pt>
                <pt idx="279">
                  <v>91741</v>
                </pt>
                <pt idx="280">
                  <v>92278</v>
                </pt>
                <pt idx="281">
                  <v>92285</v>
                </pt>
                <pt idx="282">
                  <v>92532</v>
                </pt>
                <pt idx="283">
                  <v>93082</v>
                </pt>
                <pt idx="284">
                  <v>93565</v>
                </pt>
                <pt idx="285">
                  <v>92770</v>
                </pt>
                <pt idx="286">
                  <v>93987</v>
                </pt>
                <pt idx="287">
                  <v>93440</v>
                </pt>
                <pt idx="288">
                  <v>93062</v>
                </pt>
                <pt idx="289">
                  <v>95541</v>
                </pt>
                <pt idx="290">
                  <v>93535</v>
                </pt>
                <pt idx="291">
                  <v>93713</v>
                </pt>
                <pt idx="292">
                  <v>94098</v>
                </pt>
                <pt idx="293">
                  <v>94731</v>
                </pt>
                <pt idx="294">
                  <v>95925</v>
                </pt>
                <pt idx="295">
                  <v>96331</v>
                </pt>
                <pt idx="296">
                  <v>97261</v>
                </pt>
                <pt idx="297">
                  <v>96935</v>
                </pt>
                <pt idx="298">
                  <v>96622</v>
                </pt>
                <pt idx="299">
                  <v>99352</v>
                </pt>
                <pt idx="300">
                  <v>99430</v>
                </pt>
                <pt idx="301">
                  <v>98936</v>
                </pt>
                <pt idx="302">
                  <v>96879</v>
                </pt>
                <pt idx="303">
                  <v>97373</v>
                </pt>
                <pt idx="304">
                  <v>97805</v>
                </pt>
                <pt idx="305">
                  <v>98720</v>
                </pt>
                <pt idx="306">
                  <v>98774</v>
                </pt>
                <pt idx="307">
                  <v>96666</v>
                </pt>
                <pt idx="308">
                  <v>100864</v>
                </pt>
                <pt idx="309">
                  <v>101485</v>
                </pt>
                <pt idx="310">
                  <v>100674</v>
                </pt>
                <pt idx="311">
                  <v>100407</v>
                </pt>
                <pt idx="312">
                  <v>100178</v>
                </pt>
                <pt idx="313">
                  <v>99933</v>
                </pt>
                <pt idx="314">
                  <v>99932</v>
                </pt>
                <pt idx="315">
                  <v>100357</v>
                </pt>
                <pt idx="316">
                  <v>100654</v>
                </pt>
                <pt idx="317">
                  <v>100387</v>
                </pt>
                <pt idx="318">
                  <v>100899</v>
                </pt>
                <pt idx="319">
                  <v>100088</v>
                </pt>
                <pt idx="320">
                  <v>99409</v>
                </pt>
                <pt idx="321">
                  <v>100069</v>
                </pt>
                <pt idx="322">
                  <v>101090</v>
                </pt>
                <pt idx="323">
                  <v>102015</v>
                </pt>
                <pt idx="324">
                  <v>99646</v>
                </pt>
                <pt idx="325">
                  <v>100952</v>
                </pt>
                <pt idx="326">
                  <v>103572</v>
                </pt>
                <pt idx="327">
                  <v>102246</v>
                </pt>
                <pt idx="328">
                  <v>102877</v>
                </pt>
                <pt idx="329">
                  <v>102878</v>
                </pt>
                <pt idx="330">
                  <v>103345</v>
                </pt>
                <pt idx="331">
                  <v>105732</v>
                </pt>
                <pt idx="332">
                  <v>103485</v>
                </pt>
                <pt idx="333">
                  <v>103340</v>
                </pt>
                <pt idx="334">
                  <v>105719</v>
                </pt>
                <pt idx="335">
                  <v>103750</v>
                </pt>
                <pt idx="336">
                  <v>102930</v>
                </pt>
                <pt idx="337">
                  <v>103495</v>
                </pt>
                <pt idx="338">
                  <v>76157</v>
                </pt>
                <pt idx="339">
                  <v>66241</v>
                </pt>
                <pt idx="340">
                  <v>97963</v>
                </pt>
                <pt idx="341">
                  <v>106961</v>
                </pt>
                <pt idx="342">
                  <v>105832</v>
                </pt>
                <pt idx="343">
                  <v>107235</v>
                </pt>
                <pt idx="344">
                  <v>111028</v>
                </pt>
                <pt idx="345">
                  <v>110462</v>
                </pt>
                <pt idx="346">
                  <v>108927</v>
                </pt>
                <pt idx="347">
                  <v>111086</v>
                </pt>
                <pt idx="348">
                  <v>115032</v>
                </pt>
                <pt idx="349">
                  <v>111776</v>
                </pt>
                <pt idx="350">
                  <v>131105</v>
                </pt>
                <pt idx="351">
                  <v>133457</v>
                </pt>
                <pt idx="352">
                  <v>131143</v>
                </pt>
                <pt idx="353">
                  <v>127077</v>
                </pt>
                <pt idx="354">
                  <v>122328</v>
                </pt>
                <pt idx="355">
                  <v>119616</v>
                </pt>
                <pt idx="356">
                  <v>120845</v>
                </pt>
                <pt idx="357">
                  <v>122668</v>
                </pt>
                <pt idx="358">
                  <v>123671</v>
                </pt>
                <pt idx="359">
                  <v>120807</v>
                </pt>
                <pt idx="360">
                  <v>129666</v>
                </pt>
                <pt idx="361">
                  <v>131428</v>
                </pt>
                <pt idx="362">
                  <v>128522</v>
                </pt>
                <pt idx="363">
                  <v>130811</v>
                </pt>
                <pt idx="364">
                  <v>126390</v>
                </pt>
                <pt idx="365">
                  <v>127104</v>
                </pt>
                <pt idx="366">
                  <v>124553</v>
                </pt>
                <pt idx="367">
                  <v>128074</v>
                </pt>
                <pt idx="368">
                  <v>127565</v>
                </pt>
              </numCache>
            </numRef>
          </val>
          <smooth val="0"/>
        </ser>
        <dLbls>
          <showLegendKey val="0"/>
          <showVal val="0"/>
          <showCatName val="0"/>
          <showSerName val="0"/>
          <showPercent val="0"/>
          <showBubbleSize val="0"/>
        </dLbls>
        <smooth val="0"/>
        <axId val="1031865912"/>
        <axId val="1031861320"/>
      </lineChart>
      <dateAx>
        <axId val="1031865912"/>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1861320"/>
        <crosses val="autoZero"/>
        <lblOffset val="100"/>
        <baseTimeUnit val="months"/>
      </dateAx>
      <valAx>
        <axId val="1031861320"/>
        <scaling>
          <orientation val="minMax"/>
          <min val="3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1865912"/>
        <crosses val="autoZero"/>
        <crossBetween val="between"/>
      </valAx>
    </plotArea>
    <plotVisOnly val="1"/>
    <dispBlanksAs val="gap"/>
  </chart>
</chartSpace>
</file>

<file path=xl/charts/chart25.xml><?xml version="1.0" encoding="utf-8"?>
<chartSpace xmlns="http://schemas.openxmlformats.org/drawingml/2006/chart">
  <chart>
    <title>
      <tx>
        <strRef>
          <f>Motor!$D$6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Motor!$D$6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Motor!$A$7:$A$376</f>
              <numCache>
                <formatCode>[$-409]mmm\-yy;@</formatCode>
                <ptCount val="37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numCache>
            </numRef>
          </cat>
          <val>
            <numRef>
              <f>Motor!$D$7:$D$376</f>
              <numCache>
                <formatCode>General</formatCode>
                <ptCount val="370"/>
                <pt idx="12">
                  <formatCode>0.00%</formatCode>
                  <v>0.1237529123603561</v>
                </pt>
                <pt idx="13">
                  <formatCode>0.00%</formatCode>
                  <v>0.08593311056569181</v>
                </pt>
                <pt idx="14">
                  <formatCode>0.00%</formatCode>
                  <v>0.07856371490280778</v>
                </pt>
                <pt idx="15">
                  <formatCode>0.00%</formatCode>
                  <v>0.1404843675982946</v>
                </pt>
                <pt idx="16">
                  <formatCode>0.00%</formatCode>
                  <v>0.1353144919521495</v>
                </pt>
                <pt idx="17">
                  <formatCode>0.00%</formatCode>
                  <v>0.1181967165981427</v>
                </pt>
                <pt idx="18">
                  <formatCode>0.00%</formatCode>
                  <v>0.1446347907611012</v>
                </pt>
                <pt idx="19">
                  <formatCode>0.00%</formatCode>
                  <v>0.1711435593465375</v>
                </pt>
                <pt idx="20">
                  <formatCode>0.00%</formatCode>
                  <v>0.1201727500696573</v>
                </pt>
                <pt idx="21">
                  <formatCode>0.00%</formatCode>
                  <v>0.1358000667185589</v>
                </pt>
                <pt idx="22">
                  <formatCode>0.00%</formatCode>
                  <v>0.1711478512580717</v>
                </pt>
                <pt idx="23">
                  <formatCode>0.00%</formatCode>
                  <v>0.1798632554036171</v>
                </pt>
                <pt idx="24">
                  <formatCode>0.00%</formatCode>
                  <v>0.1339411498896893</v>
                </pt>
                <pt idx="25">
                  <formatCode>0.00%</formatCode>
                  <v>0.1895814612095962</v>
                </pt>
                <pt idx="26">
                  <formatCode>0.00%</formatCode>
                  <v>0.2369628702544848</v>
                </pt>
                <pt idx="27">
                  <formatCode>0.00%</formatCode>
                  <v>0.1700630824744944</v>
                </pt>
                <pt idx="28">
                  <formatCode>0.00%</formatCode>
                  <v>0.130544018868892</v>
                </pt>
                <pt idx="29">
                  <formatCode>0.00%</formatCode>
                  <v>0.1452483801295896</v>
                </pt>
                <pt idx="30">
                  <formatCode>0.00%</formatCode>
                  <v>0.103921568627451</v>
                </pt>
                <pt idx="31">
                  <formatCode>0.00%</formatCode>
                  <v>0.116729211929686</v>
                </pt>
                <pt idx="32">
                  <formatCode>0.00%</formatCode>
                  <v>0.1520035818222521</v>
                </pt>
                <pt idx="33">
                  <formatCode>0.00%</formatCode>
                  <v>0.1513571725775265</v>
                </pt>
                <pt idx="34">
                  <formatCode>0.00%</formatCode>
                  <v>0.1218242745442878</v>
                </pt>
                <pt idx="35">
                  <formatCode>0.00%</formatCode>
                  <v>0.09685484624731283</v>
                </pt>
                <pt idx="36">
                  <formatCode>0.00%</formatCode>
                  <v>0.1069854664791374</v>
                </pt>
                <pt idx="37">
                  <formatCode>0.00%</formatCode>
                  <v>0.05074968524665217</v>
                </pt>
                <pt idx="38">
                  <formatCode>0.00%</formatCode>
                  <v>0.0496008993816751</v>
                </pt>
                <pt idx="39">
                  <formatCode>0.00%</formatCode>
                  <v>0.04401845935392261</v>
                </pt>
                <pt idx="40">
                  <formatCode>0.00%</formatCode>
                  <v>0.08208989069799084</v>
                </pt>
                <pt idx="41">
                  <formatCode>0.00%</formatCode>
                  <v>0.114748209514829</v>
                </pt>
                <pt idx="42">
                  <formatCode>0.00%</formatCode>
                  <v>0.09791577669357196</v>
                </pt>
                <pt idx="43">
                  <formatCode>0.00%</formatCode>
                  <v>0.09984082065794128</v>
                </pt>
                <pt idx="44">
                  <formatCode>0.00%</formatCode>
                  <v>0.06205467029407954</v>
                </pt>
                <pt idx="45">
                  <formatCode>0.00%</formatCode>
                  <v>0.04740545481601156</v>
                </pt>
                <pt idx="46">
                  <formatCode>0.00%</formatCode>
                  <v>0.05635235048619791</v>
                </pt>
                <pt idx="47">
                  <formatCode>0.00%</formatCode>
                  <v>0.06863935578705183</v>
                </pt>
                <pt idx="48">
                  <formatCode>0.00%</formatCode>
                  <v>0.06617397933254278</v>
                </pt>
                <pt idx="49">
                  <formatCode>0.00%</formatCode>
                  <v>0.1391224783233846</v>
                </pt>
                <pt idx="50">
                  <formatCode>0.00%</formatCode>
                  <v>0.1213984276258007</v>
                </pt>
                <pt idx="51">
                  <formatCode>0.00%</formatCode>
                  <v>0.09509945596735804</v>
                </pt>
                <pt idx="52">
                  <formatCode>0.00%</formatCode>
                  <v>0.0939268200678989</v>
                </pt>
                <pt idx="53">
                  <formatCode>0.00%</formatCode>
                  <v>0.04322081688552324</v>
                </pt>
                <pt idx="54">
                  <formatCode>0.00%</formatCode>
                  <v>0.06495740498034076</v>
                </pt>
                <pt idx="55">
                  <formatCode>0.00%</formatCode>
                  <v>0.03465465948379835</v>
                </pt>
                <pt idx="56">
                  <formatCode>0.00%</formatCode>
                  <v>0.08123932666504026</v>
                </pt>
                <pt idx="57">
                  <formatCode>0.00%</formatCode>
                  <v>0.08481662641310304</v>
                </pt>
                <pt idx="58">
                  <formatCode>0.00%</formatCode>
                  <v>0.05709644425726491</v>
                </pt>
                <pt idx="59">
                  <formatCode>0.00%</formatCode>
                  <v>0.05326635169347926</v>
                </pt>
                <pt idx="60">
                  <formatCode>0.00%</formatCode>
                  <v>0.07271246698047627</v>
                </pt>
                <pt idx="61">
                  <formatCode>0.00%</formatCode>
                  <v>0.04423577111383109</v>
                </pt>
                <pt idx="62">
                  <formatCode>0.00%</formatCode>
                  <v>0.03600901658134026</v>
                </pt>
                <pt idx="63">
                  <formatCode>0.00%</formatCode>
                  <v>0.04521550134870272</v>
                </pt>
                <pt idx="64">
                  <formatCode>0.00%</formatCode>
                  <v>-0.0001724137931034483</v>
                </pt>
                <pt idx="65">
                  <formatCode>0.00%</formatCode>
                  <v>0.04378547434263871</v>
                </pt>
                <pt idx="66">
                  <formatCode>0.00%</formatCode>
                  <v>0.06251442196754096</v>
                </pt>
                <pt idx="67">
                  <formatCode>0.00%</formatCode>
                  <v>0.07802300279763755</v>
                </pt>
                <pt idx="68">
                  <formatCode>0.00%</formatCode>
                  <v>0.04042569193742479</v>
                </pt>
                <pt idx="69">
                  <formatCode>0.00%</formatCode>
                  <v>0.02630495790458372</v>
                </pt>
                <pt idx="70">
                  <formatCode>0.00%</formatCode>
                  <v>0.04940239043824701</v>
                </pt>
                <pt idx="71">
                  <formatCode>0.00%</formatCode>
                  <v>0.05541781016371723</v>
                </pt>
                <pt idx="72">
                  <formatCode>0.00%</formatCode>
                  <v>0.02747639326050731</v>
                </pt>
                <pt idx="73">
                  <formatCode>0.00%</formatCode>
                  <v>0.004395523891503819</v>
                </pt>
                <pt idx="74">
                  <formatCode>0.00%</formatCode>
                  <v>0.03507089779285675</v>
                </pt>
                <pt idx="75">
                  <formatCode>0.00%</formatCode>
                  <v>0.06689441339744899</v>
                </pt>
                <pt idx="76">
                  <formatCode>0.00%</formatCode>
                  <v>0.1090417888141634</v>
                </pt>
                <pt idx="77">
                  <formatCode>0.00%</formatCode>
                  <v>0.09614175267265934</v>
                </pt>
                <pt idx="78">
                  <formatCode>0.00%</formatCode>
                  <v>0.01927427382137363</v>
                </pt>
                <pt idx="79">
                  <formatCode>0.00%</formatCode>
                  <v>-0.008848760092272203</v>
                </pt>
                <pt idx="80">
                  <formatCode>0.00%</formatCode>
                  <v>0.03365019698557849</v>
                </pt>
                <pt idx="81">
                  <formatCode>0.00%</formatCode>
                  <v>0.08090272714014875</v>
                </pt>
                <pt idx="82">
                  <formatCode>0.00%</formatCode>
                  <v>0.0814079618179846</v>
                </pt>
                <pt idx="83">
                  <formatCode>0.00%</formatCode>
                  <v>0.084464609149436</v>
                </pt>
                <pt idx="84">
                  <formatCode>0.00%</formatCode>
                  <v>0.09083864922333947</v>
                </pt>
                <pt idx="85">
                  <formatCode>0.00%</formatCode>
                  <v>0.1170474644882478</v>
                </pt>
                <pt idx="86">
                  <formatCode>0.00%</formatCode>
                  <v>0.09808497372405807</v>
                </pt>
                <pt idx="87">
                  <formatCode>0.00%</formatCode>
                  <v>0.08154670750382849</v>
                </pt>
                <pt idx="88">
                  <formatCode>0.00%</formatCode>
                  <v>0.09206661829238796</v>
                </pt>
                <pt idx="89">
                  <formatCode>0.00%</formatCode>
                  <v>0.07066684665226781</v>
                </pt>
                <pt idx="90">
                  <formatCode>0.00%</formatCode>
                  <v>0.1454012784090909</v>
                </pt>
                <pt idx="91">
                  <formatCode>0.00%</formatCode>
                  <v>0.1948469916540902</v>
                </pt>
                <pt idx="92">
                  <formatCode>0.00%</formatCode>
                  <v>0.1390656689278971</v>
                </pt>
                <pt idx="93">
                  <formatCode>0.00%</formatCode>
                  <v>0.08812021452423517</v>
                </pt>
                <pt idx="94">
                  <formatCode>0.00%</formatCode>
                  <v>0.1078623133891703</v>
                </pt>
                <pt idx="95">
                  <formatCode>0.00%</formatCode>
                  <v>0.08989135647313677</v>
                </pt>
                <pt idx="96">
                  <formatCode>0.00%</formatCode>
                  <v>0.1180143718509953</v>
                </pt>
                <pt idx="97">
                  <formatCode>0.00%</formatCode>
                  <v>0.1277342474698009</v>
                </pt>
                <pt idx="98">
                  <formatCode>0.00%</formatCode>
                  <v>0.1101864019078211</v>
                </pt>
                <pt idx="99">
                  <formatCode>0.00%</formatCode>
                  <v>0.05892196299275945</v>
                </pt>
                <pt idx="100">
                  <formatCode>0.00%</formatCode>
                  <v>0.04065748050181139</v>
                </pt>
                <pt idx="101">
                  <formatCode>0.00%</formatCode>
                  <v>0.05021118325663494</v>
                </pt>
                <pt idx="102">
                  <formatCode>0.00%</formatCode>
                  <v>0.01078919220573873</v>
                </pt>
                <pt idx="103">
                  <formatCode>0.00%</formatCode>
                  <v>-0.006117510994780332</v>
                </pt>
                <pt idx="104">
                  <formatCode>0.00%</formatCode>
                  <v>0.02609363008442057</v>
                </pt>
                <pt idx="105">
                  <formatCode>0.00%</formatCode>
                  <v>0.02617833506408965</v>
                </pt>
                <pt idx="106">
                  <formatCode>0.00%</formatCode>
                  <v>-0.02450617935988169</v>
                </pt>
                <pt idx="107">
                  <formatCode>0.00%</formatCode>
                  <v>-0.03618625680863008</v>
                </pt>
                <pt idx="108">
                  <formatCode>0.00%</formatCode>
                  <v>-0.02590168294448795</v>
                </pt>
                <pt idx="109">
                  <formatCode>0.00%</formatCode>
                  <v>-0.04193384960555837</v>
                </pt>
                <pt idx="110">
                  <formatCode>0.00%</formatCode>
                  <v>-0.04036064471819151</v>
                </pt>
                <pt idx="111">
                  <formatCode>0.00%</formatCode>
                  <v>0.01703336777487388</v>
                </pt>
                <pt idx="112">
                  <formatCode>0.00%</formatCode>
                  <v>0.0191240631793375</v>
                </pt>
                <pt idx="113">
                  <formatCode>0.00%</formatCode>
                  <v>0.001080464599777905</v>
                </pt>
                <pt idx="114">
                  <formatCode>0.00%</formatCode>
                  <v>0.01321984510390307</v>
                </pt>
                <pt idx="115">
                  <formatCode>0.00%</formatCode>
                  <v>0.01590849933395599</v>
                </pt>
                <pt idx="116">
                  <formatCode>0.00%</formatCode>
                  <v>-0.04369483919222139</v>
                </pt>
                <pt idx="117">
                  <formatCode>0.00%</formatCode>
                  <v>0.2151854760753988</v>
                </pt>
                <pt idx="118">
                  <formatCode>0.00%</formatCode>
                  <v>0.1201639724650012</v>
                </pt>
                <pt idx="119">
                  <formatCode>0.00%</formatCode>
                  <v>0.07392481581764372</v>
                </pt>
                <pt idx="120">
                  <formatCode>0.00%</formatCode>
                  <v>0.02637806024937051</v>
                </pt>
                <pt idx="121">
                  <formatCode>0.00%</formatCode>
                  <v>0.02991478817912612</v>
                </pt>
                <pt idx="122">
                  <formatCode>0.00%</formatCode>
                  <v>0.01368945196509875</v>
                </pt>
                <pt idx="123">
                  <formatCode>0.00%</formatCode>
                  <v>0.01969133312416894</v>
                </pt>
                <pt idx="124">
                  <formatCode>0.00%</formatCode>
                  <v>-0.02949029669296976</v>
                </pt>
                <pt idx="125">
                  <formatCode>0.00%</formatCode>
                  <v>0.009653725078698846</v>
                </pt>
                <pt idx="126">
                  <formatCode>0.00%</formatCode>
                  <v>0.05868285225604311</v>
                </pt>
                <pt idx="127">
                  <formatCode>0.00%</formatCode>
                  <v>0.0882290881688018</v>
                </pt>
                <pt idx="128">
                  <formatCode>0.00%</formatCode>
                  <v>0.06471241533576311</v>
                </pt>
                <pt idx="129">
                  <formatCode>0.00%</formatCode>
                  <v>-0.1603629358026226</v>
                </pt>
                <pt idx="130">
                  <formatCode>0.00%</formatCode>
                  <v>-0.06189496361150622</v>
                </pt>
                <pt idx="131">
                  <formatCode>0.00%</formatCode>
                  <v>0.02307241278217531</v>
                </pt>
                <pt idx="132">
                  <formatCode>0.00%</formatCode>
                  <v>0.02967560777359048</v>
                </pt>
                <pt idx="133">
                  <formatCode>0.00%</formatCode>
                  <v>-0.02395552165238822</v>
                </pt>
                <pt idx="134">
                  <formatCode>0.00%</formatCode>
                  <v>0.03091482649842271</v>
                </pt>
                <pt idx="135">
                  <formatCode>0.00%</formatCode>
                  <v>0.01947224216494996</v>
                </pt>
                <pt idx="136">
                  <formatCode>0.00%</formatCode>
                  <v>0.07067105222710646</v>
                </pt>
                <pt idx="137">
                  <formatCode>0.00%</formatCode>
                  <v>0.04411022359473825</v>
                </pt>
                <pt idx="138">
                  <formatCode>0.00%</formatCode>
                  <v>0.01579835296808876</v>
                </pt>
                <pt idx="139">
                  <formatCode>0.00%</formatCode>
                  <v>0.009902498476538697</v>
                </pt>
                <pt idx="140">
                  <formatCode>0.00%</formatCode>
                  <v>0.04580848000470132</v>
                </pt>
                <pt idx="141">
                  <formatCode>0.00%</formatCode>
                  <v>0.03351442571018311</v>
                </pt>
                <pt idx="142">
                  <formatCode>0.00%</formatCode>
                  <v>0.0560421604274926</v>
                </pt>
                <pt idx="143">
                  <formatCode>0.00%</formatCode>
                  <v>0.004427314668882712</v>
                </pt>
                <pt idx="144">
                  <formatCode>0.00%</formatCode>
                  <v>-0.005784163162200566</v>
                </pt>
                <pt idx="145">
                  <formatCode>0.00%</formatCode>
                  <v>0.06850529796347787</v>
                </pt>
                <pt idx="146">
                  <formatCode>0.00%</formatCode>
                  <v>0.05113073381127237</v>
                </pt>
                <pt idx="147">
                  <formatCode>0.00%</formatCode>
                  <v>0.00546133946536361</v>
                </pt>
                <pt idx="148">
                  <formatCode>0.00%</formatCode>
                  <v>0.04537754809072639</v>
                </pt>
                <pt idx="149">
                  <formatCode>0.00%</formatCode>
                  <v>-0.01896907216494845</v>
                </pt>
                <pt idx="150">
                  <formatCode>0.00%</formatCode>
                  <v>0.00266013596250475</v>
                </pt>
                <pt idx="151">
                  <formatCode>0.00%</formatCode>
                  <v>-0.02131131803782279</v>
                </pt>
                <pt idx="152">
                  <formatCode>0.00%</formatCode>
                  <v>0.04980051697010564</v>
                </pt>
                <pt idx="153">
                  <formatCode>0.00%</formatCode>
                  <v>0.05787988598765344</v>
                </pt>
                <pt idx="154">
                  <formatCode>0.00%</formatCode>
                  <v>0.02326521508823775</v>
                </pt>
                <pt idx="155">
                  <formatCode>0.00%</formatCode>
                  <v>0.07537480564312511</v>
                </pt>
                <pt idx="156">
                  <formatCode>0.00%</formatCode>
                  <v>0.04060921033636495</v>
                </pt>
                <pt idx="157">
                  <formatCode>0.00%</formatCode>
                  <v>0.03769710098040595</v>
                </pt>
                <pt idx="158">
                  <formatCode>0.00%</formatCode>
                  <v>0.02786364833580548</v>
                </pt>
                <pt idx="159">
                  <formatCode>0.00%</formatCode>
                  <v>0.05273013150371641</v>
                </pt>
                <pt idx="160">
                  <formatCode>0.00%</formatCode>
                  <v>0.005547850208044383</v>
                </pt>
                <pt idx="161">
                  <formatCode>0.00%</formatCode>
                  <v>0.1543389717499384</v>
                </pt>
                <pt idx="162">
                  <formatCode>0.00%</formatCode>
                  <v>0.1455262640725455</v>
                </pt>
                <pt idx="163">
                  <formatCode>0.00%</formatCode>
                  <v>0.03393820500245218</v>
                </pt>
                <pt idx="164">
                  <formatCode>0.00%</formatCode>
                  <v>-0.0548916752532484</v>
                </pt>
                <pt idx="165">
                  <formatCode>0.00%</formatCode>
                  <v>-0.08130466570987571</v>
                </pt>
                <pt idx="166">
                  <formatCode>0.00%</formatCode>
                  <v>-0.002670045091067609</v>
                </pt>
                <pt idx="167">
                  <formatCode>0.00%</formatCode>
                  <v>-0.02725934179633093</v>
                </pt>
                <pt idx="168">
                  <formatCode>0.00%</formatCode>
                  <v>0.06484191834413107</v>
                </pt>
                <pt idx="169">
                  <formatCode>0.00%</formatCode>
                  <v>0.004540956718582679</v>
                </pt>
                <pt idx="170">
                  <formatCode>0.00%</formatCode>
                  <v>0.006230865712705841</v>
                </pt>
                <pt idx="171">
                  <formatCode>0.00%</formatCode>
                  <v>0.01695881817811511</v>
                </pt>
                <pt idx="172">
                  <formatCode>0.00%</formatCode>
                  <v>0.01168999658586548</v>
                </pt>
                <pt idx="173">
                  <formatCode>0.00%</formatCode>
                  <v>-0.05361694647095016</v>
                </pt>
                <pt idx="174">
                  <formatCode>0.00%</formatCode>
                  <v>-0.06912566631946572</v>
                </pt>
                <pt idx="175">
                  <formatCode>0.00%</formatCode>
                  <v>0.01897353192296746</v>
                </pt>
                <pt idx="176">
                  <formatCode>0.00%</formatCode>
                  <v>0.05595593753097258</v>
                </pt>
                <pt idx="177">
                  <formatCode>0.00%</formatCode>
                  <v>0.1119184118609347</v>
                </pt>
                <pt idx="178">
                  <formatCode>0.00%</formatCode>
                  <v>0.03896955375558318</v>
                </pt>
                <pt idx="179">
                  <formatCode>0.00%</formatCode>
                  <v>0.02871870397643593</v>
                </pt>
                <pt idx="180">
                  <formatCode>0.00%</formatCode>
                  <v>-0.01769219745430384</v>
                </pt>
                <pt idx="181">
                  <formatCode>0.00%</formatCode>
                  <v>0.02338478976628704</v>
                </pt>
                <pt idx="182">
                  <formatCode>0.00%</formatCode>
                  <v>0.0115669691324103</v>
                </pt>
                <pt idx="183">
                  <formatCode>0.00%</formatCode>
                  <v>0.01745039920959171</v>
                </pt>
                <pt idx="184">
                  <formatCode>0.00%</formatCode>
                  <v>0.041913581080169</v>
                </pt>
                <pt idx="185">
                  <formatCode>0.00%</formatCode>
                  <v>-0.007629131340471547</v>
                </pt>
                <pt idx="186">
                  <formatCode>0.00%</formatCode>
                  <v>-0.01358538254962877</v>
                </pt>
                <pt idx="187">
                  <formatCode>0.00%</formatCode>
                  <v>0.01811483368135449</v>
                </pt>
                <pt idx="188">
                  <formatCode>0.00%</formatCode>
                  <v>0.03482213491733598</v>
                </pt>
                <pt idx="189">
                  <formatCode>0.00%</formatCode>
                  <v>0.02876191233581189</v>
                </pt>
                <pt idx="190">
                  <formatCode>0.00%</formatCode>
                  <v>-0.001879995793016407</v>
                </pt>
                <pt idx="191">
                  <formatCode>0.00%</formatCode>
                  <v>-0.02774463798085845</v>
                </pt>
                <pt idx="192">
                  <formatCode>0.00%</formatCode>
                  <v>-0.02075624345150466</v>
                </pt>
                <pt idx="193">
                  <formatCode>0.00%</formatCode>
                  <v>-0.04792922034255877</v>
                </pt>
                <pt idx="194">
                  <formatCode>0.00%</formatCode>
                  <v>-0.04899830400678398</v>
                </pt>
                <pt idx="195">
                  <formatCode>0.00%</formatCode>
                  <v>-0.08074273341644249</v>
                </pt>
                <pt idx="196">
                  <formatCode>0.00%</formatCode>
                  <v>-0.1042028347109579</v>
                </pt>
                <pt idx="197">
                  <formatCode>0.00%</formatCode>
                  <v>-0.1020536406663636</v>
                </pt>
                <pt idx="198">
                  <formatCode>0.00%</formatCode>
                  <v>-0.1405941386857417</v>
                </pt>
                <pt idx="199">
                  <formatCode>0.00%</formatCode>
                  <v>-0.1510666370560033</v>
                </pt>
                <pt idx="200">
                  <formatCode>0.00%</formatCode>
                  <v>-0.1895278324867835</v>
                </pt>
                <pt idx="201">
                  <formatCode>0.00%</formatCode>
                  <v>-0.2707911926510945</v>
                </pt>
                <pt idx="202">
                  <formatCode>0.00%</formatCode>
                  <v>-0.275773501402774</v>
                </pt>
                <pt idx="203">
                  <formatCode>0.00%</formatCode>
                  <v>-0.2620764878314814</v>
                </pt>
                <pt idx="204">
                  <formatCode>0.00%</formatCode>
                  <v>-0.2443860552049192</v>
                </pt>
                <pt idx="205">
                  <formatCode>0.00%</formatCode>
                  <v>-0.2495360496357643</v>
                </pt>
                <pt idx="206">
                  <formatCode>0.00%</formatCode>
                  <v>-0.2601777802546884</v>
                </pt>
                <pt idx="207">
                  <formatCode>0.00%</formatCode>
                  <v>-0.2354679381031234</v>
                </pt>
                <pt idx="208">
                  <formatCode>0.00%</formatCode>
                  <v>-0.2177226906555978</v>
                </pt>
                <pt idx="209">
                  <formatCode>0.00%</formatCode>
                  <v>-0.1570852131445333</v>
                </pt>
                <pt idx="210">
                  <formatCode>0.00%</formatCode>
                  <v>-0.1032501514045685</v>
                </pt>
                <pt idx="211">
                  <formatCode>0.00%</formatCode>
                  <v>-0.04188658921289529</v>
                </pt>
                <pt idx="212">
                  <formatCode>0.00%</formatCode>
                  <v>-0.144127004428528</v>
                </pt>
                <pt idx="213">
                  <formatCode>0.00%</formatCode>
                  <v>-0.002296860368557749</v>
                </pt>
                <pt idx="214">
                  <formatCode>0.00%</formatCode>
                  <v>0.04312163538483923</v>
                </pt>
                <pt idx="215">
                  <formatCode>0.00%</formatCode>
                  <v>0.0546163368623321</v>
                </pt>
                <pt idx="216">
                  <formatCode>0.00%</formatCode>
                  <v>0.01806775407779172</v>
                </pt>
                <pt idx="217">
                  <formatCode>0.00%</formatCode>
                  <v>0.02980364656381487</v>
                </pt>
                <pt idx="218">
                  <formatCode>0.00%</formatCode>
                  <v>0.1468361581920904</v>
                </pt>
                <pt idx="219">
                  <formatCode>0.00%</formatCode>
                  <v>0.1543402356367982</v>
                </pt>
                <pt idx="220">
                  <formatCode>0.00%</formatCode>
                  <v>0.1383275712252029</v>
                </pt>
                <pt idx="221">
                  <formatCode>0.00%</formatCode>
                  <v>0.08503647700976842</v>
                </pt>
                <pt idx="222">
                  <formatCode>0.00%</formatCode>
                  <v>0.08538823855371615</v>
                </pt>
                <pt idx="223">
                  <formatCode>0.00%</formatCode>
                  <v>0.00452917463019771</v>
                </pt>
                <pt idx="224">
                  <formatCode>0.00%</formatCode>
                  <v>0.1816789330145328</v>
                </pt>
                <pt idx="225">
                  <formatCode>0.00%</formatCode>
                  <v>0.149586498786945</v>
                </pt>
                <pt idx="226">
                  <formatCode>0.00%</formatCode>
                  <v>0.1399180542236945</v>
                </pt>
                <pt idx="227">
                  <formatCode>0.00%</formatCode>
                  <v>0.1439583734823665</v>
                </pt>
                <pt idx="228">
                  <formatCode>0.00%</formatCode>
                  <v>0.1658509102433184</v>
                </pt>
                <pt idx="229">
                  <formatCode>0.00%</formatCode>
                  <v>0.2052219414726807</v>
                </pt>
                <pt idx="230">
                  <formatCode>0.00%</formatCode>
                  <v>0.1097591014335682</v>
                </pt>
                <pt idx="231">
                  <formatCode>0.00%</formatCode>
                  <v>0.07823949015738479</v>
                </pt>
                <pt idx="232">
                  <formatCode>0.00%</formatCode>
                  <v>0.06957821052118693</v>
                </pt>
                <pt idx="233">
                  <formatCode>0.00%</formatCode>
                  <v>0.08791208791208792</v>
                </pt>
                <pt idx="234">
                  <formatCode>0.00%</formatCode>
                  <v>0.06153576157883821</v>
                </pt>
                <pt idx="235">
                  <formatCode>0.00%</formatCode>
                  <v>0.05212247182028939</v>
                </pt>
                <pt idx="236">
                  <formatCode>0.00%</formatCode>
                  <v>0.08782801138159975</v>
                </pt>
                <pt idx="237">
                  <formatCode>0.00%</formatCode>
                  <v>0.07646805101977941</v>
                </pt>
                <pt idx="238">
                  <formatCode>0.00%</formatCode>
                  <v>0.07407464056286327</v>
                </pt>
                <pt idx="239">
                  <formatCode>0.00%</formatCode>
                  <v>0.0937882871845136</v>
                </pt>
                <pt idx="240">
                  <formatCode>0.00%</formatCode>
                  <v>0.08308919025038509</v>
                </pt>
                <pt idx="241">
                  <formatCode>0.00%</formatCode>
                  <v>0.08032116571258642</v>
                </pt>
                <pt idx="242">
                  <formatCode>0.00%</formatCode>
                  <v>0.07414805936579807</v>
                </pt>
                <pt idx="243">
                  <formatCode>0.00%</formatCode>
                  <v>0.09513951395139514</v>
                </pt>
                <pt idx="244">
                  <formatCode>0.00%</formatCode>
                  <v>0.1183053678536178</v>
                </pt>
                <pt idx="245">
                  <formatCode>0.00%</formatCode>
                  <v>0.08228956228956229</v>
                </pt>
                <pt idx="246">
                  <formatCode>0.00%</formatCode>
                  <v>0.100111217987255</v>
                </pt>
                <pt idx="247">
                  <formatCode>0.00%</formatCode>
                  <v>0.1241698959045665</v>
                </pt>
                <pt idx="248">
                  <formatCode>0.00%</formatCode>
                  <v>0.0916501976284585</v>
                </pt>
                <pt idx="249">
                  <formatCode>0.00%</formatCode>
                  <v>0.07069261591299371</v>
                </pt>
                <pt idx="250">
                  <formatCode>0.00%</formatCode>
                  <v>0.08094214146362302</v>
                </pt>
                <pt idx="251">
                  <formatCode>0.00%</formatCode>
                  <v>0.07525903108373004</v>
                </pt>
                <pt idx="252">
                  <formatCode>0.00%</formatCode>
                  <v>0.08347741215839376</v>
                </pt>
                <pt idx="253">
                  <formatCode>0.00%</formatCode>
                  <v>0.08585545783613416</v>
                </pt>
                <pt idx="254">
                  <formatCode>0.00%</formatCode>
                  <v>0.07400264491955036</v>
                </pt>
                <pt idx="255">
                  <formatCode>0.00%</formatCode>
                  <v>0.07277882797731569</v>
                </pt>
                <pt idx="256">
                  <formatCode>0.00%</formatCode>
                  <v>0.08316812861526764</v>
                </pt>
                <pt idx="257">
                  <formatCode>0.00%</formatCode>
                  <v>0.1242326198772192</v>
                </pt>
                <pt idx="258">
                  <formatCode>0.00%</formatCode>
                  <v>0.1162206101342951</v>
                </pt>
                <pt idx="259">
                  <formatCode>0.00%</formatCode>
                  <v>0.09892397534335461</v>
                </pt>
                <pt idx="260">
                  <formatCode>0.00%</formatCode>
                  <v>0.06730295648469843</v>
                </pt>
                <pt idx="261">
                  <formatCode>0.00%</formatCode>
                  <v>0.08904036353916066</v>
                </pt>
                <pt idx="262">
                  <formatCode>0.00%</formatCode>
                  <v>0.07767399581066305</v>
                </pt>
                <pt idx="263">
                  <formatCode>0.00%</formatCode>
                  <v>0.06057686047268702</v>
                </pt>
                <pt idx="264">
                  <formatCode>0.00%</formatCode>
                  <v>0.01881426383723474</v>
                </pt>
                <pt idx="265">
                  <formatCode>0.00%</formatCode>
                  <v>0.03366499778186197</v>
                </pt>
                <pt idx="266">
                  <formatCode>0.00%</formatCode>
                  <v>0.08265353239956903</v>
                </pt>
                <pt idx="267">
                  <formatCode>0.00%</formatCode>
                  <v>0.09551171550788483</v>
                </pt>
                <pt idx="268">
                  <formatCode>0.00%</formatCode>
                  <v>0.0766945381153552</v>
                </pt>
                <pt idx="269">
                  <formatCode>0.00%</formatCode>
                  <v>0.06113714348965059</v>
                </pt>
                <pt idx="270">
                  <formatCode>0.00%</formatCode>
                  <v>0.05869969646528934</v>
                </pt>
                <pt idx="271">
                  <formatCode>0.00%</formatCode>
                  <v>0.07352326124929269</v>
                </pt>
                <pt idx="272">
                  <formatCode>0.00%</formatCode>
                  <v>0.07766372740992031</v>
                </pt>
                <pt idx="273">
                  <formatCode>0.00%</formatCode>
                  <v>0.06638275938244029</v>
                </pt>
                <pt idx="274">
                  <formatCode>0.00%</formatCode>
                  <v>0.07217339217388115</v>
                </pt>
                <pt idx="275">
                  <formatCode>0.00%</formatCode>
                  <v>0.07359387086080518</v>
                </pt>
                <pt idx="276">
                  <formatCode>0.00%</formatCode>
                  <v>0.1165607750508406</v>
                </pt>
                <pt idx="277">
                  <formatCode>0.00%</formatCode>
                  <v>0.07101077853122587</v>
                </pt>
                <pt idx="278">
                  <formatCode>0.00%</formatCode>
                  <v>0.07932897355700881</v>
                </pt>
                <pt idx="279">
                  <formatCode>0.00%</formatCode>
                  <v>0.06930473803834722</v>
                </pt>
                <pt idx="280">
                  <formatCode>0.00%</formatCode>
                  <v>0.07438670842599168</v>
                </pt>
                <pt idx="281">
                  <formatCode>0.00%</formatCode>
                  <v>0.06959898006490496</v>
                </pt>
                <pt idx="282">
                  <formatCode>0.00%</formatCode>
                  <v>0.06973410404624278</v>
                </pt>
                <pt idx="283">
                  <formatCode>0.00%</formatCode>
                  <v>0.06658569284183749</v>
                </pt>
                <pt idx="284">
                  <formatCode>0.00%</formatCode>
                  <v>0.08285304261278152</v>
                </pt>
                <pt idx="285">
                  <formatCode>0.00%</formatCode>
                  <v>0.06765948141924941</v>
                </pt>
                <pt idx="286">
                  <formatCode>0.00%</formatCode>
                  <v>0.07160203860581253</v>
                </pt>
                <pt idx="287">
                  <formatCode>0.00%</formatCode>
                  <v>0.0686062602211777</v>
                </pt>
                <pt idx="288">
                  <formatCode>0.00%</formatCode>
                  <v>0.05277328416122719</v>
                </pt>
                <pt idx="289">
                  <formatCode>0.00%</formatCode>
                  <v>0.09387236381122484</v>
                </pt>
                <pt idx="290">
                  <formatCode>0.00%</formatCode>
                  <v>0.0266837899543379</v>
                </pt>
                <pt idx="291">
                  <formatCode>0.00%</formatCode>
                  <v>0.0214952965413501</v>
                </pt>
                <pt idx="292">
                  <formatCode>0.00%</formatCode>
                  <v>0.01972301090184009</v>
                </pt>
                <pt idx="293">
                  <formatCode>0.00%</formatCode>
                  <v>0.02650484910873923</v>
                </pt>
                <pt idx="294">
                  <formatCode>0.00%</formatCode>
                  <v>0.03666839579821035</v>
                </pt>
                <pt idx="295">
                  <formatCode>0.00%</formatCode>
                  <v>0.03490470767710191</v>
                </pt>
                <pt idx="296">
                  <formatCode>0.00%</formatCode>
                  <v>0.03950195051568428</v>
                </pt>
                <pt idx="297">
                  <formatCode>0.00%</formatCode>
                  <v>0.0448959793036542</v>
                </pt>
                <pt idx="298">
                  <formatCode>0.00%</formatCode>
                  <v>0.02803579218402545</v>
                </pt>
                <pt idx="299">
                  <formatCode>0.00%</formatCode>
                  <v>0.06327054794520548</v>
                </pt>
                <pt idx="300">
                  <formatCode>0.00%</formatCode>
                  <v>0.06842749994627238</v>
                </pt>
                <pt idx="301">
                  <formatCode>0.00%</formatCode>
                  <v>0.03553448257816016</v>
                </pt>
                <pt idx="302">
                  <formatCode>0.00%</formatCode>
                  <v>0.03575132303415834</v>
                </pt>
                <pt idx="303">
                  <formatCode>0.00%</formatCode>
                  <v>0.03905541387000736</v>
                </pt>
                <pt idx="304">
                  <formatCode>0.00%</formatCode>
                  <v>0.03939509872685923</v>
                </pt>
                <pt idx="305">
                  <formatCode>0.00%</formatCode>
                  <v>0.04210870781475969</v>
                </pt>
                <pt idx="306">
                  <formatCode>0.00%</formatCode>
                  <v>0.02970028668230388</v>
                </pt>
                <pt idx="307">
                  <formatCode>0.00%</formatCode>
                  <v>0.003477592882872596</v>
                </pt>
                <pt idx="308">
                  <formatCode>0.00%</formatCode>
                  <v>0.03704465304695613</v>
                </pt>
                <pt idx="309">
                  <formatCode>0.00%</formatCode>
                  <v>0.0469386702429463</v>
                </pt>
                <pt idx="310">
                  <formatCode>0.00%</formatCode>
                  <v>0.0419366189894641</v>
                </pt>
                <pt idx="311">
                  <formatCode>0.00%</formatCode>
                  <v>0.01061880988807472</v>
                </pt>
                <pt idx="312">
                  <formatCode>0.00%</formatCode>
                  <v>0.007522880418384793</v>
                </pt>
                <pt idx="313">
                  <formatCode>0.00%</formatCode>
                  <v>0.01007722163823078</v>
                </pt>
                <pt idx="314">
                  <formatCode>0.00%</formatCode>
                  <v>0.03151353750554816</v>
                </pt>
                <pt idx="315">
                  <formatCode>0.00%</formatCode>
                  <v>0.03064504534111099</v>
                </pt>
                <pt idx="316">
                  <formatCode>0.00%</formatCode>
                  <v>0.02912939011297991</v>
                </pt>
                <pt idx="317">
                  <formatCode>0.00%</formatCode>
                  <v>0.01688614262560778</v>
                </pt>
                <pt idx="318">
                  <formatCode>0.00%</formatCode>
                  <v>0.02151375868143439</v>
                </pt>
                <pt idx="319">
                  <formatCode>0.00%</formatCode>
                  <v>0.03540024413961475</v>
                </pt>
                <pt idx="320">
                  <formatCode>0.00%</formatCode>
                  <v>-0.01442536484771574</v>
                </pt>
                <pt idx="321">
                  <formatCode>0.00%</formatCode>
                  <v>-0.01395280090653791</v>
                </pt>
                <pt idx="322">
                  <formatCode>0.00%</formatCode>
                  <v>0.00413214931362616</v>
                </pt>
                <pt idx="323">
                  <formatCode>0.00%</formatCode>
                  <v>0.01601481968388658</v>
                </pt>
                <pt idx="324">
                  <formatCode>0.00%</formatCode>
                  <v>-0.005310547225937831</v>
                </pt>
                <pt idx="325">
                  <formatCode>0.00%</formatCode>
                  <v>0.01019683187735783</v>
                </pt>
                <pt idx="326">
                  <formatCode>0.00%</formatCode>
                  <v>0.03642476884281311</v>
                </pt>
                <pt idx="327">
                  <formatCode>0.00%</formatCode>
                  <v>0.01882280259473679</v>
                </pt>
                <pt idx="328">
                  <formatCode>0.00%</formatCode>
                  <v>0.02208556043475669</v>
                </pt>
                <pt idx="329">
                  <formatCode>0.00%</formatCode>
                  <v>0.02481396993634634</v>
                </pt>
                <pt idx="330">
                  <formatCode>0.00%</formatCode>
                  <v>0.02424206384602424</v>
                </pt>
                <pt idx="331">
                  <formatCode>0.00%</formatCode>
                  <v>0.05639037646870754</v>
                </pt>
                <pt idx="332">
                  <formatCode>0.00%</formatCode>
                  <v>0.04100232373326359</v>
                </pt>
                <pt idx="333">
                  <formatCode>0.00%</formatCode>
                  <v>0.03268744566249288</v>
                </pt>
                <pt idx="334">
                  <formatCode>0.00%</formatCode>
                  <v>0.04579087941438322</v>
                </pt>
                <pt idx="335">
                  <formatCode>0.00%</formatCode>
                  <v>0.01700730284762045</v>
                </pt>
                <pt idx="336">
                  <formatCode>0.00%</formatCode>
                  <v>0.03295666659976316</v>
                </pt>
                <pt idx="337">
                  <formatCode>0.00%</formatCode>
                  <v>0.02519018939694112</v>
                </pt>
                <pt idx="338">
                  <formatCode>0.00%</formatCode>
                  <v>-0.2646950913374271</v>
                </pt>
                <pt idx="339">
                  <formatCode>0.00%</formatCode>
                  <v>-0.3521409150480214</v>
                </pt>
                <pt idx="340">
                  <formatCode>0.00%</formatCode>
                  <v>-0.04776577855108528</v>
                </pt>
                <pt idx="341">
                  <formatCode>0.00%</formatCode>
                  <v>0.03968778553237816</v>
                </pt>
                <pt idx="342">
                  <formatCode>0.00%</formatCode>
                  <v>0.02406502491654168</v>
                </pt>
                <pt idx="343">
                  <formatCode>0.00%</formatCode>
                  <v>0.01421518556350017</v>
                </pt>
                <pt idx="344">
                  <formatCode>0.00%</formatCode>
                  <v>0.07288979079093588</v>
                </pt>
                <pt idx="345">
                  <formatCode>0.00%</formatCode>
                  <v>0.06891813431391523</v>
                </pt>
                <pt idx="346">
                  <formatCode>0.00%</formatCode>
                  <v>0.03034459274113452</v>
                </pt>
                <pt idx="347">
                  <formatCode>0.00%</formatCode>
                  <v>0.07070843373493976</v>
                </pt>
                <pt idx="348">
                  <formatCode>0.00%</formatCode>
                  <v>0.1175750510055378</v>
                </pt>
                <pt idx="349">
                  <formatCode>0.00%</formatCode>
                  <v>0.08001352722353737</v>
                </pt>
                <pt idx="350">
                  <formatCode>0.00%</formatCode>
                  <v>0.7215095132423809</v>
                </pt>
                <pt idx="351">
                  <formatCode>0.00%</formatCode>
                  <v>1.014718980691717</v>
                </pt>
                <pt idx="352">
                  <formatCode>0.00%</formatCode>
                  <v>0.3386993048395823</v>
                </pt>
                <pt idx="353">
                  <formatCode>0.00%</formatCode>
                  <v>0.1880685483493984</v>
                </pt>
                <pt idx="354">
                  <formatCode>0.00%</formatCode>
                  <v>0.1558696802479401</v>
                </pt>
                <pt idx="355">
                  <formatCode>0.00%</formatCode>
                  <v>0.1154567072317807</v>
                </pt>
                <pt idx="356">
                  <formatCode>0.00%</formatCode>
                  <v>0.08841913751486112</v>
                </pt>
                <pt idx="357">
                  <formatCode>0.00%</formatCode>
                  <v>0.1104995383027648</v>
                </pt>
                <pt idx="358">
                  <formatCode>0.00%</formatCode>
                  <v>0.1353567067852782</v>
                </pt>
                <pt idx="359">
                  <formatCode>0.00%</formatCode>
                  <v>0.0875087769835983</v>
                </pt>
                <pt idx="360">
                  <formatCode>0.00%</formatCode>
                  <v>0.1272167744627582</v>
                </pt>
                <pt idx="361">
                  <formatCode>0.00%</formatCode>
                  <v>0.1758159175493845</v>
                </pt>
                <pt idx="362">
                  <formatCode>0.00%</formatCode>
                  <v>-0.01970176576026849</v>
                </pt>
                <pt idx="363">
                  <formatCode>0.00%</formatCode>
                  <v>-0.01982661081846587</v>
                </pt>
                <pt idx="364">
                  <formatCode>0.00%</formatCode>
                  <v>-0.03624287990971688</v>
                </pt>
                <pt idx="365">
                  <formatCode>0.00%</formatCode>
                  <v>0.0002124696050426119</v>
                </pt>
                <pt idx="366">
                  <formatCode>0.00%</formatCode>
                  <v>0.01818880387155843</v>
                </pt>
                <pt idx="367">
                  <formatCode>0.00%</formatCode>
                  <v>0.07070960406634563</v>
                </pt>
                <pt idx="368">
                  <formatCode>0.00%</formatCode>
                  <v>0.05560842401423311</v>
                </pt>
              </numCache>
            </numRef>
          </val>
          <smooth val="0"/>
        </ser>
        <dLbls>
          <showLegendKey val="0"/>
          <showVal val="0"/>
          <showCatName val="0"/>
          <showSerName val="0"/>
          <showPercent val="0"/>
          <showBubbleSize val="0"/>
        </dLbls>
        <smooth val="0"/>
        <axId val="1031865912"/>
        <axId val="1031861320"/>
      </lineChart>
      <dateAx>
        <axId val="1031865912"/>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1861320"/>
        <crosses val="autoZero"/>
        <lblOffset val="100"/>
        <baseTimeUnit val="months"/>
      </dateAx>
      <valAx>
        <axId val="10318613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1865912"/>
        <crosses val="autoZero"/>
        <crossBetween val="between"/>
      </valAx>
    </plotArea>
    <plotVisOnly val="1"/>
    <dispBlanksAs val="gap"/>
  </chart>
</chartSpace>
</file>

<file path=xl/charts/chart26.xml><?xml version="1.0" encoding="utf-8"?>
<chartSpace xmlns="http://schemas.openxmlformats.org/drawingml/2006/chart">
  <chart>
    <title>
      <tx>
        <strRef>
          <f>Table6[[#Headers],[Building Materials. mil$]]</f>
          <strCache>
            <ptCount val="1"/>
            <pt idx="0">
              <v>Building Materials.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Housing!$B$6</f>
              <strCache>
                <ptCount val="1"/>
                <pt idx="0">
                  <v>Building Materials. mil$</v>
                </pt>
              </strCache>
            </strRef>
          </tx>
          <spPr>
            <a:ln xmlns:a="http://schemas.openxmlformats.org/drawingml/2006/main">
              <a:prstDash val="solid"/>
            </a:ln>
          </spPr>
          <marker>
            <symbol val="none"/>
            <spPr>
              <a:ln xmlns:a="http://schemas.openxmlformats.org/drawingml/2006/main">
                <a:prstDash val="solid"/>
              </a:ln>
            </spPr>
          </marker>
          <cat>
            <numRef>
              <f>Housing!$A$7:$A$383</f>
              <numCache>
                <formatCode>[$-409]mmm\-yy;@</formatCode>
                <ptCount val="377"/>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numCache>
            </numRef>
          </cat>
          <val>
            <numRef>
              <f>Housing!$B$7:$B$383</f>
              <numCache>
                <formatCode>#,##0</formatCode>
                <ptCount val="377"/>
                <pt idx="0">
                  <v>10845</v>
                </pt>
                <pt idx="1">
                  <v>10904</v>
                </pt>
                <pt idx="2">
                  <v>10986</v>
                </pt>
                <pt idx="3">
                  <v>10738</v>
                </pt>
                <pt idx="4">
                  <v>10777</v>
                </pt>
                <pt idx="5">
                  <v>10790</v>
                </pt>
                <pt idx="6">
                  <v>10785</v>
                </pt>
                <pt idx="7">
                  <v>10915</v>
                </pt>
                <pt idx="8">
                  <v>10980</v>
                </pt>
                <pt idx="9">
                  <v>10971</v>
                </pt>
                <pt idx="10">
                  <v>10873</v>
                </pt>
                <pt idx="11">
                  <v>11082</v>
                </pt>
                <pt idx="12">
                  <v>11333</v>
                </pt>
                <pt idx="13">
                  <v>11410</v>
                </pt>
                <pt idx="14">
                  <v>11184</v>
                </pt>
                <pt idx="15">
                  <v>11417</v>
                </pt>
                <pt idx="16">
                  <v>11720</v>
                </pt>
                <pt idx="17">
                  <v>11669</v>
                </pt>
                <pt idx="18">
                  <v>11781</v>
                </pt>
                <pt idx="19">
                  <v>11875</v>
                </pt>
                <pt idx="20">
                  <v>11786</v>
                </pt>
                <pt idx="21">
                  <v>11908</v>
                </pt>
                <pt idx="22">
                  <v>12297</v>
                </pt>
                <pt idx="23">
                  <v>12583</v>
                </pt>
                <pt idx="24">
                  <v>12316</v>
                </pt>
                <pt idx="25">
                  <v>12233</v>
                </pt>
                <pt idx="26">
                  <v>12767</v>
                </pt>
                <pt idx="27">
                  <v>13076</v>
                </pt>
                <pt idx="28">
                  <v>13033</v>
                </pt>
                <pt idx="29">
                  <v>12987</v>
                </pt>
                <pt idx="30">
                  <v>13130</v>
                </pt>
                <pt idx="31">
                  <v>13224</v>
                </pt>
                <pt idx="32">
                  <v>13375</v>
                </pt>
                <pt idx="33">
                  <v>13550</v>
                </pt>
                <pt idx="34">
                  <v>13384</v>
                </pt>
                <pt idx="35">
                  <v>13981</v>
                </pt>
                <pt idx="36">
                  <v>13738</v>
                </pt>
                <pt idx="37">
                  <v>13613</v>
                </pt>
                <pt idx="38">
                  <v>13587</v>
                </pt>
                <pt idx="39">
                  <v>13415</v>
                </pt>
                <pt idx="40">
                  <v>13370</v>
                </pt>
                <pt idx="41">
                  <v>13548</v>
                </pt>
                <pt idx="42">
                  <v>13645</v>
                </pt>
                <pt idx="43">
                  <v>13683</v>
                </pt>
                <pt idx="44">
                  <v>13837</v>
                </pt>
                <pt idx="45">
                  <v>13932</v>
                </pt>
                <pt idx="46">
                  <v>14092</v>
                </pt>
                <pt idx="47">
                  <v>14683</v>
                </pt>
                <pt idx="48">
                  <v>14023</v>
                </pt>
                <pt idx="49">
                  <v>14036</v>
                </pt>
                <pt idx="50">
                  <v>14153</v>
                </pt>
                <pt idx="51">
                  <v>14340</v>
                </pt>
                <pt idx="52">
                  <v>14450</v>
                </pt>
                <pt idx="53">
                  <v>14902</v>
                </pt>
                <pt idx="54">
                  <v>14826</v>
                </pt>
                <pt idx="55">
                  <v>14981</v>
                </pt>
                <pt idx="56">
                  <v>14989</v>
                </pt>
                <pt idx="57">
                  <v>15040</v>
                </pt>
                <pt idx="58">
                  <v>15264</v>
                </pt>
                <pt idx="59">
                  <v>14980</v>
                </pt>
                <pt idx="60">
                  <v>15197</v>
                </pt>
                <pt idx="61">
                  <v>15561</v>
                </pt>
                <pt idx="62">
                  <v>15862</v>
                </pt>
                <pt idx="63">
                  <v>15709</v>
                </pt>
                <pt idx="64">
                  <v>15805</v>
                </pt>
                <pt idx="65">
                  <v>15918</v>
                </pt>
                <pt idx="66">
                  <v>15973</v>
                </pt>
                <pt idx="67">
                  <v>16027</v>
                </pt>
                <pt idx="68">
                  <v>16283</v>
                </pt>
                <pt idx="69">
                  <v>16232</v>
                </pt>
                <pt idx="70">
                  <v>16158</v>
                </pt>
                <pt idx="71">
                  <v>16356</v>
                </pt>
                <pt idx="72">
                  <v>16436</v>
                </pt>
                <pt idx="73">
                  <v>16462</v>
                </pt>
                <pt idx="74">
                  <v>16511</v>
                </pt>
                <pt idx="75">
                  <v>16716</v>
                </pt>
                <pt idx="76">
                  <v>16741</v>
                </pt>
                <pt idx="77">
                  <v>16662</v>
                </pt>
                <pt idx="78">
                  <v>16819</v>
                </pt>
                <pt idx="79">
                  <v>16828</v>
                </pt>
                <pt idx="80">
                  <v>16972</v>
                </pt>
                <pt idx="81">
                  <v>17209</v>
                </pt>
                <pt idx="82">
                  <v>17341</v>
                </pt>
                <pt idx="83">
                  <v>17702</v>
                </pt>
                <pt idx="84">
                  <v>17732</v>
                </pt>
                <pt idx="85">
                  <v>17943</v>
                </pt>
                <pt idx="86">
                  <v>17760</v>
                </pt>
                <pt idx="87">
                  <v>17791</v>
                </pt>
                <pt idx="88">
                  <v>17914</v>
                </pt>
                <pt idx="89">
                  <v>17969</v>
                </pt>
                <pt idx="90">
                  <v>18183</v>
                </pt>
                <pt idx="91">
                  <v>18341</v>
                </pt>
                <pt idx="92">
                  <v>18175</v>
                </pt>
                <pt idx="93">
                  <v>18606</v>
                </pt>
                <pt idx="94">
                  <v>18944</v>
                </pt>
                <pt idx="95">
                  <v>19125</v>
                </pt>
                <pt idx="96">
                  <v>19613</v>
                </pt>
                <pt idx="97">
                  <v>19193</v>
                </pt>
                <pt idx="98">
                  <v>20175</v>
                </pt>
                <pt idx="99">
                  <v>18986</v>
                </pt>
                <pt idx="100">
                  <v>18941</v>
                </pt>
                <pt idx="101">
                  <v>18878</v>
                </pt>
                <pt idx="102">
                  <v>18982</v>
                </pt>
                <pt idx="103">
                  <v>18951</v>
                </pt>
                <pt idx="104">
                  <v>18926</v>
                </pt>
                <pt idx="105">
                  <v>18965</v>
                </pt>
                <pt idx="106">
                  <v>18689</v>
                </pt>
                <pt idx="107">
                  <v>19356</v>
                </pt>
                <pt idx="108">
                  <v>19248</v>
                </pt>
                <pt idx="109">
                  <v>19698</v>
                </pt>
                <pt idx="110">
                  <v>19562</v>
                </pt>
                <pt idx="111">
                  <v>20373</v>
                </pt>
                <pt idx="112">
                  <v>20147</v>
                </pt>
                <pt idx="113">
                  <v>19900</v>
                </pt>
                <pt idx="114">
                  <v>19838</v>
                </pt>
                <pt idx="115">
                  <v>19920</v>
                </pt>
                <pt idx="116">
                  <v>19664</v>
                </pt>
                <pt idx="117">
                  <v>20054</v>
                </pt>
                <pt idx="118">
                  <v>19982</v>
                </pt>
                <pt idx="119">
                  <v>20120</v>
                </pt>
                <pt idx="120">
                  <v>20359</v>
                </pt>
                <pt idx="121">
                  <v>20515</v>
                </pt>
                <pt idx="122">
                  <v>20370</v>
                </pt>
                <pt idx="123">
                  <v>21274</v>
                </pt>
                <pt idx="124">
                  <v>20874</v>
                </pt>
                <pt idx="125">
                  <v>20725</v>
                </pt>
                <pt idx="126">
                  <v>20674</v>
                </pt>
                <pt idx="127">
                  <v>20683</v>
                </pt>
                <pt idx="128">
                  <v>20732</v>
                </pt>
                <pt idx="129">
                  <v>20603</v>
                </pt>
                <pt idx="130">
                  <v>20969</v>
                </pt>
                <pt idx="131">
                  <v>20415</v>
                </pt>
                <pt idx="132">
                  <v>21270</v>
                </pt>
                <pt idx="133">
                  <v>20041</v>
                </pt>
                <pt idx="134">
                  <v>21326</v>
                </pt>
                <pt idx="135">
                  <v>21139</v>
                </pt>
                <pt idx="136">
                  <v>21328</v>
                </pt>
                <pt idx="137">
                  <v>22003</v>
                </pt>
                <pt idx="138">
                  <v>22372</v>
                </pt>
                <pt idx="139">
                  <v>22489</v>
                </pt>
                <pt idx="140">
                  <v>22630</v>
                </pt>
                <pt idx="141">
                  <v>22869</v>
                </pt>
                <pt idx="142">
                  <v>22864</v>
                </pt>
                <pt idx="143">
                  <v>22748</v>
                </pt>
                <pt idx="144">
                  <v>22637</v>
                </pt>
                <pt idx="145">
                  <v>22727</v>
                </pt>
                <pt idx="146">
                  <v>24992</v>
                </pt>
                <pt idx="147">
                  <v>24565</v>
                </pt>
                <pt idx="148">
                  <v>24420</v>
                </pt>
                <pt idx="149">
                  <v>24622</v>
                </pt>
                <pt idx="150">
                  <v>24538</v>
                </pt>
                <pt idx="151">
                  <v>24713</v>
                </pt>
                <pt idx="152">
                  <v>25045</v>
                </pt>
                <pt idx="153">
                  <v>24842</v>
                </pt>
                <pt idx="154">
                  <v>24974</v>
                </pt>
                <pt idx="155">
                  <v>25679</v>
                </pt>
                <pt idx="156">
                  <v>26126</v>
                </pt>
                <pt idx="157">
                  <v>25797</v>
                </pt>
                <pt idx="158">
                  <v>26219</v>
                </pt>
                <pt idx="159">
                  <v>26520</v>
                </pt>
                <pt idx="160">
                  <v>26510</v>
                </pt>
                <pt idx="161">
                  <v>26569</v>
                </pt>
                <pt idx="162">
                  <v>26538</v>
                </pt>
                <pt idx="163">
                  <v>26814</v>
                </pt>
                <pt idx="164">
                  <v>27111</v>
                </pt>
                <pt idx="165">
                  <v>27664</v>
                </pt>
                <pt idx="166">
                  <v>27674</v>
                </pt>
                <pt idx="167">
                  <v>27324</v>
                </pt>
                <pt idx="168">
                  <v>29686</v>
                </pt>
                <pt idx="169">
                  <v>29479</v>
                </pt>
                <pt idx="170">
                  <v>29289</v>
                </pt>
                <pt idx="171">
                  <v>28905</v>
                </pt>
                <pt idx="172">
                  <v>27864</v>
                </pt>
                <pt idx="173">
                  <v>27339</v>
                </pt>
                <pt idx="174">
                  <v>27327</v>
                </pt>
                <pt idx="175">
                  <v>27358</v>
                </pt>
                <pt idx="176">
                  <v>26994</v>
                </pt>
                <pt idx="177">
                  <v>27161</v>
                </pt>
                <pt idx="178">
                  <v>26647</v>
                </pt>
                <pt idx="179">
                  <v>27100</v>
                </pt>
                <pt idx="180">
                  <v>27533</v>
                </pt>
                <pt idx="181">
                  <v>27088</v>
                </pt>
                <pt idx="182">
                  <v>27506</v>
                </pt>
                <pt idx="183">
                  <v>26610</v>
                </pt>
                <pt idx="184">
                  <v>27144</v>
                </pt>
                <pt idx="185">
                  <v>26638</v>
                </pt>
                <pt idx="186">
                  <v>26860</v>
                </pt>
                <pt idx="187">
                  <v>26625</v>
                </pt>
                <pt idx="188">
                  <v>26412</v>
                </pt>
                <pt idx="189">
                  <v>26248</v>
                </pt>
                <pt idx="190">
                  <v>26566</v>
                </pt>
                <pt idx="191">
                  <v>25634</v>
                </pt>
                <pt idx="192">
                  <v>25721</v>
                </pt>
                <pt idx="193">
                  <v>25659</v>
                </pt>
                <pt idx="194">
                  <v>25456</v>
                </pt>
                <pt idx="195">
                  <v>25292</v>
                </pt>
                <pt idx="196">
                  <v>25650</v>
                </pt>
                <pt idx="197">
                  <v>25700</v>
                </pt>
                <pt idx="198">
                  <v>25897</v>
                </pt>
                <pt idx="199">
                  <v>25329</v>
                </pt>
                <pt idx="200">
                  <v>25217</v>
                </pt>
                <pt idx="201">
                  <v>24568</v>
                </pt>
                <pt idx="202">
                  <v>23196</v>
                </pt>
                <pt idx="203">
                  <v>22909</v>
                </pt>
                <pt idx="204">
                  <v>22758</v>
                </pt>
                <pt idx="205">
                  <v>22498</v>
                </pt>
                <pt idx="206">
                  <v>22149</v>
                </pt>
                <pt idx="207">
                  <v>22092</v>
                </pt>
                <pt idx="208">
                  <v>22310</v>
                </pt>
                <pt idx="209">
                  <v>22332</v>
                </pt>
                <pt idx="210">
                  <v>21883</v>
                </pt>
                <pt idx="211">
                  <v>21474</v>
                </pt>
                <pt idx="212">
                  <v>21363</v>
                </pt>
                <pt idx="213">
                  <v>20661</v>
                </pt>
                <pt idx="214">
                  <v>20931</v>
                </pt>
                <pt idx="215">
                  <v>20849</v>
                </pt>
                <pt idx="216">
                  <v>20557</v>
                </pt>
                <pt idx="217">
                  <v>20452</v>
                </pt>
                <pt idx="218">
                  <v>21875</v>
                </pt>
                <pt idx="219">
                  <v>23556</v>
                </pt>
                <pt idx="220">
                  <v>21747</v>
                </pt>
                <pt idx="221">
                  <v>21528</v>
                </pt>
                <pt idx="222">
                  <v>21499</v>
                </pt>
                <pt idx="223">
                  <v>21278</v>
                </pt>
                <pt idx="224">
                  <v>21351</v>
                </pt>
                <pt idx="225">
                  <v>22033</v>
                </pt>
                <pt idx="226">
                  <v>21944</v>
                </pt>
                <pt idx="227">
                  <v>22138</v>
                </pt>
                <pt idx="228">
                  <v>21493</v>
                </pt>
                <pt idx="229">
                  <v>21197</v>
                </pt>
                <pt idx="230">
                  <v>21865</v>
                </pt>
                <pt idx="231">
                  <v>22037</v>
                </pt>
                <pt idx="232">
                  <v>22320</v>
                </pt>
                <pt idx="233">
                  <v>22740</v>
                </pt>
                <pt idx="234">
                  <v>22758</v>
                </pt>
                <pt idx="235">
                  <v>22763</v>
                </pt>
                <pt idx="236">
                  <v>22640</v>
                </pt>
                <pt idx="237">
                  <v>23253</v>
                </pt>
                <pt idx="238">
                  <v>22893</v>
                </pt>
                <pt idx="239">
                  <v>23447</v>
                </pt>
                <pt idx="240">
                  <v>23609</v>
                </pt>
                <pt idx="241">
                  <v>23568</v>
                </pt>
                <pt idx="242">
                  <v>24580</v>
                </pt>
                <pt idx="243">
                  <v>23423</v>
                </pt>
                <pt idx="244">
                  <v>22732</v>
                </pt>
                <pt idx="245">
                  <v>22531</v>
                </pt>
                <pt idx="246">
                  <v>22717</v>
                </pt>
                <pt idx="247">
                  <v>23115</v>
                </pt>
                <pt idx="248">
                  <v>23641</v>
                </pt>
                <pt idx="249">
                  <v>23801</v>
                </pt>
                <pt idx="250">
                  <v>24127</v>
                </pt>
                <pt idx="251">
                  <v>24141</v>
                </pt>
                <pt idx="252">
                  <v>24373</v>
                </pt>
                <pt idx="253">
                  <v>24751</v>
                </pt>
                <pt idx="254">
                  <v>24694</v>
                </pt>
                <pt idx="255">
                  <v>24798</v>
                </pt>
                <pt idx="256">
                  <v>25336</v>
                </pt>
                <pt idx="257">
                  <v>24793</v>
                </pt>
                <pt idx="258">
                  <v>25353</v>
                </pt>
                <pt idx="259">
                  <v>25291</v>
                </pt>
                <pt idx="260">
                  <v>25287</v>
                </pt>
                <pt idx="261">
                  <v>24915</v>
                </pt>
                <pt idx="262">
                  <v>24849</v>
                </pt>
                <pt idx="263">
                  <v>24955</v>
                </pt>
                <pt idx="264">
                  <v>24920</v>
                </pt>
                <pt idx="265">
                  <v>24821</v>
                </pt>
                <pt idx="266">
                  <v>25286</v>
                </pt>
                <pt idx="267">
                  <v>26095</v>
                </pt>
                <pt idx="268">
                  <v>26428</v>
                </pt>
                <pt idx="269">
                  <v>26617</v>
                </pt>
                <pt idx="270">
                  <v>26107</v>
                </pt>
                <pt idx="271">
                  <v>26595</v>
                </pt>
                <pt idx="272">
                  <v>26499</v>
                </pt>
                <pt idx="273">
                  <v>26507</v>
                </pt>
                <pt idx="274">
                  <v>26619</v>
                </pt>
                <pt idx="275">
                  <v>26253</v>
                </pt>
                <pt idx="276">
                  <v>26516</v>
                </pt>
                <pt idx="277">
                  <v>25575</v>
                </pt>
                <pt idx="278">
                  <v>26521</v>
                </pt>
                <pt idx="279">
                  <v>26734</v>
                </pt>
                <pt idx="280">
                  <v>26781</v>
                </pt>
                <pt idx="281">
                  <v>26516</v>
                </pt>
                <pt idx="282">
                  <v>27350</v>
                </pt>
                <pt idx="283">
                  <v>27408</v>
                </pt>
                <pt idx="284">
                  <v>27191</v>
                </pt>
                <pt idx="285">
                  <v>27368</v>
                </pt>
                <pt idx="286">
                  <v>27656</v>
                </pt>
                <pt idx="287">
                  <v>28189</v>
                </pt>
                <pt idx="288">
                  <v>28172</v>
                </pt>
                <pt idx="289">
                  <v>28236</v>
                </pt>
                <pt idx="290">
                  <v>28934</v>
                </pt>
                <pt idx="291">
                  <v>27926</v>
                </pt>
                <pt idx="292">
                  <v>27533</v>
                </pt>
                <pt idx="293">
                  <v>28297</v>
                </pt>
                <pt idx="294">
                  <v>27980</v>
                </pt>
                <pt idx="295">
                  <v>27856</v>
                </pt>
                <pt idx="296">
                  <v>27984</v>
                </pt>
                <pt idx="297">
                  <v>28049</v>
                </pt>
                <pt idx="298">
                  <v>28204</v>
                </pt>
                <pt idx="299">
                  <v>28176</v>
                </pt>
                <pt idx="300">
                  <v>28504</v>
                </pt>
                <pt idx="301">
                  <v>28868</v>
                </pt>
                <pt idx="302">
                  <v>28678</v>
                </pt>
                <pt idx="303">
                  <v>29027</v>
                </pt>
                <pt idx="304">
                  <v>28706</v>
                </pt>
                <pt idx="305">
                  <v>28754</v>
                </pt>
                <pt idx="306">
                  <v>28915</v>
                </pt>
                <pt idx="307">
                  <v>28941</v>
                </pt>
                <pt idx="308">
                  <v>29910</v>
                </pt>
                <pt idx="309">
                  <v>29568</v>
                </pt>
                <pt idx="310">
                  <v>30027</v>
                </pt>
                <pt idx="311">
                  <v>30078</v>
                </pt>
                <pt idx="312">
                  <v>29012</v>
                </pt>
                <pt idx="313">
                  <v>30037</v>
                </pt>
                <pt idx="314">
                  <v>29685</v>
                </pt>
                <pt idx="315">
                  <v>29858</v>
                </pt>
                <pt idx="316">
                  <v>30663</v>
                </pt>
                <pt idx="317">
                  <v>31111</v>
                </pt>
                <pt idx="318">
                  <v>31331</v>
                </pt>
                <pt idx="319">
                  <v>30997</v>
                </pt>
                <pt idx="320">
                  <v>31132</v>
                </pt>
                <pt idx="321">
                  <v>31655</v>
                </pt>
                <pt idx="322">
                  <v>31003</v>
                </pt>
                <pt idx="323">
                  <v>31068</v>
                </pt>
                <pt idx="324">
                  <v>32154</v>
                </pt>
                <pt idx="325">
                  <v>30626</v>
                </pt>
                <pt idx="326">
                  <v>30931</v>
                </pt>
                <pt idx="327">
                  <v>30931</v>
                </pt>
                <pt idx="328">
                  <v>30522</v>
                </pt>
                <pt idx="329">
                  <v>30499</v>
                </pt>
                <pt idx="330">
                  <v>31160</v>
                </pt>
                <pt idx="331">
                  <v>31675</v>
                </pt>
                <pt idx="332">
                  <v>31213</v>
                </pt>
                <pt idx="333">
                  <v>31212</v>
                </pt>
                <pt idx="334">
                  <v>31251</v>
                </pt>
                <pt idx="335">
                  <v>31690</v>
                </pt>
                <pt idx="336">
                  <v>32196</v>
                </pt>
                <pt idx="337">
                  <v>32331</v>
                </pt>
                <pt idx="338">
                  <v>32213</v>
                </pt>
                <pt idx="339">
                  <v>31885</v>
                </pt>
                <pt idx="340">
                  <v>36135</v>
                </pt>
                <pt idx="341">
                  <v>36238</v>
                </pt>
                <pt idx="342">
                  <v>36034</v>
                </pt>
                <pt idx="343">
                  <v>36741</v>
                </pt>
                <pt idx="344">
                  <v>36910</v>
                </pt>
                <pt idx="345">
                  <v>36498</v>
                </pt>
                <pt idx="346">
                  <v>36557</v>
                </pt>
                <pt idx="347">
                  <v>36528</v>
                </pt>
                <pt idx="348">
                  <v>38682</v>
                </pt>
                <pt idx="349">
                  <v>36997</v>
                </pt>
                <pt idx="350">
                  <v>41753</v>
                </pt>
                <pt idx="351">
                  <v>41661</v>
                </pt>
                <pt idx="352">
                  <v>39836</v>
                </pt>
                <pt idx="353">
                  <v>39249</v>
                </pt>
                <pt idx="354">
                  <v>38848</v>
                </pt>
                <pt idx="355">
                  <v>38913</v>
                </pt>
                <pt idx="356">
                  <v>39230</v>
                </pt>
                <pt idx="357">
                  <v>40093</v>
                </pt>
                <pt idx="358">
                  <v>40880</v>
                </pt>
                <pt idx="359">
                  <v>41207</v>
                </pt>
                <pt idx="360">
                  <v>42170</v>
                </pt>
                <pt idx="361">
                  <v>42307</v>
                </pt>
                <pt idx="362">
                  <v>42572</v>
                </pt>
                <pt idx="363">
                  <v>42168</v>
                </pt>
                <pt idx="364">
                  <v>42257</v>
                </pt>
                <pt idx="365">
                  <v>42131</v>
                </pt>
                <pt idx="366">
                  <v>42597</v>
                </pt>
                <pt idx="367">
                  <v>43181</v>
                </pt>
                <pt idx="368">
                  <v>43024</v>
                </pt>
              </numCache>
            </numRef>
          </val>
          <smooth val="0"/>
        </ser>
        <dLbls>
          <showLegendKey val="0"/>
          <showVal val="0"/>
          <showCatName val="0"/>
          <showSerName val="0"/>
          <showPercent val="0"/>
          <showBubbleSize val="0"/>
        </dLbls>
        <smooth val="0"/>
        <axId val="1001706656"/>
        <axId val="1001706000"/>
      </lineChart>
      <dateAx>
        <axId val="100170665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01706000"/>
        <crosses val="autoZero"/>
        <lblOffset val="100"/>
        <baseTimeUnit val="months"/>
      </dateAx>
      <valAx>
        <axId val="1001706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01706656"/>
        <crosses val="autoZero"/>
        <crossBetween val="between"/>
      </valAx>
    </plotArea>
    <plotVisOnly val="1"/>
    <dispBlanksAs val="gap"/>
  </chart>
</chartSpace>
</file>

<file path=xl/charts/chart27.xml><?xml version="1.0" encoding="utf-8"?>
<chartSpace xmlns="http://schemas.openxmlformats.org/drawingml/2006/chart">
  <chart>
    <title>
      <tx>
        <strRef>
          <f>Table6[[#Headers],[Change y/y ]]</f>
          <strCache>
            <ptCount val="1"/>
            <pt idx="0">
              <v xml:space="preserve">Change y/y </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Housing!$D$6</f>
              <strCache>
                <ptCount val="1"/>
                <pt idx="0">
                  <v xml:space="preserve">Change y/y </v>
                </pt>
              </strCache>
            </strRef>
          </tx>
          <spPr>
            <a:ln xmlns:a="http://schemas.openxmlformats.org/drawingml/2006/main">
              <a:prstDash val="solid"/>
            </a:ln>
          </spPr>
          <marker>
            <symbol val="none"/>
            <spPr>
              <a:ln xmlns:a="http://schemas.openxmlformats.org/drawingml/2006/main">
                <a:prstDash val="solid"/>
              </a:ln>
            </spPr>
          </marker>
          <cat>
            <numRef>
              <f>Housing!$A$7:$A$382</f>
              <numCache>
                <formatCode>[$-409]mmm\-yy;@</formatCode>
                <ptCount val="376"/>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numCache>
            </numRef>
          </cat>
          <val>
            <numRef>
              <f>Housing!$D$7:$D$382</f>
              <numCache>
                <formatCode>General</formatCode>
                <ptCount val="376"/>
                <pt idx="12">
                  <formatCode>0.00%</formatCode>
                  <v>0.04499769479022591</v>
                </pt>
                <pt idx="13">
                  <formatCode>0.00%</formatCode>
                  <v>0.04640498899486427</v>
                </pt>
                <pt idx="14">
                  <formatCode>0.00%</formatCode>
                  <v>0.01802293828509011</v>
                </pt>
                <pt idx="15">
                  <formatCode>0.00%</formatCode>
                  <v>0.06323337679269883</v>
                </pt>
                <pt idx="16">
                  <formatCode>0.00%</formatCode>
                  <v>0.08750115987751693</v>
                </pt>
                <pt idx="17">
                  <formatCode>0.00%</formatCode>
                  <v>0.08146431881371641</v>
                </pt>
                <pt idx="18">
                  <formatCode>0.00%</formatCode>
                  <v>0.09235048678720445</v>
                </pt>
                <pt idx="19">
                  <formatCode>0.00%</formatCode>
                  <v>0.08795235913879981</v>
                </pt>
                <pt idx="20">
                  <formatCode>0.00%</formatCode>
                  <v>0.07340619307832423</v>
                </pt>
                <pt idx="21">
                  <formatCode>0.00%</formatCode>
                  <v>0.0854069820435694</v>
                </pt>
                <pt idx="22">
                  <formatCode>0.00%</formatCode>
                  <v>0.1309666145498023</v>
                </pt>
                <pt idx="23">
                  <formatCode>0.00%</formatCode>
                  <v>0.1354448655477351</v>
                </pt>
                <pt idx="24">
                  <formatCode>0.00%</formatCode>
                  <v>0.08673784523074209</v>
                </pt>
                <pt idx="25">
                  <formatCode>0.00%</formatCode>
                  <v>0.07212971078001752</v>
                </pt>
                <pt idx="26">
                  <formatCode>0.00%</formatCode>
                  <v>0.1415414878397711</v>
                </pt>
                <pt idx="27">
                  <formatCode>0.00%</formatCode>
                  <v>0.1453096259963213</v>
                </pt>
                <pt idx="28">
                  <formatCode>0.00%</formatCode>
                  <v>0.1120307167235495</v>
                </pt>
                <pt idx="29">
                  <formatCode>0.00%</formatCode>
                  <v>0.1129488388036678</v>
                </pt>
                <pt idx="30">
                  <formatCode>0.00%</formatCode>
                  <v>0.1145064086240557</v>
                </pt>
                <pt idx="31">
                  <formatCode>0.00%</formatCode>
                  <v>0.1136</v>
                </pt>
                <pt idx="32">
                  <formatCode>0.00%</formatCode>
                  <v>0.134820974036993</v>
                </pt>
                <pt idx="33">
                  <formatCode>0.00%</formatCode>
                  <v>0.1378904937856903</v>
                </pt>
                <pt idx="34">
                  <formatCode>0.00%</formatCode>
                  <v>0.08839554362852728</v>
                </pt>
                <pt idx="35">
                  <formatCode>0.00%</formatCode>
                  <v>0.111102280855122</v>
                </pt>
                <pt idx="36">
                  <formatCode>0.00%</formatCode>
                  <v>0.1154595647937642</v>
                </pt>
                <pt idx="37">
                  <formatCode>0.00%</formatCode>
                  <v>0.112809613340963</v>
                </pt>
                <pt idx="38">
                  <formatCode>0.00%</formatCode>
                  <v>0.06422808803947677</v>
                </pt>
                <pt idx="39">
                  <formatCode>0.00%</formatCode>
                  <v>0.02592535943713674</v>
                </pt>
                <pt idx="40">
                  <formatCode>0.00%</formatCode>
                  <v>0.0258574388091767</v>
                </pt>
                <pt idx="41">
                  <formatCode>0.00%</formatCode>
                  <v>0.0431970431970432</v>
                </pt>
                <pt idx="42">
                  <formatCode>0.00%</formatCode>
                  <v>0.03922315308453923</v>
                </pt>
                <pt idx="43">
                  <formatCode>0.00%</formatCode>
                  <v>0.03470961887477314</v>
                </pt>
                <pt idx="44">
                  <formatCode>0.00%</formatCode>
                  <v>0.03454205607476635</v>
                </pt>
                <pt idx="45">
                  <formatCode>0.00%</formatCode>
                  <v>0.02819188191881919</v>
                </pt>
                <pt idx="46">
                  <formatCode>0.00%</formatCode>
                  <v>0.05289898386132696</v>
                </pt>
                <pt idx="47">
                  <formatCode>0.00%</formatCode>
                  <v>0.05021100064373078</v>
                </pt>
                <pt idx="48">
                  <formatCode>0.00%</formatCode>
                  <v>0.02074537778424807</v>
                </pt>
                <pt idx="49">
                  <formatCode>0.00%</formatCode>
                  <v>0.0310732388158378</v>
                </pt>
                <pt idx="50">
                  <formatCode>0.00%</formatCode>
                  <v>0.04165746669610657</v>
                </pt>
                <pt idx="51">
                  <formatCode>0.00%</formatCode>
                  <v>0.06895266492732016</v>
                </pt>
                <pt idx="52">
                  <formatCode>0.00%</formatCode>
                  <v>0.08077786088257292</v>
                </pt>
                <pt idx="53">
                  <formatCode>0.00%</formatCode>
                  <v>0.09994095069382934</v>
                </pt>
                <pt idx="54">
                  <formatCode>0.00%</formatCode>
                  <v>0.08655185049468669</v>
                </pt>
                <pt idx="55">
                  <formatCode>0.00%</formatCode>
                  <v>0.09486223781334503</v>
                </pt>
                <pt idx="56">
                  <formatCode>0.00%</formatCode>
                  <v>0.08325504083255041</v>
                </pt>
                <pt idx="57">
                  <formatCode>0.00%</formatCode>
                  <v>0.07952914154464542</v>
                </pt>
                <pt idx="58">
                  <formatCode>0.00%</formatCode>
                  <v>0.08316775475447062</v>
                </pt>
                <pt idx="59">
                  <formatCode>0.00%</formatCode>
                  <v>0.02022747394946537</v>
                </pt>
                <pt idx="60">
                  <formatCode>0.00%</formatCode>
                  <v>0.08371960350852171</v>
                </pt>
                <pt idx="61">
                  <formatCode>0.00%</formatCode>
                  <v>0.1086491878027928</v>
                </pt>
                <pt idx="62">
                  <formatCode>0.00%</formatCode>
                  <v>0.1207517840740479</v>
                </pt>
                <pt idx="63">
                  <formatCode>0.00%</formatCode>
                  <v>0.09546722454672245</v>
                </pt>
                <pt idx="64">
                  <formatCode>0.00%</formatCode>
                  <v>0.09377162629757785</v>
                </pt>
                <pt idx="65">
                  <formatCode>0.00%</formatCode>
                  <v>0.06817876795061066</v>
                </pt>
                <pt idx="66">
                  <formatCode>0.00%</formatCode>
                  <v>0.07736409011196546</v>
                </pt>
                <pt idx="67">
                  <formatCode>0.00%</formatCode>
                  <v>0.06982177424738001</v>
                </pt>
                <pt idx="68">
                  <formatCode>0.00%</formatCode>
                  <v>0.08632997531523116</v>
                </pt>
                <pt idx="69">
                  <formatCode>0.00%</formatCode>
                  <v>0.07925531914893617</v>
                </pt>
                <pt idx="70">
                  <formatCode>0.00%</formatCode>
                  <v>0.05856918238993711</v>
                </pt>
                <pt idx="71">
                  <formatCode>0.00%</formatCode>
                  <v>0.09185580774365822</v>
                </pt>
                <pt idx="72">
                  <formatCode>0.00%</formatCode>
                  <v>0.08152924919391985</v>
                </pt>
                <pt idx="73">
                  <formatCode>0.00%</formatCode>
                  <v>0.05790116316432106</v>
                </pt>
                <pt idx="74">
                  <formatCode>0.00%</formatCode>
                  <v>0.04091539528432733</v>
                </pt>
                <pt idx="75">
                  <formatCode>0.00%</formatCode>
                  <v>0.06410338022789484</v>
                </pt>
                <pt idx="76">
                  <formatCode>0.00%</formatCode>
                  <v>0.05922176526415691</v>
                </pt>
                <pt idx="77">
                  <formatCode>0.00%</formatCode>
                  <v>0.04673954014323407</v>
                </pt>
                <pt idx="78">
                  <formatCode>0.00%</formatCode>
                  <v>0.0529643773868403</v>
                </pt>
                <pt idx="79">
                  <formatCode>0.00%</formatCode>
                  <v>0.04997816185187496</v>
                </pt>
                <pt idx="80">
                  <formatCode>0.00%</formatCode>
                  <v>0.04231406988884112</v>
                </pt>
                <pt idx="81">
                  <formatCode>0.00%</formatCode>
                  <v>0.06018974864465254</v>
                </pt>
                <pt idx="82">
                  <formatCode>0.00%</formatCode>
                  <v>0.07321450674588439</v>
                </pt>
                <pt idx="83">
                  <formatCode>0.00%</formatCode>
                  <v>0.08229395940327708</v>
                </pt>
                <pt idx="84">
                  <formatCode>0.00%</formatCode>
                  <v>0.07885130201995619</v>
                </pt>
                <pt idx="85">
                  <formatCode>0.00%</formatCode>
                  <v>0.08996476734297169</v>
                </pt>
                <pt idx="86">
                  <formatCode>0.00%</formatCode>
                  <v>0.07564653867118891</v>
                </pt>
                <pt idx="87">
                  <formatCode>0.00%</formatCode>
                  <v>0.0643096434553721</v>
                </pt>
                <pt idx="88">
                  <formatCode>0.00%</formatCode>
                  <v>0.0700674989546622</v>
                </pt>
                <pt idx="89">
                  <formatCode>0.00%</formatCode>
                  <v>0.07844196374984996</v>
                </pt>
                <pt idx="90">
                  <formatCode>0.00%</formatCode>
                  <v>0.08109875735775017</v>
                </pt>
                <pt idx="91">
                  <formatCode>0.00%</formatCode>
                  <v>0.08990967435227003</v>
                </pt>
                <pt idx="92">
                  <formatCode>0.00%</formatCode>
                  <v>0.07088145180296959</v>
                </pt>
                <pt idx="93">
                  <formatCode>0.00%</formatCode>
                  <v>0.0811784531349875</v>
                </pt>
                <pt idx="94">
                  <formatCode>0.00%</formatCode>
                  <v>0.0924398823597255</v>
                </pt>
                <pt idx="95">
                  <formatCode>0.00%</formatCode>
                  <v>0.08038639701728618</v>
                </pt>
                <pt idx="96">
                  <formatCode>0.00%</formatCode>
                  <v>0.1060794044665012</v>
                </pt>
                <pt idx="97">
                  <formatCode>0.00%</formatCode>
                  <v>0.06966505043749652</v>
                </pt>
                <pt idx="98">
                  <formatCode>0.00%</formatCode>
                  <v>0.1359797297297297</v>
                </pt>
                <pt idx="99">
                  <formatCode>0.00%</formatCode>
                  <v>0.06716879321005002</v>
                </pt>
                <pt idx="100">
                  <formatCode>0.00%</formatCode>
                  <v>0.05732946298984035</v>
                </pt>
                <pt idx="101">
                  <formatCode>0.00%</formatCode>
                  <v>0.050587122266125</v>
                </pt>
                <pt idx="102">
                  <formatCode>0.00%</formatCode>
                  <v>0.04394214376065556</v>
                </pt>
                <pt idx="103">
                  <formatCode>0.00%</formatCode>
                  <v>0.03325881903931083</v>
                </pt>
                <pt idx="104">
                  <formatCode>0.00%</formatCode>
                  <v>0.04132049518569463</v>
                </pt>
                <pt idx="105">
                  <formatCode>0.00%</formatCode>
                  <v>0.01929485112329356</v>
                </pt>
                <pt idx="106">
                  <formatCode>0.00%</formatCode>
                  <v>-0.01346072635135135</v>
                </pt>
                <pt idx="107">
                  <formatCode>0.00%</formatCode>
                  <v>0.01207843137254902</v>
                </pt>
                <pt idx="108">
                  <formatCode>0.00%</formatCode>
                  <v>-0.01861010554224239</v>
                </pt>
                <pt idx="109">
                  <formatCode>0.00%</formatCode>
                  <v>0.0263116761319231</v>
                </pt>
                <pt idx="110">
                  <formatCode>0.00%</formatCode>
                  <v>-0.03038413878562577</v>
                </pt>
                <pt idx="111">
                  <formatCode>0.00%</formatCode>
                  <v>0.07305382913725904</v>
                </pt>
                <pt idx="112">
                  <formatCode>0.00%</formatCode>
                  <v>0.06367140066522359</v>
                </pt>
                <pt idx="113">
                  <formatCode>0.00%</formatCode>
                  <v>0.05413709079351627</v>
                </pt>
                <pt idx="114">
                  <formatCode>0.00%</formatCode>
                  <v>0.04509535349278264</v>
                </pt>
                <pt idx="115">
                  <formatCode>0.00%</formatCode>
                  <v>0.05113186639227481</v>
                </pt>
                <pt idx="116">
                  <formatCode>0.00%</formatCode>
                  <v>0.03899397654020924</v>
                </pt>
                <pt idx="117">
                  <formatCode>0.00%</formatCode>
                  <v>0.05742156604271025</v>
                </pt>
                <pt idx="118">
                  <formatCode>0.00%</formatCode>
                  <v>0.06918508213387554</v>
                </pt>
                <pt idx="119">
                  <formatCode>0.00%</formatCode>
                  <v>0.03947096507542881</v>
                </pt>
                <pt idx="120">
                  <formatCode>0.00%</formatCode>
                  <v>0.05772028262676641</v>
                </pt>
                <pt idx="121">
                  <formatCode>0.00%</formatCode>
                  <v>0.04147629200934105</v>
                </pt>
                <pt idx="122">
                  <formatCode>0.00%</formatCode>
                  <v>0.0413045700848584</v>
                </pt>
                <pt idx="123">
                  <formatCode>0.00%</formatCode>
                  <v>0.04422520001963383</v>
                </pt>
                <pt idx="124">
                  <formatCode>0.00%</formatCode>
                  <v>0.03608477688985953</v>
                </pt>
                <pt idx="125">
                  <formatCode>0.00%</formatCode>
                  <v>0.0414572864321608</v>
                </pt>
                <pt idx="126">
                  <formatCode>0.00%</formatCode>
                  <v>0.04214134489363847</v>
                </pt>
                <pt idx="127">
                  <formatCode>0.00%</formatCode>
                  <v>0.03830321285140562</v>
                </pt>
                <pt idx="128">
                  <formatCode>0.00%</formatCode>
                  <v>0.05431244914564687</v>
                </pt>
                <pt idx="129">
                  <formatCode>0.00%</formatCode>
                  <v>0.02737608457165653</v>
                </pt>
                <pt idx="130">
                  <formatCode>0.00%</formatCode>
                  <v>0.04939445500950856</v>
                </pt>
                <pt idx="131">
                  <formatCode>0.00%</formatCode>
                  <v>0.01466202783300199</v>
                </pt>
                <pt idx="132">
                  <formatCode>0.00%</formatCode>
                  <v>0.04474679502922541</v>
                </pt>
                <pt idx="133">
                  <formatCode>0.00%</formatCode>
                  <v>-0.0231050450889593</v>
                </pt>
                <pt idx="134">
                  <formatCode>0.00%</formatCode>
                  <v>0.04693176239567992</v>
                </pt>
                <pt idx="135">
                  <formatCode>0.00%</formatCode>
                  <v>-0.006345774184450503</v>
                </pt>
                <pt idx="136">
                  <formatCode>0.00%</formatCode>
                  <v>0.02174954488837789</v>
                </pt>
                <pt idx="137">
                  <formatCode>0.00%</formatCode>
                  <v>0.06166465621230398</v>
                </pt>
                <pt idx="138">
                  <formatCode>0.00%</formatCode>
                  <v>0.08213214665763761</v>
                </pt>
                <pt idx="139">
                  <formatCode>0.00%</formatCode>
                  <v>0.08731808731808732</v>
                </pt>
                <pt idx="140">
                  <formatCode>0.00%</formatCode>
                  <v>0.09154929577464789</v>
                </pt>
                <pt idx="141">
                  <formatCode>0.00%</formatCode>
                  <v>0.1099839829151095</v>
                </pt>
                <pt idx="142">
                  <formatCode>0.00%</formatCode>
                  <v>0.09037150078687586</v>
                </pt>
                <pt idx="143">
                  <formatCode>0.00%</formatCode>
                  <v>0.114278716629929</v>
                </pt>
                <pt idx="144">
                  <formatCode>0.00%</formatCode>
                  <v>0.06426892336624354</v>
                </pt>
                <pt idx="145">
                  <formatCode>0.00%</formatCode>
                  <v>0.1340252482411057</v>
                </pt>
                <pt idx="146">
                  <formatCode>0.00%</formatCode>
                  <v>0.1719028416018006</v>
                </pt>
                <pt idx="147">
                  <formatCode>0.00%</formatCode>
                  <v>0.1620701073844553</v>
                </pt>
                <pt idx="148">
                  <formatCode>0.00%</formatCode>
                  <v>0.144973743435859</v>
                </pt>
                <pt idx="149">
                  <formatCode>0.00%</formatCode>
                  <v>0.1190292232877335</v>
                </pt>
                <pt idx="150">
                  <formatCode>0.00%</formatCode>
                  <v>0.09681745038440909</v>
                </pt>
                <pt idx="151">
                  <formatCode>0.00%</formatCode>
                  <v>0.09889279203165992</v>
                </pt>
                <pt idx="152">
                  <formatCode>0.00%</formatCode>
                  <v>0.1067167476800707</v>
                </pt>
                <pt idx="153">
                  <formatCode>0.00%</formatCode>
                  <v>0.08627399536490446</v>
                </pt>
                <pt idx="154">
                  <formatCode>0.00%</formatCode>
                  <v>0.09228481455563331</v>
                </pt>
                <pt idx="155">
                  <formatCode>0.00%</formatCode>
                  <v>0.1288464919992967</v>
                </pt>
                <pt idx="156">
                  <formatCode>0.00%</formatCode>
                  <v>0.1541281971992755</v>
                </pt>
                <pt idx="157">
                  <formatCode>0.00%</formatCode>
                  <v>0.1350816209794518</v>
                </pt>
                <pt idx="158">
                  <formatCode>0.00%</formatCode>
                  <v>0.04909571062740077</v>
                </pt>
                <pt idx="159">
                  <formatCode>0.00%</formatCode>
                  <v>0.07958477508650519</v>
                </pt>
                <pt idx="160">
                  <formatCode>0.00%</formatCode>
                  <v>0.08558558558558559</v>
                </pt>
                <pt idx="161">
                  <formatCode>0.00%</formatCode>
                  <v>0.07907562342620421</v>
                </pt>
                <pt idx="162">
                  <formatCode>0.00%</formatCode>
                  <v>0.08150623522699486</v>
                </pt>
                <pt idx="163">
                  <formatCode>0.00%</formatCode>
                  <v>0.0850159834904706</v>
                </pt>
                <pt idx="164">
                  <formatCode>0.00%</formatCode>
                  <v>0.08249151527250949</v>
                </pt>
                <pt idx="165">
                  <formatCode>0.00%</formatCode>
                  <v>0.1135979389743177</v>
                </pt>
                <pt idx="166">
                  <formatCode>0.00%</formatCode>
                  <v>0.1081124369344118</v>
                </pt>
                <pt idx="167">
                  <formatCode>0.00%</formatCode>
                  <v>0.06406012695198411</v>
                </pt>
                <pt idx="168">
                  <formatCode>0.00%</formatCode>
                  <v>0.1362627267855776</v>
                </pt>
                <pt idx="169">
                  <formatCode>0.00%</formatCode>
                  <v>0.1427297747800132</v>
                </pt>
                <pt idx="170">
                  <formatCode>0.00%</formatCode>
                  <v>0.1170906594454403</v>
                </pt>
                <pt idx="171">
                  <formatCode>0.00%</formatCode>
                  <v>0.08993212669683258</v>
                </pt>
                <pt idx="172">
                  <formatCode>0.00%</formatCode>
                  <v>0.05107506601282535</v>
                </pt>
                <pt idx="173">
                  <formatCode>0.00%</formatCode>
                  <v>0.02898114343784109</v>
                </pt>
                <pt idx="174">
                  <formatCode>0.00%</formatCode>
                  <v>0.02973095184264074</v>
                </pt>
                <pt idx="175">
                  <formatCode>0.00%</formatCode>
                  <v>0.02028790930111136</v>
                </pt>
                <pt idx="176">
                  <formatCode>0.00%</formatCode>
                  <v>-0.004315591457342038</v>
                </pt>
                <pt idx="177">
                  <formatCode>0.00%</formatCode>
                  <v>-0.01818247541931753</v>
                </pt>
                <pt idx="178">
                  <formatCode>0.00%</formatCode>
                  <v>-0.03711064537110646</v>
                </pt>
                <pt idx="179">
                  <formatCode>0.00%</formatCode>
                  <v>-0.008197921241399501</v>
                </pt>
                <pt idx="180">
                  <formatCode>0.00%</formatCode>
                  <v>-0.0725257697231018</v>
                </pt>
                <pt idx="181">
                  <formatCode>0.00%</formatCode>
                  <v>-0.0811085857729231</v>
                </pt>
                <pt idx="182">
                  <formatCode>0.00%</formatCode>
                  <v>-0.06087609682816075</v>
                </pt>
                <pt idx="183">
                  <formatCode>0.00%</formatCode>
                  <v>-0.07939802802283343</v>
                </pt>
                <pt idx="184">
                  <formatCode>0.00%</formatCode>
                  <v>-0.02583979328165375</v>
                </pt>
                <pt idx="185">
                  <formatCode>0.00%</formatCode>
                  <v>-0.02564102564102564</v>
                </pt>
                <pt idx="186">
                  <formatCode>0.00%</formatCode>
                  <v>-0.01708932557543821</v>
                </pt>
                <pt idx="187">
                  <formatCode>0.00%</formatCode>
                  <v>-0.02679289421741355</v>
                </pt>
                <pt idx="188">
                  <formatCode>0.00%</formatCode>
                  <v>-0.02156034674372083</v>
                </pt>
                <pt idx="189">
                  <formatCode>0.00%</formatCode>
                  <v>-0.03361437355031111</v>
                </pt>
                <pt idx="190">
                  <formatCode>0.00%</formatCode>
                  <v>-0.003039741809584569</v>
                </pt>
                <pt idx="191">
                  <formatCode>0.00%</formatCode>
                  <v>-0.0540959409594096</v>
                </pt>
                <pt idx="192">
                  <formatCode>0.00%</formatCode>
                  <v>-0.06581193476918606</v>
                </pt>
                <pt idx="193">
                  <formatCode>0.00%</formatCode>
                  <v>-0.05275398700531601</v>
                </pt>
                <pt idx="194">
                  <formatCode>0.00%</formatCode>
                  <v>-0.07452919363048062</v>
                </pt>
                <pt idx="195">
                  <formatCode>0.00%</formatCode>
                  <v>-0.04953025178504322</v>
                </pt>
                <pt idx="196">
                  <formatCode>0.00%</formatCode>
                  <v>-0.05503978779840848</v>
                </pt>
                <pt idx="197">
                  <formatCode>0.00%</formatCode>
                  <v>-0.0352128538178542</v>
                </pt>
                <pt idx="198">
                  <formatCode>0.00%</formatCode>
                  <v>-0.03585256887565152</v>
                </pt>
                <pt idx="199">
                  <formatCode>0.00%</formatCode>
                  <v>-0.04867605633802817</v>
                </pt>
                <pt idx="200">
                  <formatCode>0.00%</formatCode>
                  <v>-0.04524458579433591</v>
                </pt>
                <pt idx="201">
                  <formatCode>0.00%</formatCode>
                  <v>-0.06400487656202378</v>
                </pt>
                <pt idx="202">
                  <formatCode>0.00%</formatCode>
                  <v>-0.1268538733719792</v>
                </pt>
                <pt idx="203">
                  <formatCode>0.00%</formatCode>
                  <v>-0.1063041273308887</v>
                </pt>
                <pt idx="204">
                  <formatCode>0.00%</formatCode>
                  <v>-0.1151976983787567</v>
                </pt>
                <pt idx="205">
                  <formatCode>0.00%</formatCode>
                  <v>-0.1231926419579874</v>
                </pt>
                <pt idx="206">
                  <formatCode>0.00%</formatCode>
                  <v>-0.1299104336895034</v>
                </pt>
                <pt idx="207">
                  <formatCode>0.00%</formatCode>
                  <v>-0.1265222204649692</v>
                </pt>
                <pt idx="208">
                  <formatCode>0.00%</formatCode>
                  <v>-0.1302144249512671</v>
                </pt>
                <pt idx="209">
                  <formatCode>0.00%</formatCode>
                  <v>-0.1310505836575875</v>
                </pt>
                <pt idx="210">
                  <formatCode>0.00%</formatCode>
                  <v>-0.1549986484921033</v>
                </pt>
                <pt idx="211">
                  <formatCode>0.00%</formatCode>
                  <v>-0.1521970863437167</v>
                </pt>
                <pt idx="212">
                  <formatCode>0.00%</formatCode>
                  <v>-0.1528334060356109</v>
                </pt>
                <pt idx="213">
                  <formatCode>0.00%</formatCode>
                  <v>-0.159028003907522</v>
                </pt>
                <pt idx="214">
                  <formatCode>0.00%</formatCode>
                  <v>-0.09764614588722194</v>
                </pt>
                <pt idx="215">
                  <formatCode>0.00%</formatCode>
                  <v>-0.08992099174996726</v>
                </pt>
                <pt idx="216">
                  <formatCode>0.00%</formatCode>
                  <v>-0.096713243694525</v>
                </pt>
                <pt idx="217">
                  <formatCode>0.00%</formatCode>
                  <v>-0.09094141701484576</v>
                </pt>
                <pt idx="218">
                  <formatCode>0.00%</formatCode>
                  <v>-0.01237076165966861</v>
                </pt>
                <pt idx="219">
                  <formatCode>0.00%</formatCode>
                  <v>0.06626833242802825</v>
                </pt>
                <pt idx="220">
                  <formatCode>0.00%</formatCode>
                  <v>-0.02523532048408785</v>
                </pt>
                <pt idx="221">
                  <formatCode>0.00%</formatCode>
                  <v>-0.03600214938205266</v>
                </pt>
                <pt idx="222">
                  <formatCode>0.00%</formatCode>
                  <v>-0.01754786820819814</v>
                </pt>
                <pt idx="223">
                  <formatCode>0.00%</formatCode>
                  <v>-0.009127316755145758</v>
                </pt>
                <pt idx="224">
                  <formatCode>0.00%</formatCode>
                  <v>-0.0005617188597107148</v>
                </pt>
                <pt idx="225">
                  <formatCode>0.00%</formatCode>
                  <v>0.06640530468031557</v>
                </pt>
                <pt idx="226">
                  <formatCode>0.00%</formatCode>
                  <v>0.04839711432803019</v>
                </pt>
                <pt idx="227">
                  <formatCode>0.00%</formatCode>
                  <v>0.06182550721857163</v>
                </pt>
                <pt idx="228">
                  <formatCode>0.00%</formatCode>
                  <v>0.04553193559371504</v>
                </pt>
                <pt idx="229">
                  <formatCode>0.00%</formatCode>
                  <v>0.03642675532955212</v>
                </pt>
                <pt idx="230">
                  <formatCode>0.00%</formatCode>
                  <v>-0.0004571428571428571</v>
                </pt>
                <pt idx="231">
                  <formatCode>0.00%</formatCode>
                  <v>-0.06448463236542706</v>
                </pt>
                <pt idx="232">
                  <formatCode>0.00%</formatCode>
                  <v>0.02634846185680784</v>
                </pt>
                <pt idx="233">
                  <formatCode>0.00%</formatCode>
                  <v>0.05629877369007804</v>
                </pt>
                <pt idx="234">
                  <formatCode>0.00%</formatCode>
                  <v>0.05856086329596726</v>
                </pt>
                <pt idx="235">
                  <formatCode>0.00%</formatCode>
                  <v>0.06979039383400695</v>
                </pt>
                <pt idx="236">
                  <formatCode>0.00%</formatCode>
                  <v>0.06037187953725821</v>
                </pt>
                <pt idx="237">
                  <formatCode>0.00%</formatCode>
                  <v>0.05537148822221213</v>
                </pt>
                <pt idx="238">
                  <formatCode>0.00%</formatCode>
                  <v>0.04324644549763033</v>
                </pt>
                <pt idx="239">
                  <formatCode>0.00%</formatCode>
                  <v>0.05912909928629506</v>
                </pt>
                <pt idx="240">
                  <formatCode>0.00%</formatCode>
                  <v>0.09845065835388266</v>
                </pt>
                <pt idx="241">
                  <formatCode>0.00%</formatCode>
                  <v>0.1118554512431004</v>
                </pt>
                <pt idx="242">
                  <formatCode>0.00%</formatCode>
                  <v>0.1241710496226847</v>
                </pt>
                <pt idx="243">
                  <formatCode>0.00%</formatCode>
                  <v>0.06289422335163589</v>
                </pt>
                <pt idx="244">
                  <formatCode>0.00%</formatCode>
                  <v>0.01845878136200717</v>
                </pt>
                <pt idx="245">
                  <formatCode>0.00%</formatCode>
                  <v>-0.009190853122251539</v>
                </pt>
                <pt idx="246">
                  <formatCode>0.00%</formatCode>
                  <v>-0.001801564285086563</v>
                </pt>
                <pt idx="247">
                  <formatCode>0.00%</formatCode>
                  <v>0.01546369107762597</v>
                </pt>
                <pt idx="248">
                  <formatCode>0.00%</formatCode>
                  <v>0.04421378091872791</v>
                </pt>
                <pt idx="249">
                  <formatCode>0.00%</formatCode>
                  <v>0.02356685158904227</v>
                </pt>
                <pt idx="250">
                  <formatCode>0.00%</formatCode>
                  <v>0.05390293976324641</v>
                </pt>
                <pt idx="251">
                  <formatCode>0.00%</formatCode>
                  <v>0.02959866933936111</v>
                </pt>
                <pt idx="252">
                  <formatCode>0.00%</formatCode>
                  <v>0.03236054047185395</v>
                </pt>
                <pt idx="253">
                  <formatCode>0.00%</formatCode>
                  <v>0.05019517990495587</v>
                </pt>
                <pt idx="254">
                  <formatCode>0.00%</formatCode>
                  <v>0.004637917005695688</v>
                </pt>
                <pt idx="255">
                  <formatCode>0.00%</formatCode>
                  <v>0.05870298424625368</v>
                </pt>
                <pt idx="256">
                  <formatCode>0.00%</formatCode>
                  <v>0.1145521731479852</v>
                </pt>
                <pt idx="257">
                  <formatCode>0.00%</formatCode>
                  <v>0.10039501131774</v>
                </pt>
                <pt idx="258">
                  <formatCode>0.00%</formatCode>
                  <v>0.1160364484747106</v>
                </pt>
                <pt idx="259">
                  <formatCode>0.00%</formatCode>
                  <v>0.09413800562405364</v>
                </pt>
                <pt idx="260">
                  <formatCode>0.00%</formatCode>
                  <v>0.06962480436529758</v>
                </pt>
                <pt idx="261">
                  <formatCode>0.00%</formatCode>
                  <v>0.04680475610268476</v>
                </pt>
                <pt idx="262">
                  <formatCode>0.00%</formatCode>
                  <v>0.02992498031251295</v>
                </pt>
                <pt idx="263">
                  <formatCode>0.00%</formatCode>
                  <v>0.03371857006751999</v>
                </pt>
                <pt idx="264">
                  <formatCode>0.00%</formatCode>
                  <v>0.02244286710704468</v>
                </pt>
                <pt idx="265">
                  <formatCode>0.00%</formatCode>
                  <v>0.002828168558846107</v>
                </pt>
                <pt idx="266">
                  <formatCode>0.00%</formatCode>
                  <v>0.02397343484247185</v>
                </pt>
                <pt idx="267">
                  <formatCode>0.00%</formatCode>
                  <v>0.05230260504879426</v>
                </pt>
                <pt idx="268">
                  <formatCode>0.00%</formatCode>
                  <v>0.04310072623934322</v>
                </pt>
                <pt idx="269">
                  <formatCode>0.00%</formatCode>
                  <v>0.07356915258339047</v>
                </pt>
                <pt idx="270">
                  <formatCode>0.00%</formatCode>
                  <v>0.02974007020865381</v>
                </pt>
                <pt idx="271">
                  <formatCode>0.00%</formatCode>
                  <v>0.05155984342256138</v>
                </pt>
                <pt idx="272">
                  <formatCode>0.00%</formatCode>
                  <v>0.04792976628307035</v>
                </pt>
                <pt idx="273">
                  <formatCode>0.00%</formatCode>
                  <v>0.06389725065221755</v>
                </pt>
                <pt idx="274">
                  <formatCode>0.00%</formatCode>
                  <v>0.0712302305927804</v>
                </pt>
                <pt idx="275">
                  <formatCode>0.00%</formatCode>
                  <v>0.05201362452414346</v>
                </pt>
                <pt idx="276">
                  <formatCode>0.00%</formatCode>
                  <v>0.06404494382022471</v>
                </pt>
                <pt idx="277">
                  <formatCode>0.00%</formatCode>
                  <v>0.03037750292091374</v>
                </pt>
                <pt idx="278">
                  <formatCode>0.00%</formatCode>
                  <v>0.0488412560310053</v>
                </pt>
                <pt idx="279">
                  <formatCode>0.00%</formatCode>
                  <v>0.02448744970300824</v>
                </pt>
                <pt idx="280">
                  <formatCode>0.00%</formatCode>
                  <v>0.01335704555774179</v>
                </pt>
                <pt idx="281">
                  <formatCode>0.00%</formatCode>
                  <v>-0.003794567381748506</v>
                </pt>
                <pt idx="282">
                  <formatCode>0.00%</formatCode>
                  <v>0.04761175163749186</v>
                </pt>
                <pt idx="283">
                  <formatCode>0.00%</formatCode>
                  <v>0.03056965595036661</v>
                </pt>
                <pt idx="284">
                  <formatCode>0.00%</formatCode>
                  <v>0.02611419298841466</v>
                </pt>
                <pt idx="285">
                  <formatCode>0.00%</formatCode>
                  <v>0.03248198589051948</v>
                </pt>
                <pt idx="286">
                  <formatCode>0.00%</formatCode>
                  <v>0.03895713588038619</v>
                </pt>
                <pt idx="287">
                  <formatCode>0.00%</formatCode>
                  <v>0.07374395307202987</v>
                </pt>
                <pt idx="288">
                  <formatCode>0.00%</formatCode>
                  <v>0.0624528586513803</v>
                </pt>
                <pt idx="289">
                  <formatCode>0.00%</formatCode>
                  <v>0.1040469208211144</v>
                </pt>
                <pt idx="290">
                  <formatCode>0.00%</formatCode>
                  <v>0.09098450284680065</v>
                </pt>
                <pt idx="291">
                  <formatCode>0.00%</formatCode>
                  <v>0.04458741677264906</v>
                </pt>
                <pt idx="292">
                  <formatCode>0.00%</formatCode>
                  <v>0.02807960867779396</v>
                </pt>
                <pt idx="293">
                  <formatCode>0.00%</formatCode>
                  <v>0.06716699351335043</v>
                </pt>
                <pt idx="294">
                  <formatCode>0.00%</formatCode>
                  <v>0.02303473491773309</v>
                </pt>
                <pt idx="295">
                  <formatCode>0.00%</formatCode>
                  <v>0.01634559252772913</v>
                </pt>
                <pt idx="296">
                  <formatCode>0.00%</formatCode>
                  <v>0.029164061638042</v>
                </pt>
                <pt idx="297">
                  <formatCode>0.00%</formatCode>
                  <v>0.02488307512423268</v>
                </pt>
                <pt idx="298">
                  <formatCode>0.00%</formatCode>
                  <v>0.01981486838299103</v>
                </pt>
                <pt idx="299">
                  <formatCode>0.00%</formatCode>
                  <v>-0.00046117279789989</v>
                </pt>
                <pt idx="300">
                  <formatCode>0.00%</formatCode>
                  <v>0.01178475081641346</v>
                </pt>
                <pt idx="301">
                  <formatCode>0.00%</formatCode>
                  <v>0.02238277376398923</v>
                </pt>
                <pt idx="302">
                  <formatCode>0.00%</formatCode>
                  <v>-0.008847722402709614</v>
                </pt>
                <pt idx="303">
                  <formatCode>0.00%</formatCode>
                  <v>0.03942562486571654</v>
                </pt>
                <pt idx="304">
                  <formatCode>0.00%</formatCode>
                  <v>0.04260342134892674</v>
                </pt>
                <pt idx="305">
                  <formatCode>0.00%</formatCode>
                  <v>0.0161501219210517</v>
                </pt>
                <pt idx="306">
                  <formatCode>0.00%</formatCode>
                  <v>0.03341672623302359</v>
                </pt>
                <pt idx="307">
                  <formatCode>0.00%</formatCode>
                  <v>0.03895031591039633</v>
                </pt>
                <pt idx="308">
                  <formatCode>0.00%</formatCode>
                  <v>0.06882504288164666</v>
                </pt>
                <pt idx="309">
                  <formatCode>0.00%</formatCode>
                  <v>0.05415522835038682</v>
                </pt>
                <pt idx="310">
                  <formatCode>0.00%</formatCode>
                  <v>0.06463622181250886</v>
                </pt>
                <pt idx="311">
                  <formatCode>0.00%</formatCode>
                  <v>0.06750425894378194</v>
                </pt>
                <pt idx="312">
                  <formatCode>0.00%</formatCode>
                  <v>0.01782206006174572</v>
                </pt>
                <pt idx="313">
                  <formatCode>0.00%</formatCode>
                  <v>0.04049466537342386</v>
                </pt>
                <pt idx="314">
                  <formatCode>0.00%</formatCode>
                  <v>0.03511402468791408</v>
                </pt>
                <pt idx="315">
                  <formatCode>0.00%</formatCode>
                  <v>0.02862851827608778</v>
                </pt>
                <pt idx="316">
                  <formatCode>0.00%</formatCode>
                  <v>0.06817390092663554</v>
                </pt>
                <pt idx="317">
                  <formatCode>0.00%</formatCode>
                  <v>0.08197120400639911</v>
                </pt>
                <pt idx="318">
                  <formatCode>0.00%</formatCode>
                  <v>0.08355524814110324</v>
                </pt>
                <pt idx="319">
                  <formatCode>0.00%</formatCode>
                  <v>0.07104108358384299</v>
                </pt>
                <pt idx="320">
                  <formatCode>0.00%</formatCode>
                  <v>0.04085590103644266</v>
                </pt>
                <pt idx="321">
                  <formatCode>0.00%</formatCode>
                  <v>0.07058306277056277</v>
                </pt>
                <pt idx="322">
                  <formatCode>0.00%</formatCode>
                  <v>0.03250407966163786</v>
                </pt>
                <pt idx="323">
                  <formatCode>0.00%</formatCode>
                  <v>0.03291442250149611</v>
                </pt>
                <pt idx="324">
                  <formatCode>0.00%</formatCode>
                  <v>0.1083000137873983</v>
                </pt>
                <pt idx="325">
                  <formatCode>0.00%</formatCode>
                  <v>0.01960914871658288</v>
                </pt>
                <pt idx="326">
                  <formatCode>0.00%</formatCode>
                  <v>0.04197406097355567</v>
                </pt>
                <pt idx="327">
                  <formatCode>0.00%</formatCode>
                  <v>0.03593676736553018</v>
                </pt>
                <pt idx="328">
                  <formatCode>0.00%</formatCode>
                  <v>-0.004598375892769788</v>
                </pt>
                <pt idx="329">
                  <formatCode>0.00%</formatCode>
                  <v>-0.01967149882678152</v>
                </pt>
                <pt idx="330">
                  <formatCode>0.00%</formatCode>
                  <v>-0.005457853244390539</v>
                </pt>
                <pt idx="331">
                  <formatCode>0.00%</formatCode>
                  <v>0.02187308449204762</v>
                </pt>
                <pt idx="332">
                  <formatCode>0.00%</formatCode>
                  <v>0.002601824489271489</v>
                </pt>
                <pt idx="333">
                  <formatCode>0.00%</formatCode>
                  <v>-0.01399462960037909</v>
                </pt>
                <pt idx="334">
                  <formatCode>0.00%</formatCode>
                  <v>0.007999225881366319</v>
                </pt>
                <pt idx="335">
                  <formatCode>0.00%</formatCode>
                  <v>0.02002059997425003</v>
                </pt>
                <pt idx="336">
                  <formatCode>0.00%</formatCode>
                  <v>0.001306213845866766</v>
                </pt>
                <pt idx="337">
                  <formatCode>0.00%</formatCode>
                  <v>0.05567165153790896</v>
                </pt>
                <pt idx="338">
                  <formatCode>0.00%</formatCode>
                  <v>0.04144709191426078</v>
                </pt>
                <pt idx="339">
                  <formatCode>0.00%</formatCode>
                  <v>0.03084284374898969</v>
                </pt>
                <pt idx="340">
                  <formatCode>0.00%</formatCode>
                  <v>0.1839001376056615</v>
                </pt>
                <pt idx="341">
                  <formatCode>0.00%</formatCode>
                  <v>0.188170103937834</v>
                </pt>
                <pt idx="342">
                  <formatCode>0.00%</formatCode>
                  <v>0.1564184852374839</v>
                </pt>
                <pt idx="343">
                  <formatCode>0.00%</formatCode>
                  <v>0.1599368587213891</v>
                </pt>
                <pt idx="344">
                  <formatCode>0.00%</formatCode>
                  <v>0.1825201038029027</v>
                </pt>
                <pt idx="345">
                  <formatCode>0.00%</formatCode>
                  <v>0.169357939254133</v>
                </pt>
                <pt idx="346">
                  <formatCode>0.00%</formatCode>
                  <v>0.1697865668298615</v>
                </pt>
                <pt idx="347">
                  <formatCode>0.00%</formatCode>
                  <v>0.1526664562953613</v>
                </pt>
                <pt idx="348">
                  <formatCode>0.00%</formatCode>
                  <v>0.2014535967200894</v>
                </pt>
                <pt idx="349">
                  <formatCode>0.00%</formatCode>
                  <v>0.1443196931737342</v>
                </pt>
                <pt idx="350">
                  <formatCode>0.00%</formatCode>
                  <v>0.2961537267562785</v>
                </pt>
                <pt idx="351">
                  <formatCode>0.00%</formatCode>
                  <v>0.3066018503998745</v>
                </pt>
                <pt idx="352">
                  <formatCode>0.00%</formatCode>
                  <v>0.1024214750242148</v>
                </pt>
                <pt idx="353">
                  <formatCode>0.00%</formatCode>
                  <v>0.0830895744798278</v>
                </pt>
                <pt idx="354">
                  <formatCode>0.00%</formatCode>
                  <v>0.0780929122495421</v>
                </pt>
                <pt idx="355">
                  <formatCode>0.00%</formatCode>
                  <v>0.05911651833101984</v>
                </pt>
                <pt idx="356">
                  <formatCode>0.00%</formatCode>
                  <v>0.06285559468978597</v>
                </pt>
                <pt idx="357">
                  <formatCode>0.00%</formatCode>
                  <v>0.09849854786563647</v>
                </pt>
                <pt idx="358">
                  <formatCode>0.00%</formatCode>
                  <v>0.1182536860245644</v>
                </pt>
                <pt idx="359">
                  <formatCode>0.00%</formatCode>
                  <v>0.1280935173017959</v>
                </pt>
                <pt idx="360">
                  <formatCode>0.00%</formatCode>
                  <v>0.09017113903107389</v>
                </pt>
                <pt idx="361">
                  <formatCode>0.00%</formatCode>
                  <v>0.1435251506878936</v>
                </pt>
                <pt idx="362">
                  <formatCode>0.00%</formatCode>
                  <v>0.01961535698033674</v>
                </pt>
                <pt idx="363">
                  <formatCode>0.00%</formatCode>
                  <v>0.01216965507308994</v>
                </pt>
                <pt idx="364">
                  <formatCode>0.00%</formatCode>
                  <v>0.06077417411386685</v>
                </pt>
                <pt idx="365">
                  <formatCode>0.00%</formatCode>
                  <v>0.07342862238528371</v>
                </pt>
                <pt idx="366">
                  <formatCode>0.00%</formatCode>
                  <v>0.09650432454695222</v>
                </pt>
                <pt idx="367">
                  <formatCode>0.00%</formatCode>
                  <v>0.1096805694754966</v>
                </pt>
                <pt idx="368">
                  <formatCode>0.00%</formatCode>
                  <v>0.09671170022941626</v>
                </pt>
              </numCache>
            </numRef>
          </val>
          <smooth val="0"/>
        </ser>
        <dLbls>
          <showLegendKey val="0"/>
          <showVal val="0"/>
          <showCatName val="0"/>
          <showSerName val="0"/>
          <showPercent val="0"/>
          <showBubbleSize val="0"/>
        </dLbls>
        <smooth val="0"/>
        <axId val="1001706656"/>
        <axId val="1001706000"/>
      </lineChart>
      <dateAx>
        <axId val="1001706656"/>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01706000"/>
        <crosses val="autoZero"/>
        <lblOffset val="100"/>
        <baseTimeUnit val="months"/>
      </dateAx>
      <valAx>
        <axId val="1001706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01706656"/>
        <crosses val="autoZero"/>
        <crossBetween val="between"/>
      </valAx>
    </plotArea>
    <plotVisOnly val="1"/>
    <dispBlanksAs val="gap"/>
  </chart>
</chartSpace>
</file>

<file path=xl/charts/chart2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mil$</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'Furniture Home'!$B$6</f>
              <strCache>
                <ptCount val="1"/>
                <pt idx="0">
                  <v>Retail Sales mil$</v>
                </pt>
              </strCache>
            </strRef>
          </tx>
          <spPr>
            <a:ln xmlns:a="http://schemas.openxmlformats.org/drawingml/2006/main">
              <a:prstDash val="solid"/>
            </a:ln>
          </spPr>
          <marker>
            <symbol val="none"/>
            <spPr>
              <a:ln xmlns:a="http://schemas.openxmlformats.org/drawingml/2006/main">
                <a:prstDash val="solid"/>
              </a:ln>
            </spPr>
          </marker>
          <cat>
            <numRef>
              <f>'Furniture Home'!$A$7:$A$381</f>
              <numCache>
                <formatCode>[$-409]mmm\-yy;@</formatCode>
                <ptCount val="375"/>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numCache>
            </numRef>
          </cat>
          <val>
            <numRef>
              <f>'Furniture Home'!$B$7:$B$381</f>
              <numCache>
                <formatCode>#,##0</formatCode>
                <ptCount val="375"/>
                <pt idx="0">
                  <v>8128</v>
                </pt>
                <pt idx="1">
                  <v>8246</v>
                </pt>
                <pt idx="2">
                  <v>8246</v>
                </pt>
                <pt idx="3">
                  <v>8317</v>
                </pt>
                <pt idx="4">
                  <v>8312</v>
                </pt>
                <pt idx="5">
                  <v>8393</v>
                </pt>
                <pt idx="6">
                  <v>8449</v>
                </pt>
                <pt idx="7">
                  <v>8420</v>
                </pt>
                <pt idx="8">
                  <v>8443</v>
                </pt>
                <pt idx="9">
                  <v>8485</v>
                </pt>
                <pt idx="10">
                  <v>8486</v>
                </pt>
                <pt idx="11">
                  <v>8676</v>
                </pt>
                <pt idx="12">
                  <v>9032</v>
                </pt>
                <pt idx="13">
                  <v>8850</v>
                </pt>
                <pt idx="14">
                  <v>8846</v>
                </pt>
                <pt idx="15">
                  <v>9024</v>
                </pt>
                <pt idx="16">
                  <v>9127</v>
                </pt>
                <pt idx="17">
                  <v>9176</v>
                </pt>
                <pt idx="18">
                  <v>9282</v>
                </pt>
                <pt idx="19">
                  <v>9312</v>
                </pt>
                <pt idx="20">
                  <v>9369</v>
                </pt>
                <pt idx="21">
                  <v>9373</v>
                </pt>
                <pt idx="22">
                  <v>9434</v>
                </pt>
                <pt idx="23">
                  <v>9487</v>
                </pt>
                <pt idx="24">
                  <v>9408</v>
                </pt>
                <pt idx="25">
                  <v>9724</v>
                </pt>
                <pt idx="26">
                  <v>9962</v>
                </pt>
                <pt idx="27">
                  <v>10006</v>
                </pt>
                <pt idx="28">
                  <v>10156</v>
                </pt>
                <pt idx="29">
                  <v>10331</v>
                </pt>
                <pt idx="30">
                  <v>10376</v>
                </pt>
                <pt idx="31">
                  <v>10576</v>
                </pt>
                <pt idx="32">
                  <v>10685</v>
                </pt>
                <pt idx="33">
                  <v>10895</v>
                </pt>
                <pt idx="34">
                  <v>10952</v>
                </pt>
                <pt idx="35">
                  <v>11088</v>
                </pt>
                <pt idx="36">
                  <v>11157</v>
                </pt>
                <pt idx="37">
                  <v>10908</v>
                </pt>
                <pt idx="38">
                  <v>10979</v>
                </pt>
                <pt idx="39">
                  <v>10914</v>
                </pt>
                <pt idx="40">
                  <v>11172</v>
                </pt>
                <pt idx="41">
                  <v>11217</v>
                </pt>
                <pt idx="42">
                  <v>11283</v>
                </pt>
                <pt idx="43">
                  <v>11463</v>
                </pt>
                <pt idx="44">
                  <v>11548</v>
                </pt>
                <pt idx="45">
                  <v>11641</v>
                </pt>
                <pt idx="46">
                  <v>11779</v>
                </pt>
                <pt idx="47">
                  <v>11726</v>
                </pt>
                <pt idx="48">
                  <v>11493</v>
                </pt>
                <pt idx="49">
                  <v>11594</v>
                </pt>
                <pt idx="50">
                  <v>11931</v>
                </pt>
                <pt idx="51">
                  <v>11968</v>
                </pt>
                <pt idx="52">
                  <v>12014</v>
                </pt>
                <pt idx="53">
                  <v>12012</v>
                </pt>
                <pt idx="54">
                  <v>11930</v>
                </pt>
                <pt idx="55">
                  <v>11995</v>
                </pt>
                <pt idx="56">
                  <v>12200</v>
                </pt>
                <pt idx="57">
                  <v>12207</v>
                </pt>
                <pt idx="58">
                  <v>12124</v>
                </pt>
                <pt idx="59">
                  <v>12051</v>
                </pt>
                <pt idx="60">
                  <v>11951</v>
                </pt>
                <pt idx="61">
                  <v>12217</v>
                </pt>
                <pt idx="62">
                  <v>12276</v>
                </pt>
                <pt idx="63">
                  <v>12424</v>
                </pt>
                <pt idx="64">
                  <v>12404</v>
                </pt>
                <pt idx="65">
                  <v>12474</v>
                </pt>
                <pt idx="66">
                  <v>12564</v>
                </pt>
                <pt idx="67">
                  <v>12687</v>
                </pt>
                <pt idx="68">
                  <v>12721</v>
                </pt>
                <pt idx="69">
                  <v>12726</v>
                </pt>
                <pt idx="70">
                  <v>12895</v>
                </pt>
                <pt idx="71">
                  <v>12949</v>
                </pt>
                <pt idx="72">
                  <v>13153</v>
                </pt>
                <pt idx="73">
                  <v>13139</v>
                </pt>
                <pt idx="74">
                  <v>13128</v>
                </pt>
                <pt idx="75">
                  <v>13135</v>
                </pt>
                <pt idx="76">
                  <v>13188</v>
                </pt>
                <pt idx="77">
                  <v>13347</v>
                </pt>
                <pt idx="78">
                  <v>13407</v>
                </pt>
                <pt idx="79">
                  <v>13491</v>
                </pt>
                <pt idx="80">
                  <v>13373</v>
                </pt>
                <pt idx="81">
                  <v>13444</v>
                </pt>
                <pt idx="82">
                  <v>13666</v>
                </pt>
                <pt idx="83">
                  <v>13651</v>
                </pt>
                <pt idx="84">
                  <v>13617</v>
                </pt>
                <pt idx="85">
                  <v>13791</v>
                </pt>
                <pt idx="86">
                  <v>13947</v>
                </pt>
                <pt idx="87">
                  <v>13989</v>
                </pt>
                <pt idx="88">
                  <v>14114</v>
                </pt>
                <pt idx="89">
                  <v>14272</v>
                </pt>
                <pt idx="90">
                  <v>14332</v>
                </pt>
                <pt idx="91">
                  <v>14428</v>
                </pt>
                <pt idx="92">
                  <v>14702</v>
                </pt>
                <pt idx="93">
                  <v>14724</v>
                </pt>
                <pt idx="94">
                  <v>14622</v>
                </pt>
                <pt idx="95">
                  <v>14744</v>
                </pt>
                <pt idx="96">
                  <v>15089</v>
                </pt>
                <pt idx="97">
                  <v>15222</v>
                </pt>
                <pt idx="98">
                  <v>15251</v>
                </pt>
                <pt idx="99">
                  <v>15542</v>
                </pt>
                <pt idx="100">
                  <v>15284</v>
                </pt>
                <pt idx="101">
                  <v>15028</v>
                </pt>
                <pt idx="102">
                  <v>15145</v>
                </pt>
                <pt idx="103">
                  <v>15122</v>
                </pt>
                <pt idx="104">
                  <v>15253</v>
                </pt>
                <pt idx="105">
                  <v>15153</v>
                </pt>
                <pt idx="106">
                  <v>14972</v>
                </pt>
                <pt idx="107">
                  <v>14506</v>
                </pt>
                <pt idx="108">
                  <v>15140</v>
                </pt>
                <pt idx="109">
                  <v>14945</v>
                </pt>
                <pt idx="110">
                  <v>14816</v>
                </pt>
                <pt idx="111">
                  <v>14772</v>
                </pt>
                <pt idx="112">
                  <v>14694</v>
                </pt>
                <pt idx="113">
                  <v>14859</v>
                </pt>
                <pt idx="114">
                  <v>14969</v>
                </pt>
                <pt idx="115">
                  <v>14904</v>
                </pt>
                <pt idx="116">
                  <v>14560</v>
                </pt>
                <pt idx="117">
                  <v>14780</v>
                </pt>
                <pt idx="118">
                  <v>15356</v>
                </pt>
                <pt idx="119">
                  <v>15694</v>
                </pt>
                <pt idx="120">
                  <v>15451</v>
                </pt>
                <pt idx="121">
                  <v>15575</v>
                </pt>
                <pt idx="122">
                  <v>15626</v>
                </pt>
                <pt idx="123">
                  <v>15490</v>
                </pt>
                <pt idx="124">
                  <v>15637</v>
                </pt>
                <pt idx="125">
                  <v>15487</v>
                </pt>
                <pt idx="126">
                  <v>15284</v>
                </pt>
                <pt idx="127">
                  <v>15357</v>
                </pt>
                <pt idx="128">
                  <v>15343</v>
                </pt>
                <pt idx="129">
                  <v>15311</v>
                </pt>
                <pt idx="130">
                  <v>15508</v>
                </pt>
                <pt idx="131">
                  <v>15587</v>
                </pt>
                <pt idx="132">
                  <v>15263</v>
                </pt>
                <pt idx="133">
                  <v>14855</v>
                </pt>
                <pt idx="134">
                  <v>15218</v>
                </pt>
                <pt idx="135">
                  <v>15335</v>
                </pt>
                <pt idx="136">
                  <v>15625</v>
                </pt>
                <pt idx="137">
                  <v>15734</v>
                </pt>
                <pt idx="138">
                  <v>15846</v>
                </pt>
                <pt idx="139">
                  <v>16070</v>
                </pt>
                <pt idx="140">
                  <v>16123</v>
                </pt>
                <pt idx="141">
                  <v>16228</v>
                </pt>
                <pt idx="142">
                  <v>16388</v>
                </pt>
                <pt idx="143">
                  <v>16439</v>
                </pt>
                <pt idx="144">
                  <v>16411</v>
                </pt>
                <pt idx="145">
                  <v>16455</v>
                </pt>
                <pt idx="146">
                  <v>16702</v>
                </pt>
                <pt idx="147">
                  <v>16737</v>
                </pt>
                <pt idx="148">
                  <v>16630</v>
                </pt>
                <pt idx="149">
                  <v>16869</v>
                </pt>
                <pt idx="150">
                  <v>17205</v>
                </pt>
                <pt idx="151">
                  <v>17010</v>
                </pt>
                <pt idx="152">
                  <v>17026</v>
                </pt>
                <pt idx="153">
                  <v>17300</v>
                </pt>
                <pt idx="154">
                  <v>17201</v>
                </pt>
                <pt idx="155">
                  <v>17418</v>
                </pt>
                <pt idx="156">
                  <v>17411</v>
                </pt>
                <pt idx="157">
                  <v>17673</v>
                </pt>
                <pt idx="158">
                  <v>17624</v>
                </pt>
                <pt idx="159">
                  <v>17814</v>
                </pt>
                <pt idx="160">
                  <v>17738</v>
                </pt>
                <pt idx="161">
                  <v>17921</v>
                </pt>
                <pt idx="162">
                  <v>17961</v>
                </pt>
                <pt idx="163">
                  <v>18061</v>
                </pt>
                <pt idx="164">
                  <v>18199</v>
                </pt>
                <pt idx="165">
                  <v>18362</v>
                </pt>
                <pt idx="166">
                  <v>18284</v>
                </pt>
                <pt idx="167">
                  <v>18149</v>
                </pt>
                <pt idx="168">
                  <v>18956</v>
                </pt>
                <pt idx="169">
                  <v>18540</v>
                </pt>
                <pt idx="170">
                  <v>18616</v>
                </pt>
                <pt idx="171">
                  <v>18567</v>
                </pt>
                <pt idx="172">
                  <v>18500</v>
                </pt>
                <pt idx="173">
                  <v>18615</v>
                </pt>
                <pt idx="174">
                  <v>18568</v>
                </pt>
                <pt idx="175">
                  <v>18546</v>
                </pt>
                <pt idx="176">
                  <v>18707</v>
                </pt>
                <pt idx="177">
                  <v>18328</v>
                </pt>
                <pt idx="178">
                  <v>18469</v>
                </pt>
                <pt idx="179">
                  <v>18812</v>
                </pt>
                <pt idx="180">
                  <v>18838</v>
                </pt>
                <pt idx="181">
                  <v>18492</v>
                </pt>
                <pt idx="182">
                  <v>18432</v>
                </pt>
                <pt idx="183">
                  <v>18438</v>
                </pt>
                <pt idx="184">
                  <v>18421</v>
                </pt>
                <pt idx="185">
                  <v>18287</v>
                </pt>
                <pt idx="186">
                  <v>18403</v>
                </pt>
                <pt idx="187">
                  <v>18574</v>
                </pt>
                <pt idx="188">
                  <v>18315</v>
                </pt>
                <pt idx="189">
                  <v>18435</v>
                </pt>
                <pt idx="190">
                  <v>18656</v>
                </pt>
                <pt idx="191">
                  <v>18377</v>
                </pt>
                <pt idx="192">
                  <v>18048</v>
                </pt>
                <pt idx="193">
                  <v>17790</v>
                </pt>
                <pt idx="194">
                  <v>17802</v>
                </pt>
                <pt idx="195">
                  <v>17892</v>
                </pt>
                <pt idx="196">
                  <v>18117</v>
                </pt>
                <pt idx="197">
                  <v>17778</v>
                </pt>
                <pt idx="198">
                  <v>17698</v>
                </pt>
                <pt idx="199">
                  <v>17355</v>
                </pt>
                <pt idx="200">
                  <v>16536</v>
                </pt>
                <pt idx="201">
                  <v>16467</v>
                </pt>
                <pt idx="202">
                  <v>16377</v>
                </pt>
                <pt idx="203">
                  <v>15811</v>
                </pt>
                <pt idx="204">
                  <v>16247</v>
                </pt>
                <pt idx="205">
                  <v>16129</v>
                </pt>
                <pt idx="206">
                  <v>15140</v>
                </pt>
                <pt idx="207">
                  <v>15116</v>
                </pt>
                <pt idx="208">
                  <v>15113</v>
                </pt>
                <pt idx="209">
                  <v>15131</v>
                </pt>
                <pt idx="210">
                  <v>15004</v>
                </pt>
                <pt idx="211">
                  <v>14991</v>
                </pt>
                <pt idx="212">
                  <v>14946</v>
                </pt>
                <pt idx="213">
                  <v>14835</v>
                </pt>
                <pt idx="214">
                  <v>15199</v>
                </pt>
                <pt idx="215">
                  <v>15092</v>
                </pt>
                <pt idx="216">
                  <v>15226</v>
                </pt>
                <pt idx="217">
                  <v>15613</v>
                </pt>
                <pt idx="218">
                  <v>15383</v>
                </pt>
                <pt idx="219">
                  <v>15401</v>
                </pt>
                <pt idx="220">
                  <v>15483</v>
                </pt>
                <pt idx="221">
                  <v>15580</v>
                </pt>
                <pt idx="222">
                  <v>15454</v>
                </pt>
                <pt idx="223">
                  <v>15452</v>
                </pt>
                <pt idx="224">
                  <v>15491</v>
                </pt>
                <pt idx="225">
                  <v>15297</v>
                </pt>
                <pt idx="226">
                  <v>15211</v>
                </pt>
                <pt idx="227">
                  <v>15336</v>
                </pt>
                <pt idx="228">
                  <v>15193</v>
                </pt>
                <pt idx="229">
                  <v>15492</v>
                </pt>
                <pt idx="230">
                  <v>15888</v>
                </pt>
                <pt idx="231">
                  <v>15850</v>
                </pt>
                <pt idx="232">
                  <v>15661</v>
                </pt>
                <pt idx="233">
                  <v>15666</v>
                </pt>
                <pt idx="234">
                  <v>15811</v>
                </pt>
                <pt idx="235">
                  <v>15948</v>
                </pt>
                <pt idx="236">
                  <v>15868</v>
                </pt>
                <pt idx="237">
                  <v>16098</v>
                </pt>
                <pt idx="238">
                  <v>16030</v>
                </pt>
                <pt idx="239">
                  <v>15993</v>
                </pt>
                <pt idx="240">
                  <v>16159</v>
                </pt>
                <pt idx="241">
                  <v>16165</v>
                </pt>
                <pt idx="242">
                  <v>16301</v>
                </pt>
                <pt idx="243">
                  <v>16061</v>
                </pt>
                <pt idx="244">
                  <v>16383</v>
                </pt>
                <pt idx="245">
                  <v>16210</v>
                </pt>
                <pt idx="246">
                  <v>16400</v>
                </pt>
                <pt idx="247">
                  <v>16231</v>
                </pt>
                <pt idx="248">
                  <v>16242</v>
                </pt>
                <pt idx="249">
                  <v>15757</v>
                </pt>
                <pt idx="250">
                  <v>16266</v>
                </pt>
                <pt idx="251">
                  <v>16753</v>
                </pt>
                <pt idx="252">
                  <v>16733</v>
                </pt>
                <pt idx="253">
                  <v>16729</v>
                </pt>
                <pt idx="254">
                  <v>16484</v>
                </pt>
                <pt idx="255">
                  <v>16502</v>
                </pt>
                <pt idx="256">
                  <v>16413</v>
                </pt>
                <pt idx="257">
                  <v>16643</v>
                </pt>
                <pt idx="258">
                  <v>16570</v>
                </pt>
                <pt idx="259">
                  <v>16622</v>
                </pt>
                <pt idx="260">
                  <v>16604</v>
                </pt>
                <pt idx="261">
                  <v>16834</v>
                </pt>
                <pt idx="262">
                  <v>16765</v>
                </pt>
                <pt idx="263">
                  <v>16443</v>
                </pt>
                <pt idx="264">
                  <v>16310</v>
                </pt>
                <pt idx="265">
                  <v>16637</v>
                </pt>
                <pt idx="266">
                  <v>16806</v>
                </pt>
                <pt idx="267">
                  <v>16919</v>
                </pt>
                <pt idx="268">
                  <v>16757</v>
                </pt>
                <pt idx="269">
                  <v>16684</v>
                </pt>
                <pt idx="270">
                  <v>16807</v>
                </pt>
                <pt idx="271">
                  <v>16995</v>
                </pt>
                <pt idx="272">
                  <v>17117</v>
                </pt>
                <pt idx="273">
                  <v>17085</v>
                </pt>
                <pt idx="274">
                  <v>17422</v>
                </pt>
                <pt idx="275">
                  <v>17510</v>
                </pt>
                <pt idx="276">
                  <v>17325</v>
                </pt>
                <pt idx="277">
                  <v>17000</v>
                </pt>
                <pt idx="278">
                  <v>17059</v>
                </pt>
                <pt idx="279">
                  <v>17262</v>
                </pt>
                <pt idx="280">
                  <v>17496</v>
                </pt>
                <pt idx="281">
                  <v>17436</v>
                </pt>
                <pt idx="282">
                  <v>17422</v>
                </pt>
                <pt idx="283">
                  <v>17442</v>
                </pt>
                <pt idx="284">
                  <v>17451</v>
                </pt>
                <pt idx="285">
                  <v>17455</v>
                </pt>
                <pt idx="286">
                  <v>17319</v>
                </pt>
                <pt idx="287">
                  <v>17507</v>
                </pt>
                <pt idx="288">
                  <v>17209</v>
                </pt>
                <pt idx="289">
                  <v>17338</v>
                </pt>
                <pt idx="290">
                  <v>17145</v>
                </pt>
                <pt idx="291">
                  <v>17088</v>
                </pt>
                <pt idx="292">
                  <v>17198</v>
                </pt>
                <pt idx="293">
                  <v>17307</v>
                </pt>
                <pt idx="294">
                  <v>17291</v>
                </pt>
                <pt idx="295">
                  <v>17370</v>
                </pt>
                <pt idx="296">
                  <v>17243</v>
                </pt>
                <pt idx="297">
                  <v>16999</v>
                </pt>
                <pt idx="298">
                  <v>16879</v>
                </pt>
                <pt idx="299">
                  <v>16904</v>
                </pt>
                <pt idx="300">
                  <v>17193</v>
                </pt>
                <pt idx="301">
                  <v>17110</v>
                </pt>
                <pt idx="302">
                  <v>17359</v>
                </pt>
                <pt idx="303">
                  <v>17258</v>
                </pt>
                <pt idx="304">
                  <v>17239</v>
                </pt>
                <pt idx="305">
                  <v>17237</v>
                </pt>
                <pt idx="306">
                  <v>17110</v>
                </pt>
                <pt idx="307">
                  <v>17206</v>
                </pt>
                <pt idx="308">
                  <v>17196</v>
                </pt>
                <pt idx="309">
                  <v>17512</v>
                </pt>
                <pt idx="310">
                  <v>17806</v>
                </pt>
                <pt idx="311">
                  <v>17768</v>
                </pt>
                <pt idx="312">
                  <v>17726</v>
                </pt>
                <pt idx="313">
                  <v>17818</v>
                </pt>
                <pt idx="314">
                  <v>17755</v>
                </pt>
                <pt idx="315">
                  <v>18000</v>
                </pt>
                <pt idx="316">
                  <v>17886</v>
                </pt>
                <pt idx="317">
                  <v>17958</v>
                </pt>
                <pt idx="318">
                  <v>17930</v>
                </pt>
                <pt idx="319">
                  <v>17823</v>
                </pt>
                <pt idx="320">
                  <v>17675</v>
                </pt>
                <pt idx="321">
                  <v>17710</v>
                </pt>
                <pt idx="322">
                  <v>17678</v>
                </pt>
                <pt idx="323">
                  <v>17581</v>
                </pt>
                <pt idx="324">
                  <v>17540</v>
                </pt>
                <pt idx="325">
                  <v>17430</v>
                </pt>
                <pt idx="326">
                  <v>17528</v>
                </pt>
                <pt idx="327">
                  <v>17567</v>
                </pt>
                <pt idx="328">
                  <v>17696</v>
                </pt>
                <pt idx="329">
                  <v>17706</v>
                </pt>
                <pt idx="330">
                  <v>17821</v>
                </pt>
                <pt idx="331">
                  <v>17720</v>
                </pt>
                <pt idx="332">
                  <v>17886</v>
                </pt>
                <pt idx="333">
                  <v>17580</v>
                </pt>
                <pt idx="334">
                  <v>17708</v>
                </pt>
                <pt idx="335">
                  <v>17598</v>
                </pt>
                <pt idx="336">
                  <v>17920</v>
                </pt>
                <pt idx="337">
                  <v>17656</v>
                </pt>
                <pt idx="338">
                  <v>14044</v>
                </pt>
                <pt idx="339">
                  <v>7446</v>
                </pt>
                <pt idx="340">
                  <v>11317</v>
                </pt>
                <pt idx="341">
                  <v>15831</v>
                </pt>
                <pt idx="342">
                  <v>17003</v>
                </pt>
                <pt idx="343">
                  <v>17516</v>
                </pt>
                <pt idx="344">
                  <v>17530</v>
                </pt>
                <pt idx="345">
                  <v>17648</v>
                </pt>
                <pt idx="346">
                  <v>17177</v>
                </pt>
                <pt idx="347">
                  <v>16924</v>
                </pt>
                <pt idx="348">
                  <v>19237</v>
                </pt>
                <pt idx="349">
                  <v>18311</v>
                </pt>
                <pt idx="350">
                  <v>20071</v>
                </pt>
                <pt idx="351">
                  <v>20200</v>
                </pt>
                <pt idx="352">
                  <v>20059</v>
                </pt>
                <pt idx="353">
                  <v>20449</v>
                </pt>
                <pt idx="354">
                  <v>20304</v>
                </pt>
                <pt idx="355">
                  <v>19888</v>
                </pt>
                <pt idx="356">
                  <v>20056</v>
                </pt>
                <pt idx="357">
                  <v>20255</v>
                </pt>
                <pt idx="358">
                  <v>19252</v>
                </pt>
                <pt idx="359">
                  <v>18443</v>
                </pt>
                <pt idx="360">
                  <v>19257</v>
                </pt>
                <pt idx="361">
                  <v>19617</v>
                </pt>
                <pt idx="362">
                  <v>19770</v>
                </pt>
                <pt idx="363">
                  <v>20080</v>
                </pt>
                <pt idx="364">
                  <v>19740</v>
                </pt>
                <pt idx="365">
                  <v>19554</v>
                </pt>
                <pt idx="366">
                  <v>19544</v>
                </pt>
                <pt idx="367">
                  <v>19614</v>
                </pt>
                <pt idx="368">
                  <v>19467</v>
                </pt>
              </numCache>
            </numRef>
          </val>
          <smooth val="0"/>
        </ser>
        <dLbls>
          <showLegendKey val="0"/>
          <showVal val="0"/>
          <showCatName val="0"/>
          <showSerName val="0"/>
          <showPercent val="0"/>
          <showBubbleSize val="0"/>
        </dLbls>
        <smooth val="0"/>
        <axId val="1568390776"/>
        <axId val="1568389136"/>
      </lineChart>
      <dateAx>
        <axId val="156839077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68389136"/>
        <crosses val="autoZero"/>
        <lblOffset val="100"/>
        <baseTimeUnit val="months"/>
      </dateAx>
      <valAx>
        <axId val="1568389136"/>
        <scaling>
          <orientation val="minMax"/>
          <min val="8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68390776"/>
        <crosses val="autoZero"/>
        <crossBetween val="between"/>
      </valAx>
    </plotArea>
    <plotVisOnly val="1"/>
    <dispBlanksAs val="gap"/>
  </chart>
</chartSpace>
</file>

<file path=xl/charts/chart29.xml><?xml version="1.0" encoding="utf-8"?>
<chartSpace xmlns="http://schemas.openxmlformats.org/drawingml/2006/chart">
  <chart>
    <title>
      <tx>
        <strRef>
          <f>Table1[[#Headers],[yoy]]</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'Furniture Home'!$D$6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'Furniture Home'!$A$7:$A$382</f>
              <numCache>
                <formatCode>[$-409]mmm\-yy;@</formatCode>
                <ptCount val="376"/>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numCache>
            </numRef>
          </cat>
          <val>
            <numRef>
              <f>'Furniture Home'!$D$7:$D$382</f>
              <numCache>
                <formatCode>General</formatCode>
                <ptCount val="376"/>
                <pt idx="12">
                  <formatCode>0.00%</formatCode>
                  <v>0.1112204724409449</v>
                </pt>
                <pt idx="13">
                  <formatCode>0.00%</formatCode>
                  <v>0.07324763521707495</v>
                </pt>
                <pt idx="14">
                  <formatCode>0.00%</formatCode>
                  <v>0.07276255154014068</v>
                </pt>
                <pt idx="15">
                  <formatCode>0.00%</formatCode>
                  <v>0.08500661296140435</v>
                </pt>
                <pt idx="16">
                  <formatCode>0.00%</formatCode>
                  <v>0.09805101058710299</v>
                </pt>
                <pt idx="17">
                  <formatCode>0.00%</formatCode>
                  <v>0.09329202907184558</v>
                </pt>
                <pt idx="18">
                  <formatCode>0.00%</formatCode>
                  <v>0.09859154929577464</v>
                </pt>
                <pt idx="19">
                  <formatCode>0.00%</formatCode>
                  <v>0.105938242280285</v>
                </pt>
                <pt idx="20">
                  <formatCode>0.00%</formatCode>
                  <v>0.1096766552173398</v>
                </pt>
                <pt idx="21">
                  <formatCode>0.00%</formatCode>
                  <v>0.1046552740129641</v>
                </pt>
                <pt idx="22">
                  <formatCode>0.00%</formatCode>
                  <v>0.1117134103228847</v>
                </pt>
                <pt idx="23">
                  <formatCode>0.00%</formatCode>
                  <v>0.09347625633932688</v>
                </pt>
                <pt idx="24">
                  <formatCode>0.00%</formatCode>
                  <v>0.04162976085031001</v>
                </pt>
                <pt idx="25">
                  <formatCode>0.00%</formatCode>
                  <v>0.09875706214689266</v>
                </pt>
                <pt idx="26">
                  <formatCode>0.00%</formatCode>
                  <v>0.1261587158037531</v>
                </pt>
                <pt idx="27">
                  <formatCode>0.00%</formatCode>
                  <v>0.1088209219858156</v>
                </pt>
                <pt idx="28">
                  <formatCode>0.00%</formatCode>
                  <v>0.1127424126218911</v>
                </pt>
                <pt idx="29">
                  <formatCode>0.00%</formatCode>
                  <v>0.125871839581517</v>
                </pt>
                <pt idx="30">
                  <formatCode>0.00%</formatCode>
                  <v>0.1178625296272355</v>
                </pt>
                <pt idx="31">
                  <formatCode>0.00%</formatCode>
                  <v>0.1357388316151203</v>
                </pt>
                <pt idx="32">
                  <formatCode>0.00%</formatCode>
                  <v>0.1404632298004056</v>
                </pt>
                <pt idx="33">
                  <formatCode>0.00%</formatCode>
                  <v>0.162381308012376</v>
                </pt>
                <pt idx="34">
                  <formatCode>0.00%</formatCode>
                  <v>0.1609073563705745</v>
                </pt>
                <pt idx="35">
                  <formatCode>0.00%</formatCode>
                  <v>0.1687572467587225</v>
                </pt>
                <pt idx="36">
                  <formatCode>0.00%</formatCode>
                  <v>0.185905612244898</v>
                </pt>
                <pt idx="37">
                  <formatCode>0.00%</formatCode>
                  <v>0.1217605923488276</v>
                </pt>
                <pt idx="38">
                  <formatCode>0.00%</formatCode>
                  <v>0.1020879341497691</v>
                </pt>
                <pt idx="39">
                  <formatCode>0.00%</formatCode>
                  <v>0.09074555266839895</v>
                </pt>
                <pt idx="40">
                  <formatCode>0.00%</formatCode>
                  <v>0.1000393855848759</v>
                </pt>
                <pt idx="41">
                  <formatCode>0.00%</formatCode>
                  <v>0.08576130093892169</v>
                </pt>
                <pt idx="42">
                  <formatCode>0.00%</formatCode>
                  <v>0.08741326137239784</v>
                </pt>
                <pt idx="43">
                  <formatCode>0.00%</formatCode>
                  <v>0.08386913767019667</v>
                </pt>
                <pt idx="44">
                  <formatCode>0.00%</formatCode>
                  <v>0.08076743097800655</v>
                </pt>
                <pt idx="45">
                  <formatCode>0.00%</formatCode>
                  <v>0.06847177604405691</v>
                </pt>
                <pt idx="46">
                  <formatCode>0.00%</formatCode>
                  <v>0.07551132213294376</v>
                </pt>
                <pt idx="47">
                  <formatCode>0.00%</formatCode>
                  <v>0.05753968253968254</v>
                </pt>
                <pt idx="48">
                  <formatCode>0.00%</formatCode>
                  <v>0.03011562247916106</v>
                </pt>
                <pt idx="49">
                  <formatCode>0.00%</formatCode>
                  <v>0.06288962229556289</v>
                </pt>
                <pt idx="50">
                  <formatCode>0.00%</formatCode>
                  <v>0.08671099371527462</v>
                </pt>
                <pt idx="51">
                  <formatCode>0.00%</formatCode>
                  <v>0.09657320872274143</v>
                </pt>
                <pt idx="52">
                  <formatCode>0.00%</formatCode>
                  <v>0.07536698890082348</v>
                </pt>
                <pt idx="53">
                  <formatCode>0.00%</formatCode>
                  <v>0.070874565391816</v>
                </pt>
                <pt idx="54">
                  <formatCode>0.00%</formatCode>
                  <v>0.05734290525569441</v>
                </pt>
                <pt idx="55">
                  <formatCode>0.00%</formatCode>
                  <v>0.04641018930471953</v>
                </pt>
                <pt idx="56">
                  <formatCode>0.00%</formatCode>
                  <v>0.05645999307239349</v>
                </pt>
                <pt idx="57">
                  <formatCode>0.00%</formatCode>
                  <v>0.04862125246971909</v>
                </pt>
                <pt idx="58">
                  <formatCode>0.00%</formatCode>
                  <v>0.02928941336276424</v>
                </pt>
                <pt idx="59">
                  <formatCode>0.00%</formatCode>
                  <v>0.02771618625277162</v>
                </pt>
                <pt idx="60">
                  <formatCode>0.00%</formatCode>
                  <v>0.03985034368746193</v>
                </pt>
                <pt idx="61">
                  <formatCode>0.00%</formatCode>
                  <v>0.05373469035708125</v>
                </pt>
                <pt idx="62">
                  <formatCode>0.00%</formatCode>
                  <v>0.02891626854412874</v>
                </pt>
                <pt idx="63">
                  <formatCode>0.00%</formatCode>
                  <v>0.03810160427807487</v>
                </pt>
                <pt idx="64">
                  <formatCode>0.00%</formatCode>
                  <v>0.03246212751789579</v>
                </pt>
                <pt idx="65">
                  <formatCode>0.00%</formatCode>
                  <v>0.03846153846153846</v>
                </pt>
                <pt idx="66">
                  <formatCode>0.00%</formatCode>
                  <v>0.05314333612740989</v>
                </pt>
                <pt idx="67">
                  <formatCode>0.00%</formatCode>
                  <v>0.05769070446019175</v>
                </pt>
                <pt idx="68">
                  <formatCode>0.00%</formatCode>
                  <v>0.04270491803278689</v>
                </pt>
                <pt idx="69">
                  <formatCode>0.00%</formatCode>
                  <v>0.04251658884246744</v>
                </pt>
                <pt idx="70">
                  <formatCode>0.00%</formatCode>
                  <v>0.06359287363906302</v>
                </pt>
                <pt idx="71">
                  <formatCode>0.00%</formatCode>
                  <v>0.07451663762343375</v>
                </pt>
                <pt idx="72">
                  <formatCode>0.00%</formatCode>
                  <v>0.1005773575433018</v>
                </pt>
                <pt idx="73">
                  <formatCode>0.00%</formatCode>
                  <v>0.07546860931488909</v>
                </pt>
                <pt idx="74">
                  <formatCode>0.00%</formatCode>
                  <v>0.06940371456500488</v>
                </pt>
                <pt idx="75">
                  <formatCode>0.00%</formatCode>
                  <v>0.05722794591113973</v>
                </pt>
                <pt idx="76">
                  <formatCode>0.00%</formatCode>
                  <v>0.06320541760722348</v>
                </pt>
                <pt idx="77">
                  <formatCode>0.00%</formatCode>
                  <v>0.06998556998556998</v>
                </pt>
                <pt idx="78">
                  <formatCode>0.00%</formatCode>
                  <v>0.06709646609360076</v>
                </pt>
                <pt idx="79">
                  <formatCode>0.00%</formatCode>
                  <v>0.06337195554504611</v>
                </pt>
                <pt idx="80">
                  <formatCode>0.00%</formatCode>
                  <v>0.05125383224589262</v>
                </pt>
                <pt idx="81">
                  <formatCode>0.00%</formatCode>
                  <v>0.05641992770705642</v>
                </pt>
                <pt idx="82">
                  <formatCode>0.00%</formatCode>
                  <v>0.05979061651803024</v>
                </pt>
                <pt idx="83">
                  <formatCode>0.00%</formatCode>
                  <v>0.05421268051586995</v>
                </pt>
                <pt idx="84">
                  <formatCode>0.00%</formatCode>
                  <v>0.0352771230897894</v>
                </pt>
                <pt idx="85">
                  <formatCode>0.00%</formatCode>
                  <v>0.04962325899992389</v>
                </pt>
                <pt idx="86">
                  <formatCode>0.00%</formatCode>
                  <v>0.06238574040219379</v>
                </pt>
                <pt idx="87">
                  <formatCode>0.00%</formatCode>
                  <v>0.0650171298058622</v>
                </pt>
                <pt idx="88">
                  <formatCode>0.00%</formatCode>
                  <v>0.07021534728541098</v>
                </pt>
                <pt idx="89">
                  <formatCode>0.00%</formatCode>
                  <v>0.06930396343747659</v>
                </pt>
                <pt idx="90">
                  <formatCode>0.00%</formatCode>
                  <v>0.06899380920414709</v>
                </pt>
                <pt idx="91">
                  <formatCode>0.00%</formatCode>
                  <v>0.06945370988066119</v>
                </pt>
                <pt idx="92">
                  <formatCode>0.00%</formatCode>
                  <v>0.09937934644432812</v>
                </pt>
                <pt idx="93">
                  <formatCode>0.00%</formatCode>
                  <v>0.09520975900029753</v>
                </pt>
                <pt idx="94">
                  <formatCode>0.00%</formatCode>
                  <v>0.06995463193326504</v>
                </pt>
                <pt idx="95">
                  <formatCode>0.00%</formatCode>
                  <v>0.08006739433008571</v>
                </pt>
                <pt idx="96">
                  <formatCode>0.00%</formatCode>
                  <v>0.1081001689065139</v>
                </pt>
                <pt idx="97">
                  <formatCode>0.00%</formatCode>
                  <v>0.1037633239068958</v>
                </pt>
                <pt idx="98">
                  <formatCode>0.00%</formatCode>
                  <v>0.09349680934968094</v>
                </pt>
                <pt idx="99">
                  <formatCode>0.00%</formatCode>
                  <v>0.1110157981270999</v>
                </pt>
                <pt idx="100">
                  <formatCode>0.00%</formatCode>
                  <v>0.08289641490718436</v>
                </pt>
                <pt idx="101">
                  <formatCode>0.00%</formatCode>
                  <v>0.05297085201793722</v>
                </pt>
                <pt idx="102">
                  <formatCode>0.00%</formatCode>
                  <v>0.05672620708903154</v>
                </pt>
                <pt idx="103">
                  <formatCode>0.00%</formatCode>
                  <v>0.04810091488771832</v>
                </pt>
                <pt idx="104">
                  <formatCode>0.00%</formatCode>
                  <v>0.03747789416405931</v>
                </pt>
                <pt idx="105">
                  <formatCode>0.00%</formatCode>
                  <v>0.0291361043194784</v>
                </pt>
                <pt idx="106">
                  <formatCode>0.00%</formatCode>
                  <v>0.02393653398987827</v>
                </pt>
                <pt idx="107">
                  <formatCode>0.00%</formatCode>
                  <v>-0.01614215952251763</v>
                </pt>
                <pt idx="108">
                  <formatCode>0.00%</formatCode>
                  <v>0.003379945655775731</v>
                </pt>
                <pt idx="109">
                  <formatCode>0.00%</formatCode>
                  <v>-0.01819734594665616</v>
                </pt>
                <pt idx="110">
                  <formatCode>0.00%</formatCode>
                  <v>-0.02852271982165104</v>
                </pt>
                <pt idx="111">
                  <formatCode>0.00%</formatCode>
                  <v>-0.0495431733367649</v>
                </pt>
                <pt idx="112">
                  <formatCode>0.00%</formatCode>
                  <v>-0.03860246008898194</v>
                </pt>
                <pt idx="113">
                  <formatCode>0.00%</formatCode>
                  <v>-0.01124567474048443</v>
                </pt>
                <pt idx="114">
                  <formatCode>0.00%</formatCode>
                  <v>-0.01162099702872235</v>
                </pt>
                <pt idx="115">
                  <formatCode>0.00%</formatCode>
                  <v>-0.01441608252876604</v>
                </pt>
                <pt idx="116">
                  <formatCode>0.00%</formatCode>
                  <v>-0.04543368517668656</v>
                </pt>
                <pt idx="117">
                  <formatCode>0.00%</formatCode>
                  <v>-0.0246155876724081</v>
                </pt>
                <pt idx="118">
                  <formatCode>0.00%</formatCode>
                  <v>0.02564787603526583</v>
                </pt>
                <pt idx="119">
                  <formatCode>0.00%</formatCode>
                  <v>0.08189714600854818</v>
                </pt>
                <pt idx="120">
                  <formatCode>0.00%</formatCode>
                  <v>0.02054161162483488</v>
                </pt>
                <pt idx="121">
                  <formatCode>0.00%</formatCode>
                  <v>0.04215456674473068</v>
                </pt>
                <pt idx="122">
                  <formatCode>0.00%</formatCode>
                  <v>0.05467062634989201</v>
                </pt>
                <pt idx="123">
                  <formatCode>0.00%</formatCode>
                  <v>0.04860546980774438</v>
                </pt>
                <pt idx="124">
                  <formatCode>0.00%</formatCode>
                  <v>0.0641758540901048</v>
                </pt>
                <pt idx="125">
                  <formatCode>0.00%</formatCode>
                  <v>0.0422639477757588</v>
                </pt>
                <pt idx="126">
                  <formatCode>0.00%</formatCode>
                  <v>0.02104348987908344</v>
                </pt>
                <pt idx="127">
                  <formatCode>0.00%</formatCode>
                  <v>0.03039452495974235</v>
                </pt>
                <pt idx="128">
                  <formatCode>0.00%</formatCode>
                  <v>0.05377747252747253</v>
                </pt>
                <pt idx="129">
                  <formatCode>0.00%</formatCode>
                  <v>0.03592692828146143</v>
                </pt>
                <pt idx="130">
                  <formatCode>0.00%</formatCode>
                  <v>0.00989841104454285</v>
                </pt>
                <pt idx="131">
                  <formatCode>0.00%</formatCode>
                  <v>-0.006817892188097362</v>
                </pt>
                <pt idx="132">
                  <formatCode>0.00%</formatCode>
                  <v>-0.01216749724936897</v>
                </pt>
                <pt idx="133">
                  <formatCode>0.00%</formatCode>
                  <v>-0.04622792937399679</v>
                </pt>
                <pt idx="134">
                  <formatCode>0.00%</formatCode>
                  <v>-0.02611032893894791</v>
                </pt>
                <pt idx="135">
                  <formatCode>0.00%</formatCode>
                  <v>-0.01000645577792124</v>
                </pt>
                <pt idx="136">
                  <formatCode>0.00%</formatCode>
                  <v>-0.0007674106286372066</v>
                </pt>
                <pt idx="137">
                  <formatCode>0.00%</formatCode>
                  <v>0.01594886033447408</v>
                </pt>
                <pt idx="138">
                  <formatCode>0.00%</formatCode>
                  <v>0.0367704789322167</v>
                </pt>
                <pt idx="139">
                  <formatCode>0.00%</formatCode>
                  <v>0.04642833886826854</v>
                </pt>
                <pt idx="140">
                  <formatCode>0.00%</formatCode>
                  <v>0.0508375154793717</v>
                </pt>
                <pt idx="141">
                  <formatCode>0.00%</formatCode>
                  <v>0.05989158121611913</v>
                </pt>
                <pt idx="142">
                  <formatCode>0.00%</formatCode>
                  <v>0.05674490585504256</v>
                </pt>
                <pt idx="143">
                  <formatCode>0.00%</formatCode>
                  <v>0.05466093539488035</v>
                </pt>
                <pt idx="144">
                  <formatCode>0.00%</formatCode>
                  <v>0.07521457118521915</v>
                </pt>
                <pt idx="145">
                  <formatCode>0.00%</formatCode>
                  <v>0.1077078424772804</v>
                </pt>
                <pt idx="146">
                  <formatCode>0.00%</formatCode>
                  <v>0.09751609935602576</v>
                </pt>
                <pt idx="147">
                  <formatCode>0.00%</formatCode>
                  <v>0.09142484512552983</v>
                </pt>
                <pt idx="148">
                  <formatCode>0.00%</formatCode>
                  <v>0.06432</v>
                </pt>
                <pt idx="149">
                  <formatCode>0.00%</formatCode>
                  <v>0.07213677386551418</v>
                </pt>
                <pt idx="150">
                  <formatCode>0.00%</formatCode>
                  <v>0.08576296857251041</v>
                </pt>
                <pt idx="151">
                  <formatCode>0.00%</formatCode>
                  <v>0.05849408836341008</v>
                </pt>
                <pt idx="152">
                  <formatCode>0.00%</formatCode>
                  <v>0.05600694659802766</v>
                </pt>
                <pt idx="153">
                  <formatCode>0.00%</formatCode>
                  <v>0.0660586640374661</v>
                </pt>
                <pt idx="154">
                  <formatCode>0.00%</formatCode>
                  <v>0.04960947034415426</v>
                </pt>
                <pt idx="155">
                  <formatCode>0.00%</formatCode>
                  <v>0.05955350082121784</v>
                </pt>
                <pt idx="156">
                  <formatCode>0.00%</formatCode>
                  <v>0.06093473889464383</v>
                </pt>
                <pt idx="157">
                  <formatCode>0.00%</formatCode>
                  <v>0.0740200546946217</v>
                </pt>
                <pt idx="158">
                  <formatCode>0.00%</formatCode>
                  <v>0.05520296970422704</v>
                </pt>
                <pt idx="159">
                  <formatCode>0.00%</formatCode>
                  <v>0.06434844954292884</v>
                </pt>
                <pt idx="160">
                  <formatCode>0.00%</formatCode>
                  <v>0.06662657847263981</v>
                </pt>
                <pt idx="161">
                  <formatCode>0.00%</formatCode>
                  <v>0.06236291422135277</v>
                </pt>
                <pt idx="162">
                  <formatCode>0.00%</formatCode>
                  <v>0.04394071490845684</v>
                </pt>
                <pt idx="163">
                  <formatCode>0.00%</formatCode>
                  <v>0.06178718400940623</v>
                </pt>
                <pt idx="164">
                  <formatCode>0.00%</formatCode>
                  <v>0.06889463173969224</v>
                </pt>
                <pt idx="165">
                  <formatCode>0.00%</formatCode>
                  <v>0.06138728323699422</v>
                </pt>
                <pt idx="166">
                  <formatCode>0.00%</formatCode>
                  <v>0.06296145572931806</v>
                </pt>
                <pt idx="167">
                  <formatCode>0.00%</formatCode>
                  <v>0.04196807899873694</v>
                </pt>
                <pt idx="168">
                  <formatCode>0.00%</formatCode>
                  <v>0.08873700534145081</v>
                </pt>
                <pt idx="169">
                  <formatCode>0.00%</formatCode>
                  <v>0.0490578849091835</v>
                </pt>
                <pt idx="170">
                  <formatCode>0.00%</formatCode>
                  <v>0.05628688152519292</v>
                </pt>
                <pt idx="171">
                  <formatCode>0.00%</formatCode>
                  <v>0.04227012462108454</v>
                </pt>
                <pt idx="172">
                  <formatCode>0.00%</formatCode>
                  <v>0.04295861991205322</v>
                </pt>
                <pt idx="173">
                  <formatCode>0.00%</formatCode>
                  <v>0.0387255175492439</v>
                </pt>
                <pt idx="174">
                  <formatCode>0.00%</formatCode>
                  <v>0.0337954456878793</v>
                </pt>
                <pt idx="175">
                  <formatCode>0.00%</formatCode>
                  <v>0.02685344111621726</v>
                </pt>
                <pt idx="176">
                  <formatCode>0.00%</formatCode>
                  <v>0.02791362162756195</v>
                </pt>
                <pt idx="177">
                  <formatCode>0.00%</formatCode>
                  <v>-0.001851650147042806</v>
                </pt>
                <pt idx="178">
                  <formatCode>0.00%</formatCode>
                  <v>0.01011813607525706</v>
                </pt>
                <pt idx="179">
                  <formatCode>0.00%</formatCode>
                  <v>0.0365309383437104</v>
                </pt>
                <pt idx="180">
                  <formatCode>0.00%</formatCode>
                  <v>-0.006224941970879932</v>
                </pt>
                <pt idx="181">
                  <formatCode>0.00%</formatCode>
                  <v>-0.002588996763754045</v>
                </pt>
                <pt idx="182">
                  <formatCode>0.00%</formatCode>
                  <v>-0.009883970777825527</v>
                </pt>
                <pt idx="183">
                  <formatCode>0.00%</formatCode>
                  <v>-0.006947810631766037</v>
                </pt>
                <pt idx="184">
                  <formatCode>0.00%</formatCode>
                  <v>-0.00427027027027027</v>
                </pt>
                <pt idx="185">
                  <formatCode>0.00%</formatCode>
                  <v>-0.01762019876443728</v>
                </pt>
                <pt idx="186">
                  <formatCode>0.00%</formatCode>
                  <v>-0.008886255924170616</v>
                </pt>
                <pt idx="187">
                  <formatCode>0.00%</formatCode>
                  <v>0.001509759516876955</v>
                </pt>
                <pt idx="188">
                  <formatCode>0.00%</formatCode>
                  <v>-0.02095472283102582</v>
                </pt>
                <pt idx="189">
                  <formatCode>0.00%</formatCode>
                  <v>0.005838061981667394</v>
                </pt>
                <pt idx="190">
                  <formatCode>0.00%</formatCode>
                  <v>0.01012507444907683</v>
                </pt>
                <pt idx="191">
                  <formatCode>0.00%</formatCode>
                  <v>-0.02312353816712737</v>
                </pt>
                <pt idx="192">
                  <formatCode>0.00%</formatCode>
                  <v>-0.04193651130693279</v>
                </pt>
                <pt idx="193">
                  <formatCode>0.00%</formatCode>
                  <v>-0.03796236210253082</v>
                </pt>
                <pt idx="194">
                  <formatCode>0.00%</formatCode>
                  <v>-0.0341796875</v>
                </pt>
                <pt idx="195">
                  <formatCode>0.00%</formatCode>
                  <v>-0.0296127562642369</v>
                </pt>
                <pt idx="196">
                  <formatCode>0.00%</formatCode>
                  <v>-0.01650290429401227</v>
                </pt>
                <pt idx="197">
                  <formatCode>0.00%</formatCode>
                  <v>-0.02783398042325149</v>
                </pt>
                <pt idx="198">
                  <formatCode>0.00%</formatCode>
                  <v>-0.03830897136336467</v>
                </pt>
                <pt idx="199">
                  <formatCode>0.00%</formatCode>
                  <v>-0.06562937439431463</v>
                </pt>
                <pt idx="200">
                  <formatCode>0.00%</formatCode>
                  <v>-0.09713349713349713</v>
                </pt>
                <pt idx="201">
                  <formatCode>0.00%</formatCode>
                  <v>-0.106753458096013</v>
                </pt>
                <pt idx="202">
                  <formatCode>0.00%</formatCode>
                  <v>-0.1221590909090909</v>
                </pt>
                <pt idx="203">
                  <formatCode>0.00%</formatCode>
                  <v>-0.1396310605648365</v>
                </pt>
                <pt idx="204">
                  <formatCode>0.00%</formatCode>
                  <v>-0.09978945035460993</v>
                </pt>
                <pt idx="205">
                  <formatCode>0.00%</formatCode>
                  <v>-0.09336706014614952</v>
                </pt>
                <pt idx="206">
                  <formatCode>0.00%</formatCode>
                  <v>-0.1495337602516571</v>
                </pt>
                <pt idx="207">
                  <formatCode>0.00%</formatCode>
                  <v>-0.155153141068634</v>
                </pt>
                <pt idx="208">
                  <formatCode>0.00%</formatCode>
                  <v>-0.1658111166307888</v>
                </pt>
                <pt idx="209">
                  <formatCode>0.00%</formatCode>
                  <v>-0.1488918888513893</v>
                </pt>
                <pt idx="210">
                  <formatCode>0.00%</formatCode>
                  <v>-0.1522205898971635</v>
                </pt>
                <pt idx="211">
                  <formatCode>0.00%</formatCode>
                  <v>-0.1362143474503025</v>
                </pt>
                <pt idx="212">
                  <formatCode>0.00%</formatCode>
                  <v>-0.09615384615384616</v>
                </pt>
                <pt idx="213">
                  <formatCode>0.00%</formatCode>
                  <v>-0.09910730552013117</v>
                </pt>
                <pt idx="214">
                  <formatCode>0.00%</formatCode>
                  <v>-0.07193014593637419</v>
                </pt>
                <pt idx="215">
                  <formatCode>0.00%</formatCode>
                  <v>-0.04547466953386883</v>
                </pt>
                <pt idx="216">
                  <formatCode>0.00%</formatCode>
                  <v>-0.06284237089924294</v>
                </pt>
                <pt idx="217">
                  <formatCode>0.00%</formatCode>
                  <v>-0.03199206398412797</v>
                </pt>
                <pt idx="218">
                  <formatCode>0.00%</formatCode>
                  <v>0.01605019815059445</v>
                </pt>
                <pt idx="219">
                  <formatCode>0.00%</formatCode>
                  <v>0.01885419423127812</v>
                </pt>
                <pt idx="220">
                  <formatCode>0.00%</formatCode>
                  <v>0.02448223383841726</v>
                </pt>
                <pt idx="221">
                  <formatCode>0.00%</formatCode>
                  <v>0.02967417883814685</v>
                </pt>
                <pt idx="222">
                  <formatCode>0.00%</formatCode>
                  <v>0.02999200213276459</v>
                </pt>
                <pt idx="223">
                  <formatCode>0.00%</formatCode>
                  <v>0.03075178440397572</v>
                </pt>
                <pt idx="224">
                  <formatCode>0.00%</formatCode>
                  <v>0.03646460591462599</v>
                </pt>
                <pt idx="225">
                  <formatCode>0.00%</formatCode>
                  <v>0.03114256825075834</v>
                </pt>
                <pt idx="226">
                  <formatCode>0.00%</formatCode>
                  <v>0.0007895256266859662</v>
                </pt>
                <pt idx="227">
                  <formatCode>0.00%</formatCode>
                  <v>0.01616750596342433</v>
                </pt>
                <pt idx="228">
                  <formatCode>0.00%</formatCode>
                  <v>-0.00216734533035597</v>
                </pt>
                <pt idx="229">
                  <formatCode>0.00%</formatCode>
                  <v>-0.007749951963107667</v>
                </pt>
                <pt idx="230">
                  <formatCode>0.00%</formatCode>
                  <v>0.03282844698693363</v>
                </pt>
                <pt idx="231">
                  <formatCode>0.00%</formatCode>
                  <v>0.02915395104214012</v>
                </pt>
                <pt idx="232">
                  <formatCode>0.00%</formatCode>
                  <v>0.01149648001033391</v>
                </pt>
                <pt idx="233">
                  <formatCode>0.00%</formatCode>
                  <v>0.005519897304236201</v>
                </pt>
                <pt idx="234">
                  <formatCode>0.00%</formatCode>
                  <v>0.02310081532289375</v>
                </pt>
                <pt idx="235">
                  <formatCode>0.00%</formatCode>
                  <v>0.03209940460781776</v>
                </pt>
                <pt idx="236">
                  <formatCode>0.00%</formatCode>
                  <v>0.0243367116390162</v>
                </pt>
                <pt idx="237">
                  <formatCode>0.00%</formatCode>
                  <v>0.05236320847224946</v>
                </pt>
                <pt idx="238">
                  <formatCode>0.00%</formatCode>
                  <v>0.05384261389783709</v>
                </pt>
                <pt idx="239">
                  <formatCode>0.00%</formatCode>
                  <v>0.04284037558685446</v>
                </pt>
                <pt idx="240">
                  <formatCode>0.00%</formatCode>
                  <v>0.06358191272296453</v>
                </pt>
                <pt idx="241">
                  <formatCode>0.00%</formatCode>
                  <v>0.04344177640072296</v>
                </pt>
                <pt idx="242">
                  <formatCode>0.00%</formatCode>
                  <v>0.0259944612286002</v>
                </pt>
                <pt idx="243">
                  <formatCode>0.00%</formatCode>
                  <v>0.01331230283911672</v>
                </pt>
                <pt idx="244">
                  <formatCode>0.00%</formatCode>
                  <v>0.04610178149543452</v>
                </pt>
                <pt idx="245">
                  <formatCode>0.00%</formatCode>
                  <v>0.03472488190986851</v>
                </pt>
                <pt idx="246">
                  <formatCode>0.00%</formatCode>
                  <v>0.03725254569603441</v>
                </pt>
                <pt idx="247">
                  <formatCode>0.00%</formatCode>
                  <v>0.01774517180837723</v>
                </pt>
                <pt idx="248">
                  <formatCode>0.00%</formatCode>
                  <v>0.02356944794555079</v>
                </pt>
                <pt idx="249">
                  <formatCode>0.00%</formatCode>
                  <v>-0.02118275562181637</v>
                </pt>
                <pt idx="250">
                  <formatCode>0.00%</formatCode>
                  <v>0.01472239550842171</v>
                </pt>
                <pt idx="251">
                  <formatCode>0.00%</formatCode>
                  <v>0.04752079034577628</v>
                </pt>
                <pt idx="252">
                  <formatCode>0.00%</formatCode>
                  <v>0.03552200012377003</v>
                </pt>
                <pt idx="253">
                  <formatCode>0.00%</formatCode>
                  <v>0.03489019486545004</v>
                </pt>
                <pt idx="254">
                  <formatCode>0.00%</formatCode>
                  <v>0.01122630513465432</v>
                </pt>
                <pt idx="255">
                  <formatCode>0.00%</formatCode>
                  <v>0.02745781707241143</v>
                </pt>
                <pt idx="256">
                  <formatCode>0.00%</formatCode>
                  <v>0.00183116645303058</v>
                </pt>
                <pt idx="257">
                  <formatCode>0.00%</formatCode>
                  <v>0.02671190623072178</v>
                </pt>
                <pt idx="258">
                  <formatCode>0.00%</formatCode>
                  <v>0.01036585365853659</v>
                </pt>
                <pt idx="259">
                  <formatCode>0.00%</formatCode>
                  <v>0.02408970488571252</v>
                </pt>
                <pt idx="260">
                  <formatCode>0.00%</formatCode>
                  <v>0.02228789557936215</v>
                </pt>
                <pt idx="261">
                  <formatCode>0.00%</formatCode>
                  <v>0.06835057434790887</v>
                </pt>
                <pt idx="262">
                  <formatCode>0.00%</formatCode>
                  <v>0.03067748678224518</v>
                </pt>
                <pt idx="263">
                  <formatCode>0.00%</formatCode>
                  <v>-0.0185041485107145</v>
                </pt>
                <pt idx="264">
                  <formatCode>0.00%</formatCode>
                  <v>-0.02527938803561824</v>
                </pt>
                <pt idx="265">
                  <formatCode>0.00%</formatCode>
                  <v>-0.005499432123856776</v>
                </pt>
                <pt idx="266">
                  <formatCode>0.00%</formatCode>
                  <v>0.01953409366658578</v>
                </pt>
                <pt idx="267">
                  <formatCode>0.00%</formatCode>
                  <v>0.0252696642831172</v>
                </pt>
                <pt idx="268">
                  <formatCode>0.00%</formatCode>
                  <v>0.02095899591786998</v>
                </pt>
                <pt idx="269">
                  <formatCode>0.00%</formatCode>
                  <v>0.002463498167397705</v>
                </pt>
                <pt idx="270">
                  <formatCode>0.00%</formatCode>
                  <v>0.01430295715147858</v>
                </pt>
                <pt idx="271">
                  <formatCode>0.00%</formatCode>
                  <v>0.02244013957405848</v>
                </pt>
                <pt idx="272">
                  <formatCode>0.00%</formatCode>
                  <v>0.0308961695976873</v>
                </pt>
                <pt idx="273">
                  <formatCode>0.00%</formatCode>
                  <v>0.01491030058215516</v>
                </pt>
                <pt idx="274">
                  <formatCode>0.00%</formatCode>
                  <v>0.03918878616164629</v>
                </pt>
                <pt idx="275">
                  <formatCode>0.00%</formatCode>
                  <v>0.06489083500577754</v>
                </pt>
                <pt idx="276">
                  <formatCode>0.00%</formatCode>
                  <v>0.06223175965665236</v>
                </pt>
                <pt idx="277">
                  <formatCode>0.00%</formatCode>
                  <v>0.02181883753080483</v>
                </pt>
                <pt idx="278">
                  <formatCode>0.00%</formatCode>
                  <v>0.01505414732833512</v>
                </pt>
                <pt idx="279">
                  <formatCode>0.00%</formatCode>
                  <v>0.02027306578402979</v>
                </pt>
                <pt idx="280">
                  <formatCode>0.00%</formatCode>
                  <v>0.04410097272781524</v>
                </pt>
                <pt idx="281">
                  <formatCode>0.00%</formatCode>
                  <v>0.04507312395109087</v>
                </pt>
                <pt idx="282">
                  <formatCode>0.00%</formatCode>
                  <v>0.03659189623371215</v>
                </pt>
                <pt idx="283">
                  <formatCode>0.00%</formatCode>
                  <v>0.02630185348631951</v>
                </pt>
                <pt idx="284">
                  <formatCode>0.00%</formatCode>
                  <v>0.01951276508734007</v>
                </pt>
                <pt idx="285">
                  <formatCode>0.00%</formatCode>
                  <v>0.02165642376353526</v>
                </pt>
                <pt idx="286">
                  <formatCode>0.00%</formatCode>
                  <v>-0.005912065204913328</v>
                </pt>
                <pt idx="287">
                  <formatCode>0.00%</formatCode>
                  <v>-0.0001713306681896059</v>
                </pt>
                <pt idx="288">
                  <formatCode>0.00%</formatCode>
                  <v>-0.006695526695526696</v>
                </pt>
                <pt idx="289">
                  <formatCode>0.00%</formatCode>
                  <v>0.01988235294117647</v>
                </pt>
                <pt idx="290">
                  <formatCode>0.00%</formatCode>
                  <v>0.005041327158684565</v>
                </pt>
                <pt idx="291">
                  <formatCode>0.00%</formatCode>
                  <v>-0.01007994438651373</v>
                </pt>
                <pt idx="292">
                  <formatCode>0.00%</formatCode>
                  <v>-0.01703246456332876</v>
                </pt>
                <pt idx="293">
                  <formatCode>0.00%</formatCode>
                  <v>-0.007398485891259464</v>
                </pt>
                <pt idx="294">
                  <formatCode>0.00%</formatCode>
                  <v>-0.007519228561588796</v>
                </pt>
                <pt idx="295">
                  <formatCode>0.00%</formatCode>
                  <v>-0.00412796697626419</v>
                </pt>
                <pt idx="296">
                  <formatCode>0.00%</formatCode>
                  <v>-0.0119190877313621</v>
                </pt>
                <pt idx="297">
                  <formatCode>0.00%</formatCode>
                  <v>-0.02612431967917502</v>
                </pt>
                <pt idx="298">
                  <formatCode>0.00%</formatCode>
                  <v>-0.02540562388128645</v>
                </pt>
                <pt idx="299">
                  <formatCode>0.00%</formatCode>
                  <v>-0.03444336551093848</v>
                </pt>
                <pt idx="300">
                  <formatCode>0.00%</formatCode>
                  <v>-0.000929746063106514</v>
                </pt>
                <pt idx="301">
                  <formatCode>0.00%</formatCode>
                  <v>-0.01315030568693044</v>
                </pt>
                <pt idx="302">
                  <formatCode>0.00%</formatCode>
                  <v>0.01248177311169437</v>
                </pt>
                <pt idx="303">
                  <formatCode>0.00%</formatCode>
                  <v>0.009948501872659176</v>
                </pt>
                <pt idx="304">
                  <formatCode>0.00%</formatCode>
                  <v>0.002383998139318525</v>
                </pt>
                <pt idx="305">
                  <formatCode>0.00%</formatCode>
                  <v>-0.004044606228693592</v>
                </pt>
                <pt idx="306">
                  <formatCode>0.00%</formatCode>
                  <v>-0.0104678734601816</v>
                </pt>
                <pt idx="307">
                  <formatCode>0.00%</formatCode>
                  <v>-0.009441565918249855</v>
                </pt>
                <pt idx="308">
                  <formatCode>0.00%</formatCode>
                  <v>-0.002725743780084672</v>
                </pt>
                <pt idx="309">
                  <formatCode>0.00%</formatCode>
                  <v>0.03017824577916348</v>
                </pt>
                <pt idx="310">
                  <formatCode>0.00%</formatCode>
                  <v>0.05492031518454885</v>
                </pt>
                <pt idx="311">
                  <formatCode>0.00%</formatCode>
                  <v>0.05111216280170374</v>
                </pt>
                <pt idx="312">
                  <formatCode>0.00%</formatCode>
                  <v>0.03100098877450125</v>
                </pt>
                <pt idx="313">
                  <formatCode>0.00%</formatCode>
                  <v>0.04137931034482759</v>
                </pt>
                <pt idx="314">
                  <formatCode>0.00%</formatCode>
                  <v>0.02281237398467654</v>
                </pt>
                <pt idx="315">
                  <formatCode>0.00%</formatCode>
                  <v>0.04299455325066636</v>
                </pt>
                <pt idx="316">
                  <formatCode>0.00%</formatCode>
                  <v>0.03753117930274378</v>
                </pt>
                <pt idx="317">
                  <formatCode>0.00%</formatCode>
                  <v>0.04182862447061553</v>
                </pt>
                <pt idx="318">
                  <formatCode>0.00%</formatCode>
                  <v>0.04792518994739918</v>
                </pt>
                <pt idx="319">
                  <formatCode>0.00%</formatCode>
                  <v>0.03585958386609323</v>
                </pt>
                <pt idx="320">
                  <formatCode>0.00%</formatCode>
                  <v>0.02785531518957897</v>
                </pt>
                <pt idx="321">
                  <formatCode>0.00%</formatCode>
                  <v>0.01130653266331658</v>
                </pt>
                <pt idx="322">
                  <formatCode>0.00%</formatCode>
                  <v>-0.00718858811636527</v>
                </pt>
                <pt idx="323">
                  <formatCode>0.00%</formatCode>
                  <v>-0.01052453849617289</v>
                </pt>
                <pt idx="324">
                  <formatCode>0.00%</formatCode>
                  <v>-0.01049306104027982</v>
                </pt>
                <pt idx="325">
                  <formatCode>0.00%</formatCode>
                  <v>-0.02177573240543271</v>
                </pt>
                <pt idx="326">
                  <formatCode>0.00%</formatCode>
                  <v>-0.01278513094902844</v>
                </pt>
                <pt idx="327">
                  <formatCode>0.00%</formatCode>
                  <v>-0.02405555555555556</v>
                </pt>
                <pt idx="328">
                  <formatCode>0.00%</formatCode>
                  <v>-0.01062283350106228</v>
                </pt>
                <pt idx="329">
                  <formatCode>0.00%</formatCode>
                  <v>-0.0140327430671567</v>
                </pt>
                <pt idx="330">
                  <formatCode>0.00%</formatCode>
                  <v>-0.006079196876742889</v>
                </pt>
                <pt idx="331">
                  <formatCode>0.00%</formatCode>
                  <v>-0.005779049542725691</v>
                </pt>
                <pt idx="332">
                  <formatCode>0.00%</formatCode>
                  <v>0.01193776520509194</v>
                </pt>
                <pt idx="333">
                  <formatCode>0.00%</formatCode>
                  <v>-0.007340485601355167</v>
                </pt>
                <pt idx="334">
                  <formatCode>0.00%</formatCode>
                  <v>0.001697024550288494</v>
                </pt>
                <pt idx="335">
                  <formatCode>0.00%</formatCode>
                  <v>0.000966952960582447</v>
                </pt>
                <pt idx="336">
                  <formatCode>0.00%</formatCode>
                  <v>0.02166476624857469</v>
                </pt>
                <pt idx="337">
                  <formatCode>0.00%</formatCode>
                  <v>0.01296615031554791</v>
                </pt>
                <pt idx="338">
                  <formatCode>0.00%</formatCode>
                  <v>-0.1987676859881333</v>
                </pt>
                <pt idx="339">
                  <formatCode>0.00%</formatCode>
                  <v>-0.5761370751978141</v>
                </pt>
                <pt idx="340">
                  <formatCode>0.00%</formatCode>
                  <v>-0.3604769439421338</v>
                </pt>
                <pt idx="341">
                  <formatCode>0.00%</formatCode>
                  <v>-0.105896306336835</v>
                </pt>
                <pt idx="342">
                  <formatCode>0.00%</formatCode>
                  <v>-0.04590090342853936</v>
                </pt>
                <pt idx="343">
                  <formatCode>0.00%</formatCode>
                  <v>-0.01151241534988713</v>
                </pt>
                <pt idx="344">
                  <formatCode>0.00%</formatCode>
                  <v>-0.01990383540199038</v>
                </pt>
                <pt idx="345">
                  <formatCode>0.00%</formatCode>
                  <v>0.003868031854379977</v>
                </pt>
                <pt idx="346">
                  <formatCode>0.00%</formatCode>
                  <v>-0.02998644680370454</v>
                </pt>
                <pt idx="347">
                  <formatCode>0.00%</formatCode>
                  <v>-0.03829980679622685</v>
                </pt>
                <pt idx="348">
                  <formatCode>0.00%</formatCode>
                  <v>0.07349330357142857</v>
                </pt>
                <pt idx="349">
                  <formatCode>0.00%</formatCode>
                  <v>0.03709787041232442</v>
                </pt>
                <pt idx="350">
                  <formatCode>0.00%</formatCode>
                  <v>0.4291512389632584</v>
                </pt>
                <pt idx="351">
                  <formatCode>0.00%</formatCode>
                  <v>1.71286596830513</v>
                </pt>
                <pt idx="352">
                  <formatCode>0.00%</formatCode>
                  <v>0.7724662012900946</v>
                </pt>
                <pt idx="353">
                  <formatCode>0.00%</formatCode>
                  <v>0.2917061461689091</v>
                </pt>
                <pt idx="354">
                  <formatCode>0.00%</formatCode>
                  <v>0.1941422101982003</v>
                </pt>
                <pt idx="355">
                  <formatCode>0.00%</formatCode>
                  <v>0.1354190454441653</v>
                </pt>
                <pt idx="356">
                  <formatCode>0.00%</formatCode>
                  <v>0.1440958357102111</v>
                </pt>
                <pt idx="357">
                  <formatCode>0.00%</formatCode>
                  <v>0.147722121486854</v>
                </pt>
                <pt idx="358">
                  <formatCode>0.00%</formatCode>
                  <v>0.1208010711998603</v>
                </pt>
                <pt idx="359">
                  <formatCode>0.00%</formatCode>
                  <v>0.08975419522571496</v>
                </pt>
                <pt idx="360">
                  <formatCode>0.00%</formatCode>
                  <v>0.001039663149139679</v>
                </pt>
                <pt idx="361">
                  <formatCode>0.00%</formatCode>
                  <v>0.07132324832068156</v>
                </pt>
                <pt idx="362">
                  <formatCode>0.00%</formatCode>
                  <v>-0.01499676149668676</v>
                </pt>
                <pt idx="363">
                  <formatCode>0.00%</formatCode>
                  <v>-0.005940594059405941</v>
                </pt>
                <pt idx="364">
                  <formatCode>0.00%</formatCode>
                  <v>-0.01590308589660502</v>
                </pt>
                <pt idx="365">
                  <formatCode>0.00%</formatCode>
                  <v>-0.04376742138979901</v>
                </pt>
                <pt idx="366">
                  <formatCode>0.00%</formatCode>
                  <v>-0.03743104806934594</v>
                </pt>
                <pt idx="367">
                  <formatCode>0.00%</formatCode>
                  <v>-0.01377715205148834</v>
                </pt>
                <pt idx="368">
                  <formatCode>0.00%</formatCode>
                  <v>-0.02936777024331871</v>
                </pt>
              </numCache>
            </numRef>
          </val>
          <smooth val="0"/>
        </ser>
        <dLbls>
          <showLegendKey val="0"/>
          <showVal val="0"/>
          <showCatName val="0"/>
          <showSerName val="0"/>
          <showPercent val="0"/>
          <showBubbleSize val="0"/>
        </dLbls>
        <smooth val="0"/>
        <axId val="1568390776"/>
        <axId val="1568389136"/>
      </lineChart>
      <dateAx>
        <axId val="1568390776"/>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68389136"/>
        <crosses val="autoZero"/>
        <lblOffset val="100"/>
        <baseTimeUnit val="months"/>
      </dateAx>
      <valAx>
        <axId val="1568389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683907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30.xml><?xml version="1.0" encoding="utf-8"?>
<chartSpace xmlns="http://schemas.openxmlformats.org/drawingml/2006/chart">
  <chart>
    <title>
      <tx>
        <strRef>
          <f>Table3[[#Headers],[ Miscellaneous stores retailers, mil$]]</f>
          <strCache>
            <ptCount val="1"/>
            <pt idx="0">
              <v xml:space="preserve"> Miscellaneous stores retailers,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'Miscellaneous stores retailers'!$B$6</f>
              <strCache>
                <ptCount val="1"/>
                <pt idx="0">
                  <v xml:space="preserve"> Miscellaneous stores retailers, mil$</v>
                </pt>
              </strCache>
            </strRef>
          </tx>
          <spPr>
            <a:ln xmlns:a="http://schemas.openxmlformats.org/drawingml/2006/main">
              <a:prstDash val="solid"/>
            </a:ln>
          </spPr>
          <marker>
            <symbol val="none"/>
            <spPr>
              <a:ln xmlns:a="http://schemas.openxmlformats.org/drawingml/2006/main">
                <a:prstDash val="solid"/>
              </a:ln>
            </spPr>
          </marker>
          <cat>
            <numRef>
              <f>'Miscellaneous stores retailers'!$A$7:$A$380</f>
              <numCache>
                <formatCode>[$-409]mmm\-yy;@</formatCode>
                <ptCount val="374"/>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numCache>
            </numRef>
          </cat>
          <val>
            <numRef>
              <f>'Miscellaneous stores retailers'!$B$7:$B$380</f>
              <numCache>
                <formatCode>#,##0</formatCode>
                <ptCount val="374"/>
                <pt idx="0">
                  <v>4318</v>
                </pt>
                <pt idx="1">
                  <v>4308</v>
                </pt>
                <pt idx="2">
                  <v>4292</v>
                </pt>
                <pt idx="3">
                  <v>4391</v>
                </pt>
                <pt idx="4">
                  <v>4356</v>
                </pt>
                <pt idx="5">
                  <v>4357</v>
                </pt>
                <pt idx="6">
                  <v>4468</v>
                </pt>
                <pt idx="7">
                  <v>4494</v>
                </pt>
                <pt idx="8">
                  <v>4549</v>
                </pt>
                <pt idx="9">
                  <v>4809</v>
                </pt>
                <pt idx="10">
                  <v>5059</v>
                </pt>
                <pt idx="11">
                  <v>5059</v>
                </pt>
                <pt idx="12">
                  <v>5352</v>
                </pt>
                <pt idx="13">
                  <v>4896</v>
                </pt>
                <pt idx="14">
                  <v>4811</v>
                </pt>
                <pt idx="15">
                  <v>5033</v>
                </pt>
                <pt idx="16">
                  <v>4967</v>
                </pt>
                <pt idx="17">
                  <v>5153</v>
                </pt>
                <pt idx="18">
                  <v>5064</v>
                </pt>
                <pt idx="19">
                  <v>5115</v>
                </pt>
                <pt idx="20">
                  <v>5222</v>
                </pt>
                <pt idx="21">
                  <v>5432</v>
                </pt>
                <pt idx="22">
                  <v>5159</v>
                </pt>
                <pt idx="23">
                  <v>5377</v>
                </pt>
                <pt idx="24">
                  <v>5288</v>
                </pt>
                <pt idx="25">
                  <v>5282</v>
                </pt>
                <pt idx="26">
                  <v>5593</v>
                </pt>
                <pt idx="27">
                  <v>5464</v>
                </pt>
                <pt idx="28">
                  <v>5756</v>
                </pt>
                <pt idx="29">
                  <v>5739</v>
                </pt>
                <pt idx="30">
                  <v>5933</v>
                </pt>
                <pt idx="31">
                  <v>6012</v>
                </pt>
                <pt idx="32">
                  <v>6092</v>
                </pt>
                <pt idx="33">
                  <v>6048</v>
                </pt>
                <pt idx="34">
                  <v>6074</v>
                </pt>
                <pt idx="35">
                  <v>6021</v>
                </pt>
                <pt idx="36">
                  <v>5955</v>
                </pt>
                <pt idx="37">
                  <v>6097</v>
                </pt>
                <pt idx="38">
                  <v>6134</v>
                </pt>
                <pt idx="39">
                  <v>6265</v>
                </pt>
                <pt idx="40">
                  <v>6372</v>
                </pt>
                <pt idx="41">
                  <v>6288</v>
                </pt>
                <pt idx="42">
                  <v>6398</v>
                </pt>
                <pt idx="43">
                  <v>6502</v>
                </pt>
                <pt idx="44">
                  <v>6413</v>
                </pt>
                <pt idx="45">
                  <v>6419</v>
                </pt>
                <pt idx="46">
                  <v>6520</v>
                </pt>
                <pt idx="47">
                  <v>6566</v>
                </pt>
                <pt idx="48">
                  <v>6202</v>
                </pt>
                <pt idx="49">
                  <v>6339</v>
                </pt>
                <pt idx="50">
                  <v>6473</v>
                </pt>
                <pt idx="51">
                  <v>6772</v>
                </pt>
                <pt idx="52">
                  <v>7128</v>
                </pt>
                <pt idx="53">
                  <v>7050</v>
                </pt>
                <pt idx="54">
                  <v>7018</v>
                </pt>
                <pt idx="55">
                  <v>6918</v>
                </pt>
                <pt idx="56">
                  <v>7011</v>
                </pt>
                <pt idx="57">
                  <v>7110</v>
                </pt>
                <pt idx="58">
                  <v>7154</v>
                </pt>
                <pt idx="59">
                  <v>7144</v>
                </pt>
                <pt idx="60">
                  <v>7295</v>
                </pt>
                <pt idx="61">
                  <v>7539</v>
                </pt>
                <pt idx="62">
                  <v>7459</v>
                </pt>
                <pt idx="63">
                  <v>7417</v>
                </pt>
                <pt idx="64">
                  <v>7181</v>
                </pt>
                <pt idx="65">
                  <v>7474</v>
                </pt>
                <pt idx="66">
                  <v>7464</v>
                </pt>
                <pt idx="67">
                  <v>7562</v>
                </pt>
                <pt idx="68">
                  <v>7664</v>
                </pt>
                <pt idx="69">
                  <v>7704</v>
                </pt>
                <pt idx="70">
                  <v>7707</v>
                </pt>
                <pt idx="71">
                  <v>7845</v>
                </pt>
                <pt idx="72">
                  <v>8070</v>
                </pt>
                <pt idx="73">
                  <v>7948</v>
                </pt>
                <pt idx="74">
                  <v>7957</v>
                </pt>
                <pt idx="75">
                  <v>7916</v>
                </pt>
                <pt idx="76">
                  <v>8037</v>
                </pt>
                <pt idx="77">
                  <v>8064</v>
                </pt>
                <pt idx="78">
                  <v>8240</v>
                </pt>
                <pt idx="79">
                  <v>8334</v>
                </pt>
                <pt idx="80">
                  <v>8378</v>
                </pt>
                <pt idx="81">
                  <v>8444</v>
                </pt>
                <pt idx="82">
                  <v>8448</v>
                </pt>
                <pt idx="83">
                  <v>8622</v>
                </pt>
                <pt idx="84">
                  <v>8454</v>
                </pt>
                <pt idx="85">
                  <v>8615</v>
                </pt>
                <pt idx="86">
                  <v>8503</v>
                </pt>
                <pt idx="87">
                  <v>8590</v>
                </pt>
                <pt idx="88">
                  <v>8585</v>
                </pt>
                <pt idx="89">
                  <v>8481</v>
                </pt>
                <pt idx="90">
                  <v>8350</v>
                </pt>
                <pt idx="91">
                  <v>8519</v>
                </pt>
                <pt idx="92">
                  <v>8597</v>
                </pt>
                <pt idx="93">
                  <v>8661</v>
                </pt>
                <pt idx="94">
                  <v>9058</v>
                </pt>
                <pt idx="95">
                  <v>9489</v>
                </pt>
                <pt idx="96">
                  <v>9136</v>
                </pt>
                <pt idx="97">
                  <v>9163</v>
                </pt>
                <pt idx="98">
                  <v>9189</v>
                </pt>
                <pt idx="99">
                  <v>9056</v>
                </pt>
                <pt idx="100">
                  <v>8760</v>
                </pt>
                <pt idx="101">
                  <v>8785</v>
                </pt>
                <pt idx="102">
                  <v>8789</v>
                </pt>
                <pt idx="103">
                  <v>8666</v>
                </pt>
                <pt idx="104">
                  <v>8925</v>
                </pt>
                <pt idx="105">
                  <v>8870</v>
                </pt>
                <pt idx="106">
                  <v>8829</v>
                </pt>
                <pt idx="107">
                  <v>8631</v>
                </pt>
                <pt idx="108">
                  <v>8466</v>
                </pt>
                <pt idx="109">
                  <v>8665</v>
                </pt>
                <pt idx="110">
                  <v>8897</v>
                </pt>
                <pt idx="111">
                  <v>8527</v>
                </pt>
                <pt idx="112">
                  <v>8752</v>
                </pt>
                <pt idx="113">
                  <v>8693</v>
                </pt>
                <pt idx="114">
                  <v>8671</v>
                </pt>
                <pt idx="115">
                  <v>8691</v>
                </pt>
                <pt idx="116">
                  <v>8377</v>
                </pt>
                <pt idx="117">
                  <v>8456</v>
                </pt>
                <pt idx="118">
                  <v>8548</v>
                </pt>
                <pt idx="119">
                  <v>8432</v>
                </pt>
                <pt idx="120">
                  <v>8447</v>
                </pt>
                <pt idx="121">
                  <v>8616</v>
                </pt>
                <pt idx="122">
                  <v>8380</v>
                </pt>
                <pt idx="123">
                  <v>8579</v>
                </pt>
                <pt idx="124">
                  <v>8539</v>
                </pt>
                <pt idx="125">
                  <v>8639</v>
                </pt>
                <pt idx="126">
                  <v>8575</v>
                </pt>
                <pt idx="127">
                  <v>8740</v>
                </pt>
                <pt idx="128">
                  <v>8724</v>
                </pt>
                <pt idx="129">
                  <v>8579</v>
                </pt>
                <pt idx="130">
                  <v>8362</v>
                </pt>
                <pt idx="131">
                  <v>8569</v>
                </pt>
                <pt idx="132">
                  <v>8565</v>
                </pt>
                <pt idx="133">
                  <v>8372</v>
                </pt>
                <pt idx="134">
                  <v>8405</v>
                </pt>
                <pt idx="135">
                  <v>8359</v>
                </pt>
                <pt idx="136">
                  <v>8525</v>
                </pt>
                <pt idx="137">
                  <v>8537</v>
                </pt>
                <pt idx="138">
                  <v>8497</v>
                </pt>
                <pt idx="139">
                  <v>8618</v>
                </pt>
                <pt idx="140">
                  <v>8442</v>
                </pt>
                <pt idx="141">
                  <v>8591</v>
                </pt>
                <pt idx="142">
                  <v>8530</v>
                </pt>
                <pt idx="143">
                  <v>8576</v>
                </pt>
                <pt idx="144">
                  <v>8665</v>
                </pt>
                <pt idx="145">
                  <v>8481</v>
                </pt>
                <pt idx="146">
                  <v>8552</v>
                </pt>
                <pt idx="147">
                  <v>8685</v>
                </pt>
                <pt idx="148">
                  <v>8869</v>
                </pt>
                <pt idx="149">
                  <v>8446</v>
                </pt>
                <pt idx="150">
                  <v>8554</v>
                </pt>
                <pt idx="151">
                  <v>8567</v>
                </pt>
                <pt idx="152">
                  <v>8596</v>
                </pt>
                <pt idx="153">
                  <v>8677</v>
                </pt>
                <pt idx="154">
                  <v>8877</v>
                </pt>
                <pt idx="155">
                  <v>8914</v>
                </pt>
                <pt idx="156">
                  <v>8784</v>
                </pt>
                <pt idx="157">
                  <v>8949</v>
                </pt>
                <pt idx="158">
                  <v>8890</v>
                </pt>
                <pt idx="159">
                  <v>8839</v>
                </pt>
                <pt idx="160">
                  <v>8932</v>
                </pt>
                <pt idx="161">
                  <v>8879</v>
                </pt>
                <pt idx="162">
                  <v>8927</v>
                </pt>
                <pt idx="163">
                  <v>8881</v>
                </pt>
                <pt idx="164">
                  <v>9010</v>
                </pt>
                <pt idx="165">
                  <v>9086</v>
                </pt>
                <pt idx="166">
                  <v>9151</v>
                </pt>
                <pt idx="167">
                  <v>9044</v>
                </pt>
                <pt idx="168">
                  <v>9620</v>
                </pt>
                <pt idx="169">
                  <v>9512</v>
                </pt>
                <pt idx="170">
                  <v>9398</v>
                </pt>
                <pt idx="171">
                  <v>9507</v>
                </pt>
                <pt idx="172">
                  <v>9475</v>
                </pt>
                <pt idx="173">
                  <v>9324</v>
                </pt>
                <pt idx="174">
                  <v>9287</v>
                </pt>
                <pt idx="175">
                  <v>9305</v>
                </pt>
                <pt idx="176">
                  <v>9378</v>
                </pt>
                <pt idx="177">
                  <v>9501</v>
                </pt>
                <pt idx="178">
                  <v>9563</v>
                </pt>
                <pt idx="179">
                  <v>9876</v>
                </pt>
                <pt idx="180">
                  <v>9629</v>
                </pt>
                <pt idx="181">
                  <v>9489</v>
                </pt>
                <pt idx="182">
                  <v>9771</v>
                </pt>
                <pt idx="183">
                  <v>9586</v>
                </pt>
                <pt idx="184">
                  <v>9843</v>
                </pt>
                <pt idx="185">
                  <v>9988</v>
                </pt>
                <pt idx="186">
                  <v>9759</v>
                </pt>
                <pt idx="187">
                  <v>9740</v>
                </pt>
                <pt idx="188">
                  <v>9783</v>
                </pt>
                <pt idx="189">
                  <v>9620</v>
                </pt>
                <pt idx="190">
                  <v>9632</v>
                </pt>
                <pt idx="191">
                  <v>9688</v>
                </pt>
                <pt idx="192">
                  <v>10074</v>
                </pt>
                <pt idx="193">
                  <v>9380</v>
                </pt>
                <pt idx="194">
                  <v>9355</v>
                </pt>
                <pt idx="195">
                  <v>9277</v>
                </pt>
                <pt idx="196">
                  <v>9310</v>
                </pt>
                <pt idx="197">
                  <v>9308</v>
                </pt>
                <pt idx="198">
                  <v>9583</v>
                </pt>
                <pt idx="199">
                  <v>9163</v>
                </pt>
                <pt idx="200">
                  <v>9080</v>
                </pt>
                <pt idx="201">
                  <v>8914</v>
                </pt>
                <pt idx="202">
                  <v>8630</v>
                </pt>
                <pt idx="203">
                  <v>8564</v>
                </pt>
                <pt idx="204">
                  <v>8511</v>
                </pt>
                <pt idx="205">
                  <v>8746</v>
                </pt>
                <pt idx="206">
                  <v>8615</v>
                </pt>
                <pt idx="207">
                  <v>8677</v>
                </pt>
                <pt idx="208">
                  <v>8426</v>
                </pt>
                <pt idx="209">
                  <v>8465</v>
                </pt>
                <pt idx="210">
                  <v>8352</v>
                </pt>
                <pt idx="211">
                  <v>8313</v>
                </pt>
                <pt idx="212">
                  <v>8385</v>
                </pt>
                <pt idx="213">
                  <v>8360</v>
                </pt>
                <pt idx="214">
                  <v>8406</v>
                </pt>
                <pt idx="215">
                  <v>8591</v>
                </pt>
                <pt idx="216">
                  <v>8363</v>
                </pt>
                <pt idx="217">
                  <v>8251</v>
                </pt>
                <pt idx="218">
                  <v>8705</v>
                </pt>
                <pt idx="219">
                  <v>8567</v>
                </pt>
                <pt idx="220">
                  <v>8632</v>
                </pt>
                <pt idx="221">
                  <v>8797</v>
                </pt>
                <pt idx="222">
                  <v>8613</v>
                </pt>
                <pt idx="223">
                  <v>8649</v>
                </pt>
                <pt idx="224">
                  <v>8766</v>
                </pt>
                <pt idx="225">
                  <v>8924</v>
                </pt>
                <pt idx="226">
                  <v>8902</v>
                </pt>
                <pt idx="227">
                  <v>8878</v>
                </pt>
                <pt idx="228">
                  <v>8828</v>
                </pt>
                <pt idx="229">
                  <v>9116</v>
                </pt>
                <pt idx="230">
                  <v>8842</v>
                </pt>
                <pt idx="231">
                  <v>9053</v>
                </pt>
                <pt idx="232">
                  <v>8975</v>
                </pt>
                <pt idx="233">
                  <v>9062</v>
                </pt>
                <pt idx="234">
                  <v>9168</v>
                </pt>
                <pt idx="235">
                  <v>9228</v>
                </pt>
                <pt idx="236">
                  <v>9151</v>
                </pt>
                <pt idx="237">
                  <v>9076</v>
                </pt>
                <pt idx="238">
                  <v>9043</v>
                </pt>
                <pt idx="239">
                  <v>8868</v>
                </pt>
                <pt idx="240">
                  <v>9309</v>
                </pt>
                <pt idx="241">
                  <v>9416</v>
                </pt>
                <pt idx="242">
                  <v>9186</v>
                </pt>
                <pt idx="243">
                  <v>9201</v>
                </pt>
                <pt idx="244">
                  <v>8897</v>
                </pt>
                <pt idx="245">
                  <v>9079</v>
                </pt>
                <pt idx="246">
                  <v>9181</v>
                </pt>
                <pt idx="247">
                  <v>9083</v>
                </pt>
                <pt idx="248">
                  <v>9103</v>
                </pt>
                <pt idx="249">
                  <v>9157</v>
                </pt>
                <pt idx="250">
                  <v>9089</v>
                </pt>
                <pt idx="251">
                  <v>9324</v>
                </pt>
                <pt idx="252">
                  <v>9229</v>
                </pt>
                <pt idx="253">
                  <v>9281</v>
                </pt>
                <pt idx="254">
                  <v>9367</v>
                </pt>
                <pt idx="255">
                  <v>9329</v>
                </pt>
                <pt idx="256">
                  <v>9328</v>
                </pt>
                <pt idx="257">
                  <v>9170</v>
                </pt>
                <pt idx="258">
                  <v>9215</v>
                </pt>
                <pt idx="259">
                  <v>9301</v>
                </pt>
                <pt idx="260">
                  <v>9507</v>
                </pt>
                <pt idx="261">
                  <v>9478</v>
                </pt>
                <pt idx="262">
                  <v>9545</v>
                </pt>
                <pt idx="263">
                  <v>9389</v>
                </pt>
                <pt idx="264">
                  <v>9248</v>
                </pt>
                <pt idx="265">
                  <v>9386</v>
                </pt>
                <pt idx="266">
                  <v>9471</v>
                </pt>
                <pt idx="267">
                  <v>9348</v>
                </pt>
                <pt idx="268">
                  <v>9534</v>
                </pt>
                <pt idx="269">
                  <v>9596</v>
                </pt>
                <pt idx="270">
                  <v>9628</v>
                </pt>
                <pt idx="271">
                  <v>9740</v>
                </pt>
                <pt idx="272">
                  <v>9734</v>
                </pt>
                <pt idx="273">
                  <v>9895</v>
                </pt>
                <pt idx="274">
                  <v>9834</v>
                </pt>
                <pt idx="275">
                  <v>9815</v>
                </pt>
                <pt idx="276">
                  <v>9847</v>
                </pt>
                <pt idx="277">
                  <v>9766</v>
                </pt>
                <pt idx="278">
                  <v>9794</v>
                </pt>
                <pt idx="279">
                  <v>9738</v>
                </pt>
                <pt idx="280">
                  <v>10001</v>
                </pt>
                <pt idx="281">
                  <v>10042</v>
                </pt>
                <pt idx="282">
                  <v>10062</v>
                </pt>
                <pt idx="283">
                  <v>10162</v>
                </pt>
                <pt idx="284">
                  <v>9721</v>
                </pt>
                <pt idx="285">
                  <v>9713</v>
                </pt>
                <pt idx="286">
                  <v>9861</v>
                </pt>
                <pt idx="287">
                  <v>9777</v>
                </pt>
                <pt idx="288">
                  <v>9799</v>
                </pt>
                <pt idx="289">
                  <v>9784</v>
                </pt>
                <pt idx="290">
                  <v>10022</v>
                </pt>
                <pt idx="291">
                  <v>10144</v>
                </pt>
                <pt idx="292">
                  <v>10007</v>
                </pt>
                <pt idx="293">
                  <v>10067</v>
                </pt>
                <pt idx="294">
                  <v>10001</v>
                </pt>
                <pt idx="295">
                  <v>9934</v>
                </pt>
                <pt idx="296">
                  <v>10196</v>
                </pt>
                <pt idx="297">
                  <v>10358</v>
                </pt>
                <pt idx="298">
                  <v>9967</v>
                </pt>
                <pt idx="299">
                  <v>10156</v>
                </pt>
                <pt idx="300">
                  <v>10119</v>
                </pt>
                <pt idx="301">
                  <v>10276</v>
                </pt>
                <pt idx="302">
                  <v>10193</v>
                </pt>
                <pt idx="303">
                  <v>10251</v>
                </pt>
                <pt idx="304">
                  <v>10057</v>
                </pt>
                <pt idx="305">
                  <v>10039</v>
                </pt>
                <pt idx="306">
                  <v>10270</v>
                </pt>
                <pt idx="307">
                  <v>10219</v>
                </pt>
                <pt idx="308">
                  <v>10331</v>
                </pt>
                <pt idx="309">
                  <v>10358</v>
                </pt>
                <pt idx="310">
                  <v>10594</v>
                </pt>
                <pt idx="311">
                  <v>10696</v>
                </pt>
                <pt idx="312">
                  <v>10899</v>
                </pt>
                <pt idx="313">
                  <v>10819</v>
                </pt>
                <pt idx="314">
                  <v>10743</v>
                </pt>
                <pt idx="315">
                  <v>10684</v>
                </pt>
                <pt idx="316">
                  <v>10851</v>
                </pt>
                <pt idx="317">
                  <v>10783</v>
                </pt>
                <pt idx="318">
                  <v>10422</v>
                </pt>
                <pt idx="319">
                  <v>10596</v>
                </pt>
                <pt idx="320">
                  <v>10602</v>
                </pt>
                <pt idx="321">
                  <v>10844</v>
                </pt>
                <pt idx="322">
                  <v>10789</v>
                </pt>
                <pt idx="323">
                  <v>10614</v>
                </pt>
                <pt idx="324">
                  <v>10368</v>
                </pt>
                <pt idx="325">
                  <v>10415</v>
                </pt>
                <pt idx="326">
                  <v>10600</v>
                </pt>
                <pt idx="327">
                  <v>10837</v>
                </pt>
                <pt idx="328">
                  <v>10930</v>
                </pt>
                <pt idx="329">
                  <v>10986</v>
                </pt>
                <pt idx="330">
                  <v>10845</v>
                </pt>
                <pt idx="331">
                  <v>11045</v>
                </pt>
                <pt idx="332">
                  <v>10997</v>
                </pt>
                <pt idx="333">
                  <v>11156</v>
                </pt>
                <pt idx="334">
                  <v>11255</v>
                </pt>
                <pt idx="335">
                  <v>11096</v>
                </pt>
                <pt idx="336">
                  <v>11463</v>
                </pt>
                <pt idx="337">
                  <v>11324</v>
                </pt>
                <pt idx="338">
                  <v>9784</v>
                </pt>
                <pt idx="339">
                  <v>7179</v>
                </pt>
                <pt idx="340">
                  <v>8550</v>
                </pt>
                <pt idx="341">
                  <v>10512</v>
                </pt>
                <pt idx="342">
                  <v>10997</v>
                </pt>
                <pt idx="343">
                  <v>11174</v>
                </pt>
                <pt idx="344">
                  <v>11198</v>
                </pt>
                <pt idx="345">
                  <v>11212</v>
                </pt>
                <pt idx="346">
                  <v>11229</v>
                </pt>
                <pt idx="347">
                  <v>11802</v>
                </pt>
                <pt idx="348">
                  <v>11835</v>
                </pt>
                <pt idx="349">
                  <v>11602</v>
                </pt>
                <pt idx="350">
                  <v>13170</v>
                </pt>
                <pt idx="351">
                  <v>13291</v>
                </pt>
                <pt idx="352">
                  <v>12482</v>
                </pt>
                <pt idx="353">
                  <v>13588</v>
                </pt>
                <pt idx="354">
                  <v>13833</v>
                </pt>
                <pt idx="355">
                  <v>14073</v>
                </pt>
                <pt idx="356">
                  <v>14346</v>
                </pt>
                <pt idx="357">
                  <v>14463</v>
                </pt>
                <pt idx="358">
                  <v>14381</v>
                </pt>
                <pt idx="359">
                  <v>14285</v>
                </pt>
                <pt idx="360">
                  <v>14527</v>
                </pt>
                <pt idx="361">
                  <v>14986</v>
                </pt>
                <pt idx="362">
                  <v>15490</v>
                </pt>
                <pt idx="363">
                  <v>15864</v>
                </pt>
                <pt idx="364">
                  <v>15515</v>
                </pt>
                <pt idx="365">
                  <v>16110</v>
                </pt>
                <pt idx="366">
                  <v>15898</v>
                </pt>
                <pt idx="367">
                  <v>15927</v>
                </pt>
                <pt idx="368">
                  <v>15526</v>
                </pt>
              </numCache>
            </numRef>
          </val>
          <smooth val="0"/>
        </ser>
        <dLbls>
          <showLegendKey val="0"/>
          <showVal val="0"/>
          <showCatName val="0"/>
          <showSerName val="0"/>
          <showPercent val="0"/>
          <showBubbleSize val="0"/>
        </dLbls>
        <smooth val="0"/>
        <axId val="711785144"/>
        <axId val="711780552"/>
      </lineChart>
      <dateAx>
        <axId val="71178514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11780552"/>
        <crosses val="autoZero"/>
        <lblOffset val="100"/>
        <baseTimeUnit val="months"/>
      </dateAx>
      <valAx>
        <axId val="711780552"/>
        <scaling>
          <orientation val="minMax"/>
          <min val="4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11785144"/>
        <crosses val="autoZero"/>
        <crossBetween val="between"/>
      </valAx>
    </plotArea>
    <plotVisOnly val="1"/>
    <dispBlanksAs val="gap"/>
  </chart>
</chartSpace>
</file>

<file path=xl/charts/chart31.xml><?xml version="1.0" encoding="utf-8"?>
<chartSpace xmlns="http://schemas.openxmlformats.org/drawingml/2006/chart">
  <chart>
    <title>
      <tx>
        <strRef>
          <f>Table3[[#Headers],[yoy]]</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'Miscellaneous stores retailers'!$D$6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'Miscellaneous stores retailers'!$A$7:$A$380</f>
              <numCache>
                <formatCode>[$-409]mmm\-yy;@</formatCode>
                <ptCount val="374"/>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numCache>
            </numRef>
          </cat>
          <val>
            <numRef>
              <f>'Miscellaneous stores retailers'!$D$7:$D$380</f>
              <numCache>
                <formatCode>General</formatCode>
                <ptCount val="374"/>
                <pt idx="12">
                  <formatCode>0.00%</formatCode>
                  <v>0.2394627142195461</v>
                </pt>
                <pt idx="13">
                  <formatCode>0.00%</formatCode>
                  <v>0.1364902506963788</v>
                </pt>
                <pt idx="14">
                  <formatCode>0.00%</formatCode>
                  <v>0.1209226467847157</v>
                </pt>
                <pt idx="15">
                  <formatCode>0.00%</formatCode>
                  <v>0.1462081530403097</v>
                </pt>
                <pt idx="16">
                  <formatCode>0.00%</formatCode>
                  <v>0.1402662993572084</v>
                </pt>
                <pt idx="17">
                  <formatCode>0.00%</formatCode>
                  <v>0.1826945145742483</v>
                </pt>
                <pt idx="18">
                  <formatCode>0.00%</formatCode>
                  <v>0.1333930170098478</v>
                </pt>
                <pt idx="19">
                  <formatCode>0.00%</formatCode>
                  <v>0.1381842456608812</v>
                </pt>
                <pt idx="20">
                  <formatCode>0.00%</formatCode>
                  <v>0.1479446032094966</v>
                </pt>
                <pt idx="21">
                  <formatCode>0.00%</formatCode>
                  <v>0.1295487627365356</v>
                </pt>
                <pt idx="22">
                  <formatCode>0.00%</formatCode>
                  <v>0.0197667523225934</v>
                </pt>
                <pt idx="23">
                  <formatCode>0.00%</formatCode>
                  <v>0.062858272385847</v>
                </pt>
                <pt idx="24">
                  <formatCode>0.00%</formatCode>
                  <v>-0.01195814648729447</v>
                </pt>
                <pt idx="25">
                  <formatCode>0.00%</formatCode>
                  <v>0.07883986928104575</v>
                </pt>
                <pt idx="26">
                  <formatCode>0.00%</formatCode>
                  <v>0.1625441696113074</v>
                </pt>
                <pt idx="27">
                  <formatCode>0.00%</formatCode>
                  <v>0.08563481025233459</v>
                </pt>
                <pt idx="28">
                  <formatCode>0.00%</formatCode>
                  <v>0.1588483994362794</v>
                </pt>
                <pt idx="29">
                  <formatCode>0.00%</formatCode>
                  <v>0.1137201630118378</v>
                </pt>
                <pt idx="30">
                  <formatCode>0.00%</formatCode>
                  <v>0.1716034755134281</v>
                </pt>
                <pt idx="31">
                  <formatCode>0.00%</formatCode>
                  <v>0.175366568914956</v>
                </pt>
                <pt idx="32">
                  <formatCode>0.00%</formatCode>
                  <v>0.1666028341631559</v>
                </pt>
                <pt idx="33">
                  <formatCode>0.00%</formatCode>
                  <v>0.1134020618556701</v>
                </pt>
                <pt idx="34">
                  <formatCode>0.00%</formatCode>
                  <v>0.1773599534793565</v>
                </pt>
                <pt idx="35">
                  <formatCode>0.00%</formatCode>
                  <v>0.1197693881346476</v>
                </pt>
                <pt idx="36">
                  <formatCode>0.00%</formatCode>
                  <v>0.1261346444780636</v>
                </pt>
                <pt idx="37">
                  <formatCode>0.00%</formatCode>
                  <v>0.154297614539947</v>
                </pt>
                <pt idx="38">
                  <formatCode>0.00%</formatCode>
                  <v>0.09672805292329698</v>
                </pt>
                <pt idx="39">
                  <formatCode>0.00%</formatCode>
                  <v>0.1465959004392386</v>
                </pt>
                <pt idx="40">
                  <formatCode>0.00%</formatCode>
                  <v>0.1070187630298819</v>
                </pt>
                <pt idx="41">
                  <formatCode>0.00%</formatCode>
                  <v>0.09566126502875065</v>
                </pt>
                <pt idx="42">
                  <formatCode>0.00%</formatCode>
                  <v>0.07837518961739423</v>
                </pt>
                <pt idx="43">
                  <formatCode>0.00%</formatCode>
                  <v>0.08150365934797073</v>
                </pt>
                <pt idx="44">
                  <formatCode>0.00%</formatCode>
                  <v>0.05269205515430072</v>
                </pt>
                <pt idx="45">
                  <formatCode>0.00%</formatCode>
                  <v>0.06134259259259259</v>
                </pt>
                <pt idx="46">
                  <formatCode>0.00%</formatCode>
                  <v>0.07342772472835035</v>
                </pt>
                <pt idx="47">
                  <formatCode>0.00%</formatCode>
                  <v>0.09051652549410397</v>
                </pt>
                <pt idx="48">
                  <formatCode>0.00%</formatCode>
                  <v>0.04147774979009236</v>
                </pt>
                <pt idx="49">
                  <formatCode>0.00%</formatCode>
                  <v>0.03969165163195014</v>
                </pt>
                <pt idx="50">
                  <formatCode>0.00%</formatCode>
                  <v>0.05526573198565373</v>
                </pt>
                <pt idx="51">
                  <formatCode>0.00%</formatCode>
                  <v>0.08092577813248204</v>
                </pt>
                <pt idx="52">
                  <formatCode>0.00%</formatCode>
                  <v>0.1186440677966102</v>
                </pt>
                <pt idx="53">
                  <formatCode>0.00%</formatCode>
                  <v>0.1211832061068702</v>
                </pt>
                <pt idx="54">
                  <formatCode>0.00%</formatCode>
                  <v>0.09690528290090654</v>
                </pt>
                <pt idx="55">
                  <formatCode>0.00%</formatCode>
                  <v>0.06398031374961551</v>
                </pt>
                <pt idx="56">
                  <formatCode>0.00%</formatCode>
                  <v>0.09324808981755808</v>
                </pt>
                <pt idx="57">
                  <formatCode>0.00%</formatCode>
                  <v>0.1076491665368437</v>
                </pt>
                <pt idx="58">
                  <formatCode>0.00%</formatCode>
                  <v>0.09723926380368098</v>
                </pt>
                <pt idx="59">
                  <formatCode>0.00%</formatCode>
                  <v>0.08802924154736522</v>
                </pt>
                <pt idx="60">
                  <formatCode>0.00%</formatCode>
                  <v>0.1762334730732022</v>
                </pt>
                <pt idx="61">
                  <formatCode>0.00%</formatCode>
                  <v>0.1893043066729768</v>
                </pt>
                <pt idx="62">
                  <formatCode>0.00%</formatCode>
                  <v>0.152325042484165</v>
                </pt>
                <pt idx="63">
                  <formatCode>0.00%</formatCode>
                  <v>0.09524512699350265</v>
                </pt>
                <pt idx="64">
                  <formatCode>0.00%</formatCode>
                  <v>0.007435465768799102</v>
                </pt>
                <pt idx="65">
                  <formatCode>0.00%</formatCode>
                  <v>0.06014184397163121</v>
                </pt>
                <pt idx="66">
                  <formatCode>0.00%</formatCode>
                  <v>0.06355086919350242</v>
                </pt>
                <pt idx="67">
                  <formatCode>0.00%</formatCode>
                  <v>0.09309048858051459</v>
                </pt>
                <pt idx="68">
                  <formatCode>0.00%</formatCode>
                  <v>0.09313935244615604</v>
                </pt>
                <pt idx="69">
                  <formatCode>0.00%</formatCode>
                  <v>0.08354430379746836</v>
                </pt>
                <pt idx="70">
                  <formatCode>0.00%</formatCode>
                  <v>0.07729941291585127</v>
                </pt>
                <pt idx="71">
                  <formatCode>0.00%</formatCode>
                  <v>0.09812430011198209</v>
                </pt>
                <pt idx="72">
                  <formatCode>0.00%</formatCode>
                  <v>0.1062371487320082</v>
                </pt>
                <pt idx="73">
                  <formatCode>0.00%</formatCode>
                  <v>0.05425122695317681</v>
                </pt>
                <pt idx="74">
                  <formatCode>0.00%</formatCode>
                  <v>0.06676498190105912</v>
                </pt>
                <pt idx="75">
                  <formatCode>0.00%</formatCode>
                  <v>0.06727787515167857</v>
                </pt>
                <pt idx="76">
                  <formatCode>0.00%</formatCode>
                  <v>0.1192034535580003</v>
                </pt>
                <pt idx="77">
                  <formatCode>0.00%</formatCode>
                  <v>0.07894032646507894</v>
                </pt>
                <pt idx="78">
                  <formatCode>0.00%</formatCode>
                  <v>0.1039657020364416</v>
                </pt>
                <pt idx="79">
                  <formatCode>0.00%</formatCode>
                  <v>0.1020893943401217</v>
                </pt>
                <pt idx="80">
                  <formatCode>0.00%</formatCode>
                  <v>0.09316283924843424</v>
                </pt>
                <pt idx="81">
                  <formatCode>0.00%</formatCode>
                  <v>0.0960539979231568</v>
                </pt>
                <pt idx="82">
                  <formatCode>0.00%</formatCode>
                  <v>0.09614636045153756</v>
                </pt>
                <pt idx="83">
                  <formatCode>0.00%</formatCode>
                  <v>0.09904397705544933</v>
                </pt>
                <pt idx="84">
                  <formatCode>0.00%</formatCode>
                  <v>0.04758364312267658</v>
                </pt>
                <pt idx="85">
                  <formatCode>0.00%</formatCode>
                  <v>0.08392048314041269</v>
                </pt>
                <pt idx="86">
                  <formatCode>0.00%</formatCode>
                  <v>0.06861882619077542</v>
                </pt>
                <pt idx="87">
                  <formatCode>0.00%</formatCode>
                  <v>0.08514401212733703</v>
                </pt>
                <pt idx="88">
                  <formatCode>0.00%</formatCode>
                  <v>0.06818464601219361</v>
                </pt>
                <pt idx="89">
                  <formatCode>0.00%</formatCode>
                  <v>0.05171130952380952</v>
                </pt>
                <pt idx="90">
                  <formatCode>0.00%</formatCode>
                  <v>0.0133495145631068</v>
                </pt>
                <pt idx="91">
                  <formatCode>0.00%</formatCode>
                  <v>0.02219822414206863</v>
                </pt>
                <pt idx="92">
                  <formatCode>0.00%</formatCode>
                  <v>0.02613989018858916</v>
                </pt>
                <pt idx="93">
                  <formatCode>0.00%</formatCode>
                  <v>0.02569872098531501</v>
                </pt>
                <pt idx="94">
                  <formatCode>0.00%</formatCode>
                  <v>0.07220643939393939</v>
                </pt>
                <pt idx="95">
                  <formatCode>0.00%</formatCode>
                  <v>0.1005567153792623</v>
                </pt>
                <pt idx="96">
                  <formatCode>0.00%</formatCode>
                  <v>0.08067187130352496</v>
                </pt>
                <pt idx="97">
                  <formatCode>0.00%</formatCode>
                  <v>0.06360998258850842</v>
                </pt>
                <pt idx="98">
                  <formatCode>0.00%</formatCode>
                  <v>0.08067740797365636</v>
                </pt>
                <pt idx="99">
                  <formatCode>0.00%</formatCode>
                  <v>0.05424912689173458</v>
                </pt>
                <pt idx="100">
                  <formatCode>0.00%</formatCode>
                  <v>0.0203843913803145</v>
                </pt>
                <pt idx="101">
                  <formatCode>0.00%</formatCode>
                  <v>0.03584482961914869</v>
                </pt>
                <pt idx="102">
                  <formatCode>0.00%</formatCode>
                  <v>0.0525748502994012</v>
                </pt>
                <pt idx="103">
                  <formatCode>0.00%</formatCode>
                  <v>0.01725554642563681</v>
                </pt>
                <pt idx="104">
                  <formatCode>0.00%</formatCode>
                  <v>0.0381528440153542</v>
                </pt>
                <pt idx="105">
                  <formatCode>0.00%</formatCode>
                  <v>0.02413116268329292</v>
                </pt>
                <pt idx="106">
                  <formatCode>0.00%</formatCode>
                  <v>-0.02528151909913888</v>
                </pt>
                <pt idx="107">
                  <formatCode>0.00%</formatCode>
                  <v>-0.09042048687954474</v>
                </pt>
                <pt idx="108">
                  <formatCode>0.00%</formatCode>
                  <v>-0.07333625218914186</v>
                </pt>
                <pt idx="109">
                  <formatCode>0.00%</formatCode>
                  <v>-0.05434901233220561</v>
                </pt>
                <pt idx="110">
                  <formatCode>0.00%</formatCode>
                  <v>-0.03177712482315812</v>
                </pt>
                <pt idx="111">
                  <formatCode>0.00%</formatCode>
                  <v>-0.0584143109540636</v>
                </pt>
                <pt idx="112">
                  <formatCode>0.00%</formatCode>
                  <v>-0.0009132420091324201</v>
                </pt>
                <pt idx="113">
                  <formatCode>0.00%</formatCode>
                  <v>-0.01047239612976665</v>
                </pt>
                <pt idx="114">
                  <formatCode>0.00%</formatCode>
                  <v>-0.01342587325065423</v>
                </pt>
                <pt idx="115">
                  <formatCode>0.00%</formatCode>
                  <v>0.002884837295176552</v>
                </pt>
                <pt idx="116">
                  <formatCode>0.00%</formatCode>
                  <v>-0.06140056022408964</v>
                </pt>
                <pt idx="117">
                  <formatCode>0.00%</formatCode>
                  <v>-0.04667418263810597</v>
                </pt>
                <pt idx="118">
                  <formatCode>0.00%</formatCode>
                  <v>-0.03182693396760675</v>
                </pt>
                <pt idx="119">
                  <formatCode>0.00%</formatCode>
                  <v>-0.02305642451627853</v>
                </pt>
                <pt idx="120">
                  <formatCode>0.00%</formatCode>
                  <v>-0.002244271202456886</v>
                </pt>
                <pt idx="121">
                  <formatCode>0.00%</formatCode>
                  <v>-0.005654933641084824</v>
                </pt>
                <pt idx="122">
                  <formatCode>0.00%</formatCode>
                  <v>-0.05810947510396763</v>
                </pt>
                <pt idx="123">
                  <formatCode>0.00%</formatCode>
                  <v>0.006098276064266448</v>
                </pt>
                <pt idx="124">
                  <formatCode>0.00%</formatCode>
                  <v>-0.02433729433272395</v>
                </pt>
                <pt idx="125">
                  <formatCode>0.00%</formatCode>
                  <v>-0.006211894627861498</v>
                </pt>
                <pt idx="126">
                  <formatCode>0.00%</formatCode>
                  <v>-0.01107138738323146</v>
                </pt>
                <pt idx="127">
                  <formatCode>0.00%</formatCode>
                  <v>0.005638016338741227</v>
                </pt>
                <pt idx="128">
                  <formatCode>0.00%</formatCode>
                  <v>0.04142294377462099</v>
                </pt>
                <pt idx="129">
                  <formatCode>0.00%</formatCode>
                  <v>0.01454588457899716</v>
                </pt>
                <pt idx="130">
                  <formatCode>0.00%</formatCode>
                  <v>-0.02175947590079551</v>
                </pt>
                <pt idx="131">
                  <formatCode>0.00%</formatCode>
                  <v>0.01624762808349146</v>
                </pt>
                <pt idx="132">
                  <formatCode>0.00%</formatCode>
                  <v>0.01396945661181485</v>
                </pt>
                <pt idx="133">
                  <formatCode>0.00%</formatCode>
                  <v>-0.02831940575673166</v>
                </pt>
                <pt idx="134">
                  <formatCode>0.00%</formatCode>
                  <v>0.002983293556085919</v>
                </pt>
                <pt idx="135">
                  <formatCode>0.00%</formatCode>
                  <v>-0.02564401445389906</v>
                </pt>
                <pt idx="136">
                  <formatCode>0.00%</formatCode>
                  <v>-0.001639536245461998</v>
                </pt>
                <pt idx="137">
                  <formatCode>0.00%</formatCode>
                  <v>-0.01180692209746498</v>
                </pt>
                <pt idx="138">
                  <formatCode>0.00%</formatCode>
                  <v>-0.009096209912536443</v>
                </pt>
                <pt idx="139">
                  <formatCode>0.00%</formatCode>
                  <v>-0.01395881006864989</v>
                </pt>
                <pt idx="140">
                  <formatCode>0.00%</formatCode>
                  <v>-0.03232462173314993</v>
                </pt>
                <pt idx="141">
                  <formatCode>0.00%</formatCode>
                  <v>0.00139876442475813</v>
                </pt>
                <pt idx="142">
                  <formatCode>0.00%</formatCode>
                  <v>0.02009088734752451</v>
                </pt>
                <pt idx="143">
                  <formatCode>0.00%</formatCode>
                  <v>0.0008168981211343214</v>
                </pt>
                <pt idx="144">
                  <formatCode>0.00%</formatCode>
                  <v>0.01167542323409224</v>
                </pt>
                <pt idx="145">
                  <formatCode>0.00%</formatCode>
                  <v>0.01301958910654563</v>
                </pt>
                <pt idx="146">
                  <formatCode>0.00%</formatCode>
                  <v>0.01748958953004164</v>
                </pt>
                <pt idx="147">
                  <formatCode>0.00%</formatCode>
                  <v>0.03899988036846513</v>
                </pt>
                <pt idx="148">
                  <formatCode>0.00%</formatCode>
                  <v>0.04035190615835777</v>
                </pt>
                <pt idx="149">
                  <formatCode>0.00%</formatCode>
                  <v>-0.0106594822537191</v>
                </pt>
                <pt idx="150">
                  <formatCode>0.00%</formatCode>
                  <v>0.006708249970577851</v>
                </pt>
                <pt idx="151">
                  <formatCode>0.00%</formatCode>
                  <v>-0.005917846368066837</v>
                </pt>
                <pt idx="152">
                  <formatCode>0.00%</formatCode>
                  <v>0.01824212271973466</v>
                </pt>
                <pt idx="153">
                  <formatCode>0.00%</formatCode>
                  <v>0.01001047607961821</v>
                </pt>
                <pt idx="154">
                  <formatCode>0.00%</formatCode>
                  <v>0.0406799531066823</v>
                </pt>
                <pt idx="155">
                  <formatCode>0.00%</formatCode>
                  <v>0.03941231343283582</v>
                </pt>
                <pt idx="156">
                  <formatCode>0.00%</formatCode>
                  <v>0.013733410271206</v>
                </pt>
                <pt idx="157">
                  <formatCode>0.00%</formatCode>
                  <v>0.05518217191368942</v>
                </pt>
                <pt idx="158">
                  <formatCode>0.00%</formatCode>
                  <v>0.03952291861552853</v>
                </pt>
                <pt idx="159">
                  <formatCode>0.00%</formatCode>
                  <v>0.01773172135866436</v>
                </pt>
                <pt idx="160">
                  <formatCode>0.00%</formatCode>
                  <v>0.007103393843725336</v>
                </pt>
                <pt idx="161">
                  <formatCode>0.00%</formatCode>
                  <v>0.05126687189201989</v>
                </pt>
                <pt idx="162">
                  <formatCode>0.00%</formatCode>
                  <v>0.04360533083937339</v>
                </pt>
                <pt idx="163">
                  <formatCode>0.00%</formatCode>
                  <v>0.0366522703396755</v>
                </pt>
                <pt idx="164">
                  <formatCode>0.00%</formatCode>
                  <v>0.04816193578408562</v>
                </pt>
                <pt idx="165">
                  <formatCode>0.00%</formatCode>
                  <v>0.04713610694940647</v>
                </pt>
                <pt idx="166">
                  <formatCode>0.00%</formatCode>
                  <v>0.03086628365438774</v>
                </pt>
                <pt idx="167">
                  <formatCode>0.00%</formatCode>
                  <v>0.01458380076284496</v>
                </pt>
                <pt idx="168">
                  <formatCode>0.00%</formatCode>
                  <v>0.09517304189435337</v>
                </pt>
                <pt idx="169">
                  <formatCode>0.00%</formatCode>
                  <v>0.06291205721309644</v>
                </pt>
                <pt idx="170">
                  <formatCode>0.00%</formatCode>
                  <v>0.05714285714285714</v>
                </pt>
                <pt idx="171">
                  <formatCode>0.00%</formatCode>
                  <v>0.07557415997284761</v>
                </pt>
                <pt idx="172">
                  <formatCode>0.00%</formatCode>
                  <v>0.06079265562024182</v>
                </pt>
                <pt idx="173">
                  <formatCode>0.00%</formatCode>
                  <v>0.05011825656042347</v>
                </pt>
                <pt idx="174">
                  <formatCode>0.00%</formatCode>
                  <v>0.04032709756917217</v>
                </pt>
                <pt idx="175">
                  <formatCode>0.00%</formatCode>
                  <v>0.04774237135457719</v>
                </pt>
                <pt idx="176">
                  <formatCode>0.00%</formatCode>
                  <v>0.04084350721420644</v>
                </pt>
                <pt idx="177">
                  <formatCode>0.00%</formatCode>
                  <v>0.04567466431873211</v>
                </pt>
                <pt idx="178">
                  <formatCode>0.00%</formatCode>
                  <v>0.04502240192328708</v>
                </pt>
                <pt idx="179">
                  <formatCode>0.00%</formatCode>
                  <v>0.09199469261388767</v>
                </pt>
                <pt idx="180">
                  <formatCode>0.00%</formatCode>
                  <v>0.0009355509355509356</v>
                </pt>
                <pt idx="181">
                  <formatCode>0.00%</formatCode>
                  <v>-0.002417998317914214</v>
                </pt>
                <pt idx="182">
                  <formatCode>0.00%</formatCode>
                  <v>0.0396892955948074</v>
                </pt>
                <pt idx="183">
                  <formatCode>0.00%</formatCode>
                  <v>0.008309666561481015</v>
                </pt>
                <pt idx="184">
                  <formatCode>0.00%</formatCode>
                  <v>0.03883905013192612</v>
                </pt>
                <pt idx="185">
                  <formatCode>0.00%</formatCode>
                  <v>0.07121407121407121</v>
                </pt>
                <pt idx="186">
                  <formatCode>0.00%</formatCode>
                  <v>0.05082373209863249</v>
                </pt>
                <pt idx="187">
                  <formatCode>0.00%</formatCode>
                  <v>0.04674905964535196</v>
                </pt>
                <pt idx="188">
                  <formatCode>0.00%</formatCode>
                  <v>0.04318618042226487</v>
                </pt>
                <pt idx="189">
                  <formatCode>0.00%</formatCode>
                  <v>0.01252499736869803</v>
                </pt>
                <pt idx="190">
                  <formatCode>0.00%</formatCode>
                  <v>0.0072153090034508</v>
                </pt>
                <pt idx="191">
                  <formatCode>0.00%</formatCode>
                  <v>-0.01903604698258404</v>
                </pt>
                <pt idx="192">
                  <formatCode>0.00%</formatCode>
                  <v>0.04621456018278118</v>
                </pt>
                <pt idx="193">
                  <formatCode>0.00%</formatCode>
                  <v>-0.01148698492991885</v>
                </pt>
                <pt idx="194">
                  <formatCode>0.00%</formatCode>
                  <v>-0.04257496673830723</v>
                </pt>
                <pt idx="195">
                  <formatCode>0.00%</formatCode>
                  <v>-0.03223450865846025</v>
                </pt>
                <pt idx="196">
                  <formatCode>0.00%</formatCode>
                  <v>-0.05415015747231535</v>
                </pt>
                <pt idx="197">
                  <formatCode>0.00%</formatCode>
                  <v>-0.06808169803764517</v>
                </pt>
                <pt idx="198">
                  <formatCode>0.00%</formatCode>
                  <v>-0.01803463469617789</v>
                </pt>
                <pt idx="199">
                  <formatCode>0.00%</formatCode>
                  <v>-0.05924024640657084</v>
                </pt>
                <pt idx="200">
                  <formatCode>0.00%</formatCode>
                  <v>-0.07185934784830829</v>
                </pt>
                <pt idx="201">
                  <formatCode>0.00%</formatCode>
                  <v>-0.07338877338877339</v>
                </pt>
                <pt idx="202">
                  <formatCode>0.00%</formatCode>
                  <v>-0.1040282392026578</v>
                </pt>
                <pt idx="203">
                  <formatCode>0.00%</formatCode>
                  <v>-0.1160198183319571</v>
                </pt>
                <pt idx="204">
                  <formatCode>0.00%</formatCode>
                  <v>-0.1551518761167361</v>
                </pt>
                <pt idx="205">
                  <formatCode>0.00%</formatCode>
                  <v>-0.067590618336887</v>
                </pt>
                <pt idx="206">
                  <formatCode>0.00%</formatCode>
                  <v>-0.07910208444681988</v>
                </pt>
                <pt idx="207">
                  <formatCode>0.00%</formatCode>
                  <v>-0.06467608062951385</v>
                </pt>
                <pt idx="208">
                  <formatCode>0.00%</formatCode>
                  <v>-0.09495166487647691</v>
                </pt>
                <pt idx="209">
                  <formatCode>0.00%</formatCode>
                  <v>-0.0905672539750752</v>
                </pt>
                <pt idx="210">
                  <formatCode>0.00%</formatCode>
                  <v>-0.1284566419701555</v>
                </pt>
                <pt idx="211">
                  <formatCode>0.00%</formatCode>
                  <v>-0.09276437847866419</v>
                </pt>
                <pt idx="212">
                  <formatCode>0.00%</formatCode>
                  <v>-0.07654185022026432</v>
                </pt>
                <pt idx="213">
                  <formatCode>0.00%</formatCode>
                  <v>-0.06214942786627776</v>
                </pt>
                <pt idx="214">
                  <formatCode>0.00%</formatCode>
                  <v>-0.02595596755504056</v>
                </pt>
                <pt idx="215">
                  <formatCode>0.00%</formatCode>
                  <v>0.003152732368052312</v>
                </pt>
                <pt idx="216">
                  <formatCode>0.00%</formatCode>
                  <v>-0.01738926095640935</v>
                </pt>
                <pt idx="217">
                  <formatCode>0.00%</formatCode>
                  <v>-0.05659730162359936</v>
                </pt>
                <pt idx="218">
                  <formatCode>0.00%</formatCode>
                  <v>0.01044689495066744</v>
                </pt>
                <pt idx="219">
                  <formatCode>0.00%</formatCode>
                  <v>-0.01267719257807998</v>
                </pt>
                <pt idx="220">
                  <formatCode>0.00%</formatCode>
                  <v>0.02444813671967719</v>
                </pt>
                <pt idx="221">
                  <formatCode>0.00%</formatCode>
                  <v>0.03922031896042528</v>
                </pt>
                <pt idx="222">
                  <formatCode>0.00%</formatCode>
                  <v>0.03125</v>
                </pt>
                <pt idx="223">
                  <formatCode>0.00%</formatCode>
                  <v>0.04041862143630458</v>
                </pt>
                <pt idx="224">
                  <formatCode>0.00%</formatCode>
                  <v>0.04543828264758498</v>
                </pt>
                <pt idx="225">
                  <formatCode>0.00%</formatCode>
                  <v>0.06746411483253588</v>
                </pt>
                <pt idx="226">
                  <formatCode>0.00%</formatCode>
                  <v>0.05900547228170355</v>
                </pt>
                <pt idx="227">
                  <formatCode>0.00%</formatCode>
                  <v>0.03340705389360959</v>
                </pt>
                <pt idx="228">
                  <formatCode>0.00%</formatCode>
                  <v>0.05560205667822551</v>
                </pt>
                <pt idx="229">
                  <formatCode>0.00%</formatCode>
                  <v>0.1048357774815174</v>
                </pt>
                <pt idx="230">
                  <formatCode>0.00%</formatCode>
                  <v>0.01573808156232051</v>
                </pt>
                <pt idx="231">
                  <formatCode>0.00%</formatCode>
                  <v>0.05672931014357418</v>
                </pt>
                <pt idx="232">
                  <formatCode>0.00%</formatCode>
                  <v>0.03973586654309546</v>
                </pt>
                <pt idx="233">
                  <formatCode>0.00%</formatCode>
                  <v>0.03012390587700352</v>
                </pt>
                <pt idx="234">
                  <formatCode>0.00%</formatCode>
                  <v>0.06443747823058169</v>
                </pt>
                <pt idx="235">
                  <formatCode>0.00%</formatCode>
                  <v>0.06694415539368713</v>
                </pt>
                <pt idx="236">
                  <formatCode>0.00%</formatCode>
                  <v>0.04391968971024413</v>
                </pt>
                <pt idx="237">
                  <formatCode>0.00%</formatCode>
                  <v>0.01703272075302555</v>
                </pt>
                <pt idx="238">
                  <formatCode>0.00%</formatCode>
                  <v>0.01583913727252303</v>
                </pt>
                <pt idx="239">
                  <formatCode>0.00%</formatCode>
                  <v>-0.00112637981527371</v>
                </pt>
                <pt idx="240">
                  <formatCode>0.00%</formatCode>
                  <v>0.05448572723153602</v>
                </pt>
                <pt idx="241">
                  <formatCode>0.00%</formatCode>
                  <v>0.03290917068889864</v>
                </pt>
                <pt idx="242">
                  <formatCode>0.00%</formatCode>
                  <v>0.03890522506220312</v>
                </pt>
                <pt idx="243">
                  <formatCode>0.00%</formatCode>
                  <v>0.01634817187672595</v>
                </pt>
                <pt idx="244">
                  <formatCode>0.00%</formatCode>
                  <v>-0.008690807799442897</v>
                </pt>
                <pt idx="245">
                  <formatCode>0.00%</formatCode>
                  <v>0.001875965570514235</v>
                </pt>
                <pt idx="246">
                  <formatCode>0.00%</formatCode>
                  <v>0.001417975567190227</v>
                </pt>
                <pt idx="247">
                  <formatCode>0.00%</formatCode>
                  <v>-0.01571304724750758</v>
                </pt>
                <pt idx="248">
                  <formatCode>0.00%</formatCode>
                  <v>-0.005245328379412086</v>
                </pt>
                <pt idx="249">
                  <formatCode>0.00%</formatCode>
                  <v>0.008924636403702071</v>
                </pt>
                <pt idx="250">
                  <formatCode>0.00%</formatCode>
                  <v>0.005086807475395334</v>
                </pt>
                <pt idx="251">
                  <formatCode>0.00%</formatCode>
                  <v>0.05142083897158322</v>
                </pt>
                <pt idx="252">
                  <formatCode>0.00%</formatCode>
                  <v>-0.008593833924159416</v>
                </pt>
                <pt idx="253">
                  <formatCode>0.00%</formatCode>
                  <v>-0.01433729821580289</v>
                </pt>
                <pt idx="254">
                  <formatCode>0.00%</formatCode>
                  <v>0.01970389723492271</v>
                </pt>
                <pt idx="255">
                  <formatCode>0.00%</formatCode>
                  <v>0.01391153135528747</v>
                </pt>
                <pt idx="256">
                  <formatCode>0.00%</formatCode>
                  <v>0.04844329549286276</v>
                </pt>
                <pt idx="257">
                  <formatCode>0.00%</formatCode>
                  <v>0.01002313030069391</v>
                </pt>
                <pt idx="258">
                  <formatCode>0.00%</formatCode>
                  <v>0.003703300294085611</v>
                </pt>
                <pt idx="259">
                  <formatCode>0.00%</formatCode>
                  <v>0.02400088076626665</v>
                </pt>
                <pt idx="260">
                  <formatCode>0.00%</formatCode>
                  <v>0.04438097330550368</v>
                </pt>
                <pt idx="261">
                  <formatCode>0.00%</formatCode>
                  <v>0.03505514906628809</v>
                </pt>
                <pt idx="262">
                  <formatCode>0.00%</formatCode>
                  <v>0.05017053581252063</v>
                </pt>
                <pt idx="263">
                  <formatCode>0.00%</formatCode>
                  <v>0.006971256971256971</v>
                </pt>
                <pt idx="264">
                  <formatCode>0.00%</formatCode>
                  <v>0.00205872792285188</v>
                </pt>
                <pt idx="265">
                  <formatCode>0.00%</formatCode>
                  <v>0.01131343605214955</v>
                </pt>
                <pt idx="266">
                  <formatCode>0.00%</formatCode>
                  <v>0.0111028077292623</v>
                </pt>
                <pt idx="267">
                  <formatCode>0.00%</formatCode>
                  <v>0.002036659877800407</v>
                </pt>
                <pt idx="268">
                  <formatCode>0.00%</formatCode>
                  <v>0.02208404802744425</v>
                </pt>
                <pt idx="269">
                  <formatCode>0.00%</formatCode>
                  <v>0.04645583424209378</v>
                </pt>
                <pt idx="270">
                  <formatCode>0.00%</formatCode>
                  <v>0.04481823114487249</v>
                </pt>
                <pt idx="271">
                  <formatCode>0.00%</formatCode>
                  <v>0.04719922588968928</v>
                </pt>
                <pt idx="272">
                  <formatCode>0.00%</formatCode>
                  <v>0.02387714315767329</v>
                </pt>
                <pt idx="273">
                  <formatCode>0.00%</formatCode>
                  <v>0.04399662376028698</v>
                </pt>
                <pt idx="274">
                  <formatCode>0.00%</formatCode>
                  <v>0.03027763226820325</v>
                </pt>
                <pt idx="275">
                  <formatCode>0.00%</formatCode>
                  <v>0.04537224411545426</v>
                </pt>
                <pt idx="276">
                  <formatCode>0.00%</formatCode>
                  <v>0.06477076124567474</v>
                </pt>
                <pt idx="277">
                  <formatCode>0.00%</formatCode>
                  <v>0.04048582995951417</v>
                </pt>
                <pt idx="278">
                  <formatCode>0.00%</formatCode>
                  <v>0.03410410727483898</v>
                </pt>
                <pt idx="279">
                  <formatCode>0.00%</formatCode>
                  <v>0.0417201540436457</v>
                </pt>
                <pt idx="280">
                  <formatCode>0.00%</formatCode>
                  <v>0.04898258863016573</v>
                </pt>
                <pt idx="281">
                  <formatCode>0.00%</formatCode>
                  <v>0.0464776990412672</v>
                </pt>
                <pt idx="282">
                  <formatCode>0.00%</formatCode>
                  <v>0.04507685916078105</v>
                </pt>
                <pt idx="283">
                  <formatCode>0.00%</formatCode>
                  <v>0.0433264887063655</v>
                </pt>
                <pt idx="284">
                  <formatCode>0.00%</formatCode>
                  <v>-0.001335524964043559</v>
                </pt>
                <pt idx="285">
                  <formatCode>0.00%</formatCode>
                  <v>-0.01839312784234462</v>
                </pt>
                <pt idx="286">
                  <formatCode>0.00%</formatCode>
                  <v>0.002745576571079927</v>
                </pt>
                <pt idx="287">
                  <formatCode>0.00%</formatCode>
                  <v>-0.003871625063678044</v>
                </pt>
                <pt idx="288">
                  <formatCode>0.00%</formatCode>
                  <v>-0.004874581090687519</v>
                </pt>
                <pt idx="289">
                  <formatCode>0.00%</formatCode>
                  <v>0.001843129223837805</v>
                </pt>
                <pt idx="290">
                  <formatCode>0.00%</formatCode>
                  <v>0.02327955891362058</v>
                </pt>
                <pt idx="291">
                  <formatCode>0.00%</formatCode>
                  <v>0.04169233928938181</v>
                </pt>
                <pt idx="292">
                  <formatCode>0.00%</formatCode>
                  <v>0.0005999400059994001</v>
                </pt>
                <pt idx="293">
                  <formatCode>0.00%</formatCode>
                  <v>0.002489543915554671</v>
                </pt>
                <pt idx="294">
                  <formatCode>0.00%</formatCode>
                  <v>-0.006062413039157225</v>
                </pt>
                <pt idx="295">
                  <formatCode>0.00%</formatCode>
                  <v>-0.02243652824247195</v>
                </pt>
                <pt idx="296">
                  <formatCode>0.00%</formatCode>
                  <v>0.04886328567019854</v>
                </pt>
                <pt idx="297">
                  <formatCode>0.00%</formatCode>
                  <v>0.0664058478328014</v>
                </pt>
                <pt idx="298">
                  <formatCode>0.00%</formatCode>
                  <v>0.01074941689483825</v>
                </pt>
                <pt idx="299">
                  <formatCode>0.00%</formatCode>
                  <v>0.03876444717193413</v>
                </pt>
                <pt idx="300">
                  <formatCode>0.00%</formatCode>
                  <v>0.03265639350954179</v>
                </pt>
                <pt idx="301">
                  <formatCode>0.00%</formatCode>
                  <v>0.05028618152085037</v>
                </pt>
                <pt idx="302">
                  <formatCode>0.00%</formatCode>
                  <v>0.0170624625823189</v>
                </pt>
                <pt idx="303">
                  <formatCode>0.00%</formatCode>
                  <v>0.01054810725552051</v>
                </pt>
                <pt idx="304">
                  <formatCode>0.00%</formatCode>
                  <v>0.0049965024482862</v>
                </pt>
                <pt idx="305">
                  <formatCode>0.00%</formatCode>
                  <v>-0.002781364855468362</v>
                </pt>
                <pt idx="306">
                  <formatCode>0.00%</formatCode>
                  <v>0.0268973102689731</v>
                </pt>
                <pt idx="307">
                  <formatCode>0.00%</formatCode>
                  <v>0.02868934970807328</v>
                </pt>
                <pt idx="308">
                  <formatCode>0.00%</formatCode>
                  <v>0.0132404864652805</v>
                </pt>
                <pt idx="309">
                  <formatCode>0.00%</formatCode>
                  <v>0</v>
                </pt>
                <pt idx="310">
                  <formatCode>0.00%</formatCode>
                  <v>0.06290759506371024</v>
                </pt>
                <pt idx="311">
                  <formatCode>0.00%</formatCode>
                  <v>0.0531705395825128</v>
                </pt>
                <pt idx="312">
                  <formatCode>0.00%</formatCode>
                  <v>0.07708271568336793</v>
                </pt>
                <pt idx="313">
                  <formatCode>0.00%</formatCode>
                  <v>0.05284157259634099</v>
                </pt>
                <pt idx="314">
                  <formatCode>0.00%</formatCode>
                  <v>0.05395859903855587</v>
                </pt>
                <pt idx="315">
                  <formatCode>0.00%</formatCode>
                  <v>0.0422397814847332</v>
                </pt>
                <pt idx="316">
                  <formatCode>0.00%</formatCode>
                  <v>0.07894998508501541</v>
                </pt>
                <pt idx="317">
                  <formatCode>0.00%</formatCode>
                  <v>0.07411096722781153</v>
                </pt>
                <pt idx="318">
                  <formatCode>0.00%</formatCode>
                  <v>0.01480038948393379</v>
                </pt>
                <pt idx="319">
                  <formatCode>0.00%</formatCode>
                  <v>0.03689206380272042</v>
                </pt>
                <pt idx="320">
                  <formatCode>0.00%</formatCode>
                  <v>0.02623172974542639</v>
                </pt>
                <pt idx="321">
                  <formatCode>0.00%</formatCode>
                  <v>0.04692025487545858</v>
                </pt>
                <pt idx="322">
                  <formatCode>0.00%</formatCode>
                  <v>0.01840664527090806</v>
                </pt>
                <pt idx="323">
                  <formatCode>0.00%</formatCode>
                  <v>-0.007666417352281227</v>
                </pt>
                <pt idx="324">
                  <formatCode>0.00%</formatCode>
                  <v>-0.04872006606110652</v>
                </pt>
                <pt idx="325">
                  <formatCode>0.00%</formatCode>
                  <v>-0.03734171365190868</v>
                </pt>
                <pt idx="326">
                  <formatCode>0.00%</formatCode>
                  <v>-0.01331099320487759</v>
                </pt>
                <pt idx="327">
                  <formatCode>0.00%</formatCode>
                  <v>0.01432047922126544</v>
                </pt>
                <pt idx="328">
                  <formatCode>0.00%</formatCode>
                  <v>0.00728043498295088</v>
                </pt>
                <pt idx="329">
                  <formatCode>0.00%</formatCode>
                  <v>0.01882592970416396</v>
                </pt>
                <pt idx="330">
                  <formatCode>0.00%</formatCode>
                  <v>0.04058721934369603</v>
                </pt>
                <pt idx="331">
                  <formatCode>0.00%</formatCode>
                  <v>0.04237448093620234</v>
                </pt>
                <pt idx="332">
                  <formatCode>0.00%</formatCode>
                  <v>0.03725712129786832</v>
                </pt>
                <pt idx="333">
                  <formatCode>0.00%</formatCode>
                  <v>0.02877167097012173</v>
                </pt>
                <pt idx="334">
                  <formatCode>0.00%</formatCode>
                  <v>0.04319214014273797</v>
                </pt>
                <pt idx="335">
                  <formatCode>0.00%</formatCode>
                  <v>0.04541172036932353</v>
                </pt>
                <pt idx="336">
                  <formatCode>0.00%</formatCode>
                  <v>0.1056134259259259</v>
                </pt>
                <pt idx="337">
                  <formatCode>0.00%</formatCode>
                  <v>0.08727796447431589</v>
                </pt>
                <pt idx="338">
                  <formatCode>0.00%</formatCode>
                  <v>-0.07698113207547169</v>
                </pt>
                <pt idx="339">
                  <formatCode>0.00%</formatCode>
                  <v>-0.3375472916858909</v>
                </pt>
                <pt idx="340">
                  <formatCode>0.00%</formatCode>
                  <v>-0.2177493138151876</v>
                </pt>
                <pt idx="341">
                  <formatCode>0.00%</formatCode>
                  <v>-0.04314582195521573</v>
                </pt>
                <pt idx="342">
                  <formatCode>0.00%</formatCode>
                  <v>0.01401567542646381</v>
                </pt>
                <pt idx="343">
                  <formatCode>0.00%</formatCode>
                  <v>0.01167949298325034</v>
                </pt>
                <pt idx="344">
                  <formatCode>0.00%</formatCode>
                  <v>0.0182777121033009</v>
                </pt>
                <pt idx="345">
                  <formatCode>0.00%</formatCode>
                  <v>0.005019720329867336</v>
                </pt>
                <pt idx="346">
                  <formatCode>0.00%</formatCode>
                  <v>-0.002310084406930253</v>
                </pt>
                <pt idx="347">
                  <formatCode>0.00%</formatCode>
                  <v>0.06362653208363374</v>
                </pt>
                <pt idx="348">
                  <formatCode>0.00%</formatCode>
                  <v>0.03245223763412719</v>
                </pt>
                <pt idx="349">
                  <formatCode>0.00%</formatCode>
                  <v>0.02454962910632285</v>
                </pt>
                <pt idx="350">
                  <formatCode>0.00%</formatCode>
                  <v>0.3460752248569092</v>
                </pt>
                <pt idx="351">
                  <formatCode>0.00%</formatCode>
                  <v>0.8513720573896085</v>
                </pt>
                <pt idx="352">
                  <formatCode>0.00%</formatCode>
                  <v>0.4598830409356725</v>
                </pt>
                <pt idx="353">
                  <formatCode>0.00%</formatCode>
                  <v>0.2926179604261796</v>
                </pt>
                <pt idx="354">
                  <formatCode>0.00%</formatCode>
                  <v>0.257888515049559</v>
                </pt>
                <pt idx="355">
                  <formatCode>0.00%</formatCode>
                  <v>0.2594415607660641</v>
                </pt>
                <pt idx="356">
                  <formatCode>0.00%</formatCode>
                  <v>0.2811216288622969</v>
                </pt>
                <pt idx="357">
                  <formatCode>0.00%</formatCode>
                  <v>0.2899571887263646</v>
                </pt>
                <pt idx="358">
                  <formatCode>0.00%</formatCode>
                  <v>0.2807017543859649</v>
                </pt>
                <pt idx="359">
                  <formatCode>0.00%</formatCode>
                  <v>0.2103880698186748</v>
                </pt>
                <pt idx="360">
                  <formatCode>0.00%</formatCode>
                  <v>0.2274609209970427</v>
                </pt>
                <pt idx="361">
                  <formatCode>0.00%</formatCode>
                  <v>0.2916738493363213</v>
                </pt>
                <pt idx="362">
                  <formatCode>0.00%</formatCode>
                  <v>0.1761579347000759</v>
                </pt>
                <pt idx="363">
                  <formatCode>0.00%</formatCode>
                  <v>0.1935896471296366</v>
                </pt>
                <pt idx="364">
                  <formatCode>0.00%</formatCode>
                  <v>0.242989905463868</v>
                </pt>
                <pt idx="365">
                  <formatCode>0.00%</formatCode>
                  <v>0.1856049455401825</v>
                </pt>
                <pt idx="366">
                  <formatCode>0.00%</formatCode>
                  <v>0.1492807055591701</v>
                </pt>
                <pt idx="367">
                  <formatCode>0.00%</formatCode>
                  <v>0.1317416329140908</v>
                </pt>
                <pt idx="368">
                  <formatCode>0.00%</formatCode>
                  <v>0.082252892792416</v>
                </pt>
              </numCache>
            </numRef>
          </val>
          <smooth val="0"/>
        </ser>
        <dLbls>
          <showLegendKey val="0"/>
          <showVal val="0"/>
          <showCatName val="0"/>
          <showSerName val="0"/>
          <showPercent val="0"/>
          <showBubbleSize val="0"/>
        </dLbls>
        <smooth val="0"/>
        <axId val="711785144"/>
        <axId val="711780552"/>
      </lineChart>
      <dateAx>
        <axId val="71178514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11780552"/>
        <crosses val="autoZero"/>
        <lblOffset val="100"/>
        <baseTimeUnit val="months"/>
      </dateAx>
      <valAx>
        <axId val="7117805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11785144"/>
        <crosses val="autoZero"/>
        <crossBetween val="between"/>
      </valAx>
    </plotArea>
    <plotVisOnly val="1"/>
    <dispBlanksAs val="gap"/>
  </chart>
</chartSpace>
</file>

<file path=xl/charts/chart32.xml><?xml version="1.0" encoding="utf-8"?>
<chartSpace xmlns="http://schemas.openxmlformats.org/drawingml/2006/chart">
  <chart>
    <title>
      <tx>
        <strRef>
          <f>Table35[[#Headers],[Clothing and clothing access. Stores, mil$]]</f>
          <strCache>
            <ptCount val="1"/>
            <pt idx="0">
              <v>Clothing and clothing access. Stores,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'Clothing and clothing access'!$B$6</f>
              <strCache>
                <ptCount val="1"/>
                <pt idx="0">
                  <v>Clothing and clothing access. Stores, mil$</v>
                </pt>
              </strCache>
            </strRef>
          </tx>
          <spPr>
            <a:ln xmlns:a="http://schemas.openxmlformats.org/drawingml/2006/main">
              <a:prstDash val="solid"/>
            </a:ln>
          </spPr>
          <marker>
            <symbol val="none"/>
            <spPr>
              <a:ln xmlns:a="http://schemas.openxmlformats.org/drawingml/2006/main">
                <a:prstDash val="solid"/>
              </a:ln>
            </spPr>
          </marker>
          <cat>
            <numRef>
              <f>'Clothing and clothing access'!$A$7:$A$381</f>
              <numCache>
                <formatCode>[$-409]mmm\-yy;@</formatCode>
                <ptCount val="375"/>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numCache>
            </numRef>
          </cat>
          <val>
            <numRef>
              <f>'Clothing and clothing access'!$B$7:$B$381</f>
              <numCache>
                <formatCode>#,##0</formatCode>
                <ptCount val="375"/>
                <pt idx="0">
                  <v>9716</v>
                </pt>
                <pt idx="1">
                  <v>9712</v>
                </pt>
                <pt idx="2">
                  <v>9669</v>
                </pt>
                <pt idx="3">
                  <v>9862</v>
                </pt>
                <pt idx="4">
                  <v>9755</v>
                </pt>
                <pt idx="5">
                  <v>9915</v>
                </pt>
                <pt idx="6">
                  <v>9957</v>
                </pt>
                <pt idx="7">
                  <v>10141</v>
                </pt>
                <pt idx="8">
                  <v>10154</v>
                </pt>
                <pt idx="9">
                  <v>10174</v>
                </pt>
                <pt idx="10">
                  <v>10076</v>
                </pt>
                <pt idx="11">
                  <v>10318</v>
                </pt>
                <pt idx="12">
                  <v>10581</v>
                </pt>
                <pt idx="13">
                  <v>10150</v>
                </pt>
                <pt idx="14">
                  <v>9916</v>
                </pt>
                <pt idx="15">
                  <v>10257</v>
                </pt>
                <pt idx="16">
                  <v>10386</v>
                </pt>
                <pt idx="17">
                  <v>10411</v>
                </pt>
                <pt idx="18">
                  <v>10593</v>
                </pt>
                <pt idx="19">
                  <v>10406</v>
                </pt>
                <pt idx="20">
                  <v>10549</v>
                </pt>
                <pt idx="21">
                  <v>10449</v>
                </pt>
                <pt idx="22">
                  <v>10475</v>
                </pt>
                <pt idx="23">
                  <v>10442</v>
                </pt>
                <pt idx="24">
                  <v>10450</v>
                </pt>
                <pt idx="25">
                  <v>10587</v>
                </pt>
                <pt idx="26">
                  <v>10806</v>
                </pt>
                <pt idx="27">
                  <v>10554</v>
                </pt>
                <pt idx="28">
                  <v>10451</v>
                </pt>
                <pt idx="29">
                  <v>10612</v>
                </pt>
                <pt idx="30">
                  <v>10672</v>
                </pt>
                <pt idx="31">
                  <v>10839</v>
                </pt>
                <pt idx="32">
                  <v>10674</v>
                </pt>
                <pt idx="33">
                  <v>11000</v>
                </pt>
                <pt idx="34">
                  <v>10983</v>
                </pt>
                <pt idx="35">
                  <v>10952</v>
                </pt>
                <pt idx="36">
                  <v>10939</v>
                </pt>
                <pt idx="37">
                  <v>10582</v>
                </pt>
                <pt idx="38">
                  <v>10850</v>
                </pt>
                <pt idx="39">
                  <v>10796</v>
                </pt>
                <pt idx="40">
                  <v>10976</v>
                </pt>
                <pt idx="41">
                  <v>10948</v>
                </pt>
                <pt idx="42">
                  <v>10824</v>
                </pt>
                <pt idx="43">
                  <v>10813</v>
                </pt>
                <pt idx="44">
                  <v>11198</v>
                </pt>
                <pt idx="45">
                  <v>10882</v>
                </pt>
                <pt idx="46">
                  <v>11269</v>
                </pt>
                <pt idx="47">
                  <v>11124</v>
                </pt>
                <pt idx="48">
                  <v>11105</v>
                </pt>
                <pt idx="49">
                  <v>11341</v>
                </pt>
                <pt idx="50">
                  <v>11376</v>
                </pt>
                <pt idx="51">
                  <v>11422</v>
                </pt>
                <pt idx="52">
                  <v>11504</v>
                </pt>
                <pt idx="53">
                  <v>11365</v>
                </pt>
                <pt idx="54">
                  <v>11316</v>
                </pt>
                <pt idx="55">
                  <v>11360</v>
                </pt>
                <pt idx="56">
                  <v>11534</v>
                </pt>
                <pt idx="57">
                  <v>11577</v>
                </pt>
                <pt idx="58">
                  <v>11318</v>
                </pt>
                <pt idx="59">
                  <v>11435</v>
                </pt>
                <pt idx="60">
                  <v>11513</v>
                </pt>
                <pt idx="61">
                  <v>11468</v>
                </pt>
                <pt idx="62">
                  <v>11623</v>
                </pt>
                <pt idx="63">
                  <v>11195</v>
                </pt>
                <pt idx="64">
                  <v>11413</v>
                </pt>
                <pt idx="65">
                  <v>11643</v>
                </pt>
                <pt idx="66">
                  <v>11735</v>
                </pt>
                <pt idx="67">
                  <v>11828</v>
                </pt>
                <pt idx="68">
                  <v>11845</v>
                </pt>
                <pt idx="69">
                  <v>11881</v>
                </pt>
                <pt idx="70">
                  <v>11936</v>
                </pt>
                <pt idx="71">
                  <v>12110</v>
                </pt>
                <pt idx="72">
                  <v>12154</v>
                </pt>
                <pt idx="73">
                  <v>12199</v>
                </pt>
                <pt idx="74">
                  <v>12164</v>
                </pt>
                <pt idx="75">
                  <v>12459</v>
                </pt>
                <pt idx="76">
                  <v>12304</v>
                </pt>
                <pt idx="77">
                  <v>12447</v>
                </pt>
                <pt idx="78">
                  <v>12559</v>
                </pt>
                <pt idx="79">
                  <v>12460</v>
                </pt>
                <pt idx="80">
                  <v>12180</v>
                </pt>
                <pt idx="81">
                  <v>12540</v>
                </pt>
                <pt idx="82">
                  <v>12736</v>
                </pt>
                <pt idx="83">
                  <v>12746</v>
                </pt>
                <pt idx="84">
                  <v>12897</v>
                </pt>
                <pt idx="85">
                  <v>12920</v>
                </pt>
                <pt idx="86">
                  <v>13075</v>
                </pt>
                <pt idx="87">
                  <v>13139</v>
                </pt>
                <pt idx="88">
                  <v>13373</v>
                </pt>
                <pt idx="89">
                  <v>13373</v>
                </pt>
                <pt idx="90">
                  <v>13270</v>
                </pt>
                <pt idx="91">
                  <v>13404</v>
                </pt>
                <pt idx="92">
                  <v>13381</v>
                </pt>
                <pt idx="93">
                  <v>13400</v>
                </pt>
                <pt idx="94">
                  <v>13416</v>
                </pt>
                <pt idx="95">
                  <v>13573</v>
                </pt>
                <pt idx="96">
                  <v>13301</v>
                </pt>
                <pt idx="97">
                  <v>13532</v>
                </pt>
                <pt idx="98">
                  <v>13818</v>
                </pt>
                <pt idx="99">
                  <v>13801</v>
                </pt>
                <pt idx="100">
                  <v>14027</v>
                </pt>
                <pt idx="101">
                  <v>13864</v>
                </pt>
                <pt idx="102">
                  <v>13722</v>
                </pt>
                <pt idx="103">
                  <v>14072</v>
                </pt>
                <pt idx="104">
                  <v>14366</v>
                </pt>
                <pt idx="105">
                  <v>14231</v>
                </pt>
                <pt idx="106">
                  <v>14294</v>
                </pt>
                <pt idx="107">
                  <v>14084</v>
                </pt>
                <pt idx="108">
                  <v>14135</v>
                </pt>
                <pt idx="109">
                  <v>14166</v>
                </pt>
                <pt idx="110">
                  <v>13801</v>
                </pt>
                <pt idx="111">
                  <v>14217</v>
                </pt>
                <pt idx="112">
                  <v>13950</v>
                </pt>
                <pt idx="113">
                  <v>13804</v>
                </pt>
                <pt idx="114">
                  <v>13994</v>
                </pt>
                <pt idx="115">
                  <v>14171</v>
                </pt>
                <pt idx="116">
                  <v>13286</v>
                </pt>
                <pt idx="117">
                  <v>13973</v>
                </pt>
                <pt idx="118">
                  <v>13970</v>
                </pt>
                <pt idx="119">
                  <v>14126</v>
                </pt>
                <pt idx="120">
                  <v>14220</v>
                </pt>
                <pt idx="121">
                  <v>14357</v>
                </pt>
                <pt idx="122">
                  <v>14436</v>
                </pt>
                <pt idx="123">
                  <v>14410</v>
                </pt>
                <pt idx="124">
                  <v>14220</v>
                </pt>
                <pt idx="125">
                  <v>14366</v>
                </pt>
                <pt idx="126">
                  <v>14200</v>
                </pt>
                <pt idx="127">
                  <v>14338</v>
                </pt>
                <pt idx="128">
                  <v>13966</v>
                </pt>
                <pt idx="129">
                  <v>14625</v>
                </pt>
                <pt idx="130">
                  <v>14456</v>
                </pt>
                <pt idx="131">
                  <v>14714</v>
                </pt>
                <pt idx="132">
                  <v>14565</v>
                </pt>
                <pt idx="133">
                  <v>14142</v>
                </pt>
                <pt idx="134">
                  <v>14465</v>
                </pt>
                <pt idx="135">
                  <v>14434</v>
                </pt>
                <pt idx="136">
                  <v>14651</v>
                </pt>
                <pt idx="137">
                  <v>14894</v>
                </pt>
                <pt idx="138">
                  <v>15141</v>
                </pt>
                <pt idx="139">
                  <v>15089</v>
                </pt>
                <pt idx="140">
                  <v>15175</v>
                </pt>
                <pt idx="141">
                  <v>15067</v>
                </pt>
                <pt idx="142">
                  <v>15338</v>
                </pt>
                <pt idx="143">
                  <v>15456</v>
                </pt>
                <pt idx="144">
                  <v>15513</v>
                </pt>
                <pt idx="145">
                  <v>15687</v>
                </pt>
                <pt idx="146">
                  <v>15984</v>
                </pt>
                <pt idx="147">
                  <v>15567</v>
                </pt>
                <pt idx="148">
                  <v>15736</v>
                </pt>
                <pt idx="149">
                  <v>15555</v>
                </pt>
                <pt idx="150">
                  <v>15645</v>
                </pt>
                <pt idx="151">
                  <v>15660</v>
                </pt>
                <pt idx="152">
                  <v>15764</v>
                </pt>
                <pt idx="153">
                  <v>16055</v>
                </pt>
                <pt idx="154">
                  <v>16044</v>
                </pt>
                <pt idx="155">
                  <v>16183</v>
                </pt>
                <pt idx="156">
                  <v>16125</v>
                </pt>
                <pt idx="157">
                  <v>16674</v>
                </pt>
                <pt idx="158">
                  <v>16293</v>
                </pt>
                <pt idx="159">
                  <v>16636</v>
                </pt>
                <pt idx="160">
                  <v>16514</v>
                </pt>
                <pt idx="161">
                  <v>16824</v>
                </pt>
                <pt idx="162">
                  <v>16450</v>
                </pt>
                <pt idx="163">
                  <v>16759</v>
                </pt>
                <pt idx="164">
                  <v>16450</v>
                </pt>
                <pt idx="165">
                  <v>17120</v>
                </pt>
                <pt idx="166">
                  <v>17142</v>
                </pt>
                <pt idx="167">
                  <v>17207</v>
                </pt>
                <pt idx="168">
                  <v>17331</v>
                </pt>
                <pt idx="169">
                  <v>17384</v>
                </pt>
                <pt idx="170">
                  <v>17385</v>
                </pt>
                <pt idx="171">
                  <v>17542</v>
                </pt>
                <pt idx="172">
                  <v>17492</v>
                </pt>
                <pt idx="173">
                  <v>17701</v>
                </pt>
                <pt idx="174">
                  <v>17691</v>
                </pt>
                <pt idx="175">
                  <v>17635</v>
                </pt>
                <pt idx="176">
                  <v>18256</v>
                </pt>
                <pt idx="177">
                  <v>18126</v>
                </pt>
                <pt idx="178">
                  <v>17910</v>
                </pt>
                <pt idx="179">
                  <v>18497</v>
                </pt>
                <pt idx="180">
                  <v>18493</v>
                </pt>
                <pt idx="181">
                  <v>18144</v>
                </pt>
                <pt idx="182">
                  <v>18643</v>
                </pt>
                <pt idx="183">
                  <v>18189</v>
                </pt>
                <pt idx="184">
                  <v>18545</v>
                </pt>
                <pt idx="185">
                  <v>18388</v>
                </pt>
                <pt idx="186">
                  <v>18522</v>
                </pt>
                <pt idx="187">
                  <v>18491</v>
                </pt>
                <pt idx="188">
                  <v>18412</v>
                </pt>
                <pt idx="189">
                  <v>18431</v>
                </pt>
                <pt idx="190">
                  <v>18759</v>
                </pt>
                <pt idx="191">
                  <v>18570</v>
                </pt>
                <pt idx="192">
                  <v>18542</v>
                </pt>
                <pt idx="193">
                  <v>18280</v>
                </pt>
                <pt idx="194">
                  <v>18338</v>
                </pt>
                <pt idx="195">
                  <v>18384</v>
                </pt>
                <pt idx="196">
                  <v>18642</v>
                </pt>
                <pt idx="197">
                  <v>18708</v>
                </pt>
                <pt idx="198">
                  <v>18635</v>
                </pt>
                <pt idx="199">
                  <v>18524</v>
                </pt>
                <pt idx="200">
                  <v>17560</v>
                </pt>
                <pt idx="201">
                  <v>17317</v>
                </pt>
                <pt idx="202">
                  <v>17173</v>
                </pt>
                <pt idx="203">
                  <v>16868</v>
                </pt>
                <pt idx="204">
                  <v>17159</v>
                </pt>
                <pt idx="205">
                  <v>17401</v>
                </pt>
                <pt idx="206">
                  <v>16510</v>
                </pt>
                <pt idx="207">
                  <v>16900</v>
                </pt>
                <pt idx="208">
                  <v>17038</v>
                </pt>
                <pt idx="209">
                  <v>16817</v>
                </pt>
                <pt idx="210">
                  <v>17015</v>
                </pt>
                <pt idx="211">
                  <v>17233</v>
                </pt>
                <pt idx="212">
                  <v>17172</v>
                </pt>
                <pt idx="213">
                  <v>17296</v>
                </pt>
                <pt idx="214">
                  <v>17105</v>
                </pt>
                <pt idx="215">
                  <v>17127</v>
                </pt>
                <pt idx="216">
                  <v>17351</v>
                </pt>
                <pt idx="217">
                  <v>17402</v>
                </pt>
                <pt idx="218">
                  <v>17908</v>
                </pt>
                <pt idx="219">
                  <v>17724</v>
                </pt>
                <pt idx="220">
                  <v>17656</v>
                </pt>
                <pt idx="221">
                  <v>17495</v>
                </pt>
                <pt idx="222">
                  <v>17573</v>
                </pt>
                <pt idx="223">
                  <v>17643</v>
                </pt>
                <pt idx="224">
                  <v>17705</v>
                </pt>
                <pt idx="225">
                  <v>18002</v>
                </pt>
                <pt idx="226">
                  <v>18420</v>
                </pt>
                <pt idx="227">
                  <v>18206</v>
                </pt>
                <pt idx="228">
                  <v>18351</v>
                </pt>
                <pt idx="229">
                  <v>18594</v>
                </pt>
                <pt idx="230">
                  <v>18706</v>
                </pt>
                <pt idx="231">
                  <v>18946</v>
                </pt>
                <pt idx="232">
                  <v>18831</v>
                </pt>
                <pt idx="233">
                  <v>19187</v>
                </pt>
                <pt idx="234">
                  <v>18998</v>
                </pt>
                <pt idx="235">
                  <v>18902</v>
                </pt>
                <pt idx="236">
                  <v>19514</v>
                </pt>
                <pt idx="237">
                  <v>19128</v>
                </pt>
                <pt idx="238">
                  <v>19292</v>
                </pt>
                <pt idx="239">
                  <v>19512</v>
                </pt>
                <pt idx="240">
                  <v>19564</v>
                </pt>
                <pt idx="241">
                  <v>20275</v>
                </pt>
                <pt idx="242">
                  <v>20063</v>
                </pt>
                <pt idx="243">
                  <v>19540</v>
                </pt>
                <pt idx="244">
                  <v>19633</v>
                </pt>
                <pt idx="245">
                  <v>19860</v>
                </pt>
                <pt idx="246">
                  <v>19701</v>
                </pt>
                <pt idx="247">
                  <v>19947</v>
                </pt>
                <pt idx="248">
                  <v>20118</v>
                </pt>
                <pt idx="249">
                  <v>19911</v>
                </pt>
                <pt idx="250">
                  <v>19989</v>
                </pt>
                <pt idx="251">
                  <v>20196</v>
                </pt>
                <pt idx="252">
                  <v>20427</v>
                </pt>
                <pt idx="253">
                  <v>20324</v>
                </pt>
                <pt idx="254">
                  <v>20345</v>
                </pt>
                <pt idx="255">
                  <v>20490</v>
                </pt>
                <pt idx="256">
                  <v>20403</v>
                </pt>
                <pt idx="257">
                  <v>20369</v>
                </pt>
                <pt idx="258">
                  <v>20579</v>
                </pt>
                <pt idx="259">
                  <v>20336</v>
                </pt>
                <pt idx="260">
                  <v>20327</v>
                </pt>
                <pt idx="261">
                  <v>20770</v>
                </pt>
                <pt idx="262">
                  <v>20271</v>
                </pt>
                <pt idx="263">
                  <v>20584</v>
                </pt>
                <pt idx="264">
                  <v>20538</v>
                </pt>
                <pt idx="265">
                  <v>20554</v>
                </pt>
                <pt idx="266">
                  <v>20686</v>
                </pt>
                <pt idx="267">
                  <v>21166</v>
                </pt>
                <pt idx="268">
                  <v>20775</v>
                </pt>
                <pt idx="269">
                  <v>20827</v>
                </pt>
                <pt idx="270">
                  <v>20929</v>
                </pt>
                <pt idx="271">
                  <v>21076</v>
                </pt>
                <pt idx="272">
                  <v>20820</v>
                </pt>
                <pt idx="273">
                  <v>21157</v>
                </pt>
                <pt idx="274">
                  <v>21379</v>
                </pt>
                <pt idx="275">
                  <v>21319</v>
                </pt>
                <pt idx="276">
                  <v>21055</v>
                </pt>
                <pt idx="277">
                  <v>21333</v>
                </pt>
                <pt idx="278">
                  <v>21394</v>
                </pt>
                <pt idx="279">
                  <v>21474</v>
                </pt>
                <pt idx="280">
                  <v>21635</v>
                </pt>
                <pt idx="281">
                  <v>21385</v>
                </pt>
                <pt idx="282">
                  <v>21601</v>
                </pt>
                <pt idx="283">
                  <v>21653</v>
                </pt>
                <pt idx="284">
                  <v>21462</v>
                </pt>
                <pt idx="285">
                  <v>21303</v>
                </pt>
                <pt idx="286">
                  <v>21341</v>
                </pt>
                <pt idx="287">
                  <v>21547</v>
                </pt>
                <pt idx="288">
                  <v>21325</v>
                </pt>
                <pt idx="289">
                  <v>22000</v>
                </pt>
                <pt idx="290">
                  <v>21513</v>
                </pt>
                <pt idx="291">
                  <v>21439</v>
                </pt>
                <pt idx="292">
                  <v>21572</v>
                </pt>
                <pt idx="293">
                  <v>21706</v>
                </pt>
                <pt idx="294">
                  <v>21471</v>
                </pt>
                <pt idx="295">
                  <v>21837</v>
                </pt>
                <pt idx="296">
                  <v>21946</v>
                </pt>
                <pt idx="297">
                  <v>21739</v>
                </pt>
                <pt idx="298">
                  <v>21536</v>
                </pt>
                <pt idx="299">
                  <v>21999</v>
                </pt>
                <pt idx="300">
                  <v>22061</v>
                </pt>
                <pt idx="301">
                  <v>21694</v>
                </pt>
                <pt idx="302">
                  <v>21821</v>
                </pt>
                <pt idx="303">
                  <v>21797</v>
                </pt>
                <pt idx="304">
                  <v>21601</v>
                </pt>
                <pt idx="305">
                  <v>21768</v>
                </pt>
                <pt idx="306">
                  <v>21626</v>
                </pt>
                <pt idx="307">
                  <v>21810</v>
                </pt>
                <pt idx="308">
                  <v>21864</v>
                </pt>
                <pt idx="309">
                  <v>21792</v>
                </pt>
                <pt idx="310">
                  <v>21987</v>
                </pt>
                <pt idx="311">
                  <v>21793</v>
                </pt>
                <pt idx="312">
                  <v>21874</v>
                </pt>
                <pt idx="313">
                  <v>22449</v>
                </pt>
                <pt idx="314">
                  <v>21778</v>
                </pt>
                <pt idx="315">
                  <v>22169</v>
                </pt>
                <pt idx="316">
                  <v>22820</v>
                </pt>
                <pt idx="317">
                  <v>22256</v>
                </pt>
                <pt idx="318">
                  <v>22704</v>
                </pt>
                <pt idx="319">
                  <v>22229</v>
                </pt>
                <pt idx="320">
                  <v>22104</v>
                </pt>
                <pt idx="321">
                  <v>22560</v>
                </pt>
                <pt idx="322">
                  <v>22531</v>
                </pt>
                <pt idx="323">
                  <v>22200</v>
                </pt>
                <pt idx="324">
                  <v>22176</v>
                </pt>
                <pt idx="325">
                  <v>22194</v>
                </pt>
                <pt idx="326">
                  <v>22566</v>
                </pt>
                <pt idx="327">
                  <v>22515</v>
                </pt>
                <pt idx="328">
                  <v>22215</v>
                </pt>
                <pt idx="329">
                  <v>22167</v>
                </pt>
                <pt idx="330">
                  <v>22569</v>
                </pt>
                <pt idx="331">
                  <v>22615</v>
                </pt>
                <pt idx="332">
                  <v>22376</v>
                </pt>
                <pt idx="333">
                  <v>22417</v>
                </pt>
                <pt idx="334">
                  <v>22184</v>
                </pt>
                <pt idx="335">
                  <v>23230</v>
                </pt>
                <pt idx="336">
                  <v>23009</v>
                </pt>
                <pt idx="337">
                  <v>22735</v>
                </pt>
                <pt idx="338">
                  <v>11477</v>
                </pt>
                <pt idx="339">
                  <v>2866</v>
                </pt>
                <pt idx="340">
                  <v>8288</v>
                </pt>
                <pt idx="341">
                  <v>17139</v>
                </pt>
                <pt idx="342">
                  <v>17912</v>
                </pt>
                <pt idx="343">
                  <v>18400</v>
                </pt>
                <pt idx="344">
                  <v>20827</v>
                </pt>
                <pt idx="345">
                  <v>20303</v>
                </pt>
                <pt idx="346">
                  <v>19017</v>
                </pt>
                <pt idx="347">
                  <v>20007</v>
                </pt>
                <pt idx="348">
                  <v>21093</v>
                </pt>
                <pt idx="349">
                  <v>19904</v>
                </pt>
                <pt idx="350">
                  <v>24019</v>
                </pt>
                <pt idx="351">
                  <v>24070</v>
                </pt>
                <pt idx="352">
                  <v>24789</v>
                </pt>
                <pt idx="353">
                  <v>25799</v>
                </pt>
                <pt idx="354">
                  <v>25397</v>
                </pt>
                <pt idx="355">
                  <v>24874</v>
                </pt>
                <pt idx="356">
                  <v>25433</v>
                </pt>
                <pt idx="357">
                  <v>25487</v>
                </pt>
                <pt idx="358">
                  <v>25784</v>
                </pt>
                <pt idx="359">
                  <v>25051</v>
                </pt>
                <pt idx="360">
                  <v>25160</v>
                </pt>
                <pt idx="361">
                  <v>25481</v>
                </pt>
                <pt idx="362">
                  <v>26157</v>
                </pt>
                <pt idx="363">
                  <v>26166</v>
                </pt>
                <pt idx="364">
                  <v>25812</v>
                </pt>
                <pt idx="365">
                  <v>26004</v>
                </pt>
                <pt idx="366">
                  <v>25889</v>
                </pt>
                <pt idx="367">
                  <v>26111</v>
                </pt>
                <pt idx="368">
                  <v>26232</v>
                </pt>
              </numCache>
            </numRef>
          </val>
          <smooth val="0"/>
        </ser>
        <dLbls>
          <showLegendKey val="0"/>
          <showVal val="0"/>
          <showCatName val="0"/>
          <showSerName val="0"/>
          <showPercent val="0"/>
          <showBubbleSize val="0"/>
        </dLbls>
        <smooth val="0"/>
        <axId val="1153239463"/>
        <axId val="1153239135"/>
      </lineChart>
      <dateAx>
        <axId val="1153239463"/>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53239135"/>
        <crosses val="autoZero"/>
        <lblOffset val="100"/>
        <baseTimeUnit val="months"/>
      </dateAx>
      <valAx>
        <axId val="1153239135"/>
        <scaling>
          <orientation val="minMax"/>
          <min val="9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53239463"/>
        <crosses val="autoZero"/>
        <crossBetween val="between"/>
      </valAx>
    </plotArea>
    <plotVisOnly val="1"/>
    <dispBlanksAs val="gap"/>
  </chart>
</chartSpace>
</file>

<file path=xl/charts/chart3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'Clothing and clothing access'!$D$6</f>
              <strCache>
                <ptCount val="1"/>
                <pt idx="0">
                  <v>yoy</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'Clothing and clothing access'!$A$19:$A$382</f>
              <numCache>
                <formatCode>[$-409]mmm\-yy;@</formatCode>
                <ptCount val="364"/>
                <pt idx="0">
                  <v>33970</v>
                </pt>
                <pt idx="1">
                  <v>34001</v>
                </pt>
                <pt idx="2">
                  <v>34029</v>
                </pt>
                <pt idx="3">
                  <v>34060</v>
                </pt>
                <pt idx="4">
                  <v>34090</v>
                </pt>
                <pt idx="5">
                  <v>34121</v>
                </pt>
                <pt idx="6">
                  <v>34151</v>
                </pt>
                <pt idx="7">
                  <v>34182</v>
                </pt>
                <pt idx="8">
                  <v>34213</v>
                </pt>
                <pt idx="9">
                  <v>34243</v>
                </pt>
                <pt idx="10">
                  <v>34274</v>
                </pt>
                <pt idx="11">
                  <v>34304</v>
                </pt>
                <pt idx="12">
                  <v>34335</v>
                </pt>
                <pt idx="13">
                  <v>34366</v>
                </pt>
                <pt idx="14">
                  <v>34394</v>
                </pt>
                <pt idx="15">
                  <v>34425</v>
                </pt>
                <pt idx="16">
                  <v>34455</v>
                </pt>
                <pt idx="17">
                  <v>34486</v>
                </pt>
                <pt idx="18">
                  <v>34516</v>
                </pt>
                <pt idx="19">
                  <v>34547</v>
                </pt>
                <pt idx="20">
                  <v>34578</v>
                </pt>
                <pt idx="21">
                  <v>34608</v>
                </pt>
                <pt idx="22">
                  <v>34639</v>
                </pt>
                <pt idx="23">
                  <v>34669</v>
                </pt>
                <pt idx="24">
                  <v>34700</v>
                </pt>
                <pt idx="25">
                  <v>34731</v>
                </pt>
                <pt idx="26">
                  <v>34759</v>
                </pt>
                <pt idx="27">
                  <v>34790</v>
                </pt>
                <pt idx="28">
                  <v>34820</v>
                </pt>
                <pt idx="29">
                  <v>34851</v>
                </pt>
                <pt idx="30">
                  <v>34881</v>
                </pt>
                <pt idx="31">
                  <v>34912</v>
                </pt>
                <pt idx="32">
                  <v>34943</v>
                </pt>
                <pt idx="33">
                  <v>34973</v>
                </pt>
                <pt idx="34">
                  <v>35004</v>
                </pt>
                <pt idx="35">
                  <v>35034</v>
                </pt>
                <pt idx="36">
                  <v>35065</v>
                </pt>
                <pt idx="37">
                  <v>35096</v>
                </pt>
                <pt idx="38">
                  <v>35125</v>
                </pt>
                <pt idx="39">
                  <v>35156</v>
                </pt>
                <pt idx="40">
                  <v>35186</v>
                </pt>
                <pt idx="41">
                  <v>35217</v>
                </pt>
                <pt idx="42">
                  <v>35247</v>
                </pt>
                <pt idx="43">
                  <v>35278</v>
                </pt>
                <pt idx="44">
                  <v>35309</v>
                </pt>
                <pt idx="45">
                  <v>35339</v>
                </pt>
                <pt idx="46">
                  <v>35370</v>
                </pt>
                <pt idx="47">
                  <v>35400</v>
                </pt>
                <pt idx="48">
                  <v>35431</v>
                </pt>
                <pt idx="49">
                  <v>35462</v>
                </pt>
                <pt idx="50">
                  <v>35490</v>
                </pt>
                <pt idx="51">
                  <v>35521</v>
                </pt>
                <pt idx="52">
                  <v>35551</v>
                </pt>
                <pt idx="53">
                  <v>35582</v>
                </pt>
                <pt idx="54">
                  <v>35612</v>
                </pt>
                <pt idx="55">
                  <v>35643</v>
                </pt>
                <pt idx="56">
                  <v>35674</v>
                </pt>
                <pt idx="57">
                  <v>35704</v>
                </pt>
                <pt idx="58">
                  <v>35735</v>
                </pt>
                <pt idx="59">
                  <v>35765</v>
                </pt>
                <pt idx="60">
                  <v>35796</v>
                </pt>
                <pt idx="61">
                  <v>35827</v>
                </pt>
                <pt idx="62">
                  <v>35855</v>
                </pt>
                <pt idx="63">
                  <v>35886</v>
                </pt>
                <pt idx="64">
                  <v>35916</v>
                </pt>
                <pt idx="65">
                  <v>35947</v>
                </pt>
                <pt idx="66">
                  <v>35977</v>
                </pt>
                <pt idx="67">
                  <v>36008</v>
                </pt>
                <pt idx="68">
                  <v>36039</v>
                </pt>
                <pt idx="69">
                  <v>36069</v>
                </pt>
                <pt idx="70">
                  <v>36100</v>
                </pt>
                <pt idx="71">
                  <v>36130</v>
                </pt>
                <pt idx="72">
                  <v>36161</v>
                </pt>
                <pt idx="73">
                  <v>36192</v>
                </pt>
                <pt idx="74">
                  <v>36220</v>
                </pt>
                <pt idx="75">
                  <v>36251</v>
                </pt>
                <pt idx="76">
                  <v>36281</v>
                </pt>
                <pt idx="77">
                  <v>36312</v>
                </pt>
                <pt idx="78">
                  <v>36342</v>
                </pt>
                <pt idx="79">
                  <v>36373</v>
                </pt>
                <pt idx="80">
                  <v>36404</v>
                </pt>
                <pt idx="81">
                  <v>36434</v>
                </pt>
                <pt idx="82">
                  <v>36465</v>
                </pt>
                <pt idx="83">
                  <v>36495</v>
                </pt>
                <pt idx="84">
                  <v>36526</v>
                </pt>
                <pt idx="85">
                  <v>36557</v>
                </pt>
                <pt idx="86">
                  <v>36586</v>
                </pt>
                <pt idx="87">
                  <v>36617</v>
                </pt>
                <pt idx="88">
                  <v>36647</v>
                </pt>
                <pt idx="89">
                  <v>36678</v>
                </pt>
                <pt idx="90">
                  <v>36708</v>
                </pt>
                <pt idx="91">
                  <v>36739</v>
                </pt>
                <pt idx="92">
                  <v>36770</v>
                </pt>
                <pt idx="93">
                  <v>36800</v>
                </pt>
                <pt idx="94">
                  <v>36831</v>
                </pt>
                <pt idx="95">
                  <v>36861</v>
                </pt>
                <pt idx="96">
                  <v>36892</v>
                </pt>
                <pt idx="97">
                  <v>36923</v>
                </pt>
                <pt idx="98">
                  <v>36951</v>
                </pt>
                <pt idx="99">
                  <v>36982</v>
                </pt>
                <pt idx="100">
                  <v>37012</v>
                </pt>
                <pt idx="101">
                  <v>37043</v>
                </pt>
                <pt idx="102">
                  <v>37073</v>
                </pt>
                <pt idx="103">
                  <v>37104</v>
                </pt>
                <pt idx="104">
                  <v>37135</v>
                </pt>
                <pt idx="105">
                  <v>37165</v>
                </pt>
                <pt idx="106">
                  <v>37196</v>
                </pt>
                <pt idx="107">
                  <v>37226</v>
                </pt>
                <pt idx="108">
                  <v>37257</v>
                </pt>
                <pt idx="109">
                  <v>37288</v>
                </pt>
                <pt idx="110">
                  <v>37316</v>
                </pt>
                <pt idx="111">
                  <v>37347</v>
                </pt>
                <pt idx="112">
                  <v>37377</v>
                </pt>
                <pt idx="113">
                  <v>37408</v>
                </pt>
                <pt idx="114">
                  <v>37438</v>
                </pt>
                <pt idx="115">
                  <v>37469</v>
                </pt>
                <pt idx="116">
                  <v>37500</v>
                </pt>
                <pt idx="117">
                  <v>37530</v>
                </pt>
                <pt idx="118">
                  <v>37561</v>
                </pt>
                <pt idx="119">
                  <v>37591</v>
                </pt>
                <pt idx="120">
                  <v>37622</v>
                </pt>
                <pt idx="121">
                  <v>37653</v>
                </pt>
                <pt idx="122">
                  <v>37681</v>
                </pt>
                <pt idx="123">
                  <v>37712</v>
                </pt>
                <pt idx="124">
                  <v>37742</v>
                </pt>
                <pt idx="125">
                  <v>37773</v>
                </pt>
                <pt idx="126">
                  <v>37803</v>
                </pt>
                <pt idx="127">
                  <v>37834</v>
                </pt>
                <pt idx="128">
                  <v>37865</v>
                </pt>
                <pt idx="129">
                  <v>37895</v>
                </pt>
                <pt idx="130">
                  <v>37926</v>
                </pt>
                <pt idx="131">
                  <v>37956</v>
                </pt>
                <pt idx="132">
                  <v>37987</v>
                </pt>
                <pt idx="133">
                  <v>38018</v>
                </pt>
                <pt idx="134">
                  <v>38047</v>
                </pt>
                <pt idx="135">
                  <v>38078</v>
                </pt>
                <pt idx="136">
                  <v>38108</v>
                </pt>
                <pt idx="137">
                  <v>38139</v>
                </pt>
                <pt idx="138">
                  <v>38169</v>
                </pt>
                <pt idx="139">
                  <v>38200</v>
                </pt>
                <pt idx="140">
                  <v>38231</v>
                </pt>
                <pt idx="141">
                  <v>38261</v>
                </pt>
                <pt idx="142">
                  <v>38292</v>
                </pt>
                <pt idx="143">
                  <v>38322</v>
                </pt>
                <pt idx="144">
                  <v>38353</v>
                </pt>
                <pt idx="145">
                  <v>38384</v>
                </pt>
                <pt idx="146">
                  <v>38412</v>
                </pt>
                <pt idx="147">
                  <v>38443</v>
                </pt>
                <pt idx="148">
                  <v>38473</v>
                </pt>
                <pt idx="149">
                  <v>38504</v>
                </pt>
                <pt idx="150">
                  <v>38534</v>
                </pt>
                <pt idx="151">
                  <v>38565</v>
                </pt>
                <pt idx="152">
                  <v>38596</v>
                </pt>
                <pt idx="153">
                  <v>38626</v>
                </pt>
                <pt idx="154">
                  <v>38657</v>
                </pt>
                <pt idx="155">
                  <v>38687</v>
                </pt>
                <pt idx="156">
                  <v>38718</v>
                </pt>
                <pt idx="157">
                  <v>38749</v>
                </pt>
                <pt idx="158">
                  <v>38777</v>
                </pt>
                <pt idx="159">
                  <v>38808</v>
                </pt>
                <pt idx="160">
                  <v>38838</v>
                </pt>
                <pt idx="161">
                  <v>38869</v>
                </pt>
                <pt idx="162">
                  <v>38899</v>
                </pt>
                <pt idx="163">
                  <v>38930</v>
                </pt>
                <pt idx="164">
                  <v>38961</v>
                </pt>
                <pt idx="165">
                  <v>38991</v>
                </pt>
                <pt idx="166">
                  <v>39022</v>
                </pt>
                <pt idx="167">
                  <v>39052</v>
                </pt>
                <pt idx="168">
                  <v>39083</v>
                </pt>
                <pt idx="169">
                  <v>39114</v>
                </pt>
                <pt idx="170">
                  <v>39142</v>
                </pt>
                <pt idx="171">
                  <v>39173</v>
                </pt>
                <pt idx="172">
                  <v>39203</v>
                </pt>
                <pt idx="173">
                  <v>39234</v>
                </pt>
                <pt idx="174">
                  <v>39264</v>
                </pt>
                <pt idx="175">
                  <v>39295</v>
                </pt>
                <pt idx="176">
                  <v>39326</v>
                </pt>
                <pt idx="177">
                  <v>39356</v>
                </pt>
                <pt idx="178">
                  <v>39387</v>
                </pt>
                <pt idx="179">
                  <v>39417</v>
                </pt>
                <pt idx="180">
                  <v>39448</v>
                </pt>
                <pt idx="181">
                  <v>39479</v>
                </pt>
                <pt idx="182">
                  <v>39508</v>
                </pt>
                <pt idx="183">
                  <v>39539</v>
                </pt>
                <pt idx="184">
                  <v>39569</v>
                </pt>
                <pt idx="185">
                  <v>39600</v>
                </pt>
                <pt idx="186">
                  <v>39630</v>
                </pt>
                <pt idx="187">
                  <v>39661</v>
                </pt>
                <pt idx="188">
                  <v>39692</v>
                </pt>
                <pt idx="189">
                  <v>39722</v>
                </pt>
                <pt idx="190">
                  <v>39753</v>
                </pt>
                <pt idx="191">
                  <v>39783</v>
                </pt>
                <pt idx="192">
                  <v>39814</v>
                </pt>
                <pt idx="193">
                  <v>39845</v>
                </pt>
                <pt idx="194">
                  <v>39873</v>
                </pt>
                <pt idx="195">
                  <v>39904</v>
                </pt>
                <pt idx="196">
                  <v>39934</v>
                </pt>
                <pt idx="197">
                  <v>39965</v>
                </pt>
                <pt idx="198">
                  <v>39995</v>
                </pt>
                <pt idx="199">
                  <v>40026</v>
                </pt>
                <pt idx="200">
                  <v>40057</v>
                </pt>
                <pt idx="201">
                  <v>40087</v>
                </pt>
                <pt idx="202">
                  <v>40118</v>
                </pt>
                <pt idx="203">
                  <v>40148</v>
                </pt>
                <pt idx="204">
                  <v>40179</v>
                </pt>
                <pt idx="205">
                  <v>40210</v>
                </pt>
                <pt idx="206">
                  <v>40238</v>
                </pt>
                <pt idx="207">
                  <v>40269</v>
                </pt>
                <pt idx="208">
                  <v>40299</v>
                </pt>
                <pt idx="209">
                  <v>40330</v>
                </pt>
                <pt idx="210">
                  <v>40360</v>
                </pt>
                <pt idx="211">
                  <v>40391</v>
                </pt>
                <pt idx="212">
                  <v>40422</v>
                </pt>
                <pt idx="213">
                  <v>40452</v>
                </pt>
                <pt idx="214">
                  <v>40483</v>
                </pt>
                <pt idx="215">
                  <v>40513</v>
                </pt>
                <pt idx="216">
                  <v>40544</v>
                </pt>
                <pt idx="217">
                  <v>40575</v>
                </pt>
                <pt idx="218">
                  <v>40603</v>
                </pt>
                <pt idx="219">
                  <v>40634</v>
                </pt>
                <pt idx="220">
                  <v>40664</v>
                </pt>
                <pt idx="221">
                  <v>40695</v>
                </pt>
                <pt idx="222">
                  <v>40725</v>
                </pt>
                <pt idx="223">
                  <v>40756</v>
                </pt>
                <pt idx="224">
                  <v>40787</v>
                </pt>
                <pt idx="225">
                  <v>40817</v>
                </pt>
                <pt idx="226">
                  <v>40848</v>
                </pt>
                <pt idx="227">
                  <v>40878</v>
                </pt>
                <pt idx="228">
                  <v>40909</v>
                </pt>
                <pt idx="229">
                  <v>40940</v>
                </pt>
                <pt idx="230">
                  <v>40969</v>
                </pt>
                <pt idx="231">
                  <v>41000</v>
                </pt>
                <pt idx="232">
                  <v>41030</v>
                </pt>
                <pt idx="233">
                  <v>41061</v>
                </pt>
                <pt idx="234">
                  <v>41091</v>
                </pt>
                <pt idx="235">
                  <v>41122</v>
                </pt>
                <pt idx="236">
                  <v>41153</v>
                </pt>
                <pt idx="237">
                  <v>41183</v>
                </pt>
                <pt idx="238">
                  <v>41214</v>
                </pt>
                <pt idx="239">
                  <v>41244</v>
                </pt>
                <pt idx="240">
                  <v>41275</v>
                </pt>
                <pt idx="241">
                  <v>41306</v>
                </pt>
                <pt idx="242">
                  <v>41334</v>
                </pt>
                <pt idx="243">
                  <v>41365</v>
                </pt>
                <pt idx="244">
                  <v>41395</v>
                </pt>
                <pt idx="245">
                  <v>41426</v>
                </pt>
                <pt idx="246">
                  <v>41456</v>
                </pt>
                <pt idx="247">
                  <v>41487</v>
                </pt>
                <pt idx="248">
                  <v>41518</v>
                </pt>
                <pt idx="249">
                  <v>41548</v>
                </pt>
                <pt idx="250">
                  <v>41579</v>
                </pt>
                <pt idx="251">
                  <v>41609</v>
                </pt>
                <pt idx="252">
                  <v>41640</v>
                </pt>
                <pt idx="253">
                  <v>41671</v>
                </pt>
                <pt idx="254">
                  <v>41699</v>
                </pt>
                <pt idx="255">
                  <v>41730</v>
                </pt>
                <pt idx="256">
                  <v>41760</v>
                </pt>
                <pt idx="257">
                  <v>41791</v>
                </pt>
                <pt idx="258">
                  <v>41821</v>
                </pt>
                <pt idx="259">
                  <v>41852</v>
                </pt>
                <pt idx="260">
                  <v>41883</v>
                </pt>
                <pt idx="261">
                  <v>41913</v>
                </pt>
                <pt idx="262">
                  <v>41944</v>
                </pt>
                <pt idx="263">
                  <v>41974</v>
                </pt>
                <pt idx="264">
                  <v>42005</v>
                </pt>
                <pt idx="265">
                  <v>42036</v>
                </pt>
                <pt idx="266">
                  <v>42064</v>
                </pt>
                <pt idx="267">
                  <v>42095</v>
                </pt>
                <pt idx="268">
                  <v>42125</v>
                </pt>
                <pt idx="269">
                  <v>42156</v>
                </pt>
                <pt idx="270">
                  <v>42186</v>
                </pt>
                <pt idx="271">
                  <v>42217</v>
                </pt>
                <pt idx="272">
                  <v>42248</v>
                </pt>
                <pt idx="273">
                  <v>42278</v>
                </pt>
                <pt idx="274">
                  <v>42309</v>
                </pt>
                <pt idx="275">
                  <v>42339</v>
                </pt>
                <pt idx="276">
                  <v>42370</v>
                </pt>
                <pt idx="277">
                  <v>42401</v>
                </pt>
                <pt idx="278">
                  <v>42430</v>
                </pt>
                <pt idx="279">
                  <v>42461</v>
                </pt>
                <pt idx="280">
                  <v>42491</v>
                </pt>
                <pt idx="281">
                  <v>42522</v>
                </pt>
                <pt idx="282">
                  <v>42552</v>
                </pt>
                <pt idx="283">
                  <v>42583</v>
                </pt>
                <pt idx="284">
                  <v>42614</v>
                </pt>
                <pt idx="285">
                  <v>42644</v>
                </pt>
                <pt idx="286">
                  <v>42675</v>
                </pt>
                <pt idx="287">
                  <v>42705</v>
                </pt>
                <pt idx="288">
                  <v>42736</v>
                </pt>
                <pt idx="289">
                  <v>42767</v>
                </pt>
                <pt idx="290">
                  <v>42795</v>
                </pt>
                <pt idx="291">
                  <v>42826</v>
                </pt>
                <pt idx="292">
                  <v>42856</v>
                </pt>
                <pt idx="293">
                  <v>42887</v>
                </pt>
                <pt idx="294">
                  <v>42917</v>
                </pt>
                <pt idx="295">
                  <v>42948</v>
                </pt>
                <pt idx="296">
                  <v>42979</v>
                </pt>
                <pt idx="297">
                  <v>43009</v>
                </pt>
                <pt idx="298">
                  <v>43040</v>
                </pt>
                <pt idx="299">
                  <v>43070</v>
                </pt>
                <pt idx="300">
                  <v>43101</v>
                </pt>
                <pt idx="301">
                  <v>43132</v>
                </pt>
                <pt idx="302">
                  <v>43160</v>
                </pt>
                <pt idx="303">
                  <v>43191</v>
                </pt>
                <pt idx="304">
                  <v>43221</v>
                </pt>
                <pt idx="305">
                  <v>43252</v>
                </pt>
                <pt idx="306">
                  <v>43282</v>
                </pt>
                <pt idx="307">
                  <v>43313</v>
                </pt>
                <pt idx="308">
                  <v>43344</v>
                </pt>
                <pt idx="309">
                  <v>43374</v>
                </pt>
                <pt idx="310">
                  <v>43405</v>
                </pt>
                <pt idx="311">
                  <v>43435</v>
                </pt>
                <pt idx="312">
                  <v>43466</v>
                </pt>
                <pt idx="313">
                  <v>43497</v>
                </pt>
                <pt idx="314">
                  <v>43525</v>
                </pt>
                <pt idx="315">
                  <v>43556</v>
                </pt>
                <pt idx="316">
                  <v>43586</v>
                </pt>
                <pt idx="317">
                  <v>43617</v>
                </pt>
                <pt idx="318">
                  <v>43647</v>
                </pt>
                <pt idx="319">
                  <v>43678</v>
                </pt>
                <pt idx="320">
                  <v>43709</v>
                </pt>
                <pt idx="321">
                  <v>43739</v>
                </pt>
                <pt idx="322">
                  <v>43770</v>
                </pt>
                <pt idx="323">
                  <v>43800</v>
                </pt>
                <pt idx="324">
                  <v>43831</v>
                </pt>
                <pt idx="325">
                  <v>43862</v>
                </pt>
                <pt idx="326">
                  <v>43891</v>
                </pt>
                <pt idx="327">
                  <v>43922</v>
                </pt>
                <pt idx="328">
                  <v>43952</v>
                </pt>
                <pt idx="329">
                  <v>43983</v>
                </pt>
                <pt idx="330">
                  <v>44013</v>
                </pt>
                <pt idx="331">
                  <v>44044</v>
                </pt>
                <pt idx="332">
                  <v>44075</v>
                </pt>
                <pt idx="333">
                  <v>44105</v>
                </pt>
                <pt idx="334">
                  <v>44136</v>
                </pt>
                <pt idx="335">
                  <v>44166</v>
                </pt>
                <pt idx="336">
                  <v>44197</v>
                </pt>
                <pt idx="337">
                  <v>44228</v>
                </pt>
                <pt idx="338">
                  <v>44256</v>
                </pt>
                <pt idx="339">
                  <v>44287</v>
                </pt>
                <pt idx="340">
                  <v>44317</v>
                </pt>
                <pt idx="341">
                  <v>44348</v>
                </pt>
                <pt idx="342">
                  <v>44378</v>
                </pt>
                <pt idx="343">
                  <v>44409</v>
                </pt>
                <pt idx="344">
                  <v>44440</v>
                </pt>
                <pt idx="345">
                  <v>44470</v>
                </pt>
                <pt idx="346">
                  <v>44501</v>
                </pt>
                <pt idx="347">
                  <v>44531</v>
                </pt>
                <pt idx="348">
                  <v>44562</v>
                </pt>
                <pt idx="349">
                  <v>44593</v>
                </pt>
                <pt idx="350">
                  <v>44621</v>
                </pt>
                <pt idx="351">
                  <v>44652</v>
                </pt>
                <pt idx="352">
                  <v>44682</v>
                </pt>
                <pt idx="353">
                  <v>44713</v>
                </pt>
                <pt idx="354">
                  <v>44743</v>
                </pt>
                <pt idx="355">
                  <v>44774</v>
                </pt>
                <pt idx="356">
                  <v>44805</v>
                </pt>
              </numCache>
            </numRef>
          </cat>
          <val>
            <numRef>
              <f>'Clothing and clothing access'!$D$19:$D$382</f>
              <numCache>
                <formatCode>0.00%</formatCode>
                <ptCount val="364"/>
                <pt idx="0">
                  <v>0.08902840675174969</v>
                </pt>
                <pt idx="1">
                  <v>0.04509884678747941</v>
                </pt>
                <pt idx="2">
                  <v>0.02554555796876616</v>
                </pt>
                <pt idx="3">
                  <v>0.04005272764145204</v>
                </pt>
                <pt idx="4">
                  <v>0.06468477703741671</v>
                </pt>
                <pt idx="5">
                  <v>0.05002521432173475</v>
                </pt>
                <pt idx="6">
                  <v>0.06387466104248267</v>
                </pt>
                <pt idx="7">
                  <v>0.0261315452125037</v>
                </pt>
                <pt idx="8">
                  <v>0.03890092574354934</v>
                </pt>
                <pt idx="9">
                  <v>0.02702968350697857</v>
                </pt>
                <pt idx="10">
                  <v>0.03959904724096864</v>
                </pt>
                <pt idx="11">
                  <v>0.0120178329133553</v>
                </pt>
                <pt idx="12">
                  <v>-0.01238068235516492</v>
                </pt>
                <pt idx="13">
                  <v>0.04305418719211822</v>
                </pt>
                <pt idx="14">
                  <v>0.08975393303751512</v>
                </pt>
                <pt idx="15">
                  <v>0.02895583503948523</v>
                </pt>
                <pt idx="16">
                  <v>0.00625842480261891</v>
                </pt>
                <pt idx="17">
                  <v>0.01930650273748919</v>
                </pt>
                <pt idx="18">
                  <v>0.007457755121306523</v>
                </pt>
                <pt idx="19">
                  <v>0.04161060926388622</v>
                </pt>
                <pt idx="20">
                  <v>0.01184946440420893</v>
                </pt>
                <pt idx="21">
                  <v>0.05273231888218968</v>
                </pt>
                <pt idx="22">
                  <v>0.0484964200477327</v>
                </pt>
                <pt idx="23">
                  <v>0.0488412181574411</v>
                </pt>
                <pt idx="24">
                  <v>0.04679425837320574</v>
                </pt>
                <pt idx="25">
                  <v>-0.0004722773212430339</v>
                </pt>
                <pt idx="26">
                  <v>0.004071811956320563</v>
                </pt>
                <pt idx="27">
                  <v>0.02292969490240667</v>
                </pt>
                <pt idx="28">
                  <v>0.05023442732752847</v>
                </pt>
                <pt idx="29">
                  <v>0.0316622691292876</v>
                </pt>
                <pt idx="30">
                  <v>0.01424287856071964</v>
                </pt>
                <pt idx="31">
                  <v>-0.002398745271704032</v>
                </pt>
                <pt idx="32">
                  <v>0.04909124976578602</v>
                </pt>
                <pt idx="33">
                  <v>-0.01072727272727273</v>
                </pt>
                <pt idx="34">
                  <v>0.02604024401347537</v>
                </pt>
                <pt idx="35">
                  <v>0.01570489408327246</v>
                </pt>
                <pt idx="36">
                  <v>0.0151750617058232</v>
                </pt>
                <pt idx="37">
                  <v>0.07172557172557173</v>
                </pt>
                <pt idx="38">
                  <v>0.04847926267281106</v>
                </pt>
                <pt idx="39">
                  <v>0.05798443868099296</v>
                </pt>
                <pt idx="40">
                  <v>0.04810495626822157</v>
                </pt>
                <pt idx="41">
                  <v>0.03808914870295944</v>
                </pt>
                <pt idx="42">
                  <v>0.04545454545454546</v>
                </pt>
                <pt idx="43">
                  <v>0.05058725608064367</v>
                </pt>
                <pt idx="44">
                  <v>0.03000535809966065</v>
                </pt>
                <pt idx="45">
                  <v>0.06386693622495865</v>
                </pt>
                <pt idx="46">
                  <v>0.004348211908776289</v>
                </pt>
                <pt idx="47">
                  <v>0.02795756921970514</v>
                </pt>
                <pt idx="48">
                  <v>0.03674020711391265</v>
                </pt>
                <pt idx="49">
                  <v>0.01119830702759898</v>
                </pt>
                <pt idx="50">
                  <v>0.02171237693389592</v>
                </pt>
                <pt idx="51">
                  <v>-0.01987392750831728</v>
                </pt>
                <pt idx="52">
                  <v>-0.00791029207232267</v>
                </pt>
                <pt idx="53">
                  <v>0.02446106467223933</v>
                </pt>
                <pt idx="54">
                  <v>0.03702721809826794</v>
                </pt>
                <pt idx="55">
                  <v>0.04119718309859155</v>
                </pt>
                <pt idx="56">
                  <v>0.0269637593202705</v>
                </pt>
                <pt idx="57">
                  <v>0.02625896173447352</v>
                </pt>
                <pt idx="58">
                  <v>0.05460328679978795</v>
                </pt>
                <pt idx="59">
                  <v>0.05902929602098819</v>
                </pt>
                <pt idx="60">
                  <v>0.05567619213063493</v>
                </pt>
                <pt idx="61">
                  <v>0.06374258807115452</v>
                </pt>
                <pt idx="62">
                  <v>0.04654564226103416</v>
                </pt>
                <pt idx="63">
                  <v>0.1129075480125056</v>
                </pt>
                <pt idx="64">
                  <v>0.07806886883378604</v>
                </pt>
                <pt idx="65">
                  <v>0.06905436743107446</v>
                </pt>
                <pt idx="66">
                  <v>0.07021729867916489</v>
                </pt>
                <pt idx="67">
                  <v>0.05343253297260737</v>
                </pt>
                <pt idx="68">
                  <v>0.02828197551709582</v>
                </pt>
                <pt idx="69">
                  <v>0.05546671155626631</v>
                </pt>
                <pt idx="70">
                  <v>0.06702412868632708</v>
                </pt>
                <pt idx="71">
                  <v>0.05251857968620974</v>
                </pt>
                <pt idx="72">
                  <v>0.06113213756787889</v>
                </pt>
                <pt idx="73">
                  <v>0.05910320518075252</v>
                </pt>
                <pt idx="74">
                  <v>0.07489312726076948</v>
                </pt>
                <pt idx="75">
                  <v>0.05457901918291998</v>
                </pt>
                <pt idx="76">
                  <v>0.08688231469440832</v>
                </pt>
                <pt idx="77">
                  <v>0.07439543665140194</v>
                </pt>
                <pt idx="78">
                  <v>0.05661278764232821</v>
                </pt>
                <pt idx="79">
                  <v>0.07576243980738363</v>
                </pt>
                <pt idx="80">
                  <v>0.09860426929392446</v>
                </pt>
                <pt idx="81">
                  <v>0.0685805422647528</v>
                </pt>
                <pt idx="82">
                  <v>0.05339195979899498</v>
                </pt>
                <pt idx="83">
                  <v>0.0648831005805743</v>
                </pt>
                <pt idx="84">
                  <v>0.03132511436768241</v>
                </pt>
                <pt idx="85">
                  <v>0.04736842105263158</v>
                </pt>
                <pt idx="86">
                  <v>0.05682600382409178</v>
                </pt>
                <pt idx="87">
                  <v>0.05038435192937057</v>
                </pt>
                <pt idx="88">
                  <v>0.04890450908547073</v>
                </pt>
                <pt idx="89">
                  <v>0.03671577058251701</v>
                </pt>
                <pt idx="90">
                  <v>0.03406179351921627</v>
                </pt>
                <pt idx="91">
                  <v>0.0498358698895852</v>
                </pt>
                <pt idx="92">
                  <v>0.07361183768029295</v>
                </pt>
                <pt idx="93">
                  <v>0.06201492537313433</v>
                </pt>
                <pt idx="94">
                  <v>0.06544424567680382</v>
                </pt>
                <pt idx="95">
                  <v>0.03764827230531202</v>
                </pt>
                <pt idx="96">
                  <v>0.06270205247725735</v>
                </pt>
                <pt idx="97">
                  <v>0.04685190659178244</v>
                </pt>
                <pt idx="98">
                  <v>-0.001230279345780865</v>
                </pt>
                <pt idx="99">
                  <v>0.0301427432794725</v>
                </pt>
                <pt idx="100">
                  <v>-0.005489413274399372</v>
                </pt>
                <pt idx="101">
                  <v>-0.004327755337564916</v>
                </pt>
                <pt idx="102">
                  <v>0.01982218335519604</v>
                </pt>
                <pt idx="103">
                  <v>0.007035247299602047</v>
                </pt>
                <pt idx="104">
                  <v>-0.07517750243630796</v>
                </pt>
                <pt idx="105">
                  <v>-0.01812943573887991</v>
                </pt>
                <pt idx="106">
                  <v>-0.02266685322512943</v>
                </pt>
                <pt idx="107">
                  <v>0.002982107355864811</v>
                </pt>
                <pt idx="108">
                  <v>0.006013441811107181</v>
                </pt>
                <pt idx="109">
                  <v>0.01348298743470281</v>
                </pt>
                <pt idx="110">
                  <v>0.0460111586116948</v>
                </pt>
                <pt idx="111">
                  <v>0.01357529717943307</v>
                </pt>
                <pt idx="112">
                  <v>0.01935483870967742</v>
                </pt>
                <pt idx="113">
                  <v>0.04071283685888148</v>
                </pt>
                <pt idx="114">
                  <v>0.01472059454051737</v>
                </pt>
                <pt idx="115">
                  <v>0.0117846305835862</v>
                </pt>
                <pt idx="116">
                  <v>0.05118169501731146</v>
                </pt>
                <pt idx="117">
                  <v>0.0466614184498676</v>
                </pt>
                <pt idx="118">
                  <v>0.03478883321403006</v>
                </pt>
                <pt idx="119">
                  <v>0.04162537165510406</v>
                </pt>
                <pt idx="120">
                  <v>0.02426160337552742</v>
                </pt>
                <pt idx="121">
                  <v>-0.01497527338580483</v>
                </pt>
                <pt idx="122">
                  <v>0.00200886672208368</v>
                </pt>
                <pt idx="123">
                  <v>0.001665510062456627</v>
                </pt>
                <pt idx="124">
                  <v>0.03030942334739803</v>
                </pt>
                <pt idx="125">
                  <v>0.03675344563552833</v>
                </pt>
                <pt idx="126">
                  <v>0.06626760563380282</v>
                </pt>
                <pt idx="127">
                  <v>0.05237829543869438</v>
                </pt>
                <pt idx="128">
                  <v>0.08656737791780038</v>
                </pt>
                <pt idx="129">
                  <v>0.03022222222222222</v>
                </pt>
                <pt idx="130">
                  <v>0.06101272827891533</v>
                </pt>
                <pt idx="131">
                  <v>0.05042816365366318</v>
                </pt>
                <pt idx="132">
                  <v>0.0650875386199794</v>
                </pt>
                <pt idx="133">
                  <v>0.1092490453966907</v>
                </pt>
                <pt idx="134">
                  <v>0.1050120981679917</v>
                </pt>
                <pt idx="135">
                  <v>0.07849521962034087</v>
                </pt>
                <pt idx="136">
                  <v>0.0740563784042045</v>
                </pt>
                <pt idx="137">
                  <v>0.04438028736403921</v>
                </pt>
                <pt idx="138">
                  <v>0.0332871012482663</v>
                </pt>
                <pt idx="139">
                  <v>0.037842136655842</v>
                </pt>
                <pt idx="140">
                  <v>0.03881383855024712</v>
                </pt>
                <pt idx="141">
                  <v>0.06557377049180328</v>
                </pt>
                <pt idx="142">
                  <v>0.04602946929195462</v>
                </pt>
                <pt idx="143">
                  <v>0.04703674948240166</v>
                </pt>
                <pt idx="144">
                  <v>0.03945078321407852</v>
                </pt>
                <pt idx="145">
                  <v>0.06291834002677377</v>
                </pt>
                <pt idx="146">
                  <v>0.01933183183183183</v>
                </pt>
                <pt idx="147">
                  <v>0.06867090640457378</v>
                </pt>
                <pt idx="148">
                  <v>0.04944077275038129</v>
                </pt>
                <pt idx="149">
                  <v>0.08158148505303761</v>
                </pt>
                <pt idx="150">
                  <v>0.05145413870246085</v>
                </pt>
                <pt idx="151">
                  <v>0.07017879948914432</v>
                </pt>
                <pt idx="152">
                  <v>0.04351687388987566</v>
                </pt>
                <pt idx="153">
                  <v>0.06633447524135783</v>
                </pt>
                <pt idx="154">
                  <v>0.06843679880329095</v>
                </pt>
                <pt idx="155">
                  <v>0.06327627757523327</v>
                </pt>
                <pt idx="156">
                  <v>0.07479069767441861</v>
                </pt>
                <pt idx="157">
                  <v>0.04258126424373276</v>
                </pt>
                <pt idx="158">
                  <v>0.06702264776284293</v>
                </pt>
                <pt idx="159">
                  <v>0.05446020678047608</v>
                </pt>
                <pt idx="160">
                  <v>0.05922247789754148</v>
                </pt>
                <pt idx="161">
                  <v>0.05212791250594389</v>
                </pt>
                <pt idx="162">
                  <v>0.07544072948328268</v>
                </pt>
                <pt idx="163">
                  <v>0.05227042186287965</v>
                </pt>
                <pt idx="164">
                  <v>0.1097872340425532</v>
                </pt>
                <pt idx="165">
                  <v>0.05876168224299065</v>
                </pt>
                <pt idx="166">
                  <v>0.0448022401120056</v>
                </pt>
                <pt idx="167">
                  <v>0.07496948916138781</v>
                </pt>
                <pt idx="168">
                  <v>0.06704748716173331</v>
                </pt>
                <pt idx="169">
                  <v>0.04371836171191901</v>
                </pt>
                <pt idx="170">
                  <v>0.07236123094621801</v>
                </pt>
                <pt idx="171">
                  <v>0.03688290958841637</v>
                </pt>
                <pt idx="172">
                  <v>0.06019894809055568</v>
                </pt>
                <pt idx="173">
                  <v>0.03881136658945823</v>
                </pt>
                <pt idx="174">
                  <v>0.04697303713752755</v>
                </pt>
                <pt idx="175">
                  <v>0.04853983555429543</v>
                </pt>
                <pt idx="176">
                  <v>0.008545135845749343</v>
                </pt>
                <pt idx="177">
                  <v>0.01682665783956747</v>
                </pt>
                <pt idx="178">
                  <v>0.0474036850921273</v>
                </pt>
                <pt idx="179">
                  <v>0.003946585932853976</v>
                </pt>
                <pt idx="180">
                  <v>0.002649651219380306</v>
                </pt>
                <pt idx="181">
                  <v>0.007495590828924162</v>
                </pt>
                <pt idx="182">
                  <v>-0.01636002789250657</v>
                </pt>
                <pt idx="183">
                  <v>0.01072076529770741</v>
                </pt>
                <pt idx="184">
                  <v>0.005230520355891076</v>
                </pt>
                <pt idx="185">
                  <v>0.01740265390472047</v>
                </pt>
                <pt idx="186">
                  <v>0.006100853039628549</v>
                </pt>
                <pt idx="187">
                  <v>0.001784651992861392</v>
                </pt>
                <pt idx="188">
                  <v>-0.04627416902020422</v>
                </pt>
                <pt idx="189">
                  <v>-0.06044164722478433</v>
                </pt>
                <pt idx="190">
                  <v>-0.08454608454608455</v>
                </pt>
                <pt idx="191">
                  <v>-0.09165320409262251</v>
                </pt>
                <pt idx="192">
                  <v>-0.07458742314744904</v>
                </pt>
                <pt idx="193">
                  <v>-0.04808533916849015</v>
                </pt>
                <pt idx="194">
                  <v>-0.09968371687206892</v>
                </pt>
                <pt idx="195">
                  <v>-0.08072236727589208</v>
                </pt>
                <pt idx="196">
                  <v>-0.08604227014268856</v>
                </pt>
                <pt idx="197">
                  <v>-0.1010797519777635</v>
                </pt>
                <pt idx="198">
                  <v>-0.08693319023343171</v>
                </pt>
                <pt idx="199">
                  <v>-0.06969337076225438</v>
                </pt>
                <pt idx="200">
                  <v>-0.02209567198177676</v>
                </pt>
                <pt idx="201">
                  <v>-0.001212681180343015</v>
                </pt>
                <pt idx="202">
                  <v>-0.003959704186804868</v>
                </pt>
                <pt idx="203">
                  <v>0.01535451742945222</v>
                </pt>
                <pt idx="204">
                  <v>0.01118946325543447</v>
                </pt>
                <pt idx="205">
                  <v>5.746796161140164e-05</v>
                </pt>
                <pt idx="206">
                  <v>0.08467595396729255</v>
                </pt>
                <pt idx="207">
                  <v>0.04875739644970414</v>
                </pt>
                <pt idx="208">
                  <v>0.03627186289470595</v>
                </pt>
                <pt idx="209">
                  <v>0.04031634655408218</v>
                </pt>
                <pt idx="210">
                  <v>0.03279459300617103</v>
                </pt>
                <pt idx="211">
                  <v>0.02379156269947194</v>
                </pt>
                <pt idx="212">
                  <v>0.03103890053575588</v>
                </pt>
                <pt idx="213">
                  <v>0.04081868640148011</v>
                </pt>
                <pt idx="214">
                  <v>0.07687810581701257</v>
                </pt>
                <pt idx="215">
                  <v>0.06299994161265837</v>
                </pt>
                <pt idx="216">
                  <v>0.05763356578871535</v>
                </pt>
                <pt idx="217">
                  <v>0.06849787380760831</v>
                </pt>
                <pt idx="218">
                  <v>0.04456109001563547</v>
                </pt>
                <pt idx="219">
                  <v>0.06894606183705709</v>
                </pt>
                <pt idx="220">
                  <v>0.06654961486180336</v>
                </pt>
                <pt idx="221">
                  <v>0.09671334667047728</v>
                </pt>
                <pt idx="222">
                  <v>0.08109030899675639</v>
                </pt>
                <pt idx="223">
                  <v>0.07135974607493056</v>
                </pt>
                <pt idx="224">
                  <v>0.1021745269697825</v>
                </pt>
                <pt idx="225">
                  <v>0.06254860571047662</v>
                </pt>
                <pt idx="226">
                  <v>0.04733984799131379</v>
                </pt>
                <pt idx="227">
                  <v>0.07173459299132154</v>
                </pt>
                <pt idx="228">
                  <v>0.06609994005776251</v>
                </pt>
                <pt idx="229">
                  <v>0.09040550715284501</v>
                </pt>
                <pt idx="230">
                  <v>0.07254356890837164</v>
                </pt>
                <pt idx="231">
                  <v>0.03135226433020163</v>
                </pt>
                <pt idx="232">
                  <v>0.04258934735276937</v>
                </pt>
                <pt idx="233">
                  <v>0.03507583259498619</v>
                </pt>
                <pt idx="234">
                  <v>0.03700389514685756</v>
                </pt>
                <pt idx="235">
                  <v>0.05528515501005184</v>
                </pt>
                <pt idx="236">
                  <v>0.03095213692733422</v>
                </pt>
                <pt idx="237">
                  <v>0.04093475533249687</v>
                </pt>
                <pt idx="238">
                  <v>0.0361289653742484</v>
                </pt>
                <pt idx="239">
                  <v>0.03505535055350553</v>
                </pt>
                <pt idx="240">
                  <v>0.04411163361275813</v>
                </pt>
                <pt idx="241">
                  <v>0.002416769420468557</v>
                </pt>
                <pt idx="242">
                  <v>0.01405572446792603</v>
                </pt>
                <pt idx="243">
                  <v>0.04861821903787104</v>
                </pt>
                <pt idx="244">
                  <v>0.03921968114908572</v>
                </pt>
                <pt idx="245">
                  <v>0.0256294058408862</v>
                </pt>
                <pt idx="246">
                  <v>0.04456626567179331</v>
                </pt>
                <pt idx="247">
                  <v>0.01950167945054394</v>
                </pt>
                <pt idx="248">
                  <v>0.01038870663087782</v>
                </pt>
                <pt idx="249">
                  <v>0.04314198181909498</v>
                </pt>
                <pt idx="250">
                  <v>0.01410775926759718</v>
                </pt>
                <pt idx="251">
                  <v>0.01921172509407804</v>
                </pt>
                <pt idx="252">
                  <v>0.005433984432368924</v>
                </pt>
                <pt idx="253">
                  <v>0.01131666994686085</v>
                </pt>
                <pt idx="254">
                  <v>0.01676087490783976</v>
                </pt>
                <pt idx="255">
                  <v>0.03299170326988775</v>
                </pt>
                <pt idx="256">
                  <v>0.01823261285105131</v>
                </pt>
                <pt idx="257">
                  <v>0.02248514900093279</v>
                </pt>
                <pt idx="258">
                  <v>0.01700762913649837</v>
                </pt>
                <pt idx="259">
                  <v>0.03638867033831629</v>
                </pt>
                <pt idx="260">
                  <v>0.02425345599449009</v>
                </pt>
                <pt idx="261">
                  <v>0.01863264323543572</v>
                </pt>
                <pt idx="262">
                  <v>0.05465936559617187</v>
                </pt>
                <pt idx="263">
                  <v>0.03570734551107656</v>
                </pt>
                <pt idx="264">
                  <v>0.02517285032622456</v>
                </pt>
                <pt idx="265">
                  <v>0.03790016541792352</v>
                </pt>
                <pt idx="266">
                  <v>0.03422604660156628</v>
                </pt>
                <pt idx="267">
                  <v>0.01455163942171407</v>
                </pt>
                <pt idx="268">
                  <v>0.04139590854392299</v>
                </pt>
                <pt idx="269">
                  <v>0.02679214481202286</v>
                </pt>
                <pt idx="270">
                  <v>0.0321085575039419</v>
                </pt>
                <pt idx="271">
                  <v>0.02737711140633897</v>
                </pt>
                <pt idx="272">
                  <v>0.030835734870317</v>
                </pt>
                <pt idx="273">
                  <v>0.006900789336862504</v>
                </pt>
                <pt idx="274">
                  <v>-0.001777445156461949</v>
                </pt>
                <pt idx="275">
                  <v>0.01069468549181481</v>
                </pt>
                <pt idx="276">
                  <v>0.01282355734979815</v>
                </pt>
                <pt idx="277">
                  <v>0.03126611353302396</v>
                </pt>
                <pt idx="278">
                  <v>0.005562307188931476</v>
                </pt>
                <pt idx="279">
                  <v>-0.001629877991990314</v>
                </pt>
                <pt idx="280">
                  <v>-0.002911948232031431</v>
                </pt>
                <pt idx="281">
                  <v>0.01501052139350012</v>
                </pt>
                <pt idx="282">
                  <v>-0.006018239896301097</v>
                </pt>
                <pt idx="283">
                  <v>0.008497667759663787</v>
                </pt>
                <pt idx="284">
                  <v>0.02255148634796384</v>
                </pt>
                <pt idx="285">
                  <v>0.02046660094822325</v>
                </pt>
                <pt idx="286">
                  <v>0.009137341267981819</v>
                </pt>
                <pt idx="287">
                  <v>0.02097739824569545</v>
                </pt>
                <pt idx="288">
                  <v>0.03451348182883939</v>
                </pt>
                <pt idx="289">
                  <v>-0.01390909090909091</v>
                </pt>
                <pt idx="290">
                  <v>0.0143169246502115</v>
                </pt>
                <pt idx="291">
                  <v>0.01669854004384533</v>
                </pt>
                <pt idx="292">
                  <v>0.001344335249397367</v>
                </pt>
                <pt idx="293">
                  <v>0.002856353082097116</v>
                </pt>
                <pt idx="294">
                  <v>0.007219039634856318</v>
                </pt>
                <pt idx="295">
                  <v>-0.001236433576040665</v>
                </pt>
                <pt idx="296">
                  <v>-0.003736443998906407</v>
                </pt>
                <pt idx="297">
                  <v>0.002438014628087768</v>
                </pt>
                <pt idx="298">
                  <v>0.02094167904903417</v>
                </pt>
                <pt idx="299">
                  <v>-0.009364062002818309</v>
                </pt>
                <pt idx="300">
                  <v>-0.008476496985630751</v>
                </pt>
                <pt idx="301">
                  <v>0.03480224946989951</v>
                </pt>
                <pt idx="302">
                  <v>-0.001970578800238302</v>
                </pt>
                <pt idx="303">
                  <v>0.01706656879387072</v>
                </pt>
                <pt idx="304">
                  <v>0.0564325725660849</v>
                </pt>
                <pt idx="305">
                  <v>0.02241822859242925</v>
                </pt>
                <pt idx="306">
                  <v>0.04984740590030519</v>
                </pt>
                <pt idx="307">
                  <v>0.0192113709307657</v>
                </pt>
                <pt idx="308">
                  <v>0.01097694840834248</v>
                </pt>
                <pt idx="309">
                  <v>0.03524229074889868</v>
                </pt>
                <pt idx="310">
                  <v>0.02474189293673534</v>
                </pt>
                <pt idx="311">
                  <v>0.01867572156196944</v>
                </pt>
                <pt idx="312">
                  <v>0.01380634543293408</v>
                </pt>
                <pt idx="313">
                  <v>-0.01135908058265402</v>
                </pt>
                <pt idx="314">
                  <v>0.03618330425199743</v>
                </pt>
                <pt idx="315">
                  <v>0.01560737967432</v>
                </pt>
                <pt idx="316">
                  <v>-0.02651183172655565</v>
                </pt>
                <pt idx="317">
                  <v>-0.003998921639108555</v>
                </pt>
                <pt idx="318">
                  <v>-0.005946088794926004</v>
                </pt>
                <pt idx="319">
                  <v>0.01736470376535157</v>
                </pt>
                <pt idx="320">
                  <v>0.01230546507419472</v>
                </pt>
                <pt idx="321">
                  <v>-0.006338652482269503</v>
                </pt>
                <pt idx="322">
                  <v>-0.0154010030624473</v>
                </pt>
                <pt idx="323">
                  <v>0.04639639639639639</v>
                </pt>
                <pt idx="324">
                  <v>0.03756313131313131</v>
                </pt>
                <pt idx="325">
                  <v>0.0243759574659818</v>
                </pt>
                <pt idx="326">
                  <v>-0.4914029956571834</v>
                </pt>
                <pt idx="327">
                  <v>-0.8727070841661115</v>
                </pt>
                <pt idx="328">
                  <v>-0.6269187485932928</v>
                </pt>
                <pt idx="329">
                  <v>-0.226823656787116</v>
                </pt>
                <pt idx="330">
                  <v>-0.2063449864858877</v>
                </pt>
                <pt idx="331">
                  <v>-0.1863807207605571</v>
                </pt>
                <pt idx="332">
                  <v>-0.06922595638183768</v>
                </pt>
                <pt idx="333">
                  <v>-0.09430343043226123</v>
                </pt>
                <pt idx="334">
                  <v>-0.1427605481428056</v>
                </pt>
                <pt idx="335">
                  <v>-0.1387430047352561</v>
                </pt>
                <pt idx="336">
                  <v>-0.08327176322308662</v>
                </pt>
                <pt idx="337">
                  <v>-0.1245216626347042</v>
                </pt>
                <pt idx="338">
                  <v>1.092794284220615</v>
                </pt>
                <pt idx="339">
                  <v>7.398464759246337</v>
                </pt>
                <pt idx="340">
                  <v>1.990950772200772</v>
                </pt>
                <pt idx="341">
                  <v>0.5052803547464846</v>
                </pt>
                <pt idx="342">
                  <v>0.4178762840553819</v>
                </pt>
                <pt idx="343">
                  <v>0.3518478260869565</v>
                </pt>
                <pt idx="344">
                  <v>0.2211552311902819</v>
                </pt>
                <pt idx="345">
                  <v>0.255331724375708</v>
                </pt>
                <pt idx="346">
                  <v>0.355839512015565</v>
                </pt>
                <pt idx="347">
                  <v>0.2521117608836907</v>
                </pt>
                <pt idx="348">
                  <v>0.1928127814914901</v>
                </pt>
                <pt idx="349">
                  <v>0.2801949356913183</v>
                </pt>
                <pt idx="350">
                  <v>0.08901286481535452</v>
                </pt>
                <pt idx="351">
                  <v>0.0870793518903199</v>
                </pt>
                <pt idx="352">
                  <v>0.04126830448989471</v>
                </pt>
                <pt idx="353">
                  <v>0.007946044420326369</v>
                </pt>
                <pt idx="354">
                  <v>0.01937236681497815</v>
                </pt>
                <pt idx="355">
                  <v>0.04973064243788695</v>
                </pt>
                <pt idx="356">
                  <v>0.03141587701018362</v>
                </pt>
              </numCache>
            </numRef>
          </val>
          <smooth val="0"/>
        </ser>
        <dLbls>
          <showLegendKey val="0"/>
          <showVal val="0"/>
          <showCatName val="0"/>
          <showSerName val="0"/>
          <showPercent val="0"/>
          <showBubbleSize val="0"/>
        </dLbls>
        <smooth val="0"/>
        <axId val="1096245423"/>
        <axId val="1096247071"/>
      </lineChart>
      <dateAx>
        <axId val="1096245423"/>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96247071"/>
        <crosses val="autoZero"/>
        <lblOffset val="100"/>
        <baseTimeUnit val="months"/>
      </dateAx>
      <valAx>
        <axId val="1096247071"/>
        <scaling>
          <orientation val="minMax"/>
          <max val="8"/>
          <min val="-0.9"/>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96245423"/>
        <crosses val="autoZero"/>
        <crossBetween val="between"/>
        <majorUnit val="0.4"/>
        <minorUnit val="0.2"/>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s>
</file>

<file path=xl/drawings/_rels/drawing3.xml.rels><Relationships xmlns="http://schemas.openxmlformats.org/package/2006/relationships"><Relationship Type="http://schemas.openxmlformats.org/officeDocument/2006/relationships/chart" Target="/xl/charts/chart5.xml" Id="rId1"/><Relationship Type="http://schemas.openxmlformats.org/officeDocument/2006/relationships/chart" Target="/xl/charts/chart6.xml" Id="rId2"/></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5.xml.rels><Relationships xmlns="http://schemas.openxmlformats.org/package/2006/relationships"><Relationship Type="http://schemas.openxmlformats.org/officeDocument/2006/relationships/chart" Target="/xl/charts/chart10.xml" Id="rId1"/><Relationship Type="http://schemas.openxmlformats.org/officeDocument/2006/relationships/chart" Target="/xl/charts/chart11.xml" Id="rId2"/></Relationships>
</file>

<file path=xl/drawings/_rels/drawing6.xml.rels><Relationships xmlns="http://schemas.openxmlformats.org/package/2006/relationships"><Relationship Type="http://schemas.openxmlformats.org/officeDocument/2006/relationships/chart" Target="/xl/charts/chart12.xml" Id="rId1"/><Relationship Type="http://schemas.openxmlformats.org/officeDocument/2006/relationships/chart" Target="/xl/charts/chart13.xml" Id="rId2"/></Relationships>
</file>

<file path=xl/drawings/_rels/drawing7.xml.rels><Relationships xmlns="http://schemas.openxmlformats.org/package/2006/relationships"><Relationship Type="http://schemas.openxmlformats.org/officeDocument/2006/relationships/chart" Target="/xl/charts/chart14.xml" Id="rId1"/><Relationship Type="http://schemas.openxmlformats.org/officeDocument/2006/relationships/chart" Target="/xl/charts/chart15.xml" Id="rId2"/></Relationships>
</file>

<file path=xl/drawings/_rels/drawing8.xml.rels><Relationships xmlns="http://schemas.openxmlformats.org/package/2006/relationships"><Relationship Type="http://schemas.openxmlformats.org/officeDocument/2006/relationships/chart" Target="/xl/charts/chart16.xml" Id="rId1"/><Relationship Type="http://schemas.openxmlformats.org/officeDocument/2006/relationships/chart" Target="/xl/charts/chart17.xml" Id="rId2"/></Relationships>
</file>

<file path=xl/drawings/_rels/drawing9.xml.rels><Relationships xmlns="http://schemas.openxmlformats.org/package/2006/relationships"><Relationship Type="http://schemas.openxmlformats.org/officeDocument/2006/relationships/chart" Target="/xl/charts/chart18.xml" Id="rId1"/><Relationship Type="http://schemas.openxmlformats.org/officeDocument/2006/relationships/chart" Target="/xl/charts/chart19.xml" Id="rId2"/></Relationships>
</file>

<file path=xl/drawings/_rels/drawing10.xml.rels><Relationships xmlns="http://schemas.openxmlformats.org/package/2006/relationships"><Relationship Type="http://schemas.openxmlformats.org/officeDocument/2006/relationships/chart" Target="/xl/charts/chart20.xml" Id="rId1"/><Relationship Type="http://schemas.openxmlformats.org/officeDocument/2006/relationships/chart" Target="/xl/charts/chart21.xml" Id="rId2"/></Relationships>
</file>

<file path=xl/drawings/_rels/drawing11.xml.rels><Relationships xmlns="http://schemas.openxmlformats.org/package/2006/relationships"><Relationship Type="http://schemas.openxmlformats.org/officeDocument/2006/relationships/chart" Target="/xl/charts/chart22.xml" Id="rId1"/><Relationship Type="http://schemas.openxmlformats.org/officeDocument/2006/relationships/chart" Target="/xl/charts/chart23.xml" Id="rId2"/></Relationships>
</file>

<file path=xl/drawings/_rels/drawing12.xml.rels><Relationships xmlns="http://schemas.openxmlformats.org/package/2006/relationships"><Relationship Type="http://schemas.openxmlformats.org/officeDocument/2006/relationships/chart" Target="/xl/charts/chart24.xml" Id="rId1"/><Relationship Type="http://schemas.openxmlformats.org/officeDocument/2006/relationships/chart" Target="/xl/charts/chart25.xml" Id="rId2"/></Relationships>
</file>

<file path=xl/drawings/_rels/drawing13.xml.rels><Relationships xmlns="http://schemas.openxmlformats.org/package/2006/relationships"><Relationship Type="http://schemas.openxmlformats.org/officeDocument/2006/relationships/chart" Target="/xl/charts/chart26.xml" Id="rId1"/><Relationship Type="http://schemas.openxmlformats.org/officeDocument/2006/relationships/chart" Target="/xl/charts/chart27.xml" Id="rId2"/></Relationships>
</file>

<file path=xl/drawings/_rels/drawing14.xml.rels><Relationships xmlns="http://schemas.openxmlformats.org/package/2006/relationships"><Relationship Type="http://schemas.openxmlformats.org/officeDocument/2006/relationships/chart" Target="/xl/charts/chart28.xml" Id="rId1"/><Relationship Type="http://schemas.openxmlformats.org/officeDocument/2006/relationships/chart" Target="/xl/charts/chart29.xml" Id="rId2"/></Relationships>
</file>

<file path=xl/drawings/_rels/drawing15.xml.rels><Relationships xmlns="http://schemas.openxmlformats.org/package/2006/relationships"><Relationship Type="http://schemas.openxmlformats.org/officeDocument/2006/relationships/chart" Target="/xl/charts/chart30.xml" Id="rId1"/><Relationship Type="http://schemas.openxmlformats.org/officeDocument/2006/relationships/chart" Target="/xl/charts/chart31.xml" Id="rId2"/></Relationships>
</file>

<file path=xl/drawings/_rels/drawing16.xml.rels><Relationships xmlns="http://schemas.openxmlformats.org/package/2006/relationships"><Relationship Type="http://schemas.openxmlformats.org/officeDocument/2006/relationships/chart" Target="/xl/charts/chart32.xml" Id="rId1"/><Relationship Type="http://schemas.openxmlformats.org/officeDocument/2006/relationships/chart" Target="/xl/charts/chart33.xml" Id="rId2"/></Relationships>
</file>

<file path=xl/drawings/drawing1.xml><?xml version="1.0" encoding="utf-8"?>
<wsDr xmlns="http://schemas.openxmlformats.org/drawingml/2006/spreadsheetDrawing">
  <twoCellAnchor>
    <from>
      <col>13</col>
      <colOff>19050</colOff>
      <row>1</row>
      <rowOff>66675</rowOff>
    </from>
    <to>
      <col>16</col>
      <colOff>790575</colOff>
      <row>8</row>
      <rowOff>9525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307040</colOff>
      <row>331</row>
      <rowOff>91327</rowOff>
    </from>
    <to>
      <col>11</col>
      <colOff>564217</colOff>
      <row>348</row>
      <rowOff>72277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302277</colOff>
      <row>348</row>
      <rowOff>91327</rowOff>
    </from>
    <to>
      <col>11</col>
      <colOff>573741</colOff>
      <row>364</row>
      <rowOff>180787</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11</col>
      <colOff>640416</colOff>
      <row>338</row>
      <rowOff>180788</rowOff>
    </from>
    <to>
      <col>19</col>
      <colOff>335615</colOff>
      <row>353</row>
      <rowOff>62752</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3.xml><?xml version="1.0" encoding="utf-8"?>
<wsDr xmlns="http://schemas.openxmlformats.org/drawingml/2006/spreadsheetDrawing">
  <twoCellAnchor>
    <from>
      <col>4</col>
      <colOff>457201</colOff>
      <row>343</row>
      <rowOff>80960</rowOff>
    </from>
    <to>
      <col>16</col>
      <colOff>333375</colOff>
      <row>371</row>
      <rowOff>119061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409574</colOff>
      <row>318</row>
      <rowOff>87312</rowOff>
    </from>
    <to>
      <col>16</col>
      <colOff>365125</colOff>
      <row>342</row>
      <rowOff>150811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4.xml><?xml version="1.0" encoding="utf-8"?>
<wsDr xmlns="http://schemas.openxmlformats.org/drawingml/2006/spreadsheetDrawing">
  <twoCellAnchor>
    <from>
      <col>13</col>
      <colOff>365125</colOff>
      <row>338</row>
      <rowOff>46037</rowOff>
    </from>
    <to>
      <col>23</col>
      <colOff>666750</colOff>
      <row>359</row>
      <rowOff>55563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246062</colOff>
      <row>338</row>
      <rowOff>55563</rowOff>
    </from>
    <to>
      <col>13</col>
      <colOff>269875</colOff>
      <row>359</row>
      <rowOff>15874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239711</colOff>
      <row>359</row>
      <rowOff>114299</rowOff>
    </from>
    <to>
      <col>13</col>
      <colOff>293686</colOff>
      <row>379</row>
      <rowOff>127000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4</col>
      <colOff>155574</colOff>
      <row>348</row>
      <rowOff>39687</rowOff>
    </from>
    <to>
      <col>14</col>
      <colOff>500063</colOff>
      <row>371</row>
      <rowOff>174625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138904</colOff>
      <row>324</row>
      <rowOff>39687</rowOff>
    </from>
    <to>
      <col>14</col>
      <colOff>515937</colOff>
      <row>347</row>
      <rowOff>76204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6.xml><?xml version="1.0" encoding="utf-8"?>
<wsDr xmlns="http://schemas.openxmlformats.org/drawingml/2006/spreadsheetDrawing">
  <twoCellAnchor>
    <from>
      <col>4</col>
      <colOff>439737</colOff>
      <row>322</row>
      <rowOff>114300</rowOff>
    </from>
    <to>
      <col>16</col>
      <colOff>19050</colOff>
      <row>348</row>
      <rowOff>63501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127000</colOff>
      <row>348</row>
      <rowOff>139699</rowOff>
    </from>
    <to>
      <col>16</col>
      <colOff>25400</colOff>
      <row>372</row>
      <rowOff>25400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7.xml><?xml version="1.0" encoding="utf-8"?>
<wsDr xmlns="http://schemas.openxmlformats.org/drawingml/2006/spreadsheetDrawing">
  <twoCellAnchor>
    <from>
      <col>4</col>
      <colOff>160337</colOff>
      <row>328</row>
      <rowOff>127000</rowOff>
    </from>
    <to>
      <col>15</col>
      <colOff>404813</colOff>
      <row>351</row>
      <rowOff>52388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149225</colOff>
      <row>351</row>
      <rowOff>155576</rowOff>
    </from>
    <to>
      <col>15</col>
      <colOff>404813</colOff>
      <row>373</row>
      <rowOff>95250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8.xml><?xml version="1.0" encoding="utf-8"?>
<wsDr xmlns="http://schemas.openxmlformats.org/drawingml/2006/spreadsheetDrawing">
  <twoCellAnchor>
    <from>
      <col>4</col>
      <colOff>180974</colOff>
      <row>322</row>
      <rowOff>1</rowOff>
    </from>
    <to>
      <col>16</col>
      <colOff>683846</colOff>
      <row>350</row>
      <rowOff>76202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176211</colOff>
      <row>351</row>
      <rowOff>3172</rowOff>
    </from>
    <to>
      <col>17</col>
      <colOff>68384</colOff>
      <row>377</row>
      <rowOff>9769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9.xml><?xml version="1.0" encoding="utf-8"?>
<wsDr xmlns="http://schemas.openxmlformats.org/drawingml/2006/spreadsheetDrawing">
  <twoCellAnchor>
    <from>
      <col>4</col>
      <colOff>240770</colOff>
      <row>333</row>
      <rowOff>160868</rowOff>
    </from>
    <to>
      <col>14</col>
      <colOff>8467</colOff>
      <row>352</row>
      <rowOff>168276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223309</colOff>
      <row>353</row>
      <rowOff>118534</rowOff>
    </from>
    <to>
      <col>14</col>
      <colOff>0</colOff>
      <row>374</row>
      <rowOff>127000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0.xml><?xml version="1.0" encoding="utf-8"?>
<wsDr xmlns="http://schemas.openxmlformats.org/drawingml/2006/spreadsheetDrawing">
  <twoCellAnchor>
    <from>
      <col>4</col>
      <colOff>113632</colOff>
      <row>333</row>
      <rowOff>60158</rowOff>
    </from>
    <to>
      <col>13</col>
      <colOff>372533</colOff>
      <row>353</row>
      <rowOff>135467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191615</colOff>
      <row>354</row>
      <rowOff>190778</rowOff>
    </from>
    <to>
      <col>13</col>
      <colOff>338667</colOff>
      <row>375</row>
      <rowOff>25401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1.xml><?xml version="1.0" encoding="utf-8"?>
<wsDr xmlns="http://schemas.openxmlformats.org/drawingml/2006/spreadsheetDrawing">
  <twoCellAnchor>
    <from>
      <col>4</col>
      <colOff>92073</colOff>
      <row>326</row>
      <rowOff>108857</rowOff>
    </from>
    <to>
      <col>14</col>
      <colOff>435429</colOff>
      <row>348</row>
      <rowOff>116474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88230</colOff>
      <row>349</row>
      <rowOff>55144</rowOff>
    </from>
    <to>
      <col>14</col>
      <colOff>408214</colOff>
      <row>374</row>
      <rowOff>154213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2.xml><?xml version="1.0" encoding="utf-8"?>
<wsDr xmlns="http://schemas.openxmlformats.org/drawingml/2006/spreadsheetDrawing">
  <twoCellAnchor>
    <from>
      <col>4</col>
      <colOff>98424</colOff>
      <row>322</row>
      <rowOff>72572</rowOff>
    </from>
    <to>
      <col>15</col>
      <colOff>498929</colOff>
      <row>349</row>
      <rowOff>161926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107948</colOff>
      <row>350</row>
      <rowOff>85724</rowOff>
    </from>
    <to>
      <col>15</col>
      <colOff>544286</colOff>
      <row>375</row>
      <rowOff>18143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3.xml><?xml version="1.0" encoding="utf-8"?>
<wsDr xmlns="http://schemas.openxmlformats.org/drawingml/2006/spreadsheetDrawing">
  <twoCellAnchor>
    <from>
      <col>4</col>
      <colOff>101599</colOff>
      <row>329</row>
      <rowOff>186268</rowOff>
    </from>
    <to>
      <col>13</col>
      <colOff>516466</colOff>
      <row>349</row>
      <rowOff>158751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114299</colOff>
      <row>350</row>
      <rowOff>88899</rowOff>
    </from>
    <to>
      <col>13</col>
      <colOff>465666</colOff>
      <row>373</row>
      <rowOff>33865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4.xml><?xml version="1.0" encoding="utf-8"?>
<wsDr xmlns="http://schemas.openxmlformats.org/drawingml/2006/spreadsheetDrawing">
  <twoCellAnchor>
    <from>
      <col>4</col>
      <colOff>135390</colOff>
      <row>329</row>
      <rowOff>181429</rowOff>
    </from>
    <to>
      <col>13</col>
      <colOff>535213</colOff>
      <row>348</row>
      <rowOff>124432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139246</colOff>
      <row>349</row>
      <rowOff>42635</rowOff>
    </from>
    <to>
      <col>13</col>
      <colOff>526143</colOff>
      <row>372</row>
      <rowOff>136070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5.xml><?xml version="1.0" encoding="utf-8"?>
<wsDr xmlns="http://schemas.openxmlformats.org/drawingml/2006/spreadsheetDrawing">
  <twoCellAnchor>
    <from>
      <col>4</col>
      <colOff>227106</colOff>
      <row>341</row>
      <rowOff>73585</rowOff>
    </from>
    <to>
      <col>11</col>
      <colOff>624541</colOff>
      <row>355</row>
      <rowOff>153520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163980</colOff>
      <row>357</row>
      <rowOff>68169</rowOff>
    </from>
    <to>
      <col>11</col>
      <colOff>561415</colOff>
      <row>371</row>
      <rowOff>148104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6.xml><?xml version="1.0" encoding="utf-8"?>
<wsDr xmlns="http://schemas.openxmlformats.org/drawingml/2006/spreadsheetDrawing">
  <twoCellAnchor>
    <from>
      <col>4</col>
      <colOff>169528</colOff>
      <row>347</row>
      <rowOff>86894</rowOff>
    </from>
    <to>
      <col>13</col>
      <colOff>461211</colOff>
      <row>369</row>
      <rowOff>66842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150394</colOff>
      <row>370</row>
      <rowOff>115637</rowOff>
    </from>
    <to>
      <col>13</col>
      <colOff>514685</colOff>
      <row>392</row>
      <rowOff>113632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2" displayName="Table2" ref="A6:D375" headerRowCount="1" totalsRowShown="0" headerRowDxfId="64" dataDxfId="62" headerRowBorderDxfId="63" tableBorderDxfId="61">
  <autoFilter ref="A6:D375"/>
  <tableColumns count="4">
    <tableColumn id="1" name="Date" dataDxfId="60"/>
    <tableColumn id="2" name="Retail Sales mil$" dataDxfId="59" dataCellStyle="Normal 2">
      <calculatedColumnFormula>VLOOKUP(A7,Database!A:M,MATCH($A$1,Database!$A$1:$M$1,),)</calculatedColumnFormula>
    </tableColumn>
    <tableColumn id="3" name="mom" dataDxfId="58">
      <calculatedColumnFormula>(B7-B6)/B6</calculatedColumnFormula>
    </tableColumn>
    <tableColumn id="4" name="yoy" dataDxfId="57"/>
  </tableColumns>
  <tableStyleInfo name="TableStyleMedium2" showFirstColumn="0" showLastColumn="0" showRowStripes="1" showColumnStripes="0"/>
</table>
</file>

<file path=xl/tables/table2.xml><?xml version="1.0" encoding="utf-8"?>
<table xmlns="http://schemas.openxmlformats.org/spreadsheetml/2006/main" id="2" name="Table5" displayName="Table5" ref="A6:D375" headerRowCount="1" totalsRowShown="0" headerRowDxfId="56" dataDxfId="54" headerRowBorderDxfId="55" tableBorderDxfId="53">
  <autoFilter ref="A6:D375"/>
  <tableColumns count="4">
    <tableColumn id="1" name="Date" dataDxfId="52"/>
    <tableColumn id="2" name="Retail Sales (RSAFS), Millions of Dollars" dataDxfId="51" dataCellStyle="Normal 2">
      <calculatedColumnFormula>VLOOKUP(A7,Database!A:K,MATCH('Retail Sales'!$A$1,Database!$A$1:$K$1,),)</calculatedColumnFormula>
    </tableColumn>
    <tableColumn id="3" name="mom %" dataDxfId="50">
      <calculatedColumnFormula>(B7-B6)/B6</calculatedColumnFormula>
    </tableColumn>
    <tableColumn id="4" name="yoy %" dataDxfId="49"/>
  </tableColumns>
  <tableStyleInfo name="TableStyleMedium2" showFirstColumn="0" showLastColumn="0" showRowStripes="1" showColumnStripes="0"/>
</table>
</file>

<file path=xl/tables/table3.xml><?xml version="1.0" encoding="utf-8"?>
<table xmlns="http://schemas.openxmlformats.org/spreadsheetml/2006/main" id="3" name="Table7" displayName="Table7" ref="A6:D375" headerRowCount="1" totalsRowShown="0" headerRowDxfId="48" dataDxfId="46" headerRowBorderDxfId="47" tableBorderDxfId="45">
  <autoFilter ref="A6:D375"/>
  <tableColumns count="4">
    <tableColumn id="1" name="Date" dataDxfId="44"/>
    <tableColumn id="2" name="Retail and Food Services Excluding Motor Vehicles and Parts Dealers, Retail Sales mil$" dataDxfId="43" dataCellStyle="Normal 2">
      <calculatedColumnFormula>VLOOKUP(A7,Database!A:M,MATCH($A$1,Database!$A$1:$M$1,),)</calculatedColumnFormula>
    </tableColumn>
    <tableColumn id="3" name="mom %" dataDxfId="42">
      <calculatedColumnFormula>(B7-B6)/B6</calculatedColumnFormula>
    </tableColumn>
    <tableColumn id="4" name="yoy %" dataDxfId="41"/>
  </tableColumns>
  <tableStyleInfo name="TableStyleMedium2" showFirstColumn="0" showLastColumn="0" showRowStripes="1" showColumnStripes="0"/>
</table>
</file>

<file path=xl/tables/table4.xml><?xml version="1.0" encoding="utf-8"?>
<table xmlns="http://schemas.openxmlformats.org/spreadsheetml/2006/main" id="4" name="Table6" displayName="Table6" ref="A6:D375" headerRowCount="1" totalsRowShown="0" headerRowDxfId="40" headerRowBorderDxfId="39" tableBorderDxfId="38">
  <autoFilter ref="A6:D375"/>
  <tableColumns count="4">
    <tableColumn id="1" name="Date" dataDxfId="37"/>
    <tableColumn id="2" name="Building Materials. mil$" dataDxfId="36" dataCellStyle="Normal 2">
      <calculatedColumnFormula>VLOOKUP(A7,Database!A:K,MATCH($A$1,Database!$A$1:$K$1,),)</calculatedColumnFormula>
    </tableColumn>
    <tableColumn id="3" name="Change m/m" dataDxfId="35">
      <calculatedColumnFormula>(B7-B6)/B6</calculatedColumnFormula>
    </tableColumn>
    <tableColumn id="4" name="Change y/y " dataDxfId="34"/>
  </tableColumns>
  <tableStyleInfo name="TableStyleMedium2" showFirstColumn="0" showLastColumn="0" showRowStripes="1" showColumnStripes="0"/>
</table>
</file>

<file path=xl/tables/table5.xml><?xml version="1.0" encoding="utf-8"?>
<table xmlns="http://schemas.openxmlformats.org/spreadsheetml/2006/main" id="5" name="Table1" displayName="Table1" ref="A6:D375" headerRowCount="1" totalsRowShown="0" headerRowDxfId="33" tableBorderDxfId="32">
  <autoFilter ref="A6:D375"/>
  <tableColumns count="4">
    <tableColumn id="1" name="Date" dataDxfId="31"/>
    <tableColumn id="2" name="Retail Sales mil$" dataDxfId="30" dataCellStyle="Normal 2">
      <calculatedColumnFormula>VLOOKUP(A7,Database!A:K,MATCH($A$1,Database!$A$1:$K$1,),)+VLOOKUP(A7,Database!A:K,MATCH($B$1,Database!$A$1:$K$1,),)</calculatedColumnFormula>
    </tableColumn>
    <tableColumn id="3" name="mom" dataDxfId="29">
      <calculatedColumnFormula>(B7-B6)/B6</calculatedColumnFormula>
    </tableColumn>
    <tableColumn id="4" name="yoy" dataDxfId="28"/>
  </tableColumns>
  <tableStyleInfo name="TableStyleMedium2" showFirstColumn="0" showLastColumn="0" showRowStripes="1" showColumnStripes="0"/>
</table>
</file>

<file path=xl/tables/table6.xml><?xml version="1.0" encoding="utf-8"?>
<table xmlns="http://schemas.openxmlformats.org/spreadsheetml/2006/main" id="6" name="Table3" displayName="Table3" ref="A6:D375" headerRowCount="1" totalsRowShown="0" headerRowDxfId="27" headerRowBorderDxfId="26" tableBorderDxfId="25">
  <autoFilter ref="A6:D375"/>
  <tableColumns count="4">
    <tableColumn id="1" name="Date" dataDxfId="24"/>
    <tableColumn id="2" name=" Miscellaneous stores retailers, mil$" dataDxfId="23" dataCellStyle="Normal 2">
      <calculatedColumnFormula>VLOOKUP(A7,Database!A:Q,MATCH($A$1,Database!$A$1:$Q$1,),)</calculatedColumnFormula>
    </tableColumn>
    <tableColumn id="3" name="mom" dataDxfId="22">
      <calculatedColumnFormula>(B7-B6)/B6</calculatedColumnFormula>
    </tableColumn>
    <tableColumn id="4" name="yoy" dataDxfId="21"/>
  </tableColumns>
  <tableStyleInfo name="TableStyleMedium2" showFirstColumn="0" showLastColumn="0" showRowStripes="1" showColumnStripes="0"/>
</table>
</file>

<file path=xl/tables/table7.xml><?xml version="1.0" encoding="utf-8"?>
<table xmlns="http://schemas.openxmlformats.org/spreadsheetml/2006/main" id="7" name="Table35" displayName="Table35" ref="A6:D375" headerRowCount="1" totalsRowShown="0" headerRowDxfId="20" headerRowBorderDxfId="19" tableBorderDxfId="18">
  <autoFilter ref="A6:D375"/>
  <tableColumns count="4">
    <tableColumn id="1" name="Date" dataDxfId="17"/>
    <tableColumn id="2" name="Clothing and clothing access. Stores, mil$" dataDxfId="16" dataCellStyle="Normal 2">
      <calculatedColumnFormula>VLOOKUP(A7,Database!A:Q,MATCH($A$1,Database!$A$1:$Q$1,),)</calculatedColumnFormula>
    </tableColumn>
    <tableColumn id="3" name="mom" dataDxfId="15">
      <calculatedColumnFormula>(B7-B6)/B6</calculatedColumnFormula>
    </tableColumn>
    <tableColumn id="4" name="yoy" dataDxfId="1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census.gov/retail/index.html" TargetMode="External" Id="rId1"/><Relationship Type="http://schemas.openxmlformats.org/officeDocument/2006/relationships/hyperlink" Target="http://www.duponttrading.com/" TargetMode="External" Id="rId2"/><Relationship Type="http://schemas.openxmlformats.org/officeDocument/2006/relationships/drawing" Target="/xl/drawings/drawing1.xml" Id="rId3"/></Relationships>
</file>

<file path=xl/worksheets/_rels/sheet3.xml.rels><Relationships xmlns="http://schemas.openxmlformats.org/package/2006/relationships"><Relationship Type="http://schemas.openxmlformats.org/officeDocument/2006/relationships/hyperlink" Target="https://fred.stlouisfed.org/series/RSAFs" TargetMode="External" Id="rId1"/><Relationship Type="http://schemas.openxmlformats.org/officeDocument/2006/relationships/hyperlink" Target="https://fred.stlouisfed.org/series/RSFSXMV" TargetMode="External" Id="rId2"/><Relationship Type="http://schemas.openxmlformats.org/officeDocument/2006/relationships/hyperlink" Target="https://fred.stlouisfed.org/series/MARTSSM44W72USS" TargetMode="External" Id="rId3"/><Relationship Type="http://schemas.openxmlformats.org/officeDocument/2006/relationships/hyperlink" Target="https://fred.stlouisfed.org/series/RSMVPd" TargetMode="External" Id="rId4"/><Relationship Type="http://schemas.openxmlformats.org/officeDocument/2006/relationships/hyperlink" Target="https://fred.stlouisfed.org/series/RSNSr" TargetMode="External" Id="rId5"/><Relationship Type="http://schemas.openxmlformats.org/officeDocument/2006/relationships/hyperlink" Target="https://fred.stlouisfed.org/series/RSDBs" TargetMode="External" Id="rId6"/><Relationship Type="http://schemas.openxmlformats.org/officeDocument/2006/relationships/hyperlink" Target="https://fred.stlouisfed.org/series/RSFSDp" TargetMode="External" Id="rId7"/><Relationship Type="http://schemas.openxmlformats.org/officeDocument/2006/relationships/hyperlink" Target="https://fred.stlouisfed.org/series/RSGMs" TargetMode="External" Id="rId8"/><Relationship Type="http://schemas.openxmlformats.org/officeDocument/2006/relationships/hyperlink" Target="https://fred.stlouisfed.org/series/RSGASs" TargetMode="External" Id="rId9"/><Relationship Type="http://schemas.openxmlformats.org/officeDocument/2006/relationships/hyperlink" Target="https://fred.stlouisfed.org/series/RSBMGESD" TargetMode="External" Id="rId10"/><Relationship Type="http://schemas.openxmlformats.org/officeDocument/2006/relationships/hyperlink" Target="https://fred.stlouisfed.org/series/RSHPCs" TargetMode="External" Id="rId11"/><Relationship Type="http://schemas.openxmlformats.org/officeDocument/2006/relationships/hyperlink" Target="https://fred.stlouisfed.org/series/RSCCAS" TargetMode="External" Id="rId12"/><Relationship Type="http://schemas.openxmlformats.org/officeDocument/2006/relationships/hyperlink" Target="https://fred.stlouisfed.org/series/RSFHFS" TargetMode="External" Id="rId13"/><Relationship Type="http://schemas.openxmlformats.org/officeDocument/2006/relationships/hyperlink" Target="https://fred.stlouisfed.org/series/RSMSR" TargetMode="External" Id="rId14"/><Relationship Type="http://schemas.openxmlformats.org/officeDocument/2006/relationships/hyperlink" Target="https://fred.stlouisfed.org/series/RSSGHBMs" TargetMode="External" Id="rId15"/></Relationships>
</file>

<file path=xl/worksheets/_rels/sheet5.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6.xml.rels><Relationships xmlns="http://schemas.openxmlformats.org/package/2006/relationships"><Relationship Type="http://schemas.openxmlformats.org/officeDocument/2006/relationships/hyperlink" Target="https://fred.stlouisfed.org/series/RSAFS" TargetMode="External" Id="rId1"/><Relationship Type="http://schemas.openxmlformats.org/officeDocument/2006/relationships/drawing" Target="/xl/drawings/drawing3.xml" Id="rId2"/><Relationship Type="http://schemas.openxmlformats.org/officeDocument/2006/relationships/table" Target="/xl/tables/table2.xml" Id="rId3"/></Relationships>
</file>

<file path=xl/worksheets/_rels/sheet7.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8.xml.rels><Relationships xmlns="http://schemas.openxmlformats.org/package/2006/relationships"><Relationship Type="http://schemas.openxmlformats.org/officeDocument/2006/relationships/hyperlink" Target="https://fred.stlouisfed.org/series/RSDBS" TargetMode="External" Id="rId1"/><Relationship Type="http://schemas.openxmlformats.org/officeDocument/2006/relationships/drawing" Target="/xl/drawings/drawing5.xml" Id="rId2"/></Relationships>
</file>

<file path=xl/worksheets/_rels/sheet9.xml.rels><Relationships xmlns="http://schemas.openxmlformats.org/package/2006/relationships"><Relationship Type="http://schemas.openxmlformats.org/officeDocument/2006/relationships/hyperlink" Target="https://fred.stlouisfed.org/series/RSNSR" TargetMode="External" Id="rId1"/><Relationship Type="http://schemas.openxmlformats.org/officeDocument/2006/relationships/drawing" Target="/xl/drawings/drawing6.xml" Id="rId2"/></Relationships>
</file>

<file path=xl/worksheets/_rels/sheet10.xml.rels><Relationships xmlns="http://schemas.openxmlformats.org/package/2006/relationships"><Relationship Type="http://schemas.openxmlformats.org/officeDocument/2006/relationships/hyperlink" Target="https://fred.stlouisfed.org/series/RSHPCS" TargetMode="External" Id="rId1"/><Relationship Type="http://schemas.openxmlformats.org/officeDocument/2006/relationships/drawing" Target="/xl/drawings/drawing7.xml" Id="rId2"/></Relationships>
</file>

<file path=xl/worksheets/_rels/sheet11.xml.rels><Relationships xmlns="http://schemas.openxmlformats.org/package/2006/relationships"><Relationship Type="http://schemas.openxmlformats.org/officeDocument/2006/relationships/hyperlink" Target="https://fred.stlouisfed.org/series/RSSGHBMS" TargetMode="External" Id="rId1"/><Relationship Type="http://schemas.openxmlformats.org/officeDocument/2006/relationships/drawing" Target="/xl/drawings/drawing8.xml" Id="rId2"/></Relationships>
</file>

<file path=xl/worksheets/_rels/sheet12.xml.rels><Relationships xmlns="http://schemas.openxmlformats.org/package/2006/relationships"><Relationship Type="http://schemas.openxmlformats.org/officeDocument/2006/relationships/hyperlink" Target="https://fred.stlouisfed.org/series/RSGMS" TargetMode="External" Id="rId1"/><Relationship Type="http://schemas.openxmlformats.org/officeDocument/2006/relationships/drawing" Target="/xl/drawings/drawing9.xml" Id="rId2"/></Relationships>
</file>

<file path=xl/worksheets/_rels/sheet13.xml.rels><Relationships xmlns="http://schemas.openxmlformats.org/package/2006/relationships"><Relationship Type="http://schemas.openxmlformats.org/officeDocument/2006/relationships/drawing" Target="/xl/drawings/drawing10.xml" Id="rId1"/></Relationships>
</file>

<file path=xl/worksheets/_rels/sheet14.xml.rels><Relationships xmlns="http://schemas.openxmlformats.org/package/2006/relationships"><Relationship Type="http://schemas.openxmlformats.org/officeDocument/2006/relationships/hyperlink" Target="https://fred.stlouisfed.org/series/RSGASS" TargetMode="External" Id="rId1"/><Relationship Type="http://schemas.openxmlformats.org/officeDocument/2006/relationships/drawing" Target="/xl/drawings/drawing11.xml" Id="rId2"/></Relationships>
</file>

<file path=xl/worksheets/_rels/sheet15.xml.rels><Relationships xmlns="http://schemas.openxmlformats.org/package/2006/relationships"><Relationship Type="http://schemas.openxmlformats.org/officeDocument/2006/relationships/hyperlink" Target="https://fred.stlouisfed.org/series/RSMVPD" TargetMode="External" Id="rId1"/><Relationship Type="http://schemas.openxmlformats.org/officeDocument/2006/relationships/drawing" Target="/xl/drawings/drawing12.xml" Id="rId2"/></Relationships>
</file>

<file path=xl/worksheets/_rels/sheet16.xml.rels><Relationships xmlns="http://schemas.openxmlformats.org/package/2006/relationships"><Relationship Type="http://schemas.openxmlformats.org/officeDocument/2006/relationships/hyperlink" Target="https://fred.stlouisfed.org/series/RSBMGESD" TargetMode="External" Id="rId1"/><Relationship Type="http://schemas.openxmlformats.org/officeDocument/2006/relationships/drawing" Target="/xl/drawings/drawing13.xml" Id="rId2"/><Relationship Type="http://schemas.openxmlformats.org/officeDocument/2006/relationships/table" Target="/xl/tables/table4.xml" Id="rId3"/></Relationships>
</file>

<file path=xl/worksheets/_rels/sheet17.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5.xml" Id="rId2"/></Relationships>
</file>

<file path=xl/worksheets/_rels/sheet18.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6.xml" Id="rId2"/></Relationships>
</file>

<file path=xl/worksheets/_rels/sheet19.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7.xml" Id="rId2"/></Relationships>
</file>

<file path=xl/worksheets/sheet1.xml><?xml version="1.0" encoding="utf-8"?>
<worksheet xmlns="http://schemas.openxmlformats.org/spreadsheetml/2006/main">
  <sheetPr>
    <tabColor rgb="FFFFFF00"/>
    <outlinePr summaryBelow="1" summaryRight="1"/>
    <pageSetUpPr/>
  </sheetPr>
  <dimension ref="B1:S36"/>
  <sheetViews>
    <sheetView topLeftCell="G11" zoomScale="140" zoomScaleNormal="140" workbookViewId="0">
      <selection activeCell="S30" sqref="S30"/>
    </sheetView>
  </sheetViews>
  <sheetFormatPr baseColWidth="10" defaultColWidth="9.1640625" defaultRowHeight="15"/>
  <cols>
    <col width="9.1640625" customWidth="1" style="122" min="1" max="1"/>
    <col width="12.83203125" customWidth="1" style="122" min="2" max="10"/>
    <col width="3.33203125" customWidth="1" style="122" min="11" max="13"/>
    <col width="18.6640625" customWidth="1" style="122" min="14" max="14"/>
    <col width="30.33203125" customWidth="1" style="122" min="15" max="15"/>
    <col width="12.33203125" customWidth="1" style="122" min="16" max="19"/>
    <col width="9.1640625" customWidth="1" style="122" min="20" max="32"/>
    <col width="9.1640625" customWidth="1" style="122" min="33" max="16384"/>
  </cols>
  <sheetData>
    <row r="1">
      <c r="B1" s="121" t="n"/>
    </row>
    <row r="2" ht="16" customHeight="1" s="95" thickBot="1">
      <c r="B2" s="123" t="n"/>
      <c r="C2" s="123" t="n"/>
      <c r="D2" s="123" t="n"/>
      <c r="E2" s="123" t="n"/>
      <c r="F2" s="123" t="n"/>
      <c r="G2" s="123" t="n"/>
      <c r="H2" s="123" t="n"/>
      <c r="I2" s="123" t="n"/>
      <c r="J2" s="123" t="n"/>
    </row>
    <row r="3" ht="16" customHeight="1" s="95" thickBot="1">
      <c r="B3" s="124" t="inlineStr">
        <is>
          <t>Retail Sales</t>
        </is>
      </c>
      <c r="C3" s="125" t="n"/>
      <c r="D3" s="125" t="n"/>
      <c r="E3" s="125" t="n"/>
      <c r="F3" s="125" t="n"/>
      <c r="G3" s="125" t="n"/>
      <c r="H3" s="125" t="n"/>
      <c r="I3" s="125" t="n"/>
      <c r="J3" s="126" t="n"/>
    </row>
    <row r="5">
      <c r="B5" s="117" t="inlineStr">
        <is>
          <t>Definition</t>
        </is>
      </c>
      <c r="C5" s="118" t="n"/>
      <c r="D5" s="118" t="n"/>
      <c r="E5" s="118" t="n"/>
      <c r="F5" s="118" t="n"/>
      <c r="G5" s="118" t="n"/>
      <c r="H5" s="118" t="n"/>
      <c r="I5" s="118" t="n"/>
      <c r="J5" s="114" t="n"/>
    </row>
    <row r="7" ht="147.75" customHeight="1" s="95">
      <c r="B7" s="127" t="inlineStr">
        <is>
          <t>Sales include merchandise sold (for cash or credit at retail or wholesale) by establishments primarily engaged in retail trade. Services that are incidental to the sale of merchandise, and excise taxes that are paid by the manufacturer or wholesaler and passed along to the retailer are also included. Sales are net, after deductions, of refunds and allowances for merchandise returned by customers. Sales exclude sales taxes collected directly from customers and paid directly to a local, state, or federal tax agency.
The estimates of sales measure the operations receipts rendered by stores that primarily sell at retail. The sales estimates represent total sales and receipts of all establishments primarily engaged in retail trade. They do not include sales at retail by manufacturers, wholesalers, service establishments, and others whose primary activity is other than retail trade. Because the retail establishment is the basic unit of measure, the published estimates of sales by type of retail store are not intended to measure the total sales for a given commodity or merchandise line.</t>
        </is>
      </c>
    </row>
    <row r="8" ht="33.75" customHeight="1" s="95">
      <c r="B8" s="128" t="inlineStr">
        <is>
          <t>https://www.census.gov/retail/index.html</t>
        </is>
      </c>
    </row>
    <row r="9">
      <c r="B9" s="65" t="n"/>
      <c r="C9" s="65" t="n"/>
      <c r="D9" s="65" t="n"/>
      <c r="E9" s="65" t="n"/>
    </row>
    <row r="10">
      <c r="B10" s="117" t="inlineStr">
        <is>
          <t>Process / TO DO LIST</t>
        </is>
      </c>
      <c r="C10" s="118" t="n"/>
      <c r="D10" s="118" t="n"/>
      <c r="E10" s="118" t="n"/>
      <c r="F10" s="118" t="n"/>
      <c r="G10" s="118" t="n"/>
      <c r="H10" s="118" t="n"/>
      <c r="I10" s="118" t="n"/>
      <c r="J10" s="114" t="n"/>
      <c r="N10" s="117" t="inlineStr">
        <is>
          <t>Summary</t>
        </is>
      </c>
      <c r="O10" s="118" t="n"/>
      <c r="P10" s="118" t="n"/>
      <c r="Q10" s="114" t="n"/>
    </row>
    <row r="12">
      <c r="B12" s="117" t="inlineStr">
        <is>
          <t>TO DO LIST</t>
        </is>
      </c>
      <c r="C12" s="118" t="n"/>
      <c r="D12" s="118" t="n"/>
      <c r="E12" s="118" t="n"/>
      <c r="F12" s="114" t="n"/>
      <c r="G12" s="117" t="inlineStr">
        <is>
          <t>Comments</t>
        </is>
      </c>
      <c r="H12" s="118" t="n"/>
      <c r="I12" s="118" t="n"/>
      <c r="J12" s="114" t="n"/>
      <c r="N12" s="8" t="inlineStr">
        <is>
          <t>* To modify</t>
        </is>
      </c>
    </row>
    <row r="13" ht="16" customHeight="1" s="95" thickBot="1"/>
    <row r="14">
      <c r="B14" s="122" t="inlineStr">
        <is>
          <t>Database</t>
        </is>
      </c>
      <c r="G14" s="122" t="n"/>
      <c r="P14" s="68" t="n">
        <v>44774</v>
      </c>
      <c r="Q14" s="69" t="n"/>
    </row>
    <row r="15" ht="16" customHeight="1" s="95" thickBot="1">
      <c r="B15" s="122" t="inlineStr">
        <is>
          <t>Create data on Fred</t>
        </is>
      </c>
      <c r="G15" s="122" t="n"/>
      <c r="N15" s="128" t="inlineStr">
        <is>
          <t>www.duponttrading.com</t>
        </is>
      </c>
      <c r="P15" s="70" t="inlineStr">
        <is>
          <t>mom</t>
        </is>
      </c>
      <c r="Q15" s="70" t="inlineStr">
        <is>
          <t>yoy</t>
        </is>
      </c>
    </row>
    <row r="16" ht="15.75" customHeight="1" s="95">
      <c r="B16" s="122" t="inlineStr">
        <is>
          <t>https://research.stlouisfed.org/useraccount/datalists</t>
        </is>
      </c>
      <c r="G16" s="131" t="n"/>
      <c r="N16" s="119" t="inlineStr">
        <is>
          <t>Retail Sales</t>
        </is>
      </c>
      <c r="O16" s="120" t="n"/>
      <c r="P16" s="96">
        <f>Recap!F7</f>
        <v/>
      </c>
      <c r="Q16" s="97">
        <f>Recap!G7</f>
        <v/>
      </c>
      <c r="S16" s="71" t="n"/>
    </row>
    <row r="17" ht="15.75" customHeight="1" s="95">
      <c r="G17" s="131" t="n"/>
      <c r="N17" s="113" t="inlineStr">
        <is>
          <t>Retail Sales ex Auto</t>
        </is>
      </c>
      <c r="O17" s="114" t="n"/>
      <c r="P17" s="98">
        <f>Recap!F8</f>
        <v/>
      </c>
      <c r="Q17" s="99">
        <f>Recap!G8</f>
        <v/>
      </c>
      <c r="S17" s="71" t="n"/>
    </row>
    <row r="18" ht="15.75" customHeight="1" s="95">
      <c r="B18" s="122" t="inlineStr">
        <is>
          <t>https://fred.stlouisfed.org/series/RSAFs</t>
        </is>
      </c>
      <c r="G18" s="100" t="inlineStr">
        <is>
          <t>Retail Sales</t>
        </is>
      </c>
      <c r="H18" s="67" t="n"/>
      <c r="I18" s="67" t="n"/>
      <c r="J18" s="67" t="n"/>
      <c r="N18" s="113" t="inlineStr">
        <is>
          <t>Retail Sales ex Auto and Gas</t>
        </is>
      </c>
      <c r="O18" s="114" t="n"/>
      <c r="P18" s="98">
        <f>Recap!F9</f>
        <v/>
      </c>
      <c r="Q18" s="99">
        <f>Recap!G9</f>
        <v/>
      </c>
      <c r="S18" s="71" t="n"/>
    </row>
    <row r="19" ht="15.75" customHeight="1" s="95">
      <c r="B19" s="122" t="inlineStr">
        <is>
          <t>https://fred.stlouisfed.org/series/RSFSXMV</t>
        </is>
      </c>
      <c r="G19" s="100" t="inlineStr">
        <is>
          <t>Retail Sales ex Auto</t>
        </is>
      </c>
      <c r="H19" s="67" t="n"/>
      <c r="I19" s="67" t="n"/>
      <c r="J19" s="67" t="n"/>
      <c r="N19" s="113" t="inlineStr">
        <is>
          <t>Motor Vechicle</t>
        </is>
      </c>
      <c r="O19" s="114" t="n"/>
      <c r="P19" s="98">
        <f>Recap!F10</f>
        <v/>
      </c>
      <c r="Q19" s="99">
        <f>Recap!G10</f>
        <v/>
      </c>
      <c r="S19" s="71" t="n"/>
    </row>
    <row r="20" ht="15.75" customHeight="1" s="95">
      <c r="B20" s="122" t="inlineStr">
        <is>
          <t>https://fred.stlouisfed.org/series/MARTSSM44W72USS</t>
        </is>
      </c>
      <c r="G20" s="100" t="inlineStr">
        <is>
          <t>Retail Sales ex Auto and Gas</t>
        </is>
      </c>
      <c r="H20" s="67" t="n"/>
      <c r="I20" s="67" t="n"/>
      <c r="J20" s="67" t="n"/>
      <c r="N20" s="113" t="inlineStr">
        <is>
          <t>Non Store</t>
        </is>
      </c>
      <c r="O20" s="114" t="n"/>
      <c r="P20" s="98">
        <f>Recap!F11</f>
        <v/>
      </c>
      <c r="Q20" s="99">
        <f>Recap!G11</f>
        <v/>
      </c>
    </row>
    <row r="21" ht="15.75" customHeight="1" s="95">
      <c r="B21" s="122" t="inlineStr">
        <is>
          <t>https://fred.stlouisfed.org/series/RSDBs</t>
        </is>
      </c>
      <c r="G21" s="100" t="inlineStr">
        <is>
          <t>Food&amp;Beverage</t>
        </is>
      </c>
      <c r="H21" s="67" t="n"/>
      <c r="I21" s="67" t="n"/>
      <c r="J21" s="67" t="n"/>
      <c r="N21" s="113" t="inlineStr">
        <is>
          <t>Food &amp; Beverage</t>
        </is>
      </c>
      <c r="O21" s="114" t="n"/>
      <c r="P21" s="98">
        <f>Recap!F12</f>
        <v/>
      </c>
      <c r="Q21" s="99">
        <f>Recap!G12</f>
        <v/>
      </c>
    </row>
    <row r="22" ht="15.75" customHeight="1" s="95">
      <c r="B22" s="122" t="inlineStr">
        <is>
          <t>https://fred.stlouisfed.org/series/RSNSr</t>
        </is>
      </c>
      <c r="G22" s="100" t="inlineStr">
        <is>
          <t>NonStore</t>
        </is>
      </c>
      <c r="H22" s="67" t="n"/>
      <c r="I22" s="67" t="n"/>
      <c r="J22" s="67" t="n"/>
      <c r="N22" s="113" t="inlineStr">
        <is>
          <t>Food Services</t>
        </is>
      </c>
      <c r="O22" s="114" t="n"/>
      <c r="P22" s="98">
        <f>Recap!F13</f>
        <v/>
      </c>
      <c r="Q22" s="99">
        <f>Recap!G13</f>
        <v/>
      </c>
    </row>
    <row r="23" ht="15.75" customHeight="1" s="95">
      <c r="B23" s="122" t="inlineStr">
        <is>
          <t>https://fred.stlouisfed.org/series/RSHPCs</t>
        </is>
      </c>
      <c r="G23" s="100" t="inlineStr">
        <is>
          <t>HealthCare</t>
        </is>
      </c>
      <c r="H23" s="67" t="n"/>
      <c r="I23" s="67" t="n"/>
      <c r="J23" s="67" t="n"/>
      <c r="N23" s="113" t="inlineStr">
        <is>
          <t>General Merchandising</t>
        </is>
      </c>
      <c r="O23" s="114" t="n"/>
      <c r="P23" s="98">
        <f>Recap!F14</f>
        <v/>
      </c>
      <c r="Q23" s="99">
        <f>Recap!G14</f>
        <v/>
      </c>
    </row>
    <row r="24" ht="15.75" customHeight="1" s="95">
      <c r="B24" s="122" t="inlineStr">
        <is>
          <t>https://fred.stlouisfed.org/series/RSSGHBMs</t>
        </is>
      </c>
      <c r="G24" s="100" t="inlineStr">
        <is>
          <t>Clothing, Sport</t>
        </is>
      </c>
      <c r="H24" s="67" t="n"/>
      <c r="I24" s="67" t="n"/>
      <c r="J24" s="67" t="n"/>
      <c r="N24" s="113" t="inlineStr">
        <is>
          <t>Gasoline Stations</t>
        </is>
      </c>
      <c r="O24" s="114" t="n"/>
      <c r="P24" s="98">
        <f>Recap!F15</f>
        <v/>
      </c>
      <c r="Q24" s="99">
        <f>Recap!G15</f>
        <v/>
      </c>
    </row>
    <row r="25" ht="15.75" customHeight="1" s="95">
      <c r="B25" s="122" t="inlineStr">
        <is>
          <t>https://fred.stlouisfed.org/series/RSGMs</t>
        </is>
      </c>
      <c r="G25" s="100" t="inlineStr">
        <is>
          <t>General Merch</t>
        </is>
      </c>
      <c r="H25" s="67" t="n"/>
      <c r="I25" s="67" t="n"/>
      <c r="J25" s="67" t="n"/>
      <c r="N25" s="113" t="inlineStr">
        <is>
          <t>Housing Supplies</t>
        </is>
      </c>
      <c r="O25" s="114" t="n"/>
      <c r="P25" s="98">
        <f>Recap!F16</f>
        <v/>
      </c>
      <c r="Q25" s="99">
        <f>Recap!G16</f>
        <v/>
      </c>
    </row>
    <row r="26" ht="15.75" customHeight="1" s="95">
      <c r="B26" s="122" t="inlineStr">
        <is>
          <t>https://fred.stlouisfed.org/series/RSFSDp</t>
        </is>
      </c>
      <c r="G26" s="101" t="inlineStr">
        <is>
          <t>FoodServices</t>
        </is>
      </c>
      <c r="H26" s="67" t="n"/>
      <c r="I26" s="67" t="n"/>
      <c r="J26" s="67" t="n"/>
      <c r="N26" s="113" t="inlineStr">
        <is>
          <t>HealthCare</t>
        </is>
      </c>
      <c r="O26" s="114" t="n"/>
      <c r="P26" s="98">
        <f>Recap!F17</f>
        <v/>
      </c>
      <c r="Q26" s="99">
        <f>Recap!G17</f>
        <v/>
      </c>
    </row>
    <row r="27" ht="15.75" customHeight="1" s="95">
      <c r="B27" s="122" t="inlineStr">
        <is>
          <t>https://fred.stlouisfed.org/series/RSGASs</t>
        </is>
      </c>
      <c r="G27" s="100" t="inlineStr">
        <is>
          <t>Gasoline St</t>
        </is>
      </c>
      <c r="H27" s="67" t="n"/>
      <c r="I27" s="67" t="n"/>
      <c r="J27" s="67" t="n"/>
      <c r="N27" s="113" t="inlineStr">
        <is>
          <t>Clothing and clothing access. stores</t>
        </is>
      </c>
      <c r="O27" s="114" t="n"/>
      <c r="P27" s="98">
        <f>Recap!F18</f>
        <v/>
      </c>
      <c r="Q27" s="99">
        <f>Recap!G18</f>
        <v/>
      </c>
    </row>
    <row r="28" ht="15.75" customHeight="1" s="95">
      <c r="B28" s="122" t="inlineStr">
        <is>
          <t>https://fred.stlouisfed.org/series/RSMVPd</t>
        </is>
      </c>
      <c r="G28" s="100" t="inlineStr">
        <is>
          <t>Motor Vechicle</t>
        </is>
      </c>
      <c r="H28" s="67" t="n"/>
      <c r="I28" s="67" t="n"/>
      <c r="J28" s="67" t="n"/>
      <c r="N28" s="113" t="inlineStr">
        <is>
          <t>Furniture, home furn, electronics, and appliance stores</t>
        </is>
      </c>
      <c r="O28" s="114" t="n"/>
      <c r="P28" s="98">
        <f>Recap!F19</f>
        <v/>
      </c>
      <c r="Q28" s="99">
        <f>Recap!G19</f>
        <v/>
      </c>
    </row>
    <row r="29" ht="15.75" customHeight="1" s="95">
      <c r="B29" s="122" t="inlineStr">
        <is>
          <t>https://fred.stlouisfed.org/series/RSBMGESD</t>
        </is>
      </c>
      <c r="G29" s="100" t="inlineStr">
        <is>
          <t>Housing Supplies</t>
        </is>
      </c>
      <c r="H29" s="67" t="n"/>
      <c r="I29" s="67" t="n"/>
      <c r="J29" s="67" t="n"/>
      <c r="N29" s="113" t="inlineStr">
        <is>
          <t>Miscellaneous stores retailers</t>
        </is>
      </c>
      <c r="O29" s="114" t="n"/>
      <c r="P29" s="98">
        <f>Recap!F20</f>
        <v/>
      </c>
      <c r="Q29" s="99">
        <f>Recap!G20</f>
        <v/>
      </c>
    </row>
    <row r="30" ht="15.75" customHeight="1" s="95" thickBot="1">
      <c r="B30" s="122" t="inlineStr">
        <is>
          <t>https://fred.stlouisfed.org/series/RSFHFS</t>
        </is>
      </c>
      <c r="G30" s="100" t="inlineStr">
        <is>
          <t>Furniture, home furn, electronics, and appliance stores</t>
        </is>
      </c>
      <c r="H30" s="67" t="n"/>
      <c r="I30" s="67" t="n"/>
      <c r="J30" s="67" t="n"/>
      <c r="N30" s="115" t="inlineStr">
        <is>
          <t>Clothing, Sport</t>
        </is>
      </c>
      <c r="O30" s="116" t="n"/>
      <c r="P30" s="102">
        <f>Recap!F21</f>
        <v/>
      </c>
      <c r="Q30" s="103">
        <f>Recap!G21</f>
        <v/>
      </c>
    </row>
    <row r="31" ht="15.75" customHeight="1" s="95">
      <c r="B31" s="122" t="inlineStr">
        <is>
          <t>https://fred.stlouisfed.org/series/RSCCAS</t>
        </is>
      </c>
      <c r="G31" s="100" t="inlineStr">
        <is>
          <t>Clothing and clothing access. stores</t>
        </is>
      </c>
      <c r="H31" s="67" t="n"/>
      <c r="I31" s="67" t="n"/>
      <c r="J31" s="67" t="n"/>
    </row>
    <row r="32" ht="15.75" customHeight="1" s="95">
      <c r="B32" s="122" t="inlineStr">
        <is>
          <t>https://fred.stlouisfed.org/series/RSMSR</t>
        </is>
      </c>
      <c r="G32" s="100" t="inlineStr">
        <is>
          <t>Miscellaneous stores retailers</t>
        </is>
      </c>
      <c r="H32" s="67" t="n"/>
      <c r="I32" s="67" t="n"/>
      <c r="J32" s="67" t="n"/>
    </row>
    <row r="33" ht="14.25" customHeight="1" s="95" thickBot="1">
      <c r="B33" s="130" t="n"/>
      <c r="G33" s="131" t="n"/>
    </row>
    <row r="34" ht="16" customHeight="1" s="95" thickBot="1">
      <c r="B34" s="27" t="n"/>
      <c r="N34" s="69">
        <f>DATE(YEAR($P$14),MONTH($P$14)-1,DAY($P$14))</f>
        <v/>
      </c>
    </row>
    <row r="35" ht="33.75" customHeight="1" s="95" thickBot="1">
      <c r="B35" s="129" t="n"/>
      <c r="N35" s="72">
        <f>DATE(YEAR($P$14)-1,MONTH($P$14),DAY($P$14))</f>
        <v/>
      </c>
    </row>
    <row r="36">
      <c r="B36" s="66" t="n"/>
    </row>
  </sheetData>
  <mergeCells count="31">
    <mergeCell ref="B35:J35"/>
    <mergeCell ref="B33:F33"/>
    <mergeCell ref="G33:J33"/>
    <mergeCell ref="B12:F12"/>
    <mergeCell ref="G12:J12"/>
    <mergeCell ref="G14:J14"/>
    <mergeCell ref="G15:J15"/>
    <mergeCell ref="G16:J16"/>
    <mergeCell ref="G17:J17"/>
    <mergeCell ref="B10:J10"/>
    <mergeCell ref="N16:O16"/>
    <mergeCell ref="N17:O17"/>
    <mergeCell ref="N18:O18"/>
    <mergeCell ref="B1:J2"/>
    <mergeCell ref="B3:J3"/>
    <mergeCell ref="B5:J5"/>
    <mergeCell ref="B7:J7"/>
    <mergeCell ref="B8:J8"/>
    <mergeCell ref="N29:O29"/>
    <mergeCell ref="N30:O30"/>
    <mergeCell ref="N10:Q10"/>
    <mergeCell ref="N24:O24"/>
    <mergeCell ref="N25:O25"/>
    <mergeCell ref="N26:O26"/>
    <mergeCell ref="N27:O27"/>
    <mergeCell ref="N28:O28"/>
    <mergeCell ref="N19:O19"/>
    <mergeCell ref="N20:O20"/>
    <mergeCell ref="N21:O21"/>
    <mergeCell ref="N22:O22"/>
    <mergeCell ref="N23:O23"/>
  </mergeCells>
  <conditionalFormatting sqref="P16:Q30">
    <cfRule type="cellIs" priority="1" operator="lessThan" dxfId="13">
      <formula>0</formula>
    </cfRule>
    <cfRule type="cellIs" priority="2" operator="greaterThan" dxfId="12">
      <formula>0</formula>
    </cfRule>
  </conditionalFormatting>
  <hyperlinks>
    <hyperlink xmlns:r="http://schemas.openxmlformats.org/officeDocument/2006/relationships" ref="B8" r:id="rId1"/>
    <hyperlink xmlns:r="http://schemas.openxmlformats.org/officeDocument/2006/relationships" ref="N15" r:id="rId2"/>
  </hyperlinks>
  <pageMargins left="0.7" right="0.7" top="0.75" bottom="0.75" header="0.3" footer="0.3"/>
  <drawing xmlns:r="http://schemas.openxmlformats.org/officeDocument/2006/relationships" r:id="rId3"/>
</worksheet>
</file>

<file path=xl/worksheets/sheet2.xml><?xml version="1.0" encoding="utf-8"?>
<worksheet xmlns="http://schemas.openxmlformats.org/spreadsheetml/2006/main">
  <sheetPr codeName="Sheet2">
    <tabColor theme="1" tint="0.499984740745262"/>
    <outlinePr summaryBelow="1" summaryRight="1"/>
    <pageSetUpPr/>
  </sheetPr>
  <dimension ref="A1:Q370"/>
  <sheetViews>
    <sheetView topLeftCell="A354" zoomScale="150" zoomScaleNormal="150" workbookViewId="0">
      <selection activeCell="P14" sqref="P14"/>
    </sheetView>
  </sheetViews>
  <sheetFormatPr baseColWidth="10" defaultColWidth="8.83203125" defaultRowHeight="15"/>
  <cols>
    <col width="12.6640625" customWidth="1" style="95" min="1" max="1"/>
    <col width="15.6640625" customWidth="1" style="95" min="2" max="2"/>
    <col width="9.6640625" customWidth="1" style="95" min="3" max="3"/>
    <col width="8.6640625" customWidth="1" style="95" min="4" max="6"/>
    <col width="7.6640625" customWidth="1" style="95" min="7" max="7"/>
    <col width="8.6640625" customWidth="1" style="95" min="8" max="9"/>
    <col width="9.6640625" customWidth="1" style="95" min="10" max="10"/>
    <col width="8.6640625" customWidth="1" style="95" min="11" max="14"/>
    <col width="9.6640625" customWidth="1" style="95" min="15" max="15"/>
    <col width="8.6640625" customWidth="1" style="95" min="16" max="17"/>
    <col width="9.1640625" customWidth="1" style="95" min="18" max="256"/>
    <col width="12.6640625" customWidth="1" style="95" min="257" max="257"/>
    <col width="15.6640625" customWidth="1" style="95" min="258" max="258"/>
    <col width="9.6640625" customWidth="1" style="95" min="259" max="259"/>
    <col width="8.6640625" customWidth="1" style="95" min="260" max="262"/>
    <col width="7.6640625" customWidth="1" style="95" min="263" max="263"/>
    <col width="8.6640625" customWidth="1" style="95" min="264" max="265"/>
    <col width="9.6640625" customWidth="1" style="95" min="266" max="266"/>
    <col width="8.6640625" customWidth="1" style="95" min="267" max="270"/>
    <col width="9.6640625" customWidth="1" style="95" min="271" max="271"/>
    <col width="8.6640625" customWidth="1" style="95" min="272" max="273"/>
    <col width="9.1640625" customWidth="1" style="95" min="274" max="512"/>
    <col width="12.6640625" customWidth="1" style="95" min="513" max="513"/>
    <col width="15.6640625" customWidth="1" style="95" min="514" max="514"/>
    <col width="9.6640625" customWidth="1" style="95" min="515" max="515"/>
    <col width="8.6640625" customWidth="1" style="95" min="516" max="518"/>
    <col width="7.6640625" customWidth="1" style="95" min="519" max="519"/>
    <col width="8.6640625" customWidth="1" style="95" min="520" max="521"/>
    <col width="9.6640625" customWidth="1" style="95" min="522" max="522"/>
    <col width="8.6640625" customWidth="1" style="95" min="523" max="526"/>
    <col width="9.6640625" customWidth="1" style="95" min="527" max="527"/>
    <col width="8.6640625" customWidth="1" style="95" min="528" max="529"/>
    <col width="9.1640625" customWidth="1" style="95" min="530" max="768"/>
    <col width="12.6640625" customWidth="1" style="95" min="769" max="769"/>
    <col width="15.6640625" customWidth="1" style="95" min="770" max="770"/>
    <col width="9.6640625" customWidth="1" style="95" min="771" max="771"/>
    <col width="8.6640625" customWidth="1" style="95" min="772" max="774"/>
    <col width="7.6640625" customWidth="1" style="95" min="775" max="775"/>
    <col width="8.6640625" customWidth="1" style="95" min="776" max="777"/>
    <col width="9.6640625" customWidth="1" style="95" min="778" max="778"/>
    <col width="8.6640625" customWidth="1" style="95" min="779" max="782"/>
    <col width="9.6640625" customWidth="1" style="95" min="783" max="783"/>
    <col width="8.6640625" customWidth="1" style="95" min="784" max="785"/>
    <col width="9.1640625" customWidth="1" style="95" min="786" max="1024"/>
    <col width="12.6640625" customWidth="1" style="95" min="1025" max="1025"/>
    <col width="15.6640625" customWidth="1" style="95" min="1026" max="1026"/>
    <col width="9.6640625" customWidth="1" style="95" min="1027" max="1027"/>
    <col width="8.6640625" customWidth="1" style="95" min="1028" max="1030"/>
    <col width="7.6640625" customWidth="1" style="95" min="1031" max="1031"/>
    <col width="8.6640625" customWidth="1" style="95" min="1032" max="1033"/>
    <col width="9.6640625" customWidth="1" style="95" min="1034" max="1034"/>
    <col width="8.6640625" customWidth="1" style="95" min="1035" max="1038"/>
    <col width="9.6640625" customWidth="1" style="95" min="1039" max="1039"/>
    <col width="8.6640625" customWidth="1" style="95" min="1040" max="1041"/>
    <col width="9.1640625" customWidth="1" style="95" min="1042" max="1280"/>
    <col width="12.6640625" customWidth="1" style="95" min="1281" max="1281"/>
    <col width="15.6640625" customWidth="1" style="95" min="1282" max="1282"/>
    <col width="9.6640625" customWidth="1" style="95" min="1283" max="1283"/>
    <col width="8.6640625" customWidth="1" style="95" min="1284" max="1286"/>
    <col width="7.6640625" customWidth="1" style="95" min="1287" max="1287"/>
    <col width="8.6640625" customWidth="1" style="95" min="1288" max="1289"/>
    <col width="9.6640625" customWidth="1" style="95" min="1290" max="1290"/>
    <col width="8.6640625" customWidth="1" style="95" min="1291" max="1294"/>
    <col width="9.6640625" customWidth="1" style="95" min="1295" max="1295"/>
    <col width="8.6640625" customWidth="1" style="95" min="1296" max="1297"/>
    <col width="9.1640625" customWidth="1" style="95" min="1298" max="1536"/>
    <col width="12.6640625" customWidth="1" style="95" min="1537" max="1537"/>
    <col width="15.6640625" customWidth="1" style="95" min="1538" max="1538"/>
    <col width="9.6640625" customWidth="1" style="95" min="1539" max="1539"/>
    <col width="8.6640625" customWidth="1" style="95" min="1540" max="1542"/>
    <col width="7.6640625" customWidth="1" style="95" min="1543" max="1543"/>
    <col width="8.6640625" customWidth="1" style="95" min="1544" max="1545"/>
    <col width="9.6640625" customWidth="1" style="95" min="1546" max="1546"/>
    <col width="8.6640625" customWidth="1" style="95" min="1547" max="1550"/>
    <col width="9.6640625" customWidth="1" style="95" min="1551" max="1551"/>
    <col width="8.6640625" customWidth="1" style="95" min="1552" max="1553"/>
    <col width="9.1640625" customWidth="1" style="95" min="1554" max="1792"/>
    <col width="12.6640625" customWidth="1" style="95" min="1793" max="1793"/>
    <col width="15.6640625" customWidth="1" style="95" min="1794" max="1794"/>
    <col width="9.6640625" customWidth="1" style="95" min="1795" max="1795"/>
    <col width="8.6640625" customWidth="1" style="95" min="1796" max="1798"/>
    <col width="7.6640625" customWidth="1" style="95" min="1799" max="1799"/>
    <col width="8.6640625" customWidth="1" style="95" min="1800" max="1801"/>
    <col width="9.6640625" customWidth="1" style="95" min="1802" max="1802"/>
    <col width="8.6640625" customWidth="1" style="95" min="1803" max="1806"/>
    <col width="9.6640625" customWidth="1" style="95" min="1807" max="1807"/>
    <col width="8.6640625" customWidth="1" style="95" min="1808" max="1809"/>
    <col width="9.1640625" customWidth="1" style="95" min="1810" max="2048"/>
    <col width="12.6640625" customWidth="1" style="95" min="2049" max="2049"/>
    <col width="15.6640625" customWidth="1" style="95" min="2050" max="2050"/>
    <col width="9.6640625" customWidth="1" style="95" min="2051" max="2051"/>
    <col width="8.6640625" customWidth="1" style="95" min="2052" max="2054"/>
    <col width="7.6640625" customWidth="1" style="95" min="2055" max="2055"/>
    <col width="8.6640625" customWidth="1" style="95" min="2056" max="2057"/>
    <col width="9.6640625" customWidth="1" style="95" min="2058" max="2058"/>
    <col width="8.6640625" customWidth="1" style="95" min="2059" max="2062"/>
    <col width="9.6640625" customWidth="1" style="95" min="2063" max="2063"/>
    <col width="8.6640625" customWidth="1" style="95" min="2064" max="2065"/>
    <col width="9.1640625" customWidth="1" style="95" min="2066" max="2304"/>
    <col width="12.6640625" customWidth="1" style="95" min="2305" max="2305"/>
    <col width="15.6640625" customWidth="1" style="95" min="2306" max="2306"/>
    <col width="9.6640625" customWidth="1" style="95" min="2307" max="2307"/>
    <col width="8.6640625" customWidth="1" style="95" min="2308" max="2310"/>
    <col width="7.6640625" customWidth="1" style="95" min="2311" max="2311"/>
    <col width="8.6640625" customWidth="1" style="95" min="2312" max="2313"/>
    <col width="9.6640625" customWidth="1" style="95" min="2314" max="2314"/>
    <col width="8.6640625" customWidth="1" style="95" min="2315" max="2318"/>
    <col width="9.6640625" customWidth="1" style="95" min="2319" max="2319"/>
    <col width="8.6640625" customWidth="1" style="95" min="2320" max="2321"/>
    <col width="9.1640625" customWidth="1" style="95" min="2322" max="2560"/>
    <col width="12.6640625" customWidth="1" style="95" min="2561" max="2561"/>
    <col width="15.6640625" customWidth="1" style="95" min="2562" max="2562"/>
    <col width="9.6640625" customWidth="1" style="95" min="2563" max="2563"/>
    <col width="8.6640625" customWidth="1" style="95" min="2564" max="2566"/>
    <col width="7.6640625" customWidth="1" style="95" min="2567" max="2567"/>
    <col width="8.6640625" customWidth="1" style="95" min="2568" max="2569"/>
    <col width="9.6640625" customWidth="1" style="95" min="2570" max="2570"/>
    <col width="8.6640625" customWidth="1" style="95" min="2571" max="2574"/>
    <col width="9.6640625" customWidth="1" style="95" min="2575" max="2575"/>
    <col width="8.6640625" customWidth="1" style="95" min="2576" max="2577"/>
    <col width="9.1640625" customWidth="1" style="95" min="2578" max="2816"/>
    <col width="12.6640625" customWidth="1" style="95" min="2817" max="2817"/>
    <col width="15.6640625" customWidth="1" style="95" min="2818" max="2818"/>
    <col width="9.6640625" customWidth="1" style="95" min="2819" max="2819"/>
    <col width="8.6640625" customWidth="1" style="95" min="2820" max="2822"/>
    <col width="7.6640625" customWidth="1" style="95" min="2823" max="2823"/>
    <col width="8.6640625" customWidth="1" style="95" min="2824" max="2825"/>
    <col width="9.6640625" customWidth="1" style="95" min="2826" max="2826"/>
    <col width="8.6640625" customWidth="1" style="95" min="2827" max="2830"/>
    <col width="9.6640625" customWidth="1" style="95" min="2831" max="2831"/>
    <col width="8.6640625" customWidth="1" style="95" min="2832" max="2833"/>
    <col width="9.1640625" customWidth="1" style="95" min="2834" max="3072"/>
    <col width="12.6640625" customWidth="1" style="95" min="3073" max="3073"/>
    <col width="15.6640625" customWidth="1" style="95" min="3074" max="3074"/>
    <col width="9.6640625" customWidth="1" style="95" min="3075" max="3075"/>
    <col width="8.6640625" customWidth="1" style="95" min="3076" max="3078"/>
    <col width="7.6640625" customWidth="1" style="95" min="3079" max="3079"/>
    <col width="8.6640625" customWidth="1" style="95" min="3080" max="3081"/>
    <col width="9.6640625" customWidth="1" style="95" min="3082" max="3082"/>
    <col width="8.6640625" customWidth="1" style="95" min="3083" max="3086"/>
    <col width="9.6640625" customWidth="1" style="95" min="3087" max="3087"/>
    <col width="8.6640625" customWidth="1" style="95" min="3088" max="3089"/>
    <col width="9.1640625" customWidth="1" style="95" min="3090" max="3328"/>
    <col width="12.6640625" customWidth="1" style="95" min="3329" max="3329"/>
    <col width="15.6640625" customWidth="1" style="95" min="3330" max="3330"/>
    <col width="9.6640625" customWidth="1" style="95" min="3331" max="3331"/>
    <col width="8.6640625" customWidth="1" style="95" min="3332" max="3334"/>
    <col width="7.6640625" customWidth="1" style="95" min="3335" max="3335"/>
    <col width="8.6640625" customWidth="1" style="95" min="3336" max="3337"/>
    <col width="9.6640625" customWidth="1" style="95" min="3338" max="3338"/>
    <col width="8.6640625" customWidth="1" style="95" min="3339" max="3342"/>
    <col width="9.6640625" customWidth="1" style="95" min="3343" max="3343"/>
    <col width="8.6640625" customWidth="1" style="95" min="3344" max="3345"/>
    <col width="9.1640625" customWidth="1" style="95" min="3346" max="3584"/>
    <col width="12.6640625" customWidth="1" style="95" min="3585" max="3585"/>
    <col width="15.6640625" customWidth="1" style="95" min="3586" max="3586"/>
    <col width="9.6640625" customWidth="1" style="95" min="3587" max="3587"/>
    <col width="8.6640625" customWidth="1" style="95" min="3588" max="3590"/>
    <col width="7.6640625" customWidth="1" style="95" min="3591" max="3591"/>
    <col width="8.6640625" customWidth="1" style="95" min="3592" max="3593"/>
    <col width="9.6640625" customWidth="1" style="95" min="3594" max="3594"/>
    <col width="8.6640625" customWidth="1" style="95" min="3595" max="3598"/>
    <col width="9.6640625" customWidth="1" style="95" min="3599" max="3599"/>
    <col width="8.6640625" customWidth="1" style="95" min="3600" max="3601"/>
    <col width="9.1640625" customWidth="1" style="95" min="3602" max="3840"/>
    <col width="12.6640625" customWidth="1" style="95" min="3841" max="3841"/>
    <col width="15.6640625" customWidth="1" style="95" min="3842" max="3842"/>
    <col width="9.6640625" customWidth="1" style="95" min="3843" max="3843"/>
    <col width="8.6640625" customWidth="1" style="95" min="3844" max="3846"/>
    <col width="7.6640625" customWidth="1" style="95" min="3847" max="3847"/>
    <col width="8.6640625" customWidth="1" style="95" min="3848" max="3849"/>
    <col width="9.6640625" customWidth="1" style="95" min="3850" max="3850"/>
    <col width="8.6640625" customWidth="1" style="95" min="3851" max="3854"/>
    <col width="9.6640625" customWidth="1" style="95" min="3855" max="3855"/>
    <col width="8.6640625" customWidth="1" style="95" min="3856" max="3857"/>
    <col width="9.1640625" customWidth="1" style="95" min="3858" max="4096"/>
    <col width="12.6640625" customWidth="1" style="95" min="4097" max="4097"/>
    <col width="15.6640625" customWidth="1" style="95" min="4098" max="4098"/>
    <col width="9.6640625" customWidth="1" style="95" min="4099" max="4099"/>
    <col width="8.6640625" customWidth="1" style="95" min="4100" max="4102"/>
    <col width="7.6640625" customWidth="1" style="95" min="4103" max="4103"/>
    <col width="8.6640625" customWidth="1" style="95" min="4104" max="4105"/>
    <col width="9.6640625" customWidth="1" style="95" min="4106" max="4106"/>
    <col width="8.6640625" customWidth="1" style="95" min="4107" max="4110"/>
    <col width="9.6640625" customWidth="1" style="95" min="4111" max="4111"/>
    <col width="8.6640625" customWidth="1" style="95" min="4112" max="4113"/>
    <col width="9.1640625" customWidth="1" style="95" min="4114" max="4352"/>
    <col width="12.6640625" customWidth="1" style="95" min="4353" max="4353"/>
    <col width="15.6640625" customWidth="1" style="95" min="4354" max="4354"/>
    <col width="9.6640625" customWidth="1" style="95" min="4355" max="4355"/>
    <col width="8.6640625" customWidth="1" style="95" min="4356" max="4358"/>
    <col width="7.6640625" customWidth="1" style="95" min="4359" max="4359"/>
    <col width="8.6640625" customWidth="1" style="95" min="4360" max="4361"/>
    <col width="9.6640625" customWidth="1" style="95" min="4362" max="4362"/>
    <col width="8.6640625" customWidth="1" style="95" min="4363" max="4366"/>
    <col width="9.6640625" customWidth="1" style="95" min="4367" max="4367"/>
    <col width="8.6640625" customWidth="1" style="95" min="4368" max="4369"/>
    <col width="9.1640625" customWidth="1" style="95" min="4370" max="4608"/>
    <col width="12.6640625" customWidth="1" style="95" min="4609" max="4609"/>
    <col width="15.6640625" customWidth="1" style="95" min="4610" max="4610"/>
    <col width="9.6640625" customWidth="1" style="95" min="4611" max="4611"/>
    <col width="8.6640625" customWidth="1" style="95" min="4612" max="4614"/>
    <col width="7.6640625" customWidth="1" style="95" min="4615" max="4615"/>
    <col width="8.6640625" customWidth="1" style="95" min="4616" max="4617"/>
    <col width="9.6640625" customWidth="1" style="95" min="4618" max="4618"/>
    <col width="8.6640625" customWidth="1" style="95" min="4619" max="4622"/>
    <col width="9.6640625" customWidth="1" style="95" min="4623" max="4623"/>
    <col width="8.6640625" customWidth="1" style="95" min="4624" max="4625"/>
    <col width="9.1640625" customWidth="1" style="95" min="4626" max="4864"/>
    <col width="12.6640625" customWidth="1" style="95" min="4865" max="4865"/>
    <col width="15.6640625" customWidth="1" style="95" min="4866" max="4866"/>
    <col width="9.6640625" customWidth="1" style="95" min="4867" max="4867"/>
    <col width="8.6640625" customWidth="1" style="95" min="4868" max="4870"/>
    <col width="7.6640625" customWidth="1" style="95" min="4871" max="4871"/>
    <col width="8.6640625" customWidth="1" style="95" min="4872" max="4873"/>
    <col width="9.6640625" customWidth="1" style="95" min="4874" max="4874"/>
    <col width="8.6640625" customWidth="1" style="95" min="4875" max="4878"/>
    <col width="9.6640625" customWidth="1" style="95" min="4879" max="4879"/>
    <col width="8.6640625" customWidth="1" style="95" min="4880" max="4881"/>
    <col width="9.1640625" customWidth="1" style="95" min="4882" max="5120"/>
    <col width="12.6640625" customWidth="1" style="95" min="5121" max="5121"/>
    <col width="15.6640625" customWidth="1" style="95" min="5122" max="5122"/>
    <col width="9.6640625" customWidth="1" style="95" min="5123" max="5123"/>
    <col width="8.6640625" customWidth="1" style="95" min="5124" max="5126"/>
    <col width="7.6640625" customWidth="1" style="95" min="5127" max="5127"/>
    <col width="8.6640625" customWidth="1" style="95" min="5128" max="5129"/>
    <col width="9.6640625" customWidth="1" style="95" min="5130" max="5130"/>
    <col width="8.6640625" customWidth="1" style="95" min="5131" max="5134"/>
    <col width="9.6640625" customWidth="1" style="95" min="5135" max="5135"/>
    <col width="8.6640625" customWidth="1" style="95" min="5136" max="5137"/>
    <col width="9.1640625" customWidth="1" style="95" min="5138" max="5376"/>
    <col width="12.6640625" customWidth="1" style="95" min="5377" max="5377"/>
    <col width="15.6640625" customWidth="1" style="95" min="5378" max="5378"/>
    <col width="9.6640625" customWidth="1" style="95" min="5379" max="5379"/>
    <col width="8.6640625" customWidth="1" style="95" min="5380" max="5382"/>
    <col width="7.6640625" customWidth="1" style="95" min="5383" max="5383"/>
    <col width="8.6640625" customWidth="1" style="95" min="5384" max="5385"/>
    <col width="9.6640625" customWidth="1" style="95" min="5386" max="5386"/>
    <col width="8.6640625" customWidth="1" style="95" min="5387" max="5390"/>
    <col width="9.6640625" customWidth="1" style="95" min="5391" max="5391"/>
    <col width="8.6640625" customWidth="1" style="95" min="5392" max="5393"/>
    <col width="9.1640625" customWidth="1" style="95" min="5394" max="5632"/>
    <col width="12.6640625" customWidth="1" style="95" min="5633" max="5633"/>
    <col width="15.6640625" customWidth="1" style="95" min="5634" max="5634"/>
    <col width="9.6640625" customWidth="1" style="95" min="5635" max="5635"/>
    <col width="8.6640625" customWidth="1" style="95" min="5636" max="5638"/>
    <col width="7.6640625" customWidth="1" style="95" min="5639" max="5639"/>
    <col width="8.6640625" customWidth="1" style="95" min="5640" max="5641"/>
    <col width="9.6640625" customWidth="1" style="95" min="5642" max="5642"/>
    <col width="8.6640625" customWidth="1" style="95" min="5643" max="5646"/>
    <col width="9.6640625" customWidth="1" style="95" min="5647" max="5647"/>
    <col width="8.6640625" customWidth="1" style="95" min="5648" max="5649"/>
    <col width="9.1640625" customWidth="1" style="95" min="5650" max="5888"/>
    <col width="12.6640625" customWidth="1" style="95" min="5889" max="5889"/>
    <col width="15.6640625" customWidth="1" style="95" min="5890" max="5890"/>
    <col width="9.6640625" customWidth="1" style="95" min="5891" max="5891"/>
    <col width="8.6640625" customWidth="1" style="95" min="5892" max="5894"/>
    <col width="7.6640625" customWidth="1" style="95" min="5895" max="5895"/>
    <col width="8.6640625" customWidth="1" style="95" min="5896" max="5897"/>
    <col width="9.6640625" customWidth="1" style="95" min="5898" max="5898"/>
    <col width="8.6640625" customWidth="1" style="95" min="5899" max="5902"/>
    <col width="9.6640625" customWidth="1" style="95" min="5903" max="5903"/>
    <col width="8.6640625" customWidth="1" style="95" min="5904" max="5905"/>
    <col width="9.1640625" customWidth="1" style="95" min="5906" max="6144"/>
    <col width="12.6640625" customWidth="1" style="95" min="6145" max="6145"/>
    <col width="15.6640625" customWidth="1" style="95" min="6146" max="6146"/>
    <col width="9.6640625" customWidth="1" style="95" min="6147" max="6147"/>
    <col width="8.6640625" customWidth="1" style="95" min="6148" max="6150"/>
    <col width="7.6640625" customWidth="1" style="95" min="6151" max="6151"/>
    <col width="8.6640625" customWidth="1" style="95" min="6152" max="6153"/>
    <col width="9.6640625" customWidth="1" style="95" min="6154" max="6154"/>
    <col width="8.6640625" customWidth="1" style="95" min="6155" max="6158"/>
    <col width="9.6640625" customWidth="1" style="95" min="6159" max="6159"/>
    <col width="8.6640625" customWidth="1" style="95" min="6160" max="6161"/>
    <col width="9.1640625" customWidth="1" style="95" min="6162" max="6400"/>
    <col width="12.6640625" customWidth="1" style="95" min="6401" max="6401"/>
    <col width="15.6640625" customWidth="1" style="95" min="6402" max="6402"/>
    <col width="9.6640625" customWidth="1" style="95" min="6403" max="6403"/>
    <col width="8.6640625" customWidth="1" style="95" min="6404" max="6406"/>
    <col width="7.6640625" customWidth="1" style="95" min="6407" max="6407"/>
    <col width="8.6640625" customWidth="1" style="95" min="6408" max="6409"/>
    <col width="9.6640625" customWidth="1" style="95" min="6410" max="6410"/>
    <col width="8.6640625" customWidth="1" style="95" min="6411" max="6414"/>
    <col width="9.6640625" customWidth="1" style="95" min="6415" max="6415"/>
    <col width="8.6640625" customWidth="1" style="95" min="6416" max="6417"/>
    <col width="9.1640625" customWidth="1" style="95" min="6418" max="6656"/>
    <col width="12.6640625" customWidth="1" style="95" min="6657" max="6657"/>
    <col width="15.6640625" customWidth="1" style="95" min="6658" max="6658"/>
    <col width="9.6640625" customWidth="1" style="95" min="6659" max="6659"/>
    <col width="8.6640625" customWidth="1" style="95" min="6660" max="6662"/>
    <col width="7.6640625" customWidth="1" style="95" min="6663" max="6663"/>
    <col width="8.6640625" customWidth="1" style="95" min="6664" max="6665"/>
    <col width="9.6640625" customWidth="1" style="95" min="6666" max="6666"/>
    <col width="8.6640625" customWidth="1" style="95" min="6667" max="6670"/>
    <col width="9.6640625" customWidth="1" style="95" min="6671" max="6671"/>
    <col width="8.6640625" customWidth="1" style="95" min="6672" max="6673"/>
    <col width="9.1640625" customWidth="1" style="95" min="6674" max="6912"/>
    <col width="12.6640625" customWidth="1" style="95" min="6913" max="6913"/>
    <col width="15.6640625" customWidth="1" style="95" min="6914" max="6914"/>
    <col width="9.6640625" customWidth="1" style="95" min="6915" max="6915"/>
    <col width="8.6640625" customWidth="1" style="95" min="6916" max="6918"/>
    <col width="7.6640625" customWidth="1" style="95" min="6919" max="6919"/>
    <col width="8.6640625" customWidth="1" style="95" min="6920" max="6921"/>
    <col width="9.6640625" customWidth="1" style="95" min="6922" max="6922"/>
    <col width="8.6640625" customWidth="1" style="95" min="6923" max="6926"/>
    <col width="9.6640625" customWidth="1" style="95" min="6927" max="6927"/>
    <col width="8.6640625" customWidth="1" style="95" min="6928" max="6929"/>
    <col width="9.1640625" customWidth="1" style="95" min="6930" max="7168"/>
    <col width="12.6640625" customWidth="1" style="95" min="7169" max="7169"/>
    <col width="15.6640625" customWidth="1" style="95" min="7170" max="7170"/>
    <col width="9.6640625" customWidth="1" style="95" min="7171" max="7171"/>
    <col width="8.6640625" customWidth="1" style="95" min="7172" max="7174"/>
    <col width="7.6640625" customWidth="1" style="95" min="7175" max="7175"/>
    <col width="8.6640625" customWidth="1" style="95" min="7176" max="7177"/>
    <col width="9.6640625" customWidth="1" style="95" min="7178" max="7178"/>
    <col width="8.6640625" customWidth="1" style="95" min="7179" max="7182"/>
    <col width="9.6640625" customWidth="1" style="95" min="7183" max="7183"/>
    <col width="8.6640625" customWidth="1" style="95" min="7184" max="7185"/>
    <col width="9.1640625" customWidth="1" style="95" min="7186" max="7424"/>
    <col width="12.6640625" customWidth="1" style="95" min="7425" max="7425"/>
    <col width="15.6640625" customWidth="1" style="95" min="7426" max="7426"/>
    <col width="9.6640625" customWidth="1" style="95" min="7427" max="7427"/>
    <col width="8.6640625" customWidth="1" style="95" min="7428" max="7430"/>
    <col width="7.6640625" customWidth="1" style="95" min="7431" max="7431"/>
    <col width="8.6640625" customWidth="1" style="95" min="7432" max="7433"/>
    <col width="9.6640625" customWidth="1" style="95" min="7434" max="7434"/>
    <col width="8.6640625" customWidth="1" style="95" min="7435" max="7438"/>
    <col width="9.6640625" customWidth="1" style="95" min="7439" max="7439"/>
    <col width="8.6640625" customWidth="1" style="95" min="7440" max="7441"/>
    <col width="9.1640625" customWidth="1" style="95" min="7442" max="7680"/>
    <col width="12.6640625" customWidth="1" style="95" min="7681" max="7681"/>
    <col width="15.6640625" customWidth="1" style="95" min="7682" max="7682"/>
    <col width="9.6640625" customWidth="1" style="95" min="7683" max="7683"/>
    <col width="8.6640625" customWidth="1" style="95" min="7684" max="7686"/>
    <col width="7.6640625" customWidth="1" style="95" min="7687" max="7687"/>
    <col width="8.6640625" customWidth="1" style="95" min="7688" max="7689"/>
    <col width="9.6640625" customWidth="1" style="95" min="7690" max="7690"/>
    <col width="8.6640625" customWidth="1" style="95" min="7691" max="7694"/>
    <col width="9.6640625" customWidth="1" style="95" min="7695" max="7695"/>
    <col width="8.6640625" customWidth="1" style="95" min="7696" max="7697"/>
    <col width="9.1640625" customWidth="1" style="95" min="7698" max="7936"/>
    <col width="12.6640625" customWidth="1" style="95" min="7937" max="7937"/>
    <col width="15.6640625" customWidth="1" style="95" min="7938" max="7938"/>
    <col width="9.6640625" customWidth="1" style="95" min="7939" max="7939"/>
    <col width="8.6640625" customWidth="1" style="95" min="7940" max="7942"/>
    <col width="7.6640625" customWidth="1" style="95" min="7943" max="7943"/>
    <col width="8.6640625" customWidth="1" style="95" min="7944" max="7945"/>
    <col width="9.6640625" customWidth="1" style="95" min="7946" max="7946"/>
    <col width="8.6640625" customWidth="1" style="95" min="7947" max="7950"/>
    <col width="9.6640625" customWidth="1" style="95" min="7951" max="7951"/>
    <col width="8.6640625" customWidth="1" style="95" min="7952" max="7953"/>
    <col width="9.1640625" customWidth="1" style="95" min="7954" max="8192"/>
    <col width="12.6640625" customWidth="1" style="95" min="8193" max="8193"/>
    <col width="15.6640625" customWidth="1" style="95" min="8194" max="8194"/>
    <col width="9.6640625" customWidth="1" style="95" min="8195" max="8195"/>
    <col width="8.6640625" customWidth="1" style="95" min="8196" max="8198"/>
    <col width="7.6640625" customWidth="1" style="95" min="8199" max="8199"/>
    <col width="8.6640625" customWidth="1" style="95" min="8200" max="8201"/>
    <col width="9.6640625" customWidth="1" style="95" min="8202" max="8202"/>
    <col width="8.6640625" customWidth="1" style="95" min="8203" max="8206"/>
    <col width="9.6640625" customWidth="1" style="95" min="8207" max="8207"/>
    <col width="8.6640625" customWidth="1" style="95" min="8208" max="8209"/>
    <col width="9.1640625" customWidth="1" style="95" min="8210" max="8448"/>
    <col width="12.6640625" customWidth="1" style="95" min="8449" max="8449"/>
    <col width="15.6640625" customWidth="1" style="95" min="8450" max="8450"/>
    <col width="9.6640625" customWidth="1" style="95" min="8451" max="8451"/>
    <col width="8.6640625" customWidth="1" style="95" min="8452" max="8454"/>
    <col width="7.6640625" customWidth="1" style="95" min="8455" max="8455"/>
    <col width="8.6640625" customWidth="1" style="95" min="8456" max="8457"/>
    <col width="9.6640625" customWidth="1" style="95" min="8458" max="8458"/>
    <col width="8.6640625" customWidth="1" style="95" min="8459" max="8462"/>
    <col width="9.6640625" customWidth="1" style="95" min="8463" max="8463"/>
    <col width="8.6640625" customWidth="1" style="95" min="8464" max="8465"/>
    <col width="9.1640625" customWidth="1" style="95" min="8466" max="8704"/>
    <col width="12.6640625" customWidth="1" style="95" min="8705" max="8705"/>
    <col width="15.6640625" customWidth="1" style="95" min="8706" max="8706"/>
    <col width="9.6640625" customWidth="1" style="95" min="8707" max="8707"/>
    <col width="8.6640625" customWidth="1" style="95" min="8708" max="8710"/>
    <col width="7.6640625" customWidth="1" style="95" min="8711" max="8711"/>
    <col width="8.6640625" customWidth="1" style="95" min="8712" max="8713"/>
    <col width="9.6640625" customWidth="1" style="95" min="8714" max="8714"/>
    <col width="8.6640625" customWidth="1" style="95" min="8715" max="8718"/>
    <col width="9.6640625" customWidth="1" style="95" min="8719" max="8719"/>
    <col width="8.6640625" customWidth="1" style="95" min="8720" max="8721"/>
    <col width="9.1640625" customWidth="1" style="95" min="8722" max="8960"/>
    <col width="12.6640625" customWidth="1" style="95" min="8961" max="8961"/>
    <col width="15.6640625" customWidth="1" style="95" min="8962" max="8962"/>
    <col width="9.6640625" customWidth="1" style="95" min="8963" max="8963"/>
    <col width="8.6640625" customWidth="1" style="95" min="8964" max="8966"/>
    <col width="7.6640625" customWidth="1" style="95" min="8967" max="8967"/>
    <col width="8.6640625" customWidth="1" style="95" min="8968" max="8969"/>
    <col width="9.6640625" customWidth="1" style="95" min="8970" max="8970"/>
    <col width="8.6640625" customWidth="1" style="95" min="8971" max="8974"/>
    <col width="9.6640625" customWidth="1" style="95" min="8975" max="8975"/>
    <col width="8.6640625" customWidth="1" style="95" min="8976" max="8977"/>
    <col width="9.1640625" customWidth="1" style="95" min="8978" max="9216"/>
    <col width="12.6640625" customWidth="1" style="95" min="9217" max="9217"/>
    <col width="15.6640625" customWidth="1" style="95" min="9218" max="9218"/>
    <col width="9.6640625" customWidth="1" style="95" min="9219" max="9219"/>
    <col width="8.6640625" customWidth="1" style="95" min="9220" max="9222"/>
    <col width="7.6640625" customWidth="1" style="95" min="9223" max="9223"/>
    <col width="8.6640625" customWidth="1" style="95" min="9224" max="9225"/>
    <col width="9.6640625" customWidth="1" style="95" min="9226" max="9226"/>
    <col width="8.6640625" customWidth="1" style="95" min="9227" max="9230"/>
    <col width="9.6640625" customWidth="1" style="95" min="9231" max="9231"/>
    <col width="8.6640625" customWidth="1" style="95" min="9232" max="9233"/>
    <col width="9.1640625" customWidth="1" style="95" min="9234" max="9472"/>
    <col width="12.6640625" customWidth="1" style="95" min="9473" max="9473"/>
    <col width="15.6640625" customWidth="1" style="95" min="9474" max="9474"/>
    <col width="9.6640625" customWidth="1" style="95" min="9475" max="9475"/>
    <col width="8.6640625" customWidth="1" style="95" min="9476" max="9478"/>
    <col width="7.6640625" customWidth="1" style="95" min="9479" max="9479"/>
    <col width="8.6640625" customWidth="1" style="95" min="9480" max="9481"/>
    <col width="9.6640625" customWidth="1" style="95" min="9482" max="9482"/>
    <col width="8.6640625" customWidth="1" style="95" min="9483" max="9486"/>
    <col width="9.6640625" customWidth="1" style="95" min="9487" max="9487"/>
    <col width="8.6640625" customWidth="1" style="95" min="9488" max="9489"/>
    <col width="9.1640625" customWidth="1" style="95" min="9490" max="9728"/>
    <col width="12.6640625" customWidth="1" style="95" min="9729" max="9729"/>
    <col width="15.6640625" customWidth="1" style="95" min="9730" max="9730"/>
    <col width="9.6640625" customWidth="1" style="95" min="9731" max="9731"/>
    <col width="8.6640625" customWidth="1" style="95" min="9732" max="9734"/>
    <col width="7.6640625" customWidth="1" style="95" min="9735" max="9735"/>
    <col width="8.6640625" customWidth="1" style="95" min="9736" max="9737"/>
    <col width="9.6640625" customWidth="1" style="95" min="9738" max="9738"/>
    <col width="8.6640625" customWidth="1" style="95" min="9739" max="9742"/>
    <col width="9.6640625" customWidth="1" style="95" min="9743" max="9743"/>
    <col width="8.6640625" customWidth="1" style="95" min="9744" max="9745"/>
    <col width="9.1640625" customWidth="1" style="95" min="9746" max="9984"/>
    <col width="12.6640625" customWidth="1" style="95" min="9985" max="9985"/>
    <col width="15.6640625" customWidth="1" style="95" min="9986" max="9986"/>
    <col width="9.6640625" customWidth="1" style="95" min="9987" max="9987"/>
    <col width="8.6640625" customWidth="1" style="95" min="9988" max="9990"/>
    <col width="7.6640625" customWidth="1" style="95" min="9991" max="9991"/>
    <col width="8.6640625" customWidth="1" style="95" min="9992" max="9993"/>
    <col width="9.6640625" customWidth="1" style="95" min="9994" max="9994"/>
    <col width="8.6640625" customWidth="1" style="95" min="9995" max="9998"/>
    <col width="9.6640625" customWidth="1" style="95" min="9999" max="9999"/>
    <col width="8.6640625" customWidth="1" style="95" min="10000" max="10001"/>
    <col width="9.1640625" customWidth="1" style="95" min="10002" max="10240"/>
    <col width="12.6640625" customWidth="1" style="95" min="10241" max="10241"/>
    <col width="15.6640625" customWidth="1" style="95" min="10242" max="10242"/>
    <col width="9.6640625" customWidth="1" style="95" min="10243" max="10243"/>
    <col width="8.6640625" customWidth="1" style="95" min="10244" max="10246"/>
    <col width="7.6640625" customWidth="1" style="95" min="10247" max="10247"/>
    <col width="8.6640625" customWidth="1" style="95" min="10248" max="10249"/>
    <col width="9.6640625" customWidth="1" style="95" min="10250" max="10250"/>
    <col width="8.6640625" customWidth="1" style="95" min="10251" max="10254"/>
    <col width="9.6640625" customWidth="1" style="95" min="10255" max="10255"/>
    <col width="8.6640625" customWidth="1" style="95" min="10256" max="10257"/>
    <col width="9.1640625" customWidth="1" style="95" min="10258" max="10496"/>
    <col width="12.6640625" customWidth="1" style="95" min="10497" max="10497"/>
    <col width="15.6640625" customWidth="1" style="95" min="10498" max="10498"/>
    <col width="9.6640625" customWidth="1" style="95" min="10499" max="10499"/>
    <col width="8.6640625" customWidth="1" style="95" min="10500" max="10502"/>
    <col width="7.6640625" customWidth="1" style="95" min="10503" max="10503"/>
    <col width="8.6640625" customWidth="1" style="95" min="10504" max="10505"/>
    <col width="9.6640625" customWidth="1" style="95" min="10506" max="10506"/>
    <col width="8.6640625" customWidth="1" style="95" min="10507" max="10510"/>
    <col width="9.6640625" customWidth="1" style="95" min="10511" max="10511"/>
    <col width="8.6640625" customWidth="1" style="95" min="10512" max="10513"/>
    <col width="9.1640625" customWidth="1" style="95" min="10514" max="10752"/>
    <col width="12.6640625" customWidth="1" style="95" min="10753" max="10753"/>
    <col width="15.6640625" customWidth="1" style="95" min="10754" max="10754"/>
    <col width="9.6640625" customWidth="1" style="95" min="10755" max="10755"/>
    <col width="8.6640625" customWidth="1" style="95" min="10756" max="10758"/>
    <col width="7.6640625" customWidth="1" style="95" min="10759" max="10759"/>
    <col width="8.6640625" customWidth="1" style="95" min="10760" max="10761"/>
    <col width="9.6640625" customWidth="1" style="95" min="10762" max="10762"/>
    <col width="8.6640625" customWidth="1" style="95" min="10763" max="10766"/>
    <col width="9.6640625" customWidth="1" style="95" min="10767" max="10767"/>
    <col width="8.6640625" customWidth="1" style="95" min="10768" max="10769"/>
    <col width="9.1640625" customWidth="1" style="95" min="10770" max="11008"/>
    <col width="12.6640625" customWidth="1" style="95" min="11009" max="11009"/>
    <col width="15.6640625" customWidth="1" style="95" min="11010" max="11010"/>
    <col width="9.6640625" customWidth="1" style="95" min="11011" max="11011"/>
    <col width="8.6640625" customWidth="1" style="95" min="11012" max="11014"/>
    <col width="7.6640625" customWidth="1" style="95" min="11015" max="11015"/>
    <col width="8.6640625" customWidth="1" style="95" min="11016" max="11017"/>
    <col width="9.6640625" customWidth="1" style="95" min="11018" max="11018"/>
    <col width="8.6640625" customWidth="1" style="95" min="11019" max="11022"/>
    <col width="9.6640625" customWidth="1" style="95" min="11023" max="11023"/>
    <col width="8.6640625" customWidth="1" style="95" min="11024" max="11025"/>
    <col width="9.1640625" customWidth="1" style="95" min="11026" max="11264"/>
    <col width="12.6640625" customWidth="1" style="95" min="11265" max="11265"/>
    <col width="15.6640625" customWidth="1" style="95" min="11266" max="11266"/>
    <col width="9.6640625" customWidth="1" style="95" min="11267" max="11267"/>
    <col width="8.6640625" customWidth="1" style="95" min="11268" max="11270"/>
    <col width="7.6640625" customWidth="1" style="95" min="11271" max="11271"/>
    <col width="8.6640625" customWidth="1" style="95" min="11272" max="11273"/>
    <col width="9.6640625" customWidth="1" style="95" min="11274" max="11274"/>
    <col width="8.6640625" customWidth="1" style="95" min="11275" max="11278"/>
    <col width="9.6640625" customWidth="1" style="95" min="11279" max="11279"/>
    <col width="8.6640625" customWidth="1" style="95" min="11280" max="11281"/>
    <col width="9.1640625" customWidth="1" style="95" min="11282" max="11520"/>
    <col width="12.6640625" customWidth="1" style="95" min="11521" max="11521"/>
    <col width="15.6640625" customWidth="1" style="95" min="11522" max="11522"/>
    <col width="9.6640625" customWidth="1" style="95" min="11523" max="11523"/>
    <col width="8.6640625" customWidth="1" style="95" min="11524" max="11526"/>
    <col width="7.6640625" customWidth="1" style="95" min="11527" max="11527"/>
    <col width="8.6640625" customWidth="1" style="95" min="11528" max="11529"/>
    <col width="9.6640625" customWidth="1" style="95" min="11530" max="11530"/>
    <col width="8.6640625" customWidth="1" style="95" min="11531" max="11534"/>
    <col width="9.6640625" customWidth="1" style="95" min="11535" max="11535"/>
    <col width="8.6640625" customWidth="1" style="95" min="11536" max="11537"/>
    <col width="9.1640625" customWidth="1" style="95" min="11538" max="11776"/>
    <col width="12.6640625" customWidth="1" style="95" min="11777" max="11777"/>
    <col width="15.6640625" customWidth="1" style="95" min="11778" max="11778"/>
    <col width="9.6640625" customWidth="1" style="95" min="11779" max="11779"/>
    <col width="8.6640625" customWidth="1" style="95" min="11780" max="11782"/>
    <col width="7.6640625" customWidth="1" style="95" min="11783" max="11783"/>
    <col width="8.6640625" customWidth="1" style="95" min="11784" max="11785"/>
    <col width="9.6640625" customWidth="1" style="95" min="11786" max="11786"/>
    <col width="8.6640625" customWidth="1" style="95" min="11787" max="11790"/>
    <col width="9.6640625" customWidth="1" style="95" min="11791" max="11791"/>
    <col width="8.6640625" customWidth="1" style="95" min="11792" max="11793"/>
    <col width="9.1640625" customWidth="1" style="95" min="11794" max="12032"/>
    <col width="12.6640625" customWidth="1" style="95" min="12033" max="12033"/>
    <col width="15.6640625" customWidth="1" style="95" min="12034" max="12034"/>
    <col width="9.6640625" customWidth="1" style="95" min="12035" max="12035"/>
    <col width="8.6640625" customWidth="1" style="95" min="12036" max="12038"/>
    <col width="7.6640625" customWidth="1" style="95" min="12039" max="12039"/>
    <col width="8.6640625" customWidth="1" style="95" min="12040" max="12041"/>
    <col width="9.6640625" customWidth="1" style="95" min="12042" max="12042"/>
    <col width="8.6640625" customWidth="1" style="95" min="12043" max="12046"/>
    <col width="9.6640625" customWidth="1" style="95" min="12047" max="12047"/>
    <col width="8.6640625" customWidth="1" style="95" min="12048" max="12049"/>
    <col width="9.1640625" customWidth="1" style="95" min="12050" max="12288"/>
    <col width="12.6640625" customWidth="1" style="95" min="12289" max="12289"/>
    <col width="15.6640625" customWidth="1" style="95" min="12290" max="12290"/>
    <col width="9.6640625" customWidth="1" style="95" min="12291" max="12291"/>
    <col width="8.6640625" customWidth="1" style="95" min="12292" max="12294"/>
    <col width="7.6640625" customWidth="1" style="95" min="12295" max="12295"/>
    <col width="8.6640625" customWidth="1" style="95" min="12296" max="12297"/>
    <col width="9.6640625" customWidth="1" style="95" min="12298" max="12298"/>
    <col width="8.6640625" customWidth="1" style="95" min="12299" max="12302"/>
    <col width="9.6640625" customWidth="1" style="95" min="12303" max="12303"/>
    <col width="8.6640625" customWidth="1" style="95" min="12304" max="12305"/>
    <col width="9.1640625" customWidth="1" style="95" min="12306" max="12544"/>
    <col width="12.6640625" customWidth="1" style="95" min="12545" max="12545"/>
    <col width="15.6640625" customWidth="1" style="95" min="12546" max="12546"/>
    <col width="9.6640625" customWidth="1" style="95" min="12547" max="12547"/>
    <col width="8.6640625" customWidth="1" style="95" min="12548" max="12550"/>
    <col width="7.6640625" customWidth="1" style="95" min="12551" max="12551"/>
    <col width="8.6640625" customWidth="1" style="95" min="12552" max="12553"/>
    <col width="9.6640625" customWidth="1" style="95" min="12554" max="12554"/>
    <col width="8.6640625" customWidth="1" style="95" min="12555" max="12558"/>
    <col width="9.6640625" customWidth="1" style="95" min="12559" max="12559"/>
    <col width="8.6640625" customWidth="1" style="95" min="12560" max="12561"/>
    <col width="9.1640625" customWidth="1" style="95" min="12562" max="12800"/>
    <col width="12.6640625" customWidth="1" style="95" min="12801" max="12801"/>
    <col width="15.6640625" customWidth="1" style="95" min="12802" max="12802"/>
    <col width="9.6640625" customWidth="1" style="95" min="12803" max="12803"/>
    <col width="8.6640625" customWidth="1" style="95" min="12804" max="12806"/>
    <col width="7.6640625" customWidth="1" style="95" min="12807" max="12807"/>
    <col width="8.6640625" customWidth="1" style="95" min="12808" max="12809"/>
    <col width="9.6640625" customWidth="1" style="95" min="12810" max="12810"/>
    <col width="8.6640625" customWidth="1" style="95" min="12811" max="12814"/>
    <col width="9.6640625" customWidth="1" style="95" min="12815" max="12815"/>
    <col width="8.6640625" customWidth="1" style="95" min="12816" max="12817"/>
    <col width="9.1640625" customWidth="1" style="95" min="12818" max="13056"/>
    <col width="12.6640625" customWidth="1" style="95" min="13057" max="13057"/>
    <col width="15.6640625" customWidth="1" style="95" min="13058" max="13058"/>
    <col width="9.6640625" customWidth="1" style="95" min="13059" max="13059"/>
    <col width="8.6640625" customWidth="1" style="95" min="13060" max="13062"/>
    <col width="7.6640625" customWidth="1" style="95" min="13063" max="13063"/>
    <col width="8.6640625" customWidth="1" style="95" min="13064" max="13065"/>
    <col width="9.6640625" customWidth="1" style="95" min="13066" max="13066"/>
    <col width="8.6640625" customWidth="1" style="95" min="13067" max="13070"/>
    <col width="9.6640625" customWidth="1" style="95" min="13071" max="13071"/>
    <col width="8.6640625" customWidth="1" style="95" min="13072" max="13073"/>
    <col width="9.1640625" customWidth="1" style="95" min="13074" max="13312"/>
    <col width="12.6640625" customWidth="1" style="95" min="13313" max="13313"/>
    <col width="15.6640625" customWidth="1" style="95" min="13314" max="13314"/>
    <col width="9.6640625" customWidth="1" style="95" min="13315" max="13315"/>
    <col width="8.6640625" customWidth="1" style="95" min="13316" max="13318"/>
    <col width="7.6640625" customWidth="1" style="95" min="13319" max="13319"/>
    <col width="8.6640625" customWidth="1" style="95" min="13320" max="13321"/>
    <col width="9.6640625" customWidth="1" style="95" min="13322" max="13322"/>
    <col width="8.6640625" customWidth="1" style="95" min="13323" max="13326"/>
    <col width="9.6640625" customWidth="1" style="95" min="13327" max="13327"/>
    <col width="8.6640625" customWidth="1" style="95" min="13328" max="13329"/>
    <col width="9.1640625" customWidth="1" style="95" min="13330" max="13568"/>
    <col width="12.6640625" customWidth="1" style="95" min="13569" max="13569"/>
    <col width="15.6640625" customWidth="1" style="95" min="13570" max="13570"/>
    <col width="9.6640625" customWidth="1" style="95" min="13571" max="13571"/>
    <col width="8.6640625" customWidth="1" style="95" min="13572" max="13574"/>
    <col width="7.6640625" customWidth="1" style="95" min="13575" max="13575"/>
    <col width="8.6640625" customWidth="1" style="95" min="13576" max="13577"/>
    <col width="9.6640625" customWidth="1" style="95" min="13578" max="13578"/>
    <col width="8.6640625" customWidth="1" style="95" min="13579" max="13582"/>
    <col width="9.6640625" customWidth="1" style="95" min="13583" max="13583"/>
    <col width="8.6640625" customWidth="1" style="95" min="13584" max="13585"/>
    <col width="9.1640625" customWidth="1" style="95" min="13586" max="13824"/>
    <col width="12.6640625" customWidth="1" style="95" min="13825" max="13825"/>
    <col width="15.6640625" customWidth="1" style="95" min="13826" max="13826"/>
    <col width="9.6640625" customWidth="1" style="95" min="13827" max="13827"/>
    <col width="8.6640625" customWidth="1" style="95" min="13828" max="13830"/>
    <col width="7.6640625" customWidth="1" style="95" min="13831" max="13831"/>
    <col width="8.6640625" customWidth="1" style="95" min="13832" max="13833"/>
    <col width="9.6640625" customWidth="1" style="95" min="13834" max="13834"/>
    <col width="8.6640625" customWidth="1" style="95" min="13835" max="13838"/>
    <col width="9.6640625" customWidth="1" style="95" min="13839" max="13839"/>
    <col width="8.6640625" customWidth="1" style="95" min="13840" max="13841"/>
    <col width="9.1640625" customWidth="1" style="95" min="13842" max="14080"/>
    <col width="12.6640625" customWidth="1" style="95" min="14081" max="14081"/>
    <col width="15.6640625" customWidth="1" style="95" min="14082" max="14082"/>
    <col width="9.6640625" customWidth="1" style="95" min="14083" max="14083"/>
    <col width="8.6640625" customWidth="1" style="95" min="14084" max="14086"/>
    <col width="7.6640625" customWidth="1" style="95" min="14087" max="14087"/>
    <col width="8.6640625" customWidth="1" style="95" min="14088" max="14089"/>
    <col width="9.6640625" customWidth="1" style="95" min="14090" max="14090"/>
    <col width="8.6640625" customWidth="1" style="95" min="14091" max="14094"/>
    <col width="9.6640625" customWidth="1" style="95" min="14095" max="14095"/>
    <col width="8.6640625" customWidth="1" style="95" min="14096" max="14097"/>
    <col width="9.1640625" customWidth="1" style="95" min="14098" max="14336"/>
    <col width="12.6640625" customWidth="1" style="95" min="14337" max="14337"/>
    <col width="15.6640625" customWidth="1" style="95" min="14338" max="14338"/>
    <col width="9.6640625" customWidth="1" style="95" min="14339" max="14339"/>
    <col width="8.6640625" customWidth="1" style="95" min="14340" max="14342"/>
    <col width="7.6640625" customWidth="1" style="95" min="14343" max="14343"/>
    <col width="8.6640625" customWidth="1" style="95" min="14344" max="14345"/>
    <col width="9.6640625" customWidth="1" style="95" min="14346" max="14346"/>
    <col width="8.6640625" customWidth="1" style="95" min="14347" max="14350"/>
    <col width="9.6640625" customWidth="1" style="95" min="14351" max="14351"/>
    <col width="8.6640625" customWidth="1" style="95" min="14352" max="14353"/>
    <col width="9.1640625" customWidth="1" style="95" min="14354" max="14592"/>
    <col width="12.6640625" customWidth="1" style="95" min="14593" max="14593"/>
    <col width="15.6640625" customWidth="1" style="95" min="14594" max="14594"/>
    <col width="9.6640625" customWidth="1" style="95" min="14595" max="14595"/>
    <col width="8.6640625" customWidth="1" style="95" min="14596" max="14598"/>
    <col width="7.6640625" customWidth="1" style="95" min="14599" max="14599"/>
    <col width="8.6640625" customWidth="1" style="95" min="14600" max="14601"/>
    <col width="9.6640625" customWidth="1" style="95" min="14602" max="14602"/>
    <col width="8.6640625" customWidth="1" style="95" min="14603" max="14606"/>
    <col width="9.6640625" customWidth="1" style="95" min="14607" max="14607"/>
    <col width="8.6640625" customWidth="1" style="95" min="14608" max="14609"/>
    <col width="9.1640625" customWidth="1" style="95" min="14610" max="14848"/>
    <col width="12.6640625" customWidth="1" style="95" min="14849" max="14849"/>
    <col width="15.6640625" customWidth="1" style="95" min="14850" max="14850"/>
    <col width="9.6640625" customWidth="1" style="95" min="14851" max="14851"/>
    <col width="8.6640625" customWidth="1" style="95" min="14852" max="14854"/>
    <col width="7.6640625" customWidth="1" style="95" min="14855" max="14855"/>
    <col width="8.6640625" customWidth="1" style="95" min="14856" max="14857"/>
    <col width="9.6640625" customWidth="1" style="95" min="14858" max="14858"/>
    <col width="8.6640625" customWidth="1" style="95" min="14859" max="14862"/>
    <col width="9.6640625" customWidth="1" style="95" min="14863" max="14863"/>
    <col width="8.6640625" customWidth="1" style="95" min="14864" max="14865"/>
    <col width="9.1640625" customWidth="1" style="95" min="14866" max="15104"/>
    <col width="12.6640625" customWidth="1" style="95" min="15105" max="15105"/>
    <col width="15.6640625" customWidth="1" style="95" min="15106" max="15106"/>
    <col width="9.6640625" customWidth="1" style="95" min="15107" max="15107"/>
    <col width="8.6640625" customWidth="1" style="95" min="15108" max="15110"/>
    <col width="7.6640625" customWidth="1" style="95" min="15111" max="15111"/>
    <col width="8.6640625" customWidth="1" style="95" min="15112" max="15113"/>
    <col width="9.6640625" customWidth="1" style="95" min="15114" max="15114"/>
    <col width="8.6640625" customWidth="1" style="95" min="15115" max="15118"/>
    <col width="9.6640625" customWidth="1" style="95" min="15119" max="15119"/>
    <col width="8.6640625" customWidth="1" style="95" min="15120" max="15121"/>
    <col width="9.1640625" customWidth="1" style="95" min="15122" max="15360"/>
    <col width="12.6640625" customWidth="1" style="95" min="15361" max="15361"/>
    <col width="15.6640625" customWidth="1" style="95" min="15362" max="15362"/>
    <col width="9.6640625" customWidth="1" style="95" min="15363" max="15363"/>
    <col width="8.6640625" customWidth="1" style="95" min="15364" max="15366"/>
    <col width="7.6640625" customWidth="1" style="95" min="15367" max="15367"/>
    <col width="8.6640625" customWidth="1" style="95" min="15368" max="15369"/>
    <col width="9.6640625" customWidth="1" style="95" min="15370" max="15370"/>
    <col width="8.6640625" customWidth="1" style="95" min="15371" max="15374"/>
    <col width="9.6640625" customWidth="1" style="95" min="15375" max="15375"/>
    <col width="8.6640625" customWidth="1" style="95" min="15376" max="15377"/>
    <col width="9.1640625" customWidth="1" style="95" min="15378" max="15616"/>
    <col width="12.6640625" customWidth="1" style="95" min="15617" max="15617"/>
    <col width="15.6640625" customWidth="1" style="95" min="15618" max="15618"/>
    <col width="9.6640625" customWidth="1" style="95" min="15619" max="15619"/>
    <col width="8.6640625" customWidth="1" style="95" min="15620" max="15622"/>
    <col width="7.6640625" customWidth="1" style="95" min="15623" max="15623"/>
    <col width="8.6640625" customWidth="1" style="95" min="15624" max="15625"/>
    <col width="9.6640625" customWidth="1" style="95" min="15626" max="15626"/>
    <col width="8.6640625" customWidth="1" style="95" min="15627" max="15630"/>
    <col width="9.6640625" customWidth="1" style="95" min="15631" max="15631"/>
    <col width="8.6640625" customWidth="1" style="95" min="15632" max="15633"/>
    <col width="9.1640625" customWidth="1" style="95" min="15634" max="15872"/>
    <col width="12.6640625" customWidth="1" style="95" min="15873" max="15873"/>
    <col width="15.6640625" customWidth="1" style="95" min="15874" max="15874"/>
    <col width="9.6640625" customWidth="1" style="95" min="15875" max="15875"/>
    <col width="8.6640625" customWidth="1" style="95" min="15876" max="15878"/>
    <col width="7.6640625" customWidth="1" style="95" min="15879" max="15879"/>
    <col width="8.6640625" customWidth="1" style="95" min="15880" max="15881"/>
    <col width="9.6640625" customWidth="1" style="95" min="15882" max="15882"/>
    <col width="8.6640625" customWidth="1" style="95" min="15883" max="15886"/>
    <col width="9.6640625" customWidth="1" style="95" min="15887" max="15887"/>
    <col width="8.6640625" customWidth="1" style="95" min="15888" max="15889"/>
    <col width="9.1640625" customWidth="1" style="95" min="15890" max="16128"/>
    <col width="12.6640625" customWidth="1" style="95" min="16129" max="16129"/>
    <col width="15.6640625" customWidth="1" style="95" min="16130" max="16130"/>
    <col width="9.6640625" customWidth="1" style="95" min="16131" max="16131"/>
    <col width="8.6640625" customWidth="1" style="95" min="16132" max="16134"/>
    <col width="7.6640625" customWidth="1" style="95" min="16135" max="16135"/>
    <col width="8.6640625" customWidth="1" style="95" min="16136" max="16137"/>
    <col width="9.6640625" customWidth="1" style="95" min="16138" max="16138"/>
    <col width="8.6640625" customWidth="1" style="95" min="16139" max="16142"/>
    <col width="9.6640625" customWidth="1" style="95" min="16143" max="16143"/>
    <col width="8.6640625" customWidth="1" style="95" min="16144" max="16145"/>
    <col width="9.1640625" customWidth="1" style="95" min="16146" max="16384"/>
  </cols>
  <sheetData>
    <row r="1">
      <c r="A1" t="inlineStr">
        <is>
          <t>DATE</t>
        </is>
      </c>
      <c r="B1" t="inlineStr">
        <is>
          <t>MARTSSM44W72USS</t>
        </is>
      </c>
      <c r="C1" t="inlineStr">
        <is>
          <t>RSAFS</t>
        </is>
      </c>
      <c r="D1" t="inlineStr">
        <is>
          <t>RSBMGESD</t>
        </is>
      </c>
      <c r="E1" t="inlineStr">
        <is>
          <t>RSCCAS</t>
        </is>
      </c>
      <c r="F1" t="inlineStr">
        <is>
          <t>RSDBS</t>
        </is>
      </c>
      <c r="G1" t="inlineStr">
        <is>
          <t>RSEAS</t>
        </is>
      </c>
      <c r="H1" t="inlineStr">
        <is>
          <t>RSFHFS</t>
        </is>
      </c>
      <c r="I1" t="inlineStr">
        <is>
          <t>RSFSDP</t>
        </is>
      </c>
      <c r="J1" t="inlineStr">
        <is>
          <t>RSFSXMV</t>
        </is>
      </c>
      <c r="K1" t="inlineStr">
        <is>
          <t>RSGASS</t>
        </is>
      </c>
      <c r="L1" t="inlineStr">
        <is>
          <t>RSGMS</t>
        </is>
      </c>
      <c r="M1" t="inlineStr">
        <is>
          <t>RSHPCS</t>
        </is>
      </c>
      <c r="N1" t="inlineStr">
        <is>
          <t>RSMSR</t>
        </is>
      </c>
      <c r="O1" t="inlineStr">
        <is>
          <t>RSMVPD</t>
        </is>
      </c>
      <c r="P1" t="inlineStr">
        <is>
          <t>RSNSR</t>
        </is>
      </c>
      <c r="Q1" t="inlineStr">
        <is>
          <t>RSSGHBMS</t>
        </is>
      </c>
    </row>
    <row r="2">
      <c r="A2" s="134" t="n">
        <v>33604</v>
      </c>
      <c r="B2" t="n">
        <v>117814</v>
      </c>
      <c r="C2" t="n">
        <v>164095</v>
      </c>
      <c r="D2" t="n">
        <v>10845</v>
      </c>
      <c r="E2" t="n">
        <v>9716</v>
      </c>
      <c r="F2" t="n">
        <v>30437</v>
      </c>
      <c r="G2" t="n">
        <v>3874</v>
      </c>
      <c r="H2" t="n">
        <v>4254</v>
      </c>
      <c r="I2" t="n">
        <v>17170</v>
      </c>
      <c r="J2" t="n">
        <v>130617</v>
      </c>
      <c r="K2" t="n">
        <v>12803</v>
      </c>
      <c r="L2" t="n">
        <v>19879</v>
      </c>
      <c r="M2" t="n">
        <v>7421</v>
      </c>
      <c r="N2" t="n">
        <v>4318</v>
      </c>
      <c r="O2" t="n">
        <v>33478</v>
      </c>
      <c r="P2" t="n">
        <v>6515</v>
      </c>
      <c r="Q2" t="n">
        <v>3385</v>
      </c>
    </row>
    <row r="3">
      <c r="A3" s="134" t="n">
        <v>33635</v>
      </c>
      <c r="B3" t="n">
        <v>117795</v>
      </c>
      <c r="C3" t="n">
        <v>164213</v>
      </c>
      <c r="D3" t="n">
        <v>10904</v>
      </c>
      <c r="E3" t="n">
        <v>9712</v>
      </c>
      <c r="F3" t="n">
        <v>30382</v>
      </c>
      <c r="G3" t="n">
        <v>3904</v>
      </c>
      <c r="H3" t="n">
        <v>4342</v>
      </c>
      <c r="I3" t="n">
        <v>16990</v>
      </c>
      <c r="J3" t="n">
        <v>130396</v>
      </c>
      <c r="K3" t="n">
        <v>12601</v>
      </c>
      <c r="L3" t="n">
        <v>20202</v>
      </c>
      <c r="M3" t="n">
        <v>7425</v>
      </c>
      <c r="N3" t="n">
        <v>4308</v>
      </c>
      <c r="O3" t="n">
        <v>33817</v>
      </c>
      <c r="P3" t="n">
        <v>6110</v>
      </c>
      <c r="Q3" t="n">
        <v>3516</v>
      </c>
    </row>
    <row r="4">
      <c r="A4" s="134" t="n">
        <v>33664</v>
      </c>
      <c r="B4" t="n">
        <v>117746</v>
      </c>
      <c r="C4" t="n">
        <v>163721</v>
      </c>
      <c r="D4" t="n">
        <v>10986</v>
      </c>
      <c r="E4" t="n">
        <v>9669</v>
      </c>
      <c r="F4" t="n">
        <v>30526</v>
      </c>
      <c r="G4" t="n">
        <v>3916</v>
      </c>
      <c r="H4" t="n">
        <v>4330</v>
      </c>
      <c r="I4" t="n">
        <v>16916</v>
      </c>
      <c r="J4" t="n">
        <v>130385</v>
      </c>
      <c r="K4" t="n">
        <v>12639</v>
      </c>
      <c r="L4" t="n">
        <v>20168</v>
      </c>
      <c r="M4" t="n">
        <v>7443</v>
      </c>
      <c r="N4" t="n">
        <v>4292</v>
      </c>
      <c r="O4" t="n">
        <v>33336</v>
      </c>
      <c r="P4" t="n">
        <v>6018</v>
      </c>
      <c r="Q4" t="n">
        <v>3482</v>
      </c>
    </row>
    <row r="5">
      <c r="A5" s="134" t="n">
        <v>33695</v>
      </c>
      <c r="B5" t="n">
        <v>118223</v>
      </c>
      <c r="C5" t="n">
        <v>164709</v>
      </c>
      <c r="D5" t="n">
        <v>10738</v>
      </c>
      <c r="E5" t="n">
        <v>9862</v>
      </c>
      <c r="F5" t="n">
        <v>30602</v>
      </c>
      <c r="G5" t="n">
        <v>3958</v>
      </c>
      <c r="H5" t="n">
        <v>4359</v>
      </c>
      <c r="I5" t="n">
        <v>16677</v>
      </c>
      <c r="J5" t="n">
        <v>130933</v>
      </c>
      <c r="K5" t="n">
        <v>12710</v>
      </c>
      <c r="L5" t="n">
        <v>20258</v>
      </c>
      <c r="M5" t="n">
        <v>7516</v>
      </c>
      <c r="N5" t="n">
        <v>4391</v>
      </c>
      <c r="O5" t="n">
        <v>33776</v>
      </c>
      <c r="P5" t="n">
        <v>6327</v>
      </c>
      <c r="Q5" t="n">
        <v>3535</v>
      </c>
    </row>
    <row r="6">
      <c r="A6" s="134" t="n">
        <v>33725</v>
      </c>
      <c r="B6" t="n">
        <v>118385</v>
      </c>
      <c r="C6" t="n">
        <v>165612</v>
      </c>
      <c r="D6" t="n">
        <v>10777</v>
      </c>
      <c r="E6" t="n">
        <v>9755</v>
      </c>
      <c r="F6" t="n">
        <v>30718</v>
      </c>
      <c r="G6" t="n">
        <v>3981</v>
      </c>
      <c r="H6" t="n">
        <v>4331</v>
      </c>
      <c r="I6" t="n">
        <v>16602</v>
      </c>
      <c r="J6" t="n">
        <v>131255</v>
      </c>
      <c r="K6" t="n">
        <v>12870</v>
      </c>
      <c r="L6" t="n">
        <v>20345</v>
      </c>
      <c r="M6" t="n">
        <v>7458</v>
      </c>
      <c r="N6" t="n">
        <v>4356</v>
      </c>
      <c r="O6" t="n">
        <v>34357</v>
      </c>
      <c r="P6" t="n">
        <v>6550</v>
      </c>
      <c r="Q6" t="n">
        <v>3512</v>
      </c>
    </row>
    <row r="7">
      <c r="A7" s="134" t="n">
        <v>33756</v>
      </c>
      <c r="B7" t="n">
        <v>118410</v>
      </c>
      <c r="C7" t="n">
        <v>166077</v>
      </c>
      <c r="D7" t="n">
        <v>10790</v>
      </c>
      <c r="E7" t="n">
        <v>9915</v>
      </c>
      <c r="F7" t="n">
        <v>30761</v>
      </c>
      <c r="G7" t="n">
        <v>3992</v>
      </c>
      <c r="H7" t="n">
        <v>4401</v>
      </c>
      <c r="I7" t="n">
        <v>16277</v>
      </c>
      <c r="J7" t="n">
        <v>131296</v>
      </c>
      <c r="K7" t="n">
        <v>12886</v>
      </c>
      <c r="L7" t="n">
        <v>20298</v>
      </c>
      <c r="M7" t="n">
        <v>7417</v>
      </c>
      <c r="N7" t="n">
        <v>4357</v>
      </c>
      <c r="O7" t="n">
        <v>34781</v>
      </c>
      <c r="P7" t="n">
        <v>6653</v>
      </c>
      <c r="Q7" t="n">
        <v>3549</v>
      </c>
    </row>
    <row r="8">
      <c r="A8" s="134" t="n">
        <v>33786</v>
      </c>
      <c r="B8" t="n">
        <v>119092</v>
      </c>
      <c r="C8" t="n">
        <v>167257</v>
      </c>
      <c r="D8" t="n">
        <v>10785</v>
      </c>
      <c r="E8" t="n">
        <v>9957</v>
      </c>
      <c r="F8" t="n">
        <v>30963</v>
      </c>
      <c r="G8" t="n">
        <v>4081</v>
      </c>
      <c r="H8" t="n">
        <v>4368</v>
      </c>
      <c r="I8" t="n">
        <v>16496</v>
      </c>
      <c r="J8" t="n">
        <v>132058</v>
      </c>
      <c r="K8" t="n">
        <v>12966</v>
      </c>
      <c r="L8" t="n">
        <v>20205</v>
      </c>
      <c r="M8" t="n">
        <v>7292</v>
      </c>
      <c r="N8" t="n">
        <v>4468</v>
      </c>
      <c r="O8" t="n">
        <v>35199</v>
      </c>
      <c r="P8" t="n">
        <v>6891</v>
      </c>
      <c r="Q8" t="n">
        <v>3586</v>
      </c>
    </row>
    <row r="9">
      <c r="A9" s="134" t="n">
        <v>33817</v>
      </c>
      <c r="B9" t="n">
        <v>120123</v>
      </c>
      <c r="C9" t="n">
        <v>167800</v>
      </c>
      <c r="D9" t="n">
        <v>10915</v>
      </c>
      <c r="E9" t="n">
        <v>10141</v>
      </c>
      <c r="F9" t="n">
        <v>31041</v>
      </c>
      <c r="G9" t="n">
        <v>4048</v>
      </c>
      <c r="H9" t="n">
        <v>4372</v>
      </c>
      <c r="I9" t="n">
        <v>16733</v>
      </c>
      <c r="J9" t="n">
        <v>133215</v>
      </c>
      <c r="K9" t="n">
        <v>13092</v>
      </c>
      <c r="L9" t="n">
        <v>20593</v>
      </c>
      <c r="M9" t="n">
        <v>7508</v>
      </c>
      <c r="N9" t="n">
        <v>4494</v>
      </c>
      <c r="O9" t="n">
        <v>34585</v>
      </c>
      <c r="P9" t="n">
        <v>6766</v>
      </c>
      <c r="Q9" t="n">
        <v>3512</v>
      </c>
    </row>
    <row r="10">
      <c r="A10" s="134" t="n">
        <v>33848</v>
      </c>
      <c r="B10" t="n">
        <v>120264</v>
      </c>
      <c r="C10" t="n">
        <v>169400</v>
      </c>
      <c r="D10" t="n">
        <v>10980</v>
      </c>
      <c r="E10" t="n">
        <v>10154</v>
      </c>
      <c r="F10" t="n">
        <v>30942</v>
      </c>
      <c r="G10" t="n">
        <v>4098</v>
      </c>
      <c r="H10" t="n">
        <v>4345</v>
      </c>
      <c r="I10" t="n">
        <v>16812</v>
      </c>
      <c r="J10" t="n">
        <v>133510</v>
      </c>
      <c r="K10" t="n">
        <v>13246</v>
      </c>
      <c r="L10" t="n">
        <v>20684</v>
      </c>
      <c r="M10" t="n">
        <v>7420</v>
      </c>
      <c r="N10" t="n">
        <v>4549</v>
      </c>
      <c r="O10" t="n">
        <v>35890</v>
      </c>
      <c r="P10" t="n">
        <v>6714</v>
      </c>
      <c r="Q10" t="n">
        <v>3566</v>
      </c>
    </row>
    <row r="11">
      <c r="A11" s="134" t="n">
        <v>33878</v>
      </c>
      <c r="B11" t="n">
        <v>121349</v>
      </c>
      <c r="C11" t="n">
        <v>170625</v>
      </c>
      <c r="D11" t="n">
        <v>10971</v>
      </c>
      <c r="E11" t="n">
        <v>10174</v>
      </c>
      <c r="F11" t="n">
        <v>31148</v>
      </c>
      <c r="G11" t="n">
        <v>4186</v>
      </c>
      <c r="H11" t="n">
        <v>4299</v>
      </c>
      <c r="I11" t="n">
        <v>17104</v>
      </c>
      <c r="J11" t="n">
        <v>134653</v>
      </c>
      <c r="K11" t="n">
        <v>13304</v>
      </c>
      <c r="L11" t="n">
        <v>20851</v>
      </c>
      <c r="M11" t="n">
        <v>7535</v>
      </c>
      <c r="N11" t="n">
        <v>4809</v>
      </c>
      <c r="O11" t="n">
        <v>35972</v>
      </c>
      <c r="P11" t="n">
        <v>6665</v>
      </c>
      <c r="Q11" t="n">
        <v>3607</v>
      </c>
    </row>
    <row r="12">
      <c r="A12" s="134" t="n">
        <v>33909</v>
      </c>
      <c r="B12" t="n">
        <v>121717</v>
      </c>
      <c r="C12" t="n">
        <v>171003</v>
      </c>
      <c r="D12" t="n">
        <v>10873</v>
      </c>
      <c r="E12" t="n">
        <v>10076</v>
      </c>
      <c r="F12" t="n">
        <v>30992</v>
      </c>
      <c r="G12" t="n">
        <v>4118</v>
      </c>
      <c r="H12" t="n">
        <v>4368</v>
      </c>
      <c r="I12" t="n">
        <v>17420</v>
      </c>
      <c r="J12" t="n">
        <v>135075</v>
      </c>
      <c r="K12" t="n">
        <v>13358</v>
      </c>
      <c r="L12" t="n">
        <v>21078</v>
      </c>
      <c r="M12" t="n">
        <v>7497</v>
      </c>
      <c r="N12" t="n">
        <v>5059</v>
      </c>
      <c r="O12" t="n">
        <v>35928</v>
      </c>
      <c r="P12" t="n">
        <v>6610</v>
      </c>
      <c r="Q12" t="n">
        <v>3626</v>
      </c>
    </row>
    <row r="13">
      <c r="A13" s="134" t="n">
        <v>33939</v>
      </c>
      <c r="B13" t="n">
        <v>123358</v>
      </c>
      <c r="C13" t="n">
        <v>173105</v>
      </c>
      <c r="D13" t="n">
        <v>11082</v>
      </c>
      <c r="E13" t="n">
        <v>10318</v>
      </c>
      <c r="F13" t="n">
        <v>31057</v>
      </c>
      <c r="G13" t="n">
        <v>4248</v>
      </c>
      <c r="H13" t="n">
        <v>4428</v>
      </c>
      <c r="I13" t="n">
        <v>17491</v>
      </c>
      <c r="J13" t="n">
        <v>136833</v>
      </c>
      <c r="K13" t="n">
        <v>13475</v>
      </c>
      <c r="L13" t="n">
        <v>21752</v>
      </c>
      <c r="M13" t="n">
        <v>7526</v>
      </c>
      <c r="N13" t="n">
        <v>5059</v>
      </c>
      <c r="O13" t="n">
        <v>36272</v>
      </c>
      <c r="P13" t="n">
        <v>6597</v>
      </c>
      <c r="Q13" t="n">
        <v>3800</v>
      </c>
    </row>
    <row r="14">
      <c r="A14" s="134" t="n">
        <v>33970</v>
      </c>
      <c r="B14" t="n">
        <v>124089</v>
      </c>
      <c r="C14" t="n">
        <v>175108</v>
      </c>
      <c r="D14" t="n">
        <v>11333</v>
      </c>
      <c r="E14" t="n">
        <v>10581</v>
      </c>
      <c r="F14" t="n">
        <v>31045</v>
      </c>
      <c r="G14" t="n">
        <v>4395</v>
      </c>
      <c r="H14" t="n">
        <v>4637</v>
      </c>
      <c r="I14" t="n">
        <v>17553</v>
      </c>
      <c r="J14" t="n">
        <v>137487</v>
      </c>
      <c r="K14" t="n">
        <v>13398</v>
      </c>
      <c r="L14" t="n">
        <v>21383</v>
      </c>
      <c r="M14" t="n">
        <v>7518</v>
      </c>
      <c r="N14" t="n">
        <v>5352</v>
      </c>
      <c r="O14" t="n">
        <v>37621</v>
      </c>
      <c r="P14" t="n">
        <v>6644</v>
      </c>
      <c r="Q14" t="n">
        <v>3648</v>
      </c>
    </row>
    <row r="15">
      <c r="A15" s="134" t="n">
        <v>34001</v>
      </c>
      <c r="B15" t="n">
        <v>123425</v>
      </c>
      <c r="C15" t="n">
        <v>173744</v>
      </c>
      <c r="D15" t="n">
        <v>11410</v>
      </c>
      <c r="E15" t="n">
        <v>10150</v>
      </c>
      <c r="F15" t="n">
        <v>31233</v>
      </c>
      <c r="G15" t="n">
        <v>4343</v>
      </c>
      <c r="H15" t="n">
        <v>4507</v>
      </c>
      <c r="I15" t="n">
        <v>17478</v>
      </c>
      <c r="J15" t="n">
        <v>137021</v>
      </c>
      <c r="K15" t="n">
        <v>13596</v>
      </c>
      <c r="L15" t="n">
        <v>21392</v>
      </c>
      <c r="M15" t="n">
        <v>7651</v>
      </c>
      <c r="N15" t="n">
        <v>4896</v>
      </c>
      <c r="O15" t="n">
        <v>36723</v>
      </c>
      <c r="P15" t="n">
        <v>6780</v>
      </c>
      <c r="Q15" t="n">
        <v>3585</v>
      </c>
    </row>
    <row r="16">
      <c r="A16" s="134" t="n">
        <v>34029</v>
      </c>
      <c r="B16" t="n">
        <v>122864</v>
      </c>
      <c r="C16" t="n">
        <v>172306</v>
      </c>
      <c r="D16" t="n">
        <v>11184</v>
      </c>
      <c r="E16" t="n">
        <v>9916</v>
      </c>
      <c r="F16" t="n">
        <v>31058</v>
      </c>
      <c r="G16" t="n">
        <v>4383</v>
      </c>
      <c r="H16" t="n">
        <v>4463</v>
      </c>
      <c r="I16" t="n">
        <v>17554</v>
      </c>
      <c r="J16" t="n">
        <v>136351</v>
      </c>
      <c r="K16" t="n">
        <v>13487</v>
      </c>
      <c r="L16" t="n">
        <v>21273</v>
      </c>
      <c r="M16" t="n">
        <v>7605</v>
      </c>
      <c r="N16" t="n">
        <v>4811</v>
      </c>
      <c r="O16" t="n">
        <v>35955</v>
      </c>
      <c r="P16" t="n">
        <v>7009</v>
      </c>
      <c r="Q16" t="n">
        <v>3608</v>
      </c>
    </row>
    <row r="17">
      <c r="A17" s="134" t="n">
        <v>34060</v>
      </c>
      <c r="B17" t="n">
        <v>124689</v>
      </c>
      <c r="C17" t="n">
        <v>176749</v>
      </c>
      <c r="D17" t="n">
        <v>11417</v>
      </c>
      <c r="E17" t="n">
        <v>10257</v>
      </c>
      <c r="F17" t="n">
        <v>31129</v>
      </c>
      <c r="G17" t="n">
        <v>4460</v>
      </c>
      <c r="H17" t="n">
        <v>4564</v>
      </c>
      <c r="I17" t="n">
        <v>17770</v>
      </c>
      <c r="J17" t="n">
        <v>138228</v>
      </c>
      <c r="K17" t="n">
        <v>13539</v>
      </c>
      <c r="L17" t="n">
        <v>21759</v>
      </c>
      <c r="M17" t="n">
        <v>7683</v>
      </c>
      <c r="N17" t="n">
        <v>5033</v>
      </c>
      <c r="O17" t="n">
        <v>38521</v>
      </c>
      <c r="P17" t="n">
        <v>6868</v>
      </c>
      <c r="Q17" t="n">
        <v>3749</v>
      </c>
    </row>
    <row r="18">
      <c r="A18" s="134" t="n">
        <v>34090</v>
      </c>
      <c r="B18" t="n">
        <v>125899</v>
      </c>
      <c r="C18" t="n">
        <v>178426</v>
      </c>
      <c r="D18" t="n">
        <v>11720</v>
      </c>
      <c r="E18" t="n">
        <v>10386</v>
      </c>
      <c r="F18" t="n">
        <v>31164</v>
      </c>
      <c r="G18" t="n">
        <v>4485</v>
      </c>
      <c r="H18" t="n">
        <v>4642</v>
      </c>
      <c r="I18" t="n">
        <v>17821</v>
      </c>
      <c r="J18" t="n">
        <v>139420</v>
      </c>
      <c r="K18" t="n">
        <v>13521</v>
      </c>
      <c r="L18" t="n">
        <v>21993</v>
      </c>
      <c r="M18" t="n">
        <v>7666</v>
      </c>
      <c r="N18" t="n">
        <v>4967</v>
      </c>
      <c r="O18" t="n">
        <v>39006</v>
      </c>
      <c r="P18" t="n">
        <v>7309</v>
      </c>
      <c r="Q18" t="n">
        <v>3746</v>
      </c>
    </row>
    <row r="19">
      <c r="A19" s="134" t="n">
        <v>34121</v>
      </c>
      <c r="B19" t="n">
        <v>125804</v>
      </c>
      <c r="C19" t="n">
        <v>178157</v>
      </c>
      <c r="D19" t="n">
        <v>11669</v>
      </c>
      <c r="E19" t="n">
        <v>10411</v>
      </c>
      <c r="F19" t="n">
        <v>31168</v>
      </c>
      <c r="G19" t="n">
        <v>4567</v>
      </c>
      <c r="H19" t="n">
        <v>4609</v>
      </c>
      <c r="I19" t="n">
        <v>18030</v>
      </c>
      <c r="J19" t="n">
        <v>139265</v>
      </c>
      <c r="K19" t="n">
        <v>13461</v>
      </c>
      <c r="L19" t="n">
        <v>21957</v>
      </c>
      <c r="M19" t="n">
        <v>7680</v>
      </c>
      <c r="N19" t="n">
        <v>5153</v>
      </c>
      <c r="O19" t="n">
        <v>38892</v>
      </c>
      <c r="P19" t="n">
        <v>6858</v>
      </c>
      <c r="Q19" t="n">
        <v>3702</v>
      </c>
    </row>
    <row r="20">
      <c r="A20" s="134" t="n">
        <v>34151</v>
      </c>
      <c r="B20" t="n">
        <v>126951</v>
      </c>
      <c r="C20" t="n">
        <v>180743</v>
      </c>
      <c r="D20" t="n">
        <v>11781</v>
      </c>
      <c r="E20" t="n">
        <v>10593</v>
      </c>
      <c r="F20" t="n">
        <v>31349</v>
      </c>
      <c r="G20" t="n">
        <v>4642</v>
      </c>
      <c r="H20" t="n">
        <v>4640</v>
      </c>
      <c r="I20" t="n">
        <v>17927</v>
      </c>
      <c r="J20" t="n">
        <v>140453</v>
      </c>
      <c r="K20" t="n">
        <v>13502</v>
      </c>
      <c r="L20" t="n">
        <v>22343</v>
      </c>
      <c r="M20" t="n">
        <v>7756</v>
      </c>
      <c r="N20" t="n">
        <v>5064</v>
      </c>
      <c r="O20" t="n">
        <v>40290</v>
      </c>
      <c r="P20" t="n">
        <v>7046</v>
      </c>
      <c r="Q20" t="n">
        <v>3810</v>
      </c>
    </row>
    <row r="21">
      <c r="A21" s="134" t="n">
        <v>34182</v>
      </c>
      <c r="B21" t="n">
        <v>126831</v>
      </c>
      <c r="C21" t="n">
        <v>180707</v>
      </c>
      <c r="D21" t="n">
        <v>11875</v>
      </c>
      <c r="E21" t="n">
        <v>10406</v>
      </c>
      <c r="F21" t="n">
        <v>31126</v>
      </c>
      <c r="G21" t="n">
        <v>4667</v>
      </c>
      <c r="H21" t="n">
        <v>4645</v>
      </c>
      <c r="I21" t="n">
        <v>18201</v>
      </c>
      <c r="J21" t="n">
        <v>140203</v>
      </c>
      <c r="K21" t="n">
        <v>13372</v>
      </c>
      <c r="L21" t="n">
        <v>22315</v>
      </c>
      <c r="M21" t="n">
        <v>7678</v>
      </c>
      <c r="N21" t="n">
        <v>5115</v>
      </c>
      <c r="O21" t="n">
        <v>40504</v>
      </c>
      <c r="P21" t="n">
        <v>6999</v>
      </c>
      <c r="Q21" t="n">
        <v>3804</v>
      </c>
    </row>
    <row r="22">
      <c r="A22" s="134" t="n">
        <v>34213</v>
      </c>
      <c r="B22" t="n">
        <v>128154</v>
      </c>
      <c r="C22" t="n">
        <v>181773</v>
      </c>
      <c r="D22" t="n">
        <v>11786</v>
      </c>
      <c r="E22" t="n">
        <v>10549</v>
      </c>
      <c r="F22" t="n">
        <v>31201</v>
      </c>
      <c r="G22" t="n">
        <v>4729</v>
      </c>
      <c r="H22" t="n">
        <v>4640</v>
      </c>
      <c r="I22" t="n">
        <v>18515</v>
      </c>
      <c r="J22" t="n">
        <v>141570</v>
      </c>
      <c r="K22" t="n">
        <v>13416</v>
      </c>
      <c r="L22" t="n">
        <v>22429</v>
      </c>
      <c r="M22" t="n">
        <v>7772</v>
      </c>
      <c r="N22" t="n">
        <v>5222</v>
      </c>
      <c r="O22" t="n">
        <v>40203</v>
      </c>
      <c r="P22" t="n">
        <v>7486</v>
      </c>
      <c r="Q22" t="n">
        <v>3825</v>
      </c>
    </row>
    <row r="23">
      <c r="A23" s="134" t="n">
        <v>34243</v>
      </c>
      <c r="B23" t="n">
        <v>128272</v>
      </c>
      <c r="C23" t="n">
        <v>182884</v>
      </c>
      <c r="D23" t="n">
        <v>11908</v>
      </c>
      <c r="E23" t="n">
        <v>10449</v>
      </c>
      <c r="F23" t="n">
        <v>31346</v>
      </c>
      <c r="G23" t="n">
        <v>4710</v>
      </c>
      <c r="H23" t="n">
        <v>4663</v>
      </c>
      <c r="I23" t="n">
        <v>18199</v>
      </c>
      <c r="J23" t="n">
        <v>142027</v>
      </c>
      <c r="K23" t="n">
        <v>13755</v>
      </c>
      <c r="L23" t="n">
        <v>22647</v>
      </c>
      <c r="M23" t="n">
        <v>7758</v>
      </c>
      <c r="N23" t="n">
        <v>5432</v>
      </c>
      <c r="O23" t="n">
        <v>40857</v>
      </c>
      <c r="P23" t="n">
        <v>7343</v>
      </c>
      <c r="Q23" t="n">
        <v>3817</v>
      </c>
    </row>
    <row r="24">
      <c r="A24" s="134" t="n">
        <v>34274</v>
      </c>
      <c r="B24" t="n">
        <v>128916</v>
      </c>
      <c r="C24" t="n">
        <v>184747</v>
      </c>
      <c r="D24" t="n">
        <v>12297</v>
      </c>
      <c r="E24" t="n">
        <v>10475</v>
      </c>
      <c r="F24" t="n">
        <v>31363</v>
      </c>
      <c r="G24" t="n">
        <v>4741</v>
      </c>
      <c r="H24" t="n">
        <v>4693</v>
      </c>
      <c r="I24" t="n">
        <v>18153</v>
      </c>
      <c r="J24" t="n">
        <v>142670</v>
      </c>
      <c r="K24" t="n">
        <v>13754</v>
      </c>
      <c r="L24" t="n">
        <v>22760</v>
      </c>
      <c r="M24" t="n">
        <v>7784</v>
      </c>
      <c r="N24" t="n">
        <v>5159</v>
      </c>
      <c r="O24" t="n">
        <v>42077</v>
      </c>
      <c r="P24" t="n">
        <v>7561</v>
      </c>
      <c r="Q24" t="n">
        <v>3930</v>
      </c>
    </row>
    <row r="25">
      <c r="A25" s="134" t="n">
        <v>34304</v>
      </c>
      <c r="B25" t="n">
        <v>129976</v>
      </c>
      <c r="C25" t="n">
        <v>186399</v>
      </c>
      <c r="D25" t="n">
        <v>12583</v>
      </c>
      <c r="E25" t="n">
        <v>10442</v>
      </c>
      <c r="F25" t="n">
        <v>31499</v>
      </c>
      <c r="G25" t="n">
        <v>4794</v>
      </c>
      <c r="H25" t="n">
        <v>4693</v>
      </c>
      <c r="I25" t="n">
        <v>18238</v>
      </c>
      <c r="J25" t="n">
        <v>143603</v>
      </c>
      <c r="K25" t="n">
        <v>13627</v>
      </c>
      <c r="L25" t="n">
        <v>22905</v>
      </c>
      <c r="M25" t="n">
        <v>7989</v>
      </c>
      <c r="N25" t="n">
        <v>5377</v>
      </c>
      <c r="O25" t="n">
        <v>42796</v>
      </c>
      <c r="P25" t="n">
        <v>7438</v>
      </c>
      <c r="Q25" t="n">
        <v>4018</v>
      </c>
    </row>
    <row r="26">
      <c r="A26" s="134" t="n">
        <v>34335</v>
      </c>
      <c r="B26" t="n">
        <v>128826</v>
      </c>
      <c r="C26" t="n">
        <v>185142</v>
      </c>
      <c r="D26" t="n">
        <v>12316</v>
      </c>
      <c r="E26" t="n">
        <v>10450</v>
      </c>
      <c r="F26" t="n">
        <v>31468</v>
      </c>
      <c r="G26" t="n">
        <v>4837</v>
      </c>
      <c r="H26" t="n">
        <v>4571</v>
      </c>
      <c r="I26" t="n">
        <v>17624</v>
      </c>
      <c r="J26" t="n">
        <v>142482</v>
      </c>
      <c r="K26" t="n">
        <v>13656</v>
      </c>
      <c r="L26" t="n">
        <v>22706</v>
      </c>
      <c r="M26" t="n">
        <v>7865</v>
      </c>
      <c r="N26" t="n">
        <v>5288</v>
      </c>
      <c r="O26" t="n">
        <v>42660</v>
      </c>
      <c r="P26" t="n">
        <v>7720</v>
      </c>
      <c r="Q26" t="n">
        <v>3981</v>
      </c>
    </row>
    <row r="27">
      <c r="A27" s="134" t="n">
        <v>34366</v>
      </c>
      <c r="B27" t="n">
        <v>130514</v>
      </c>
      <c r="C27" t="n">
        <v>188074</v>
      </c>
      <c r="D27" t="n">
        <v>12233</v>
      </c>
      <c r="E27" t="n">
        <v>10587</v>
      </c>
      <c r="F27" t="n">
        <v>31688</v>
      </c>
      <c r="G27" t="n">
        <v>4949</v>
      </c>
      <c r="H27" t="n">
        <v>4775</v>
      </c>
      <c r="I27" t="n">
        <v>18425</v>
      </c>
      <c r="J27" t="n">
        <v>144389</v>
      </c>
      <c r="K27" t="n">
        <v>13875</v>
      </c>
      <c r="L27" t="n">
        <v>23070</v>
      </c>
      <c r="M27" t="n">
        <v>7729</v>
      </c>
      <c r="N27" t="n">
        <v>5282</v>
      </c>
      <c r="O27" t="n">
        <v>43685</v>
      </c>
      <c r="P27" t="n">
        <v>7681</v>
      </c>
      <c r="Q27" t="n">
        <v>4095</v>
      </c>
    </row>
    <row r="28">
      <c r="A28" s="134" t="n">
        <v>34394</v>
      </c>
      <c r="B28" t="n">
        <v>133193</v>
      </c>
      <c r="C28" t="n">
        <v>191579</v>
      </c>
      <c r="D28" t="n">
        <v>12767</v>
      </c>
      <c r="E28" t="n">
        <v>10806</v>
      </c>
      <c r="F28" t="n">
        <v>31700</v>
      </c>
      <c r="G28" t="n">
        <v>5052</v>
      </c>
      <c r="H28" t="n">
        <v>4910</v>
      </c>
      <c r="I28" t="n">
        <v>18813</v>
      </c>
      <c r="J28" t="n">
        <v>147104</v>
      </c>
      <c r="K28" t="n">
        <v>13911</v>
      </c>
      <c r="L28" t="n">
        <v>23657</v>
      </c>
      <c r="M28" t="n">
        <v>7911</v>
      </c>
      <c r="N28" t="n">
        <v>5593</v>
      </c>
      <c r="O28" t="n">
        <v>44475</v>
      </c>
      <c r="P28" t="n">
        <v>7853</v>
      </c>
      <c r="Q28" t="n">
        <v>4131</v>
      </c>
    </row>
    <row r="29">
      <c r="A29" s="134" t="n">
        <v>34425</v>
      </c>
      <c r="B29" t="n">
        <v>132700</v>
      </c>
      <c r="C29" t="n">
        <v>191639</v>
      </c>
      <c r="D29" t="n">
        <v>13076</v>
      </c>
      <c r="E29" t="n">
        <v>10554</v>
      </c>
      <c r="F29" t="n">
        <v>31899</v>
      </c>
      <c r="G29" t="n">
        <v>5090</v>
      </c>
      <c r="H29" t="n">
        <v>4916</v>
      </c>
      <c r="I29" t="n">
        <v>18533</v>
      </c>
      <c r="J29" t="n">
        <v>146567</v>
      </c>
      <c r="K29" t="n">
        <v>13867</v>
      </c>
      <c r="L29" t="n">
        <v>23354</v>
      </c>
      <c r="M29" t="n">
        <v>7838</v>
      </c>
      <c r="N29" t="n">
        <v>5464</v>
      </c>
      <c r="O29" t="n">
        <v>45072</v>
      </c>
      <c r="P29" t="n">
        <v>7941</v>
      </c>
      <c r="Q29" t="n">
        <v>4035</v>
      </c>
    </row>
    <row r="30">
      <c r="A30" s="134" t="n">
        <v>34455</v>
      </c>
      <c r="B30" t="n">
        <v>133058</v>
      </c>
      <c r="C30" t="n">
        <v>190929</v>
      </c>
      <c r="D30" t="n">
        <v>13033</v>
      </c>
      <c r="E30" t="n">
        <v>10451</v>
      </c>
      <c r="F30" t="n">
        <v>31858</v>
      </c>
      <c r="G30" t="n">
        <v>5185</v>
      </c>
      <c r="H30" t="n">
        <v>4971</v>
      </c>
      <c r="I30" t="n">
        <v>18600</v>
      </c>
      <c r="J30" t="n">
        <v>146831</v>
      </c>
      <c r="K30" t="n">
        <v>13773</v>
      </c>
      <c r="L30" t="n">
        <v>23271</v>
      </c>
      <c r="M30" t="n">
        <v>7955</v>
      </c>
      <c r="N30" t="n">
        <v>5756</v>
      </c>
      <c r="O30" t="n">
        <v>44098</v>
      </c>
      <c r="P30" t="n">
        <v>7859</v>
      </c>
      <c r="Q30" t="n">
        <v>4119</v>
      </c>
    </row>
    <row r="31">
      <c r="A31" s="134" t="n">
        <v>34486</v>
      </c>
      <c r="B31" t="n">
        <v>134530</v>
      </c>
      <c r="C31" t="n">
        <v>193130</v>
      </c>
      <c r="D31" t="n">
        <v>12987</v>
      </c>
      <c r="E31" t="n">
        <v>10612</v>
      </c>
      <c r="F31" t="n">
        <v>32123</v>
      </c>
      <c r="G31" t="n">
        <v>5313</v>
      </c>
      <c r="H31" t="n">
        <v>5018</v>
      </c>
      <c r="I31" t="n">
        <v>18889</v>
      </c>
      <c r="J31" t="n">
        <v>148589</v>
      </c>
      <c r="K31" t="n">
        <v>14059</v>
      </c>
      <c r="L31" t="n">
        <v>23626</v>
      </c>
      <c r="M31" t="n">
        <v>8014</v>
      </c>
      <c r="N31" t="n">
        <v>5739</v>
      </c>
      <c r="O31" t="n">
        <v>44541</v>
      </c>
      <c r="P31" t="n">
        <v>8074</v>
      </c>
      <c r="Q31" t="n">
        <v>4135</v>
      </c>
    </row>
    <row r="32">
      <c r="A32" s="134" t="n">
        <v>34516</v>
      </c>
      <c r="B32" t="n">
        <v>134944</v>
      </c>
      <c r="C32" t="n">
        <v>193743</v>
      </c>
      <c r="D32" t="n">
        <v>13130</v>
      </c>
      <c r="E32" t="n">
        <v>10672</v>
      </c>
      <c r="F32" t="n">
        <v>31964</v>
      </c>
      <c r="G32" t="n">
        <v>5330</v>
      </c>
      <c r="H32" t="n">
        <v>5046</v>
      </c>
      <c r="I32" t="n">
        <v>18962</v>
      </c>
      <c r="J32" t="n">
        <v>149266</v>
      </c>
      <c r="K32" t="n">
        <v>14322</v>
      </c>
      <c r="L32" t="n">
        <v>23635</v>
      </c>
      <c r="M32" t="n">
        <v>8084</v>
      </c>
      <c r="N32" t="n">
        <v>5933</v>
      </c>
      <c r="O32" t="n">
        <v>44477</v>
      </c>
      <c r="P32" t="n">
        <v>8077</v>
      </c>
      <c r="Q32" t="n">
        <v>4111</v>
      </c>
    </row>
    <row r="33">
      <c r="A33" s="134" t="n">
        <v>34547</v>
      </c>
      <c r="B33" t="n">
        <v>136246</v>
      </c>
      <c r="C33" t="n">
        <v>196163</v>
      </c>
      <c r="D33" t="n">
        <v>13224</v>
      </c>
      <c r="E33" t="n">
        <v>10839</v>
      </c>
      <c r="F33" t="n">
        <v>32222</v>
      </c>
      <c r="G33" t="n">
        <v>5411</v>
      </c>
      <c r="H33" t="n">
        <v>5165</v>
      </c>
      <c r="I33" t="n">
        <v>18868</v>
      </c>
      <c r="J33" t="n">
        <v>150931</v>
      </c>
      <c r="K33" t="n">
        <v>14685</v>
      </c>
      <c r="L33" t="n">
        <v>23889</v>
      </c>
      <c r="M33" t="n">
        <v>8126</v>
      </c>
      <c r="N33" t="n">
        <v>6012</v>
      </c>
      <c r="O33" t="n">
        <v>45232</v>
      </c>
      <c r="P33" t="n">
        <v>8241</v>
      </c>
      <c r="Q33" t="n">
        <v>4249</v>
      </c>
    </row>
    <row r="34">
      <c r="A34" s="134" t="n">
        <v>34578</v>
      </c>
      <c r="B34" t="n">
        <v>136802</v>
      </c>
      <c r="C34" t="n">
        <v>197765</v>
      </c>
      <c r="D34" t="n">
        <v>13375</v>
      </c>
      <c r="E34" t="n">
        <v>10674</v>
      </c>
      <c r="F34" t="n">
        <v>32401</v>
      </c>
      <c r="G34" t="n">
        <v>5508</v>
      </c>
      <c r="H34" t="n">
        <v>5177</v>
      </c>
      <c r="I34" t="n">
        <v>18978</v>
      </c>
      <c r="J34" t="n">
        <v>151451</v>
      </c>
      <c r="K34" t="n">
        <v>14649</v>
      </c>
      <c r="L34" t="n">
        <v>23995</v>
      </c>
      <c r="M34" t="n">
        <v>8190</v>
      </c>
      <c r="N34" t="n">
        <v>6092</v>
      </c>
      <c r="O34" t="n">
        <v>46314</v>
      </c>
      <c r="P34" t="n">
        <v>8106</v>
      </c>
      <c r="Q34" t="n">
        <v>4306</v>
      </c>
    </row>
    <row r="35">
      <c r="A35" s="134" t="n">
        <v>34608</v>
      </c>
      <c r="B35" t="n">
        <v>137821</v>
      </c>
      <c r="C35" t="n">
        <v>199571</v>
      </c>
      <c r="D35" t="n">
        <v>13550</v>
      </c>
      <c r="E35" t="n">
        <v>11000</v>
      </c>
      <c r="F35" t="n">
        <v>32196</v>
      </c>
      <c r="G35" t="n">
        <v>5635</v>
      </c>
      <c r="H35" t="n">
        <v>5260</v>
      </c>
      <c r="I35" t="n">
        <v>19010</v>
      </c>
      <c r="J35" t="n">
        <v>152530</v>
      </c>
      <c r="K35" t="n">
        <v>14709</v>
      </c>
      <c r="L35" t="n">
        <v>24255</v>
      </c>
      <c r="M35" t="n">
        <v>8214</v>
      </c>
      <c r="N35" t="n">
        <v>6048</v>
      </c>
      <c r="O35" t="n">
        <v>47041</v>
      </c>
      <c r="P35" t="n">
        <v>8306</v>
      </c>
      <c r="Q35" t="n">
        <v>4347</v>
      </c>
    </row>
    <row r="36">
      <c r="A36" s="134" t="n">
        <v>34639</v>
      </c>
      <c r="B36" t="n">
        <v>137650</v>
      </c>
      <c r="C36" t="n">
        <v>199731</v>
      </c>
      <c r="D36" t="n">
        <v>13384</v>
      </c>
      <c r="E36" t="n">
        <v>10983</v>
      </c>
      <c r="F36" t="n">
        <v>32370</v>
      </c>
      <c r="G36" t="n">
        <v>5753</v>
      </c>
      <c r="H36" t="n">
        <v>5199</v>
      </c>
      <c r="I36" t="n">
        <v>19028</v>
      </c>
      <c r="J36" t="n">
        <v>152528</v>
      </c>
      <c r="K36" t="n">
        <v>14878</v>
      </c>
      <c r="L36" t="n">
        <v>24356</v>
      </c>
      <c r="M36" t="n">
        <v>8190</v>
      </c>
      <c r="N36" t="n">
        <v>6074</v>
      </c>
      <c r="O36" t="n">
        <v>47203</v>
      </c>
      <c r="P36" t="n">
        <v>8092</v>
      </c>
      <c r="Q36" t="n">
        <v>4221</v>
      </c>
    </row>
    <row r="37">
      <c r="A37" s="134" t="n">
        <v>34669</v>
      </c>
      <c r="B37" t="n">
        <v>138876</v>
      </c>
      <c r="C37" t="n">
        <v>200702</v>
      </c>
      <c r="D37" t="n">
        <v>13981</v>
      </c>
      <c r="E37" t="n">
        <v>10952</v>
      </c>
      <c r="F37" t="n">
        <v>32294</v>
      </c>
      <c r="G37" t="n">
        <v>5834</v>
      </c>
      <c r="H37" t="n">
        <v>5254</v>
      </c>
      <c r="I37" t="n">
        <v>19178</v>
      </c>
      <c r="J37" t="n">
        <v>153761</v>
      </c>
      <c r="K37" t="n">
        <v>14885</v>
      </c>
      <c r="L37" t="n">
        <v>24583</v>
      </c>
      <c r="M37" t="n">
        <v>8287</v>
      </c>
      <c r="N37" t="n">
        <v>6021</v>
      </c>
      <c r="O37" t="n">
        <v>46941</v>
      </c>
      <c r="P37" t="n">
        <v>8237</v>
      </c>
      <c r="Q37" t="n">
        <v>4255</v>
      </c>
    </row>
    <row r="38">
      <c r="A38" s="134" t="n">
        <v>34700</v>
      </c>
      <c r="B38" t="n">
        <v>139434</v>
      </c>
      <c r="C38" t="n">
        <v>201573</v>
      </c>
      <c r="D38" t="n">
        <v>13738</v>
      </c>
      <c r="E38" t="n">
        <v>10939</v>
      </c>
      <c r="F38" t="n">
        <v>32625</v>
      </c>
      <c r="G38" t="n">
        <v>5892</v>
      </c>
      <c r="H38" t="n">
        <v>5265</v>
      </c>
      <c r="I38" t="n">
        <v>19160</v>
      </c>
      <c r="J38" t="n">
        <v>154349</v>
      </c>
      <c r="K38" t="n">
        <v>14915</v>
      </c>
      <c r="L38" t="n">
        <v>24936</v>
      </c>
      <c r="M38" t="n">
        <v>8306</v>
      </c>
      <c r="N38" t="n">
        <v>5955</v>
      </c>
      <c r="O38" t="n">
        <v>47224</v>
      </c>
      <c r="P38" t="n">
        <v>8182</v>
      </c>
      <c r="Q38" t="n">
        <v>4436</v>
      </c>
    </row>
    <row r="39">
      <c r="A39" s="134" t="n">
        <v>34731</v>
      </c>
      <c r="B39" t="n">
        <v>137534</v>
      </c>
      <c r="C39" t="n">
        <v>198399</v>
      </c>
      <c r="D39" t="n">
        <v>13613</v>
      </c>
      <c r="E39" t="n">
        <v>10582</v>
      </c>
      <c r="F39" t="n">
        <v>32399</v>
      </c>
      <c r="G39" t="n">
        <v>5827</v>
      </c>
      <c r="H39" t="n">
        <v>5081</v>
      </c>
      <c r="I39" t="n">
        <v>18911</v>
      </c>
      <c r="J39" t="n">
        <v>152497</v>
      </c>
      <c r="K39" t="n">
        <v>14963</v>
      </c>
      <c r="L39" t="n">
        <v>24115</v>
      </c>
      <c r="M39" t="n">
        <v>8304</v>
      </c>
      <c r="N39" t="n">
        <v>6097</v>
      </c>
      <c r="O39" t="n">
        <v>45902</v>
      </c>
      <c r="P39" t="n">
        <v>8307</v>
      </c>
      <c r="Q39" t="n">
        <v>4298</v>
      </c>
    </row>
    <row r="40">
      <c r="A40" s="134" t="n">
        <v>34759</v>
      </c>
      <c r="B40" t="n">
        <v>138645</v>
      </c>
      <c r="C40" t="n">
        <v>200247</v>
      </c>
      <c r="D40" t="n">
        <v>13587</v>
      </c>
      <c r="E40" t="n">
        <v>10850</v>
      </c>
      <c r="F40" t="n">
        <v>32415</v>
      </c>
      <c r="G40" t="n">
        <v>5849</v>
      </c>
      <c r="H40" t="n">
        <v>5130</v>
      </c>
      <c r="I40" t="n">
        <v>19234</v>
      </c>
      <c r="J40" t="n">
        <v>153566</v>
      </c>
      <c r="K40" t="n">
        <v>14921</v>
      </c>
      <c r="L40" t="n">
        <v>24579</v>
      </c>
      <c r="M40" t="n">
        <v>8304</v>
      </c>
      <c r="N40" t="n">
        <v>6134</v>
      </c>
      <c r="O40" t="n">
        <v>46681</v>
      </c>
      <c r="P40" t="n">
        <v>8216</v>
      </c>
      <c r="Q40" t="n">
        <v>4347</v>
      </c>
    </row>
    <row r="41">
      <c r="A41" s="134" t="n">
        <v>34790</v>
      </c>
      <c r="B41" t="n">
        <v>138955</v>
      </c>
      <c r="C41" t="n">
        <v>201032</v>
      </c>
      <c r="D41" t="n">
        <v>13415</v>
      </c>
      <c r="E41" t="n">
        <v>10796</v>
      </c>
      <c r="F41" t="n">
        <v>32312</v>
      </c>
      <c r="G41" t="n">
        <v>5733</v>
      </c>
      <c r="H41" t="n">
        <v>5181</v>
      </c>
      <c r="I41" t="n">
        <v>19346</v>
      </c>
      <c r="J41" t="n">
        <v>153976</v>
      </c>
      <c r="K41" t="n">
        <v>15021</v>
      </c>
      <c r="L41" t="n">
        <v>24747</v>
      </c>
      <c r="M41" t="n">
        <v>8450</v>
      </c>
      <c r="N41" t="n">
        <v>6265</v>
      </c>
      <c r="O41" t="n">
        <v>47056</v>
      </c>
      <c r="P41" t="n">
        <v>8365</v>
      </c>
      <c r="Q41" t="n">
        <v>4345</v>
      </c>
    </row>
    <row r="42">
      <c r="A42" s="134" t="n">
        <v>34820</v>
      </c>
      <c r="B42" t="n">
        <v>140053</v>
      </c>
      <c r="C42" t="n">
        <v>202986</v>
      </c>
      <c r="D42" t="n">
        <v>13370</v>
      </c>
      <c r="E42" t="n">
        <v>10976</v>
      </c>
      <c r="F42" t="n">
        <v>32540</v>
      </c>
      <c r="G42" t="n">
        <v>5956</v>
      </c>
      <c r="H42" t="n">
        <v>5216</v>
      </c>
      <c r="I42" t="n">
        <v>19450</v>
      </c>
      <c r="J42" t="n">
        <v>155268</v>
      </c>
      <c r="K42" t="n">
        <v>15215</v>
      </c>
      <c r="L42" t="n">
        <v>24851</v>
      </c>
      <c r="M42" t="n">
        <v>8424</v>
      </c>
      <c r="N42" t="n">
        <v>6372</v>
      </c>
      <c r="O42" t="n">
        <v>47718</v>
      </c>
      <c r="P42" t="n">
        <v>8518</v>
      </c>
      <c r="Q42" t="n">
        <v>4380</v>
      </c>
    </row>
    <row r="43">
      <c r="A43" s="134" t="n">
        <v>34851</v>
      </c>
      <c r="B43" t="n">
        <v>140515</v>
      </c>
      <c r="C43" t="n">
        <v>205500</v>
      </c>
      <c r="D43" t="n">
        <v>13548</v>
      </c>
      <c r="E43" t="n">
        <v>10948</v>
      </c>
      <c r="F43" t="n">
        <v>32597</v>
      </c>
      <c r="G43" t="n">
        <v>6000</v>
      </c>
      <c r="H43" t="n">
        <v>5217</v>
      </c>
      <c r="I43" t="n">
        <v>19419</v>
      </c>
      <c r="J43" t="n">
        <v>155848</v>
      </c>
      <c r="K43" t="n">
        <v>15333</v>
      </c>
      <c r="L43" t="n">
        <v>25166</v>
      </c>
      <c r="M43" t="n">
        <v>8482</v>
      </c>
      <c r="N43" t="n">
        <v>6288</v>
      </c>
      <c r="O43" t="n">
        <v>49652</v>
      </c>
      <c r="P43" t="n">
        <v>8429</v>
      </c>
      <c r="Q43" t="n">
        <v>4421</v>
      </c>
    </row>
    <row r="44">
      <c r="A44" s="134" t="n">
        <v>34881</v>
      </c>
      <c r="B44" t="n">
        <v>140839</v>
      </c>
      <c r="C44" t="n">
        <v>204920</v>
      </c>
      <c r="D44" t="n">
        <v>13645</v>
      </c>
      <c r="E44" t="n">
        <v>10824</v>
      </c>
      <c r="F44" t="n">
        <v>32466</v>
      </c>
      <c r="G44" t="n">
        <v>5965</v>
      </c>
      <c r="H44" t="n">
        <v>5318</v>
      </c>
      <c r="I44" t="n">
        <v>19489</v>
      </c>
      <c r="J44" t="n">
        <v>156088</v>
      </c>
      <c r="K44" t="n">
        <v>15249</v>
      </c>
      <c r="L44" t="n">
        <v>25375</v>
      </c>
      <c r="M44" t="n">
        <v>8431</v>
      </c>
      <c r="N44" t="n">
        <v>6398</v>
      </c>
      <c r="O44" t="n">
        <v>48832</v>
      </c>
      <c r="P44" t="n">
        <v>8499</v>
      </c>
      <c r="Q44" t="n">
        <v>4429</v>
      </c>
    </row>
    <row r="45">
      <c r="A45" s="134" t="n">
        <v>34912</v>
      </c>
      <c r="B45" t="n">
        <v>141546</v>
      </c>
      <c r="C45" t="n">
        <v>206521</v>
      </c>
      <c r="D45" t="n">
        <v>13683</v>
      </c>
      <c r="E45" t="n">
        <v>10813</v>
      </c>
      <c r="F45" t="n">
        <v>32547</v>
      </c>
      <c r="G45" t="n">
        <v>6159</v>
      </c>
      <c r="H45" t="n">
        <v>5304</v>
      </c>
      <c r="I45" t="n">
        <v>19715</v>
      </c>
      <c r="J45" t="n">
        <v>156773</v>
      </c>
      <c r="K45" t="n">
        <v>15227</v>
      </c>
      <c r="L45" t="n">
        <v>25174</v>
      </c>
      <c r="M45" t="n">
        <v>8488</v>
      </c>
      <c r="N45" t="n">
        <v>6502</v>
      </c>
      <c r="O45" t="n">
        <v>49748</v>
      </c>
      <c r="P45" t="n">
        <v>8699</v>
      </c>
      <c r="Q45" t="n">
        <v>4462</v>
      </c>
    </row>
    <row r="46">
      <c r="A46" s="134" t="n">
        <v>34943</v>
      </c>
      <c r="B46" t="n">
        <v>142624</v>
      </c>
      <c r="C46" t="n">
        <v>207006</v>
      </c>
      <c r="D46" t="n">
        <v>13837</v>
      </c>
      <c r="E46" t="n">
        <v>11198</v>
      </c>
      <c r="F46" t="n">
        <v>32625</v>
      </c>
      <c r="G46" t="n">
        <v>6141</v>
      </c>
      <c r="H46" t="n">
        <v>5407</v>
      </c>
      <c r="I46" t="n">
        <v>19640</v>
      </c>
      <c r="J46" t="n">
        <v>157818</v>
      </c>
      <c r="K46" t="n">
        <v>15194</v>
      </c>
      <c r="L46" t="n">
        <v>25469</v>
      </c>
      <c r="M46" t="n">
        <v>8611</v>
      </c>
      <c r="N46" t="n">
        <v>6413</v>
      </c>
      <c r="O46" t="n">
        <v>49188</v>
      </c>
      <c r="P46" t="n">
        <v>8842</v>
      </c>
      <c r="Q46" t="n">
        <v>4441</v>
      </c>
    </row>
    <row r="47">
      <c r="A47" s="134" t="n">
        <v>34973</v>
      </c>
      <c r="B47" t="n">
        <v>141898</v>
      </c>
      <c r="C47" t="n">
        <v>206176</v>
      </c>
      <c r="D47" t="n">
        <v>13932</v>
      </c>
      <c r="E47" t="n">
        <v>10882</v>
      </c>
      <c r="F47" t="n">
        <v>32578</v>
      </c>
      <c r="G47" t="n">
        <v>6212</v>
      </c>
      <c r="H47" t="n">
        <v>5429</v>
      </c>
      <c r="I47" t="n">
        <v>19611</v>
      </c>
      <c r="J47" t="n">
        <v>156905</v>
      </c>
      <c r="K47" t="n">
        <v>15007</v>
      </c>
      <c r="L47" t="n">
        <v>25135</v>
      </c>
      <c r="M47" t="n">
        <v>8584</v>
      </c>
      <c r="N47" t="n">
        <v>6419</v>
      </c>
      <c r="O47" t="n">
        <v>49271</v>
      </c>
      <c r="P47" t="n">
        <v>8702</v>
      </c>
      <c r="Q47" t="n">
        <v>4414</v>
      </c>
    </row>
    <row r="48">
      <c r="A48" s="134" t="n">
        <v>35004</v>
      </c>
      <c r="B48" t="n">
        <v>143820</v>
      </c>
      <c r="C48" t="n">
        <v>208664</v>
      </c>
      <c r="D48" t="n">
        <v>14092</v>
      </c>
      <c r="E48" t="n">
        <v>11269</v>
      </c>
      <c r="F48" t="n">
        <v>32744</v>
      </c>
      <c r="G48" t="n">
        <v>6263</v>
      </c>
      <c r="H48" t="n">
        <v>5516</v>
      </c>
      <c r="I48" t="n">
        <v>19609</v>
      </c>
      <c r="J48" t="n">
        <v>158801</v>
      </c>
      <c r="K48" t="n">
        <v>14981</v>
      </c>
      <c r="L48" t="n">
        <v>25414</v>
      </c>
      <c r="M48" t="n">
        <v>8691</v>
      </c>
      <c r="N48" t="n">
        <v>6520</v>
      </c>
      <c r="O48" t="n">
        <v>49863</v>
      </c>
      <c r="P48" t="n">
        <v>9170</v>
      </c>
      <c r="Q48" t="n">
        <v>4532</v>
      </c>
    </row>
    <row r="49">
      <c r="A49" s="134" t="n">
        <v>35034</v>
      </c>
      <c r="B49" t="n">
        <v>144990</v>
      </c>
      <c r="C49" t="n">
        <v>210399</v>
      </c>
      <c r="D49" t="n">
        <v>14683</v>
      </c>
      <c r="E49" t="n">
        <v>11124</v>
      </c>
      <c r="F49" t="n">
        <v>32903</v>
      </c>
      <c r="G49" t="n">
        <v>6281</v>
      </c>
      <c r="H49" t="n">
        <v>5445</v>
      </c>
      <c r="I49" t="n">
        <v>19625</v>
      </c>
      <c r="J49" t="n">
        <v>160236</v>
      </c>
      <c r="K49" t="n">
        <v>15246</v>
      </c>
      <c r="L49" t="n">
        <v>25554</v>
      </c>
      <c r="M49" t="n">
        <v>8761</v>
      </c>
      <c r="N49" t="n">
        <v>6566</v>
      </c>
      <c r="O49" t="n">
        <v>50163</v>
      </c>
      <c r="P49" t="n">
        <v>9543</v>
      </c>
      <c r="Q49" t="n">
        <v>4505</v>
      </c>
    </row>
    <row r="50">
      <c r="A50" s="134" t="n">
        <v>35065</v>
      </c>
      <c r="B50" t="n">
        <v>142871</v>
      </c>
      <c r="C50" t="n">
        <v>208699</v>
      </c>
      <c r="D50" t="n">
        <v>14023</v>
      </c>
      <c r="E50" t="n">
        <v>11105</v>
      </c>
      <c r="F50" t="n">
        <v>33085</v>
      </c>
      <c r="G50" t="n">
        <v>6191</v>
      </c>
      <c r="H50" t="n">
        <v>5302</v>
      </c>
      <c r="I50" t="n">
        <v>19564</v>
      </c>
      <c r="J50" t="n">
        <v>158350</v>
      </c>
      <c r="K50" t="n">
        <v>15479</v>
      </c>
      <c r="L50" t="n">
        <v>25215</v>
      </c>
      <c r="M50" t="n">
        <v>8546</v>
      </c>
      <c r="N50" t="n">
        <v>6202</v>
      </c>
      <c r="O50" t="n">
        <v>50349</v>
      </c>
      <c r="P50" t="n">
        <v>9038</v>
      </c>
      <c r="Q50" t="n">
        <v>4600</v>
      </c>
    </row>
    <row r="51">
      <c r="A51" s="134" t="n">
        <v>35096</v>
      </c>
      <c r="B51" t="n">
        <v>144263</v>
      </c>
      <c r="C51" t="n">
        <v>212008</v>
      </c>
      <c r="D51" t="n">
        <v>14036</v>
      </c>
      <c r="E51" t="n">
        <v>11341</v>
      </c>
      <c r="F51" t="n">
        <v>32928</v>
      </c>
      <c r="G51" t="n">
        <v>6248</v>
      </c>
      <c r="H51" t="n">
        <v>5346</v>
      </c>
      <c r="I51" t="n">
        <v>19742</v>
      </c>
      <c r="J51" t="n">
        <v>159720</v>
      </c>
      <c r="K51" t="n">
        <v>15457</v>
      </c>
      <c r="L51" t="n">
        <v>25616</v>
      </c>
      <c r="M51" t="n">
        <v>8782</v>
      </c>
      <c r="N51" t="n">
        <v>6339</v>
      </c>
      <c r="O51" t="n">
        <v>52288</v>
      </c>
      <c r="P51" t="n">
        <v>9400</v>
      </c>
      <c r="Q51" t="n">
        <v>4485</v>
      </c>
    </row>
    <row r="52">
      <c r="A52" s="134" t="n">
        <v>35125</v>
      </c>
      <c r="B52" t="n">
        <v>145592</v>
      </c>
      <c r="C52" t="n">
        <v>213891</v>
      </c>
      <c r="D52" t="n">
        <v>14153</v>
      </c>
      <c r="E52" t="n">
        <v>11376</v>
      </c>
      <c r="F52" t="n">
        <v>33076</v>
      </c>
      <c r="G52" t="n">
        <v>6365</v>
      </c>
      <c r="H52" t="n">
        <v>5566</v>
      </c>
      <c r="I52" t="n">
        <v>19862</v>
      </c>
      <c r="J52" t="n">
        <v>161543</v>
      </c>
      <c r="K52" t="n">
        <v>15951</v>
      </c>
      <c r="L52" t="n">
        <v>25576</v>
      </c>
      <c r="M52" t="n">
        <v>8991</v>
      </c>
      <c r="N52" t="n">
        <v>6473</v>
      </c>
      <c r="O52" t="n">
        <v>52348</v>
      </c>
      <c r="P52" t="n">
        <v>9606</v>
      </c>
      <c r="Q52" t="n">
        <v>4548</v>
      </c>
    </row>
    <row r="53">
      <c r="A53" s="134" t="n">
        <v>35156</v>
      </c>
      <c r="B53" t="n">
        <v>146893</v>
      </c>
      <c r="C53" t="n">
        <v>214676</v>
      </c>
      <c r="D53" t="n">
        <v>14340</v>
      </c>
      <c r="E53" t="n">
        <v>11422</v>
      </c>
      <c r="F53" t="n">
        <v>33174</v>
      </c>
      <c r="G53" t="n">
        <v>6373</v>
      </c>
      <c r="H53" t="n">
        <v>5595</v>
      </c>
      <c r="I53" t="n">
        <v>19932</v>
      </c>
      <c r="J53" t="n">
        <v>163145</v>
      </c>
      <c r="K53" t="n">
        <v>16252</v>
      </c>
      <c r="L53" t="n">
        <v>26103</v>
      </c>
      <c r="M53" t="n">
        <v>8922</v>
      </c>
      <c r="N53" t="n">
        <v>6772</v>
      </c>
      <c r="O53" t="n">
        <v>51531</v>
      </c>
      <c r="P53" t="n">
        <v>9632</v>
      </c>
      <c r="Q53" t="n">
        <v>4628</v>
      </c>
    </row>
    <row r="54">
      <c r="A54" s="134" t="n">
        <v>35186</v>
      </c>
      <c r="B54" t="n">
        <v>147611</v>
      </c>
      <c r="C54" t="n">
        <v>216299</v>
      </c>
      <c r="D54" t="n">
        <v>14450</v>
      </c>
      <c r="E54" t="n">
        <v>11504</v>
      </c>
      <c r="F54" t="n">
        <v>33178</v>
      </c>
      <c r="G54" t="n">
        <v>6428</v>
      </c>
      <c r="H54" t="n">
        <v>5586</v>
      </c>
      <c r="I54" t="n">
        <v>20094</v>
      </c>
      <c r="J54" t="n">
        <v>164099</v>
      </c>
      <c r="K54" t="n">
        <v>16488</v>
      </c>
      <c r="L54" t="n">
        <v>26216</v>
      </c>
      <c r="M54" t="n">
        <v>9076</v>
      </c>
      <c r="N54" t="n">
        <v>7128</v>
      </c>
      <c r="O54" t="n">
        <v>52200</v>
      </c>
      <c r="P54" t="n">
        <v>9519</v>
      </c>
      <c r="Q54" t="n">
        <v>4432</v>
      </c>
    </row>
    <row r="55">
      <c r="A55" s="134" t="n">
        <v>35217</v>
      </c>
      <c r="B55" t="n">
        <v>147918</v>
      </c>
      <c r="C55" t="n">
        <v>216068</v>
      </c>
      <c r="D55" t="n">
        <v>14902</v>
      </c>
      <c r="E55" t="n">
        <v>11365</v>
      </c>
      <c r="F55" t="n">
        <v>33281</v>
      </c>
      <c r="G55" t="n">
        <v>6334</v>
      </c>
      <c r="H55" t="n">
        <v>5678</v>
      </c>
      <c r="I55" t="n">
        <v>19932</v>
      </c>
      <c r="J55" t="n">
        <v>164270</v>
      </c>
      <c r="K55" t="n">
        <v>16352</v>
      </c>
      <c r="L55" t="n">
        <v>26085</v>
      </c>
      <c r="M55" t="n">
        <v>9072</v>
      </c>
      <c r="N55" t="n">
        <v>7050</v>
      </c>
      <c r="O55" t="n">
        <v>51798</v>
      </c>
      <c r="P55" t="n">
        <v>9610</v>
      </c>
      <c r="Q55" t="n">
        <v>4609</v>
      </c>
    </row>
    <row r="56">
      <c r="A56" s="134" t="n">
        <v>35247</v>
      </c>
      <c r="B56" t="n">
        <v>148253</v>
      </c>
      <c r="C56" t="n">
        <v>216332</v>
      </c>
      <c r="D56" t="n">
        <v>14826</v>
      </c>
      <c r="E56" t="n">
        <v>11316</v>
      </c>
      <c r="F56" t="n">
        <v>33470</v>
      </c>
      <c r="G56" t="n">
        <v>6234</v>
      </c>
      <c r="H56" t="n">
        <v>5696</v>
      </c>
      <c r="I56" t="n">
        <v>20145</v>
      </c>
      <c r="J56" t="n">
        <v>164328</v>
      </c>
      <c r="K56" t="n">
        <v>16075</v>
      </c>
      <c r="L56" t="n">
        <v>26209</v>
      </c>
      <c r="M56" t="n">
        <v>9134</v>
      </c>
      <c r="N56" t="n">
        <v>7018</v>
      </c>
      <c r="O56" t="n">
        <v>52004</v>
      </c>
      <c r="P56" t="n">
        <v>9550</v>
      </c>
      <c r="Q56" t="n">
        <v>4655</v>
      </c>
    </row>
    <row r="57">
      <c r="A57" s="134" t="n">
        <v>35278</v>
      </c>
      <c r="B57" t="n">
        <v>148820</v>
      </c>
      <c r="C57" t="n">
        <v>216358</v>
      </c>
      <c r="D57" t="n">
        <v>14981</v>
      </c>
      <c r="E57" t="n">
        <v>11360</v>
      </c>
      <c r="F57" t="n">
        <v>33542</v>
      </c>
      <c r="G57" t="n">
        <v>6340</v>
      </c>
      <c r="H57" t="n">
        <v>5655</v>
      </c>
      <c r="I57" t="n">
        <v>20140</v>
      </c>
      <c r="J57" t="n">
        <v>164886</v>
      </c>
      <c r="K57" t="n">
        <v>16066</v>
      </c>
      <c r="L57" t="n">
        <v>26441</v>
      </c>
      <c r="M57" t="n">
        <v>9237</v>
      </c>
      <c r="N57" t="n">
        <v>6918</v>
      </c>
      <c r="O57" t="n">
        <v>51472</v>
      </c>
      <c r="P57" t="n">
        <v>9468</v>
      </c>
      <c r="Q57" t="n">
        <v>4738</v>
      </c>
    </row>
    <row r="58">
      <c r="A58" s="134" t="n">
        <v>35309</v>
      </c>
      <c r="B58" t="n">
        <v>149984</v>
      </c>
      <c r="C58" t="n">
        <v>219256</v>
      </c>
      <c r="D58" t="n">
        <v>14989</v>
      </c>
      <c r="E58" t="n">
        <v>11534</v>
      </c>
      <c r="F58" t="n">
        <v>33494</v>
      </c>
      <c r="G58" t="n">
        <v>6438</v>
      </c>
      <c r="H58" t="n">
        <v>5762</v>
      </c>
      <c r="I58" t="n">
        <v>20397</v>
      </c>
      <c r="J58" t="n">
        <v>166072</v>
      </c>
      <c r="K58" t="n">
        <v>16088</v>
      </c>
      <c r="L58" t="n">
        <v>26590</v>
      </c>
      <c r="M58" t="n">
        <v>9190</v>
      </c>
      <c r="N58" t="n">
        <v>7011</v>
      </c>
      <c r="O58" t="n">
        <v>53184</v>
      </c>
      <c r="P58" t="n">
        <v>9889</v>
      </c>
      <c r="Q58" t="n">
        <v>4690</v>
      </c>
    </row>
    <row r="59">
      <c r="A59" s="134" t="n">
        <v>35339</v>
      </c>
      <c r="B59" t="n">
        <v>151250</v>
      </c>
      <c r="C59" t="n">
        <v>221060</v>
      </c>
      <c r="D59" t="n">
        <v>15040</v>
      </c>
      <c r="E59" t="n">
        <v>11577</v>
      </c>
      <c r="F59" t="n">
        <v>33704</v>
      </c>
      <c r="G59" t="n">
        <v>6428</v>
      </c>
      <c r="H59" t="n">
        <v>5779</v>
      </c>
      <c r="I59" t="n">
        <v>20551</v>
      </c>
      <c r="J59" t="n">
        <v>167610</v>
      </c>
      <c r="K59" t="n">
        <v>16360</v>
      </c>
      <c r="L59" t="n">
        <v>26904</v>
      </c>
      <c r="M59" t="n">
        <v>9363</v>
      </c>
      <c r="N59" t="n">
        <v>7110</v>
      </c>
      <c r="O59" t="n">
        <v>53450</v>
      </c>
      <c r="P59" t="n">
        <v>10025</v>
      </c>
      <c r="Q59" t="n">
        <v>4769</v>
      </c>
    </row>
    <row r="60">
      <c r="A60" s="134" t="n">
        <v>35370</v>
      </c>
      <c r="B60" t="n">
        <v>151651</v>
      </c>
      <c r="C60" t="n">
        <v>220963</v>
      </c>
      <c r="D60" t="n">
        <v>15264</v>
      </c>
      <c r="E60" t="n">
        <v>11318</v>
      </c>
      <c r="F60" t="n">
        <v>33734</v>
      </c>
      <c r="G60" t="n">
        <v>6356</v>
      </c>
      <c r="H60" t="n">
        <v>5768</v>
      </c>
      <c r="I60" t="n">
        <v>20789</v>
      </c>
      <c r="J60" t="n">
        <v>168253</v>
      </c>
      <c r="K60" t="n">
        <v>16602</v>
      </c>
      <c r="L60" t="n">
        <v>26772</v>
      </c>
      <c r="M60" t="n">
        <v>9414</v>
      </c>
      <c r="N60" t="n">
        <v>7154</v>
      </c>
      <c r="O60" t="n">
        <v>52710</v>
      </c>
      <c r="P60" t="n">
        <v>10390</v>
      </c>
      <c r="Q60" t="n">
        <v>4692</v>
      </c>
    </row>
    <row r="61">
      <c r="A61" s="134" t="n">
        <v>35400</v>
      </c>
      <c r="B61" t="n">
        <v>152397</v>
      </c>
      <c r="C61" t="n">
        <v>221991</v>
      </c>
      <c r="D61" t="n">
        <v>14980</v>
      </c>
      <c r="E61" t="n">
        <v>11435</v>
      </c>
      <c r="F61" t="n">
        <v>33819</v>
      </c>
      <c r="G61" t="n">
        <v>6305</v>
      </c>
      <c r="H61" t="n">
        <v>5746</v>
      </c>
      <c r="I61" t="n">
        <v>20707</v>
      </c>
      <c r="J61" t="n">
        <v>169156</v>
      </c>
      <c r="K61" t="n">
        <v>16759</v>
      </c>
      <c r="L61" t="n">
        <v>27051</v>
      </c>
      <c r="M61" t="n">
        <v>9505</v>
      </c>
      <c r="N61" t="n">
        <v>7144</v>
      </c>
      <c r="O61" t="n">
        <v>52835</v>
      </c>
      <c r="P61" t="n">
        <v>10765</v>
      </c>
      <c r="Q61" t="n">
        <v>4940</v>
      </c>
    </row>
    <row r="62">
      <c r="A62" s="134" t="n">
        <v>35431</v>
      </c>
      <c r="B62" t="n">
        <v>152533</v>
      </c>
      <c r="C62" t="n">
        <v>223481</v>
      </c>
      <c r="D62" t="n">
        <v>15197</v>
      </c>
      <c r="E62" t="n">
        <v>11513</v>
      </c>
      <c r="F62" t="n">
        <v>34049</v>
      </c>
      <c r="G62" t="n">
        <v>6128</v>
      </c>
      <c r="H62" t="n">
        <v>5823</v>
      </c>
      <c r="I62" t="n">
        <v>21110</v>
      </c>
      <c r="J62" t="n">
        <v>169471</v>
      </c>
      <c r="K62" t="n">
        <v>16938</v>
      </c>
      <c r="L62" t="n">
        <v>27216</v>
      </c>
      <c r="M62" t="n">
        <v>9448</v>
      </c>
      <c r="N62" t="n">
        <v>7295</v>
      </c>
      <c r="O62" t="n">
        <v>54010</v>
      </c>
      <c r="P62" t="n">
        <v>10006</v>
      </c>
      <c r="Q62" t="n">
        <v>4748</v>
      </c>
    </row>
    <row r="63">
      <c r="A63" s="134" t="n">
        <v>35462</v>
      </c>
      <c r="B63" t="n">
        <v>153837</v>
      </c>
      <c r="C63" t="n">
        <v>225422</v>
      </c>
      <c r="D63" t="n">
        <v>15561</v>
      </c>
      <c r="E63" t="n">
        <v>11468</v>
      </c>
      <c r="F63" t="n">
        <v>33989</v>
      </c>
      <c r="G63" t="n">
        <v>6370</v>
      </c>
      <c r="H63" t="n">
        <v>5847</v>
      </c>
      <c r="I63" t="n">
        <v>21136</v>
      </c>
      <c r="J63" t="n">
        <v>170821</v>
      </c>
      <c r="K63" t="n">
        <v>16984</v>
      </c>
      <c r="L63" t="n">
        <v>27262</v>
      </c>
      <c r="M63" t="n">
        <v>9649</v>
      </c>
      <c r="N63" t="n">
        <v>7539</v>
      </c>
      <c r="O63" t="n">
        <v>54601</v>
      </c>
      <c r="P63" t="n">
        <v>10350</v>
      </c>
      <c r="Q63" t="n">
        <v>4666</v>
      </c>
    </row>
    <row r="64">
      <c r="A64" s="134" t="n">
        <v>35490</v>
      </c>
      <c r="B64" t="n">
        <v>154959</v>
      </c>
      <c r="C64" t="n">
        <v>226161</v>
      </c>
      <c r="D64" t="n">
        <v>15862</v>
      </c>
      <c r="E64" t="n">
        <v>11623</v>
      </c>
      <c r="F64" t="n">
        <v>34156</v>
      </c>
      <c r="G64" t="n">
        <v>6360</v>
      </c>
      <c r="H64" t="n">
        <v>5916</v>
      </c>
      <c r="I64" t="n">
        <v>21171</v>
      </c>
      <c r="J64" t="n">
        <v>171928</v>
      </c>
      <c r="K64" t="n">
        <v>16969</v>
      </c>
      <c r="L64" t="n">
        <v>27304</v>
      </c>
      <c r="M64" t="n">
        <v>9922</v>
      </c>
      <c r="N64" t="n">
        <v>7459</v>
      </c>
      <c r="O64" t="n">
        <v>54233</v>
      </c>
      <c r="P64" t="n">
        <v>10488</v>
      </c>
      <c r="Q64" t="n">
        <v>4698</v>
      </c>
    </row>
    <row r="65">
      <c r="A65" s="134" t="n">
        <v>35521</v>
      </c>
      <c r="B65" t="n">
        <v>154141</v>
      </c>
      <c r="C65" t="n">
        <v>224615</v>
      </c>
      <c r="D65" t="n">
        <v>15709</v>
      </c>
      <c r="E65" t="n">
        <v>11195</v>
      </c>
      <c r="F65" t="n">
        <v>34056</v>
      </c>
      <c r="G65" t="n">
        <v>6456</v>
      </c>
      <c r="H65" t="n">
        <v>5968</v>
      </c>
      <c r="I65" t="n">
        <v>21216</v>
      </c>
      <c r="J65" t="n">
        <v>170754</v>
      </c>
      <c r="K65" t="n">
        <v>16613</v>
      </c>
      <c r="L65" t="n">
        <v>27179</v>
      </c>
      <c r="M65" t="n">
        <v>9578</v>
      </c>
      <c r="N65" t="n">
        <v>7417</v>
      </c>
      <c r="O65" t="n">
        <v>53861</v>
      </c>
      <c r="P65" t="n">
        <v>10642</v>
      </c>
      <c r="Q65" t="n">
        <v>4725</v>
      </c>
    </row>
    <row r="66">
      <c r="A66" s="134" t="n">
        <v>35551</v>
      </c>
      <c r="B66" t="n">
        <v>154371</v>
      </c>
      <c r="C66" t="n">
        <v>222929</v>
      </c>
      <c r="D66" t="n">
        <v>15805</v>
      </c>
      <c r="E66" t="n">
        <v>11413</v>
      </c>
      <c r="F66" t="n">
        <v>33978</v>
      </c>
      <c r="G66" t="n">
        <v>6400</v>
      </c>
      <c r="H66" t="n">
        <v>6004</v>
      </c>
      <c r="I66" t="n">
        <v>21230</v>
      </c>
      <c r="J66" t="n">
        <v>170738</v>
      </c>
      <c r="K66" t="n">
        <v>16367</v>
      </c>
      <c r="L66" t="n">
        <v>27328</v>
      </c>
      <c r="M66" t="n">
        <v>9722</v>
      </c>
      <c r="N66" t="n">
        <v>7181</v>
      </c>
      <c r="O66" t="n">
        <v>52191</v>
      </c>
      <c r="P66" t="n">
        <v>10547</v>
      </c>
      <c r="Q66" t="n">
        <v>4763</v>
      </c>
    </row>
    <row r="67">
      <c r="A67" s="134" t="n">
        <v>35582</v>
      </c>
      <c r="B67" t="n">
        <v>155613</v>
      </c>
      <c r="C67" t="n">
        <v>226057</v>
      </c>
      <c r="D67" t="n">
        <v>15918</v>
      </c>
      <c r="E67" t="n">
        <v>11643</v>
      </c>
      <c r="F67" t="n">
        <v>33892</v>
      </c>
      <c r="G67" t="n">
        <v>6440</v>
      </c>
      <c r="H67" t="n">
        <v>6034</v>
      </c>
      <c r="I67" t="n">
        <v>21382</v>
      </c>
      <c r="J67" t="n">
        <v>171991</v>
      </c>
      <c r="K67" t="n">
        <v>16378</v>
      </c>
      <c r="L67" t="n">
        <v>27433</v>
      </c>
      <c r="M67" t="n">
        <v>9916</v>
      </c>
      <c r="N67" t="n">
        <v>7474</v>
      </c>
      <c r="O67" t="n">
        <v>54066</v>
      </c>
      <c r="P67" t="n">
        <v>10643</v>
      </c>
      <c r="Q67" t="n">
        <v>4838</v>
      </c>
    </row>
    <row r="68">
      <c r="A68" s="134" t="n">
        <v>35612</v>
      </c>
      <c r="B68" t="n">
        <v>157052</v>
      </c>
      <c r="C68" t="n">
        <v>228703</v>
      </c>
      <c r="D68" t="n">
        <v>15973</v>
      </c>
      <c r="E68" t="n">
        <v>11735</v>
      </c>
      <c r="F68" t="n">
        <v>34106</v>
      </c>
      <c r="G68" t="n">
        <v>6525</v>
      </c>
      <c r="H68" t="n">
        <v>6039</v>
      </c>
      <c r="I68" t="n">
        <v>21689</v>
      </c>
      <c r="J68" t="n">
        <v>173448</v>
      </c>
      <c r="K68" t="n">
        <v>16396</v>
      </c>
      <c r="L68" t="n">
        <v>27949</v>
      </c>
      <c r="M68" t="n">
        <v>9950</v>
      </c>
      <c r="N68" t="n">
        <v>7464</v>
      </c>
      <c r="O68" t="n">
        <v>55255</v>
      </c>
      <c r="P68" t="n">
        <v>10836</v>
      </c>
      <c r="Q68" t="n">
        <v>4786</v>
      </c>
    </row>
    <row r="69">
      <c r="A69" s="134" t="n">
        <v>35643</v>
      </c>
      <c r="B69" t="n">
        <v>157139</v>
      </c>
      <c r="C69" t="n">
        <v>229309</v>
      </c>
      <c r="D69" t="n">
        <v>16027</v>
      </c>
      <c r="E69" t="n">
        <v>11828</v>
      </c>
      <c r="F69" t="n">
        <v>34256</v>
      </c>
      <c r="G69" t="n">
        <v>6541</v>
      </c>
      <c r="H69" t="n">
        <v>6146</v>
      </c>
      <c r="I69" t="n">
        <v>21674</v>
      </c>
      <c r="J69" t="n">
        <v>173821</v>
      </c>
      <c r="K69" t="n">
        <v>16682</v>
      </c>
      <c r="L69" t="n">
        <v>27939</v>
      </c>
      <c r="M69" t="n">
        <v>9989</v>
      </c>
      <c r="N69" t="n">
        <v>7562</v>
      </c>
      <c r="O69" t="n">
        <v>55488</v>
      </c>
      <c r="P69" t="n">
        <v>10432</v>
      </c>
      <c r="Q69" t="n">
        <v>4745</v>
      </c>
    </row>
    <row r="70">
      <c r="A70" s="134" t="n">
        <v>35674</v>
      </c>
      <c r="B70" t="n">
        <v>158221</v>
      </c>
      <c r="C70" t="n">
        <v>230312</v>
      </c>
      <c r="D70" t="n">
        <v>16283</v>
      </c>
      <c r="E70" t="n">
        <v>11845</v>
      </c>
      <c r="F70" t="n">
        <v>34281</v>
      </c>
      <c r="G70" t="n">
        <v>6559</v>
      </c>
      <c r="H70" t="n">
        <v>6162</v>
      </c>
      <c r="I70" t="n">
        <v>21986</v>
      </c>
      <c r="J70" t="n">
        <v>174978</v>
      </c>
      <c r="K70" t="n">
        <v>16757</v>
      </c>
      <c r="L70" t="n">
        <v>27868</v>
      </c>
      <c r="M70" t="n">
        <v>10077</v>
      </c>
      <c r="N70" t="n">
        <v>7664</v>
      </c>
      <c r="O70" t="n">
        <v>55334</v>
      </c>
      <c r="P70" t="n">
        <v>10669</v>
      </c>
      <c r="Q70" t="n">
        <v>4827</v>
      </c>
    </row>
    <row r="71">
      <c r="A71" s="134" t="n">
        <v>35704</v>
      </c>
      <c r="B71" t="n">
        <v>158269</v>
      </c>
      <c r="C71" t="n">
        <v>229836</v>
      </c>
      <c r="D71" t="n">
        <v>16232</v>
      </c>
      <c r="E71" t="n">
        <v>11881</v>
      </c>
      <c r="F71" t="n">
        <v>34348</v>
      </c>
      <c r="G71" t="n">
        <v>6572</v>
      </c>
      <c r="H71" t="n">
        <v>6154</v>
      </c>
      <c r="I71" t="n">
        <v>21758</v>
      </c>
      <c r="J71" t="n">
        <v>174980</v>
      </c>
      <c r="K71" t="n">
        <v>16711</v>
      </c>
      <c r="L71" t="n">
        <v>28155</v>
      </c>
      <c r="M71" t="n">
        <v>10058</v>
      </c>
      <c r="N71" t="n">
        <v>7704</v>
      </c>
      <c r="O71" t="n">
        <v>54856</v>
      </c>
      <c r="P71" t="n">
        <v>10529</v>
      </c>
      <c r="Q71" t="n">
        <v>4878</v>
      </c>
    </row>
    <row r="72">
      <c r="A72" s="134" t="n">
        <v>35735</v>
      </c>
      <c r="B72" t="n">
        <v>158488</v>
      </c>
      <c r="C72" t="n">
        <v>230440</v>
      </c>
      <c r="D72" t="n">
        <v>16158</v>
      </c>
      <c r="E72" t="n">
        <v>11936</v>
      </c>
      <c r="F72" t="n">
        <v>34230</v>
      </c>
      <c r="G72" t="n">
        <v>6628</v>
      </c>
      <c r="H72" t="n">
        <v>6267</v>
      </c>
      <c r="I72" t="n">
        <v>21504</v>
      </c>
      <c r="J72" t="n">
        <v>175126</v>
      </c>
      <c r="K72" t="n">
        <v>16638</v>
      </c>
      <c r="L72" t="n">
        <v>28151</v>
      </c>
      <c r="M72" t="n">
        <v>10217</v>
      </c>
      <c r="N72" t="n">
        <v>7707</v>
      </c>
      <c r="O72" t="n">
        <v>55314</v>
      </c>
      <c r="P72" t="n">
        <v>10675</v>
      </c>
      <c r="Q72" t="n">
        <v>5015</v>
      </c>
    </row>
    <row r="73">
      <c r="A73" s="134" t="n">
        <v>35765</v>
      </c>
      <c r="B73" t="n">
        <v>158882</v>
      </c>
      <c r="C73" t="n">
        <v>231181</v>
      </c>
      <c r="D73" t="n">
        <v>16356</v>
      </c>
      <c r="E73" t="n">
        <v>12110</v>
      </c>
      <c r="F73" t="n">
        <v>34190</v>
      </c>
      <c r="G73" t="n">
        <v>6659</v>
      </c>
      <c r="H73" t="n">
        <v>6290</v>
      </c>
      <c r="I73" t="n">
        <v>21818</v>
      </c>
      <c r="J73" t="n">
        <v>175418</v>
      </c>
      <c r="K73" t="n">
        <v>16536</v>
      </c>
      <c r="L73" t="n">
        <v>28008</v>
      </c>
      <c r="M73" t="n">
        <v>10201</v>
      </c>
      <c r="N73" t="n">
        <v>7845</v>
      </c>
      <c r="O73" t="n">
        <v>55763</v>
      </c>
      <c r="P73" t="n">
        <v>10490</v>
      </c>
      <c r="Q73" t="n">
        <v>4915</v>
      </c>
    </row>
    <row r="74">
      <c r="A74" s="134" t="n">
        <v>35796</v>
      </c>
      <c r="B74" t="n">
        <v>159868</v>
      </c>
      <c r="C74" t="n">
        <v>231587</v>
      </c>
      <c r="D74" t="n">
        <v>16436</v>
      </c>
      <c r="E74" t="n">
        <v>12154</v>
      </c>
      <c r="F74" t="n">
        <v>34126</v>
      </c>
      <c r="G74" t="n">
        <v>6776</v>
      </c>
      <c r="H74" t="n">
        <v>6377</v>
      </c>
      <c r="I74" t="n">
        <v>21921</v>
      </c>
      <c r="J74" t="n">
        <v>176093</v>
      </c>
      <c r="K74" t="n">
        <v>16225</v>
      </c>
      <c r="L74" t="n">
        <v>28402</v>
      </c>
      <c r="M74" t="n">
        <v>10382</v>
      </c>
      <c r="N74" t="n">
        <v>8070</v>
      </c>
      <c r="O74" t="n">
        <v>55494</v>
      </c>
      <c r="P74" t="n">
        <v>10390</v>
      </c>
      <c r="Q74" t="n">
        <v>4834</v>
      </c>
    </row>
    <row r="75">
      <c r="A75" s="134" t="n">
        <v>35827</v>
      </c>
      <c r="B75" t="n">
        <v>160789</v>
      </c>
      <c r="C75" t="n">
        <v>231684</v>
      </c>
      <c r="D75" t="n">
        <v>16462</v>
      </c>
      <c r="E75" t="n">
        <v>12199</v>
      </c>
      <c r="F75" t="n">
        <v>34102</v>
      </c>
      <c r="G75" t="n">
        <v>6797</v>
      </c>
      <c r="H75" t="n">
        <v>6342</v>
      </c>
      <c r="I75" t="n">
        <v>22132</v>
      </c>
      <c r="J75" t="n">
        <v>176843</v>
      </c>
      <c r="K75" t="n">
        <v>16054</v>
      </c>
      <c r="L75" t="n">
        <v>28748</v>
      </c>
      <c r="M75" t="n">
        <v>10406</v>
      </c>
      <c r="N75" t="n">
        <v>7948</v>
      </c>
      <c r="O75" t="n">
        <v>54841</v>
      </c>
      <c r="P75" t="n">
        <v>10626</v>
      </c>
      <c r="Q75" t="n">
        <v>5027</v>
      </c>
    </row>
    <row r="76">
      <c r="A76" s="134" t="n">
        <v>35855</v>
      </c>
      <c r="B76" t="n">
        <v>161245</v>
      </c>
      <c r="C76" t="n">
        <v>233083</v>
      </c>
      <c r="D76" t="n">
        <v>16511</v>
      </c>
      <c r="E76" t="n">
        <v>12164</v>
      </c>
      <c r="F76" t="n">
        <v>34275</v>
      </c>
      <c r="G76" t="n">
        <v>6788</v>
      </c>
      <c r="H76" t="n">
        <v>6340</v>
      </c>
      <c r="I76" t="n">
        <v>22251</v>
      </c>
      <c r="J76" t="n">
        <v>176948</v>
      </c>
      <c r="K76" t="n">
        <v>15703</v>
      </c>
      <c r="L76" t="n">
        <v>28714</v>
      </c>
      <c r="M76" t="n">
        <v>10393</v>
      </c>
      <c r="N76" t="n">
        <v>7957</v>
      </c>
      <c r="O76" t="n">
        <v>56135</v>
      </c>
      <c r="P76" t="n">
        <v>10844</v>
      </c>
      <c r="Q76" t="n">
        <v>5008</v>
      </c>
    </row>
    <row r="77">
      <c r="A77" s="134" t="n">
        <v>35886</v>
      </c>
      <c r="B77" t="n">
        <v>162724</v>
      </c>
      <c r="C77" t="n">
        <v>235986</v>
      </c>
      <c r="D77" t="n">
        <v>16716</v>
      </c>
      <c r="E77" t="n">
        <v>12459</v>
      </c>
      <c r="F77" t="n">
        <v>34374</v>
      </c>
      <c r="G77" t="n">
        <v>6766</v>
      </c>
      <c r="H77" t="n">
        <v>6369</v>
      </c>
      <c r="I77" t="n">
        <v>22353</v>
      </c>
      <c r="J77" t="n">
        <v>178522</v>
      </c>
      <c r="K77" t="n">
        <v>15798</v>
      </c>
      <c r="L77" t="n">
        <v>29123</v>
      </c>
      <c r="M77" t="n">
        <v>10620</v>
      </c>
      <c r="N77" t="n">
        <v>7916</v>
      </c>
      <c r="O77" t="n">
        <v>57464</v>
      </c>
      <c r="P77" t="n">
        <v>10992</v>
      </c>
      <c r="Q77" t="n">
        <v>5036</v>
      </c>
    </row>
    <row r="78">
      <c r="A78" s="134" t="n">
        <v>35916</v>
      </c>
      <c r="B78" t="n">
        <v>163136</v>
      </c>
      <c r="C78" t="n">
        <v>237075</v>
      </c>
      <c r="D78" t="n">
        <v>16741</v>
      </c>
      <c r="E78" t="n">
        <v>12304</v>
      </c>
      <c r="F78" t="n">
        <v>34534</v>
      </c>
      <c r="G78" t="n">
        <v>6829</v>
      </c>
      <c r="H78" t="n">
        <v>6359</v>
      </c>
      <c r="I78" t="n">
        <v>22436</v>
      </c>
      <c r="J78" t="n">
        <v>179193</v>
      </c>
      <c r="K78" t="n">
        <v>16057</v>
      </c>
      <c r="L78" t="n">
        <v>29076</v>
      </c>
      <c r="M78" t="n">
        <v>10645</v>
      </c>
      <c r="N78" t="n">
        <v>8037</v>
      </c>
      <c r="O78" t="n">
        <v>57882</v>
      </c>
      <c r="P78" t="n">
        <v>11189</v>
      </c>
      <c r="Q78" t="n">
        <v>4986</v>
      </c>
    </row>
    <row r="79">
      <c r="A79" s="134" t="n">
        <v>35947</v>
      </c>
      <c r="B79" t="n">
        <v>163774</v>
      </c>
      <c r="C79" t="n">
        <v>238971</v>
      </c>
      <c r="D79" t="n">
        <v>16662</v>
      </c>
      <c r="E79" t="n">
        <v>12447</v>
      </c>
      <c r="F79" t="n">
        <v>34592</v>
      </c>
      <c r="G79" t="n">
        <v>6921</v>
      </c>
      <c r="H79" t="n">
        <v>6426</v>
      </c>
      <c r="I79" t="n">
        <v>22634</v>
      </c>
      <c r="J79" t="n">
        <v>179707</v>
      </c>
      <c r="K79" t="n">
        <v>15933</v>
      </c>
      <c r="L79" t="n">
        <v>29170</v>
      </c>
      <c r="M79" t="n">
        <v>10672</v>
      </c>
      <c r="N79" t="n">
        <v>8064</v>
      </c>
      <c r="O79" t="n">
        <v>59264</v>
      </c>
      <c r="P79" t="n">
        <v>11103</v>
      </c>
      <c r="Q79" t="n">
        <v>5083</v>
      </c>
    </row>
    <row r="80">
      <c r="A80" s="134" t="n">
        <v>35977</v>
      </c>
      <c r="B80" t="n">
        <v>165004</v>
      </c>
      <c r="C80" t="n">
        <v>237411</v>
      </c>
      <c r="D80" t="n">
        <v>16819</v>
      </c>
      <c r="E80" t="n">
        <v>12559</v>
      </c>
      <c r="F80" t="n">
        <v>34856</v>
      </c>
      <c r="G80" t="n">
        <v>6960</v>
      </c>
      <c r="H80" t="n">
        <v>6447</v>
      </c>
      <c r="I80" t="n">
        <v>22570</v>
      </c>
      <c r="J80" t="n">
        <v>181091</v>
      </c>
      <c r="K80" t="n">
        <v>16087</v>
      </c>
      <c r="L80" t="n">
        <v>29113</v>
      </c>
      <c r="M80" t="n">
        <v>10828</v>
      </c>
      <c r="N80" t="n">
        <v>8240</v>
      </c>
      <c r="O80" t="n">
        <v>56320</v>
      </c>
      <c r="P80" t="n">
        <v>11580</v>
      </c>
      <c r="Q80" t="n">
        <v>5032</v>
      </c>
    </row>
    <row r="81">
      <c r="A81" s="134" t="n">
        <v>36008</v>
      </c>
      <c r="B81" t="n">
        <v>165531</v>
      </c>
      <c r="C81" t="n">
        <v>236379</v>
      </c>
      <c r="D81" t="n">
        <v>16828</v>
      </c>
      <c r="E81" t="n">
        <v>12460</v>
      </c>
      <c r="F81" t="n">
        <v>34950</v>
      </c>
      <c r="G81" t="n">
        <v>7047</v>
      </c>
      <c r="H81" t="n">
        <v>6444</v>
      </c>
      <c r="I81" t="n">
        <v>22743</v>
      </c>
      <c r="J81" t="n">
        <v>181382</v>
      </c>
      <c r="K81" t="n">
        <v>15851</v>
      </c>
      <c r="L81" t="n">
        <v>29274</v>
      </c>
      <c r="M81" t="n">
        <v>11019</v>
      </c>
      <c r="N81" t="n">
        <v>8334</v>
      </c>
      <c r="O81" t="n">
        <v>54997</v>
      </c>
      <c r="P81" t="n">
        <v>11375</v>
      </c>
      <c r="Q81" t="n">
        <v>5057</v>
      </c>
    </row>
    <row r="82">
      <c r="A82" s="134" t="n">
        <v>36039</v>
      </c>
      <c r="B82" t="n">
        <v>165542</v>
      </c>
      <c r="C82" t="n">
        <v>238550</v>
      </c>
      <c r="D82" t="n">
        <v>16972</v>
      </c>
      <c r="E82" t="n">
        <v>12180</v>
      </c>
      <c r="F82" t="n">
        <v>34916</v>
      </c>
      <c r="G82" t="n">
        <v>6954</v>
      </c>
      <c r="H82" t="n">
        <v>6419</v>
      </c>
      <c r="I82" t="n">
        <v>22830</v>
      </c>
      <c r="J82" t="n">
        <v>181354</v>
      </c>
      <c r="K82" t="n">
        <v>15812</v>
      </c>
      <c r="L82" t="n">
        <v>29559</v>
      </c>
      <c r="M82" t="n">
        <v>10985</v>
      </c>
      <c r="N82" t="n">
        <v>8378</v>
      </c>
      <c r="O82" t="n">
        <v>57196</v>
      </c>
      <c r="P82" t="n">
        <v>11302</v>
      </c>
      <c r="Q82" t="n">
        <v>5047</v>
      </c>
    </row>
    <row r="83">
      <c r="A83" s="134" t="n">
        <v>36069</v>
      </c>
      <c r="B83" t="n">
        <v>167307</v>
      </c>
      <c r="C83" t="n">
        <v>242549</v>
      </c>
      <c r="D83" t="n">
        <v>17209</v>
      </c>
      <c r="E83" t="n">
        <v>12540</v>
      </c>
      <c r="F83" t="n">
        <v>35093</v>
      </c>
      <c r="G83" t="n">
        <v>6940</v>
      </c>
      <c r="H83" t="n">
        <v>6504</v>
      </c>
      <c r="I83" t="n">
        <v>23066</v>
      </c>
      <c r="J83" t="n">
        <v>183255</v>
      </c>
      <c r="K83" t="n">
        <v>15948</v>
      </c>
      <c r="L83" t="n">
        <v>29720</v>
      </c>
      <c r="M83" t="n">
        <v>11106</v>
      </c>
      <c r="N83" t="n">
        <v>8444</v>
      </c>
      <c r="O83" t="n">
        <v>59294</v>
      </c>
      <c r="P83" t="n">
        <v>11577</v>
      </c>
      <c r="Q83" t="n">
        <v>5108</v>
      </c>
    </row>
    <row r="84">
      <c r="A84" s="134" t="n">
        <v>36100</v>
      </c>
      <c r="B84" t="n">
        <v>168460</v>
      </c>
      <c r="C84" t="n">
        <v>244291</v>
      </c>
      <c r="D84" t="n">
        <v>17341</v>
      </c>
      <c r="E84" t="n">
        <v>12736</v>
      </c>
      <c r="F84" t="n">
        <v>35140</v>
      </c>
      <c r="G84" t="n">
        <v>7000</v>
      </c>
      <c r="H84" t="n">
        <v>6666</v>
      </c>
      <c r="I84" t="n">
        <v>23157</v>
      </c>
      <c r="J84" t="n">
        <v>184474</v>
      </c>
      <c r="K84" t="n">
        <v>16014</v>
      </c>
      <c r="L84" t="n">
        <v>30094</v>
      </c>
      <c r="M84" t="n">
        <v>11232</v>
      </c>
      <c r="N84" t="n">
        <v>8448</v>
      </c>
      <c r="O84" t="n">
        <v>59817</v>
      </c>
      <c r="P84" t="n">
        <v>11553</v>
      </c>
      <c r="Q84" t="n">
        <v>5093</v>
      </c>
    </row>
    <row r="85">
      <c r="A85" s="134" t="n">
        <v>36130</v>
      </c>
      <c r="B85" t="n">
        <v>169658</v>
      </c>
      <c r="C85" t="n">
        <v>246530</v>
      </c>
      <c r="D85" t="n">
        <v>17702</v>
      </c>
      <c r="E85" t="n">
        <v>12746</v>
      </c>
      <c r="F85" t="n">
        <v>35533</v>
      </c>
      <c r="G85" t="n">
        <v>6964</v>
      </c>
      <c r="H85" t="n">
        <v>6687</v>
      </c>
      <c r="I85" t="n">
        <v>23351</v>
      </c>
      <c r="J85" t="n">
        <v>186057</v>
      </c>
      <c r="K85" t="n">
        <v>16399</v>
      </c>
      <c r="L85" t="n">
        <v>30129</v>
      </c>
      <c r="M85" t="n">
        <v>11311</v>
      </c>
      <c r="N85" t="n">
        <v>8622</v>
      </c>
      <c r="O85" t="n">
        <v>60473</v>
      </c>
      <c r="P85" t="n">
        <v>11459</v>
      </c>
      <c r="Q85" t="n">
        <v>5154</v>
      </c>
    </row>
    <row r="86">
      <c r="A86" s="134" t="n">
        <v>36161</v>
      </c>
      <c r="B86" t="n">
        <v>169939</v>
      </c>
      <c r="C86" t="n">
        <v>246868</v>
      </c>
      <c r="D86" t="n">
        <v>17732</v>
      </c>
      <c r="E86" t="n">
        <v>12897</v>
      </c>
      <c r="F86" t="n">
        <v>35447</v>
      </c>
      <c r="G86" t="n">
        <v>7000</v>
      </c>
      <c r="H86" t="n">
        <v>6617</v>
      </c>
      <c r="I86" t="n">
        <v>22871</v>
      </c>
      <c r="J86" t="n">
        <v>186333</v>
      </c>
      <c r="K86" t="n">
        <v>16394</v>
      </c>
      <c r="L86" t="n">
        <v>30664</v>
      </c>
      <c r="M86" t="n">
        <v>11415</v>
      </c>
      <c r="N86" t="n">
        <v>8454</v>
      </c>
      <c r="O86" t="n">
        <v>60535</v>
      </c>
      <c r="P86" t="n">
        <v>11720</v>
      </c>
      <c r="Q86" t="n">
        <v>5122</v>
      </c>
    </row>
    <row r="87">
      <c r="A87" s="134" t="n">
        <v>36192</v>
      </c>
      <c r="B87" t="n">
        <v>171951</v>
      </c>
      <c r="C87" t="n">
        <v>249520</v>
      </c>
      <c r="D87" t="n">
        <v>17943</v>
      </c>
      <c r="E87" t="n">
        <v>12920</v>
      </c>
      <c r="F87" t="n">
        <v>35707</v>
      </c>
      <c r="G87" t="n">
        <v>7024</v>
      </c>
      <c r="H87" t="n">
        <v>6767</v>
      </c>
      <c r="I87" t="n">
        <v>23270</v>
      </c>
      <c r="J87" t="n">
        <v>188260</v>
      </c>
      <c r="K87" t="n">
        <v>16309</v>
      </c>
      <c r="L87" t="n">
        <v>31094</v>
      </c>
      <c r="M87" t="n">
        <v>11498</v>
      </c>
      <c r="N87" t="n">
        <v>8615</v>
      </c>
      <c r="O87" t="n">
        <v>61260</v>
      </c>
      <c r="P87" t="n">
        <v>11821</v>
      </c>
      <c r="Q87" t="n">
        <v>5292</v>
      </c>
    </row>
    <row r="88">
      <c r="A88" s="134" t="n">
        <v>36220</v>
      </c>
      <c r="B88" t="n">
        <v>172497</v>
      </c>
      <c r="C88" t="n">
        <v>250667</v>
      </c>
      <c r="D88" t="n">
        <v>17760</v>
      </c>
      <c r="E88" t="n">
        <v>13075</v>
      </c>
      <c r="F88" t="n">
        <v>35652</v>
      </c>
      <c r="G88" t="n">
        <v>7116</v>
      </c>
      <c r="H88" t="n">
        <v>6831</v>
      </c>
      <c r="I88" t="n">
        <v>23250</v>
      </c>
      <c r="J88" t="n">
        <v>189026</v>
      </c>
      <c r="K88" t="n">
        <v>16529</v>
      </c>
      <c r="L88" t="n">
        <v>31390</v>
      </c>
      <c r="M88" t="n">
        <v>11595</v>
      </c>
      <c r="N88" t="n">
        <v>8503</v>
      </c>
      <c r="O88" t="n">
        <v>61641</v>
      </c>
      <c r="P88" t="n">
        <v>12052</v>
      </c>
      <c r="Q88" t="n">
        <v>5273</v>
      </c>
    </row>
    <row r="89">
      <c r="A89" s="134" t="n">
        <v>36251</v>
      </c>
      <c r="B89" t="n">
        <v>173212</v>
      </c>
      <c r="C89" t="n">
        <v>252477</v>
      </c>
      <c r="D89" t="n">
        <v>17791</v>
      </c>
      <c r="E89" t="n">
        <v>13139</v>
      </c>
      <c r="F89" t="n">
        <v>36013</v>
      </c>
      <c r="G89" t="n">
        <v>7195</v>
      </c>
      <c r="H89" t="n">
        <v>6794</v>
      </c>
      <c r="I89" t="n">
        <v>23440</v>
      </c>
      <c r="J89" t="n">
        <v>190327</v>
      </c>
      <c r="K89" t="n">
        <v>17115</v>
      </c>
      <c r="L89" t="n">
        <v>31009</v>
      </c>
      <c r="M89" t="n">
        <v>11619</v>
      </c>
      <c r="N89" t="n">
        <v>8590</v>
      </c>
      <c r="O89" t="n">
        <v>62150</v>
      </c>
      <c r="P89" t="n">
        <v>12345</v>
      </c>
      <c r="Q89" t="n">
        <v>5277</v>
      </c>
    </row>
    <row r="90">
      <c r="A90" s="134" t="n">
        <v>36281</v>
      </c>
      <c r="B90" t="n">
        <v>174338</v>
      </c>
      <c r="C90" t="n">
        <v>254735</v>
      </c>
      <c r="D90" t="n">
        <v>17914</v>
      </c>
      <c r="E90" t="n">
        <v>13373</v>
      </c>
      <c r="F90" t="n">
        <v>36060</v>
      </c>
      <c r="G90" t="n">
        <v>7230</v>
      </c>
      <c r="H90" t="n">
        <v>6884</v>
      </c>
      <c r="I90" t="n">
        <v>23500</v>
      </c>
      <c r="J90" t="n">
        <v>191524</v>
      </c>
      <c r="K90" t="n">
        <v>17186</v>
      </c>
      <c r="L90" t="n">
        <v>31165</v>
      </c>
      <c r="M90" t="n">
        <v>11741</v>
      </c>
      <c r="N90" t="n">
        <v>8585</v>
      </c>
      <c r="O90" t="n">
        <v>63211</v>
      </c>
      <c r="P90" t="n">
        <v>12558</v>
      </c>
      <c r="Q90" t="n">
        <v>5328</v>
      </c>
    </row>
    <row r="91">
      <c r="A91" s="134" t="n">
        <v>36312</v>
      </c>
      <c r="B91" t="n">
        <v>174927</v>
      </c>
      <c r="C91" t="n">
        <v>255449</v>
      </c>
      <c r="D91" t="n">
        <v>17969</v>
      </c>
      <c r="E91" t="n">
        <v>13373</v>
      </c>
      <c r="F91" t="n">
        <v>35872</v>
      </c>
      <c r="G91" t="n">
        <v>7286</v>
      </c>
      <c r="H91" t="n">
        <v>6986</v>
      </c>
      <c r="I91" t="n">
        <v>23546</v>
      </c>
      <c r="J91" t="n">
        <v>191997</v>
      </c>
      <c r="K91" t="n">
        <v>17070</v>
      </c>
      <c r="L91" t="n">
        <v>31652</v>
      </c>
      <c r="M91" t="n">
        <v>11837</v>
      </c>
      <c r="N91" t="n">
        <v>8481</v>
      </c>
      <c r="O91" t="n">
        <v>63452</v>
      </c>
      <c r="P91" t="n">
        <v>12558</v>
      </c>
      <c r="Q91" t="n">
        <v>5367</v>
      </c>
    </row>
    <row r="92">
      <c r="A92" s="134" t="n">
        <v>36342</v>
      </c>
      <c r="B92" t="n">
        <v>175243</v>
      </c>
      <c r="C92" t="n">
        <v>257456</v>
      </c>
      <c r="D92" t="n">
        <v>18183</v>
      </c>
      <c r="E92" t="n">
        <v>13270</v>
      </c>
      <c r="F92" t="n">
        <v>36126</v>
      </c>
      <c r="G92" t="n">
        <v>7378</v>
      </c>
      <c r="H92" t="n">
        <v>6954</v>
      </c>
      <c r="I92" t="n">
        <v>23508</v>
      </c>
      <c r="J92" t="n">
        <v>192947</v>
      </c>
      <c r="K92" t="n">
        <v>17704</v>
      </c>
      <c r="L92" t="n">
        <v>31549</v>
      </c>
      <c r="M92" t="n">
        <v>11857</v>
      </c>
      <c r="N92" t="n">
        <v>8350</v>
      </c>
      <c r="O92" t="n">
        <v>64509</v>
      </c>
      <c r="P92" t="n">
        <v>12742</v>
      </c>
      <c r="Q92" t="n">
        <v>5326</v>
      </c>
    </row>
    <row r="93">
      <c r="A93" s="134" t="n">
        <v>36373</v>
      </c>
      <c r="B93" t="n">
        <v>176382</v>
      </c>
      <c r="C93" t="n">
        <v>260230</v>
      </c>
      <c r="D93" t="n">
        <v>18341</v>
      </c>
      <c r="E93" t="n">
        <v>13404</v>
      </c>
      <c r="F93" t="n">
        <v>36117</v>
      </c>
      <c r="G93" t="n">
        <v>7281</v>
      </c>
      <c r="H93" t="n">
        <v>7147</v>
      </c>
      <c r="I93" t="n">
        <v>23664</v>
      </c>
      <c r="J93" t="n">
        <v>194517</v>
      </c>
      <c r="K93" t="n">
        <v>18135</v>
      </c>
      <c r="L93" t="n">
        <v>31806</v>
      </c>
      <c r="M93" t="n">
        <v>11848</v>
      </c>
      <c r="N93" t="n">
        <v>8519</v>
      </c>
      <c r="O93" t="n">
        <v>65713</v>
      </c>
      <c r="P93" t="n">
        <v>12965</v>
      </c>
      <c r="Q93" t="n">
        <v>5290</v>
      </c>
    </row>
    <row r="94">
      <c r="A94" s="134" t="n">
        <v>36404</v>
      </c>
      <c r="B94" t="n">
        <v>177828</v>
      </c>
      <c r="C94" t="n">
        <v>261317</v>
      </c>
      <c r="D94" t="n">
        <v>18175</v>
      </c>
      <c r="E94" t="n">
        <v>13381</v>
      </c>
      <c r="F94" t="n">
        <v>36411</v>
      </c>
      <c r="G94" t="n">
        <v>7410</v>
      </c>
      <c r="H94" t="n">
        <v>7292</v>
      </c>
      <c r="I94" t="n">
        <v>23836</v>
      </c>
      <c r="J94" t="n">
        <v>196167</v>
      </c>
      <c r="K94" t="n">
        <v>18339</v>
      </c>
      <c r="L94" t="n">
        <v>32152</v>
      </c>
      <c r="M94" t="n">
        <v>11993</v>
      </c>
      <c r="N94" t="n">
        <v>8597</v>
      </c>
      <c r="O94" t="n">
        <v>65150</v>
      </c>
      <c r="P94" t="n">
        <v>13196</v>
      </c>
      <c r="Q94" t="n">
        <v>5385</v>
      </c>
    </row>
    <row r="95">
      <c r="A95" s="134" t="n">
        <v>36434</v>
      </c>
      <c r="B95" t="n">
        <v>178667</v>
      </c>
      <c r="C95" t="n">
        <v>261818</v>
      </c>
      <c r="D95" t="n">
        <v>18606</v>
      </c>
      <c r="E95" t="n">
        <v>13400</v>
      </c>
      <c r="F95" t="n">
        <v>36271</v>
      </c>
      <c r="G95" t="n">
        <v>7400</v>
      </c>
      <c r="H95" t="n">
        <v>7324</v>
      </c>
      <c r="I95" t="n">
        <v>24265</v>
      </c>
      <c r="J95" t="n">
        <v>197299</v>
      </c>
      <c r="K95" t="n">
        <v>18632</v>
      </c>
      <c r="L95" t="n">
        <v>32085</v>
      </c>
      <c r="M95" t="n">
        <v>12155</v>
      </c>
      <c r="N95" t="n">
        <v>8661</v>
      </c>
      <c r="O95" t="n">
        <v>64519</v>
      </c>
      <c r="P95" t="n">
        <v>13127</v>
      </c>
      <c r="Q95" t="n">
        <v>5373</v>
      </c>
    </row>
    <row r="96">
      <c r="A96" s="134" t="n">
        <v>36465</v>
      </c>
      <c r="B96" t="n">
        <v>179704</v>
      </c>
      <c r="C96" t="n">
        <v>264965</v>
      </c>
      <c r="D96" t="n">
        <v>18944</v>
      </c>
      <c r="E96" t="n">
        <v>13416</v>
      </c>
      <c r="F96" t="n">
        <v>36300</v>
      </c>
      <c r="G96" t="n">
        <v>7350</v>
      </c>
      <c r="H96" t="n">
        <v>7272</v>
      </c>
      <c r="I96" t="n">
        <v>24421</v>
      </c>
      <c r="J96" t="n">
        <v>198696</v>
      </c>
      <c r="K96" t="n">
        <v>18992</v>
      </c>
      <c r="L96" t="n">
        <v>32161</v>
      </c>
      <c r="M96" t="n">
        <v>12258</v>
      </c>
      <c r="N96" t="n">
        <v>9058</v>
      </c>
      <c r="O96" t="n">
        <v>66269</v>
      </c>
      <c r="P96" t="n">
        <v>13110</v>
      </c>
      <c r="Q96" t="n">
        <v>5414</v>
      </c>
    </row>
    <row r="97">
      <c r="A97" s="134" t="n">
        <v>36495</v>
      </c>
      <c r="B97" t="n">
        <v>183859</v>
      </c>
      <c r="C97" t="n">
        <v>269863</v>
      </c>
      <c r="D97" t="n">
        <v>19125</v>
      </c>
      <c r="E97" t="n">
        <v>13573</v>
      </c>
      <c r="F97" t="n">
        <v>37665</v>
      </c>
      <c r="G97" t="n">
        <v>7498</v>
      </c>
      <c r="H97" t="n">
        <v>7246</v>
      </c>
      <c r="I97" t="n">
        <v>24378</v>
      </c>
      <c r="J97" t="n">
        <v>203954</v>
      </c>
      <c r="K97" t="n">
        <v>20095</v>
      </c>
      <c r="L97" t="n">
        <v>33101</v>
      </c>
      <c r="M97" t="n">
        <v>12801</v>
      </c>
      <c r="N97" t="n">
        <v>9489</v>
      </c>
      <c r="O97" t="n">
        <v>65909</v>
      </c>
      <c r="P97" t="n">
        <v>13528</v>
      </c>
      <c r="Q97" t="n">
        <v>5455</v>
      </c>
    </row>
    <row r="98">
      <c r="A98" s="134" t="n">
        <v>36526</v>
      </c>
      <c r="B98" t="n">
        <v>181007</v>
      </c>
      <c r="C98" t="n">
        <v>268044</v>
      </c>
      <c r="D98" t="n">
        <v>19613</v>
      </c>
      <c r="E98" t="n">
        <v>13301</v>
      </c>
      <c r="F98" t="n">
        <v>35613</v>
      </c>
      <c r="G98" t="n">
        <v>7605</v>
      </c>
      <c r="H98" t="n">
        <v>7484</v>
      </c>
      <c r="I98" t="n">
        <v>24608</v>
      </c>
      <c r="J98" t="n">
        <v>200365</v>
      </c>
      <c r="K98" t="n">
        <v>19358</v>
      </c>
      <c r="L98" t="n">
        <v>32179</v>
      </c>
      <c r="M98" t="n">
        <v>12381</v>
      </c>
      <c r="N98" t="n">
        <v>9136</v>
      </c>
      <c r="O98" t="n">
        <v>67679</v>
      </c>
      <c r="P98" t="n">
        <v>13855</v>
      </c>
      <c r="Q98" t="n">
        <v>5232</v>
      </c>
    </row>
    <row r="99">
      <c r="A99" s="134" t="n">
        <v>36557</v>
      </c>
      <c r="B99" t="n">
        <v>182721</v>
      </c>
      <c r="C99" t="n">
        <v>272020</v>
      </c>
      <c r="D99" t="n">
        <v>19193</v>
      </c>
      <c r="E99" t="n">
        <v>13532</v>
      </c>
      <c r="F99" t="n">
        <v>35980</v>
      </c>
      <c r="G99" t="n">
        <v>7674</v>
      </c>
      <c r="H99" t="n">
        <v>7548</v>
      </c>
      <c r="I99" t="n">
        <v>24887</v>
      </c>
      <c r="J99" t="n">
        <v>202935</v>
      </c>
      <c r="K99" t="n">
        <v>20214</v>
      </c>
      <c r="L99" t="n">
        <v>32576</v>
      </c>
      <c r="M99" t="n">
        <v>12386</v>
      </c>
      <c r="N99" t="n">
        <v>9163</v>
      </c>
      <c r="O99" t="n">
        <v>69085</v>
      </c>
      <c r="P99" t="n">
        <v>14241</v>
      </c>
      <c r="Q99" t="n">
        <v>5541</v>
      </c>
    </row>
    <row r="100">
      <c r="A100" s="134" t="n">
        <v>36586</v>
      </c>
      <c r="B100" t="n">
        <v>185940</v>
      </c>
      <c r="C100" t="n">
        <v>275192</v>
      </c>
      <c r="D100" t="n">
        <v>20175</v>
      </c>
      <c r="E100" t="n">
        <v>13818</v>
      </c>
      <c r="F100" t="n">
        <v>36559</v>
      </c>
      <c r="G100" t="n">
        <v>7652</v>
      </c>
      <c r="H100" t="n">
        <v>7599</v>
      </c>
      <c r="I100" t="n">
        <v>25367</v>
      </c>
      <c r="J100" t="n">
        <v>206759</v>
      </c>
      <c r="K100" t="n">
        <v>20819</v>
      </c>
      <c r="L100" t="n">
        <v>33105</v>
      </c>
      <c r="M100" t="n">
        <v>12580</v>
      </c>
      <c r="N100" t="n">
        <v>9189</v>
      </c>
      <c r="O100" t="n">
        <v>68433</v>
      </c>
      <c r="P100" t="n">
        <v>14261</v>
      </c>
      <c r="Q100" t="n">
        <v>5635</v>
      </c>
    </row>
    <row r="101">
      <c r="A101" s="134" t="n">
        <v>36617</v>
      </c>
      <c r="B101" t="n">
        <v>185327</v>
      </c>
      <c r="C101" t="n">
        <v>271046</v>
      </c>
      <c r="D101" t="n">
        <v>18986</v>
      </c>
      <c r="E101" t="n">
        <v>13801</v>
      </c>
      <c r="F101" t="n">
        <v>37008</v>
      </c>
      <c r="G101" t="n">
        <v>7813</v>
      </c>
      <c r="H101" t="n">
        <v>7729</v>
      </c>
      <c r="I101" t="n">
        <v>25215</v>
      </c>
      <c r="J101" t="n">
        <v>205234</v>
      </c>
      <c r="K101" t="n">
        <v>19907</v>
      </c>
      <c r="L101" t="n">
        <v>32879</v>
      </c>
      <c r="M101" t="n">
        <v>12733</v>
      </c>
      <c r="N101" t="n">
        <v>9056</v>
      </c>
      <c r="O101" t="n">
        <v>65812</v>
      </c>
      <c r="P101" t="n">
        <v>14458</v>
      </c>
      <c r="Q101" t="n">
        <v>5649</v>
      </c>
    </row>
    <row r="102">
      <c r="A102" s="134" t="n">
        <v>36647</v>
      </c>
      <c r="B102" t="n">
        <v>185371</v>
      </c>
      <c r="C102" t="n">
        <v>271394</v>
      </c>
      <c r="D102" t="n">
        <v>18941</v>
      </c>
      <c r="E102" t="n">
        <v>14027</v>
      </c>
      <c r="F102" t="n">
        <v>36717</v>
      </c>
      <c r="G102" t="n">
        <v>7611</v>
      </c>
      <c r="H102" t="n">
        <v>7673</v>
      </c>
      <c r="I102" t="n">
        <v>25193</v>
      </c>
      <c r="J102" t="n">
        <v>205613</v>
      </c>
      <c r="K102" t="n">
        <v>20242</v>
      </c>
      <c r="L102" t="n">
        <v>33339</v>
      </c>
      <c r="M102" t="n">
        <v>12814</v>
      </c>
      <c r="N102" t="n">
        <v>8760</v>
      </c>
      <c r="O102" t="n">
        <v>65781</v>
      </c>
      <c r="P102" t="n">
        <v>14539</v>
      </c>
      <c r="Q102" t="n">
        <v>5757</v>
      </c>
    </row>
    <row r="103">
      <c r="A103" s="134" t="n">
        <v>36678</v>
      </c>
      <c r="B103" t="n">
        <v>185899</v>
      </c>
      <c r="C103" t="n">
        <v>273422</v>
      </c>
      <c r="D103" t="n">
        <v>18878</v>
      </c>
      <c r="E103" t="n">
        <v>13864</v>
      </c>
      <c r="F103" t="n">
        <v>37175</v>
      </c>
      <c r="G103" t="n">
        <v>7435</v>
      </c>
      <c r="H103" t="n">
        <v>7593</v>
      </c>
      <c r="I103" t="n">
        <v>25262</v>
      </c>
      <c r="J103" t="n">
        <v>206784</v>
      </c>
      <c r="K103" t="n">
        <v>20885</v>
      </c>
      <c r="L103" t="n">
        <v>33408</v>
      </c>
      <c r="M103" t="n">
        <v>12864</v>
      </c>
      <c r="N103" t="n">
        <v>8785</v>
      </c>
      <c r="O103" t="n">
        <v>66638</v>
      </c>
      <c r="P103" t="n">
        <v>14949</v>
      </c>
      <c r="Q103" t="n">
        <v>5686</v>
      </c>
    </row>
    <row r="104">
      <c r="A104" s="134" t="n">
        <v>36708</v>
      </c>
      <c r="B104" t="n">
        <v>186520</v>
      </c>
      <c r="C104" t="n">
        <v>272630</v>
      </c>
      <c r="D104" t="n">
        <v>18982</v>
      </c>
      <c r="E104" t="n">
        <v>13722</v>
      </c>
      <c r="F104" t="n">
        <v>37038</v>
      </c>
      <c r="G104" t="n">
        <v>7397</v>
      </c>
      <c r="H104" t="n">
        <v>7748</v>
      </c>
      <c r="I104" t="n">
        <v>25454</v>
      </c>
      <c r="J104" t="n">
        <v>207425</v>
      </c>
      <c r="K104" t="n">
        <v>20905</v>
      </c>
      <c r="L104" t="n">
        <v>33586</v>
      </c>
      <c r="M104" t="n">
        <v>12967</v>
      </c>
      <c r="N104" t="n">
        <v>8789</v>
      </c>
      <c r="O104" t="n">
        <v>65205</v>
      </c>
      <c r="P104" t="n">
        <v>15037</v>
      </c>
      <c r="Q104" t="n">
        <v>5800</v>
      </c>
    </row>
    <row r="105">
      <c r="A105" s="134" t="n">
        <v>36739</v>
      </c>
      <c r="B105" t="n">
        <v>187033</v>
      </c>
      <c r="C105" t="n">
        <v>272918</v>
      </c>
      <c r="D105" t="n">
        <v>18951</v>
      </c>
      <c r="E105" t="n">
        <v>14072</v>
      </c>
      <c r="F105" t="n">
        <v>37110</v>
      </c>
      <c r="G105" t="n">
        <v>7440</v>
      </c>
      <c r="H105" t="n">
        <v>7682</v>
      </c>
      <c r="I105" t="n">
        <v>25342</v>
      </c>
      <c r="J105" t="n">
        <v>207607</v>
      </c>
      <c r="K105" t="n">
        <v>20574</v>
      </c>
      <c r="L105" t="n">
        <v>33823</v>
      </c>
      <c r="M105" t="n">
        <v>13034</v>
      </c>
      <c r="N105" t="n">
        <v>8666</v>
      </c>
      <c r="O105" t="n">
        <v>65311</v>
      </c>
      <c r="P105" t="n">
        <v>15280</v>
      </c>
      <c r="Q105" t="n">
        <v>5633</v>
      </c>
    </row>
    <row r="106">
      <c r="A106" s="134" t="n">
        <v>36770</v>
      </c>
      <c r="B106" t="n">
        <v>189371</v>
      </c>
      <c r="C106" t="n">
        <v>277548</v>
      </c>
      <c r="D106" t="n">
        <v>18926</v>
      </c>
      <c r="E106" t="n">
        <v>14366</v>
      </c>
      <c r="F106" t="n">
        <v>37308</v>
      </c>
      <c r="G106" t="n">
        <v>7588</v>
      </c>
      <c r="H106" t="n">
        <v>7665</v>
      </c>
      <c r="I106" t="n">
        <v>25711</v>
      </c>
      <c r="J106" t="n">
        <v>210698</v>
      </c>
      <c r="K106" t="n">
        <v>21327</v>
      </c>
      <c r="L106" t="n">
        <v>34146</v>
      </c>
      <c r="M106" t="n">
        <v>13233</v>
      </c>
      <c r="N106" t="n">
        <v>8925</v>
      </c>
      <c r="O106" t="n">
        <v>66850</v>
      </c>
      <c r="P106" t="n">
        <v>15775</v>
      </c>
      <c r="Q106" t="n">
        <v>5728</v>
      </c>
    </row>
    <row r="107">
      <c r="A107" s="134" t="n">
        <v>36800</v>
      </c>
      <c r="B107" t="n">
        <v>189307</v>
      </c>
      <c r="C107" t="n">
        <v>276927</v>
      </c>
      <c r="D107" t="n">
        <v>18965</v>
      </c>
      <c r="E107" t="n">
        <v>14231</v>
      </c>
      <c r="F107" t="n">
        <v>37476</v>
      </c>
      <c r="G107" t="n">
        <v>7416</v>
      </c>
      <c r="H107" t="n">
        <v>7737</v>
      </c>
      <c r="I107" t="n">
        <v>25706</v>
      </c>
      <c r="J107" t="n">
        <v>210719</v>
      </c>
      <c r="K107" t="n">
        <v>21412</v>
      </c>
      <c r="L107" t="n">
        <v>34280</v>
      </c>
      <c r="M107" t="n">
        <v>13302</v>
      </c>
      <c r="N107" t="n">
        <v>8870</v>
      </c>
      <c r="O107" t="n">
        <v>66208</v>
      </c>
      <c r="P107" t="n">
        <v>15698</v>
      </c>
      <c r="Q107" t="n">
        <v>5626</v>
      </c>
    </row>
    <row r="108">
      <c r="A108" s="134" t="n">
        <v>36831</v>
      </c>
      <c r="B108" t="n">
        <v>189478</v>
      </c>
      <c r="C108" t="n">
        <v>276029</v>
      </c>
      <c r="D108" t="n">
        <v>18689</v>
      </c>
      <c r="E108" t="n">
        <v>14294</v>
      </c>
      <c r="F108" t="n">
        <v>37700</v>
      </c>
      <c r="G108" t="n">
        <v>7392</v>
      </c>
      <c r="H108" t="n">
        <v>7580</v>
      </c>
      <c r="I108" t="n">
        <v>25698</v>
      </c>
      <c r="J108" t="n">
        <v>211384</v>
      </c>
      <c r="K108" t="n">
        <v>21906</v>
      </c>
      <c r="L108" t="n">
        <v>34458</v>
      </c>
      <c r="M108" t="n">
        <v>13340</v>
      </c>
      <c r="N108" t="n">
        <v>8829</v>
      </c>
      <c r="O108" t="n">
        <v>64645</v>
      </c>
      <c r="P108" t="n">
        <v>15883</v>
      </c>
      <c r="Q108" t="n">
        <v>5615</v>
      </c>
    </row>
    <row r="109">
      <c r="A109" s="134" t="n">
        <v>36861</v>
      </c>
      <c r="B109" t="n">
        <v>190143</v>
      </c>
      <c r="C109" t="n">
        <v>275791</v>
      </c>
      <c r="D109" t="n">
        <v>19356</v>
      </c>
      <c r="E109" t="n">
        <v>14084</v>
      </c>
      <c r="F109" t="n">
        <v>38033</v>
      </c>
      <c r="G109" t="n">
        <v>7346</v>
      </c>
      <c r="H109" t="n">
        <v>7160</v>
      </c>
      <c r="I109" t="n">
        <v>25133</v>
      </c>
      <c r="J109" t="n">
        <v>212267</v>
      </c>
      <c r="K109" t="n">
        <v>22124</v>
      </c>
      <c r="L109" t="n">
        <v>34734</v>
      </c>
      <c r="M109" t="n">
        <v>13527</v>
      </c>
      <c r="N109" t="n">
        <v>8631</v>
      </c>
      <c r="O109" t="n">
        <v>63524</v>
      </c>
      <c r="P109" t="n">
        <v>16538</v>
      </c>
      <c r="Q109" t="n">
        <v>5601</v>
      </c>
    </row>
    <row r="110">
      <c r="A110" s="134" t="n">
        <v>36892</v>
      </c>
      <c r="B110" t="n">
        <v>190977</v>
      </c>
      <c r="C110" t="n">
        <v>278834</v>
      </c>
      <c r="D110" t="n">
        <v>19248</v>
      </c>
      <c r="E110" t="n">
        <v>14135</v>
      </c>
      <c r="F110" t="n">
        <v>37903</v>
      </c>
      <c r="G110" t="n">
        <v>7376</v>
      </c>
      <c r="H110" t="n">
        <v>7764</v>
      </c>
      <c r="I110" t="n">
        <v>26180</v>
      </c>
      <c r="J110" t="n">
        <v>212908</v>
      </c>
      <c r="K110" t="n">
        <v>21931</v>
      </c>
      <c r="L110" t="n">
        <v>35601</v>
      </c>
      <c r="M110" t="n">
        <v>13413</v>
      </c>
      <c r="N110" t="n">
        <v>8466</v>
      </c>
      <c r="O110" t="n">
        <v>65926</v>
      </c>
      <c r="P110" t="n">
        <v>15505</v>
      </c>
      <c r="Q110" t="n">
        <v>5386</v>
      </c>
    </row>
    <row r="111">
      <c r="A111" s="134" t="n">
        <v>36923</v>
      </c>
      <c r="B111" t="n">
        <v>190970</v>
      </c>
      <c r="C111" t="n">
        <v>278773</v>
      </c>
      <c r="D111" t="n">
        <v>19698</v>
      </c>
      <c r="E111" t="n">
        <v>14166</v>
      </c>
      <c r="F111" t="n">
        <v>38252</v>
      </c>
      <c r="G111" t="n">
        <v>7334</v>
      </c>
      <c r="H111" t="n">
        <v>7611</v>
      </c>
      <c r="I111" t="n">
        <v>26069</v>
      </c>
      <c r="J111" t="n">
        <v>212585</v>
      </c>
      <c r="K111" t="n">
        <v>21615</v>
      </c>
      <c r="L111" t="n">
        <v>34655</v>
      </c>
      <c r="M111" t="n">
        <v>13582</v>
      </c>
      <c r="N111" t="n">
        <v>8665</v>
      </c>
      <c r="O111" t="n">
        <v>66188</v>
      </c>
      <c r="P111" t="n">
        <v>15223</v>
      </c>
      <c r="Q111" t="n">
        <v>5715</v>
      </c>
    </row>
    <row r="112">
      <c r="A112" s="134" t="n">
        <v>36951</v>
      </c>
      <c r="B112" t="n">
        <v>190127</v>
      </c>
      <c r="C112" t="n">
        <v>276450</v>
      </c>
      <c r="D112" t="n">
        <v>19562</v>
      </c>
      <c r="E112" t="n">
        <v>13801</v>
      </c>
      <c r="F112" t="n">
        <v>38133</v>
      </c>
      <c r="G112" t="n">
        <v>7267</v>
      </c>
      <c r="H112" t="n">
        <v>7549</v>
      </c>
      <c r="I112" t="n">
        <v>26122</v>
      </c>
      <c r="J112" t="n">
        <v>210779</v>
      </c>
      <c r="K112" t="n">
        <v>20652</v>
      </c>
      <c r="L112" t="n">
        <v>34069</v>
      </c>
      <c r="M112" t="n">
        <v>13650</v>
      </c>
      <c r="N112" t="n">
        <v>8897</v>
      </c>
      <c r="O112" t="n">
        <v>65671</v>
      </c>
      <c r="P112" t="n">
        <v>15354</v>
      </c>
      <c r="Q112" t="n">
        <v>5723</v>
      </c>
    </row>
    <row r="113">
      <c r="A113" s="134" t="n">
        <v>36982</v>
      </c>
      <c r="B113" t="n">
        <v>192257</v>
      </c>
      <c r="C113" t="n">
        <v>280808</v>
      </c>
      <c r="D113" t="n">
        <v>20373</v>
      </c>
      <c r="E113" t="n">
        <v>14217</v>
      </c>
      <c r="F113" t="n">
        <v>38369</v>
      </c>
      <c r="G113" t="n">
        <v>7212</v>
      </c>
      <c r="H113" t="n">
        <v>7560</v>
      </c>
      <c r="I113" t="n">
        <v>26045</v>
      </c>
      <c r="J113" t="n">
        <v>213875</v>
      </c>
      <c r="K113" t="n">
        <v>21618</v>
      </c>
      <c r="L113" t="n">
        <v>35364</v>
      </c>
      <c r="M113" t="n">
        <v>13643</v>
      </c>
      <c r="N113" t="n">
        <v>8527</v>
      </c>
      <c r="O113" t="n">
        <v>66933</v>
      </c>
      <c r="P113" t="n">
        <v>15289</v>
      </c>
      <c r="Q113" t="n">
        <v>5658</v>
      </c>
    </row>
    <row r="114">
      <c r="A114" s="134" t="n">
        <v>37012</v>
      </c>
      <c r="B114" t="n">
        <v>191829</v>
      </c>
      <c r="C114" t="n">
        <v>281496</v>
      </c>
      <c r="D114" t="n">
        <v>20147</v>
      </c>
      <c r="E114" t="n">
        <v>13950</v>
      </c>
      <c r="F114" t="n">
        <v>38439</v>
      </c>
      <c r="G114" t="n">
        <v>7135</v>
      </c>
      <c r="H114" t="n">
        <v>7559</v>
      </c>
      <c r="I114" t="n">
        <v>26278</v>
      </c>
      <c r="J114" t="n">
        <v>214457</v>
      </c>
      <c r="K114" t="n">
        <v>22628</v>
      </c>
      <c r="L114" t="n">
        <v>35202</v>
      </c>
      <c r="M114" t="n">
        <v>13812</v>
      </c>
      <c r="N114" t="n">
        <v>8752</v>
      </c>
      <c r="O114" t="n">
        <v>67039</v>
      </c>
      <c r="P114" t="n">
        <v>14876</v>
      </c>
      <c r="Q114" t="n">
        <v>5679</v>
      </c>
    </row>
    <row r="115">
      <c r="A115" s="134" t="n">
        <v>37043</v>
      </c>
      <c r="B115" t="n">
        <v>191763</v>
      </c>
      <c r="C115" t="n">
        <v>280401</v>
      </c>
      <c r="D115" t="n">
        <v>19900</v>
      </c>
      <c r="E115" t="n">
        <v>13804</v>
      </c>
      <c r="F115" t="n">
        <v>38569</v>
      </c>
      <c r="G115" t="n">
        <v>7246</v>
      </c>
      <c r="H115" t="n">
        <v>7613</v>
      </c>
      <c r="I115" t="n">
        <v>26379</v>
      </c>
      <c r="J115" t="n">
        <v>213691</v>
      </c>
      <c r="K115" t="n">
        <v>21928</v>
      </c>
      <c r="L115" t="n">
        <v>35114</v>
      </c>
      <c r="M115" t="n">
        <v>13843</v>
      </c>
      <c r="N115" t="n">
        <v>8693</v>
      </c>
      <c r="O115" t="n">
        <v>66710</v>
      </c>
      <c r="P115" t="n">
        <v>14981</v>
      </c>
      <c r="Q115" t="n">
        <v>5621</v>
      </c>
    </row>
    <row r="116">
      <c r="A116" s="134" t="n">
        <v>37073</v>
      </c>
      <c r="B116" t="n">
        <v>192751</v>
      </c>
      <c r="C116" t="n">
        <v>279504</v>
      </c>
      <c r="D116" t="n">
        <v>19838</v>
      </c>
      <c r="E116" t="n">
        <v>13994</v>
      </c>
      <c r="F116" t="n">
        <v>38506</v>
      </c>
      <c r="G116" t="n">
        <v>7298</v>
      </c>
      <c r="H116" t="n">
        <v>7671</v>
      </c>
      <c r="I116" t="n">
        <v>26507</v>
      </c>
      <c r="J116" t="n">
        <v>213437</v>
      </c>
      <c r="K116" t="n">
        <v>20686</v>
      </c>
      <c r="L116" t="n">
        <v>35720</v>
      </c>
      <c r="M116" t="n">
        <v>13879</v>
      </c>
      <c r="N116" t="n">
        <v>8671</v>
      </c>
      <c r="O116" t="n">
        <v>66067</v>
      </c>
      <c r="P116" t="n">
        <v>14964</v>
      </c>
      <c r="Q116" t="n">
        <v>5703</v>
      </c>
    </row>
    <row r="117">
      <c r="A117" s="134" t="n">
        <v>37104</v>
      </c>
      <c r="B117" t="n">
        <v>194185</v>
      </c>
      <c r="C117" t="n">
        <v>281413</v>
      </c>
      <c r="D117" t="n">
        <v>19920</v>
      </c>
      <c r="E117" t="n">
        <v>14171</v>
      </c>
      <c r="F117" t="n">
        <v>38738</v>
      </c>
      <c r="G117" t="n">
        <v>7276</v>
      </c>
      <c r="H117" t="n">
        <v>7628</v>
      </c>
      <c r="I117" t="n">
        <v>26853</v>
      </c>
      <c r="J117" t="n">
        <v>215063</v>
      </c>
      <c r="K117" t="n">
        <v>20878</v>
      </c>
      <c r="L117" t="n">
        <v>35915</v>
      </c>
      <c r="M117" t="n">
        <v>14004</v>
      </c>
      <c r="N117" t="n">
        <v>8691</v>
      </c>
      <c r="O117" t="n">
        <v>66350</v>
      </c>
      <c r="P117" t="n">
        <v>15214</v>
      </c>
      <c r="Q117" t="n">
        <v>5775</v>
      </c>
    </row>
    <row r="118">
      <c r="A118" s="134" t="n">
        <v>37135</v>
      </c>
      <c r="B118" t="n">
        <v>190819</v>
      </c>
      <c r="C118" t="n">
        <v>276084</v>
      </c>
      <c r="D118" t="n">
        <v>19664</v>
      </c>
      <c r="E118" t="n">
        <v>13286</v>
      </c>
      <c r="F118" t="n">
        <v>38832</v>
      </c>
      <c r="G118" t="n">
        <v>7141</v>
      </c>
      <c r="H118" t="n">
        <v>7419</v>
      </c>
      <c r="I118" t="n">
        <v>26239</v>
      </c>
      <c r="J118" t="n">
        <v>212155</v>
      </c>
      <c r="K118" t="n">
        <v>21336</v>
      </c>
      <c r="L118" t="n">
        <v>35822</v>
      </c>
      <c r="M118" t="n">
        <v>13894</v>
      </c>
      <c r="N118" t="n">
        <v>8377</v>
      </c>
      <c r="O118" t="n">
        <v>63929</v>
      </c>
      <c r="P118" t="n">
        <v>14473</v>
      </c>
      <c r="Q118" t="n">
        <v>5672</v>
      </c>
    </row>
    <row r="119">
      <c r="A119" s="134" t="n">
        <v>37165</v>
      </c>
      <c r="B119" t="n">
        <v>194052</v>
      </c>
      <c r="C119" t="n">
        <v>294540</v>
      </c>
      <c r="D119" t="n">
        <v>20054</v>
      </c>
      <c r="E119" t="n">
        <v>13973</v>
      </c>
      <c r="F119" t="n">
        <v>38944</v>
      </c>
      <c r="G119" t="n">
        <v>7237</v>
      </c>
      <c r="H119" t="n">
        <v>7543</v>
      </c>
      <c r="I119" t="n">
        <v>26541</v>
      </c>
      <c r="J119" t="n">
        <v>214085</v>
      </c>
      <c r="K119" t="n">
        <v>20033</v>
      </c>
      <c r="L119" t="n">
        <v>36229</v>
      </c>
      <c r="M119" t="n">
        <v>14298</v>
      </c>
      <c r="N119" t="n">
        <v>8456</v>
      </c>
      <c r="O119" t="n">
        <v>80455</v>
      </c>
      <c r="P119" t="n">
        <v>14979</v>
      </c>
      <c r="Q119" t="n">
        <v>5798</v>
      </c>
    </row>
    <row r="120">
      <c r="A120" s="134" t="n">
        <v>37196</v>
      </c>
      <c r="B120" t="n">
        <v>195453</v>
      </c>
      <c r="C120" t="n">
        <v>287111</v>
      </c>
      <c r="D120" t="n">
        <v>19982</v>
      </c>
      <c r="E120" t="n">
        <v>13970</v>
      </c>
      <c r="F120" t="n">
        <v>39161</v>
      </c>
      <c r="G120" t="n">
        <v>7662</v>
      </c>
      <c r="H120" t="n">
        <v>7694</v>
      </c>
      <c r="I120" t="n">
        <v>26597</v>
      </c>
      <c r="J120" t="n">
        <v>214698</v>
      </c>
      <c r="K120" t="n">
        <v>19245</v>
      </c>
      <c r="L120" t="n">
        <v>36656</v>
      </c>
      <c r="M120" t="n">
        <v>14280</v>
      </c>
      <c r="N120" t="n">
        <v>8548</v>
      </c>
      <c r="O120" t="n">
        <v>72413</v>
      </c>
      <c r="P120" t="n">
        <v>14837</v>
      </c>
      <c r="Q120" t="n">
        <v>6066</v>
      </c>
    </row>
    <row r="121">
      <c r="A121" s="134" t="n">
        <v>37226</v>
      </c>
      <c r="B121" t="n">
        <v>196535</v>
      </c>
      <c r="C121" t="n">
        <v>283705</v>
      </c>
      <c r="D121" t="n">
        <v>20120</v>
      </c>
      <c r="E121" t="n">
        <v>14126</v>
      </c>
      <c r="F121" t="n">
        <v>38996</v>
      </c>
      <c r="G121" t="n">
        <v>7825</v>
      </c>
      <c r="H121" t="n">
        <v>7869</v>
      </c>
      <c r="I121" t="n">
        <v>27156</v>
      </c>
      <c r="J121" t="n">
        <v>215485</v>
      </c>
      <c r="K121" t="n">
        <v>18950</v>
      </c>
      <c r="L121" t="n">
        <v>37054</v>
      </c>
      <c r="M121" t="n">
        <v>14350</v>
      </c>
      <c r="N121" t="n">
        <v>8432</v>
      </c>
      <c r="O121" t="n">
        <v>68220</v>
      </c>
      <c r="P121" t="n">
        <v>14810</v>
      </c>
      <c r="Q121" t="n">
        <v>5797</v>
      </c>
    </row>
    <row r="122">
      <c r="A122" s="134" t="n">
        <v>37257</v>
      </c>
      <c r="B122" t="n">
        <v>196713</v>
      </c>
      <c r="C122" t="n">
        <v>283508</v>
      </c>
      <c r="D122" t="n">
        <v>20359</v>
      </c>
      <c r="E122" t="n">
        <v>14220</v>
      </c>
      <c r="F122" t="n">
        <v>38833</v>
      </c>
      <c r="G122" t="n">
        <v>7604</v>
      </c>
      <c r="H122" t="n">
        <v>7847</v>
      </c>
      <c r="I122" t="n">
        <v>27201</v>
      </c>
      <c r="J122" t="n">
        <v>215843</v>
      </c>
      <c r="K122" t="n">
        <v>19130</v>
      </c>
      <c r="L122" t="n">
        <v>36811</v>
      </c>
      <c r="M122" t="n">
        <v>14525</v>
      </c>
      <c r="N122" t="n">
        <v>8447</v>
      </c>
      <c r="O122" t="n">
        <v>67665</v>
      </c>
      <c r="P122" t="n">
        <v>15091</v>
      </c>
      <c r="Q122" t="n">
        <v>5775</v>
      </c>
    </row>
    <row r="123">
      <c r="A123" s="134" t="n">
        <v>37288</v>
      </c>
      <c r="B123" t="n">
        <v>197818</v>
      </c>
      <c r="C123" t="n">
        <v>285054</v>
      </c>
      <c r="D123" t="n">
        <v>20515</v>
      </c>
      <c r="E123" t="n">
        <v>14357</v>
      </c>
      <c r="F123" t="n">
        <v>38885</v>
      </c>
      <c r="G123" t="n">
        <v>7643</v>
      </c>
      <c r="H123" t="n">
        <v>7932</v>
      </c>
      <c r="I123" t="n">
        <v>27384</v>
      </c>
      <c r="J123" t="n">
        <v>216886</v>
      </c>
      <c r="K123" t="n">
        <v>19068</v>
      </c>
      <c r="L123" t="n">
        <v>36974</v>
      </c>
      <c r="M123" t="n">
        <v>14747</v>
      </c>
      <c r="N123" t="n">
        <v>8616</v>
      </c>
      <c r="O123" t="n">
        <v>68168</v>
      </c>
      <c r="P123" t="n">
        <v>15054</v>
      </c>
      <c r="Q123" t="n">
        <v>5711</v>
      </c>
    </row>
    <row r="124">
      <c r="A124" s="134" t="n">
        <v>37316</v>
      </c>
      <c r="B124" t="n">
        <v>197879</v>
      </c>
      <c r="C124" t="n">
        <v>284262</v>
      </c>
      <c r="D124" t="n">
        <v>20370</v>
      </c>
      <c r="E124" t="n">
        <v>14436</v>
      </c>
      <c r="F124" t="n">
        <v>38913</v>
      </c>
      <c r="G124" t="n">
        <v>7690</v>
      </c>
      <c r="H124" t="n">
        <v>7936</v>
      </c>
      <c r="I124" t="n">
        <v>27203</v>
      </c>
      <c r="J124" t="n">
        <v>217692</v>
      </c>
      <c r="K124" t="n">
        <v>19813</v>
      </c>
      <c r="L124" t="n">
        <v>37144</v>
      </c>
      <c r="M124" t="n">
        <v>14745</v>
      </c>
      <c r="N124" t="n">
        <v>8380</v>
      </c>
      <c r="O124" t="n">
        <v>66570</v>
      </c>
      <c r="P124" t="n">
        <v>15345</v>
      </c>
      <c r="Q124" t="n">
        <v>5717</v>
      </c>
    </row>
    <row r="125">
      <c r="A125" s="134" t="n">
        <v>37347</v>
      </c>
      <c r="B125" t="n">
        <v>199726</v>
      </c>
      <c r="C125" t="n">
        <v>288833</v>
      </c>
      <c r="D125" t="n">
        <v>21274</v>
      </c>
      <c r="E125" t="n">
        <v>14410</v>
      </c>
      <c r="F125" t="n">
        <v>38568</v>
      </c>
      <c r="G125" t="n">
        <v>7616</v>
      </c>
      <c r="H125" t="n">
        <v>7874</v>
      </c>
      <c r="I125" t="n">
        <v>27500</v>
      </c>
      <c r="J125" t="n">
        <v>220582</v>
      </c>
      <c r="K125" t="n">
        <v>20856</v>
      </c>
      <c r="L125" t="n">
        <v>37491</v>
      </c>
      <c r="M125" t="n">
        <v>14940</v>
      </c>
      <c r="N125" t="n">
        <v>8579</v>
      </c>
      <c r="O125" t="n">
        <v>68251</v>
      </c>
      <c r="P125" t="n">
        <v>15675</v>
      </c>
      <c r="Q125" t="n">
        <v>5799</v>
      </c>
    </row>
    <row r="126">
      <c r="A126" s="134" t="n">
        <v>37377</v>
      </c>
      <c r="B126" t="n">
        <v>198959</v>
      </c>
      <c r="C126" t="n">
        <v>284951</v>
      </c>
      <c r="D126" t="n">
        <v>20874</v>
      </c>
      <c r="E126" t="n">
        <v>14220</v>
      </c>
      <c r="F126" t="n">
        <v>38713</v>
      </c>
      <c r="G126" t="n">
        <v>7678</v>
      </c>
      <c r="H126" t="n">
        <v>7959</v>
      </c>
      <c r="I126" t="n">
        <v>27378</v>
      </c>
      <c r="J126" t="n">
        <v>219889</v>
      </c>
      <c r="K126" t="n">
        <v>20930</v>
      </c>
      <c r="L126" t="n">
        <v>37114</v>
      </c>
      <c r="M126" t="n">
        <v>14903</v>
      </c>
      <c r="N126" t="n">
        <v>8539</v>
      </c>
      <c r="O126" t="n">
        <v>65062</v>
      </c>
      <c r="P126" t="n">
        <v>15850</v>
      </c>
      <c r="Q126" t="n">
        <v>5731</v>
      </c>
    </row>
    <row r="127">
      <c r="A127" s="134" t="n">
        <v>37408</v>
      </c>
      <c r="B127" t="n">
        <v>199285</v>
      </c>
      <c r="C127" t="n">
        <v>287372</v>
      </c>
      <c r="D127" t="n">
        <v>20725</v>
      </c>
      <c r="E127" t="n">
        <v>14366</v>
      </c>
      <c r="F127" t="n">
        <v>38723</v>
      </c>
      <c r="G127" t="n">
        <v>7656</v>
      </c>
      <c r="H127" t="n">
        <v>7831</v>
      </c>
      <c r="I127" t="n">
        <v>27586</v>
      </c>
      <c r="J127" t="n">
        <v>220018</v>
      </c>
      <c r="K127" t="n">
        <v>20733</v>
      </c>
      <c r="L127" t="n">
        <v>37417</v>
      </c>
      <c r="M127" t="n">
        <v>14947</v>
      </c>
      <c r="N127" t="n">
        <v>8639</v>
      </c>
      <c r="O127" t="n">
        <v>67354</v>
      </c>
      <c r="P127" t="n">
        <v>15725</v>
      </c>
      <c r="Q127" t="n">
        <v>5670</v>
      </c>
    </row>
    <row r="128">
      <c r="A128" s="134" t="n">
        <v>37438</v>
      </c>
      <c r="B128" t="n">
        <v>199003</v>
      </c>
      <c r="C128" t="n">
        <v>290385</v>
      </c>
      <c r="D128" t="n">
        <v>20674</v>
      </c>
      <c r="E128" t="n">
        <v>14200</v>
      </c>
      <c r="F128" t="n">
        <v>38834</v>
      </c>
      <c r="G128" t="n">
        <v>7543</v>
      </c>
      <c r="H128" t="n">
        <v>7741</v>
      </c>
      <c r="I128" t="n">
        <v>27616</v>
      </c>
      <c r="J128" t="n">
        <v>220441</v>
      </c>
      <c r="K128" t="n">
        <v>21438</v>
      </c>
      <c r="L128" t="n">
        <v>37132</v>
      </c>
      <c r="M128" t="n">
        <v>15004</v>
      </c>
      <c r="N128" t="n">
        <v>8575</v>
      </c>
      <c r="O128" t="n">
        <v>69944</v>
      </c>
      <c r="P128" t="n">
        <v>16018</v>
      </c>
      <c r="Q128" t="n">
        <v>5666</v>
      </c>
    </row>
    <row r="129">
      <c r="A129" s="134" t="n">
        <v>37469</v>
      </c>
      <c r="B129" t="n">
        <v>199264</v>
      </c>
      <c r="C129" t="n">
        <v>292650</v>
      </c>
      <c r="D129" t="n">
        <v>20683</v>
      </c>
      <c r="E129" t="n">
        <v>14338</v>
      </c>
      <c r="F129" t="n">
        <v>38647</v>
      </c>
      <c r="G129" t="n">
        <v>7520</v>
      </c>
      <c r="H129" t="n">
        <v>7837</v>
      </c>
      <c r="I129" t="n">
        <v>27607</v>
      </c>
      <c r="J129" t="n">
        <v>220446</v>
      </c>
      <c r="K129" t="n">
        <v>21182</v>
      </c>
      <c r="L129" t="n">
        <v>37202</v>
      </c>
      <c r="M129" t="n">
        <v>15120</v>
      </c>
      <c r="N129" t="n">
        <v>8740</v>
      </c>
      <c r="O129" t="n">
        <v>72204</v>
      </c>
      <c r="P129" t="n">
        <v>15881</v>
      </c>
      <c r="Q129" t="n">
        <v>5689</v>
      </c>
    </row>
    <row r="130">
      <c r="A130" s="134" t="n">
        <v>37500</v>
      </c>
      <c r="B130" t="n">
        <v>199072</v>
      </c>
      <c r="C130" t="n">
        <v>288410</v>
      </c>
      <c r="D130" t="n">
        <v>20732</v>
      </c>
      <c r="E130" t="n">
        <v>13966</v>
      </c>
      <c r="F130" t="n">
        <v>38599</v>
      </c>
      <c r="G130" t="n">
        <v>7511</v>
      </c>
      <c r="H130" t="n">
        <v>7832</v>
      </c>
      <c r="I130" t="n">
        <v>27784</v>
      </c>
      <c r="J130" t="n">
        <v>220344</v>
      </c>
      <c r="K130" t="n">
        <v>21272</v>
      </c>
      <c r="L130" t="n">
        <v>37059</v>
      </c>
      <c r="M130" t="n">
        <v>15288</v>
      </c>
      <c r="N130" t="n">
        <v>8724</v>
      </c>
      <c r="O130" t="n">
        <v>68066</v>
      </c>
      <c r="P130" t="n">
        <v>15725</v>
      </c>
      <c r="Q130" t="n">
        <v>5852</v>
      </c>
    </row>
    <row r="131">
      <c r="A131" s="134" t="n">
        <v>37530</v>
      </c>
      <c r="B131" t="n">
        <v>200364</v>
      </c>
      <c r="C131" t="n">
        <v>289576</v>
      </c>
      <c r="D131" t="n">
        <v>20603</v>
      </c>
      <c r="E131" t="n">
        <v>14625</v>
      </c>
      <c r="F131" t="n">
        <v>38693</v>
      </c>
      <c r="G131" t="n">
        <v>7522</v>
      </c>
      <c r="H131" t="n">
        <v>7789</v>
      </c>
      <c r="I131" t="n">
        <v>27623</v>
      </c>
      <c r="J131" t="n">
        <v>222023</v>
      </c>
      <c r="K131" t="n">
        <v>21659</v>
      </c>
      <c r="L131" t="n">
        <v>37816</v>
      </c>
      <c r="M131" t="n">
        <v>15298</v>
      </c>
      <c r="N131" t="n">
        <v>8579</v>
      </c>
      <c r="O131" t="n">
        <v>67553</v>
      </c>
      <c r="P131" t="n">
        <v>15977</v>
      </c>
      <c r="Q131" t="n">
        <v>5839</v>
      </c>
    </row>
    <row r="132">
      <c r="A132" s="134" t="n">
        <v>37561</v>
      </c>
      <c r="B132" t="n">
        <v>201544</v>
      </c>
      <c r="C132" t="n">
        <v>291484</v>
      </c>
      <c r="D132" t="n">
        <v>20969</v>
      </c>
      <c r="E132" t="n">
        <v>14456</v>
      </c>
      <c r="F132" t="n">
        <v>38886</v>
      </c>
      <c r="G132" t="n">
        <v>7545</v>
      </c>
      <c r="H132" t="n">
        <v>7963</v>
      </c>
      <c r="I132" t="n">
        <v>27916</v>
      </c>
      <c r="J132" t="n">
        <v>223553</v>
      </c>
      <c r="K132" t="n">
        <v>22009</v>
      </c>
      <c r="L132" t="n">
        <v>37698</v>
      </c>
      <c r="M132" t="n">
        <v>15348</v>
      </c>
      <c r="N132" t="n">
        <v>8362</v>
      </c>
      <c r="O132" t="n">
        <v>67931</v>
      </c>
      <c r="P132" t="n">
        <v>16416</v>
      </c>
      <c r="Q132" t="n">
        <v>5985</v>
      </c>
    </row>
    <row r="133">
      <c r="A133" s="134" t="n">
        <v>37591</v>
      </c>
      <c r="B133" t="n">
        <v>201689</v>
      </c>
      <c r="C133" t="n">
        <v>293947</v>
      </c>
      <c r="D133" t="n">
        <v>20415</v>
      </c>
      <c r="E133" t="n">
        <v>14714</v>
      </c>
      <c r="F133" t="n">
        <v>39072</v>
      </c>
      <c r="G133" t="n">
        <v>7660</v>
      </c>
      <c r="H133" t="n">
        <v>7927</v>
      </c>
      <c r="I133" t="n">
        <v>28017</v>
      </c>
      <c r="J133" t="n">
        <v>224153</v>
      </c>
      <c r="K133" t="n">
        <v>22464</v>
      </c>
      <c r="L133" t="n">
        <v>37716</v>
      </c>
      <c r="M133" t="n">
        <v>15293</v>
      </c>
      <c r="N133" t="n">
        <v>8569</v>
      </c>
      <c r="O133" t="n">
        <v>69794</v>
      </c>
      <c r="P133" t="n">
        <v>16497</v>
      </c>
      <c r="Q133" t="n">
        <v>5809</v>
      </c>
    </row>
    <row r="134">
      <c r="A134" s="134" t="n">
        <v>37622</v>
      </c>
      <c r="B134" t="n">
        <v>202502</v>
      </c>
      <c r="C134" t="n">
        <v>295248</v>
      </c>
      <c r="D134" t="n">
        <v>21270</v>
      </c>
      <c r="E134" t="n">
        <v>14565</v>
      </c>
      <c r="F134" t="n">
        <v>39412</v>
      </c>
      <c r="G134" t="n">
        <v>7439</v>
      </c>
      <c r="H134" t="n">
        <v>7824</v>
      </c>
      <c r="I134" t="n">
        <v>28018</v>
      </c>
      <c r="J134" t="n">
        <v>225575</v>
      </c>
      <c r="K134" t="n">
        <v>23073</v>
      </c>
      <c r="L134" t="n">
        <v>37740</v>
      </c>
      <c r="M134" t="n">
        <v>15441</v>
      </c>
      <c r="N134" t="n">
        <v>8565</v>
      </c>
      <c r="O134" t="n">
        <v>69673</v>
      </c>
      <c r="P134" t="n">
        <v>16434</v>
      </c>
      <c r="Q134" t="n">
        <v>5794</v>
      </c>
    </row>
    <row r="135">
      <c r="A135" s="134" t="n">
        <v>37653</v>
      </c>
      <c r="B135" t="n">
        <v>200747</v>
      </c>
      <c r="C135" t="n">
        <v>291167</v>
      </c>
      <c r="D135" t="n">
        <v>20041</v>
      </c>
      <c r="E135" t="n">
        <v>14142</v>
      </c>
      <c r="F135" t="n">
        <v>39285</v>
      </c>
      <c r="G135" t="n">
        <v>7354</v>
      </c>
      <c r="H135" t="n">
        <v>7501</v>
      </c>
      <c r="I135" t="n">
        <v>27979</v>
      </c>
      <c r="J135" t="n">
        <v>224632</v>
      </c>
      <c r="K135" t="n">
        <v>23885</v>
      </c>
      <c r="L135" t="n">
        <v>38030</v>
      </c>
      <c r="M135" t="n">
        <v>15534</v>
      </c>
      <c r="N135" t="n">
        <v>8372</v>
      </c>
      <c r="O135" t="n">
        <v>66535</v>
      </c>
      <c r="P135" t="n">
        <v>16933</v>
      </c>
      <c r="Q135" t="n">
        <v>5576</v>
      </c>
    </row>
    <row r="136">
      <c r="A136" s="134" t="n">
        <v>37681</v>
      </c>
      <c r="B136" t="n">
        <v>203729</v>
      </c>
      <c r="C136" t="n">
        <v>296325</v>
      </c>
      <c r="D136" t="n">
        <v>21326</v>
      </c>
      <c r="E136" t="n">
        <v>14465</v>
      </c>
      <c r="F136" t="n">
        <v>39318</v>
      </c>
      <c r="G136" t="n">
        <v>7364</v>
      </c>
      <c r="H136" t="n">
        <v>7854</v>
      </c>
      <c r="I136" t="n">
        <v>28505</v>
      </c>
      <c r="J136" t="n">
        <v>227697</v>
      </c>
      <c r="K136" t="n">
        <v>23968</v>
      </c>
      <c r="L136" t="n">
        <v>38391</v>
      </c>
      <c r="M136" t="n">
        <v>15677</v>
      </c>
      <c r="N136" t="n">
        <v>8405</v>
      </c>
      <c r="O136" t="n">
        <v>68628</v>
      </c>
      <c r="P136" t="n">
        <v>16764</v>
      </c>
      <c r="Q136" t="n">
        <v>5660</v>
      </c>
    </row>
    <row r="137">
      <c r="A137" s="134" t="n">
        <v>37712</v>
      </c>
      <c r="B137" t="n">
        <v>203439</v>
      </c>
      <c r="C137" t="n">
        <v>295600</v>
      </c>
      <c r="D137" t="n">
        <v>21139</v>
      </c>
      <c r="E137" t="n">
        <v>14434</v>
      </c>
      <c r="F137" t="n">
        <v>39441</v>
      </c>
      <c r="G137" t="n">
        <v>7440</v>
      </c>
      <c r="H137" t="n">
        <v>7895</v>
      </c>
      <c r="I137" t="n">
        <v>28403</v>
      </c>
      <c r="J137" t="n">
        <v>226020</v>
      </c>
      <c r="K137" t="n">
        <v>22581</v>
      </c>
      <c r="L137" t="n">
        <v>38321</v>
      </c>
      <c r="M137" t="n">
        <v>15705</v>
      </c>
      <c r="N137" t="n">
        <v>8359</v>
      </c>
      <c r="O137" t="n">
        <v>69580</v>
      </c>
      <c r="P137" t="n">
        <v>16593</v>
      </c>
      <c r="Q137" t="n">
        <v>5709</v>
      </c>
    </row>
    <row r="138">
      <c r="A138" s="134" t="n">
        <v>37742</v>
      </c>
      <c r="B138" t="n">
        <v>204940</v>
      </c>
      <c r="C138" t="n">
        <v>296410</v>
      </c>
      <c r="D138" t="n">
        <v>21328</v>
      </c>
      <c r="E138" t="n">
        <v>14651</v>
      </c>
      <c r="F138" t="n">
        <v>39019</v>
      </c>
      <c r="G138" t="n">
        <v>7563</v>
      </c>
      <c r="H138" t="n">
        <v>8062</v>
      </c>
      <c r="I138" t="n">
        <v>29048</v>
      </c>
      <c r="J138" t="n">
        <v>226750</v>
      </c>
      <c r="K138" t="n">
        <v>21810</v>
      </c>
      <c r="L138" t="n">
        <v>38483</v>
      </c>
      <c r="M138" t="n">
        <v>15791</v>
      </c>
      <c r="N138" t="n">
        <v>8525</v>
      </c>
      <c r="O138" t="n">
        <v>69660</v>
      </c>
      <c r="P138" t="n">
        <v>16722</v>
      </c>
      <c r="Q138" t="n">
        <v>5748</v>
      </c>
    </row>
    <row r="139">
      <c r="A139" s="134" t="n">
        <v>37773</v>
      </c>
      <c r="B139" t="n">
        <v>207524</v>
      </c>
      <c r="C139" t="n">
        <v>299626</v>
      </c>
      <c r="D139" t="n">
        <v>22003</v>
      </c>
      <c r="E139" t="n">
        <v>14894</v>
      </c>
      <c r="F139" t="n">
        <v>39480</v>
      </c>
      <c r="G139" t="n">
        <v>7650</v>
      </c>
      <c r="H139" t="n">
        <v>8084</v>
      </c>
      <c r="I139" t="n">
        <v>29230</v>
      </c>
      <c r="J139" t="n">
        <v>229301</v>
      </c>
      <c r="K139" t="n">
        <v>21777</v>
      </c>
      <c r="L139" t="n">
        <v>38866</v>
      </c>
      <c r="M139" t="n">
        <v>15934</v>
      </c>
      <c r="N139" t="n">
        <v>8537</v>
      </c>
      <c r="O139" t="n">
        <v>70325</v>
      </c>
      <c r="P139" t="n">
        <v>16938</v>
      </c>
      <c r="Q139" t="n">
        <v>5908</v>
      </c>
    </row>
    <row r="140">
      <c r="A140" s="134" t="n">
        <v>37803</v>
      </c>
      <c r="B140" t="n">
        <v>209502</v>
      </c>
      <c r="C140" t="n">
        <v>302747</v>
      </c>
      <c r="D140" t="n">
        <v>22372</v>
      </c>
      <c r="E140" t="n">
        <v>15141</v>
      </c>
      <c r="F140" t="n">
        <v>39808</v>
      </c>
      <c r="G140" t="n">
        <v>7731</v>
      </c>
      <c r="H140" t="n">
        <v>8115</v>
      </c>
      <c r="I140" t="n">
        <v>29395</v>
      </c>
      <c r="J140" t="n">
        <v>231698</v>
      </c>
      <c r="K140" t="n">
        <v>22196</v>
      </c>
      <c r="L140" t="n">
        <v>39404</v>
      </c>
      <c r="M140" t="n">
        <v>16182</v>
      </c>
      <c r="N140" t="n">
        <v>8497</v>
      </c>
      <c r="O140" t="n">
        <v>71049</v>
      </c>
      <c r="P140" t="n">
        <v>17049</v>
      </c>
      <c r="Q140" t="n">
        <v>5808</v>
      </c>
    </row>
    <row r="141">
      <c r="A141" s="134" t="n">
        <v>37834</v>
      </c>
      <c r="B141" t="n">
        <v>211817</v>
      </c>
      <c r="C141" t="n">
        <v>307809</v>
      </c>
      <c r="D141" t="n">
        <v>22489</v>
      </c>
      <c r="E141" t="n">
        <v>15089</v>
      </c>
      <c r="F141" t="n">
        <v>39833</v>
      </c>
      <c r="G141" t="n">
        <v>7914</v>
      </c>
      <c r="H141" t="n">
        <v>8156</v>
      </c>
      <c r="I141" t="n">
        <v>29844</v>
      </c>
      <c r="J141" t="n">
        <v>234890</v>
      </c>
      <c r="K141" t="n">
        <v>23073</v>
      </c>
      <c r="L141" t="n">
        <v>40085</v>
      </c>
      <c r="M141" t="n">
        <v>16345</v>
      </c>
      <c r="N141" t="n">
        <v>8618</v>
      </c>
      <c r="O141" t="n">
        <v>72919</v>
      </c>
      <c r="P141" t="n">
        <v>17312</v>
      </c>
      <c r="Q141" t="n">
        <v>6132</v>
      </c>
    </row>
    <row r="142">
      <c r="A142" s="134" t="n">
        <v>37865</v>
      </c>
      <c r="B142" t="n">
        <v>211535</v>
      </c>
      <c r="C142" t="n">
        <v>305933</v>
      </c>
      <c r="D142" t="n">
        <v>22630</v>
      </c>
      <c r="E142" t="n">
        <v>15175</v>
      </c>
      <c r="F142" t="n">
        <v>39878</v>
      </c>
      <c r="G142" t="n">
        <v>7909</v>
      </c>
      <c r="H142" t="n">
        <v>8214</v>
      </c>
      <c r="I142" t="n">
        <v>29503</v>
      </c>
      <c r="J142" t="n">
        <v>234749</v>
      </c>
      <c r="K142" t="n">
        <v>23214</v>
      </c>
      <c r="L142" t="n">
        <v>39896</v>
      </c>
      <c r="M142" t="n">
        <v>16339</v>
      </c>
      <c r="N142" t="n">
        <v>8442</v>
      </c>
      <c r="O142" t="n">
        <v>71184</v>
      </c>
      <c r="P142" t="n">
        <v>17595</v>
      </c>
      <c r="Q142" t="n">
        <v>5954</v>
      </c>
    </row>
    <row r="143">
      <c r="A143" s="134" t="n">
        <v>37895</v>
      </c>
      <c r="B143" t="n">
        <v>212278</v>
      </c>
      <c r="C143" t="n">
        <v>304809</v>
      </c>
      <c r="D143" t="n">
        <v>22869</v>
      </c>
      <c r="E143" t="n">
        <v>15067</v>
      </c>
      <c r="F143" t="n">
        <v>39776</v>
      </c>
      <c r="G143" t="n">
        <v>7984</v>
      </c>
      <c r="H143" t="n">
        <v>8244</v>
      </c>
      <c r="I143" t="n">
        <v>30045</v>
      </c>
      <c r="J143" t="n">
        <v>234992</v>
      </c>
      <c r="K143" t="n">
        <v>22714</v>
      </c>
      <c r="L143" t="n">
        <v>39649</v>
      </c>
      <c r="M143" t="n">
        <v>16434</v>
      </c>
      <c r="N143" t="n">
        <v>8591</v>
      </c>
      <c r="O143" t="n">
        <v>69817</v>
      </c>
      <c r="P143" t="n">
        <v>17778</v>
      </c>
      <c r="Q143" t="n">
        <v>5841</v>
      </c>
    </row>
    <row r="144">
      <c r="A144" s="134" t="n">
        <v>37926</v>
      </c>
      <c r="B144" t="n">
        <v>213317</v>
      </c>
      <c r="C144" t="n">
        <v>308527</v>
      </c>
      <c r="D144" t="n">
        <v>22864</v>
      </c>
      <c r="E144" t="n">
        <v>15338</v>
      </c>
      <c r="F144" t="n">
        <v>39631</v>
      </c>
      <c r="G144" t="n">
        <v>8030</v>
      </c>
      <c r="H144" t="n">
        <v>8358</v>
      </c>
      <c r="I144" t="n">
        <v>30229</v>
      </c>
      <c r="J144" t="n">
        <v>236789</v>
      </c>
      <c r="K144" t="n">
        <v>23472</v>
      </c>
      <c r="L144" t="n">
        <v>39945</v>
      </c>
      <c r="M144" t="n">
        <v>16500</v>
      </c>
      <c r="N144" t="n">
        <v>8530</v>
      </c>
      <c r="O144" t="n">
        <v>71738</v>
      </c>
      <c r="P144" t="n">
        <v>17881</v>
      </c>
      <c r="Q144" t="n">
        <v>6011</v>
      </c>
    </row>
    <row r="145">
      <c r="A145" s="134" t="n">
        <v>37956</v>
      </c>
      <c r="B145" t="n">
        <v>213310</v>
      </c>
      <c r="C145" t="n">
        <v>307407</v>
      </c>
      <c r="D145" t="n">
        <v>22748</v>
      </c>
      <c r="E145" t="n">
        <v>15456</v>
      </c>
      <c r="F145" t="n">
        <v>39809</v>
      </c>
      <c r="G145" t="n">
        <v>8127</v>
      </c>
      <c r="H145" t="n">
        <v>8312</v>
      </c>
      <c r="I145" t="n">
        <v>29795</v>
      </c>
      <c r="J145" t="n">
        <v>237304</v>
      </c>
      <c r="K145" t="n">
        <v>23994</v>
      </c>
      <c r="L145" t="n">
        <v>40084</v>
      </c>
      <c r="M145" t="n">
        <v>16648</v>
      </c>
      <c r="N145" t="n">
        <v>8576</v>
      </c>
      <c r="O145" t="n">
        <v>70103</v>
      </c>
      <c r="P145" t="n">
        <v>17742</v>
      </c>
      <c r="Q145" t="n">
        <v>6013</v>
      </c>
    </row>
    <row r="146">
      <c r="A146" s="134" t="n">
        <v>37987</v>
      </c>
      <c r="B146" t="n">
        <v>215095</v>
      </c>
      <c r="C146" t="n">
        <v>309254</v>
      </c>
      <c r="D146" t="n">
        <v>22637</v>
      </c>
      <c r="E146" t="n">
        <v>15513</v>
      </c>
      <c r="F146" t="n">
        <v>40443</v>
      </c>
      <c r="G146" t="n">
        <v>8104</v>
      </c>
      <c r="H146" t="n">
        <v>8307</v>
      </c>
      <c r="I146" t="n">
        <v>30341</v>
      </c>
      <c r="J146" t="n">
        <v>239984</v>
      </c>
      <c r="K146" t="n">
        <v>24889</v>
      </c>
      <c r="L146" t="n">
        <v>40436</v>
      </c>
      <c r="M146" t="n">
        <v>16287</v>
      </c>
      <c r="N146" t="n">
        <v>8665</v>
      </c>
      <c r="O146" t="n">
        <v>69270</v>
      </c>
      <c r="P146" t="n">
        <v>18275</v>
      </c>
      <c r="Q146" t="n">
        <v>6087</v>
      </c>
    </row>
    <row r="147">
      <c r="A147" s="134" t="n">
        <v>38018</v>
      </c>
      <c r="B147" t="n">
        <v>215044</v>
      </c>
      <c r="C147" t="n">
        <v>311393</v>
      </c>
      <c r="D147" t="n">
        <v>22727</v>
      </c>
      <c r="E147" t="n">
        <v>15687</v>
      </c>
      <c r="F147" t="n">
        <v>39922</v>
      </c>
      <c r="G147" t="n">
        <v>8080</v>
      </c>
      <c r="H147" t="n">
        <v>8375</v>
      </c>
      <c r="I147" t="n">
        <v>30461</v>
      </c>
      <c r="J147" t="n">
        <v>240300</v>
      </c>
      <c r="K147" t="n">
        <v>25256</v>
      </c>
      <c r="L147" t="n">
        <v>40519</v>
      </c>
      <c r="M147" t="n">
        <v>16133</v>
      </c>
      <c r="N147" t="n">
        <v>8481</v>
      </c>
      <c r="O147" t="n">
        <v>71093</v>
      </c>
      <c r="P147" t="n">
        <v>18566</v>
      </c>
      <c r="Q147" t="n">
        <v>6093</v>
      </c>
    </row>
    <row r="148">
      <c r="A148" s="134" t="n">
        <v>38047</v>
      </c>
      <c r="B148" t="n">
        <v>219096</v>
      </c>
      <c r="C148" t="n">
        <v>316912</v>
      </c>
      <c r="D148" t="n">
        <v>24992</v>
      </c>
      <c r="E148" t="n">
        <v>15984</v>
      </c>
      <c r="F148" t="n">
        <v>40419</v>
      </c>
      <c r="G148" t="n">
        <v>8117</v>
      </c>
      <c r="H148" t="n">
        <v>8585</v>
      </c>
      <c r="I148" t="n">
        <v>30703</v>
      </c>
      <c r="J148" t="n">
        <v>244775</v>
      </c>
      <c r="K148" t="n">
        <v>25679</v>
      </c>
      <c r="L148" t="n">
        <v>41079</v>
      </c>
      <c r="M148" t="n">
        <v>16526</v>
      </c>
      <c r="N148" t="n">
        <v>8552</v>
      </c>
      <c r="O148" t="n">
        <v>72137</v>
      </c>
      <c r="P148" t="n">
        <v>18072</v>
      </c>
      <c r="Q148" t="n">
        <v>6067</v>
      </c>
    </row>
    <row r="149">
      <c r="A149" s="134" t="n">
        <v>38078</v>
      </c>
      <c r="B149" t="n">
        <v>218034</v>
      </c>
      <c r="C149" t="n">
        <v>313512</v>
      </c>
      <c r="D149" t="n">
        <v>24565</v>
      </c>
      <c r="E149" t="n">
        <v>15567</v>
      </c>
      <c r="F149" t="n">
        <v>40399</v>
      </c>
      <c r="G149" t="n">
        <v>8218</v>
      </c>
      <c r="H149" t="n">
        <v>8519</v>
      </c>
      <c r="I149" t="n">
        <v>30560</v>
      </c>
      <c r="J149" t="n">
        <v>243552</v>
      </c>
      <c r="K149" t="n">
        <v>25518</v>
      </c>
      <c r="L149" t="n">
        <v>40662</v>
      </c>
      <c r="M149" t="n">
        <v>16476</v>
      </c>
      <c r="N149" t="n">
        <v>8685</v>
      </c>
      <c r="O149" t="n">
        <v>69960</v>
      </c>
      <c r="P149" t="n">
        <v>18442</v>
      </c>
      <c r="Q149" t="n">
        <v>5941</v>
      </c>
    </row>
    <row r="150">
      <c r="A150" s="134" t="n">
        <v>38108</v>
      </c>
      <c r="B150" t="n">
        <v>219132</v>
      </c>
      <c r="C150" t="n">
        <v>318964</v>
      </c>
      <c r="D150" t="n">
        <v>24420</v>
      </c>
      <c r="E150" t="n">
        <v>15736</v>
      </c>
      <c r="F150" t="n">
        <v>40635</v>
      </c>
      <c r="G150" t="n">
        <v>8241</v>
      </c>
      <c r="H150" t="n">
        <v>8389</v>
      </c>
      <c r="I150" t="n">
        <v>30712</v>
      </c>
      <c r="J150" t="n">
        <v>246143</v>
      </c>
      <c r="K150" t="n">
        <v>27011</v>
      </c>
      <c r="L150" t="n">
        <v>41332</v>
      </c>
      <c r="M150" t="n">
        <v>16462</v>
      </c>
      <c r="N150" t="n">
        <v>8869</v>
      </c>
      <c r="O150" t="n">
        <v>72821</v>
      </c>
      <c r="P150" t="n">
        <v>18351</v>
      </c>
      <c r="Q150" t="n">
        <v>5985</v>
      </c>
    </row>
    <row r="151">
      <c r="A151" s="134" t="n">
        <v>38139</v>
      </c>
      <c r="B151" t="n">
        <v>218917</v>
      </c>
      <c r="C151" t="n">
        <v>314958</v>
      </c>
      <c r="D151" t="n">
        <v>24622</v>
      </c>
      <c r="E151" t="n">
        <v>15555</v>
      </c>
      <c r="F151" t="n">
        <v>40608</v>
      </c>
      <c r="G151" t="n">
        <v>8297</v>
      </c>
      <c r="H151" t="n">
        <v>8572</v>
      </c>
      <c r="I151" t="n">
        <v>30825</v>
      </c>
      <c r="J151" t="n">
        <v>245967</v>
      </c>
      <c r="K151" t="n">
        <v>27050</v>
      </c>
      <c r="L151" t="n">
        <v>40756</v>
      </c>
      <c r="M151" t="n">
        <v>16570</v>
      </c>
      <c r="N151" t="n">
        <v>8446</v>
      </c>
      <c r="O151" t="n">
        <v>68991</v>
      </c>
      <c r="P151" t="n">
        <v>18649</v>
      </c>
      <c r="Q151" t="n">
        <v>6017</v>
      </c>
    </row>
    <row r="152">
      <c r="A152" s="134" t="n">
        <v>38169</v>
      </c>
      <c r="B152" t="n">
        <v>220566</v>
      </c>
      <c r="C152" t="n">
        <v>318549</v>
      </c>
      <c r="D152" t="n">
        <v>24538</v>
      </c>
      <c r="E152" t="n">
        <v>15645</v>
      </c>
      <c r="F152" t="n">
        <v>40631</v>
      </c>
      <c r="G152" t="n">
        <v>8337</v>
      </c>
      <c r="H152" t="n">
        <v>8868</v>
      </c>
      <c r="I152" t="n">
        <v>31191</v>
      </c>
      <c r="J152" t="n">
        <v>247311</v>
      </c>
      <c r="K152" t="n">
        <v>26745</v>
      </c>
      <c r="L152" t="n">
        <v>41197</v>
      </c>
      <c r="M152" t="n">
        <v>16554</v>
      </c>
      <c r="N152" t="n">
        <v>8554</v>
      </c>
      <c r="O152" t="n">
        <v>71238</v>
      </c>
      <c r="P152" t="n">
        <v>18927</v>
      </c>
      <c r="Q152" t="n">
        <v>6124</v>
      </c>
    </row>
    <row r="153">
      <c r="A153" s="134" t="n">
        <v>38200</v>
      </c>
      <c r="B153" t="n">
        <v>221060</v>
      </c>
      <c r="C153" t="n">
        <v>318977</v>
      </c>
      <c r="D153" t="n">
        <v>24713</v>
      </c>
      <c r="E153" t="n">
        <v>15660</v>
      </c>
      <c r="F153" t="n">
        <v>40771</v>
      </c>
      <c r="G153" t="n">
        <v>8335</v>
      </c>
      <c r="H153" t="n">
        <v>8675</v>
      </c>
      <c r="I153" t="n">
        <v>31036</v>
      </c>
      <c r="J153" t="n">
        <v>247612</v>
      </c>
      <c r="K153" t="n">
        <v>26552</v>
      </c>
      <c r="L153" t="n">
        <v>41323</v>
      </c>
      <c r="M153" t="n">
        <v>16610</v>
      </c>
      <c r="N153" t="n">
        <v>8567</v>
      </c>
      <c r="O153" t="n">
        <v>71365</v>
      </c>
      <c r="P153" t="n">
        <v>19178</v>
      </c>
      <c r="Q153" t="n">
        <v>6192</v>
      </c>
    </row>
    <row r="154">
      <c r="A154" s="134" t="n">
        <v>38231</v>
      </c>
      <c r="B154" t="n">
        <v>222679</v>
      </c>
      <c r="C154" t="n">
        <v>324569</v>
      </c>
      <c r="D154" t="n">
        <v>25045</v>
      </c>
      <c r="E154" t="n">
        <v>15764</v>
      </c>
      <c r="F154" t="n">
        <v>41045</v>
      </c>
      <c r="G154" t="n">
        <v>8422</v>
      </c>
      <c r="H154" t="n">
        <v>8604</v>
      </c>
      <c r="I154" t="n">
        <v>31430</v>
      </c>
      <c r="J154" t="n">
        <v>249840</v>
      </c>
      <c r="K154" t="n">
        <v>27161</v>
      </c>
      <c r="L154" t="n">
        <v>41555</v>
      </c>
      <c r="M154" t="n">
        <v>16635</v>
      </c>
      <c r="N154" t="n">
        <v>8596</v>
      </c>
      <c r="O154" t="n">
        <v>74729</v>
      </c>
      <c r="P154" t="n">
        <v>19472</v>
      </c>
      <c r="Q154" t="n">
        <v>6111</v>
      </c>
    </row>
    <row r="155">
      <c r="A155" s="134" t="n">
        <v>38261</v>
      </c>
      <c r="B155" t="n">
        <v>224226</v>
      </c>
      <c r="C155" t="n">
        <v>326740</v>
      </c>
      <c r="D155" t="n">
        <v>24842</v>
      </c>
      <c r="E155" t="n">
        <v>16055</v>
      </c>
      <c r="F155" t="n">
        <v>41177</v>
      </c>
      <c r="G155" t="n">
        <v>8494</v>
      </c>
      <c r="H155" t="n">
        <v>8806</v>
      </c>
      <c r="I155" t="n">
        <v>31625</v>
      </c>
      <c r="J155" t="n">
        <v>252882</v>
      </c>
      <c r="K155" t="n">
        <v>28656</v>
      </c>
      <c r="L155" t="n">
        <v>42042</v>
      </c>
      <c r="M155" t="n">
        <v>16739</v>
      </c>
      <c r="N155" t="n">
        <v>8677</v>
      </c>
      <c r="O155" t="n">
        <v>73858</v>
      </c>
      <c r="P155" t="n">
        <v>19675</v>
      </c>
      <c r="Q155" t="n">
        <v>6094</v>
      </c>
    </row>
    <row r="156">
      <c r="A156" s="134" t="n">
        <v>38292</v>
      </c>
      <c r="B156" t="n">
        <v>225080</v>
      </c>
      <c r="C156" t="n">
        <v>327836</v>
      </c>
      <c r="D156" t="n">
        <v>24974</v>
      </c>
      <c r="E156" t="n">
        <v>16044</v>
      </c>
      <c r="F156" t="n">
        <v>41404</v>
      </c>
      <c r="G156" t="n">
        <v>8479</v>
      </c>
      <c r="H156" t="n">
        <v>8722</v>
      </c>
      <c r="I156" t="n">
        <v>31659</v>
      </c>
      <c r="J156" t="n">
        <v>254429</v>
      </c>
      <c r="K156" t="n">
        <v>29349</v>
      </c>
      <c r="L156" t="n">
        <v>42179</v>
      </c>
      <c r="M156" t="n">
        <v>16813</v>
      </c>
      <c r="N156" t="n">
        <v>8877</v>
      </c>
      <c r="O156" t="n">
        <v>73407</v>
      </c>
      <c r="P156" t="n">
        <v>19789</v>
      </c>
      <c r="Q156" t="n">
        <v>6140</v>
      </c>
    </row>
    <row r="157">
      <c r="A157" s="134" t="n">
        <v>38322</v>
      </c>
      <c r="B157" t="n">
        <v>227441</v>
      </c>
      <c r="C157" t="n">
        <v>331874</v>
      </c>
      <c r="D157" t="n">
        <v>25679</v>
      </c>
      <c r="E157" t="n">
        <v>16183</v>
      </c>
      <c r="F157" t="n">
        <v>41534</v>
      </c>
      <c r="G157" t="n">
        <v>8513</v>
      </c>
      <c r="H157" t="n">
        <v>8905</v>
      </c>
      <c r="I157" t="n">
        <v>32111</v>
      </c>
      <c r="J157" t="n">
        <v>256487</v>
      </c>
      <c r="K157" t="n">
        <v>29046</v>
      </c>
      <c r="L157" t="n">
        <v>42656</v>
      </c>
      <c r="M157" t="n">
        <v>16882</v>
      </c>
      <c r="N157" t="n">
        <v>8914</v>
      </c>
      <c r="O157" t="n">
        <v>75387</v>
      </c>
      <c r="P157" t="n">
        <v>19942</v>
      </c>
      <c r="Q157" t="n">
        <v>6122</v>
      </c>
    </row>
    <row r="158">
      <c r="A158" s="134" t="n">
        <v>38353</v>
      </c>
      <c r="B158" t="n">
        <v>228238</v>
      </c>
      <c r="C158" t="n">
        <v>328696</v>
      </c>
      <c r="D158" t="n">
        <v>26126</v>
      </c>
      <c r="E158" t="n">
        <v>16125</v>
      </c>
      <c r="F158" t="n">
        <v>41691</v>
      </c>
      <c r="G158" t="n">
        <v>8555</v>
      </c>
      <c r="H158" t="n">
        <v>8856</v>
      </c>
      <c r="I158" t="n">
        <v>32000</v>
      </c>
      <c r="J158" t="n">
        <v>256613</v>
      </c>
      <c r="K158" t="n">
        <v>28375</v>
      </c>
      <c r="L158" t="n">
        <v>42556</v>
      </c>
      <c r="M158" t="n">
        <v>17116</v>
      </c>
      <c r="N158" t="n">
        <v>8784</v>
      </c>
      <c r="O158" t="n">
        <v>72083</v>
      </c>
      <c r="P158" t="n">
        <v>20237</v>
      </c>
      <c r="Q158" t="n">
        <v>6192</v>
      </c>
    </row>
    <row r="159">
      <c r="A159" s="134" t="n">
        <v>38384</v>
      </c>
      <c r="B159" t="n">
        <v>230238</v>
      </c>
      <c r="C159" t="n">
        <v>333026</v>
      </c>
      <c r="D159" t="n">
        <v>25797</v>
      </c>
      <c r="E159" t="n">
        <v>16674</v>
      </c>
      <c r="F159" t="n">
        <v>41757</v>
      </c>
      <c r="G159" t="n">
        <v>8765</v>
      </c>
      <c r="H159" t="n">
        <v>8908</v>
      </c>
      <c r="I159" t="n">
        <v>32469</v>
      </c>
      <c r="J159" t="n">
        <v>259253</v>
      </c>
      <c r="K159" t="n">
        <v>29015</v>
      </c>
      <c r="L159" t="n">
        <v>43183</v>
      </c>
      <c r="M159" t="n">
        <v>17292</v>
      </c>
      <c r="N159" t="n">
        <v>8949</v>
      </c>
      <c r="O159" t="n">
        <v>73773</v>
      </c>
      <c r="P159" t="n">
        <v>20175</v>
      </c>
      <c r="Q159" t="n">
        <v>6269</v>
      </c>
    </row>
    <row r="160">
      <c r="A160" s="134" t="n">
        <v>38412</v>
      </c>
      <c r="B160" t="n">
        <v>229936</v>
      </c>
      <c r="C160" t="n">
        <v>333581</v>
      </c>
      <c r="D160" t="n">
        <v>26219</v>
      </c>
      <c r="E160" t="n">
        <v>16293</v>
      </c>
      <c r="F160" t="n">
        <v>41800</v>
      </c>
      <c r="G160" t="n">
        <v>8784</v>
      </c>
      <c r="H160" t="n">
        <v>8840</v>
      </c>
      <c r="I160" t="n">
        <v>32273</v>
      </c>
      <c r="J160" t="n">
        <v>259434</v>
      </c>
      <c r="K160" t="n">
        <v>29498</v>
      </c>
      <c r="L160" t="n">
        <v>42949</v>
      </c>
      <c r="M160" t="n">
        <v>17245</v>
      </c>
      <c r="N160" t="n">
        <v>8890</v>
      </c>
      <c r="O160" t="n">
        <v>74147</v>
      </c>
      <c r="P160" t="n">
        <v>20506</v>
      </c>
      <c r="Q160" t="n">
        <v>6137</v>
      </c>
    </row>
    <row r="161">
      <c r="A161" s="134" t="n">
        <v>38443</v>
      </c>
      <c r="B161" t="n">
        <v>232925</v>
      </c>
      <c r="C161" t="n">
        <v>336583</v>
      </c>
      <c r="D161" t="n">
        <v>26520</v>
      </c>
      <c r="E161" t="n">
        <v>16636</v>
      </c>
      <c r="F161" t="n">
        <v>42283</v>
      </c>
      <c r="G161" t="n">
        <v>8820</v>
      </c>
      <c r="H161" t="n">
        <v>8994</v>
      </c>
      <c r="I161" t="n">
        <v>32823</v>
      </c>
      <c r="J161" t="n">
        <v>262934</v>
      </c>
      <c r="K161" t="n">
        <v>30009</v>
      </c>
      <c r="L161" t="n">
        <v>43601</v>
      </c>
      <c r="M161" t="n">
        <v>17350</v>
      </c>
      <c r="N161" t="n">
        <v>8839</v>
      </c>
      <c r="O161" t="n">
        <v>73649</v>
      </c>
      <c r="P161" t="n">
        <v>20741</v>
      </c>
      <c r="Q161" t="n">
        <v>6318</v>
      </c>
    </row>
    <row r="162">
      <c r="A162" s="134" t="n">
        <v>38473</v>
      </c>
      <c r="B162" t="n">
        <v>232157</v>
      </c>
      <c r="C162" t="n">
        <v>334522</v>
      </c>
      <c r="D162" t="n">
        <v>26510</v>
      </c>
      <c r="E162" t="n">
        <v>16514</v>
      </c>
      <c r="F162" t="n">
        <v>42081</v>
      </c>
      <c r="G162" t="n">
        <v>8775</v>
      </c>
      <c r="H162" t="n">
        <v>8963</v>
      </c>
      <c r="I162" t="n">
        <v>32746</v>
      </c>
      <c r="J162" t="n">
        <v>261297</v>
      </c>
      <c r="K162" t="n">
        <v>29140</v>
      </c>
      <c r="L162" t="n">
        <v>43423</v>
      </c>
      <c r="M162" t="n">
        <v>17413</v>
      </c>
      <c r="N162" t="n">
        <v>8932</v>
      </c>
      <c r="O162" t="n">
        <v>73225</v>
      </c>
      <c r="P162" t="n">
        <v>20568</v>
      </c>
      <c r="Q162" t="n">
        <v>6232</v>
      </c>
    </row>
    <row r="163">
      <c r="A163" s="134" t="n">
        <v>38504</v>
      </c>
      <c r="B163" t="n">
        <v>234470</v>
      </c>
      <c r="C163" t="n">
        <v>343998</v>
      </c>
      <c r="D163" t="n">
        <v>26569</v>
      </c>
      <c r="E163" t="n">
        <v>16824</v>
      </c>
      <c r="F163" t="n">
        <v>42363</v>
      </c>
      <c r="G163" t="n">
        <v>8828</v>
      </c>
      <c r="H163" t="n">
        <v>9093</v>
      </c>
      <c r="I163" t="n">
        <v>33009</v>
      </c>
      <c r="J163" t="n">
        <v>264359</v>
      </c>
      <c r="K163" t="n">
        <v>29889</v>
      </c>
      <c r="L163" t="n">
        <v>44354</v>
      </c>
      <c r="M163" t="n">
        <v>17392</v>
      </c>
      <c r="N163" t="n">
        <v>8879</v>
      </c>
      <c r="O163" t="n">
        <v>79639</v>
      </c>
      <c r="P163" t="n">
        <v>21024</v>
      </c>
      <c r="Q163" t="n">
        <v>6135</v>
      </c>
    </row>
    <row r="164">
      <c r="A164" s="134" t="n">
        <v>38534</v>
      </c>
      <c r="B164" t="n">
        <v>233995</v>
      </c>
      <c r="C164" t="n">
        <v>346576</v>
      </c>
      <c r="D164" t="n">
        <v>26538</v>
      </c>
      <c r="E164" t="n">
        <v>16450</v>
      </c>
      <c r="F164" t="n">
        <v>42184</v>
      </c>
      <c r="G164" t="n">
        <v>8877</v>
      </c>
      <c r="H164" t="n">
        <v>9084</v>
      </c>
      <c r="I164" t="n">
        <v>33056</v>
      </c>
      <c r="J164" t="n">
        <v>264971</v>
      </c>
      <c r="K164" t="n">
        <v>30976</v>
      </c>
      <c r="L164" t="n">
        <v>44017</v>
      </c>
      <c r="M164" t="n">
        <v>17635</v>
      </c>
      <c r="N164" t="n">
        <v>8927</v>
      </c>
      <c r="O164" t="n">
        <v>81605</v>
      </c>
      <c r="P164" t="n">
        <v>20988</v>
      </c>
      <c r="Q164" t="n">
        <v>6239</v>
      </c>
    </row>
    <row r="165">
      <c r="A165" s="134" t="n">
        <v>38565</v>
      </c>
      <c r="B165" t="n">
        <v>236121</v>
      </c>
      <c r="C165" t="n">
        <v>343307</v>
      </c>
      <c r="D165" t="n">
        <v>26814</v>
      </c>
      <c r="E165" t="n">
        <v>16759</v>
      </c>
      <c r="F165" t="n">
        <v>42542</v>
      </c>
      <c r="G165" t="n">
        <v>8868</v>
      </c>
      <c r="H165" t="n">
        <v>9193</v>
      </c>
      <c r="I165" t="n">
        <v>33261</v>
      </c>
      <c r="J165" t="n">
        <v>269520</v>
      </c>
      <c r="K165" t="n">
        <v>33399</v>
      </c>
      <c r="L165" t="n">
        <v>44214</v>
      </c>
      <c r="M165" t="n">
        <v>17548</v>
      </c>
      <c r="N165" t="n">
        <v>8881</v>
      </c>
      <c r="O165" t="n">
        <v>73787</v>
      </c>
      <c r="P165" t="n">
        <v>21767</v>
      </c>
      <c r="Q165" t="n">
        <v>6274</v>
      </c>
    </row>
    <row r="166">
      <c r="A166" s="134" t="n">
        <v>38596</v>
      </c>
      <c r="B166" t="n">
        <v>237213</v>
      </c>
      <c r="C166" t="n">
        <v>343956</v>
      </c>
      <c r="D166" t="n">
        <v>27111</v>
      </c>
      <c r="E166" t="n">
        <v>16450</v>
      </c>
      <c r="F166" t="n">
        <v>42845</v>
      </c>
      <c r="G166" t="n">
        <v>8955</v>
      </c>
      <c r="H166" t="n">
        <v>9244</v>
      </c>
      <c r="I166" t="n">
        <v>33283</v>
      </c>
      <c r="J166" t="n">
        <v>273329</v>
      </c>
      <c r="K166" t="n">
        <v>36116</v>
      </c>
      <c r="L166" t="n">
        <v>44502</v>
      </c>
      <c r="M166" t="n">
        <v>17707</v>
      </c>
      <c r="N166" t="n">
        <v>9010</v>
      </c>
      <c r="O166" t="n">
        <v>70627</v>
      </c>
      <c r="P166" t="n">
        <v>21951</v>
      </c>
      <c r="Q166" t="n">
        <v>6155</v>
      </c>
    </row>
    <row r="167">
      <c r="A167" s="134" t="n">
        <v>38626</v>
      </c>
      <c r="B167" t="n">
        <v>240333</v>
      </c>
      <c r="C167" t="n">
        <v>344097</v>
      </c>
      <c r="D167" t="n">
        <v>27664</v>
      </c>
      <c r="E167" t="n">
        <v>17120</v>
      </c>
      <c r="F167" t="n">
        <v>42842</v>
      </c>
      <c r="G167" t="n">
        <v>9047</v>
      </c>
      <c r="H167" t="n">
        <v>9315</v>
      </c>
      <c r="I167" t="n">
        <v>33618</v>
      </c>
      <c r="J167" t="n">
        <v>276244</v>
      </c>
      <c r="K167" t="n">
        <v>35911</v>
      </c>
      <c r="L167" t="n">
        <v>45267</v>
      </c>
      <c r="M167" t="n">
        <v>17742</v>
      </c>
      <c r="N167" t="n">
        <v>9086</v>
      </c>
      <c r="O167" t="n">
        <v>67853</v>
      </c>
      <c r="P167" t="n">
        <v>22255</v>
      </c>
      <c r="Q167" t="n">
        <v>6377</v>
      </c>
    </row>
    <row r="168">
      <c r="A168" s="134" t="n">
        <v>38657</v>
      </c>
      <c r="B168" t="n">
        <v>240929</v>
      </c>
      <c r="C168" t="n">
        <v>347325</v>
      </c>
      <c r="D168" t="n">
        <v>27674</v>
      </c>
      <c r="E168" t="n">
        <v>17142</v>
      </c>
      <c r="F168" t="n">
        <v>42823</v>
      </c>
      <c r="G168" t="n">
        <v>8965</v>
      </c>
      <c r="H168" t="n">
        <v>9319</v>
      </c>
      <c r="I168" t="n">
        <v>34022</v>
      </c>
      <c r="J168" t="n">
        <v>274114</v>
      </c>
      <c r="K168" t="n">
        <v>33185</v>
      </c>
      <c r="L168" t="n">
        <v>45226</v>
      </c>
      <c r="M168" t="n">
        <v>17859</v>
      </c>
      <c r="N168" t="n">
        <v>9151</v>
      </c>
      <c r="O168" t="n">
        <v>73211</v>
      </c>
      <c r="P168" t="n">
        <v>22461</v>
      </c>
      <c r="Q168" t="n">
        <v>6287</v>
      </c>
    </row>
    <row r="169">
      <c r="A169" s="134" t="n">
        <v>38687</v>
      </c>
      <c r="B169" t="n">
        <v>240919</v>
      </c>
      <c r="C169" t="n">
        <v>347405</v>
      </c>
      <c r="D169" t="n">
        <v>27324</v>
      </c>
      <c r="E169" t="n">
        <v>17207</v>
      </c>
      <c r="F169" t="n">
        <v>43191</v>
      </c>
      <c r="G169" t="n">
        <v>8889</v>
      </c>
      <c r="H169" t="n">
        <v>9260</v>
      </c>
      <c r="I169" t="n">
        <v>33932</v>
      </c>
      <c r="J169" t="n">
        <v>274073</v>
      </c>
      <c r="K169" t="n">
        <v>33154</v>
      </c>
      <c r="L169" t="n">
        <v>44778</v>
      </c>
      <c r="M169" t="n">
        <v>18005</v>
      </c>
      <c r="N169" t="n">
        <v>9044</v>
      </c>
      <c r="O169" t="n">
        <v>73332</v>
      </c>
      <c r="P169" t="n">
        <v>22827</v>
      </c>
      <c r="Q169" t="n">
        <v>6462</v>
      </c>
    </row>
    <row r="170">
      <c r="A170" s="134" t="n">
        <v>38718</v>
      </c>
      <c r="B170" t="n">
        <v>246276</v>
      </c>
      <c r="C170" t="n">
        <v>357331</v>
      </c>
      <c r="D170" t="n">
        <v>29686</v>
      </c>
      <c r="E170" t="n">
        <v>17331</v>
      </c>
      <c r="F170" t="n">
        <v>42681</v>
      </c>
      <c r="G170" t="n">
        <v>9395</v>
      </c>
      <c r="H170" t="n">
        <v>9561</v>
      </c>
      <c r="I170" t="n">
        <v>34983</v>
      </c>
      <c r="J170" t="n">
        <v>280574</v>
      </c>
      <c r="K170" t="n">
        <v>34298</v>
      </c>
      <c r="L170" t="n">
        <v>45710</v>
      </c>
      <c r="M170" t="n">
        <v>18000</v>
      </c>
      <c r="N170" t="n">
        <v>9620</v>
      </c>
      <c r="O170" t="n">
        <v>76757</v>
      </c>
      <c r="P170" t="n">
        <v>22574</v>
      </c>
      <c r="Q170" t="n">
        <v>6735</v>
      </c>
    </row>
    <row r="171">
      <c r="A171" s="134" t="n">
        <v>38749</v>
      </c>
      <c r="B171" t="n">
        <v>246424</v>
      </c>
      <c r="C171" t="n">
        <v>354706</v>
      </c>
      <c r="D171" t="n">
        <v>29479</v>
      </c>
      <c r="E171" t="n">
        <v>17384</v>
      </c>
      <c r="F171" t="n">
        <v>43379</v>
      </c>
      <c r="G171" t="n">
        <v>9101</v>
      </c>
      <c r="H171" t="n">
        <v>9439</v>
      </c>
      <c r="I171" t="n">
        <v>34535</v>
      </c>
      <c r="J171" t="n">
        <v>280598</v>
      </c>
      <c r="K171" t="n">
        <v>34174</v>
      </c>
      <c r="L171" t="n">
        <v>45774</v>
      </c>
      <c r="M171" t="n">
        <v>18124</v>
      </c>
      <c r="N171" t="n">
        <v>9512</v>
      </c>
      <c r="O171" t="n">
        <v>74108</v>
      </c>
      <c r="P171" t="n">
        <v>23068</v>
      </c>
      <c r="Q171" t="n">
        <v>6629</v>
      </c>
    </row>
    <row r="172">
      <c r="A172" s="134" t="n">
        <v>38777</v>
      </c>
      <c r="B172" t="n">
        <v>246861</v>
      </c>
      <c r="C172" t="n">
        <v>355665</v>
      </c>
      <c r="D172" t="n">
        <v>29289</v>
      </c>
      <c r="E172" t="n">
        <v>17385</v>
      </c>
      <c r="F172" t="n">
        <v>43233</v>
      </c>
      <c r="G172" t="n">
        <v>9185</v>
      </c>
      <c r="H172" t="n">
        <v>9431</v>
      </c>
      <c r="I172" t="n">
        <v>34796</v>
      </c>
      <c r="J172" t="n">
        <v>281056</v>
      </c>
      <c r="K172" t="n">
        <v>34195</v>
      </c>
      <c r="L172" t="n">
        <v>45635</v>
      </c>
      <c r="M172" t="n">
        <v>18222</v>
      </c>
      <c r="N172" t="n">
        <v>9398</v>
      </c>
      <c r="O172" t="n">
        <v>74609</v>
      </c>
      <c r="P172" t="n">
        <v>23677</v>
      </c>
      <c r="Q172" t="n">
        <v>6610</v>
      </c>
    </row>
    <row r="173">
      <c r="A173" s="134" t="n">
        <v>38808</v>
      </c>
      <c r="B173" t="n">
        <v>246879</v>
      </c>
      <c r="C173" t="n">
        <v>357423</v>
      </c>
      <c r="D173" t="n">
        <v>28905</v>
      </c>
      <c r="E173" t="n">
        <v>17542</v>
      </c>
      <c r="F173" t="n">
        <v>43269</v>
      </c>
      <c r="G173" t="n">
        <v>9165</v>
      </c>
      <c r="H173" t="n">
        <v>9402</v>
      </c>
      <c r="I173" t="n">
        <v>34862</v>
      </c>
      <c r="J173" t="n">
        <v>282525</v>
      </c>
      <c r="K173" t="n">
        <v>35646</v>
      </c>
      <c r="L173" t="n">
        <v>46048</v>
      </c>
      <c r="M173" t="n">
        <v>18294</v>
      </c>
      <c r="N173" t="n">
        <v>9507</v>
      </c>
      <c r="O173" t="n">
        <v>74898</v>
      </c>
      <c r="P173" t="n">
        <v>23305</v>
      </c>
      <c r="Q173" t="n">
        <v>6580</v>
      </c>
    </row>
    <row r="174">
      <c r="A174" s="134" t="n">
        <v>38838</v>
      </c>
      <c r="B174" t="n">
        <v>246464</v>
      </c>
      <c r="C174" t="n">
        <v>356704</v>
      </c>
      <c r="D174" t="n">
        <v>27864</v>
      </c>
      <c r="E174" t="n">
        <v>17492</v>
      </c>
      <c r="F174" t="n">
        <v>43654</v>
      </c>
      <c r="G174" t="n">
        <v>9132</v>
      </c>
      <c r="H174" t="n">
        <v>9368</v>
      </c>
      <c r="I174" t="n">
        <v>34910</v>
      </c>
      <c r="J174" t="n">
        <v>282623</v>
      </c>
      <c r="K174" t="n">
        <v>36159</v>
      </c>
      <c r="L174" t="n">
        <v>45806</v>
      </c>
      <c r="M174" t="n">
        <v>18466</v>
      </c>
      <c r="N174" t="n">
        <v>9475</v>
      </c>
      <c r="O174" t="n">
        <v>74081</v>
      </c>
      <c r="P174" t="n">
        <v>23794</v>
      </c>
      <c r="Q174" t="n">
        <v>6503</v>
      </c>
    </row>
    <row r="175">
      <c r="A175" s="134" t="n">
        <v>38869</v>
      </c>
      <c r="B175" t="n">
        <v>246282</v>
      </c>
      <c r="C175" t="n">
        <v>357879</v>
      </c>
      <c r="D175" t="n">
        <v>27339</v>
      </c>
      <c r="E175" t="n">
        <v>17701</v>
      </c>
      <c r="F175" t="n">
        <v>43782</v>
      </c>
      <c r="G175" t="n">
        <v>9130</v>
      </c>
      <c r="H175" t="n">
        <v>9485</v>
      </c>
      <c r="I175" t="n">
        <v>34695</v>
      </c>
      <c r="J175" t="n">
        <v>282510</v>
      </c>
      <c r="K175" t="n">
        <v>36228</v>
      </c>
      <c r="L175" t="n">
        <v>45956</v>
      </c>
      <c r="M175" t="n">
        <v>18584</v>
      </c>
      <c r="N175" t="n">
        <v>9324</v>
      </c>
      <c r="O175" t="n">
        <v>75369</v>
      </c>
      <c r="P175" t="n">
        <v>23762</v>
      </c>
      <c r="Q175" t="n">
        <v>6524</v>
      </c>
    </row>
    <row r="176">
      <c r="A176" s="134" t="n">
        <v>38899</v>
      </c>
      <c r="B176" t="n">
        <v>246079</v>
      </c>
      <c r="C176" t="n">
        <v>359006</v>
      </c>
      <c r="D176" t="n">
        <v>27327</v>
      </c>
      <c r="E176" t="n">
        <v>17691</v>
      </c>
      <c r="F176" t="n">
        <v>43827</v>
      </c>
      <c r="G176" t="n">
        <v>9126</v>
      </c>
      <c r="H176" t="n">
        <v>9442</v>
      </c>
      <c r="I176" t="n">
        <v>34802</v>
      </c>
      <c r="J176" t="n">
        <v>283042</v>
      </c>
      <c r="K176" t="n">
        <v>36963</v>
      </c>
      <c r="L176" t="n">
        <v>45838</v>
      </c>
      <c r="M176" t="n">
        <v>18640</v>
      </c>
      <c r="N176" t="n">
        <v>9287</v>
      </c>
      <c r="O176" t="n">
        <v>75964</v>
      </c>
      <c r="P176" t="n">
        <v>23638</v>
      </c>
      <c r="Q176" t="n">
        <v>6461</v>
      </c>
    </row>
    <row r="177">
      <c r="A177" s="134" t="n">
        <v>38930</v>
      </c>
      <c r="B177" t="n">
        <v>247808</v>
      </c>
      <c r="C177" t="n">
        <v>360691</v>
      </c>
      <c r="D177" t="n">
        <v>27358</v>
      </c>
      <c r="E177" t="n">
        <v>17635</v>
      </c>
      <c r="F177" t="n">
        <v>44160</v>
      </c>
      <c r="G177" t="n">
        <v>9124</v>
      </c>
      <c r="H177" t="n">
        <v>9422</v>
      </c>
      <c r="I177" t="n">
        <v>35367</v>
      </c>
      <c r="J177" t="n">
        <v>285504</v>
      </c>
      <c r="K177" t="n">
        <v>37696</v>
      </c>
      <c r="L177" t="n">
        <v>46043</v>
      </c>
      <c r="M177" t="n">
        <v>18757</v>
      </c>
      <c r="N177" t="n">
        <v>9305</v>
      </c>
      <c r="O177" t="n">
        <v>75187</v>
      </c>
      <c r="P177" t="n">
        <v>24225</v>
      </c>
      <c r="Q177" t="n">
        <v>6412</v>
      </c>
    </row>
    <row r="178">
      <c r="A178" s="134" t="n">
        <v>38961</v>
      </c>
      <c r="B178" t="n">
        <v>249447</v>
      </c>
      <c r="C178" t="n">
        <v>358961</v>
      </c>
      <c r="D178" t="n">
        <v>26994</v>
      </c>
      <c r="E178" t="n">
        <v>18256</v>
      </c>
      <c r="F178" t="n">
        <v>43846</v>
      </c>
      <c r="G178" t="n">
        <v>9158</v>
      </c>
      <c r="H178" t="n">
        <v>9549</v>
      </c>
      <c r="I178" t="n">
        <v>35725</v>
      </c>
      <c r="J178" t="n">
        <v>284382</v>
      </c>
      <c r="K178" t="n">
        <v>34935</v>
      </c>
      <c r="L178" t="n">
        <v>46712</v>
      </c>
      <c r="M178" t="n">
        <v>18933</v>
      </c>
      <c r="N178" t="n">
        <v>9378</v>
      </c>
      <c r="O178" t="n">
        <v>74579</v>
      </c>
      <c r="P178" t="n">
        <v>24206</v>
      </c>
      <c r="Q178" t="n">
        <v>6690</v>
      </c>
    </row>
    <row r="179">
      <c r="A179" s="134" t="n">
        <v>38991</v>
      </c>
      <c r="B179" t="n">
        <v>250103</v>
      </c>
      <c r="C179" t="n">
        <v>358462</v>
      </c>
      <c r="D179" t="n">
        <v>27161</v>
      </c>
      <c r="E179" t="n">
        <v>18126</v>
      </c>
      <c r="F179" t="n">
        <v>44542</v>
      </c>
      <c r="G179" t="n">
        <v>8953</v>
      </c>
      <c r="H179" t="n">
        <v>9375</v>
      </c>
      <c r="I179" t="n">
        <v>35784</v>
      </c>
      <c r="J179" t="n">
        <v>283015</v>
      </c>
      <c r="K179" t="n">
        <v>32912</v>
      </c>
      <c r="L179" t="n">
        <v>46679</v>
      </c>
      <c r="M179" t="n">
        <v>19044</v>
      </c>
      <c r="N179" t="n">
        <v>9501</v>
      </c>
      <c r="O179" t="n">
        <v>75447</v>
      </c>
      <c r="P179" t="n">
        <v>24349</v>
      </c>
      <c r="Q179" t="n">
        <v>6589</v>
      </c>
    </row>
    <row r="180">
      <c r="A180" s="134" t="n">
        <v>39022</v>
      </c>
      <c r="B180" t="n">
        <v>249880</v>
      </c>
      <c r="C180" t="n">
        <v>359266</v>
      </c>
      <c r="D180" t="n">
        <v>26647</v>
      </c>
      <c r="E180" t="n">
        <v>17910</v>
      </c>
      <c r="F180" t="n">
        <v>44572</v>
      </c>
      <c r="G180" t="n">
        <v>9158</v>
      </c>
      <c r="H180" t="n">
        <v>9311</v>
      </c>
      <c r="I180" t="n">
        <v>35923</v>
      </c>
      <c r="J180" t="n">
        <v>283202</v>
      </c>
      <c r="K180" t="n">
        <v>33322</v>
      </c>
      <c r="L180" t="n">
        <v>46800</v>
      </c>
      <c r="M180" t="n">
        <v>19276</v>
      </c>
      <c r="N180" t="n">
        <v>9563</v>
      </c>
      <c r="O180" t="n">
        <v>76064</v>
      </c>
      <c r="P180" t="n">
        <v>24259</v>
      </c>
      <c r="Q180" t="n">
        <v>6461</v>
      </c>
    </row>
    <row r="181">
      <c r="A181" s="134" t="n">
        <v>39052</v>
      </c>
      <c r="B181" t="n">
        <v>253397</v>
      </c>
      <c r="C181" t="n">
        <v>363730</v>
      </c>
      <c r="D181" t="n">
        <v>27100</v>
      </c>
      <c r="E181" t="n">
        <v>18497</v>
      </c>
      <c r="F181" t="n">
        <v>44730</v>
      </c>
      <c r="G181" t="n">
        <v>9478</v>
      </c>
      <c r="H181" t="n">
        <v>9334</v>
      </c>
      <c r="I181" t="n">
        <v>36881</v>
      </c>
      <c r="J181" t="n">
        <v>288292</v>
      </c>
      <c r="K181" t="n">
        <v>34895</v>
      </c>
      <c r="L181" t="n">
        <v>47344</v>
      </c>
      <c r="M181" t="n">
        <v>19385</v>
      </c>
      <c r="N181" t="n">
        <v>9876</v>
      </c>
      <c r="O181" t="n">
        <v>75438</v>
      </c>
      <c r="P181" t="n">
        <v>24206</v>
      </c>
      <c r="Q181" t="n">
        <v>6566</v>
      </c>
    </row>
    <row r="182">
      <c r="A182" s="134" t="n">
        <v>39083</v>
      </c>
      <c r="B182" t="n">
        <v>253973</v>
      </c>
      <c r="C182" t="n">
        <v>363616</v>
      </c>
      <c r="D182" t="n">
        <v>27533</v>
      </c>
      <c r="E182" t="n">
        <v>18493</v>
      </c>
      <c r="F182" t="n">
        <v>44856</v>
      </c>
      <c r="G182" t="n">
        <v>9229</v>
      </c>
      <c r="H182" t="n">
        <v>9609</v>
      </c>
      <c r="I182" t="n">
        <v>36435</v>
      </c>
      <c r="J182" t="n">
        <v>288217</v>
      </c>
      <c r="K182" t="n">
        <v>34244</v>
      </c>
      <c r="L182" t="n">
        <v>48034</v>
      </c>
      <c r="M182" t="n">
        <v>19423</v>
      </c>
      <c r="N182" t="n">
        <v>9629</v>
      </c>
      <c r="O182" t="n">
        <v>75399</v>
      </c>
      <c r="P182" t="n">
        <v>24243</v>
      </c>
      <c r="Q182" t="n">
        <v>6489</v>
      </c>
    </row>
    <row r="183">
      <c r="A183" s="134" t="n">
        <v>39114</v>
      </c>
      <c r="B183" t="n">
        <v>253233</v>
      </c>
      <c r="C183" t="n">
        <v>364006</v>
      </c>
      <c r="D183" t="n">
        <v>27088</v>
      </c>
      <c r="E183" t="n">
        <v>18144</v>
      </c>
      <c r="F183" t="n">
        <v>45274</v>
      </c>
      <c r="G183" t="n">
        <v>9123</v>
      </c>
      <c r="H183" t="n">
        <v>9369</v>
      </c>
      <c r="I183" t="n">
        <v>36053</v>
      </c>
      <c r="J183" t="n">
        <v>288165</v>
      </c>
      <c r="K183" t="n">
        <v>34932</v>
      </c>
      <c r="L183" t="n">
        <v>47293</v>
      </c>
      <c r="M183" t="n">
        <v>19401</v>
      </c>
      <c r="N183" t="n">
        <v>9489</v>
      </c>
      <c r="O183" t="n">
        <v>75841</v>
      </c>
      <c r="P183" t="n">
        <v>25505</v>
      </c>
      <c r="Q183" t="n">
        <v>6494</v>
      </c>
    </row>
    <row r="184">
      <c r="A184" s="134" t="n">
        <v>39142</v>
      </c>
      <c r="B184" t="n">
        <v>255687</v>
      </c>
      <c r="C184" t="n">
        <v>367158</v>
      </c>
      <c r="D184" t="n">
        <v>27506</v>
      </c>
      <c r="E184" t="n">
        <v>18643</v>
      </c>
      <c r="F184" t="n">
        <v>45271</v>
      </c>
      <c r="G184" t="n">
        <v>9026</v>
      </c>
      <c r="H184" t="n">
        <v>9406</v>
      </c>
      <c r="I184" t="n">
        <v>36579</v>
      </c>
      <c r="J184" t="n">
        <v>291686</v>
      </c>
      <c r="K184" t="n">
        <v>35999</v>
      </c>
      <c r="L184" t="n">
        <v>48132</v>
      </c>
      <c r="M184" t="n">
        <v>19540</v>
      </c>
      <c r="N184" t="n">
        <v>9771</v>
      </c>
      <c r="O184" t="n">
        <v>75472</v>
      </c>
      <c r="P184" t="n">
        <v>25034</v>
      </c>
      <c r="Q184" t="n">
        <v>6779</v>
      </c>
    </row>
    <row r="185">
      <c r="A185" s="134" t="n">
        <v>39173</v>
      </c>
      <c r="B185" t="n">
        <v>253632</v>
      </c>
      <c r="C185" t="n">
        <v>366187</v>
      </c>
      <c r="D185" t="n">
        <v>26610</v>
      </c>
      <c r="E185" t="n">
        <v>18189</v>
      </c>
      <c r="F185" t="n">
        <v>44988</v>
      </c>
      <c r="G185" t="n">
        <v>9008</v>
      </c>
      <c r="H185" t="n">
        <v>9430</v>
      </c>
      <c r="I185" t="n">
        <v>36627</v>
      </c>
      <c r="J185" t="n">
        <v>289982</v>
      </c>
      <c r="K185" t="n">
        <v>36350</v>
      </c>
      <c r="L185" t="n">
        <v>47679</v>
      </c>
      <c r="M185" t="n">
        <v>19572</v>
      </c>
      <c r="N185" t="n">
        <v>9586</v>
      </c>
      <c r="O185" t="n">
        <v>76205</v>
      </c>
      <c r="P185" t="n">
        <v>25303</v>
      </c>
      <c r="Q185" t="n">
        <v>6640</v>
      </c>
    </row>
    <row r="186">
      <c r="A186" s="134" t="n">
        <v>39203</v>
      </c>
      <c r="B186" t="n">
        <v>255752</v>
      </c>
      <c r="C186" t="n">
        <v>370934</v>
      </c>
      <c r="D186" t="n">
        <v>27144</v>
      </c>
      <c r="E186" t="n">
        <v>18545</v>
      </c>
      <c r="F186" t="n">
        <v>45454</v>
      </c>
      <c r="G186" t="n">
        <v>9090</v>
      </c>
      <c r="H186" t="n">
        <v>9331</v>
      </c>
      <c r="I186" t="n">
        <v>36732</v>
      </c>
      <c r="J186" t="n">
        <v>293748</v>
      </c>
      <c r="K186" t="n">
        <v>37996</v>
      </c>
      <c r="L186" t="n">
        <v>47887</v>
      </c>
      <c r="M186" t="n">
        <v>19650</v>
      </c>
      <c r="N186" t="n">
        <v>9843</v>
      </c>
      <c r="O186" t="n">
        <v>77186</v>
      </c>
      <c r="P186" t="n">
        <v>25271</v>
      </c>
      <c r="Q186" t="n">
        <v>6805</v>
      </c>
    </row>
    <row r="187">
      <c r="A187" s="134" t="n">
        <v>39234</v>
      </c>
      <c r="B187" t="n">
        <v>256050</v>
      </c>
      <c r="C187" t="n">
        <v>368154</v>
      </c>
      <c r="D187" t="n">
        <v>26638</v>
      </c>
      <c r="E187" t="n">
        <v>18388</v>
      </c>
      <c r="F187" t="n">
        <v>45627</v>
      </c>
      <c r="G187" t="n">
        <v>9023</v>
      </c>
      <c r="H187" t="n">
        <v>9264</v>
      </c>
      <c r="I187" t="n">
        <v>37078</v>
      </c>
      <c r="J187" t="n">
        <v>293360</v>
      </c>
      <c r="K187" t="n">
        <v>37310</v>
      </c>
      <c r="L187" t="n">
        <v>47852</v>
      </c>
      <c r="M187" t="n">
        <v>19880</v>
      </c>
      <c r="N187" t="n">
        <v>9988</v>
      </c>
      <c r="O187" t="n">
        <v>74794</v>
      </c>
      <c r="P187" t="n">
        <v>25462</v>
      </c>
      <c r="Q187" t="n">
        <v>6850</v>
      </c>
    </row>
    <row r="188">
      <c r="A188" s="134" t="n">
        <v>39264</v>
      </c>
      <c r="B188" t="n">
        <v>257719</v>
      </c>
      <c r="C188" t="n">
        <v>369614</v>
      </c>
      <c r="D188" t="n">
        <v>26860</v>
      </c>
      <c r="E188" t="n">
        <v>18522</v>
      </c>
      <c r="F188" t="n">
        <v>45754</v>
      </c>
      <c r="G188" t="n">
        <v>9088</v>
      </c>
      <c r="H188" t="n">
        <v>9315</v>
      </c>
      <c r="I188" t="n">
        <v>37272</v>
      </c>
      <c r="J188" t="n">
        <v>294682</v>
      </c>
      <c r="K188" t="n">
        <v>36963</v>
      </c>
      <c r="L188" t="n">
        <v>48412</v>
      </c>
      <c r="M188" t="n">
        <v>19831</v>
      </c>
      <c r="N188" t="n">
        <v>9759</v>
      </c>
      <c r="O188" t="n">
        <v>74932</v>
      </c>
      <c r="P188" t="n">
        <v>25970</v>
      </c>
      <c r="Q188" t="n">
        <v>6936</v>
      </c>
    </row>
    <row r="189">
      <c r="A189" s="134" t="n">
        <v>39295</v>
      </c>
      <c r="B189" t="n">
        <v>257586</v>
      </c>
      <c r="C189" t="n">
        <v>371358</v>
      </c>
      <c r="D189" t="n">
        <v>26625</v>
      </c>
      <c r="E189" t="n">
        <v>18491</v>
      </c>
      <c r="F189" t="n">
        <v>45643</v>
      </c>
      <c r="G189" t="n">
        <v>9274</v>
      </c>
      <c r="H189" t="n">
        <v>9300</v>
      </c>
      <c r="I189" t="n">
        <v>37189</v>
      </c>
      <c r="J189" t="n">
        <v>294809</v>
      </c>
      <c r="K189" t="n">
        <v>37223</v>
      </c>
      <c r="L189" t="n">
        <v>48704</v>
      </c>
      <c r="M189" t="n">
        <v>20014</v>
      </c>
      <c r="N189" t="n">
        <v>9740</v>
      </c>
      <c r="O189" t="n">
        <v>76549</v>
      </c>
      <c r="P189" t="n">
        <v>25826</v>
      </c>
      <c r="Q189" t="n">
        <v>6780</v>
      </c>
    </row>
    <row r="190">
      <c r="A190" s="134" t="n">
        <v>39326</v>
      </c>
      <c r="B190" t="n">
        <v>257483</v>
      </c>
      <c r="C190" t="n">
        <v>372869</v>
      </c>
      <c r="D190" t="n">
        <v>26412</v>
      </c>
      <c r="E190" t="n">
        <v>18412</v>
      </c>
      <c r="F190" t="n">
        <v>45853</v>
      </c>
      <c r="G190" t="n">
        <v>9174</v>
      </c>
      <c r="H190" t="n">
        <v>9141</v>
      </c>
      <c r="I190" t="n">
        <v>37427</v>
      </c>
      <c r="J190" t="n">
        <v>295693</v>
      </c>
      <c r="K190" t="n">
        <v>38210</v>
      </c>
      <c r="L190" t="n">
        <v>48288</v>
      </c>
      <c r="M190" t="n">
        <v>20132</v>
      </c>
      <c r="N190" t="n">
        <v>9783</v>
      </c>
      <c r="O190" t="n">
        <v>77176</v>
      </c>
      <c r="P190" t="n">
        <v>26112</v>
      </c>
      <c r="Q190" t="n">
        <v>6749</v>
      </c>
    </row>
    <row r="191">
      <c r="A191" s="134" t="n">
        <v>39356</v>
      </c>
      <c r="B191" t="n">
        <v>258365</v>
      </c>
      <c r="C191" t="n">
        <v>375289</v>
      </c>
      <c r="D191" t="n">
        <v>26248</v>
      </c>
      <c r="E191" t="n">
        <v>18431</v>
      </c>
      <c r="F191" t="n">
        <v>46113</v>
      </c>
      <c r="G191" t="n">
        <v>9293</v>
      </c>
      <c r="H191" t="n">
        <v>9142</v>
      </c>
      <c r="I191" t="n">
        <v>37759</v>
      </c>
      <c r="J191" t="n">
        <v>297672</v>
      </c>
      <c r="K191" t="n">
        <v>39307</v>
      </c>
      <c r="L191" t="n">
        <v>48540</v>
      </c>
      <c r="M191" t="n">
        <v>19988</v>
      </c>
      <c r="N191" t="n">
        <v>9620</v>
      </c>
      <c r="O191" t="n">
        <v>77617</v>
      </c>
      <c r="P191" t="n">
        <v>26397</v>
      </c>
      <c r="Q191" t="n">
        <v>6834</v>
      </c>
    </row>
    <row r="192">
      <c r="A192" s="134" t="n">
        <v>39387</v>
      </c>
      <c r="B192" t="n">
        <v>260954</v>
      </c>
      <c r="C192" t="n">
        <v>378860</v>
      </c>
      <c r="D192" t="n">
        <v>26566</v>
      </c>
      <c r="E192" t="n">
        <v>18759</v>
      </c>
      <c r="F192" t="n">
        <v>46624</v>
      </c>
      <c r="G192" t="n">
        <v>9562</v>
      </c>
      <c r="H192" t="n">
        <v>9094</v>
      </c>
      <c r="I192" t="n">
        <v>37727</v>
      </c>
      <c r="J192" t="n">
        <v>302939</v>
      </c>
      <c r="K192" t="n">
        <v>41985</v>
      </c>
      <c r="L192" t="n">
        <v>49047</v>
      </c>
      <c r="M192" t="n">
        <v>19938</v>
      </c>
      <c r="N192" t="n">
        <v>9632</v>
      </c>
      <c r="O192" t="n">
        <v>75921</v>
      </c>
      <c r="P192" t="n">
        <v>27065</v>
      </c>
      <c r="Q192" t="n">
        <v>6940</v>
      </c>
    </row>
    <row r="193">
      <c r="A193" s="134" t="n">
        <v>39417</v>
      </c>
      <c r="B193" t="n">
        <v>259360</v>
      </c>
      <c r="C193" t="n">
        <v>374298</v>
      </c>
      <c r="D193" t="n">
        <v>25634</v>
      </c>
      <c r="E193" t="n">
        <v>18570</v>
      </c>
      <c r="F193" t="n">
        <v>46831</v>
      </c>
      <c r="G193" t="n">
        <v>9368</v>
      </c>
      <c r="H193" t="n">
        <v>9009</v>
      </c>
      <c r="I193" t="n">
        <v>38109</v>
      </c>
      <c r="J193" t="n">
        <v>300953</v>
      </c>
      <c r="K193" t="n">
        <v>41593</v>
      </c>
      <c r="L193" t="n">
        <v>49302</v>
      </c>
      <c r="M193" t="n">
        <v>19825</v>
      </c>
      <c r="N193" t="n">
        <v>9688</v>
      </c>
      <c r="O193" t="n">
        <v>73345</v>
      </c>
      <c r="P193" t="n">
        <v>26268</v>
      </c>
      <c r="Q193" t="n">
        <v>6756</v>
      </c>
    </row>
    <row r="194">
      <c r="A194" s="134" t="n">
        <v>39448</v>
      </c>
      <c r="B194" t="n">
        <v>258979</v>
      </c>
      <c r="C194" t="n">
        <v>375236</v>
      </c>
      <c r="D194" t="n">
        <v>25721</v>
      </c>
      <c r="E194" t="n">
        <v>18542</v>
      </c>
      <c r="F194" t="n">
        <v>46862</v>
      </c>
      <c r="G194" t="n">
        <v>9175</v>
      </c>
      <c r="H194" t="n">
        <v>8873</v>
      </c>
      <c r="I194" t="n">
        <v>37824</v>
      </c>
      <c r="J194" t="n">
        <v>301402</v>
      </c>
      <c r="K194" t="n">
        <v>42423</v>
      </c>
      <c r="L194" t="n">
        <v>48951</v>
      </c>
      <c r="M194" t="n">
        <v>20120</v>
      </c>
      <c r="N194" t="n">
        <v>10074</v>
      </c>
      <c r="O194" t="n">
        <v>73834</v>
      </c>
      <c r="P194" t="n">
        <v>26019</v>
      </c>
      <c r="Q194" t="n">
        <v>6818</v>
      </c>
    </row>
    <row r="195">
      <c r="A195" s="134" t="n">
        <v>39479</v>
      </c>
      <c r="B195" t="n">
        <v>257123</v>
      </c>
      <c r="C195" t="n">
        <v>371833</v>
      </c>
      <c r="D195" t="n">
        <v>25659</v>
      </c>
      <c r="E195" t="n">
        <v>18280</v>
      </c>
      <c r="F195" t="n">
        <v>46707</v>
      </c>
      <c r="G195" t="n">
        <v>9196</v>
      </c>
      <c r="H195" t="n">
        <v>8594</v>
      </c>
      <c r="I195" t="n">
        <v>37249</v>
      </c>
      <c r="J195" t="n">
        <v>299627</v>
      </c>
      <c r="K195" t="n">
        <v>42504</v>
      </c>
      <c r="L195" t="n">
        <v>48927</v>
      </c>
      <c r="M195" t="n">
        <v>20279</v>
      </c>
      <c r="N195" t="n">
        <v>9380</v>
      </c>
      <c r="O195" t="n">
        <v>72206</v>
      </c>
      <c r="P195" t="n">
        <v>26101</v>
      </c>
      <c r="Q195" t="n">
        <v>6751</v>
      </c>
    </row>
    <row r="196">
      <c r="A196" s="134" t="n">
        <v>39508</v>
      </c>
      <c r="B196" t="n">
        <v>257927</v>
      </c>
      <c r="C196" t="n">
        <v>372745</v>
      </c>
      <c r="D196" t="n">
        <v>25456</v>
      </c>
      <c r="E196" t="n">
        <v>18338</v>
      </c>
      <c r="F196" t="n">
        <v>46883</v>
      </c>
      <c r="G196" t="n">
        <v>9171</v>
      </c>
      <c r="H196" t="n">
        <v>8631</v>
      </c>
      <c r="I196" t="n">
        <v>37552</v>
      </c>
      <c r="J196" t="n">
        <v>300971</v>
      </c>
      <c r="K196" t="n">
        <v>43044</v>
      </c>
      <c r="L196" t="n">
        <v>48990</v>
      </c>
      <c r="M196" t="n">
        <v>20288</v>
      </c>
      <c r="N196" t="n">
        <v>9355</v>
      </c>
      <c r="O196" t="n">
        <v>71774</v>
      </c>
      <c r="P196" t="n">
        <v>26530</v>
      </c>
      <c r="Q196" t="n">
        <v>6733</v>
      </c>
    </row>
    <row r="197">
      <c r="A197" s="134" t="n">
        <v>39539</v>
      </c>
      <c r="B197" t="n">
        <v>259587</v>
      </c>
      <c r="C197" t="n">
        <v>372572</v>
      </c>
      <c r="D197" t="n">
        <v>25292</v>
      </c>
      <c r="E197" t="n">
        <v>18384</v>
      </c>
      <c r="F197" t="n">
        <v>47356</v>
      </c>
      <c r="G197" t="n">
        <v>9286</v>
      </c>
      <c r="H197" t="n">
        <v>8606</v>
      </c>
      <c r="I197" t="n">
        <v>37729</v>
      </c>
      <c r="J197" t="n">
        <v>302520</v>
      </c>
      <c r="K197" t="n">
        <v>42933</v>
      </c>
      <c r="L197" t="n">
        <v>49433</v>
      </c>
      <c r="M197" t="n">
        <v>20172</v>
      </c>
      <c r="N197" t="n">
        <v>9277</v>
      </c>
      <c r="O197" t="n">
        <v>70052</v>
      </c>
      <c r="P197" t="n">
        <v>27243</v>
      </c>
      <c r="Q197" t="n">
        <v>6809</v>
      </c>
    </row>
    <row r="198">
      <c r="A198" s="134" t="n">
        <v>39569</v>
      </c>
      <c r="B198" t="n">
        <v>262549</v>
      </c>
      <c r="C198" t="n">
        <v>376036</v>
      </c>
      <c r="D198" t="n">
        <v>25650</v>
      </c>
      <c r="E198" t="n">
        <v>18642</v>
      </c>
      <c r="F198" t="n">
        <v>47355</v>
      </c>
      <c r="G198" t="n">
        <v>9530</v>
      </c>
      <c r="H198" t="n">
        <v>8587</v>
      </c>
      <c r="I198" t="n">
        <v>38089</v>
      </c>
      <c r="J198" t="n">
        <v>306893</v>
      </c>
      <c r="K198" t="n">
        <v>44344</v>
      </c>
      <c r="L198" t="n">
        <v>50375</v>
      </c>
      <c r="M198" t="n">
        <v>20536</v>
      </c>
      <c r="N198" t="n">
        <v>9310</v>
      </c>
      <c r="O198" t="n">
        <v>69143</v>
      </c>
      <c r="P198" t="n">
        <v>27526</v>
      </c>
      <c r="Q198" t="n">
        <v>6949</v>
      </c>
    </row>
    <row r="199">
      <c r="A199" s="134" t="n">
        <v>39600</v>
      </c>
      <c r="B199" t="n">
        <v>262747</v>
      </c>
      <c r="C199" t="n">
        <v>376455</v>
      </c>
      <c r="D199" t="n">
        <v>25700</v>
      </c>
      <c r="E199" t="n">
        <v>18708</v>
      </c>
      <c r="F199" t="n">
        <v>47568</v>
      </c>
      <c r="G199" t="n">
        <v>9305</v>
      </c>
      <c r="H199" t="n">
        <v>8473</v>
      </c>
      <c r="I199" t="n">
        <v>38144</v>
      </c>
      <c r="J199" t="n">
        <v>309294</v>
      </c>
      <c r="K199" t="n">
        <v>46547</v>
      </c>
      <c r="L199" t="n">
        <v>50762</v>
      </c>
      <c r="M199" t="n">
        <v>20497</v>
      </c>
      <c r="N199" t="n">
        <v>9308</v>
      </c>
      <c r="O199" t="n">
        <v>67161</v>
      </c>
      <c r="P199" t="n">
        <v>27403</v>
      </c>
      <c r="Q199" t="n">
        <v>6879</v>
      </c>
    </row>
    <row r="200">
      <c r="A200" s="134" t="n">
        <v>39630</v>
      </c>
      <c r="B200" t="n">
        <v>263828</v>
      </c>
      <c r="C200" t="n">
        <v>375038</v>
      </c>
      <c r="D200" t="n">
        <v>25897</v>
      </c>
      <c r="E200" t="n">
        <v>18635</v>
      </c>
      <c r="F200" t="n">
        <v>47845</v>
      </c>
      <c r="G200" t="n">
        <v>9329</v>
      </c>
      <c r="H200" t="n">
        <v>8369</v>
      </c>
      <c r="I200" t="n">
        <v>38267</v>
      </c>
      <c r="J200" t="n">
        <v>310641</v>
      </c>
      <c r="K200" t="n">
        <v>46813</v>
      </c>
      <c r="L200" t="n">
        <v>50582</v>
      </c>
      <c r="M200" t="n">
        <v>20640</v>
      </c>
      <c r="N200" t="n">
        <v>9583</v>
      </c>
      <c r="O200" t="n">
        <v>64397</v>
      </c>
      <c r="P200" t="n">
        <v>27823</v>
      </c>
      <c r="Q200" t="n">
        <v>6858</v>
      </c>
    </row>
    <row r="201">
      <c r="A201" s="134" t="n">
        <v>39661</v>
      </c>
      <c r="B201" t="n">
        <v>261654</v>
      </c>
      <c r="C201" t="n">
        <v>372284</v>
      </c>
      <c r="D201" t="n">
        <v>25329</v>
      </c>
      <c r="E201" t="n">
        <v>18524</v>
      </c>
      <c r="F201" t="n">
        <v>47988</v>
      </c>
      <c r="G201" t="n">
        <v>9201</v>
      </c>
      <c r="H201" t="n">
        <v>8154</v>
      </c>
      <c r="I201" t="n">
        <v>38239</v>
      </c>
      <c r="J201" t="n">
        <v>307299</v>
      </c>
      <c r="K201" t="n">
        <v>45645</v>
      </c>
      <c r="L201" t="n">
        <v>50131</v>
      </c>
      <c r="M201" t="n">
        <v>20620</v>
      </c>
      <c r="N201" t="n">
        <v>9163</v>
      </c>
      <c r="O201" t="n">
        <v>64985</v>
      </c>
      <c r="P201" t="n">
        <v>27374</v>
      </c>
      <c r="Q201" t="n">
        <v>6931</v>
      </c>
    </row>
    <row r="202">
      <c r="A202" s="134" t="n">
        <v>39692</v>
      </c>
      <c r="B202" t="n">
        <v>258403</v>
      </c>
      <c r="C202" t="n">
        <v>366729</v>
      </c>
      <c r="D202" t="n">
        <v>25217</v>
      </c>
      <c r="E202" t="n">
        <v>17560</v>
      </c>
      <c r="F202" t="n">
        <v>47740</v>
      </c>
      <c r="G202" t="n">
        <v>8814</v>
      </c>
      <c r="H202" t="n">
        <v>7722</v>
      </c>
      <c r="I202" t="n">
        <v>38386</v>
      </c>
      <c r="J202" t="n">
        <v>304180</v>
      </c>
      <c r="K202" t="n">
        <v>45777</v>
      </c>
      <c r="L202" t="n">
        <v>49436</v>
      </c>
      <c r="M202" t="n">
        <v>20654</v>
      </c>
      <c r="N202" t="n">
        <v>9080</v>
      </c>
      <c r="O202" t="n">
        <v>62549</v>
      </c>
      <c r="P202" t="n">
        <v>27258</v>
      </c>
      <c r="Q202" t="n">
        <v>6536</v>
      </c>
    </row>
    <row r="203">
      <c r="A203" s="134" t="n">
        <v>39722</v>
      </c>
      <c r="B203" t="n">
        <v>255767</v>
      </c>
      <c r="C203" t="n">
        <v>352950</v>
      </c>
      <c r="D203" t="n">
        <v>24568</v>
      </c>
      <c r="E203" t="n">
        <v>17317</v>
      </c>
      <c r="F203" t="n">
        <v>47703</v>
      </c>
      <c r="G203" t="n">
        <v>8732</v>
      </c>
      <c r="H203" t="n">
        <v>7735</v>
      </c>
      <c r="I203" t="n">
        <v>38120</v>
      </c>
      <c r="J203" t="n">
        <v>296351</v>
      </c>
      <c r="K203" t="n">
        <v>40584</v>
      </c>
      <c r="L203" t="n">
        <v>49260</v>
      </c>
      <c r="M203" t="n">
        <v>20659</v>
      </c>
      <c r="N203" t="n">
        <v>8914</v>
      </c>
      <c r="O203" t="n">
        <v>56599</v>
      </c>
      <c r="P203" t="n">
        <v>26333</v>
      </c>
      <c r="Q203" t="n">
        <v>6426</v>
      </c>
    </row>
    <row r="204">
      <c r="A204" s="134" t="n">
        <v>39753</v>
      </c>
      <c r="B204" t="n">
        <v>252590</v>
      </c>
      <c r="C204" t="n">
        <v>339350</v>
      </c>
      <c r="D204" t="n">
        <v>23196</v>
      </c>
      <c r="E204" t="n">
        <v>17173</v>
      </c>
      <c r="F204" t="n">
        <v>47363</v>
      </c>
      <c r="G204" t="n">
        <v>8737</v>
      </c>
      <c r="H204" t="n">
        <v>7640</v>
      </c>
      <c r="I204" t="n">
        <v>38018</v>
      </c>
      <c r="J204" t="n">
        <v>284366</v>
      </c>
      <c r="K204" t="n">
        <v>31776</v>
      </c>
      <c r="L204" t="n">
        <v>49464</v>
      </c>
      <c r="M204" t="n">
        <v>20789</v>
      </c>
      <c r="N204" t="n">
        <v>8630</v>
      </c>
      <c r="O204" t="n">
        <v>54984</v>
      </c>
      <c r="P204" t="n">
        <v>25149</v>
      </c>
      <c r="Q204" t="n">
        <v>6431</v>
      </c>
    </row>
    <row r="205">
      <c r="A205" s="134" t="n">
        <v>39783</v>
      </c>
      <c r="B205" t="n">
        <v>249969</v>
      </c>
      <c r="C205" t="n">
        <v>332091</v>
      </c>
      <c r="D205" t="n">
        <v>22909</v>
      </c>
      <c r="E205" t="n">
        <v>16868</v>
      </c>
      <c r="F205" t="n">
        <v>46942</v>
      </c>
      <c r="G205" t="n">
        <v>8351</v>
      </c>
      <c r="H205" t="n">
        <v>7460</v>
      </c>
      <c r="I205" t="n">
        <v>38066</v>
      </c>
      <c r="J205" t="n">
        <v>277968</v>
      </c>
      <c r="K205" t="n">
        <v>27999</v>
      </c>
      <c r="L205" t="n">
        <v>48906</v>
      </c>
      <c r="M205" t="n">
        <v>20682</v>
      </c>
      <c r="N205" t="n">
        <v>8564</v>
      </c>
      <c r="O205" t="n">
        <v>54123</v>
      </c>
      <c r="P205" t="n">
        <v>24751</v>
      </c>
      <c r="Q205" t="n">
        <v>6470</v>
      </c>
    </row>
    <row r="206">
      <c r="A206" s="134" t="n">
        <v>39814</v>
      </c>
      <c r="B206" t="n">
        <v>252321</v>
      </c>
      <c r="C206" t="n">
        <v>336929</v>
      </c>
      <c r="D206" t="n">
        <v>22758</v>
      </c>
      <c r="E206" t="n">
        <v>17159</v>
      </c>
      <c r="F206" t="n">
        <v>47639</v>
      </c>
      <c r="G206" t="n">
        <v>8884</v>
      </c>
      <c r="H206" t="n">
        <v>7363</v>
      </c>
      <c r="I206" t="n">
        <v>38256</v>
      </c>
      <c r="J206" t="n">
        <v>281139</v>
      </c>
      <c r="K206" t="n">
        <v>28818</v>
      </c>
      <c r="L206" t="n">
        <v>49288</v>
      </c>
      <c r="M206" t="n">
        <v>20753</v>
      </c>
      <c r="N206" t="n">
        <v>8511</v>
      </c>
      <c r="O206" t="n">
        <v>55790</v>
      </c>
      <c r="P206" t="n">
        <v>25049</v>
      </c>
      <c r="Q206" t="n">
        <v>6661</v>
      </c>
    </row>
    <row r="207">
      <c r="A207" s="134" t="n">
        <v>39845</v>
      </c>
      <c r="B207" t="n">
        <v>251528</v>
      </c>
      <c r="C207" t="n">
        <v>335576</v>
      </c>
      <c r="D207" t="n">
        <v>22498</v>
      </c>
      <c r="E207" t="n">
        <v>17401</v>
      </c>
      <c r="F207" t="n">
        <v>46928</v>
      </c>
      <c r="G207" t="n">
        <v>8844</v>
      </c>
      <c r="H207" t="n">
        <v>7285</v>
      </c>
      <c r="I207" t="n">
        <v>37945</v>
      </c>
      <c r="J207" t="n">
        <v>281388</v>
      </c>
      <c r="K207" t="n">
        <v>29860</v>
      </c>
      <c r="L207" t="n">
        <v>49199</v>
      </c>
      <c r="M207" t="n">
        <v>20906</v>
      </c>
      <c r="N207" t="n">
        <v>8746</v>
      </c>
      <c r="O207" t="n">
        <v>54188</v>
      </c>
      <c r="P207" t="n">
        <v>25241</v>
      </c>
      <c r="Q207" t="n">
        <v>6535</v>
      </c>
    </row>
    <row r="208">
      <c r="A208" s="134" t="n">
        <v>39873</v>
      </c>
      <c r="B208" t="n">
        <v>247822</v>
      </c>
      <c r="C208" t="n">
        <v>329747</v>
      </c>
      <c r="D208" t="n">
        <v>22149</v>
      </c>
      <c r="E208" t="n">
        <v>16510</v>
      </c>
      <c r="F208" t="n">
        <v>46912</v>
      </c>
      <c r="G208" t="n">
        <v>8099</v>
      </c>
      <c r="H208" t="n">
        <v>7041</v>
      </c>
      <c r="I208" t="n">
        <v>37447</v>
      </c>
      <c r="J208" t="n">
        <v>276647</v>
      </c>
      <c r="K208" t="n">
        <v>28825</v>
      </c>
      <c r="L208" t="n">
        <v>48840</v>
      </c>
      <c r="M208" t="n">
        <v>20908</v>
      </c>
      <c r="N208" t="n">
        <v>8615</v>
      </c>
      <c r="O208" t="n">
        <v>53100</v>
      </c>
      <c r="P208" t="n">
        <v>24941</v>
      </c>
      <c r="Q208" t="n">
        <v>6360</v>
      </c>
    </row>
    <row r="209">
      <c r="A209" s="134" t="n">
        <v>39904</v>
      </c>
      <c r="B209" t="n">
        <v>249048</v>
      </c>
      <c r="C209" t="n">
        <v>331352</v>
      </c>
      <c r="D209" t="n">
        <v>22092</v>
      </c>
      <c r="E209" t="n">
        <v>16900</v>
      </c>
      <c r="F209" t="n">
        <v>47133</v>
      </c>
      <c r="G209" t="n">
        <v>8049</v>
      </c>
      <c r="H209" t="n">
        <v>7067</v>
      </c>
      <c r="I209" t="n">
        <v>37738</v>
      </c>
      <c r="J209" t="n">
        <v>277795</v>
      </c>
      <c r="K209" t="n">
        <v>28747</v>
      </c>
      <c r="L209" t="n">
        <v>48887</v>
      </c>
      <c r="M209" t="n">
        <v>21059</v>
      </c>
      <c r="N209" t="n">
        <v>8677</v>
      </c>
      <c r="O209" t="n">
        <v>53557</v>
      </c>
      <c r="P209" t="n">
        <v>24932</v>
      </c>
      <c r="Q209" t="n">
        <v>6514</v>
      </c>
    </row>
    <row r="210">
      <c r="A210" s="134" t="n">
        <v>39934</v>
      </c>
      <c r="B210" t="n">
        <v>249679</v>
      </c>
      <c r="C210" t="n">
        <v>334256</v>
      </c>
      <c r="D210" t="n">
        <v>22310</v>
      </c>
      <c r="E210" t="n">
        <v>17038</v>
      </c>
      <c r="F210" t="n">
        <v>47219</v>
      </c>
      <c r="G210" t="n">
        <v>8026</v>
      </c>
      <c r="H210" t="n">
        <v>7087</v>
      </c>
      <c r="I210" t="n">
        <v>37755</v>
      </c>
      <c r="J210" t="n">
        <v>280167</v>
      </c>
      <c r="K210" t="n">
        <v>30488</v>
      </c>
      <c r="L210" t="n">
        <v>49085</v>
      </c>
      <c r="M210" t="n">
        <v>21121</v>
      </c>
      <c r="N210" t="n">
        <v>8426</v>
      </c>
      <c r="O210" t="n">
        <v>54089</v>
      </c>
      <c r="P210" t="n">
        <v>25159</v>
      </c>
      <c r="Q210" t="n">
        <v>6453</v>
      </c>
    </row>
    <row r="211">
      <c r="A211" s="134" t="n">
        <v>39965</v>
      </c>
      <c r="B211" t="n">
        <v>249897</v>
      </c>
      <c r="C211" t="n">
        <v>339883</v>
      </c>
      <c r="D211" t="n">
        <v>22332</v>
      </c>
      <c r="E211" t="n">
        <v>16817</v>
      </c>
      <c r="F211" t="n">
        <v>47350</v>
      </c>
      <c r="G211" t="n">
        <v>8039</v>
      </c>
      <c r="H211" t="n">
        <v>7092</v>
      </c>
      <c r="I211" t="n">
        <v>37714</v>
      </c>
      <c r="J211" t="n">
        <v>283272</v>
      </c>
      <c r="K211" t="n">
        <v>33375</v>
      </c>
      <c r="L211" t="n">
        <v>48792</v>
      </c>
      <c r="M211" t="n">
        <v>21055</v>
      </c>
      <c r="N211" t="n">
        <v>8465</v>
      </c>
      <c r="O211" t="n">
        <v>56611</v>
      </c>
      <c r="P211" t="n">
        <v>25768</v>
      </c>
      <c r="Q211" t="n">
        <v>6473</v>
      </c>
    </row>
    <row r="212">
      <c r="A212" s="134" t="n">
        <v>39995</v>
      </c>
      <c r="B212" t="n">
        <v>249703</v>
      </c>
      <c r="C212" t="n">
        <v>340517</v>
      </c>
      <c r="D212" t="n">
        <v>21883</v>
      </c>
      <c r="E212" t="n">
        <v>17015</v>
      </c>
      <c r="F212" t="n">
        <v>47330</v>
      </c>
      <c r="G212" t="n">
        <v>7965</v>
      </c>
      <c r="H212" t="n">
        <v>7039</v>
      </c>
      <c r="I212" t="n">
        <v>37715</v>
      </c>
      <c r="J212" t="n">
        <v>282769</v>
      </c>
      <c r="K212" t="n">
        <v>33066</v>
      </c>
      <c r="L212" t="n">
        <v>48812</v>
      </c>
      <c r="M212" t="n">
        <v>21027</v>
      </c>
      <c r="N212" t="n">
        <v>8352</v>
      </c>
      <c r="O212" t="n">
        <v>57748</v>
      </c>
      <c r="P212" t="n">
        <v>26110</v>
      </c>
      <c r="Q212" t="n">
        <v>6455</v>
      </c>
    </row>
    <row r="213">
      <c r="A213" s="134" t="n">
        <v>40026</v>
      </c>
      <c r="B213" t="n">
        <v>249747</v>
      </c>
      <c r="C213" t="n">
        <v>346668</v>
      </c>
      <c r="D213" t="n">
        <v>21474</v>
      </c>
      <c r="E213" t="n">
        <v>17233</v>
      </c>
      <c r="F213" t="n">
        <v>47309</v>
      </c>
      <c r="G213" t="n">
        <v>8000</v>
      </c>
      <c r="H213" t="n">
        <v>6991</v>
      </c>
      <c r="I213" t="n">
        <v>37645</v>
      </c>
      <c r="J213" t="n">
        <v>284405</v>
      </c>
      <c r="K213" t="n">
        <v>34658</v>
      </c>
      <c r="L213" t="n">
        <v>48934</v>
      </c>
      <c r="M213" t="n">
        <v>21070</v>
      </c>
      <c r="N213" t="n">
        <v>8313</v>
      </c>
      <c r="O213" t="n">
        <v>62263</v>
      </c>
      <c r="P213" t="n">
        <v>26150</v>
      </c>
      <c r="Q213" t="n">
        <v>6628</v>
      </c>
    </row>
    <row r="214">
      <c r="A214" s="134" t="n">
        <v>40057</v>
      </c>
      <c r="B214" t="n">
        <v>250173</v>
      </c>
      <c r="C214" t="n">
        <v>338507</v>
      </c>
      <c r="D214" t="n">
        <v>21363</v>
      </c>
      <c r="E214" t="n">
        <v>17172</v>
      </c>
      <c r="F214" t="n">
        <v>47559</v>
      </c>
      <c r="G214" t="n">
        <v>7965</v>
      </c>
      <c r="H214" t="n">
        <v>6981</v>
      </c>
      <c r="I214" t="n">
        <v>37474</v>
      </c>
      <c r="J214" t="n">
        <v>284973</v>
      </c>
      <c r="K214" t="n">
        <v>34800</v>
      </c>
      <c r="L214" t="n">
        <v>49220</v>
      </c>
      <c r="M214" t="n">
        <v>21231</v>
      </c>
      <c r="N214" t="n">
        <v>8385</v>
      </c>
      <c r="O214" t="n">
        <v>53534</v>
      </c>
      <c r="P214" t="n">
        <v>26339</v>
      </c>
      <c r="Q214" t="n">
        <v>6484</v>
      </c>
    </row>
    <row r="215">
      <c r="A215" s="134" t="n">
        <v>40087</v>
      </c>
      <c r="B215" t="n">
        <v>250300</v>
      </c>
      <c r="C215" t="n">
        <v>341654</v>
      </c>
      <c r="D215" t="n">
        <v>20661</v>
      </c>
      <c r="E215" t="n">
        <v>17296</v>
      </c>
      <c r="F215" t="n">
        <v>47603</v>
      </c>
      <c r="G215" t="n">
        <v>7920</v>
      </c>
      <c r="H215" t="n">
        <v>6915</v>
      </c>
      <c r="I215" t="n">
        <v>37500</v>
      </c>
      <c r="J215" t="n">
        <v>285185</v>
      </c>
      <c r="K215" t="n">
        <v>34885</v>
      </c>
      <c r="L215" t="n">
        <v>49725</v>
      </c>
      <c r="M215" t="n">
        <v>21278</v>
      </c>
      <c r="N215" t="n">
        <v>8360</v>
      </c>
      <c r="O215" t="n">
        <v>56469</v>
      </c>
      <c r="P215" t="n">
        <v>26634</v>
      </c>
      <c r="Q215" t="n">
        <v>6408</v>
      </c>
    </row>
    <row r="216">
      <c r="A216" s="134" t="n">
        <v>40118</v>
      </c>
      <c r="B216" t="n">
        <v>250447</v>
      </c>
      <c r="C216" t="n">
        <v>344375</v>
      </c>
      <c r="D216" t="n">
        <v>20931</v>
      </c>
      <c r="E216" t="n">
        <v>17105</v>
      </c>
      <c r="F216" t="n">
        <v>47689</v>
      </c>
      <c r="G216" t="n">
        <v>8208</v>
      </c>
      <c r="H216" t="n">
        <v>6991</v>
      </c>
      <c r="I216" t="n">
        <v>37700</v>
      </c>
      <c r="J216" t="n">
        <v>287020</v>
      </c>
      <c r="K216" t="n">
        <v>36573</v>
      </c>
      <c r="L216" t="n">
        <v>49156</v>
      </c>
      <c r="M216" t="n">
        <v>21288</v>
      </c>
      <c r="N216" t="n">
        <v>8406</v>
      </c>
      <c r="O216" t="n">
        <v>57355</v>
      </c>
      <c r="P216" t="n">
        <v>26666</v>
      </c>
      <c r="Q216" t="n">
        <v>6307</v>
      </c>
    </row>
    <row r="217">
      <c r="A217" s="134" t="n">
        <v>40148</v>
      </c>
      <c r="B217" t="n">
        <v>251811</v>
      </c>
      <c r="C217" t="n">
        <v>346072</v>
      </c>
      <c r="D217" t="n">
        <v>20849</v>
      </c>
      <c r="E217" t="n">
        <v>17127</v>
      </c>
      <c r="F217" t="n">
        <v>48134</v>
      </c>
      <c r="G217" t="n">
        <v>8068</v>
      </c>
      <c r="H217" t="n">
        <v>7024</v>
      </c>
      <c r="I217" t="n">
        <v>37659</v>
      </c>
      <c r="J217" t="n">
        <v>288993</v>
      </c>
      <c r="K217" t="n">
        <v>37182</v>
      </c>
      <c r="L217" t="n">
        <v>49657</v>
      </c>
      <c r="M217" t="n">
        <v>21195</v>
      </c>
      <c r="N217" t="n">
        <v>8591</v>
      </c>
      <c r="O217" t="n">
        <v>57079</v>
      </c>
      <c r="P217" t="n">
        <v>26984</v>
      </c>
      <c r="Q217" t="n">
        <v>6523</v>
      </c>
    </row>
    <row r="218">
      <c r="A218" s="134" t="n">
        <v>40179</v>
      </c>
      <c r="B218" t="n">
        <v>251846</v>
      </c>
      <c r="C218" t="n">
        <v>346043</v>
      </c>
      <c r="D218" t="n">
        <v>20557</v>
      </c>
      <c r="E218" t="n">
        <v>17351</v>
      </c>
      <c r="F218" t="n">
        <v>47875</v>
      </c>
      <c r="G218" t="n">
        <v>8223</v>
      </c>
      <c r="H218" t="n">
        <v>7003</v>
      </c>
      <c r="I218" t="n">
        <v>37700</v>
      </c>
      <c r="J218" t="n">
        <v>289245</v>
      </c>
      <c r="K218" t="n">
        <v>37399</v>
      </c>
      <c r="L218" t="n">
        <v>49844</v>
      </c>
      <c r="M218" t="n">
        <v>21187</v>
      </c>
      <c r="N218" t="n">
        <v>8363</v>
      </c>
      <c r="O218" t="n">
        <v>56798</v>
      </c>
      <c r="P218" t="n">
        <v>27236</v>
      </c>
      <c r="Q218" t="n">
        <v>6507</v>
      </c>
    </row>
    <row r="219">
      <c r="A219" s="134" t="n">
        <v>40210</v>
      </c>
      <c r="B219" t="n">
        <v>254082</v>
      </c>
      <c r="C219" t="n">
        <v>346835</v>
      </c>
      <c r="D219" t="n">
        <v>20452</v>
      </c>
      <c r="E219" t="n">
        <v>17402</v>
      </c>
      <c r="F219" t="n">
        <v>48699</v>
      </c>
      <c r="G219" t="n">
        <v>8482</v>
      </c>
      <c r="H219" t="n">
        <v>7131</v>
      </c>
      <c r="I219" t="n">
        <v>38267</v>
      </c>
      <c r="J219" t="n">
        <v>291032</v>
      </c>
      <c r="K219" t="n">
        <v>36950</v>
      </c>
      <c r="L219" t="n">
        <v>50538</v>
      </c>
      <c r="M219" t="n">
        <v>21199</v>
      </c>
      <c r="N219" t="n">
        <v>8251</v>
      </c>
      <c r="O219" t="n">
        <v>55803</v>
      </c>
      <c r="P219" t="n">
        <v>27249</v>
      </c>
      <c r="Q219" t="n">
        <v>6412</v>
      </c>
    </row>
    <row r="220">
      <c r="A220" s="134" t="n">
        <v>40238</v>
      </c>
      <c r="B220" t="n">
        <v>256340</v>
      </c>
      <c r="C220" t="n">
        <v>354360</v>
      </c>
      <c r="D220" t="n">
        <v>21875</v>
      </c>
      <c r="E220" t="n">
        <v>17908</v>
      </c>
      <c r="F220" t="n">
        <v>48268</v>
      </c>
      <c r="G220" t="n">
        <v>8148</v>
      </c>
      <c r="H220" t="n">
        <v>7235</v>
      </c>
      <c r="I220" t="n">
        <v>38376</v>
      </c>
      <c r="J220" t="n">
        <v>293463</v>
      </c>
      <c r="K220" t="n">
        <v>37123</v>
      </c>
      <c r="L220" t="n">
        <v>50095</v>
      </c>
      <c r="M220" t="n">
        <v>21363</v>
      </c>
      <c r="N220" t="n">
        <v>8705</v>
      </c>
      <c r="O220" t="n">
        <v>60897</v>
      </c>
      <c r="P220" t="n">
        <v>27852</v>
      </c>
      <c r="Q220" t="n">
        <v>6515</v>
      </c>
    </row>
    <row r="221">
      <c r="A221" s="134" t="n">
        <v>40269</v>
      </c>
      <c r="B221" t="n">
        <v>258420</v>
      </c>
      <c r="C221" t="n">
        <v>357461</v>
      </c>
      <c r="D221" t="n">
        <v>23556</v>
      </c>
      <c r="E221" t="n">
        <v>17724</v>
      </c>
      <c r="F221" t="n">
        <v>48217</v>
      </c>
      <c r="G221" t="n">
        <v>8280</v>
      </c>
      <c r="H221" t="n">
        <v>7121</v>
      </c>
      <c r="I221" t="n">
        <v>38658</v>
      </c>
      <c r="J221" t="n">
        <v>295638</v>
      </c>
      <c r="K221" t="n">
        <v>37218</v>
      </c>
      <c r="L221" t="n">
        <v>50650</v>
      </c>
      <c r="M221" t="n">
        <v>21471</v>
      </c>
      <c r="N221" t="n">
        <v>8567</v>
      </c>
      <c r="O221" t="n">
        <v>61823</v>
      </c>
      <c r="P221" t="n">
        <v>27767</v>
      </c>
      <c r="Q221" t="n">
        <v>6409</v>
      </c>
    </row>
    <row r="222">
      <c r="A222" s="134" t="n">
        <v>40299</v>
      </c>
      <c r="B222" t="n">
        <v>256078</v>
      </c>
      <c r="C222" t="n">
        <v>354255</v>
      </c>
      <c r="D222" t="n">
        <v>21747</v>
      </c>
      <c r="E222" t="n">
        <v>17656</v>
      </c>
      <c r="F222" t="n">
        <v>48195</v>
      </c>
      <c r="G222" t="n">
        <v>8366</v>
      </c>
      <c r="H222" t="n">
        <v>7117</v>
      </c>
      <c r="I222" t="n">
        <v>38695</v>
      </c>
      <c r="J222" t="n">
        <v>292684</v>
      </c>
      <c r="K222" t="n">
        <v>36606</v>
      </c>
      <c r="L222" t="n">
        <v>50023</v>
      </c>
      <c r="M222" t="n">
        <v>21399</v>
      </c>
      <c r="N222" t="n">
        <v>8632</v>
      </c>
      <c r="O222" t="n">
        <v>61571</v>
      </c>
      <c r="P222" t="n">
        <v>27752</v>
      </c>
      <c r="Q222" t="n">
        <v>6496</v>
      </c>
    </row>
    <row r="223">
      <c r="A223" s="134" t="n">
        <v>40330</v>
      </c>
      <c r="B223" t="n">
        <v>256732</v>
      </c>
      <c r="C223" t="n">
        <v>353766</v>
      </c>
      <c r="D223" t="n">
        <v>21528</v>
      </c>
      <c r="E223" t="n">
        <v>17495</v>
      </c>
      <c r="F223" t="n">
        <v>47866</v>
      </c>
      <c r="G223" t="n">
        <v>8501</v>
      </c>
      <c r="H223" t="n">
        <v>7079</v>
      </c>
      <c r="I223" t="n">
        <v>38877</v>
      </c>
      <c r="J223" t="n">
        <v>292341</v>
      </c>
      <c r="K223" t="n">
        <v>35609</v>
      </c>
      <c r="L223" t="n">
        <v>49966</v>
      </c>
      <c r="M223" t="n">
        <v>21661</v>
      </c>
      <c r="N223" t="n">
        <v>8797</v>
      </c>
      <c r="O223" t="n">
        <v>61425</v>
      </c>
      <c r="P223" t="n">
        <v>28465</v>
      </c>
      <c r="Q223" t="n">
        <v>6497</v>
      </c>
    </row>
    <row r="224">
      <c r="A224" s="134" t="n">
        <v>40360</v>
      </c>
      <c r="B224" t="n">
        <v>256401</v>
      </c>
      <c r="C224" t="n">
        <v>354844</v>
      </c>
      <c r="D224" t="n">
        <v>21499</v>
      </c>
      <c r="E224" t="n">
        <v>17573</v>
      </c>
      <c r="F224" t="n">
        <v>47954</v>
      </c>
      <c r="G224" t="n">
        <v>8353</v>
      </c>
      <c r="H224" t="n">
        <v>7101</v>
      </c>
      <c r="I224" t="n">
        <v>39033</v>
      </c>
      <c r="J224" t="n">
        <v>292165</v>
      </c>
      <c r="K224" t="n">
        <v>35764</v>
      </c>
      <c r="L224" t="n">
        <v>49913</v>
      </c>
      <c r="M224" t="n">
        <v>21733</v>
      </c>
      <c r="N224" t="n">
        <v>8613</v>
      </c>
      <c r="O224" t="n">
        <v>62679</v>
      </c>
      <c r="P224" t="n">
        <v>28113</v>
      </c>
      <c r="Q224" t="n">
        <v>6516</v>
      </c>
    </row>
    <row r="225">
      <c r="A225" s="134" t="n">
        <v>40391</v>
      </c>
      <c r="B225" t="n">
        <v>257842</v>
      </c>
      <c r="C225" t="n">
        <v>356610</v>
      </c>
      <c r="D225" t="n">
        <v>21278</v>
      </c>
      <c r="E225" t="n">
        <v>17643</v>
      </c>
      <c r="F225" t="n">
        <v>48217</v>
      </c>
      <c r="G225" t="n">
        <v>8329</v>
      </c>
      <c r="H225" t="n">
        <v>7123</v>
      </c>
      <c r="I225" t="n">
        <v>39402</v>
      </c>
      <c r="J225" t="n">
        <v>294065</v>
      </c>
      <c r="K225" t="n">
        <v>36223</v>
      </c>
      <c r="L225" t="n">
        <v>50133</v>
      </c>
      <c r="M225" t="n">
        <v>21863</v>
      </c>
      <c r="N225" t="n">
        <v>8649</v>
      </c>
      <c r="O225" t="n">
        <v>62545</v>
      </c>
      <c r="P225" t="n">
        <v>28764</v>
      </c>
      <c r="Q225" t="n">
        <v>6441</v>
      </c>
    </row>
    <row r="226">
      <c r="A226" s="134" t="n">
        <v>40422</v>
      </c>
      <c r="B226" t="n">
        <v>259029</v>
      </c>
      <c r="C226" t="n">
        <v>359646</v>
      </c>
      <c r="D226" t="n">
        <v>21351</v>
      </c>
      <c r="E226" t="n">
        <v>17705</v>
      </c>
      <c r="F226" t="n">
        <v>48679</v>
      </c>
      <c r="G226" t="n">
        <v>8383</v>
      </c>
      <c r="H226" t="n">
        <v>7108</v>
      </c>
      <c r="I226" t="n">
        <v>39385</v>
      </c>
      <c r="J226" t="n">
        <v>296386</v>
      </c>
      <c r="K226" t="n">
        <v>37357</v>
      </c>
      <c r="L226" t="n">
        <v>50297</v>
      </c>
      <c r="M226" t="n">
        <v>21888</v>
      </c>
      <c r="N226" t="n">
        <v>8766</v>
      </c>
      <c r="O226" t="n">
        <v>63260</v>
      </c>
      <c r="P226" t="n">
        <v>28998</v>
      </c>
      <c r="Q226" t="n">
        <v>6469</v>
      </c>
    </row>
    <row r="227">
      <c r="A227" s="134" t="n">
        <v>40452</v>
      </c>
      <c r="B227" t="n">
        <v>260142</v>
      </c>
      <c r="C227" t="n">
        <v>363577</v>
      </c>
      <c r="D227" t="n">
        <v>22033</v>
      </c>
      <c r="E227" t="n">
        <v>18002</v>
      </c>
      <c r="F227" t="n">
        <v>48569</v>
      </c>
      <c r="G227" t="n">
        <v>8265</v>
      </c>
      <c r="H227" t="n">
        <v>7032</v>
      </c>
      <c r="I227" t="n">
        <v>39479</v>
      </c>
      <c r="J227" t="n">
        <v>298661</v>
      </c>
      <c r="K227" t="n">
        <v>38519</v>
      </c>
      <c r="L227" t="n">
        <v>50255</v>
      </c>
      <c r="M227" t="n">
        <v>22105</v>
      </c>
      <c r="N227" t="n">
        <v>8924</v>
      </c>
      <c r="O227" t="n">
        <v>64916</v>
      </c>
      <c r="P227" t="n">
        <v>28899</v>
      </c>
      <c r="Q227" t="n">
        <v>6579</v>
      </c>
    </row>
    <row r="228">
      <c r="A228" s="134" t="n">
        <v>40483</v>
      </c>
      <c r="B228" t="n">
        <v>262546</v>
      </c>
      <c r="C228" t="n">
        <v>367198</v>
      </c>
      <c r="D228" t="n">
        <v>21944</v>
      </c>
      <c r="E228" t="n">
        <v>18420</v>
      </c>
      <c r="F228" t="n">
        <v>49131</v>
      </c>
      <c r="G228" t="n">
        <v>8107</v>
      </c>
      <c r="H228" t="n">
        <v>7104</v>
      </c>
      <c r="I228" t="n">
        <v>39710</v>
      </c>
      <c r="J228" t="n">
        <v>301818</v>
      </c>
      <c r="K228" t="n">
        <v>39272</v>
      </c>
      <c r="L228" t="n">
        <v>51382</v>
      </c>
      <c r="M228" t="n">
        <v>22180</v>
      </c>
      <c r="N228" t="n">
        <v>8902</v>
      </c>
      <c r="O228" t="n">
        <v>65380</v>
      </c>
      <c r="P228" t="n">
        <v>28943</v>
      </c>
      <c r="Q228" t="n">
        <v>6723</v>
      </c>
    </row>
    <row r="229">
      <c r="A229" s="134" t="n">
        <v>40513</v>
      </c>
      <c r="B229" t="n">
        <v>262654</v>
      </c>
      <c r="C229" t="n">
        <v>369229</v>
      </c>
      <c r="D229" t="n">
        <v>22138</v>
      </c>
      <c r="E229" t="n">
        <v>18206</v>
      </c>
      <c r="F229" t="n">
        <v>49186</v>
      </c>
      <c r="G229" t="n">
        <v>8274</v>
      </c>
      <c r="H229" t="n">
        <v>7062</v>
      </c>
      <c r="I229" t="n">
        <v>39469</v>
      </c>
      <c r="J229" t="n">
        <v>303933</v>
      </c>
      <c r="K229" t="n">
        <v>41279</v>
      </c>
      <c r="L229" t="n">
        <v>50935</v>
      </c>
      <c r="M229" t="n">
        <v>22272</v>
      </c>
      <c r="N229" t="n">
        <v>8878</v>
      </c>
      <c r="O229" t="n">
        <v>65296</v>
      </c>
      <c r="P229" t="n">
        <v>29646</v>
      </c>
      <c r="Q229" t="n">
        <v>6588</v>
      </c>
    </row>
    <row r="230">
      <c r="A230" s="134" t="n">
        <v>40544</v>
      </c>
      <c r="B230" t="n">
        <v>264029</v>
      </c>
      <c r="C230" t="n">
        <v>372025</v>
      </c>
      <c r="D230" t="n">
        <v>21493</v>
      </c>
      <c r="E230" t="n">
        <v>18351</v>
      </c>
      <c r="F230" t="n">
        <v>49676</v>
      </c>
      <c r="G230" t="n">
        <v>8209</v>
      </c>
      <c r="H230" t="n">
        <v>6984</v>
      </c>
      <c r="I230" t="n">
        <v>39743</v>
      </c>
      <c r="J230" t="n">
        <v>305807</v>
      </c>
      <c r="K230" t="n">
        <v>41778</v>
      </c>
      <c r="L230" t="n">
        <v>50889</v>
      </c>
      <c r="M230" t="n">
        <v>22695</v>
      </c>
      <c r="N230" t="n">
        <v>8828</v>
      </c>
      <c r="O230" t="n">
        <v>66218</v>
      </c>
      <c r="P230" t="n">
        <v>30596</v>
      </c>
      <c r="Q230" t="n">
        <v>6565</v>
      </c>
    </row>
    <row r="231">
      <c r="A231" s="134" t="n">
        <v>40575</v>
      </c>
      <c r="B231" t="n">
        <v>265515</v>
      </c>
      <c r="C231" t="n">
        <v>375064</v>
      </c>
      <c r="D231" t="n">
        <v>21197</v>
      </c>
      <c r="E231" t="n">
        <v>18594</v>
      </c>
      <c r="F231" t="n">
        <v>50066</v>
      </c>
      <c r="G231" t="n">
        <v>8347</v>
      </c>
      <c r="H231" t="n">
        <v>7145</v>
      </c>
      <c r="I231" t="n">
        <v>40382</v>
      </c>
      <c r="J231" t="n">
        <v>307809</v>
      </c>
      <c r="K231" t="n">
        <v>42294</v>
      </c>
      <c r="L231" t="n">
        <v>51513</v>
      </c>
      <c r="M231" t="n">
        <v>22428</v>
      </c>
      <c r="N231" t="n">
        <v>9116</v>
      </c>
      <c r="O231" t="n">
        <v>67255</v>
      </c>
      <c r="P231" t="n">
        <v>30116</v>
      </c>
      <c r="Q231" t="n">
        <v>6611</v>
      </c>
    </row>
    <row r="232">
      <c r="A232" s="134" t="n">
        <v>40603</v>
      </c>
      <c r="B232" t="n">
        <v>267215</v>
      </c>
      <c r="C232" t="n">
        <v>378576</v>
      </c>
      <c r="D232" t="n">
        <v>21865</v>
      </c>
      <c r="E232" t="n">
        <v>18706</v>
      </c>
      <c r="F232" t="n">
        <v>50078</v>
      </c>
      <c r="G232" t="n">
        <v>8477</v>
      </c>
      <c r="H232" t="n">
        <v>7411</v>
      </c>
      <c r="I232" t="n">
        <v>40575</v>
      </c>
      <c r="J232" t="n">
        <v>310995</v>
      </c>
      <c r="K232" t="n">
        <v>43780</v>
      </c>
      <c r="L232" t="n">
        <v>51635</v>
      </c>
      <c r="M232" t="n">
        <v>22563</v>
      </c>
      <c r="N232" t="n">
        <v>8842</v>
      </c>
      <c r="O232" t="n">
        <v>67581</v>
      </c>
      <c r="P232" t="n">
        <v>30497</v>
      </c>
      <c r="Q232" t="n">
        <v>6566</v>
      </c>
    </row>
    <row r="233">
      <c r="A233" s="134" t="n">
        <v>40634</v>
      </c>
      <c r="B233" t="n">
        <v>269116</v>
      </c>
      <c r="C233" t="n">
        <v>380337</v>
      </c>
      <c r="D233" t="n">
        <v>22037</v>
      </c>
      <c r="E233" t="n">
        <v>18946</v>
      </c>
      <c r="F233" t="n">
        <v>50836</v>
      </c>
      <c r="G233" t="n">
        <v>8529</v>
      </c>
      <c r="H233" t="n">
        <v>7321</v>
      </c>
      <c r="I233" t="n">
        <v>40624</v>
      </c>
      <c r="J233" t="n">
        <v>313677</v>
      </c>
      <c r="K233" t="n">
        <v>44561</v>
      </c>
      <c r="L233" t="n">
        <v>52018</v>
      </c>
      <c r="M233" t="n">
        <v>22448</v>
      </c>
      <c r="N233" t="n">
        <v>9053</v>
      </c>
      <c r="O233" t="n">
        <v>66660</v>
      </c>
      <c r="P233" t="n">
        <v>30696</v>
      </c>
      <c r="Q233" t="n">
        <v>6608</v>
      </c>
    </row>
    <row r="234">
      <c r="A234" s="134" t="n">
        <v>40664</v>
      </c>
      <c r="B234" t="n">
        <v>269064</v>
      </c>
      <c r="C234" t="n">
        <v>380219</v>
      </c>
      <c r="D234" t="n">
        <v>22320</v>
      </c>
      <c r="E234" t="n">
        <v>18831</v>
      </c>
      <c r="F234" t="n">
        <v>50382</v>
      </c>
      <c r="G234" t="n">
        <v>8416</v>
      </c>
      <c r="H234" t="n">
        <v>7245</v>
      </c>
      <c r="I234" t="n">
        <v>41050</v>
      </c>
      <c r="J234" t="n">
        <v>314364</v>
      </c>
      <c r="K234" t="n">
        <v>45300</v>
      </c>
      <c r="L234" t="n">
        <v>51752</v>
      </c>
      <c r="M234" t="n">
        <v>22608</v>
      </c>
      <c r="N234" t="n">
        <v>8975</v>
      </c>
      <c r="O234" t="n">
        <v>65855</v>
      </c>
      <c r="P234" t="n">
        <v>30943</v>
      </c>
      <c r="Q234" t="n">
        <v>6542</v>
      </c>
    </row>
    <row r="235">
      <c r="A235" s="134" t="n">
        <v>40695</v>
      </c>
      <c r="B235" t="n">
        <v>271930</v>
      </c>
      <c r="C235" t="n">
        <v>383327</v>
      </c>
      <c r="D235" t="n">
        <v>22740</v>
      </c>
      <c r="E235" t="n">
        <v>19187</v>
      </c>
      <c r="F235" t="n">
        <v>50943</v>
      </c>
      <c r="G235" t="n">
        <v>8439</v>
      </c>
      <c r="H235" t="n">
        <v>7227</v>
      </c>
      <c r="I235" t="n">
        <v>41540</v>
      </c>
      <c r="J235" t="n">
        <v>316502</v>
      </c>
      <c r="K235" t="n">
        <v>44572</v>
      </c>
      <c r="L235" t="n">
        <v>52419</v>
      </c>
      <c r="M235" t="n">
        <v>22607</v>
      </c>
      <c r="N235" t="n">
        <v>9062</v>
      </c>
      <c r="O235" t="n">
        <v>66825</v>
      </c>
      <c r="P235" t="n">
        <v>31181</v>
      </c>
      <c r="Q235" t="n">
        <v>6585</v>
      </c>
    </row>
    <row r="236">
      <c r="A236" s="134" t="n">
        <v>40725</v>
      </c>
      <c r="B236" t="n">
        <v>271622</v>
      </c>
      <c r="C236" t="n">
        <v>382954</v>
      </c>
      <c r="D236" t="n">
        <v>22758</v>
      </c>
      <c r="E236" t="n">
        <v>18998</v>
      </c>
      <c r="F236" t="n">
        <v>50941</v>
      </c>
      <c r="G236" t="n">
        <v>8548</v>
      </c>
      <c r="H236" t="n">
        <v>7263</v>
      </c>
      <c r="I236" t="n">
        <v>41516</v>
      </c>
      <c r="J236" t="n">
        <v>316418</v>
      </c>
      <c r="K236" t="n">
        <v>44796</v>
      </c>
      <c r="L236" t="n">
        <v>52110</v>
      </c>
      <c r="M236" t="n">
        <v>22728</v>
      </c>
      <c r="N236" t="n">
        <v>9168</v>
      </c>
      <c r="O236" t="n">
        <v>66536</v>
      </c>
      <c r="P236" t="n">
        <v>31130</v>
      </c>
      <c r="Q236" t="n">
        <v>6462</v>
      </c>
    </row>
    <row r="237">
      <c r="A237" s="134" t="n">
        <v>40756</v>
      </c>
      <c r="B237" t="n">
        <v>273001</v>
      </c>
      <c r="C237" t="n">
        <v>383839</v>
      </c>
      <c r="D237" t="n">
        <v>22763</v>
      </c>
      <c r="E237" t="n">
        <v>18902</v>
      </c>
      <c r="F237" t="n">
        <v>51179</v>
      </c>
      <c r="G237" t="n">
        <v>8615</v>
      </c>
      <c r="H237" t="n">
        <v>7333</v>
      </c>
      <c r="I237" t="n">
        <v>41718</v>
      </c>
      <c r="J237" t="n">
        <v>318034</v>
      </c>
      <c r="K237" t="n">
        <v>45033</v>
      </c>
      <c r="L237" t="n">
        <v>52132</v>
      </c>
      <c r="M237" t="n">
        <v>22822</v>
      </c>
      <c r="N237" t="n">
        <v>9228</v>
      </c>
      <c r="O237" t="n">
        <v>65805</v>
      </c>
      <c r="P237" t="n">
        <v>31648</v>
      </c>
      <c r="Q237" t="n">
        <v>6661</v>
      </c>
    </row>
    <row r="238">
      <c r="A238" s="134" t="n">
        <v>40787</v>
      </c>
      <c r="B238" t="n">
        <v>273860</v>
      </c>
      <c r="C238" t="n">
        <v>387758</v>
      </c>
      <c r="D238" t="n">
        <v>22640</v>
      </c>
      <c r="E238" t="n">
        <v>19514</v>
      </c>
      <c r="F238" t="n">
        <v>51096</v>
      </c>
      <c r="G238" t="n">
        <v>8484</v>
      </c>
      <c r="H238" t="n">
        <v>7384</v>
      </c>
      <c r="I238" t="n">
        <v>42013</v>
      </c>
      <c r="J238" t="n">
        <v>318942</v>
      </c>
      <c r="K238" t="n">
        <v>45082</v>
      </c>
      <c r="L238" t="n">
        <v>52570</v>
      </c>
      <c r="M238" t="n">
        <v>22718</v>
      </c>
      <c r="N238" t="n">
        <v>9151</v>
      </c>
      <c r="O238" t="n">
        <v>68816</v>
      </c>
      <c r="P238" t="n">
        <v>31604</v>
      </c>
      <c r="Q238" t="n">
        <v>6686</v>
      </c>
    </row>
    <row r="239">
      <c r="A239" s="134" t="n">
        <v>40817</v>
      </c>
      <c r="B239" t="n">
        <v>275378</v>
      </c>
      <c r="C239" t="n">
        <v>390104</v>
      </c>
      <c r="D239" t="n">
        <v>23253</v>
      </c>
      <c r="E239" t="n">
        <v>19128</v>
      </c>
      <c r="F239" t="n">
        <v>51322</v>
      </c>
      <c r="G239" t="n">
        <v>8795</v>
      </c>
      <c r="H239" t="n">
        <v>7303</v>
      </c>
      <c r="I239" t="n">
        <v>42162</v>
      </c>
      <c r="J239" t="n">
        <v>320224</v>
      </c>
      <c r="K239" t="n">
        <v>44846</v>
      </c>
      <c r="L239" t="n">
        <v>52463</v>
      </c>
      <c r="M239" t="n">
        <v>22830</v>
      </c>
      <c r="N239" t="n">
        <v>9076</v>
      </c>
      <c r="O239" t="n">
        <v>69880</v>
      </c>
      <c r="P239" t="n">
        <v>32441</v>
      </c>
      <c r="Q239" t="n">
        <v>6605</v>
      </c>
    </row>
    <row r="240">
      <c r="A240" s="134" t="n">
        <v>40848</v>
      </c>
      <c r="B240" t="n">
        <v>275548</v>
      </c>
      <c r="C240" t="n">
        <v>391393</v>
      </c>
      <c r="D240" t="n">
        <v>22893</v>
      </c>
      <c r="E240" t="n">
        <v>19292</v>
      </c>
      <c r="F240" t="n">
        <v>51413</v>
      </c>
      <c r="G240" t="n">
        <v>8645</v>
      </c>
      <c r="H240" t="n">
        <v>7385</v>
      </c>
      <c r="I240" t="n">
        <v>42237</v>
      </c>
      <c r="J240" t="n">
        <v>321170</v>
      </c>
      <c r="K240" t="n">
        <v>45622</v>
      </c>
      <c r="L240" t="n">
        <v>52639</v>
      </c>
      <c r="M240" t="n">
        <v>22735</v>
      </c>
      <c r="N240" t="n">
        <v>9043</v>
      </c>
      <c r="O240" t="n">
        <v>70223</v>
      </c>
      <c r="P240" t="n">
        <v>32722</v>
      </c>
      <c r="Q240" t="n">
        <v>6544</v>
      </c>
    </row>
    <row r="241">
      <c r="A241" s="134" t="n">
        <v>40878</v>
      </c>
      <c r="B241" t="n">
        <v>274874</v>
      </c>
      <c r="C241" t="n">
        <v>391585</v>
      </c>
      <c r="D241" t="n">
        <v>23447</v>
      </c>
      <c r="E241" t="n">
        <v>19512</v>
      </c>
      <c r="F241" t="n">
        <v>51262</v>
      </c>
      <c r="G241" t="n">
        <v>8456</v>
      </c>
      <c r="H241" t="n">
        <v>7537</v>
      </c>
      <c r="I241" t="n">
        <v>41864</v>
      </c>
      <c r="J241" t="n">
        <v>320165</v>
      </c>
      <c r="K241" t="n">
        <v>45291</v>
      </c>
      <c r="L241" t="n">
        <v>52459</v>
      </c>
      <c r="M241" t="n">
        <v>22656</v>
      </c>
      <c r="N241" t="n">
        <v>8868</v>
      </c>
      <c r="O241" t="n">
        <v>71420</v>
      </c>
      <c r="P241" t="n">
        <v>32460</v>
      </c>
      <c r="Q241" t="n">
        <v>6353</v>
      </c>
    </row>
    <row r="242">
      <c r="A242" s="134" t="n">
        <v>40909</v>
      </c>
      <c r="B242" t="n">
        <v>278169</v>
      </c>
      <c r="C242" t="n">
        <v>395641</v>
      </c>
      <c r="D242" t="n">
        <v>23609</v>
      </c>
      <c r="E242" t="n">
        <v>19564</v>
      </c>
      <c r="F242" t="n">
        <v>51495</v>
      </c>
      <c r="G242" t="n">
        <v>8513</v>
      </c>
      <c r="H242" t="n">
        <v>7646</v>
      </c>
      <c r="I242" t="n">
        <v>42905</v>
      </c>
      <c r="J242" t="n">
        <v>323921</v>
      </c>
      <c r="K242" t="n">
        <v>45752</v>
      </c>
      <c r="L242" t="n">
        <v>53097</v>
      </c>
      <c r="M242" t="n">
        <v>22973</v>
      </c>
      <c r="N242" t="n">
        <v>9309</v>
      </c>
      <c r="O242" t="n">
        <v>71720</v>
      </c>
      <c r="P242" t="n">
        <v>32483</v>
      </c>
      <c r="Q242" t="n">
        <v>6575</v>
      </c>
    </row>
    <row r="243">
      <c r="A243" s="134" t="n">
        <v>40940</v>
      </c>
      <c r="B243" t="n">
        <v>280557</v>
      </c>
      <c r="C243" t="n">
        <v>400385</v>
      </c>
      <c r="D243" t="n">
        <v>23568</v>
      </c>
      <c r="E243" t="n">
        <v>20275</v>
      </c>
      <c r="F243" t="n">
        <v>51654</v>
      </c>
      <c r="G243" t="n">
        <v>8538</v>
      </c>
      <c r="H243" t="n">
        <v>7627</v>
      </c>
      <c r="I243" t="n">
        <v>42950</v>
      </c>
      <c r="J243" t="n">
        <v>327728</v>
      </c>
      <c r="K243" t="n">
        <v>47171</v>
      </c>
      <c r="L243" t="n">
        <v>53944</v>
      </c>
      <c r="M243" t="n">
        <v>22999</v>
      </c>
      <c r="N243" t="n">
        <v>9416</v>
      </c>
      <c r="O243" t="n">
        <v>72657</v>
      </c>
      <c r="P243" t="n">
        <v>32903</v>
      </c>
      <c r="Q243" t="n">
        <v>6683</v>
      </c>
    </row>
    <row r="244">
      <c r="A244" s="134" t="n">
        <v>40969</v>
      </c>
      <c r="B244" t="n">
        <v>281567</v>
      </c>
      <c r="C244" t="n">
        <v>401654</v>
      </c>
      <c r="D244" t="n">
        <v>24580</v>
      </c>
      <c r="E244" t="n">
        <v>20063</v>
      </c>
      <c r="F244" t="n">
        <v>52155</v>
      </c>
      <c r="G244" t="n">
        <v>8707</v>
      </c>
      <c r="H244" t="n">
        <v>7594</v>
      </c>
      <c r="I244" t="n">
        <v>42942</v>
      </c>
      <c r="J244" t="n">
        <v>329062</v>
      </c>
      <c r="K244" t="n">
        <v>47495</v>
      </c>
      <c r="L244" t="n">
        <v>53681</v>
      </c>
      <c r="M244" t="n">
        <v>22945</v>
      </c>
      <c r="N244" t="n">
        <v>9186</v>
      </c>
      <c r="O244" t="n">
        <v>72592</v>
      </c>
      <c r="P244" t="n">
        <v>32899</v>
      </c>
      <c r="Q244" t="n">
        <v>6815</v>
      </c>
    </row>
    <row r="245">
      <c r="A245" s="134" t="n">
        <v>41000</v>
      </c>
      <c r="B245" t="n">
        <v>280229</v>
      </c>
      <c r="C245" t="n">
        <v>400237</v>
      </c>
      <c r="D245" t="n">
        <v>23423</v>
      </c>
      <c r="E245" t="n">
        <v>19540</v>
      </c>
      <c r="F245" t="n">
        <v>52249</v>
      </c>
      <c r="G245" t="n">
        <v>8559</v>
      </c>
      <c r="H245" t="n">
        <v>7502</v>
      </c>
      <c r="I245" t="n">
        <v>43365</v>
      </c>
      <c r="J245" t="n">
        <v>327235</v>
      </c>
      <c r="K245" t="n">
        <v>47006</v>
      </c>
      <c r="L245" t="n">
        <v>53301</v>
      </c>
      <c r="M245" t="n">
        <v>23045</v>
      </c>
      <c r="N245" t="n">
        <v>9201</v>
      </c>
      <c r="O245" t="n">
        <v>73002</v>
      </c>
      <c r="P245" t="n">
        <v>33185</v>
      </c>
      <c r="Q245" t="n">
        <v>6859</v>
      </c>
    </row>
    <row r="246">
      <c r="A246" s="134" t="n">
        <v>41030</v>
      </c>
      <c r="B246" t="n">
        <v>279955</v>
      </c>
      <c r="C246" t="n">
        <v>399367</v>
      </c>
      <c r="D246" t="n">
        <v>22732</v>
      </c>
      <c r="E246" t="n">
        <v>19633</v>
      </c>
      <c r="F246" t="n">
        <v>52283</v>
      </c>
      <c r="G246" t="n">
        <v>8723</v>
      </c>
      <c r="H246" t="n">
        <v>7660</v>
      </c>
      <c r="I246" t="n">
        <v>43313</v>
      </c>
      <c r="J246" t="n">
        <v>325721</v>
      </c>
      <c r="K246" t="n">
        <v>45766</v>
      </c>
      <c r="L246" t="n">
        <v>53117</v>
      </c>
      <c r="M246" t="n">
        <v>22883</v>
      </c>
      <c r="N246" t="n">
        <v>8897</v>
      </c>
      <c r="O246" t="n">
        <v>73646</v>
      </c>
      <c r="P246" t="n">
        <v>33845</v>
      </c>
      <c r="Q246" t="n">
        <v>6869</v>
      </c>
    </row>
    <row r="247">
      <c r="A247" s="134" t="n">
        <v>41061</v>
      </c>
      <c r="B247" t="n">
        <v>279583</v>
      </c>
      <c r="C247" t="n">
        <v>395553</v>
      </c>
      <c r="D247" t="n">
        <v>22531</v>
      </c>
      <c r="E247" t="n">
        <v>19860</v>
      </c>
      <c r="F247" t="n">
        <v>52249</v>
      </c>
      <c r="G247" t="n">
        <v>8658</v>
      </c>
      <c r="H247" t="n">
        <v>7552</v>
      </c>
      <c r="I247" t="n">
        <v>43542</v>
      </c>
      <c r="J247" t="n">
        <v>323229</v>
      </c>
      <c r="K247" t="n">
        <v>43646</v>
      </c>
      <c r="L247" t="n">
        <v>53158</v>
      </c>
      <c r="M247" t="n">
        <v>22471</v>
      </c>
      <c r="N247" t="n">
        <v>9079</v>
      </c>
      <c r="O247" t="n">
        <v>72324</v>
      </c>
      <c r="P247" t="n">
        <v>33686</v>
      </c>
      <c r="Q247" t="n">
        <v>6797</v>
      </c>
    </row>
    <row r="248">
      <c r="A248" s="134" t="n">
        <v>41091</v>
      </c>
      <c r="B248" t="n">
        <v>280969</v>
      </c>
      <c r="C248" t="n">
        <v>397650</v>
      </c>
      <c r="D248" t="n">
        <v>22717</v>
      </c>
      <c r="E248" t="n">
        <v>19701</v>
      </c>
      <c r="F248" t="n">
        <v>52231</v>
      </c>
      <c r="G248" t="n">
        <v>8750</v>
      </c>
      <c r="H248" t="n">
        <v>7650</v>
      </c>
      <c r="I248" t="n">
        <v>43676</v>
      </c>
      <c r="J248" t="n">
        <v>324453</v>
      </c>
      <c r="K248" t="n">
        <v>43484</v>
      </c>
      <c r="L248" t="n">
        <v>53303</v>
      </c>
      <c r="M248" t="n">
        <v>22793</v>
      </c>
      <c r="N248" t="n">
        <v>9181</v>
      </c>
      <c r="O248" t="n">
        <v>73197</v>
      </c>
      <c r="P248" t="n">
        <v>34154</v>
      </c>
      <c r="Q248" t="n">
        <v>6813</v>
      </c>
    </row>
    <row r="249">
      <c r="A249" s="134" t="n">
        <v>41122</v>
      </c>
      <c r="B249" t="n">
        <v>281920</v>
      </c>
      <c r="C249" t="n">
        <v>402287</v>
      </c>
      <c r="D249" t="n">
        <v>23115</v>
      </c>
      <c r="E249" t="n">
        <v>19947</v>
      </c>
      <c r="F249" t="n">
        <v>52361</v>
      </c>
      <c r="G249" t="n">
        <v>8638</v>
      </c>
      <c r="H249" t="n">
        <v>7593</v>
      </c>
      <c r="I249" t="n">
        <v>43712</v>
      </c>
      <c r="J249" t="n">
        <v>328311</v>
      </c>
      <c r="K249" t="n">
        <v>46391</v>
      </c>
      <c r="L249" t="n">
        <v>53564</v>
      </c>
      <c r="M249" t="n">
        <v>22741</v>
      </c>
      <c r="N249" t="n">
        <v>9083</v>
      </c>
      <c r="O249" t="n">
        <v>73976</v>
      </c>
      <c r="P249" t="n">
        <v>34451</v>
      </c>
      <c r="Q249" t="n">
        <v>6715</v>
      </c>
    </row>
    <row r="250">
      <c r="A250" s="134" t="n">
        <v>41153</v>
      </c>
      <c r="B250" t="n">
        <v>283225</v>
      </c>
      <c r="C250" t="n">
        <v>405455</v>
      </c>
      <c r="D250" t="n">
        <v>23641</v>
      </c>
      <c r="E250" t="n">
        <v>20118</v>
      </c>
      <c r="F250" t="n">
        <v>52492</v>
      </c>
      <c r="G250" t="n">
        <v>8628</v>
      </c>
      <c r="H250" t="n">
        <v>7614</v>
      </c>
      <c r="I250" t="n">
        <v>44085</v>
      </c>
      <c r="J250" t="n">
        <v>330332</v>
      </c>
      <c r="K250" t="n">
        <v>47107</v>
      </c>
      <c r="L250" t="n">
        <v>53450</v>
      </c>
      <c r="M250" t="n">
        <v>22608</v>
      </c>
      <c r="N250" t="n">
        <v>9103</v>
      </c>
      <c r="O250" t="n">
        <v>75123</v>
      </c>
      <c r="P250" t="n">
        <v>34766</v>
      </c>
      <c r="Q250" t="n">
        <v>6720</v>
      </c>
    </row>
    <row r="251">
      <c r="A251" s="134" t="n">
        <v>41183</v>
      </c>
      <c r="B251" t="n">
        <v>282776</v>
      </c>
      <c r="C251" t="n">
        <v>405572</v>
      </c>
      <c r="D251" t="n">
        <v>23801</v>
      </c>
      <c r="E251" t="n">
        <v>19911</v>
      </c>
      <c r="F251" t="n">
        <v>52805</v>
      </c>
      <c r="G251" t="n">
        <v>8341</v>
      </c>
      <c r="H251" t="n">
        <v>7416</v>
      </c>
      <c r="I251" t="n">
        <v>43708</v>
      </c>
      <c r="J251" t="n">
        <v>330752</v>
      </c>
      <c r="K251" t="n">
        <v>47976</v>
      </c>
      <c r="L251" t="n">
        <v>53646</v>
      </c>
      <c r="M251" t="n">
        <v>22504</v>
      </c>
      <c r="N251" t="n">
        <v>9157</v>
      </c>
      <c r="O251" t="n">
        <v>74820</v>
      </c>
      <c r="P251" t="n">
        <v>34738</v>
      </c>
      <c r="Q251" t="n">
        <v>6749</v>
      </c>
    </row>
    <row r="252">
      <c r="A252" s="134" t="n">
        <v>41214</v>
      </c>
      <c r="B252" t="n">
        <v>284657</v>
      </c>
      <c r="C252" t="n">
        <v>407386</v>
      </c>
      <c r="D252" t="n">
        <v>24127</v>
      </c>
      <c r="E252" t="n">
        <v>19989</v>
      </c>
      <c r="F252" t="n">
        <v>52717</v>
      </c>
      <c r="G252" t="n">
        <v>8646</v>
      </c>
      <c r="H252" t="n">
        <v>7620</v>
      </c>
      <c r="I252" t="n">
        <v>44520</v>
      </c>
      <c r="J252" t="n">
        <v>331479</v>
      </c>
      <c r="K252" t="n">
        <v>46822</v>
      </c>
      <c r="L252" t="n">
        <v>53436</v>
      </c>
      <c r="M252" t="n">
        <v>22661</v>
      </c>
      <c r="N252" t="n">
        <v>9089</v>
      </c>
      <c r="O252" t="n">
        <v>75907</v>
      </c>
      <c r="P252" t="n">
        <v>35177</v>
      </c>
      <c r="Q252" t="n">
        <v>6675</v>
      </c>
    </row>
    <row r="253">
      <c r="A253" s="134" t="n">
        <v>41244</v>
      </c>
      <c r="B253" t="n">
        <v>286300</v>
      </c>
      <c r="C253" t="n">
        <v>408981</v>
      </c>
      <c r="D253" t="n">
        <v>24141</v>
      </c>
      <c r="E253" t="n">
        <v>20196</v>
      </c>
      <c r="F253" t="n">
        <v>52692</v>
      </c>
      <c r="G253" t="n">
        <v>8794</v>
      </c>
      <c r="H253" t="n">
        <v>7959</v>
      </c>
      <c r="I253" t="n">
        <v>44538</v>
      </c>
      <c r="J253" t="n">
        <v>332186</v>
      </c>
      <c r="K253" t="n">
        <v>45886</v>
      </c>
      <c r="L253" t="n">
        <v>53698</v>
      </c>
      <c r="M253" t="n">
        <v>22898</v>
      </c>
      <c r="N253" t="n">
        <v>9324</v>
      </c>
      <c r="O253" t="n">
        <v>76795</v>
      </c>
      <c r="P253" t="n">
        <v>35232</v>
      </c>
      <c r="Q253" t="n">
        <v>6828</v>
      </c>
    </row>
    <row r="254">
      <c r="A254" s="134" t="n">
        <v>41275</v>
      </c>
      <c r="B254" t="n">
        <v>288670</v>
      </c>
      <c r="C254" t="n">
        <v>412420</v>
      </c>
      <c r="D254" t="n">
        <v>24373</v>
      </c>
      <c r="E254" t="n">
        <v>20427</v>
      </c>
      <c r="F254" t="n">
        <v>52702</v>
      </c>
      <c r="G254" t="n">
        <v>8811</v>
      </c>
      <c r="H254" t="n">
        <v>7922</v>
      </c>
      <c r="I254" t="n">
        <v>45143</v>
      </c>
      <c r="J254" t="n">
        <v>334713</v>
      </c>
      <c r="K254" t="n">
        <v>46043</v>
      </c>
      <c r="L254" t="n">
        <v>54062</v>
      </c>
      <c r="M254" t="n">
        <v>23167</v>
      </c>
      <c r="N254" t="n">
        <v>9229</v>
      </c>
      <c r="O254" t="n">
        <v>77707</v>
      </c>
      <c r="P254" t="n">
        <v>35822</v>
      </c>
      <c r="Q254" t="n">
        <v>7012</v>
      </c>
    </row>
    <row r="255">
      <c r="A255" s="134" t="n">
        <v>41306</v>
      </c>
      <c r="B255" t="n">
        <v>289387</v>
      </c>
      <c r="C255" t="n">
        <v>417383</v>
      </c>
      <c r="D255" t="n">
        <v>24751</v>
      </c>
      <c r="E255" t="n">
        <v>20324</v>
      </c>
      <c r="F255" t="n">
        <v>53282</v>
      </c>
      <c r="G255" t="n">
        <v>8864</v>
      </c>
      <c r="H255" t="n">
        <v>7865</v>
      </c>
      <c r="I255" t="n">
        <v>44868</v>
      </c>
      <c r="J255" t="n">
        <v>338488</v>
      </c>
      <c r="K255" t="n">
        <v>49101</v>
      </c>
      <c r="L255" t="n">
        <v>54584</v>
      </c>
      <c r="M255" t="n">
        <v>22992</v>
      </c>
      <c r="N255" t="n">
        <v>9281</v>
      </c>
      <c r="O255" t="n">
        <v>78895</v>
      </c>
      <c r="P255" t="n">
        <v>35555</v>
      </c>
      <c r="Q255" t="n">
        <v>7021</v>
      </c>
    </row>
    <row r="256">
      <c r="A256" s="134" t="n">
        <v>41334</v>
      </c>
      <c r="B256" t="n">
        <v>288566</v>
      </c>
      <c r="C256" t="n">
        <v>414116</v>
      </c>
      <c r="D256" t="n">
        <v>24694</v>
      </c>
      <c r="E256" t="n">
        <v>20345</v>
      </c>
      <c r="F256" t="n">
        <v>53099</v>
      </c>
      <c r="G256" t="n">
        <v>8622</v>
      </c>
      <c r="H256" t="n">
        <v>7862</v>
      </c>
      <c r="I256" t="n">
        <v>45054</v>
      </c>
      <c r="J256" t="n">
        <v>336152</v>
      </c>
      <c r="K256" t="n">
        <v>47586</v>
      </c>
      <c r="L256" t="n">
        <v>54227</v>
      </c>
      <c r="M256" t="n">
        <v>23025</v>
      </c>
      <c r="N256" t="n">
        <v>9367</v>
      </c>
      <c r="O256" t="n">
        <v>77964</v>
      </c>
      <c r="P256" t="n">
        <v>35372</v>
      </c>
      <c r="Q256" t="n">
        <v>6899</v>
      </c>
    </row>
    <row r="257">
      <c r="A257" s="134" t="n">
        <v>41365</v>
      </c>
      <c r="B257" t="n">
        <v>287580</v>
      </c>
      <c r="C257" t="n">
        <v>412015</v>
      </c>
      <c r="D257" t="n">
        <v>24798</v>
      </c>
      <c r="E257" t="n">
        <v>20490</v>
      </c>
      <c r="F257" t="n">
        <v>52730</v>
      </c>
      <c r="G257" t="n">
        <v>8667</v>
      </c>
      <c r="H257" t="n">
        <v>7835</v>
      </c>
      <c r="I257" t="n">
        <v>44725</v>
      </c>
      <c r="J257" t="n">
        <v>333700</v>
      </c>
      <c r="K257" t="n">
        <v>46120</v>
      </c>
      <c r="L257" t="n">
        <v>54152</v>
      </c>
      <c r="M257" t="n">
        <v>22925</v>
      </c>
      <c r="N257" t="n">
        <v>9329</v>
      </c>
      <c r="O257" t="n">
        <v>78315</v>
      </c>
      <c r="P257" t="n">
        <v>35134</v>
      </c>
      <c r="Q257" t="n">
        <v>6795</v>
      </c>
    </row>
    <row r="258">
      <c r="A258" s="134" t="n">
        <v>41395</v>
      </c>
      <c r="B258" t="n">
        <v>289106</v>
      </c>
      <c r="C258" t="n">
        <v>414466</v>
      </c>
      <c r="D258" t="n">
        <v>25336</v>
      </c>
      <c r="E258" t="n">
        <v>20403</v>
      </c>
      <c r="F258" t="n">
        <v>53253</v>
      </c>
      <c r="G258" t="n">
        <v>8652</v>
      </c>
      <c r="H258" t="n">
        <v>7761</v>
      </c>
      <c r="I258" t="n">
        <v>44818</v>
      </c>
      <c r="J258" t="n">
        <v>334695</v>
      </c>
      <c r="K258" t="n">
        <v>45589</v>
      </c>
      <c r="L258" t="n">
        <v>54488</v>
      </c>
      <c r="M258" t="n">
        <v>23021</v>
      </c>
      <c r="N258" t="n">
        <v>9328</v>
      </c>
      <c r="O258" t="n">
        <v>79771</v>
      </c>
      <c r="P258" t="n">
        <v>35184</v>
      </c>
      <c r="Q258" t="n">
        <v>6862</v>
      </c>
    </row>
    <row r="259">
      <c r="A259" s="134" t="n">
        <v>41426</v>
      </c>
      <c r="B259" t="n">
        <v>288417</v>
      </c>
      <c r="C259" t="n">
        <v>415550</v>
      </c>
      <c r="D259" t="n">
        <v>24793</v>
      </c>
      <c r="E259" t="n">
        <v>20369</v>
      </c>
      <c r="F259" t="n">
        <v>53213</v>
      </c>
      <c r="G259" t="n">
        <v>8655</v>
      </c>
      <c r="H259" t="n">
        <v>7988</v>
      </c>
      <c r="I259" t="n">
        <v>44703</v>
      </c>
      <c r="J259" t="n">
        <v>334241</v>
      </c>
      <c r="K259" t="n">
        <v>45824</v>
      </c>
      <c r="L259" t="n">
        <v>54418</v>
      </c>
      <c r="M259" t="n">
        <v>23001</v>
      </c>
      <c r="N259" t="n">
        <v>9170</v>
      </c>
      <c r="O259" t="n">
        <v>81309</v>
      </c>
      <c r="P259" t="n">
        <v>35194</v>
      </c>
      <c r="Q259" t="n">
        <v>6913</v>
      </c>
    </row>
    <row r="260">
      <c r="A260" s="134" t="n">
        <v>41456</v>
      </c>
      <c r="B260" t="n">
        <v>290835</v>
      </c>
      <c r="C260" t="n">
        <v>418500</v>
      </c>
      <c r="D260" t="n">
        <v>25353</v>
      </c>
      <c r="E260" t="n">
        <v>20579</v>
      </c>
      <c r="F260" t="n">
        <v>53613</v>
      </c>
      <c r="G260" t="n">
        <v>8596</v>
      </c>
      <c r="H260" t="n">
        <v>7974</v>
      </c>
      <c r="I260" t="n">
        <v>45053</v>
      </c>
      <c r="J260" t="n">
        <v>336796</v>
      </c>
      <c r="K260" t="n">
        <v>45961</v>
      </c>
      <c r="L260" t="n">
        <v>54644</v>
      </c>
      <c r="M260" t="n">
        <v>23262</v>
      </c>
      <c r="N260" t="n">
        <v>9215</v>
      </c>
      <c r="O260" t="n">
        <v>81704</v>
      </c>
      <c r="P260" t="n">
        <v>35608</v>
      </c>
      <c r="Q260" t="n">
        <v>6938</v>
      </c>
    </row>
    <row r="261">
      <c r="A261" s="134" t="n">
        <v>41487</v>
      </c>
      <c r="B261" t="n">
        <v>290649</v>
      </c>
      <c r="C261" t="n">
        <v>417575</v>
      </c>
      <c r="D261" t="n">
        <v>25291</v>
      </c>
      <c r="E261" t="n">
        <v>20336</v>
      </c>
      <c r="F261" t="n">
        <v>53743</v>
      </c>
      <c r="G261" t="n">
        <v>8590</v>
      </c>
      <c r="H261" t="n">
        <v>8032</v>
      </c>
      <c r="I261" t="n">
        <v>45156</v>
      </c>
      <c r="J261" t="n">
        <v>336281</v>
      </c>
      <c r="K261" t="n">
        <v>45632</v>
      </c>
      <c r="L261" t="n">
        <v>54470</v>
      </c>
      <c r="M261" t="n">
        <v>23254</v>
      </c>
      <c r="N261" t="n">
        <v>9301</v>
      </c>
      <c r="O261" t="n">
        <v>81294</v>
      </c>
      <c r="P261" t="n">
        <v>35763</v>
      </c>
      <c r="Q261" t="n">
        <v>6713</v>
      </c>
    </row>
    <row r="262">
      <c r="A262" s="134" t="n">
        <v>41518</v>
      </c>
      <c r="B262" t="n">
        <v>291937</v>
      </c>
      <c r="C262" t="n">
        <v>417861</v>
      </c>
      <c r="D262" t="n">
        <v>25287</v>
      </c>
      <c r="E262" t="n">
        <v>20327</v>
      </c>
      <c r="F262" t="n">
        <v>53812</v>
      </c>
      <c r="G262" t="n">
        <v>8524</v>
      </c>
      <c r="H262" t="n">
        <v>8080</v>
      </c>
      <c r="I262" t="n">
        <v>45346</v>
      </c>
      <c r="J262" t="n">
        <v>337682</v>
      </c>
      <c r="K262" t="n">
        <v>45745</v>
      </c>
      <c r="L262" t="n">
        <v>54841</v>
      </c>
      <c r="M262" t="n">
        <v>23674</v>
      </c>
      <c r="N262" t="n">
        <v>9507</v>
      </c>
      <c r="O262" t="n">
        <v>80179</v>
      </c>
      <c r="P262" t="n">
        <v>35662</v>
      </c>
      <c r="Q262" t="n">
        <v>6877</v>
      </c>
    </row>
    <row r="263">
      <c r="A263" s="134" t="n">
        <v>41548</v>
      </c>
      <c r="B263" t="n">
        <v>292928</v>
      </c>
      <c r="C263" t="n">
        <v>419434</v>
      </c>
      <c r="D263" t="n">
        <v>24915</v>
      </c>
      <c r="E263" t="n">
        <v>20770</v>
      </c>
      <c r="F263" t="n">
        <v>53939</v>
      </c>
      <c r="G263" t="n">
        <v>8642</v>
      </c>
      <c r="H263" t="n">
        <v>8192</v>
      </c>
      <c r="I263" t="n">
        <v>45942</v>
      </c>
      <c r="J263" t="n">
        <v>337952</v>
      </c>
      <c r="K263" t="n">
        <v>45024</v>
      </c>
      <c r="L263" t="n">
        <v>54845</v>
      </c>
      <c r="M263" t="n">
        <v>23690</v>
      </c>
      <c r="N263" t="n">
        <v>9478</v>
      </c>
      <c r="O263" t="n">
        <v>81482</v>
      </c>
      <c r="P263" t="n">
        <v>35655</v>
      </c>
      <c r="Q263" t="n">
        <v>6860</v>
      </c>
    </row>
    <row r="264">
      <c r="A264" s="134" t="n">
        <v>41579</v>
      </c>
      <c r="B264" t="n">
        <v>294169</v>
      </c>
      <c r="C264" t="n">
        <v>420688</v>
      </c>
      <c r="D264" t="n">
        <v>24849</v>
      </c>
      <c r="E264" t="n">
        <v>20271</v>
      </c>
      <c r="F264" t="n">
        <v>54064</v>
      </c>
      <c r="G264" t="n">
        <v>8521</v>
      </c>
      <c r="H264" t="n">
        <v>8244</v>
      </c>
      <c r="I264" t="n">
        <v>46748</v>
      </c>
      <c r="J264" t="n">
        <v>338885</v>
      </c>
      <c r="K264" t="n">
        <v>44716</v>
      </c>
      <c r="L264" t="n">
        <v>54799</v>
      </c>
      <c r="M264" t="n">
        <v>23711</v>
      </c>
      <c r="N264" t="n">
        <v>9545</v>
      </c>
      <c r="O264" t="n">
        <v>81803</v>
      </c>
      <c r="P264" t="n">
        <v>36542</v>
      </c>
      <c r="Q264" t="n">
        <v>6875</v>
      </c>
    </row>
    <row r="265">
      <c r="A265" s="134" t="n">
        <v>41609</v>
      </c>
      <c r="B265" t="n">
        <v>294842</v>
      </c>
      <c r="C265" t="n">
        <v>422955</v>
      </c>
      <c r="D265" t="n">
        <v>24955</v>
      </c>
      <c r="E265" t="n">
        <v>20584</v>
      </c>
      <c r="F265" t="n">
        <v>54560</v>
      </c>
      <c r="G265" t="n">
        <v>8469</v>
      </c>
      <c r="H265" t="n">
        <v>7974</v>
      </c>
      <c r="I265" t="n">
        <v>46334</v>
      </c>
      <c r="J265" t="n">
        <v>341508</v>
      </c>
      <c r="K265" t="n">
        <v>46666</v>
      </c>
      <c r="L265" t="n">
        <v>54632</v>
      </c>
      <c r="M265" t="n">
        <v>23755</v>
      </c>
      <c r="N265" t="n">
        <v>9389</v>
      </c>
      <c r="O265" t="n">
        <v>81447</v>
      </c>
      <c r="P265" t="n">
        <v>37329</v>
      </c>
      <c r="Q265" t="n">
        <v>6861</v>
      </c>
    </row>
    <row r="266">
      <c r="A266" s="134" t="n">
        <v>41640</v>
      </c>
      <c r="B266" t="n">
        <v>293000</v>
      </c>
      <c r="C266" t="n">
        <v>419245</v>
      </c>
      <c r="D266" t="n">
        <v>24920</v>
      </c>
      <c r="E266" t="n">
        <v>20538</v>
      </c>
      <c r="F266" t="n">
        <v>54796</v>
      </c>
      <c r="G266" t="n">
        <v>8498</v>
      </c>
      <c r="H266" t="n">
        <v>7812</v>
      </c>
      <c r="I266" t="n">
        <v>45918</v>
      </c>
      <c r="J266" t="n">
        <v>340076</v>
      </c>
      <c r="K266" t="n">
        <v>47076</v>
      </c>
      <c r="L266" t="n">
        <v>54553</v>
      </c>
      <c r="M266" t="n">
        <v>23735</v>
      </c>
      <c r="N266" t="n">
        <v>9248</v>
      </c>
      <c r="O266" t="n">
        <v>79169</v>
      </c>
      <c r="P266" t="n">
        <v>36494</v>
      </c>
      <c r="Q266" t="n">
        <v>6488</v>
      </c>
    </row>
    <row r="267">
      <c r="A267" s="134" t="n">
        <v>41671</v>
      </c>
      <c r="B267" t="n">
        <v>295884</v>
      </c>
      <c r="C267" t="n">
        <v>425006</v>
      </c>
      <c r="D267" t="n">
        <v>24821</v>
      </c>
      <c r="E267" t="n">
        <v>20554</v>
      </c>
      <c r="F267" t="n">
        <v>54807</v>
      </c>
      <c r="G267" t="n">
        <v>8523</v>
      </c>
      <c r="H267" t="n">
        <v>8114</v>
      </c>
      <c r="I267" t="n">
        <v>46426</v>
      </c>
      <c r="J267" t="n">
        <v>343455</v>
      </c>
      <c r="K267" t="n">
        <v>47571</v>
      </c>
      <c r="L267" t="n">
        <v>55394</v>
      </c>
      <c r="M267" t="n">
        <v>23842</v>
      </c>
      <c r="N267" t="n">
        <v>9386</v>
      </c>
      <c r="O267" t="n">
        <v>81551</v>
      </c>
      <c r="P267" t="n">
        <v>37222</v>
      </c>
      <c r="Q267" t="n">
        <v>6795</v>
      </c>
    </row>
    <row r="268">
      <c r="A268" s="134" t="n">
        <v>41699</v>
      </c>
      <c r="B268" t="n">
        <v>298199</v>
      </c>
      <c r="C268" t="n">
        <v>429468</v>
      </c>
      <c r="D268" t="n">
        <v>25286</v>
      </c>
      <c r="E268" t="n">
        <v>20686</v>
      </c>
      <c r="F268" t="n">
        <v>54886</v>
      </c>
      <c r="G268" t="n">
        <v>8549</v>
      </c>
      <c r="H268" t="n">
        <v>8257</v>
      </c>
      <c r="I268" t="n">
        <v>47064</v>
      </c>
      <c r="J268" t="n">
        <v>345060</v>
      </c>
      <c r="K268" t="n">
        <v>46861</v>
      </c>
      <c r="L268" t="n">
        <v>55526</v>
      </c>
      <c r="M268" t="n">
        <v>23989</v>
      </c>
      <c r="N268" t="n">
        <v>9471</v>
      </c>
      <c r="O268" t="n">
        <v>84408</v>
      </c>
      <c r="P268" t="n">
        <v>37682</v>
      </c>
      <c r="Q268" t="n">
        <v>6803</v>
      </c>
    </row>
    <row r="269">
      <c r="A269" s="134" t="n">
        <v>41730</v>
      </c>
      <c r="B269" t="n">
        <v>300773</v>
      </c>
      <c r="C269" t="n">
        <v>433648</v>
      </c>
      <c r="D269" t="n">
        <v>26095</v>
      </c>
      <c r="E269" t="n">
        <v>21166</v>
      </c>
      <c r="F269" t="n">
        <v>55219</v>
      </c>
      <c r="G269" t="n">
        <v>8544</v>
      </c>
      <c r="H269" t="n">
        <v>8375</v>
      </c>
      <c r="I269" t="n">
        <v>47141</v>
      </c>
      <c r="J269" t="n">
        <v>347853</v>
      </c>
      <c r="K269" t="n">
        <v>47080</v>
      </c>
      <c r="L269" t="n">
        <v>55954</v>
      </c>
      <c r="M269" t="n">
        <v>24191</v>
      </c>
      <c r="N269" t="n">
        <v>9348</v>
      </c>
      <c r="O269" t="n">
        <v>85795</v>
      </c>
      <c r="P269" t="n">
        <v>37846</v>
      </c>
      <c r="Q269" t="n">
        <v>6894</v>
      </c>
    </row>
    <row r="270">
      <c r="A270" s="134" t="n">
        <v>41760</v>
      </c>
      <c r="B270" t="n">
        <v>301802</v>
      </c>
      <c r="C270" t="n">
        <v>434471</v>
      </c>
      <c r="D270" t="n">
        <v>26428</v>
      </c>
      <c r="E270" t="n">
        <v>20775</v>
      </c>
      <c r="F270" t="n">
        <v>55451</v>
      </c>
      <c r="G270" t="n">
        <v>8407</v>
      </c>
      <c r="H270" t="n">
        <v>8350</v>
      </c>
      <c r="I270" t="n">
        <v>47542</v>
      </c>
      <c r="J270" t="n">
        <v>348582</v>
      </c>
      <c r="K270" t="n">
        <v>46780</v>
      </c>
      <c r="L270" t="n">
        <v>55977</v>
      </c>
      <c r="M270" t="n">
        <v>24523</v>
      </c>
      <c r="N270" t="n">
        <v>9534</v>
      </c>
      <c r="O270" t="n">
        <v>85889</v>
      </c>
      <c r="P270" t="n">
        <v>37955</v>
      </c>
      <c r="Q270" t="n">
        <v>6860</v>
      </c>
    </row>
    <row r="271">
      <c r="A271" s="134" t="n">
        <v>41791</v>
      </c>
      <c r="B271" t="n">
        <v>303565</v>
      </c>
      <c r="C271" t="n">
        <v>435577</v>
      </c>
      <c r="D271" t="n">
        <v>26617</v>
      </c>
      <c r="E271" t="n">
        <v>20827</v>
      </c>
      <c r="F271" t="n">
        <v>55956</v>
      </c>
      <c r="G271" t="n">
        <v>8322</v>
      </c>
      <c r="H271" t="n">
        <v>8362</v>
      </c>
      <c r="I271" t="n">
        <v>47714</v>
      </c>
      <c r="J271" t="n">
        <v>349297</v>
      </c>
      <c r="K271" t="n">
        <v>45732</v>
      </c>
      <c r="L271" t="n">
        <v>55945</v>
      </c>
      <c r="M271" t="n">
        <v>24717</v>
      </c>
      <c r="N271" t="n">
        <v>9596</v>
      </c>
      <c r="O271" t="n">
        <v>86280</v>
      </c>
      <c r="P271" t="n">
        <v>38559</v>
      </c>
      <c r="Q271" t="n">
        <v>6950</v>
      </c>
    </row>
    <row r="272">
      <c r="A272" s="134" t="n">
        <v>41821</v>
      </c>
      <c r="B272" t="n">
        <v>304082</v>
      </c>
      <c r="C272" t="n">
        <v>436347</v>
      </c>
      <c r="D272" t="n">
        <v>26107</v>
      </c>
      <c r="E272" t="n">
        <v>20929</v>
      </c>
      <c r="F272" t="n">
        <v>56142</v>
      </c>
      <c r="G272" t="n">
        <v>8414</v>
      </c>
      <c r="H272" t="n">
        <v>8393</v>
      </c>
      <c r="I272" t="n">
        <v>48086</v>
      </c>
      <c r="J272" t="n">
        <v>349847</v>
      </c>
      <c r="K272" t="n">
        <v>45765</v>
      </c>
      <c r="L272" t="n">
        <v>56080</v>
      </c>
      <c r="M272" t="n">
        <v>24730</v>
      </c>
      <c r="N272" t="n">
        <v>9628</v>
      </c>
      <c r="O272" t="n">
        <v>86500</v>
      </c>
      <c r="P272" t="n">
        <v>38651</v>
      </c>
      <c r="Q272" t="n">
        <v>6922</v>
      </c>
    </row>
    <row r="273">
      <c r="A273" s="134" t="n">
        <v>41852</v>
      </c>
      <c r="B273" t="n">
        <v>306418</v>
      </c>
      <c r="C273" t="n">
        <v>439596</v>
      </c>
      <c r="D273" t="n">
        <v>26595</v>
      </c>
      <c r="E273" t="n">
        <v>21076</v>
      </c>
      <c r="F273" t="n">
        <v>56296</v>
      </c>
      <c r="G273" t="n">
        <v>8481</v>
      </c>
      <c r="H273" t="n">
        <v>8514</v>
      </c>
      <c r="I273" t="n">
        <v>48379</v>
      </c>
      <c r="J273" t="n">
        <v>352325</v>
      </c>
      <c r="K273" t="n">
        <v>45907</v>
      </c>
      <c r="L273" t="n">
        <v>56404</v>
      </c>
      <c r="M273" t="n">
        <v>24836</v>
      </c>
      <c r="N273" t="n">
        <v>9740</v>
      </c>
      <c r="O273" t="n">
        <v>87271</v>
      </c>
      <c r="P273" t="n">
        <v>38975</v>
      </c>
      <c r="Q273" t="n">
        <v>7122</v>
      </c>
    </row>
    <row r="274">
      <c r="A274" s="134" t="n">
        <v>41883</v>
      </c>
      <c r="B274" t="n">
        <v>306872</v>
      </c>
      <c r="C274" t="n">
        <v>438665</v>
      </c>
      <c r="D274" t="n">
        <v>26499</v>
      </c>
      <c r="E274" t="n">
        <v>20820</v>
      </c>
      <c r="F274" t="n">
        <v>56466</v>
      </c>
      <c r="G274" t="n">
        <v>8654</v>
      </c>
      <c r="H274" t="n">
        <v>8463</v>
      </c>
      <c r="I274" t="n">
        <v>48985</v>
      </c>
      <c r="J274" t="n">
        <v>352259</v>
      </c>
      <c r="K274" t="n">
        <v>45387</v>
      </c>
      <c r="L274" t="n">
        <v>56074</v>
      </c>
      <c r="M274" t="n">
        <v>24949</v>
      </c>
      <c r="N274" t="n">
        <v>9734</v>
      </c>
      <c r="O274" t="n">
        <v>86406</v>
      </c>
      <c r="P274" t="n">
        <v>39185</v>
      </c>
      <c r="Q274" t="n">
        <v>7043</v>
      </c>
    </row>
    <row r="275">
      <c r="A275" s="134" t="n">
        <v>41913</v>
      </c>
      <c r="B275" t="n">
        <v>308869</v>
      </c>
      <c r="C275" t="n">
        <v>440261</v>
      </c>
      <c r="D275" t="n">
        <v>26507</v>
      </c>
      <c r="E275" t="n">
        <v>21157</v>
      </c>
      <c r="F275" t="n">
        <v>56767</v>
      </c>
      <c r="G275" t="n">
        <v>8605</v>
      </c>
      <c r="H275" t="n">
        <v>8480</v>
      </c>
      <c r="I275" t="n">
        <v>49664</v>
      </c>
      <c r="J275" t="n">
        <v>353370</v>
      </c>
      <c r="K275" t="n">
        <v>44501</v>
      </c>
      <c r="L275" t="n">
        <v>56232</v>
      </c>
      <c r="M275" t="n">
        <v>24859</v>
      </c>
      <c r="N275" t="n">
        <v>9895</v>
      </c>
      <c r="O275" t="n">
        <v>86891</v>
      </c>
      <c r="P275" t="n">
        <v>39547</v>
      </c>
      <c r="Q275" t="n">
        <v>7156</v>
      </c>
    </row>
    <row r="276">
      <c r="A276" s="134" t="n">
        <v>41944</v>
      </c>
      <c r="B276" t="n">
        <v>309991</v>
      </c>
      <c r="C276" t="n">
        <v>441328</v>
      </c>
      <c r="D276" t="n">
        <v>26619</v>
      </c>
      <c r="E276" t="n">
        <v>21379</v>
      </c>
      <c r="F276" t="n">
        <v>56756</v>
      </c>
      <c r="G276" t="n">
        <v>8840</v>
      </c>
      <c r="H276" t="n">
        <v>8582</v>
      </c>
      <c r="I276" t="n">
        <v>49736</v>
      </c>
      <c r="J276" t="n">
        <v>353621</v>
      </c>
      <c r="K276" t="n">
        <v>43630</v>
      </c>
      <c r="L276" t="n">
        <v>56337</v>
      </c>
      <c r="M276" t="n">
        <v>24950</v>
      </c>
      <c r="N276" t="n">
        <v>9834</v>
      </c>
      <c r="O276" t="n">
        <v>87707</v>
      </c>
      <c r="P276" t="n">
        <v>39811</v>
      </c>
      <c r="Q276" t="n">
        <v>7147</v>
      </c>
    </row>
    <row r="277">
      <c r="A277" s="134" t="n">
        <v>41974</v>
      </c>
      <c r="B277" t="n">
        <v>310800</v>
      </c>
      <c r="C277" t="n">
        <v>438686</v>
      </c>
      <c r="D277" t="n">
        <v>26253</v>
      </c>
      <c r="E277" t="n">
        <v>21319</v>
      </c>
      <c r="F277" t="n">
        <v>57059</v>
      </c>
      <c r="G277" t="n">
        <v>8775</v>
      </c>
      <c r="H277" t="n">
        <v>8735</v>
      </c>
      <c r="I277" t="n">
        <v>50463</v>
      </c>
      <c r="J277" t="n">
        <v>351245</v>
      </c>
      <c r="K277" t="n">
        <v>40445</v>
      </c>
      <c r="L277" t="n">
        <v>56353</v>
      </c>
      <c r="M277" t="n">
        <v>25117</v>
      </c>
      <c r="N277" t="n">
        <v>9815</v>
      </c>
      <c r="O277" t="n">
        <v>87441</v>
      </c>
      <c r="P277" t="n">
        <v>39845</v>
      </c>
      <c r="Q277" t="n">
        <v>7066</v>
      </c>
    </row>
    <row r="278">
      <c r="A278" s="134" t="n">
        <v>42005</v>
      </c>
      <c r="B278" t="n">
        <v>311426</v>
      </c>
      <c r="C278" t="n">
        <v>436395</v>
      </c>
      <c r="D278" t="n">
        <v>26516</v>
      </c>
      <c r="E278" t="n">
        <v>21055</v>
      </c>
      <c r="F278" t="n">
        <v>57164</v>
      </c>
      <c r="G278" t="n">
        <v>8631</v>
      </c>
      <c r="H278" t="n">
        <v>8694</v>
      </c>
      <c r="I278" t="n">
        <v>50837</v>
      </c>
      <c r="J278" t="n">
        <v>347998</v>
      </c>
      <c r="K278" t="n">
        <v>36572</v>
      </c>
      <c r="L278" t="n">
        <v>56507</v>
      </c>
      <c r="M278" t="n">
        <v>25313</v>
      </c>
      <c r="N278" t="n">
        <v>9847</v>
      </c>
      <c r="O278" t="n">
        <v>88397</v>
      </c>
      <c r="P278" t="n">
        <v>39923</v>
      </c>
      <c r="Q278" t="n">
        <v>6939</v>
      </c>
    </row>
    <row r="279">
      <c r="A279" s="134" t="n">
        <v>42036</v>
      </c>
      <c r="B279" t="n">
        <v>310560</v>
      </c>
      <c r="C279" t="n">
        <v>435744</v>
      </c>
      <c r="D279" t="n">
        <v>25575</v>
      </c>
      <c r="E279" t="n">
        <v>21333</v>
      </c>
      <c r="F279" t="n">
        <v>57190</v>
      </c>
      <c r="G279" t="n">
        <v>8491</v>
      </c>
      <c r="H279" t="n">
        <v>8509</v>
      </c>
      <c r="I279" t="n">
        <v>50640</v>
      </c>
      <c r="J279" t="n">
        <v>348402</v>
      </c>
      <c r="K279" t="n">
        <v>37842</v>
      </c>
      <c r="L279" t="n">
        <v>56147</v>
      </c>
      <c r="M279" t="n">
        <v>25111</v>
      </c>
      <c r="N279" t="n">
        <v>9766</v>
      </c>
      <c r="O279" t="n">
        <v>87342</v>
      </c>
      <c r="P279" t="n">
        <v>40821</v>
      </c>
      <c r="Q279" t="n">
        <v>6977</v>
      </c>
    </row>
    <row r="280">
      <c r="A280" s="134" t="n">
        <v>42064</v>
      </c>
      <c r="B280" t="n">
        <v>312662</v>
      </c>
      <c r="C280" t="n">
        <v>442131</v>
      </c>
      <c r="D280" t="n">
        <v>26521</v>
      </c>
      <c r="E280" t="n">
        <v>21394</v>
      </c>
      <c r="F280" t="n">
        <v>57178</v>
      </c>
      <c r="G280" t="n">
        <v>8294</v>
      </c>
      <c r="H280" t="n">
        <v>8765</v>
      </c>
      <c r="I280" t="n">
        <v>51075</v>
      </c>
      <c r="J280" t="n">
        <v>351027</v>
      </c>
      <c r="K280" t="n">
        <v>38365</v>
      </c>
      <c r="L280" t="n">
        <v>56316</v>
      </c>
      <c r="M280" t="n">
        <v>25650</v>
      </c>
      <c r="N280" t="n">
        <v>9794</v>
      </c>
      <c r="O280" t="n">
        <v>91104</v>
      </c>
      <c r="P280" t="n">
        <v>40614</v>
      </c>
      <c r="Q280" t="n">
        <v>7061</v>
      </c>
    </row>
    <row r="281">
      <c r="A281" s="134" t="n">
        <v>42095</v>
      </c>
      <c r="B281" t="n">
        <v>313559</v>
      </c>
      <c r="C281" t="n">
        <v>443119</v>
      </c>
      <c r="D281" t="n">
        <v>26734</v>
      </c>
      <c r="E281" t="n">
        <v>21474</v>
      </c>
      <c r="F281" t="n">
        <v>57091</v>
      </c>
      <c r="G281" t="n">
        <v>8384</v>
      </c>
      <c r="H281" t="n">
        <v>8878</v>
      </c>
      <c r="I281" t="n">
        <v>51744</v>
      </c>
      <c r="J281" t="n">
        <v>351378</v>
      </c>
      <c r="K281" t="n">
        <v>37819</v>
      </c>
      <c r="L281" t="n">
        <v>56230</v>
      </c>
      <c r="M281" t="n">
        <v>25225</v>
      </c>
      <c r="N281" t="n">
        <v>9738</v>
      </c>
      <c r="O281" t="n">
        <v>91741</v>
      </c>
      <c r="P281" t="n">
        <v>40977</v>
      </c>
      <c r="Q281" t="n">
        <v>7084</v>
      </c>
    </row>
    <row r="282">
      <c r="A282" s="134" t="n">
        <v>42125</v>
      </c>
      <c r="B282" t="n">
        <v>314627</v>
      </c>
      <c r="C282" t="n">
        <v>446198</v>
      </c>
      <c r="D282" t="n">
        <v>26781</v>
      </c>
      <c r="E282" t="n">
        <v>21635</v>
      </c>
      <c r="F282" t="n">
        <v>57103</v>
      </c>
      <c r="G282" t="n">
        <v>8434</v>
      </c>
      <c r="H282" t="n">
        <v>9062</v>
      </c>
      <c r="I282" t="n">
        <v>51866</v>
      </c>
      <c r="J282" t="n">
        <v>353920</v>
      </c>
      <c r="K282" t="n">
        <v>39293</v>
      </c>
      <c r="L282" t="n">
        <v>56735</v>
      </c>
      <c r="M282" t="n">
        <v>25202</v>
      </c>
      <c r="N282" t="n">
        <v>10001</v>
      </c>
      <c r="O282" t="n">
        <v>92278</v>
      </c>
      <c r="P282" t="n">
        <v>40687</v>
      </c>
      <c r="Q282" t="n">
        <v>7121</v>
      </c>
    </row>
    <row r="283">
      <c r="A283" s="134" t="n">
        <v>42156</v>
      </c>
      <c r="B283" t="n">
        <v>314660</v>
      </c>
      <c r="C283" t="n">
        <v>446744</v>
      </c>
      <c r="D283" t="n">
        <v>26516</v>
      </c>
      <c r="E283" t="n">
        <v>21385</v>
      </c>
      <c r="F283" t="n">
        <v>57401</v>
      </c>
      <c r="G283" t="n">
        <v>8527</v>
      </c>
      <c r="H283" t="n">
        <v>8909</v>
      </c>
      <c r="I283" t="n">
        <v>51885</v>
      </c>
      <c r="J283" t="n">
        <v>354459</v>
      </c>
      <c r="K283" t="n">
        <v>39799</v>
      </c>
      <c r="L283" t="n">
        <v>56607</v>
      </c>
      <c r="M283" t="n">
        <v>25362</v>
      </c>
      <c r="N283" t="n">
        <v>10042</v>
      </c>
      <c r="O283" t="n">
        <v>92285</v>
      </c>
      <c r="P283" t="n">
        <v>40957</v>
      </c>
      <c r="Q283" t="n">
        <v>7069</v>
      </c>
    </row>
    <row r="284">
      <c r="A284" s="134" t="n">
        <v>42186</v>
      </c>
      <c r="B284" t="n">
        <v>317432</v>
      </c>
      <c r="C284" t="n">
        <v>450243</v>
      </c>
      <c r="D284" t="n">
        <v>27350</v>
      </c>
      <c r="E284" t="n">
        <v>21601</v>
      </c>
      <c r="F284" t="n">
        <v>57565</v>
      </c>
      <c r="G284" t="n">
        <v>8363</v>
      </c>
      <c r="H284" t="n">
        <v>9059</v>
      </c>
      <c r="I284" t="n">
        <v>52115</v>
      </c>
      <c r="J284" t="n">
        <v>357711</v>
      </c>
      <c r="K284" t="n">
        <v>40279</v>
      </c>
      <c r="L284" t="n">
        <v>56915</v>
      </c>
      <c r="M284" t="n">
        <v>25642</v>
      </c>
      <c r="N284" t="n">
        <v>10062</v>
      </c>
      <c r="O284" t="n">
        <v>92532</v>
      </c>
      <c r="P284" t="n">
        <v>41636</v>
      </c>
      <c r="Q284" t="n">
        <v>7124</v>
      </c>
    </row>
    <row r="285">
      <c r="A285" s="134" t="n">
        <v>42217</v>
      </c>
      <c r="B285" t="n">
        <v>317922</v>
      </c>
      <c r="C285" t="n">
        <v>450183</v>
      </c>
      <c r="D285" t="n">
        <v>27408</v>
      </c>
      <c r="E285" t="n">
        <v>21653</v>
      </c>
      <c r="F285" t="n">
        <v>57531</v>
      </c>
      <c r="G285" t="n">
        <v>8349</v>
      </c>
      <c r="H285" t="n">
        <v>9093</v>
      </c>
      <c r="I285" t="n">
        <v>52473</v>
      </c>
      <c r="J285" t="n">
        <v>357101</v>
      </c>
      <c r="K285" t="n">
        <v>39179</v>
      </c>
      <c r="L285" t="n">
        <v>56752</v>
      </c>
      <c r="M285" t="n">
        <v>25816</v>
      </c>
      <c r="N285" t="n">
        <v>10162</v>
      </c>
      <c r="O285" t="n">
        <v>93082</v>
      </c>
      <c r="P285" t="n">
        <v>41527</v>
      </c>
      <c r="Q285" t="n">
        <v>7158</v>
      </c>
    </row>
    <row r="286">
      <c r="A286" s="134" t="n">
        <v>42248</v>
      </c>
      <c r="B286" t="n">
        <v>318035</v>
      </c>
      <c r="C286" t="n">
        <v>448506</v>
      </c>
      <c r="D286" t="n">
        <v>27191</v>
      </c>
      <c r="E286" t="n">
        <v>21462</v>
      </c>
      <c r="F286" t="n">
        <v>57389</v>
      </c>
      <c r="G286" t="n">
        <v>8381</v>
      </c>
      <c r="H286" t="n">
        <v>9070</v>
      </c>
      <c r="I286" t="n">
        <v>52394</v>
      </c>
      <c r="J286" t="n">
        <v>354941</v>
      </c>
      <c r="K286" t="n">
        <v>36906</v>
      </c>
      <c r="L286" t="n">
        <v>57139</v>
      </c>
      <c r="M286" t="n">
        <v>26062</v>
      </c>
      <c r="N286" t="n">
        <v>9721</v>
      </c>
      <c r="O286" t="n">
        <v>93565</v>
      </c>
      <c r="P286" t="n">
        <v>42038</v>
      </c>
      <c r="Q286" t="n">
        <v>7188</v>
      </c>
    </row>
    <row r="287">
      <c r="A287" s="134" t="n">
        <v>42278</v>
      </c>
      <c r="B287" t="n">
        <v>317870</v>
      </c>
      <c r="C287" t="n">
        <v>447191</v>
      </c>
      <c r="D287" t="n">
        <v>27368</v>
      </c>
      <c r="E287" t="n">
        <v>21303</v>
      </c>
      <c r="F287" t="n">
        <v>57183</v>
      </c>
      <c r="G287" t="n">
        <v>8278</v>
      </c>
      <c r="H287" t="n">
        <v>9177</v>
      </c>
      <c r="I287" t="n">
        <v>52766</v>
      </c>
      <c r="J287" t="n">
        <v>354421</v>
      </c>
      <c r="K287" t="n">
        <v>36551</v>
      </c>
      <c r="L287" t="n">
        <v>56789</v>
      </c>
      <c r="M287" t="n">
        <v>25924</v>
      </c>
      <c r="N287" t="n">
        <v>9713</v>
      </c>
      <c r="O287" t="n">
        <v>92770</v>
      </c>
      <c r="P287" t="n">
        <v>42287</v>
      </c>
      <c r="Q287" t="n">
        <v>7082</v>
      </c>
    </row>
    <row r="288">
      <c r="A288" s="134" t="n">
        <v>42309</v>
      </c>
      <c r="B288" t="n">
        <v>318918</v>
      </c>
      <c r="C288" t="n">
        <v>449027</v>
      </c>
      <c r="D288" t="n">
        <v>27656</v>
      </c>
      <c r="E288" t="n">
        <v>21341</v>
      </c>
      <c r="F288" t="n">
        <v>57480</v>
      </c>
      <c r="G288" t="n">
        <v>8169</v>
      </c>
      <c r="H288" t="n">
        <v>9150</v>
      </c>
      <c r="I288" t="n">
        <v>52886</v>
      </c>
      <c r="J288" t="n">
        <v>355040</v>
      </c>
      <c r="K288" t="n">
        <v>36122</v>
      </c>
      <c r="L288" t="n">
        <v>56970</v>
      </c>
      <c r="M288" t="n">
        <v>26098</v>
      </c>
      <c r="N288" t="n">
        <v>9861</v>
      </c>
      <c r="O288" t="n">
        <v>93987</v>
      </c>
      <c r="P288" t="n">
        <v>42112</v>
      </c>
      <c r="Q288" t="n">
        <v>7195</v>
      </c>
    </row>
    <row r="289">
      <c r="A289" s="134" t="n">
        <v>42339</v>
      </c>
      <c r="B289" t="n">
        <v>321533</v>
      </c>
      <c r="C289" t="n">
        <v>450939</v>
      </c>
      <c r="D289" t="n">
        <v>28189</v>
      </c>
      <c r="E289" t="n">
        <v>21547</v>
      </c>
      <c r="F289" t="n">
        <v>57366</v>
      </c>
      <c r="G289" t="n">
        <v>8137</v>
      </c>
      <c r="H289" t="n">
        <v>9370</v>
      </c>
      <c r="I289" t="n">
        <v>53695</v>
      </c>
      <c r="J289" t="n">
        <v>357499</v>
      </c>
      <c r="K289" t="n">
        <v>35966</v>
      </c>
      <c r="L289" t="n">
        <v>57204</v>
      </c>
      <c r="M289" t="n">
        <v>26298</v>
      </c>
      <c r="N289" t="n">
        <v>9777</v>
      </c>
      <c r="O289" t="n">
        <v>93440</v>
      </c>
      <c r="P289" t="n">
        <v>42614</v>
      </c>
      <c r="Q289" t="n">
        <v>7336</v>
      </c>
    </row>
    <row r="290">
      <c r="A290" s="134" t="n">
        <v>42370</v>
      </c>
      <c r="B290" t="n">
        <v>320002</v>
      </c>
      <c r="C290" t="n">
        <v>447626</v>
      </c>
      <c r="D290" t="n">
        <v>28172</v>
      </c>
      <c r="E290" t="n">
        <v>21325</v>
      </c>
      <c r="F290" t="n">
        <v>57550</v>
      </c>
      <c r="G290" t="n">
        <v>7964</v>
      </c>
      <c r="H290" t="n">
        <v>9245</v>
      </c>
      <c r="I290" t="n">
        <v>53050</v>
      </c>
      <c r="J290" t="n">
        <v>354564</v>
      </c>
      <c r="K290" t="n">
        <v>34562</v>
      </c>
      <c r="L290" t="n">
        <v>56301</v>
      </c>
      <c r="M290" t="n">
        <v>26178</v>
      </c>
      <c r="N290" t="n">
        <v>9799</v>
      </c>
      <c r="O290" t="n">
        <v>93062</v>
      </c>
      <c r="P290" t="n">
        <v>43126</v>
      </c>
      <c r="Q290" t="n">
        <v>7292</v>
      </c>
    </row>
    <row r="291">
      <c r="A291" s="134" t="n">
        <v>42401</v>
      </c>
      <c r="B291" t="n">
        <v>323925</v>
      </c>
      <c r="C291" t="n">
        <v>452393</v>
      </c>
      <c r="D291" t="n">
        <v>28236</v>
      </c>
      <c r="E291" t="n">
        <v>22000</v>
      </c>
      <c r="F291" t="n">
        <v>57661</v>
      </c>
      <c r="G291" t="n">
        <v>8057</v>
      </c>
      <c r="H291" t="n">
        <v>9281</v>
      </c>
      <c r="I291" t="n">
        <v>54244</v>
      </c>
      <c r="J291" t="n">
        <v>356852</v>
      </c>
      <c r="K291" t="n">
        <v>32927</v>
      </c>
      <c r="L291" t="n">
        <v>57209</v>
      </c>
      <c r="M291" t="n">
        <v>26752</v>
      </c>
      <c r="N291" t="n">
        <v>9784</v>
      </c>
      <c r="O291" t="n">
        <v>95541</v>
      </c>
      <c r="P291" t="n">
        <v>43429</v>
      </c>
      <c r="Q291" t="n">
        <v>7272</v>
      </c>
    </row>
    <row r="292">
      <c r="A292" s="134" t="n">
        <v>42430</v>
      </c>
      <c r="B292" t="n">
        <v>323162</v>
      </c>
      <c r="C292" t="n">
        <v>450886</v>
      </c>
      <c r="D292" t="n">
        <v>28934</v>
      </c>
      <c r="E292" t="n">
        <v>21513</v>
      </c>
      <c r="F292" t="n">
        <v>57226</v>
      </c>
      <c r="G292" t="n">
        <v>7903</v>
      </c>
      <c r="H292" t="n">
        <v>9242</v>
      </c>
      <c r="I292" t="n">
        <v>53927</v>
      </c>
      <c r="J292" t="n">
        <v>357351</v>
      </c>
      <c r="K292" t="n">
        <v>34189</v>
      </c>
      <c r="L292" t="n">
        <v>56986</v>
      </c>
      <c r="M292" t="n">
        <v>26567</v>
      </c>
      <c r="N292" t="n">
        <v>10022</v>
      </c>
      <c r="O292" t="n">
        <v>93535</v>
      </c>
      <c r="P292" t="n">
        <v>43585</v>
      </c>
      <c r="Q292" t="n">
        <v>7257</v>
      </c>
    </row>
    <row r="293">
      <c r="A293" s="134" t="n">
        <v>42461</v>
      </c>
      <c r="B293" t="n">
        <v>323507</v>
      </c>
      <c r="C293" t="n">
        <v>452345</v>
      </c>
      <c r="D293" t="n">
        <v>27926</v>
      </c>
      <c r="E293" t="n">
        <v>21439</v>
      </c>
      <c r="F293" t="n">
        <v>57844</v>
      </c>
      <c r="G293" t="n">
        <v>7879</v>
      </c>
      <c r="H293" t="n">
        <v>9209</v>
      </c>
      <c r="I293" t="n">
        <v>54246</v>
      </c>
      <c r="J293" t="n">
        <v>358632</v>
      </c>
      <c r="K293" t="n">
        <v>35125</v>
      </c>
      <c r="L293" t="n">
        <v>56870</v>
      </c>
      <c r="M293" t="n">
        <v>26781</v>
      </c>
      <c r="N293" t="n">
        <v>10144</v>
      </c>
      <c r="O293" t="n">
        <v>93713</v>
      </c>
      <c r="P293" t="n">
        <v>43979</v>
      </c>
      <c r="Q293" t="n">
        <v>7190</v>
      </c>
    </row>
    <row r="294">
      <c r="A294" s="134" t="n">
        <v>42491</v>
      </c>
      <c r="B294" t="n">
        <v>324094</v>
      </c>
      <c r="C294" t="n">
        <v>454211</v>
      </c>
      <c r="D294" t="n">
        <v>27533</v>
      </c>
      <c r="E294" t="n">
        <v>21572</v>
      </c>
      <c r="F294" t="n">
        <v>58102</v>
      </c>
      <c r="G294" t="n">
        <v>7924</v>
      </c>
      <c r="H294" t="n">
        <v>9274</v>
      </c>
      <c r="I294" t="n">
        <v>54302</v>
      </c>
      <c r="J294" t="n">
        <v>360113</v>
      </c>
      <c r="K294" t="n">
        <v>36019</v>
      </c>
      <c r="L294" t="n">
        <v>56608</v>
      </c>
      <c r="M294" t="n">
        <v>26700</v>
      </c>
      <c r="N294" t="n">
        <v>10007</v>
      </c>
      <c r="O294" t="n">
        <v>94098</v>
      </c>
      <c r="P294" t="n">
        <v>44826</v>
      </c>
      <c r="Q294" t="n">
        <v>7246</v>
      </c>
    </row>
    <row r="295">
      <c r="A295" s="134" t="n">
        <v>42522</v>
      </c>
      <c r="B295" t="n">
        <v>327149</v>
      </c>
      <c r="C295" t="n">
        <v>459028</v>
      </c>
      <c r="D295" t="n">
        <v>28297</v>
      </c>
      <c r="E295" t="n">
        <v>21706</v>
      </c>
      <c r="F295" t="n">
        <v>58508</v>
      </c>
      <c r="G295" t="n">
        <v>7887</v>
      </c>
      <c r="H295" t="n">
        <v>9420</v>
      </c>
      <c r="I295" t="n">
        <v>54351</v>
      </c>
      <c r="J295" t="n">
        <v>364297</v>
      </c>
      <c r="K295" t="n">
        <v>37148</v>
      </c>
      <c r="L295" t="n">
        <v>57111</v>
      </c>
      <c r="M295" t="n">
        <v>26877</v>
      </c>
      <c r="N295" t="n">
        <v>10067</v>
      </c>
      <c r="O295" t="n">
        <v>94731</v>
      </c>
      <c r="P295" t="n">
        <v>45352</v>
      </c>
      <c r="Q295" t="n">
        <v>7573</v>
      </c>
    </row>
    <row r="296">
      <c r="A296" s="134" t="n">
        <v>42552</v>
      </c>
      <c r="B296" t="n">
        <v>325258</v>
      </c>
      <c r="C296" t="n">
        <v>457977</v>
      </c>
      <c r="D296" t="n">
        <v>27980</v>
      </c>
      <c r="E296" t="n">
        <v>21471</v>
      </c>
      <c r="F296" t="n">
        <v>58155</v>
      </c>
      <c r="G296" t="n">
        <v>7936</v>
      </c>
      <c r="H296" t="n">
        <v>9355</v>
      </c>
      <c r="I296" t="n">
        <v>54329</v>
      </c>
      <c r="J296" t="n">
        <v>362052</v>
      </c>
      <c r="K296" t="n">
        <v>36794</v>
      </c>
      <c r="L296" t="n">
        <v>56779</v>
      </c>
      <c r="M296" t="n">
        <v>26845</v>
      </c>
      <c r="N296" t="n">
        <v>10001</v>
      </c>
      <c r="O296" t="n">
        <v>95925</v>
      </c>
      <c r="P296" t="n">
        <v>45204</v>
      </c>
      <c r="Q296" t="n">
        <v>7203</v>
      </c>
    </row>
    <row r="297">
      <c r="A297" s="134" t="n">
        <v>42583</v>
      </c>
      <c r="B297" t="n">
        <v>326388</v>
      </c>
      <c r="C297" t="n">
        <v>458655</v>
      </c>
      <c r="D297" t="n">
        <v>27856</v>
      </c>
      <c r="E297" t="n">
        <v>21837</v>
      </c>
      <c r="F297" t="n">
        <v>58377</v>
      </c>
      <c r="G297" t="n">
        <v>8032</v>
      </c>
      <c r="H297" t="n">
        <v>9338</v>
      </c>
      <c r="I297" t="n">
        <v>54794</v>
      </c>
      <c r="J297" t="n">
        <v>362324</v>
      </c>
      <c r="K297" t="n">
        <v>35936</v>
      </c>
      <c r="L297" t="n">
        <v>56867</v>
      </c>
      <c r="M297" t="n">
        <v>26744</v>
      </c>
      <c r="N297" t="n">
        <v>9934</v>
      </c>
      <c r="O297" t="n">
        <v>96331</v>
      </c>
      <c r="P297" t="n">
        <v>45596</v>
      </c>
      <c r="Q297" t="n">
        <v>7013</v>
      </c>
    </row>
    <row r="298">
      <c r="A298" s="134" t="n">
        <v>42614</v>
      </c>
      <c r="B298" t="n">
        <v>327568</v>
      </c>
      <c r="C298" t="n">
        <v>461741</v>
      </c>
      <c r="D298" t="n">
        <v>27984</v>
      </c>
      <c r="E298" t="n">
        <v>21946</v>
      </c>
      <c r="F298" t="n">
        <v>58767</v>
      </c>
      <c r="G298" t="n">
        <v>7724</v>
      </c>
      <c r="H298" t="n">
        <v>9519</v>
      </c>
      <c r="I298" t="n">
        <v>55357</v>
      </c>
      <c r="J298" t="n">
        <v>364480</v>
      </c>
      <c r="K298" t="n">
        <v>36912</v>
      </c>
      <c r="L298" t="n">
        <v>56370</v>
      </c>
      <c r="M298" t="n">
        <v>26682</v>
      </c>
      <c r="N298" t="n">
        <v>10196</v>
      </c>
      <c r="O298" t="n">
        <v>97261</v>
      </c>
      <c r="P298" t="n">
        <v>45978</v>
      </c>
      <c r="Q298" t="n">
        <v>7045</v>
      </c>
    </row>
    <row r="299">
      <c r="A299" s="134" t="n">
        <v>42644</v>
      </c>
      <c r="B299" t="n">
        <v>327777</v>
      </c>
      <c r="C299" t="n">
        <v>462611</v>
      </c>
      <c r="D299" t="n">
        <v>28049</v>
      </c>
      <c r="E299" t="n">
        <v>21739</v>
      </c>
      <c r="F299" t="n">
        <v>59053</v>
      </c>
      <c r="G299" t="n">
        <v>7605</v>
      </c>
      <c r="H299" t="n">
        <v>9394</v>
      </c>
      <c r="I299" t="n">
        <v>55358</v>
      </c>
      <c r="J299" t="n">
        <v>365676</v>
      </c>
      <c r="K299" t="n">
        <v>37899</v>
      </c>
      <c r="L299" t="n">
        <v>56836</v>
      </c>
      <c r="M299" t="n">
        <v>25894</v>
      </c>
      <c r="N299" t="n">
        <v>10358</v>
      </c>
      <c r="O299" t="n">
        <v>96935</v>
      </c>
      <c r="P299" t="n">
        <v>46397</v>
      </c>
      <c r="Q299" t="n">
        <v>7094</v>
      </c>
    </row>
    <row r="300">
      <c r="A300" s="134" t="n">
        <v>42675</v>
      </c>
      <c r="B300" t="n">
        <v>328051</v>
      </c>
      <c r="C300" t="n">
        <v>462194</v>
      </c>
      <c r="D300" t="n">
        <v>28204</v>
      </c>
      <c r="E300" t="n">
        <v>21536</v>
      </c>
      <c r="F300" t="n">
        <v>59102</v>
      </c>
      <c r="G300" t="n">
        <v>7517</v>
      </c>
      <c r="H300" t="n">
        <v>9362</v>
      </c>
      <c r="I300" t="n">
        <v>56322</v>
      </c>
      <c r="J300" t="n">
        <v>365572</v>
      </c>
      <c r="K300" t="n">
        <v>37521</v>
      </c>
      <c r="L300" t="n">
        <v>56518</v>
      </c>
      <c r="M300" t="n">
        <v>26119</v>
      </c>
      <c r="N300" t="n">
        <v>9967</v>
      </c>
      <c r="O300" t="n">
        <v>96622</v>
      </c>
      <c r="P300" t="n">
        <v>46452</v>
      </c>
      <c r="Q300" t="n">
        <v>6952</v>
      </c>
    </row>
    <row r="301">
      <c r="A301" s="134" t="n">
        <v>42705</v>
      </c>
      <c r="B301" t="n">
        <v>329807</v>
      </c>
      <c r="C301" t="n">
        <v>468582</v>
      </c>
      <c r="D301" t="n">
        <v>28176</v>
      </c>
      <c r="E301" t="n">
        <v>21999</v>
      </c>
      <c r="F301" t="n">
        <v>59341</v>
      </c>
      <c r="G301" t="n">
        <v>7595</v>
      </c>
      <c r="H301" t="n">
        <v>9309</v>
      </c>
      <c r="I301" t="n">
        <v>55371</v>
      </c>
      <c r="J301" t="n">
        <v>369230</v>
      </c>
      <c r="K301" t="n">
        <v>39423</v>
      </c>
      <c r="L301" t="n">
        <v>56445</v>
      </c>
      <c r="M301" t="n">
        <v>26179</v>
      </c>
      <c r="N301" t="n">
        <v>10156</v>
      </c>
      <c r="O301" t="n">
        <v>99352</v>
      </c>
      <c r="P301" t="n">
        <v>48167</v>
      </c>
      <c r="Q301" t="n">
        <v>7069</v>
      </c>
    </row>
    <row r="302">
      <c r="A302" s="134" t="n">
        <v>42736</v>
      </c>
      <c r="B302" t="n">
        <v>334024</v>
      </c>
      <c r="C302" t="n">
        <v>473392</v>
      </c>
      <c r="D302" t="n">
        <v>28504</v>
      </c>
      <c r="E302" t="n">
        <v>22061</v>
      </c>
      <c r="F302" t="n">
        <v>59521</v>
      </c>
      <c r="G302" t="n">
        <v>7687</v>
      </c>
      <c r="H302" t="n">
        <v>9506</v>
      </c>
      <c r="I302" t="n">
        <v>57368</v>
      </c>
      <c r="J302" t="n">
        <v>373962</v>
      </c>
      <c r="K302" t="n">
        <v>39938</v>
      </c>
      <c r="L302" t="n">
        <v>57804</v>
      </c>
      <c r="M302" t="n">
        <v>26149</v>
      </c>
      <c r="N302" t="n">
        <v>10119</v>
      </c>
      <c r="O302" t="n">
        <v>99430</v>
      </c>
      <c r="P302" t="n">
        <v>48082</v>
      </c>
      <c r="Q302" t="n">
        <v>7223</v>
      </c>
    </row>
    <row r="303">
      <c r="A303" s="134" t="n">
        <v>42767</v>
      </c>
      <c r="B303" t="n">
        <v>334252</v>
      </c>
      <c r="C303" t="n">
        <v>473460</v>
      </c>
      <c r="D303" t="n">
        <v>28868</v>
      </c>
      <c r="E303" t="n">
        <v>21694</v>
      </c>
      <c r="F303" t="n">
        <v>59910</v>
      </c>
      <c r="G303" t="n">
        <v>7608</v>
      </c>
      <c r="H303" t="n">
        <v>9502</v>
      </c>
      <c r="I303" t="n">
        <v>57449</v>
      </c>
      <c r="J303" t="n">
        <v>374524</v>
      </c>
      <c r="K303" t="n">
        <v>40272</v>
      </c>
      <c r="L303" t="n">
        <v>57170</v>
      </c>
      <c r="M303" t="n">
        <v>26447</v>
      </c>
      <c r="N303" t="n">
        <v>10276</v>
      </c>
      <c r="O303" t="n">
        <v>98936</v>
      </c>
      <c r="P303" t="n">
        <v>48270</v>
      </c>
      <c r="Q303" t="n">
        <v>7058</v>
      </c>
    </row>
    <row r="304">
      <c r="A304" s="134" t="n">
        <v>42795</v>
      </c>
      <c r="B304" t="n">
        <v>335564</v>
      </c>
      <c r="C304" t="n">
        <v>472283</v>
      </c>
      <c r="D304" t="n">
        <v>28678</v>
      </c>
      <c r="E304" t="n">
        <v>21821</v>
      </c>
      <c r="F304" t="n">
        <v>60338</v>
      </c>
      <c r="G304" t="n">
        <v>7799</v>
      </c>
      <c r="H304" t="n">
        <v>9560</v>
      </c>
      <c r="I304" t="n">
        <v>57341</v>
      </c>
      <c r="J304" t="n">
        <v>375404</v>
      </c>
      <c r="K304" t="n">
        <v>39840</v>
      </c>
      <c r="L304" t="n">
        <v>57361</v>
      </c>
      <c r="M304" t="n">
        <v>26580</v>
      </c>
      <c r="N304" t="n">
        <v>10193</v>
      </c>
      <c r="O304" t="n">
        <v>96879</v>
      </c>
      <c r="P304" t="n">
        <v>48919</v>
      </c>
      <c r="Q304" t="n">
        <v>6974</v>
      </c>
    </row>
    <row r="305">
      <c r="A305" s="134" t="n">
        <v>42826</v>
      </c>
      <c r="B305" t="n">
        <v>337124</v>
      </c>
      <c r="C305" t="n">
        <v>474137</v>
      </c>
      <c r="D305" t="n">
        <v>29027</v>
      </c>
      <c r="E305" t="n">
        <v>21797</v>
      </c>
      <c r="F305" t="n">
        <v>60468</v>
      </c>
      <c r="G305" t="n">
        <v>7851</v>
      </c>
      <c r="H305" t="n">
        <v>9407</v>
      </c>
      <c r="I305" t="n">
        <v>57435</v>
      </c>
      <c r="J305" t="n">
        <v>376764</v>
      </c>
      <c r="K305" t="n">
        <v>39640</v>
      </c>
      <c r="L305" t="n">
        <v>57644</v>
      </c>
      <c r="M305" t="n">
        <v>26763</v>
      </c>
      <c r="N305" t="n">
        <v>10251</v>
      </c>
      <c r="O305" t="n">
        <v>97373</v>
      </c>
      <c r="P305" t="n">
        <v>49435</v>
      </c>
      <c r="Q305" t="n">
        <v>7046</v>
      </c>
    </row>
    <row r="306">
      <c r="A306" s="134" t="n">
        <v>42856</v>
      </c>
      <c r="B306" t="n">
        <v>335922</v>
      </c>
      <c r="C306" t="n">
        <v>471768</v>
      </c>
      <c r="D306" t="n">
        <v>28706</v>
      </c>
      <c r="E306" t="n">
        <v>21601</v>
      </c>
      <c r="F306" t="n">
        <v>60611</v>
      </c>
      <c r="G306" t="n">
        <v>7736</v>
      </c>
      <c r="H306" t="n">
        <v>9503</v>
      </c>
      <c r="I306" t="n">
        <v>57494</v>
      </c>
      <c r="J306" t="n">
        <v>373963</v>
      </c>
      <c r="K306" t="n">
        <v>38041</v>
      </c>
      <c r="L306" t="n">
        <v>56574</v>
      </c>
      <c r="M306" t="n">
        <v>26765</v>
      </c>
      <c r="N306" t="n">
        <v>10057</v>
      </c>
      <c r="O306" t="n">
        <v>97805</v>
      </c>
      <c r="P306" t="n">
        <v>49924</v>
      </c>
      <c r="Q306" t="n">
        <v>6951</v>
      </c>
    </row>
    <row r="307">
      <c r="A307" s="134" t="n">
        <v>42887</v>
      </c>
      <c r="B307" t="n">
        <v>337523</v>
      </c>
      <c r="C307" t="n">
        <v>473656</v>
      </c>
      <c r="D307" t="n">
        <v>28754</v>
      </c>
      <c r="E307" t="n">
        <v>21768</v>
      </c>
      <c r="F307" t="n">
        <v>60410</v>
      </c>
      <c r="G307" t="n">
        <v>7664</v>
      </c>
      <c r="H307" t="n">
        <v>9573</v>
      </c>
      <c r="I307" t="n">
        <v>57296</v>
      </c>
      <c r="J307" t="n">
        <v>374936</v>
      </c>
      <c r="K307" t="n">
        <v>37413</v>
      </c>
      <c r="L307" t="n">
        <v>57790</v>
      </c>
      <c r="M307" t="n">
        <v>27011</v>
      </c>
      <c r="N307" t="n">
        <v>10039</v>
      </c>
      <c r="O307" t="n">
        <v>98720</v>
      </c>
      <c r="P307" t="n">
        <v>50255</v>
      </c>
      <c r="Q307" t="n">
        <v>6963</v>
      </c>
    </row>
    <row r="308">
      <c r="A308" s="134" t="n">
        <v>42917</v>
      </c>
      <c r="B308" t="n">
        <v>337497</v>
      </c>
      <c r="C308" t="n">
        <v>473637</v>
      </c>
      <c r="D308" t="n">
        <v>28915</v>
      </c>
      <c r="E308" t="n">
        <v>21626</v>
      </c>
      <c r="F308" t="n">
        <v>60444</v>
      </c>
      <c r="G308" t="n">
        <v>7581</v>
      </c>
      <c r="H308" t="n">
        <v>9529</v>
      </c>
      <c r="I308" t="n">
        <v>57150</v>
      </c>
      <c r="J308" t="n">
        <v>374863</v>
      </c>
      <c r="K308" t="n">
        <v>37366</v>
      </c>
      <c r="L308" t="n">
        <v>57475</v>
      </c>
      <c r="M308" t="n">
        <v>27047</v>
      </c>
      <c r="N308" t="n">
        <v>10270</v>
      </c>
      <c r="O308" t="n">
        <v>98774</v>
      </c>
      <c r="P308" t="n">
        <v>50606</v>
      </c>
      <c r="Q308" t="n">
        <v>6854</v>
      </c>
    </row>
    <row r="309">
      <c r="A309" s="134" t="n">
        <v>42948</v>
      </c>
      <c r="B309" t="n">
        <v>339220</v>
      </c>
      <c r="C309" t="n">
        <v>474544</v>
      </c>
      <c r="D309" t="n">
        <v>28941</v>
      </c>
      <c r="E309" t="n">
        <v>21810</v>
      </c>
      <c r="F309" t="n">
        <v>60701</v>
      </c>
      <c r="G309" t="n">
        <v>7598</v>
      </c>
      <c r="H309" t="n">
        <v>9608</v>
      </c>
      <c r="I309" t="n">
        <v>57530</v>
      </c>
      <c r="J309" t="n">
        <v>377878</v>
      </c>
      <c r="K309" t="n">
        <v>38658</v>
      </c>
      <c r="L309" t="n">
        <v>57612</v>
      </c>
      <c r="M309" t="n">
        <v>27333</v>
      </c>
      <c r="N309" t="n">
        <v>10219</v>
      </c>
      <c r="O309" t="n">
        <v>96666</v>
      </c>
      <c r="P309" t="n">
        <v>50947</v>
      </c>
      <c r="Q309" t="n">
        <v>6921</v>
      </c>
    </row>
    <row r="310">
      <c r="A310" s="134" t="n">
        <v>42979</v>
      </c>
      <c r="B310" t="n">
        <v>342630</v>
      </c>
      <c r="C310" t="n">
        <v>484243</v>
      </c>
      <c r="D310" t="n">
        <v>29910</v>
      </c>
      <c r="E310" t="n">
        <v>21864</v>
      </c>
      <c r="F310" t="n">
        <v>61377</v>
      </c>
      <c r="G310" t="n">
        <v>7654</v>
      </c>
      <c r="H310" t="n">
        <v>9542</v>
      </c>
      <c r="I310" t="n">
        <v>57788</v>
      </c>
      <c r="J310" t="n">
        <v>383379</v>
      </c>
      <c r="K310" t="n">
        <v>40749</v>
      </c>
      <c r="L310" t="n">
        <v>58351</v>
      </c>
      <c r="M310" t="n">
        <v>27395</v>
      </c>
      <c r="N310" t="n">
        <v>10331</v>
      </c>
      <c r="O310" t="n">
        <v>100864</v>
      </c>
      <c r="P310" t="n">
        <v>51433</v>
      </c>
      <c r="Q310" t="n">
        <v>6985</v>
      </c>
    </row>
    <row r="311">
      <c r="A311" s="134" t="n">
        <v>43009</v>
      </c>
      <c r="B311" t="n">
        <v>342475</v>
      </c>
      <c r="C311" t="n">
        <v>484880</v>
      </c>
      <c r="D311" t="n">
        <v>29568</v>
      </c>
      <c r="E311" t="n">
        <v>21792</v>
      </c>
      <c r="F311" t="n">
        <v>61566</v>
      </c>
      <c r="G311" t="n">
        <v>7691</v>
      </c>
      <c r="H311" t="n">
        <v>9821</v>
      </c>
      <c r="I311" t="n">
        <v>58224</v>
      </c>
      <c r="J311" t="n">
        <v>383395</v>
      </c>
      <c r="K311" t="n">
        <v>40920</v>
      </c>
      <c r="L311" t="n">
        <v>57945</v>
      </c>
      <c r="M311" t="n">
        <v>27559</v>
      </c>
      <c r="N311" t="n">
        <v>10358</v>
      </c>
      <c r="O311" t="n">
        <v>101485</v>
      </c>
      <c r="P311" t="n">
        <v>50938</v>
      </c>
      <c r="Q311" t="n">
        <v>7013</v>
      </c>
    </row>
    <row r="312">
      <c r="A312" s="134" t="n">
        <v>43040</v>
      </c>
      <c r="B312" t="n">
        <v>347166</v>
      </c>
      <c r="C312" t="n">
        <v>489882</v>
      </c>
      <c r="D312" t="n">
        <v>30027</v>
      </c>
      <c r="E312" t="n">
        <v>21987</v>
      </c>
      <c r="F312" t="n">
        <v>61691</v>
      </c>
      <c r="G312" t="n">
        <v>7877</v>
      </c>
      <c r="H312" t="n">
        <v>9929</v>
      </c>
      <c r="I312" t="n">
        <v>58915</v>
      </c>
      <c r="J312" t="n">
        <v>389208</v>
      </c>
      <c r="K312" t="n">
        <v>42042</v>
      </c>
      <c r="L312" t="n">
        <v>57965</v>
      </c>
      <c r="M312" t="n">
        <v>27721</v>
      </c>
      <c r="N312" t="n">
        <v>10594</v>
      </c>
      <c r="O312" t="n">
        <v>100674</v>
      </c>
      <c r="P312" t="n">
        <v>53336</v>
      </c>
      <c r="Q312" t="n">
        <v>7124</v>
      </c>
    </row>
    <row r="313">
      <c r="A313" s="134" t="n">
        <v>43070</v>
      </c>
      <c r="B313" t="n">
        <v>350018</v>
      </c>
      <c r="C313" t="n">
        <v>493332</v>
      </c>
      <c r="D313" t="n">
        <v>30078</v>
      </c>
      <c r="E313" t="n">
        <v>21793</v>
      </c>
      <c r="F313" t="n">
        <v>62218</v>
      </c>
      <c r="G313" t="n">
        <v>7801</v>
      </c>
      <c r="H313" t="n">
        <v>9967</v>
      </c>
      <c r="I313" t="n">
        <v>59203</v>
      </c>
      <c r="J313" t="n">
        <v>392925</v>
      </c>
      <c r="K313" t="n">
        <v>42907</v>
      </c>
      <c r="L313" t="n">
        <v>58394</v>
      </c>
      <c r="M313" t="n">
        <v>27603</v>
      </c>
      <c r="N313" t="n">
        <v>10696</v>
      </c>
      <c r="O313" t="n">
        <v>100407</v>
      </c>
      <c r="P313" t="n">
        <v>55188</v>
      </c>
      <c r="Q313" t="n">
        <v>7077</v>
      </c>
    </row>
    <row r="314">
      <c r="A314" s="134" t="n">
        <v>43101</v>
      </c>
      <c r="B314" t="n">
        <v>348057</v>
      </c>
      <c r="C314" t="n">
        <v>491248</v>
      </c>
      <c r="D314" t="n">
        <v>29012</v>
      </c>
      <c r="E314" t="n">
        <v>21874</v>
      </c>
      <c r="F314" t="n">
        <v>61818</v>
      </c>
      <c r="G314" t="n">
        <v>7844</v>
      </c>
      <c r="H314" t="n">
        <v>9882</v>
      </c>
      <c r="I314" t="n">
        <v>59463</v>
      </c>
      <c r="J314" t="n">
        <v>391070</v>
      </c>
      <c r="K314" t="n">
        <v>43013</v>
      </c>
      <c r="L314" t="n">
        <v>58569</v>
      </c>
      <c r="M314" t="n">
        <v>27603</v>
      </c>
      <c r="N314" t="n">
        <v>10899</v>
      </c>
      <c r="O314" t="n">
        <v>100178</v>
      </c>
      <c r="P314" t="n">
        <v>54273</v>
      </c>
      <c r="Q314" t="n">
        <v>6820</v>
      </c>
    </row>
    <row r="315">
      <c r="A315" s="134" t="n">
        <v>43132</v>
      </c>
      <c r="B315" t="n">
        <v>350974</v>
      </c>
      <c r="C315" t="n">
        <v>494424</v>
      </c>
      <c r="D315" t="n">
        <v>30037</v>
      </c>
      <c r="E315" t="n">
        <v>22449</v>
      </c>
      <c r="F315" t="n">
        <v>62077</v>
      </c>
      <c r="G315" t="n">
        <v>7948</v>
      </c>
      <c r="H315" t="n">
        <v>9870</v>
      </c>
      <c r="I315" t="n">
        <v>59793</v>
      </c>
      <c r="J315" t="n">
        <v>394491</v>
      </c>
      <c r="K315" t="n">
        <v>43517</v>
      </c>
      <c r="L315" t="n">
        <v>58800</v>
      </c>
      <c r="M315" t="n">
        <v>27494</v>
      </c>
      <c r="N315" t="n">
        <v>10819</v>
      </c>
      <c r="O315" t="n">
        <v>99933</v>
      </c>
      <c r="P315" t="n">
        <v>54595</v>
      </c>
      <c r="Q315" t="n">
        <v>7092</v>
      </c>
    </row>
    <row r="316">
      <c r="A316" s="134" t="n">
        <v>43160</v>
      </c>
      <c r="B316" t="n">
        <v>350675</v>
      </c>
      <c r="C316" t="n">
        <v>493527</v>
      </c>
      <c r="D316" t="n">
        <v>29685</v>
      </c>
      <c r="E316" t="n">
        <v>21778</v>
      </c>
      <c r="F316" t="n">
        <v>62234</v>
      </c>
      <c r="G316" t="n">
        <v>7876</v>
      </c>
      <c r="H316" t="n">
        <v>9879</v>
      </c>
      <c r="I316" t="n">
        <v>60288</v>
      </c>
      <c r="J316" t="n">
        <v>393595</v>
      </c>
      <c r="K316" t="n">
        <v>42920</v>
      </c>
      <c r="L316" t="n">
        <v>57897</v>
      </c>
      <c r="M316" t="n">
        <v>27656</v>
      </c>
      <c r="N316" t="n">
        <v>10743</v>
      </c>
      <c r="O316" t="n">
        <v>99932</v>
      </c>
      <c r="P316" t="n">
        <v>55486</v>
      </c>
      <c r="Q316" t="n">
        <v>7153</v>
      </c>
    </row>
    <row r="317">
      <c r="A317" s="134" t="n">
        <v>43191</v>
      </c>
      <c r="B317" t="n">
        <v>351691</v>
      </c>
      <c r="C317" t="n">
        <v>494686</v>
      </c>
      <c r="D317" t="n">
        <v>29858</v>
      </c>
      <c r="E317" t="n">
        <v>22169</v>
      </c>
      <c r="F317" t="n">
        <v>62369</v>
      </c>
      <c r="G317" t="n">
        <v>7982</v>
      </c>
      <c r="H317" t="n">
        <v>10018</v>
      </c>
      <c r="I317" t="n">
        <v>59625</v>
      </c>
      <c r="J317" t="n">
        <v>394329</v>
      </c>
      <c r="K317" t="n">
        <v>42638</v>
      </c>
      <c r="L317" t="n">
        <v>58154</v>
      </c>
      <c r="M317" t="n">
        <v>27950</v>
      </c>
      <c r="N317" t="n">
        <v>10684</v>
      </c>
      <c r="O317" t="n">
        <v>100357</v>
      </c>
      <c r="P317" t="n">
        <v>55831</v>
      </c>
      <c r="Q317" t="n">
        <v>7051</v>
      </c>
    </row>
    <row r="318">
      <c r="A318" s="134" t="n">
        <v>43221</v>
      </c>
      <c r="B318" t="n">
        <v>356250</v>
      </c>
      <c r="C318" t="n">
        <v>500671</v>
      </c>
      <c r="D318" t="n">
        <v>30663</v>
      </c>
      <c r="E318" t="n">
        <v>22820</v>
      </c>
      <c r="F318" t="n">
        <v>62431</v>
      </c>
      <c r="G318" t="n">
        <v>7947</v>
      </c>
      <c r="H318" t="n">
        <v>9939</v>
      </c>
      <c r="I318" t="n">
        <v>60912</v>
      </c>
      <c r="J318" t="n">
        <v>400017</v>
      </c>
      <c r="K318" t="n">
        <v>43767</v>
      </c>
      <c r="L318" t="n">
        <v>59558</v>
      </c>
      <c r="M318" t="n">
        <v>28294</v>
      </c>
      <c r="N318" t="n">
        <v>10851</v>
      </c>
      <c r="O318" t="n">
        <v>100654</v>
      </c>
      <c r="P318" t="n">
        <v>55791</v>
      </c>
      <c r="Q318" t="n">
        <v>7044</v>
      </c>
    </row>
    <row r="319">
      <c r="A319" s="134" t="n">
        <v>43252</v>
      </c>
      <c r="B319" t="n">
        <v>355188</v>
      </c>
      <c r="C319" t="n">
        <v>499116</v>
      </c>
      <c r="D319" t="n">
        <v>31111</v>
      </c>
      <c r="E319" t="n">
        <v>22256</v>
      </c>
      <c r="F319" t="n">
        <v>62272</v>
      </c>
      <c r="G319" t="n">
        <v>7993</v>
      </c>
      <c r="H319" t="n">
        <v>9965</v>
      </c>
      <c r="I319" t="n">
        <v>61589</v>
      </c>
      <c r="J319" t="n">
        <v>398729</v>
      </c>
      <c r="K319" t="n">
        <v>43541</v>
      </c>
      <c r="L319" t="n">
        <v>58534</v>
      </c>
      <c r="M319" t="n">
        <v>28127</v>
      </c>
      <c r="N319" t="n">
        <v>10783</v>
      </c>
      <c r="O319" t="n">
        <v>100387</v>
      </c>
      <c r="P319" t="n">
        <v>55728</v>
      </c>
      <c r="Q319" t="n">
        <v>6830</v>
      </c>
    </row>
    <row r="320">
      <c r="A320" s="134" t="n">
        <v>43282</v>
      </c>
      <c r="B320" t="n">
        <v>357794</v>
      </c>
      <c r="C320" t="n">
        <v>502596</v>
      </c>
      <c r="D320" t="n">
        <v>31331</v>
      </c>
      <c r="E320" t="n">
        <v>22704</v>
      </c>
      <c r="F320" t="n">
        <v>62676</v>
      </c>
      <c r="G320" t="n">
        <v>7916</v>
      </c>
      <c r="H320" t="n">
        <v>10014</v>
      </c>
      <c r="I320" t="n">
        <v>62174</v>
      </c>
      <c r="J320" t="n">
        <v>401697</v>
      </c>
      <c r="K320" t="n">
        <v>43903</v>
      </c>
      <c r="L320" t="n">
        <v>58872</v>
      </c>
      <c r="M320" t="n">
        <v>28308</v>
      </c>
      <c r="N320" t="n">
        <v>10422</v>
      </c>
      <c r="O320" t="n">
        <v>100899</v>
      </c>
      <c r="P320" t="n">
        <v>56803</v>
      </c>
      <c r="Q320" t="n">
        <v>6574</v>
      </c>
    </row>
    <row r="321">
      <c r="A321" s="134" t="n">
        <v>43313</v>
      </c>
      <c r="B321" t="n">
        <v>357814</v>
      </c>
      <c r="C321" t="n">
        <v>502503</v>
      </c>
      <c r="D321" t="n">
        <v>30997</v>
      </c>
      <c r="E321" t="n">
        <v>22229</v>
      </c>
      <c r="F321" t="n">
        <v>62358</v>
      </c>
      <c r="G321" t="n">
        <v>7934</v>
      </c>
      <c r="H321" t="n">
        <v>9889</v>
      </c>
      <c r="I321" t="n">
        <v>62627</v>
      </c>
      <c r="J321" t="n">
        <v>402415</v>
      </c>
      <c r="K321" t="n">
        <v>44601</v>
      </c>
      <c r="L321" t="n">
        <v>59007</v>
      </c>
      <c r="M321" t="n">
        <v>28535</v>
      </c>
      <c r="N321" t="n">
        <v>10596</v>
      </c>
      <c r="O321" t="n">
        <v>100088</v>
      </c>
      <c r="P321" t="n">
        <v>57127</v>
      </c>
      <c r="Q321" t="n">
        <v>6515</v>
      </c>
    </row>
    <row r="322">
      <c r="A322" s="134" t="n">
        <v>43344</v>
      </c>
      <c r="B322" t="n">
        <v>356908</v>
      </c>
      <c r="C322" t="n">
        <v>500518</v>
      </c>
      <c r="D322" t="n">
        <v>31132</v>
      </c>
      <c r="E322" t="n">
        <v>22104</v>
      </c>
      <c r="F322" t="n">
        <v>62759</v>
      </c>
      <c r="G322" t="n">
        <v>7791</v>
      </c>
      <c r="H322" t="n">
        <v>9884</v>
      </c>
      <c r="I322" t="n">
        <v>61172</v>
      </c>
      <c r="J322" t="n">
        <v>401109</v>
      </c>
      <c r="K322" t="n">
        <v>44201</v>
      </c>
      <c r="L322" t="n">
        <v>58841</v>
      </c>
      <c r="M322" t="n">
        <v>28358</v>
      </c>
      <c r="N322" t="n">
        <v>10602</v>
      </c>
      <c r="O322" t="n">
        <v>99409</v>
      </c>
      <c r="P322" t="n">
        <v>57839</v>
      </c>
      <c r="Q322" t="n">
        <v>6426</v>
      </c>
    </row>
    <row r="323">
      <c r="A323" s="134" t="n">
        <v>43374</v>
      </c>
      <c r="B323" t="n">
        <v>359990</v>
      </c>
      <c r="C323" t="n">
        <v>505965</v>
      </c>
      <c r="D323" t="n">
        <v>31655</v>
      </c>
      <c r="E323" t="n">
        <v>22560</v>
      </c>
      <c r="F323" t="n">
        <v>63130</v>
      </c>
      <c r="G323" t="n">
        <v>7775</v>
      </c>
      <c r="H323" t="n">
        <v>9935</v>
      </c>
      <c r="I323" t="n">
        <v>61817</v>
      </c>
      <c r="J323" t="n">
        <v>405896</v>
      </c>
      <c r="K323" t="n">
        <v>45906</v>
      </c>
      <c r="L323" t="n">
        <v>59247</v>
      </c>
      <c r="M323" t="n">
        <v>28542</v>
      </c>
      <c r="N323" t="n">
        <v>10844</v>
      </c>
      <c r="O323" t="n">
        <v>100069</v>
      </c>
      <c r="P323" t="n">
        <v>58059</v>
      </c>
      <c r="Q323" t="n">
        <v>6426</v>
      </c>
    </row>
    <row r="324">
      <c r="A324" s="134" t="n">
        <v>43405</v>
      </c>
      <c r="B324" t="n">
        <v>362393</v>
      </c>
      <c r="C324" t="n">
        <v>507282</v>
      </c>
      <c r="D324" t="n">
        <v>31003</v>
      </c>
      <c r="E324" t="n">
        <v>22531</v>
      </c>
      <c r="F324" t="n">
        <v>63225</v>
      </c>
      <c r="G324" t="n">
        <v>7743</v>
      </c>
      <c r="H324" t="n">
        <v>9935</v>
      </c>
      <c r="I324" t="n">
        <v>61475</v>
      </c>
      <c r="J324" t="n">
        <v>406192</v>
      </c>
      <c r="K324" t="n">
        <v>43799</v>
      </c>
      <c r="L324" t="n">
        <v>60634</v>
      </c>
      <c r="M324" t="n">
        <v>29088</v>
      </c>
      <c r="N324" t="n">
        <v>10789</v>
      </c>
      <c r="O324" t="n">
        <v>101090</v>
      </c>
      <c r="P324" t="n">
        <v>59497</v>
      </c>
      <c r="Q324" t="n">
        <v>6473</v>
      </c>
    </row>
    <row r="325">
      <c r="A325" s="134" t="n">
        <v>43435</v>
      </c>
      <c r="B325" t="n">
        <v>355060</v>
      </c>
      <c r="C325" t="n">
        <v>498336</v>
      </c>
      <c r="D325" t="n">
        <v>31068</v>
      </c>
      <c r="E325" t="n">
        <v>22200</v>
      </c>
      <c r="F325" t="n">
        <v>63120</v>
      </c>
      <c r="G325" t="n">
        <v>7622</v>
      </c>
      <c r="H325" t="n">
        <v>9959</v>
      </c>
      <c r="I325" t="n">
        <v>61452</v>
      </c>
      <c r="J325" t="n">
        <v>396321</v>
      </c>
      <c r="K325" t="n">
        <v>41261</v>
      </c>
      <c r="L325" t="n">
        <v>59479</v>
      </c>
      <c r="M325" t="n">
        <v>27847</v>
      </c>
      <c r="N325" t="n">
        <v>10614</v>
      </c>
      <c r="O325" t="n">
        <v>102015</v>
      </c>
      <c r="P325" t="n">
        <v>55333</v>
      </c>
      <c r="Q325" t="n">
        <v>6366</v>
      </c>
    </row>
    <row r="326">
      <c r="A326" s="134" t="n">
        <v>43466</v>
      </c>
      <c r="B326" t="n">
        <v>361550</v>
      </c>
      <c r="C326" t="n">
        <v>501305</v>
      </c>
      <c r="D326" t="n">
        <v>32154</v>
      </c>
      <c r="E326" t="n">
        <v>22176</v>
      </c>
      <c r="F326" t="n">
        <v>64169</v>
      </c>
      <c r="G326" t="n">
        <v>7689</v>
      </c>
      <c r="H326" t="n">
        <v>9851</v>
      </c>
      <c r="I326" t="n">
        <v>61512</v>
      </c>
      <c r="J326" t="n">
        <v>401659</v>
      </c>
      <c r="K326" t="n">
        <v>40109</v>
      </c>
      <c r="L326" t="n">
        <v>59441</v>
      </c>
      <c r="M326" t="n">
        <v>28629</v>
      </c>
      <c r="N326" t="n">
        <v>10368</v>
      </c>
      <c r="O326" t="n">
        <v>99646</v>
      </c>
      <c r="P326" t="n">
        <v>59084</v>
      </c>
      <c r="Q326" t="n">
        <v>6477</v>
      </c>
    </row>
    <row r="327">
      <c r="A327" s="134" t="n">
        <v>43497</v>
      </c>
      <c r="B327" t="n">
        <v>360089</v>
      </c>
      <c r="C327" t="n">
        <v>503037</v>
      </c>
      <c r="D327" t="n">
        <v>30626</v>
      </c>
      <c r="E327" t="n">
        <v>22194</v>
      </c>
      <c r="F327" t="n">
        <v>62926</v>
      </c>
      <c r="G327" t="n">
        <v>7568</v>
      </c>
      <c r="H327" t="n">
        <v>9862</v>
      </c>
      <c r="I327" t="n">
        <v>62162</v>
      </c>
      <c r="J327" t="n">
        <v>402085</v>
      </c>
      <c r="K327" t="n">
        <v>41996</v>
      </c>
      <c r="L327" t="n">
        <v>59106</v>
      </c>
      <c r="M327" t="n">
        <v>28875</v>
      </c>
      <c r="N327" t="n">
        <v>10415</v>
      </c>
      <c r="O327" t="n">
        <v>100952</v>
      </c>
      <c r="P327" t="n">
        <v>59819</v>
      </c>
      <c r="Q327" t="n">
        <v>6536</v>
      </c>
    </row>
    <row r="328">
      <c r="A328" s="134" t="n">
        <v>43525</v>
      </c>
      <c r="B328" t="n">
        <v>362979</v>
      </c>
      <c r="C328" t="n">
        <v>509552</v>
      </c>
      <c r="D328" t="n">
        <v>30931</v>
      </c>
      <c r="E328" t="n">
        <v>22566</v>
      </c>
      <c r="F328" t="n">
        <v>64026</v>
      </c>
      <c r="G328" t="n">
        <v>7593</v>
      </c>
      <c r="H328" t="n">
        <v>9935</v>
      </c>
      <c r="I328" t="n">
        <v>62598</v>
      </c>
      <c r="J328" t="n">
        <v>405980</v>
      </c>
      <c r="K328" t="n">
        <v>43001</v>
      </c>
      <c r="L328" t="n">
        <v>59339</v>
      </c>
      <c r="M328" t="n">
        <v>28827</v>
      </c>
      <c r="N328" t="n">
        <v>10600</v>
      </c>
      <c r="O328" t="n">
        <v>103572</v>
      </c>
      <c r="P328" t="n">
        <v>60006</v>
      </c>
      <c r="Q328" t="n">
        <v>6558</v>
      </c>
    </row>
    <row r="329">
      <c r="A329" s="134" t="n">
        <v>43556</v>
      </c>
      <c r="B329" t="n">
        <v>364387</v>
      </c>
      <c r="C329" t="n">
        <v>510367</v>
      </c>
      <c r="D329" t="n">
        <v>30931</v>
      </c>
      <c r="E329" t="n">
        <v>22515</v>
      </c>
      <c r="F329" t="n">
        <v>64241</v>
      </c>
      <c r="G329" t="n">
        <v>7560</v>
      </c>
      <c r="H329" t="n">
        <v>10007</v>
      </c>
      <c r="I329" t="n">
        <v>63137</v>
      </c>
      <c r="J329" t="n">
        <v>408121</v>
      </c>
      <c r="K329" t="n">
        <v>43734</v>
      </c>
      <c r="L329" t="n">
        <v>59893</v>
      </c>
      <c r="M329" t="n">
        <v>28719</v>
      </c>
      <c r="N329" t="n">
        <v>10837</v>
      </c>
      <c r="O329" t="n">
        <v>102246</v>
      </c>
      <c r="P329" t="n">
        <v>59864</v>
      </c>
      <c r="Q329" t="n">
        <v>6683</v>
      </c>
    </row>
    <row r="330">
      <c r="A330" s="134" t="n">
        <v>43586</v>
      </c>
      <c r="B330" t="n">
        <v>366381</v>
      </c>
      <c r="C330" t="n">
        <v>512883</v>
      </c>
      <c r="D330" t="n">
        <v>30522</v>
      </c>
      <c r="E330" t="n">
        <v>22215</v>
      </c>
      <c r="F330" t="n">
        <v>64325</v>
      </c>
      <c r="G330" t="n">
        <v>7634</v>
      </c>
      <c r="H330" t="n">
        <v>10062</v>
      </c>
      <c r="I330" t="n">
        <v>63898</v>
      </c>
      <c r="J330" t="n">
        <v>410006</v>
      </c>
      <c r="K330" t="n">
        <v>43625</v>
      </c>
      <c r="L330" t="n">
        <v>59540</v>
      </c>
      <c r="M330" t="n">
        <v>28862</v>
      </c>
      <c r="N330" t="n">
        <v>10930</v>
      </c>
      <c r="O330" t="n">
        <v>102877</v>
      </c>
      <c r="P330" t="n">
        <v>61676</v>
      </c>
      <c r="Q330" t="n">
        <v>6717</v>
      </c>
    </row>
    <row r="331">
      <c r="A331" s="134" t="n">
        <v>43617</v>
      </c>
      <c r="B331" t="n">
        <v>368578</v>
      </c>
      <c r="C331" t="n">
        <v>513694</v>
      </c>
      <c r="D331" t="n">
        <v>30499</v>
      </c>
      <c r="E331" t="n">
        <v>22167</v>
      </c>
      <c r="F331" t="n">
        <v>64707</v>
      </c>
      <c r="G331" t="n">
        <v>7587</v>
      </c>
      <c r="H331" t="n">
        <v>10119</v>
      </c>
      <c r="I331" t="n">
        <v>64702</v>
      </c>
      <c r="J331" t="n">
        <v>410816</v>
      </c>
      <c r="K331" t="n">
        <v>42238</v>
      </c>
      <c r="L331" t="n">
        <v>59459</v>
      </c>
      <c r="M331" t="n">
        <v>28805</v>
      </c>
      <c r="N331" t="n">
        <v>10986</v>
      </c>
      <c r="O331" t="n">
        <v>102878</v>
      </c>
      <c r="P331" t="n">
        <v>62748</v>
      </c>
      <c r="Q331" t="n">
        <v>6799</v>
      </c>
    </row>
    <row r="332">
      <c r="A332" s="134" t="n">
        <v>43647</v>
      </c>
      <c r="B332" t="n">
        <v>372475</v>
      </c>
      <c r="C332" t="n">
        <v>518670</v>
      </c>
      <c r="D332" t="n">
        <v>31160</v>
      </c>
      <c r="E332" t="n">
        <v>22569</v>
      </c>
      <c r="F332" t="n">
        <v>65549</v>
      </c>
      <c r="G332" t="n">
        <v>7682</v>
      </c>
      <c r="H332" t="n">
        <v>10139</v>
      </c>
      <c r="I332" t="n">
        <v>65003</v>
      </c>
      <c r="J332" t="n">
        <v>415325</v>
      </c>
      <c r="K332" t="n">
        <v>42850</v>
      </c>
      <c r="L332" t="n">
        <v>60437</v>
      </c>
      <c r="M332" t="n">
        <v>28665</v>
      </c>
      <c r="N332" t="n">
        <v>10845</v>
      </c>
      <c r="O332" t="n">
        <v>103345</v>
      </c>
      <c r="P332" t="n">
        <v>63746</v>
      </c>
      <c r="Q332" t="n">
        <v>6680</v>
      </c>
    </row>
    <row r="333">
      <c r="A333" s="134" t="n">
        <v>43678</v>
      </c>
      <c r="B333" t="n">
        <v>372691</v>
      </c>
      <c r="C333" t="n">
        <v>521158</v>
      </c>
      <c r="D333" t="n">
        <v>31675</v>
      </c>
      <c r="E333" t="n">
        <v>22615</v>
      </c>
      <c r="F333" t="n">
        <v>65324</v>
      </c>
      <c r="G333" t="n">
        <v>7586</v>
      </c>
      <c r="H333" t="n">
        <v>10134</v>
      </c>
      <c r="I333" t="n">
        <v>65191</v>
      </c>
      <c r="J333" t="n">
        <v>415426</v>
      </c>
      <c r="K333" t="n">
        <v>42735</v>
      </c>
      <c r="L333" t="n">
        <v>60074</v>
      </c>
      <c r="M333" t="n">
        <v>28580</v>
      </c>
      <c r="N333" t="n">
        <v>11045</v>
      </c>
      <c r="O333" t="n">
        <v>105732</v>
      </c>
      <c r="P333" t="n">
        <v>63727</v>
      </c>
      <c r="Q333" t="n">
        <v>6740</v>
      </c>
    </row>
    <row r="334">
      <c r="A334" s="134" t="n">
        <v>43709</v>
      </c>
      <c r="B334" t="n">
        <v>371681</v>
      </c>
      <c r="C334" t="n">
        <v>517755</v>
      </c>
      <c r="D334" t="n">
        <v>31213</v>
      </c>
      <c r="E334" t="n">
        <v>22376</v>
      </c>
      <c r="F334" t="n">
        <v>64832</v>
      </c>
      <c r="G334" t="n">
        <v>7633</v>
      </c>
      <c r="H334" t="n">
        <v>10253</v>
      </c>
      <c r="I334" t="n">
        <v>65707</v>
      </c>
      <c r="J334" t="n">
        <v>414270</v>
      </c>
      <c r="K334" t="n">
        <v>42589</v>
      </c>
      <c r="L334" t="n">
        <v>59377</v>
      </c>
      <c r="M334" t="n">
        <v>28600</v>
      </c>
      <c r="N334" t="n">
        <v>10997</v>
      </c>
      <c r="O334" t="n">
        <v>103485</v>
      </c>
      <c r="P334" t="n">
        <v>63995</v>
      </c>
      <c r="Q334" t="n">
        <v>6698</v>
      </c>
    </row>
    <row r="335">
      <c r="A335" s="134" t="n">
        <v>43739</v>
      </c>
      <c r="B335" t="n">
        <v>372925</v>
      </c>
      <c r="C335" t="n">
        <v>519519</v>
      </c>
      <c r="D335" t="n">
        <v>31212</v>
      </c>
      <c r="E335" t="n">
        <v>22417</v>
      </c>
      <c r="F335" t="n">
        <v>64933</v>
      </c>
      <c r="G335" t="n">
        <v>7444</v>
      </c>
      <c r="H335" t="n">
        <v>10136</v>
      </c>
      <c r="I335" t="n">
        <v>66068</v>
      </c>
      <c r="J335" t="n">
        <v>416179</v>
      </c>
      <c r="K335" t="n">
        <v>43254</v>
      </c>
      <c r="L335" t="n">
        <v>59662</v>
      </c>
      <c r="M335" t="n">
        <v>28809</v>
      </c>
      <c r="N335" t="n">
        <v>11156</v>
      </c>
      <c r="O335" t="n">
        <v>103340</v>
      </c>
      <c r="P335" t="n">
        <v>64346</v>
      </c>
      <c r="Q335" t="n">
        <v>6742</v>
      </c>
    </row>
    <row r="336">
      <c r="A336" s="134" t="n">
        <v>43770</v>
      </c>
      <c r="B336" t="n">
        <v>372809</v>
      </c>
      <c r="C336" t="n">
        <v>521774</v>
      </c>
      <c r="D336" t="n">
        <v>31251</v>
      </c>
      <c r="E336" t="n">
        <v>22184</v>
      </c>
      <c r="F336" t="n">
        <v>64963</v>
      </c>
      <c r="G336" t="n">
        <v>7505</v>
      </c>
      <c r="H336" t="n">
        <v>10203</v>
      </c>
      <c r="I336" t="n">
        <v>65841</v>
      </c>
      <c r="J336" t="n">
        <v>416055</v>
      </c>
      <c r="K336" t="n">
        <v>43246</v>
      </c>
      <c r="L336" t="n">
        <v>60033</v>
      </c>
      <c r="M336" t="n">
        <v>28576</v>
      </c>
      <c r="N336" t="n">
        <v>11255</v>
      </c>
      <c r="O336" t="n">
        <v>105719</v>
      </c>
      <c r="P336" t="n">
        <v>64466</v>
      </c>
      <c r="Q336" t="n">
        <v>6532</v>
      </c>
    </row>
    <row r="337">
      <c r="A337" s="134" t="n">
        <v>43800</v>
      </c>
      <c r="B337" t="n">
        <v>377694</v>
      </c>
      <c r="C337" t="n">
        <v>525903</v>
      </c>
      <c r="D337" t="n">
        <v>31690</v>
      </c>
      <c r="E337" t="n">
        <v>23230</v>
      </c>
      <c r="F337" t="n">
        <v>65455</v>
      </c>
      <c r="G337" t="n">
        <v>7564</v>
      </c>
      <c r="H337" t="n">
        <v>10034</v>
      </c>
      <c r="I337" t="n">
        <v>66980</v>
      </c>
      <c r="J337" t="n">
        <v>422153</v>
      </c>
      <c r="K337" t="n">
        <v>44459</v>
      </c>
      <c r="L337" t="n">
        <v>60632</v>
      </c>
      <c r="M337" t="n">
        <v>28267</v>
      </c>
      <c r="N337" t="n">
        <v>11096</v>
      </c>
      <c r="O337" t="n">
        <v>103750</v>
      </c>
      <c r="P337" t="n">
        <v>66026</v>
      </c>
      <c r="Q337" t="n">
        <v>6720</v>
      </c>
    </row>
    <row r="338">
      <c r="A338" s="134" t="n">
        <v>43831</v>
      </c>
      <c r="B338" t="n">
        <v>377782</v>
      </c>
      <c r="C338" t="n">
        <v>524063</v>
      </c>
      <c r="D338" t="n">
        <v>32196</v>
      </c>
      <c r="E338" t="n">
        <v>23009</v>
      </c>
      <c r="F338" t="n">
        <v>64768</v>
      </c>
      <c r="G338" t="n">
        <v>7514</v>
      </c>
      <c r="H338" t="n">
        <v>10406</v>
      </c>
      <c r="I338" t="n">
        <v>67950</v>
      </c>
      <c r="J338" t="n">
        <v>421133</v>
      </c>
      <c r="K338" t="n">
        <v>43351</v>
      </c>
      <c r="L338" t="n">
        <v>60118</v>
      </c>
      <c r="M338" t="n">
        <v>28983</v>
      </c>
      <c r="N338" t="n">
        <v>11463</v>
      </c>
      <c r="O338" t="n">
        <v>102930</v>
      </c>
      <c r="P338" t="n">
        <v>64673</v>
      </c>
      <c r="Q338" t="n">
        <v>6702</v>
      </c>
    </row>
    <row r="339">
      <c r="A339" s="134" t="n">
        <v>43862</v>
      </c>
      <c r="B339" t="n">
        <v>380669</v>
      </c>
      <c r="C339" t="n">
        <v>526174</v>
      </c>
      <c r="D339" t="n">
        <v>32331</v>
      </c>
      <c r="E339" t="n">
        <v>22735</v>
      </c>
      <c r="F339" t="n">
        <v>64872</v>
      </c>
      <c r="G339" t="n">
        <v>7399</v>
      </c>
      <c r="H339" t="n">
        <v>10257</v>
      </c>
      <c r="I339" t="n">
        <v>68276</v>
      </c>
      <c r="J339" t="n">
        <v>422679</v>
      </c>
      <c r="K339" t="n">
        <v>42010</v>
      </c>
      <c r="L339" t="n">
        <v>60618</v>
      </c>
      <c r="M339" t="n">
        <v>29290</v>
      </c>
      <c r="N339" t="n">
        <v>11324</v>
      </c>
      <c r="O339" t="n">
        <v>103495</v>
      </c>
      <c r="P339" t="n">
        <v>66932</v>
      </c>
      <c r="Q339" t="n">
        <v>6635</v>
      </c>
    </row>
    <row r="340">
      <c r="A340" s="134" t="n">
        <v>43891</v>
      </c>
      <c r="B340" t="n">
        <v>369456</v>
      </c>
      <c r="C340" t="n">
        <v>480150</v>
      </c>
      <c r="D340" t="n">
        <v>32213</v>
      </c>
      <c r="E340" t="n">
        <v>11477</v>
      </c>
      <c r="F340" t="n">
        <v>81800</v>
      </c>
      <c r="G340" t="n">
        <v>6063</v>
      </c>
      <c r="H340" t="n">
        <v>7981</v>
      </c>
      <c r="I340" t="n">
        <v>47758</v>
      </c>
      <c r="J340" t="n">
        <v>403993</v>
      </c>
      <c r="K340" t="n">
        <v>34537</v>
      </c>
      <c r="L340" t="n">
        <v>64302</v>
      </c>
      <c r="M340" t="n">
        <v>30733</v>
      </c>
      <c r="N340" t="n">
        <v>9784</v>
      </c>
      <c r="O340" t="n">
        <v>76157</v>
      </c>
      <c r="P340" t="n">
        <v>71863</v>
      </c>
      <c r="Q340" t="n">
        <v>5482</v>
      </c>
    </row>
    <row r="341">
      <c r="A341" s="134" t="n">
        <v>43922</v>
      </c>
      <c r="B341" t="n">
        <v>314716</v>
      </c>
      <c r="C341" t="n">
        <v>407025</v>
      </c>
      <c r="D341" t="n">
        <v>31885</v>
      </c>
      <c r="E341" t="n">
        <v>2866</v>
      </c>
      <c r="F341" t="n">
        <v>71138</v>
      </c>
      <c r="G341" t="n">
        <v>3487</v>
      </c>
      <c r="H341" t="n">
        <v>3959</v>
      </c>
      <c r="I341" t="n">
        <v>31107</v>
      </c>
      <c r="J341" t="n">
        <v>340784</v>
      </c>
      <c r="K341" t="n">
        <v>26068</v>
      </c>
      <c r="L341" t="n">
        <v>56625</v>
      </c>
      <c r="M341" t="n">
        <v>26103</v>
      </c>
      <c r="N341" t="n">
        <v>7179</v>
      </c>
      <c r="O341" t="n">
        <v>66241</v>
      </c>
      <c r="P341" t="n">
        <v>76674</v>
      </c>
      <c r="Q341" t="n">
        <v>3693</v>
      </c>
    </row>
    <row r="342">
      <c r="A342" s="134" t="n">
        <v>43952</v>
      </c>
      <c r="B342" t="n">
        <v>355568</v>
      </c>
      <c r="C342" t="n">
        <v>483066</v>
      </c>
      <c r="D342" t="n">
        <v>36135</v>
      </c>
      <c r="E342" t="n">
        <v>8288</v>
      </c>
      <c r="F342" t="n">
        <v>72476</v>
      </c>
      <c r="G342" t="n">
        <v>4222</v>
      </c>
      <c r="H342" t="n">
        <v>7095</v>
      </c>
      <c r="I342" t="n">
        <v>41021</v>
      </c>
      <c r="J342" t="n">
        <v>385103</v>
      </c>
      <c r="K342" t="n">
        <v>29535</v>
      </c>
      <c r="L342" t="n">
        <v>60494</v>
      </c>
      <c r="M342" t="n">
        <v>26413</v>
      </c>
      <c r="N342" t="n">
        <v>8550</v>
      </c>
      <c r="O342" t="n">
        <v>97963</v>
      </c>
      <c r="P342" t="n">
        <v>84419</v>
      </c>
      <c r="Q342" t="n">
        <v>6455</v>
      </c>
    </row>
    <row r="343">
      <c r="A343" s="134" t="n">
        <v>43983</v>
      </c>
      <c r="B343" t="n">
        <v>384455</v>
      </c>
      <c r="C343" t="n">
        <v>525093</v>
      </c>
      <c r="D343" t="n">
        <v>36238</v>
      </c>
      <c r="E343" t="n">
        <v>17139</v>
      </c>
      <c r="F343" t="n">
        <v>71208</v>
      </c>
      <c r="G343" t="n">
        <v>5971</v>
      </c>
      <c r="H343" t="n">
        <v>9860</v>
      </c>
      <c r="I343" t="n">
        <v>52844</v>
      </c>
      <c r="J343" t="n">
        <v>418132</v>
      </c>
      <c r="K343" t="n">
        <v>33677</v>
      </c>
      <c r="L343" t="n">
        <v>61107</v>
      </c>
      <c r="M343" t="n">
        <v>28579</v>
      </c>
      <c r="N343" t="n">
        <v>10512</v>
      </c>
      <c r="O343" t="n">
        <v>106961</v>
      </c>
      <c r="P343" t="n">
        <v>82753</v>
      </c>
      <c r="Q343" t="n">
        <v>8244</v>
      </c>
    </row>
    <row r="344">
      <c r="A344" s="134" t="n">
        <v>44013</v>
      </c>
      <c r="B344" t="n">
        <v>394807</v>
      </c>
      <c r="C344" t="n">
        <v>536087</v>
      </c>
      <c r="D344" t="n">
        <v>36034</v>
      </c>
      <c r="E344" t="n">
        <v>17912</v>
      </c>
      <c r="F344" t="n">
        <v>71444</v>
      </c>
      <c r="G344" t="n">
        <v>6877</v>
      </c>
      <c r="H344" t="n">
        <v>10126</v>
      </c>
      <c r="I344" t="n">
        <v>54918</v>
      </c>
      <c r="J344" t="n">
        <v>430255</v>
      </c>
      <c r="K344" t="n">
        <v>35448</v>
      </c>
      <c r="L344" t="n">
        <v>61181</v>
      </c>
      <c r="M344" t="n">
        <v>30173</v>
      </c>
      <c r="N344" t="n">
        <v>10997</v>
      </c>
      <c r="O344" t="n">
        <v>105832</v>
      </c>
      <c r="P344" t="n">
        <v>87256</v>
      </c>
      <c r="Q344" t="n">
        <v>7889</v>
      </c>
    </row>
    <row r="345">
      <c r="A345" s="134" t="n">
        <v>44044</v>
      </c>
      <c r="B345" t="n">
        <v>396649</v>
      </c>
      <c r="C345" t="n">
        <v>540078</v>
      </c>
      <c r="D345" t="n">
        <v>36741</v>
      </c>
      <c r="E345" t="n">
        <v>18400</v>
      </c>
      <c r="F345" t="n">
        <v>70080</v>
      </c>
      <c r="G345" t="n">
        <v>6875</v>
      </c>
      <c r="H345" t="n">
        <v>10641</v>
      </c>
      <c r="I345" t="n">
        <v>57687</v>
      </c>
      <c r="J345" t="n">
        <v>432843</v>
      </c>
      <c r="K345" t="n">
        <v>36194</v>
      </c>
      <c r="L345" t="n">
        <v>59992</v>
      </c>
      <c r="M345" t="n">
        <v>29802</v>
      </c>
      <c r="N345" t="n">
        <v>11174</v>
      </c>
      <c r="O345" t="n">
        <v>107235</v>
      </c>
      <c r="P345" t="n">
        <v>87790</v>
      </c>
      <c r="Q345" t="n">
        <v>7467</v>
      </c>
    </row>
    <row r="346">
      <c r="A346" s="134" t="n">
        <v>44075</v>
      </c>
      <c r="B346" t="n">
        <v>404129</v>
      </c>
      <c r="C346" t="n">
        <v>551871</v>
      </c>
      <c r="D346" t="n">
        <v>36910</v>
      </c>
      <c r="E346" t="n">
        <v>20827</v>
      </c>
      <c r="F346" t="n">
        <v>70053</v>
      </c>
      <c r="G346" t="n">
        <v>6783</v>
      </c>
      <c r="H346" t="n">
        <v>10747</v>
      </c>
      <c r="I346" t="n">
        <v>59171</v>
      </c>
      <c r="J346" t="n">
        <v>440843</v>
      </c>
      <c r="K346" t="n">
        <v>36714</v>
      </c>
      <c r="L346" t="n">
        <v>62289</v>
      </c>
      <c r="M346" t="n">
        <v>30274</v>
      </c>
      <c r="N346" t="n">
        <v>11198</v>
      </c>
      <c r="O346" t="n">
        <v>111028</v>
      </c>
      <c r="P346" t="n">
        <v>88022</v>
      </c>
      <c r="Q346" t="n">
        <v>7855</v>
      </c>
    </row>
    <row r="347">
      <c r="A347" s="134" t="n">
        <v>44105</v>
      </c>
      <c r="B347" t="n">
        <v>402661</v>
      </c>
      <c r="C347" t="n">
        <v>550049</v>
      </c>
      <c r="D347" t="n">
        <v>36498</v>
      </c>
      <c r="E347" t="n">
        <v>20303</v>
      </c>
      <c r="F347" t="n">
        <v>69685</v>
      </c>
      <c r="G347" t="n">
        <v>6991</v>
      </c>
      <c r="H347" t="n">
        <v>10657</v>
      </c>
      <c r="I347" t="n">
        <v>59223</v>
      </c>
      <c r="J347" t="n">
        <v>439587</v>
      </c>
      <c r="K347" t="n">
        <v>36926</v>
      </c>
      <c r="L347" t="n">
        <v>61465</v>
      </c>
      <c r="M347" t="n">
        <v>30170</v>
      </c>
      <c r="N347" t="n">
        <v>11212</v>
      </c>
      <c r="O347" t="n">
        <v>110462</v>
      </c>
      <c r="P347" t="n">
        <v>88693</v>
      </c>
      <c r="Q347" t="n">
        <v>7764</v>
      </c>
    </row>
    <row r="348">
      <c r="A348" s="134" t="n">
        <v>44136</v>
      </c>
      <c r="B348" t="n">
        <v>398714</v>
      </c>
      <c r="C348" t="n">
        <v>543834</v>
      </c>
      <c r="D348" t="n">
        <v>36557</v>
      </c>
      <c r="E348" t="n">
        <v>19017</v>
      </c>
      <c r="F348" t="n">
        <v>70464</v>
      </c>
      <c r="G348" t="n">
        <v>6705</v>
      </c>
      <c r="H348" t="n">
        <v>10472</v>
      </c>
      <c r="I348" t="n">
        <v>57001</v>
      </c>
      <c r="J348" t="n">
        <v>434907</v>
      </c>
      <c r="K348" t="n">
        <v>36193</v>
      </c>
      <c r="L348" t="n">
        <v>61442</v>
      </c>
      <c r="M348" t="n">
        <v>29698</v>
      </c>
      <c r="N348" t="n">
        <v>11229</v>
      </c>
      <c r="O348" t="n">
        <v>108927</v>
      </c>
      <c r="P348" t="n">
        <v>88465</v>
      </c>
      <c r="Q348" t="n">
        <v>7664</v>
      </c>
    </row>
    <row r="349">
      <c r="A349" s="134" t="n">
        <v>44166</v>
      </c>
      <c r="B349" t="n">
        <v>392563</v>
      </c>
      <c r="C349" t="n">
        <v>542942</v>
      </c>
      <c r="D349" t="n">
        <v>36528</v>
      </c>
      <c r="E349" t="n">
        <v>20007</v>
      </c>
      <c r="F349" t="n">
        <v>69983</v>
      </c>
      <c r="G349" t="n">
        <v>6478</v>
      </c>
      <c r="H349" t="n">
        <v>10446</v>
      </c>
      <c r="I349" t="n">
        <v>54066</v>
      </c>
      <c r="J349" t="n">
        <v>431856</v>
      </c>
      <c r="K349" t="n">
        <v>39293</v>
      </c>
      <c r="L349" t="n">
        <v>60493</v>
      </c>
      <c r="M349" t="n">
        <v>29948</v>
      </c>
      <c r="N349" t="n">
        <v>11802</v>
      </c>
      <c r="O349" t="n">
        <v>111086</v>
      </c>
      <c r="P349" t="n">
        <v>85101</v>
      </c>
      <c r="Q349" t="n">
        <v>7711</v>
      </c>
    </row>
    <row r="350">
      <c r="A350" s="134" t="n">
        <v>44197</v>
      </c>
      <c r="B350" t="n">
        <v>416686</v>
      </c>
      <c r="C350" t="n">
        <v>572822</v>
      </c>
      <c r="D350" t="n">
        <v>38682</v>
      </c>
      <c r="E350" t="n">
        <v>21093</v>
      </c>
      <c r="F350" t="n">
        <v>70921</v>
      </c>
      <c r="G350" t="n">
        <v>7382</v>
      </c>
      <c r="H350" t="n">
        <v>11855</v>
      </c>
      <c r="I350" t="n">
        <v>59553</v>
      </c>
      <c r="J350" t="n">
        <v>457790</v>
      </c>
      <c r="K350" t="n">
        <v>41104</v>
      </c>
      <c r="L350" t="n">
        <v>65762</v>
      </c>
      <c r="M350" t="n">
        <v>29977</v>
      </c>
      <c r="N350" t="n">
        <v>11835</v>
      </c>
      <c r="O350" t="n">
        <v>115032</v>
      </c>
      <c r="P350" t="n">
        <v>91081</v>
      </c>
      <c r="Q350" t="n">
        <v>8545</v>
      </c>
    </row>
    <row r="351">
      <c r="A351" s="134" t="n">
        <v>44228</v>
      </c>
      <c r="B351" t="n">
        <v>408169</v>
      </c>
      <c r="C351" t="n">
        <v>562686</v>
      </c>
      <c r="D351" t="n">
        <v>36997</v>
      </c>
      <c r="E351" t="n">
        <v>19904</v>
      </c>
      <c r="F351" t="n">
        <v>70969</v>
      </c>
      <c r="G351" t="n">
        <v>7068</v>
      </c>
      <c r="H351" t="n">
        <v>11243</v>
      </c>
      <c r="I351" t="n">
        <v>59036</v>
      </c>
      <c r="J351" t="n">
        <v>450910</v>
      </c>
      <c r="K351" t="n">
        <v>42741</v>
      </c>
      <c r="L351" t="n">
        <v>62783</v>
      </c>
      <c r="M351" t="n">
        <v>29740</v>
      </c>
      <c r="N351" t="n">
        <v>11602</v>
      </c>
      <c r="O351" t="n">
        <v>111776</v>
      </c>
      <c r="P351" t="n">
        <v>90997</v>
      </c>
      <c r="Q351" t="n">
        <v>7830</v>
      </c>
    </row>
    <row r="352">
      <c r="A352" s="134" t="n">
        <v>44256</v>
      </c>
      <c r="B352" t="n">
        <v>448480</v>
      </c>
      <c r="C352" t="n">
        <v>625731</v>
      </c>
      <c r="D352" t="n">
        <v>41753</v>
      </c>
      <c r="E352" t="n">
        <v>24019</v>
      </c>
      <c r="F352" t="n">
        <v>71309</v>
      </c>
      <c r="G352" t="n">
        <v>8019</v>
      </c>
      <c r="H352" t="n">
        <v>12052</v>
      </c>
      <c r="I352" t="n">
        <v>67362</v>
      </c>
      <c r="J352" t="n">
        <v>494626</v>
      </c>
      <c r="K352" t="n">
        <v>46146</v>
      </c>
      <c r="L352" t="n">
        <v>69549</v>
      </c>
      <c r="M352" t="n">
        <v>32383</v>
      </c>
      <c r="N352" t="n">
        <v>13170</v>
      </c>
      <c r="O352" t="n">
        <v>131105</v>
      </c>
      <c r="P352" t="n">
        <v>99351</v>
      </c>
      <c r="Q352" t="n">
        <v>9513</v>
      </c>
    </row>
    <row r="353">
      <c r="A353" s="134" t="n">
        <v>44287</v>
      </c>
      <c r="B353" t="n">
        <v>446407</v>
      </c>
      <c r="C353" t="n">
        <v>625764</v>
      </c>
      <c r="D353" t="n">
        <v>41661</v>
      </c>
      <c r="E353" t="n">
        <v>24070</v>
      </c>
      <c r="F353" t="n">
        <v>71984</v>
      </c>
      <c r="G353" t="n">
        <v>8153</v>
      </c>
      <c r="H353" t="n">
        <v>12047</v>
      </c>
      <c r="I353" t="n">
        <v>69899</v>
      </c>
      <c r="J353" t="n">
        <v>492307</v>
      </c>
      <c r="K353" t="n">
        <v>45900</v>
      </c>
      <c r="L353" t="n">
        <v>68499</v>
      </c>
      <c r="M353" t="n">
        <v>32315</v>
      </c>
      <c r="N353" t="n">
        <v>13291</v>
      </c>
      <c r="O353" t="n">
        <v>133457</v>
      </c>
      <c r="P353" t="n">
        <v>95121</v>
      </c>
      <c r="Q353" t="n">
        <v>9367</v>
      </c>
    </row>
    <row r="354">
      <c r="A354" s="134" t="n">
        <v>44317</v>
      </c>
      <c r="B354" t="n">
        <v>445569</v>
      </c>
      <c r="C354" t="n">
        <v>622921</v>
      </c>
      <c r="D354" t="n">
        <v>39836</v>
      </c>
      <c r="E354" t="n">
        <v>24789</v>
      </c>
      <c r="F354" t="n">
        <v>72530</v>
      </c>
      <c r="G354" t="n">
        <v>8074</v>
      </c>
      <c r="H354" t="n">
        <v>11985</v>
      </c>
      <c r="I354" t="n">
        <v>72480</v>
      </c>
      <c r="J354" t="n">
        <v>491778</v>
      </c>
      <c r="K354" t="n">
        <v>46209</v>
      </c>
      <c r="L354" t="n">
        <v>66475</v>
      </c>
      <c r="M354" t="n">
        <v>31531</v>
      </c>
      <c r="N354" t="n">
        <v>12482</v>
      </c>
      <c r="O354" t="n">
        <v>131143</v>
      </c>
      <c r="P354" t="n">
        <v>96292</v>
      </c>
      <c r="Q354" t="n">
        <v>9095</v>
      </c>
    </row>
    <row r="355">
      <c r="A355" s="134" t="n">
        <v>44348</v>
      </c>
      <c r="B355" t="n">
        <v>455114</v>
      </c>
      <c r="C355" t="n">
        <v>628881</v>
      </c>
      <c r="D355" t="n">
        <v>39249</v>
      </c>
      <c r="E355" t="n">
        <v>25799</v>
      </c>
      <c r="F355" t="n">
        <v>73116</v>
      </c>
      <c r="G355" t="n">
        <v>8540</v>
      </c>
      <c r="H355" t="n">
        <v>11909</v>
      </c>
      <c r="I355" t="n">
        <v>75837</v>
      </c>
      <c r="J355" t="n">
        <v>501804</v>
      </c>
      <c r="K355" t="n">
        <v>46690</v>
      </c>
      <c r="L355" t="n">
        <v>66887</v>
      </c>
      <c r="M355" t="n">
        <v>32715</v>
      </c>
      <c r="N355" t="n">
        <v>13588</v>
      </c>
      <c r="O355" t="n">
        <v>127077</v>
      </c>
      <c r="P355" t="n">
        <v>98517</v>
      </c>
      <c r="Q355" t="n">
        <v>8957</v>
      </c>
    </row>
    <row r="356">
      <c r="A356" s="134" t="n">
        <v>44378</v>
      </c>
      <c r="B356" t="n">
        <v>448825</v>
      </c>
      <c r="C356" t="n">
        <v>619014</v>
      </c>
      <c r="D356" t="n">
        <v>38848</v>
      </c>
      <c r="E356" t="n">
        <v>25397</v>
      </c>
      <c r="F356" t="n">
        <v>72910</v>
      </c>
      <c r="G356" t="n">
        <v>8443</v>
      </c>
      <c r="H356" t="n">
        <v>11861</v>
      </c>
      <c r="I356" t="n">
        <v>77293</v>
      </c>
      <c r="J356" t="n">
        <v>496686</v>
      </c>
      <c r="K356" t="n">
        <v>47861</v>
      </c>
      <c r="L356" t="n">
        <v>66654</v>
      </c>
      <c r="M356" t="n">
        <v>32512</v>
      </c>
      <c r="N356" t="n">
        <v>13833</v>
      </c>
      <c r="O356" t="n">
        <v>122328</v>
      </c>
      <c r="P356" t="n">
        <v>92162</v>
      </c>
      <c r="Q356" t="n">
        <v>8912</v>
      </c>
    </row>
    <row r="357">
      <c r="A357" s="134" t="n">
        <v>44409</v>
      </c>
      <c r="B357" t="n">
        <v>455497</v>
      </c>
      <c r="C357" t="n">
        <v>624963</v>
      </c>
      <c r="D357" t="n">
        <v>38913</v>
      </c>
      <c r="E357" t="n">
        <v>24874</v>
      </c>
      <c r="F357" t="n">
        <v>74085</v>
      </c>
      <c r="G357" t="n">
        <v>8022</v>
      </c>
      <c r="H357" t="n">
        <v>11866</v>
      </c>
      <c r="I357" t="n">
        <v>77564</v>
      </c>
      <c r="J357" t="n">
        <v>505347</v>
      </c>
      <c r="K357" t="n">
        <v>49850</v>
      </c>
      <c r="L357" t="n">
        <v>67314</v>
      </c>
      <c r="M357" t="n">
        <v>32799</v>
      </c>
      <c r="N357" t="n">
        <v>14073</v>
      </c>
      <c r="O357" t="n">
        <v>119616</v>
      </c>
      <c r="P357" t="n">
        <v>97186</v>
      </c>
      <c r="Q357" t="n">
        <v>8801</v>
      </c>
    </row>
    <row r="358">
      <c r="A358" s="134" t="n">
        <v>44440</v>
      </c>
      <c r="B358" t="n">
        <v>458989</v>
      </c>
      <c r="C358" t="n">
        <v>631984</v>
      </c>
      <c r="D358" t="n">
        <v>39230</v>
      </c>
      <c r="E358" t="n">
        <v>25433</v>
      </c>
      <c r="F358" t="n">
        <v>74707</v>
      </c>
      <c r="G358" t="n">
        <v>8142</v>
      </c>
      <c r="H358" t="n">
        <v>11914</v>
      </c>
      <c r="I358" t="n">
        <v>78288</v>
      </c>
      <c r="J358" t="n">
        <v>511139</v>
      </c>
      <c r="K358" t="n">
        <v>52150</v>
      </c>
      <c r="L358" t="n">
        <v>67608</v>
      </c>
      <c r="M358" t="n">
        <v>32545</v>
      </c>
      <c r="N358" t="n">
        <v>14346</v>
      </c>
      <c r="O358" t="n">
        <v>120845</v>
      </c>
      <c r="P358" t="n">
        <v>97872</v>
      </c>
      <c r="Q358" t="n">
        <v>8904</v>
      </c>
    </row>
    <row r="359">
      <c r="A359" s="134" t="n">
        <v>44470</v>
      </c>
      <c r="B359" t="n">
        <v>464253</v>
      </c>
      <c r="C359" t="n">
        <v>640899</v>
      </c>
      <c r="D359" t="n">
        <v>40093</v>
      </c>
      <c r="E359" t="n">
        <v>25487</v>
      </c>
      <c r="F359" t="n">
        <v>75535</v>
      </c>
      <c r="G359" t="n">
        <v>8191</v>
      </c>
      <c r="H359" t="n">
        <v>12064</v>
      </c>
      <c r="I359" t="n">
        <v>78603</v>
      </c>
      <c r="J359" t="n">
        <v>518231</v>
      </c>
      <c r="K359" t="n">
        <v>53978</v>
      </c>
      <c r="L359" t="n">
        <v>68516</v>
      </c>
      <c r="M359" t="n">
        <v>32444</v>
      </c>
      <c r="N359" t="n">
        <v>14463</v>
      </c>
      <c r="O359" t="n">
        <v>122668</v>
      </c>
      <c r="P359" t="n">
        <v>99837</v>
      </c>
      <c r="Q359" t="n">
        <v>9020</v>
      </c>
    </row>
    <row r="360">
      <c r="A360" s="134" t="n">
        <v>44501</v>
      </c>
      <c r="B360" t="n">
        <v>465861</v>
      </c>
      <c r="C360" t="n">
        <v>644741</v>
      </c>
      <c r="D360" t="n">
        <v>40880</v>
      </c>
      <c r="E360" t="n">
        <v>25784</v>
      </c>
      <c r="F360" t="n">
        <v>75783</v>
      </c>
      <c r="G360" t="n">
        <v>7227</v>
      </c>
      <c r="H360" t="n">
        <v>12025</v>
      </c>
      <c r="I360" t="n">
        <v>79051</v>
      </c>
      <c r="J360" t="n">
        <v>521070</v>
      </c>
      <c r="K360" t="n">
        <v>55209</v>
      </c>
      <c r="L360" t="n">
        <v>68402</v>
      </c>
      <c r="M360" t="n">
        <v>32793</v>
      </c>
      <c r="N360" t="n">
        <v>14381</v>
      </c>
      <c r="O360" t="n">
        <v>123671</v>
      </c>
      <c r="P360" t="n">
        <v>100341</v>
      </c>
      <c r="Q360" t="n">
        <v>9194</v>
      </c>
    </row>
    <row r="361">
      <c r="A361" s="134" t="n">
        <v>44531</v>
      </c>
      <c r="B361" t="n">
        <v>457676</v>
      </c>
      <c r="C361" t="n">
        <v>634393</v>
      </c>
      <c r="D361" t="n">
        <v>41207</v>
      </c>
      <c r="E361" t="n">
        <v>25051</v>
      </c>
      <c r="F361" t="n">
        <v>76187</v>
      </c>
      <c r="G361" t="n">
        <v>7224</v>
      </c>
      <c r="H361" t="n">
        <v>11219</v>
      </c>
      <c r="I361" t="n">
        <v>77583</v>
      </c>
      <c r="J361" t="n">
        <v>513586</v>
      </c>
      <c r="K361" t="n">
        <v>55910</v>
      </c>
      <c r="L361" t="n">
        <v>67197</v>
      </c>
      <c r="M361" t="n">
        <v>32797</v>
      </c>
      <c r="N361" t="n">
        <v>14285</v>
      </c>
      <c r="O361" t="n">
        <v>120807</v>
      </c>
      <c r="P361" t="n">
        <v>95958</v>
      </c>
      <c r="Q361" t="n">
        <v>8968</v>
      </c>
    </row>
    <row r="362">
      <c r="A362" s="134" t="n">
        <v>44562</v>
      </c>
      <c r="B362" t="n">
        <v>466972</v>
      </c>
      <c r="C362" t="n">
        <v>651557</v>
      </c>
      <c r="D362" t="n">
        <v>42170</v>
      </c>
      <c r="E362" t="n">
        <v>25160</v>
      </c>
      <c r="F362" t="n">
        <v>76603</v>
      </c>
      <c r="G362" t="n">
        <v>7263</v>
      </c>
      <c r="H362" t="n">
        <v>11994</v>
      </c>
      <c r="I362" t="n">
        <v>75557</v>
      </c>
      <c r="J362" t="n">
        <v>521891</v>
      </c>
      <c r="K362" t="n">
        <v>54919</v>
      </c>
      <c r="L362" t="n">
        <v>69233</v>
      </c>
      <c r="M362" t="n">
        <v>32815</v>
      </c>
      <c r="N362" t="n">
        <v>14527</v>
      </c>
      <c r="O362" t="n">
        <v>129666</v>
      </c>
      <c r="P362" t="n">
        <v>102773</v>
      </c>
      <c r="Q362" t="n">
        <v>8877</v>
      </c>
    </row>
    <row r="363">
      <c r="A363" s="134" t="n">
        <v>44593</v>
      </c>
      <c r="B363" t="n">
        <v>472501</v>
      </c>
      <c r="C363" t="n">
        <v>662321</v>
      </c>
      <c r="D363" t="n">
        <v>42307</v>
      </c>
      <c r="E363" t="n">
        <v>25481</v>
      </c>
      <c r="F363" t="n">
        <v>76533</v>
      </c>
      <c r="G363" t="n">
        <v>7516</v>
      </c>
      <c r="H363" t="n">
        <v>12101</v>
      </c>
      <c r="I363" t="n">
        <v>80553</v>
      </c>
      <c r="J363" t="n">
        <v>530893</v>
      </c>
      <c r="K363" t="n">
        <v>58392</v>
      </c>
      <c r="L363" t="n">
        <v>67568</v>
      </c>
      <c r="M363" t="n">
        <v>32445</v>
      </c>
      <c r="N363" t="n">
        <v>14986</v>
      </c>
      <c r="O363" t="n">
        <v>131428</v>
      </c>
      <c r="P363" t="n">
        <v>104095</v>
      </c>
      <c r="Q363" t="n">
        <v>8916</v>
      </c>
    </row>
    <row r="364">
      <c r="A364" s="134" t="n">
        <v>44621</v>
      </c>
      <c r="B364" t="n">
        <v>476780</v>
      </c>
      <c r="C364" t="n">
        <v>669958</v>
      </c>
      <c r="D364" t="n">
        <v>42572</v>
      </c>
      <c r="E364" t="n">
        <v>26157</v>
      </c>
      <c r="F364" t="n">
        <v>77268</v>
      </c>
      <c r="G364" t="n">
        <v>7673</v>
      </c>
      <c r="H364" t="n">
        <v>12097</v>
      </c>
      <c r="I364" t="n">
        <v>82388</v>
      </c>
      <c r="J364" t="n">
        <v>541436</v>
      </c>
      <c r="K364" t="n">
        <v>64656</v>
      </c>
      <c r="L364" t="n">
        <v>68468</v>
      </c>
      <c r="M364" t="n">
        <v>32763</v>
      </c>
      <c r="N364" t="n">
        <v>15490</v>
      </c>
      <c r="O364" t="n">
        <v>128522</v>
      </c>
      <c r="P364" t="n">
        <v>102895</v>
      </c>
      <c r="Q364" t="n">
        <v>9009</v>
      </c>
    </row>
    <row r="365">
      <c r="A365" s="134" t="n">
        <v>44652</v>
      </c>
      <c r="B365" t="n">
        <v>480089</v>
      </c>
      <c r="C365" t="n">
        <v>674719</v>
      </c>
      <c r="D365" t="n">
        <v>42168</v>
      </c>
      <c r="E365" t="n">
        <v>26166</v>
      </c>
      <c r="F365" t="n">
        <v>77270</v>
      </c>
      <c r="G365" t="n">
        <v>7797</v>
      </c>
      <c r="H365" t="n">
        <v>12283</v>
      </c>
      <c r="I365" t="n">
        <v>84481</v>
      </c>
      <c r="J365" t="n">
        <v>543908</v>
      </c>
      <c r="K365" t="n">
        <v>63819</v>
      </c>
      <c r="L365" t="n">
        <v>68026</v>
      </c>
      <c r="M365" t="n">
        <v>32962</v>
      </c>
      <c r="N365" t="n">
        <v>15864</v>
      </c>
      <c r="O365" t="n">
        <v>130811</v>
      </c>
      <c r="P365" t="n">
        <v>104003</v>
      </c>
      <c r="Q365" t="n">
        <v>9069</v>
      </c>
    </row>
    <row r="366">
      <c r="A366" s="134" t="n">
        <v>44682</v>
      </c>
      <c r="B366" t="n">
        <v>483737</v>
      </c>
      <c r="C366" t="n">
        <v>677115</v>
      </c>
      <c r="D366" t="n">
        <v>42257</v>
      </c>
      <c r="E366" t="n">
        <v>25812</v>
      </c>
      <c r="F366" t="n">
        <v>78111</v>
      </c>
      <c r="G366" t="n">
        <v>7596</v>
      </c>
      <c r="H366" t="n">
        <v>12144</v>
      </c>
      <c r="I366" t="n">
        <v>85322</v>
      </c>
      <c r="J366" t="n">
        <v>550725</v>
      </c>
      <c r="K366" t="n">
        <v>66988</v>
      </c>
      <c r="L366" t="n">
        <v>68053</v>
      </c>
      <c r="M366" t="n">
        <v>32985</v>
      </c>
      <c r="N366" t="n">
        <v>15515</v>
      </c>
      <c r="O366" t="n">
        <v>126390</v>
      </c>
      <c r="P366" t="n">
        <v>106789</v>
      </c>
      <c r="Q366" t="n">
        <v>9153</v>
      </c>
    </row>
    <row r="367">
      <c r="A367" s="134" t="n">
        <v>44713</v>
      </c>
      <c r="B367" t="n">
        <v>488175</v>
      </c>
      <c r="C367" t="n">
        <v>684084</v>
      </c>
      <c r="D367" t="n">
        <v>42131</v>
      </c>
      <c r="E367" t="n">
        <v>26004</v>
      </c>
      <c r="F367" t="n">
        <v>79000</v>
      </c>
      <c r="G367" t="n">
        <v>7559</v>
      </c>
      <c r="H367" t="n">
        <v>11995</v>
      </c>
      <c r="I367" t="n">
        <v>85939</v>
      </c>
      <c r="J367" t="n">
        <v>556980</v>
      </c>
      <c r="K367" t="n">
        <v>68805</v>
      </c>
      <c r="L367" t="n">
        <v>69621</v>
      </c>
      <c r="M367" t="n">
        <v>33426</v>
      </c>
      <c r="N367" t="n">
        <v>16110</v>
      </c>
      <c r="O367" t="n">
        <v>127104</v>
      </c>
      <c r="P367" t="n">
        <v>107157</v>
      </c>
      <c r="Q367" t="n">
        <v>9233</v>
      </c>
    </row>
    <row r="368">
      <c r="A368" s="134" t="n">
        <v>44743</v>
      </c>
      <c r="B368" t="n">
        <v>489272</v>
      </c>
      <c r="C368" t="n">
        <v>681108</v>
      </c>
      <c r="D368" t="n">
        <v>42597</v>
      </c>
      <c r="E368" t="n">
        <v>25889</v>
      </c>
      <c r="F368" t="n">
        <v>78968</v>
      </c>
      <c r="G368" t="n">
        <v>7535</v>
      </c>
      <c r="H368" t="n">
        <v>12009</v>
      </c>
      <c r="I368" t="n">
        <v>85214</v>
      </c>
      <c r="J368" t="n">
        <v>556555</v>
      </c>
      <c r="K368" t="n">
        <v>67283</v>
      </c>
      <c r="L368" t="n">
        <v>69346</v>
      </c>
      <c r="M368" t="n">
        <v>33641</v>
      </c>
      <c r="N368" t="n">
        <v>15898</v>
      </c>
      <c r="O368" t="n">
        <v>124553</v>
      </c>
      <c r="P368" t="n">
        <v>108939</v>
      </c>
      <c r="Q368" t="n">
        <v>9236</v>
      </c>
    </row>
    <row r="369">
      <c r="A369" s="134" t="n">
        <v>44774</v>
      </c>
      <c r="B369" t="n">
        <v>492134</v>
      </c>
      <c r="C369" t="n">
        <v>683990</v>
      </c>
      <c r="D369" t="n">
        <v>43181</v>
      </c>
      <c r="E369" t="n">
        <v>26111</v>
      </c>
      <c r="F369" t="n">
        <v>79176</v>
      </c>
      <c r="G369" t="n">
        <v>7502</v>
      </c>
      <c r="H369" t="n">
        <v>12112</v>
      </c>
      <c r="I369" t="n">
        <v>86760</v>
      </c>
      <c r="J369" t="n">
        <v>555916</v>
      </c>
      <c r="K369" t="n">
        <v>63782</v>
      </c>
      <c r="L369" t="n">
        <v>69616</v>
      </c>
      <c r="M369" t="n">
        <v>33788</v>
      </c>
      <c r="N369" t="n">
        <v>15927</v>
      </c>
      <c r="O369" t="n">
        <v>128074</v>
      </c>
      <c r="P369" t="n">
        <v>108666</v>
      </c>
      <c r="Q369" t="n">
        <v>9295</v>
      </c>
    </row>
    <row r="370">
      <c r="A370" s="134" t="n">
        <v>44805</v>
      </c>
      <c r="B370" t="n">
        <v>493518</v>
      </c>
      <c r="C370" t="n">
        <v>683974</v>
      </c>
      <c r="D370" t="n">
        <v>43024</v>
      </c>
      <c r="E370" t="n">
        <v>26232</v>
      </c>
      <c r="F370" t="n">
        <v>79486</v>
      </c>
      <c r="G370" t="n">
        <v>7444</v>
      </c>
      <c r="H370" t="n">
        <v>12023</v>
      </c>
      <c r="I370" t="n">
        <v>87222</v>
      </c>
      <c r="J370" t="n">
        <v>556409</v>
      </c>
      <c r="K370" t="n">
        <v>62891</v>
      </c>
      <c r="L370" t="n">
        <v>70132</v>
      </c>
      <c r="M370" t="n">
        <v>33949</v>
      </c>
      <c r="N370" t="n">
        <v>15526</v>
      </c>
      <c r="O370" t="n">
        <v>127565</v>
      </c>
      <c r="P370" t="n">
        <v>109246</v>
      </c>
      <c r="Q370" t="n">
        <v>9234</v>
      </c>
    </row>
  </sheetData>
  <pageMargins left="0.7" right="0.7" top="0.75" bottom="0.75" header="0.3" footer="0.3"/>
</worksheet>
</file>

<file path=xl/worksheets/sheet3.xml><?xml version="1.0" encoding="utf-8"?>
<worksheet xmlns="http://schemas.openxmlformats.org/spreadsheetml/2006/main">
  <sheetPr codeName="Sheet3">
    <tabColor rgb="FFFF0000"/>
    <outlinePr summaryBelow="1" summaryRight="1"/>
    <pageSetUpPr/>
  </sheetPr>
  <dimension ref="B2:J22"/>
  <sheetViews>
    <sheetView zoomScale="130" zoomScaleNormal="130" workbookViewId="0">
      <selection activeCell="P14" sqref="P14"/>
    </sheetView>
  </sheetViews>
  <sheetFormatPr baseColWidth="10" defaultColWidth="9.1640625" defaultRowHeight="15"/>
  <cols>
    <col width="5.83203125" customWidth="1" style="122" min="1" max="1"/>
    <col width="14.6640625" customWidth="1" style="122" min="2" max="2"/>
    <col width="63.1640625" customWidth="1" style="122" min="3" max="3"/>
    <col width="16.33203125" bestFit="1" customWidth="1" style="122" min="4" max="4"/>
    <col width="16.33203125" customWidth="1" style="122" min="5" max="8"/>
    <col width="21.83203125" customWidth="1" style="122" min="9" max="9"/>
    <col width="52.33203125" customWidth="1" style="122" min="10" max="10"/>
    <col width="9.1640625" customWidth="1" style="122" min="11" max="12"/>
    <col width="9.83203125" customWidth="1" style="122" min="13" max="13"/>
    <col width="9.1640625" customWidth="1" style="122" min="14" max="26"/>
    <col width="9.1640625" customWidth="1" style="122" min="27" max="16384"/>
  </cols>
  <sheetData>
    <row r="1" ht="16" customHeight="1" s="95" thickBot="1"/>
    <row r="2">
      <c r="D2" s="4" t="inlineStr">
        <is>
          <t>Previous</t>
        </is>
      </c>
      <c r="E2" s="6">
        <f>DATE(YEAR(E3),MONTH(E3)-1,DAY(E3))</f>
        <v/>
      </c>
    </row>
    <row r="3" ht="16" customHeight="1" s="95" thickBot="1">
      <c r="D3" s="5" t="inlineStr">
        <is>
          <t>Latest</t>
        </is>
      </c>
      <c r="E3" s="7" t="n">
        <v>44805</v>
      </c>
      <c r="F3" s="8" t="inlineStr">
        <is>
          <t>* to modify</t>
        </is>
      </c>
    </row>
    <row r="5" ht="16" customHeight="1" s="95" thickBot="1"/>
    <row r="6" ht="21" customHeight="1" s="95" thickBot="1">
      <c r="B6" s="73" t="inlineStr">
        <is>
          <t>NAICS</t>
        </is>
      </c>
      <c r="C6" s="74" t="inlineStr">
        <is>
          <t>Name</t>
        </is>
      </c>
      <c r="D6" s="74" t="inlineStr">
        <is>
          <t>Previous</t>
        </is>
      </c>
      <c r="E6" s="74" t="inlineStr">
        <is>
          <t>Latest</t>
        </is>
      </c>
      <c r="F6" s="74" t="inlineStr">
        <is>
          <t>Change % mom</t>
        </is>
      </c>
      <c r="G6" s="74" t="inlineStr">
        <is>
          <t>yoy</t>
        </is>
      </c>
      <c r="H6" s="74" t="inlineStr">
        <is>
          <t>Weight</t>
        </is>
      </c>
      <c r="I6" s="74" t="inlineStr">
        <is>
          <t xml:space="preserve">Fred </t>
        </is>
      </c>
      <c r="J6" s="75" t="inlineStr">
        <is>
          <t>Fred Hyper link</t>
        </is>
      </c>
    </row>
    <row r="7" ht="25.5" customHeight="1" s="95">
      <c r="B7" s="59" t="n"/>
      <c r="C7" s="60" t="inlineStr">
        <is>
          <t>Retail Sales</t>
        </is>
      </c>
      <c r="D7" s="61">
        <f>VLOOKUP($E$2,'Retail Sales'!A:B,2,)</f>
        <v/>
      </c>
      <c r="E7" s="61">
        <f>VLOOKUP($E$3,'Retail Sales'!A:B,2,)</f>
        <v/>
      </c>
      <c r="F7" s="104">
        <f>(E7-D7)/D7</f>
        <v/>
      </c>
      <c r="G7" s="104">
        <f>VLOOKUP($E$3,'Retail Sales'!A:D,4,)</f>
        <v/>
      </c>
      <c r="H7" s="62" t="n"/>
      <c r="I7" s="63" t="inlineStr">
        <is>
          <t>RSAFS</t>
        </is>
      </c>
      <c r="J7" s="64" t="inlineStr">
        <is>
          <t>https://fred.stlouisfed.org/series/RSAFs</t>
        </is>
      </c>
    </row>
    <row r="8" ht="25.5" customHeight="1" s="95">
      <c r="B8" s="38" t="n"/>
      <c r="C8" s="34" t="inlineStr">
        <is>
          <t>Retail Sales ex Auto</t>
        </is>
      </c>
      <c r="D8" s="35">
        <f>VLOOKUP($E$2,'Retail Sales ex Auto'!A:B,2,)</f>
        <v/>
      </c>
      <c r="E8" s="35">
        <f>VLOOKUP($E$3,'Retail Sales ex Auto'!A:B,2,)</f>
        <v/>
      </c>
      <c r="F8" s="105">
        <f>(E8-D8)/D8</f>
        <v/>
      </c>
      <c r="G8" s="105">
        <f>VLOOKUP($E$3,'Retail Sales ex Auto'!A:D,4,)</f>
        <v/>
      </c>
      <c r="H8" s="3" t="n"/>
      <c r="I8" s="36" t="inlineStr">
        <is>
          <t>RSFSXMV</t>
        </is>
      </c>
      <c r="J8" s="39" t="inlineStr">
        <is>
          <t>https://fred.stlouisfed.org/series/RSFSXMV</t>
        </is>
      </c>
    </row>
    <row r="9" ht="25.5" customHeight="1" s="95">
      <c r="B9" s="38" t="n"/>
      <c r="C9" s="34" t="inlineStr">
        <is>
          <t>Retail Sales ex Auto and Gas</t>
        </is>
      </c>
      <c r="D9" s="35">
        <f>VLOOKUP($E$2,'Retail Sales ex Auto and Gas'!A:B,2,)</f>
        <v/>
      </c>
      <c r="E9" s="35">
        <f>VLOOKUP($E$3,'Retail Sales ex Auto and Gas'!A:B,2,)</f>
        <v/>
      </c>
      <c r="F9" s="105">
        <f>(E9-D9)/D9</f>
        <v/>
      </c>
      <c r="G9" s="105">
        <f>VLOOKUP($E$3,'Retail Sales ex Auto and Gas'!A:D,4,)</f>
        <v/>
      </c>
      <c r="H9" s="3" t="n"/>
      <c r="I9" s="36" t="inlineStr">
        <is>
          <t>MARTSSM44W72USS</t>
        </is>
      </c>
      <c r="J9" s="39" t="inlineStr">
        <is>
          <t>https://fred.stlouisfed.org/series/MARTSSM44W72USS</t>
        </is>
      </c>
    </row>
    <row r="10" ht="25.5" customHeight="1" s="95">
      <c r="B10" s="40" t="n">
        <v>441</v>
      </c>
      <c r="C10" s="34" t="inlineStr">
        <is>
          <t>Motor Vehicle</t>
        </is>
      </c>
      <c r="D10" s="35">
        <f>VLOOKUP($E$2,Motor!A:B,2,)</f>
        <v/>
      </c>
      <c r="E10" s="35">
        <f>VLOOKUP($E$3,Motor!A:B,2,)</f>
        <v/>
      </c>
      <c r="F10" s="105">
        <f>(E10-D10)/D10</f>
        <v/>
      </c>
      <c r="G10" s="105">
        <f>VLOOKUP($E$3,Motor!A:D,4,)</f>
        <v/>
      </c>
      <c r="H10" s="106">
        <f>D10/$D$7</f>
        <v/>
      </c>
      <c r="I10" s="36" t="inlineStr">
        <is>
          <t>RSMVPD</t>
        </is>
      </c>
      <c r="J10" s="39" t="inlineStr">
        <is>
          <t>https://fred.stlouisfed.org/series/RSMVPd</t>
        </is>
      </c>
    </row>
    <row r="11" ht="25.5" customHeight="1" s="95">
      <c r="B11" s="40" t="n">
        <v>454</v>
      </c>
      <c r="C11" s="34" t="inlineStr">
        <is>
          <t>Non Store</t>
        </is>
      </c>
      <c r="D11" s="35">
        <f>VLOOKUP($E$2,'Non Store Retail'!A:B,2,)</f>
        <v/>
      </c>
      <c r="E11" s="35">
        <f>VLOOKUP($E$3,'Non Store Retail'!A:B,2,)</f>
        <v/>
      </c>
      <c r="F11" s="105">
        <f>(E11-D11)/D11</f>
        <v/>
      </c>
      <c r="G11" s="105">
        <f>VLOOKUP($E$3,'Non Store Retail'!A:D,4,)</f>
        <v/>
      </c>
      <c r="H11" s="106">
        <f>D11/$D$7</f>
        <v/>
      </c>
      <c r="I11" s="36" t="inlineStr">
        <is>
          <t>RSNSR</t>
        </is>
      </c>
      <c r="J11" s="39" t="inlineStr">
        <is>
          <t>https://fred.stlouisfed.org/series/RSNSr</t>
        </is>
      </c>
    </row>
    <row r="12" ht="25.5" customHeight="1" s="95">
      <c r="B12" s="40" t="n">
        <v>445</v>
      </c>
      <c r="C12" s="34" t="inlineStr">
        <is>
          <t>Food &amp; Beverage</t>
        </is>
      </c>
      <c r="D12" s="35">
        <f>VLOOKUP($E$2,'Food and Beverage'!A:B,2,)</f>
        <v/>
      </c>
      <c r="E12" s="35">
        <f>VLOOKUP($E$3,'Food and Beverage'!A:B,2,)</f>
        <v/>
      </c>
      <c r="F12" s="105">
        <f>(E12-D12)/D12</f>
        <v/>
      </c>
      <c r="G12" s="105">
        <f>VLOOKUP($E$3,'Food and Beverage'!A:D,4,)</f>
        <v/>
      </c>
      <c r="H12" s="106">
        <f>D12/$D$7</f>
        <v/>
      </c>
      <c r="I12" s="36" t="inlineStr">
        <is>
          <t>RSDBS</t>
        </is>
      </c>
      <c r="J12" s="39" t="inlineStr">
        <is>
          <t>https://fred.stlouisfed.org/series/RSDBs</t>
        </is>
      </c>
    </row>
    <row r="13" ht="25.5" customHeight="1" s="95">
      <c r="B13" s="40" t="n">
        <v>722</v>
      </c>
      <c r="C13" s="34" t="inlineStr">
        <is>
          <t>Food Services</t>
        </is>
      </c>
      <c r="D13" s="35">
        <f>VLOOKUP($E$2,'Food Services'!A:B,2,)</f>
        <v/>
      </c>
      <c r="E13" s="35">
        <f>VLOOKUP($E$3,'Food Services'!A:B,2,)</f>
        <v/>
      </c>
      <c r="F13" s="105">
        <f>(E13-D13)/D13</f>
        <v/>
      </c>
      <c r="G13" s="105">
        <f>VLOOKUP($E$3,'Food Services'!A:D,4,)</f>
        <v/>
      </c>
      <c r="H13" s="106">
        <f>D13/$D$7</f>
        <v/>
      </c>
      <c r="I13" s="36" t="inlineStr">
        <is>
          <t>RSFSDP</t>
        </is>
      </c>
      <c r="J13" s="39" t="inlineStr">
        <is>
          <t>https://fred.stlouisfed.org/series/RSFSDp</t>
        </is>
      </c>
    </row>
    <row r="14" ht="25.5" customHeight="1" s="95">
      <c r="B14" s="40" t="n">
        <v>452</v>
      </c>
      <c r="C14" s="34" t="inlineStr">
        <is>
          <t>General Merchandising</t>
        </is>
      </c>
      <c r="D14" s="35">
        <f>VLOOKUP($E$2,'General Merchandising'!A:B,2,)</f>
        <v/>
      </c>
      <c r="E14" s="35">
        <f>VLOOKUP($E$3,'General Merchandising'!A:B,2,)</f>
        <v/>
      </c>
      <c r="F14" s="105">
        <f>(E14-D14)/D14</f>
        <v/>
      </c>
      <c r="G14" s="105">
        <f>VLOOKUP($E$3,'General Merchandising'!A:D,4,)</f>
        <v/>
      </c>
      <c r="H14" s="106">
        <f>D14/$D$7</f>
        <v/>
      </c>
      <c r="I14" s="36" t="inlineStr">
        <is>
          <t>RSGMS</t>
        </is>
      </c>
      <c r="J14" s="39" t="inlineStr">
        <is>
          <t>https://fred.stlouisfed.org/series/RSGMs</t>
        </is>
      </c>
    </row>
    <row r="15" ht="25.5" customHeight="1" s="95">
      <c r="B15" s="40" t="n">
        <v>447</v>
      </c>
      <c r="C15" s="34" t="inlineStr">
        <is>
          <t>Gasoline Stations</t>
        </is>
      </c>
      <c r="D15" s="35">
        <f>VLOOKUP($E$2,'Gas Station'!A:B,2,)</f>
        <v/>
      </c>
      <c r="E15" s="35">
        <f>VLOOKUP($E$3,'Gas Station'!A:B,2,)</f>
        <v/>
      </c>
      <c r="F15" s="105">
        <f>(E15-D15)/D15</f>
        <v/>
      </c>
      <c r="G15" s="105">
        <f>VLOOKUP($E$3,'Gas Station'!A:D,4,)</f>
        <v/>
      </c>
      <c r="H15" s="106">
        <f>D15/$D$7</f>
        <v/>
      </c>
      <c r="I15" s="36" t="inlineStr">
        <is>
          <t>RSGASS</t>
        </is>
      </c>
      <c r="J15" s="39" t="inlineStr">
        <is>
          <t>https://fred.stlouisfed.org/series/RSGASs</t>
        </is>
      </c>
    </row>
    <row r="16" ht="25.5" customHeight="1" s="95">
      <c r="B16" s="40" t="n">
        <v>444</v>
      </c>
      <c r="C16" s="34" t="inlineStr">
        <is>
          <t>Housing Supplies</t>
        </is>
      </c>
      <c r="D16" s="35">
        <f>VLOOKUP($E$2,Housing!A:B,2,)</f>
        <v/>
      </c>
      <c r="E16" s="35">
        <f>VLOOKUP($E$3,Housing!A:B,2,)</f>
        <v/>
      </c>
      <c r="F16" s="105">
        <f>(E16-D16)/D16</f>
        <v/>
      </c>
      <c r="G16" s="105">
        <f>VLOOKUP($E$3,Housing!A:D,4,)</f>
        <v/>
      </c>
      <c r="H16" s="106">
        <f>D16/$D$7</f>
        <v/>
      </c>
      <c r="I16" s="36" t="inlineStr">
        <is>
          <t>RSBMGESD</t>
        </is>
      </c>
      <c r="J16" s="39" t="inlineStr">
        <is>
          <t>https://fred.stlouisfed.org/series/RSBMGESD</t>
        </is>
      </c>
    </row>
    <row r="17" ht="25.5" customHeight="1" s="95">
      <c r="B17" s="40" t="n">
        <v>446</v>
      </c>
      <c r="C17" s="34" t="inlineStr">
        <is>
          <t>HealthCare</t>
        </is>
      </c>
      <c r="D17" s="35">
        <f>VLOOKUP($E$2,Health!A:B,2,)</f>
        <v/>
      </c>
      <c r="E17" s="35">
        <f>VLOOKUP($E$3,Health!A:B,2,)</f>
        <v/>
      </c>
      <c r="F17" s="105">
        <f>(E17-D17)/D17</f>
        <v/>
      </c>
      <c r="G17" s="105">
        <f>VLOOKUP($E$3,Health!A:D,4,)</f>
        <v/>
      </c>
      <c r="H17" s="106">
        <f>D17/$D$7</f>
        <v/>
      </c>
      <c r="I17" s="36" t="inlineStr">
        <is>
          <t>RSHPCS</t>
        </is>
      </c>
      <c r="J17" s="39" t="inlineStr">
        <is>
          <t>https://fred.stlouisfed.org/series/RSHPCs</t>
        </is>
      </c>
    </row>
    <row r="18" ht="25.5" customHeight="1" s="95">
      <c r="B18" s="40" t="n">
        <v>448</v>
      </c>
      <c r="C18" s="34" t="inlineStr">
        <is>
          <t>Clothing and clothing access. stores</t>
        </is>
      </c>
      <c r="D18" s="35">
        <f>VLOOKUP($E$2,'Clothing and clothing access'!A:B,2,0)</f>
        <v/>
      </c>
      <c r="E18" s="35">
        <f>VLOOKUP($E$3,'Clothing and clothing access'!A:B,2,)</f>
        <v/>
      </c>
      <c r="F18" s="105">
        <f>(E18-D18)/D18</f>
        <v/>
      </c>
      <c r="G18" s="105">
        <f>VLOOKUP($E$3,'Clothing and clothing access'!A:D,4,)</f>
        <v/>
      </c>
      <c r="H18" s="106">
        <f>D18/$D$7</f>
        <v/>
      </c>
      <c r="I18" s="37" t="inlineStr">
        <is>
          <t>RSCCAS</t>
        </is>
      </c>
      <c r="J18" s="41" t="inlineStr">
        <is>
          <t>https://fred.stlouisfed.org/series/RSCCAS</t>
        </is>
      </c>
    </row>
    <row r="19" ht="25.5" customHeight="1" s="95">
      <c r="B19" s="40" t="inlineStr">
        <is>
          <t>442,443</t>
        </is>
      </c>
      <c r="C19" s="34" t="inlineStr">
        <is>
          <t>Furniture, home furn, electronics, and appliance stores</t>
        </is>
      </c>
      <c r="D19" s="35">
        <f>VLOOKUP($E$2,'Furniture Home'!A:B,2,)</f>
        <v/>
      </c>
      <c r="E19" s="35">
        <f>VLOOKUP($E$3,'Furniture Home'!A:B,2,)</f>
        <v/>
      </c>
      <c r="F19" s="105">
        <f>(E19-D19)/D19</f>
        <v/>
      </c>
      <c r="G19" s="105">
        <f>VLOOKUP($E$3,'Furniture Home'!A:D,4,)</f>
        <v/>
      </c>
      <c r="H19" s="106">
        <f>D19/$D$7</f>
        <v/>
      </c>
      <c r="I19" s="37" t="inlineStr">
        <is>
          <t>RSFHFS + RSEAS</t>
        </is>
      </c>
      <c r="J19" s="41" t="inlineStr">
        <is>
          <t>https://fred.stlouisfed.org/series/RSFHFS</t>
        </is>
      </c>
    </row>
    <row r="20" ht="25.5" customHeight="1" s="95">
      <c r="B20" s="40" t="n">
        <v>453</v>
      </c>
      <c r="C20" s="34" t="inlineStr">
        <is>
          <t>Miscellaneous stores retailers</t>
        </is>
      </c>
      <c r="D20" s="35">
        <f>VLOOKUP($E$2,'Miscellaneous stores retailers'!A:B,2,)</f>
        <v/>
      </c>
      <c r="E20" s="35">
        <f>VLOOKUP($E$3,'Miscellaneous stores retailers'!A:B,2,)</f>
        <v/>
      </c>
      <c r="F20" s="105">
        <f>(E20-D20)/D20</f>
        <v/>
      </c>
      <c r="G20" s="105">
        <f>VLOOKUP($E$3,'Miscellaneous stores retailers'!A:D,4,)</f>
        <v/>
      </c>
      <c r="H20" s="106">
        <f>D20/$D$7</f>
        <v/>
      </c>
      <c r="I20" s="37" t="inlineStr">
        <is>
          <t>RSMSR</t>
        </is>
      </c>
      <c r="J20" s="41" t="inlineStr">
        <is>
          <t>https://fred.stlouisfed.org/series/RSMSR</t>
        </is>
      </c>
    </row>
    <row r="21" ht="25.5" customHeight="1" s="95" thickBot="1">
      <c r="B21" s="42" t="n">
        <v>451</v>
      </c>
      <c r="C21" s="43" t="inlineStr">
        <is>
          <t>Clothing, Sport</t>
        </is>
      </c>
      <c r="D21" s="44">
        <f>VLOOKUP($E$2,'Sporting Goods'!A:B,2,)</f>
        <v/>
      </c>
      <c r="E21" s="44">
        <f>VLOOKUP($E$3,'Sporting Goods'!A:B,2,)</f>
        <v/>
      </c>
      <c r="F21" s="107">
        <f>(E21-D21)/D21</f>
        <v/>
      </c>
      <c r="G21" s="107">
        <f>VLOOKUP($E$3,'Sporting Goods'!A:D,4,)</f>
        <v/>
      </c>
      <c r="H21" s="108">
        <f>D21/$D$7</f>
        <v/>
      </c>
      <c r="I21" s="47" t="inlineStr">
        <is>
          <t>RSSGHBMS</t>
        </is>
      </c>
      <c r="J21" s="48" t="inlineStr">
        <is>
          <t>https://fred.stlouisfed.org/series/RSSGHBMs</t>
        </is>
      </c>
    </row>
    <row r="22" ht="25.5" customHeight="1" s="95" thickBot="1">
      <c r="D22" s="45">
        <f>SUM(D10:D21)</f>
        <v/>
      </c>
      <c r="E22" s="46">
        <f>SUM(E10:E21)</f>
        <v/>
      </c>
      <c r="H22" s="109">
        <f>SUM(H10:H21)</f>
        <v/>
      </c>
    </row>
  </sheetData>
  <conditionalFormatting sqref="F7:H9 F18 G18:G21 F10:G17">
    <cfRule type="cellIs" priority="15" operator="equal" dxfId="2" stopIfTrue="1">
      <formula>0</formula>
    </cfRule>
    <cfRule type="cellIs" priority="16" operator="lessThan" dxfId="1" stopIfTrue="1">
      <formula>0</formula>
    </cfRule>
    <cfRule type="cellIs" priority="17" operator="greaterThan" dxfId="0" stopIfTrue="1">
      <formula>0</formula>
    </cfRule>
  </conditionalFormatting>
  <conditionalFormatting sqref="F19">
    <cfRule type="cellIs" priority="9" operator="equal" dxfId="2" stopIfTrue="1">
      <formula>0</formula>
    </cfRule>
    <cfRule type="cellIs" priority="10" operator="lessThan" dxfId="1" stopIfTrue="1">
      <formula>0</formula>
    </cfRule>
    <cfRule type="cellIs" priority="11" operator="greaterThan" dxfId="0" stopIfTrue="1">
      <formula>0</formula>
    </cfRule>
  </conditionalFormatting>
  <conditionalFormatting sqref="F20">
    <cfRule type="cellIs" priority="6" operator="equal" dxfId="2" stopIfTrue="1">
      <formula>0</formula>
    </cfRule>
    <cfRule type="cellIs" priority="7" operator="lessThan" dxfId="1" stopIfTrue="1">
      <formula>0</formula>
    </cfRule>
    <cfRule type="cellIs" priority="8" operator="greaterThan" dxfId="0" stopIfTrue="1">
      <formula>0</formula>
    </cfRule>
  </conditionalFormatting>
  <conditionalFormatting sqref="F21">
    <cfRule type="cellIs" priority="3" operator="equal" dxfId="2" stopIfTrue="1">
      <formula>0</formula>
    </cfRule>
    <cfRule type="cellIs" priority="4" operator="lessThan" dxfId="1" stopIfTrue="1">
      <formula>0</formula>
    </cfRule>
    <cfRule type="cellIs" priority="5" operator="greaterThan" dxfId="0" stopIfTrue="1">
      <formula>0</formula>
    </cfRule>
  </conditionalFormatting>
  <conditionalFormatting sqref="H10:H21">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J7" r:id="rId1"/>
    <hyperlink xmlns:r="http://schemas.openxmlformats.org/officeDocument/2006/relationships" ref="J8" r:id="rId2"/>
    <hyperlink xmlns:r="http://schemas.openxmlformats.org/officeDocument/2006/relationships" ref="J9" r:id="rId3"/>
    <hyperlink xmlns:r="http://schemas.openxmlformats.org/officeDocument/2006/relationships" ref="J10" r:id="rId4"/>
    <hyperlink xmlns:r="http://schemas.openxmlformats.org/officeDocument/2006/relationships" ref="J11" r:id="rId5"/>
    <hyperlink xmlns:r="http://schemas.openxmlformats.org/officeDocument/2006/relationships" ref="J12" r:id="rId6"/>
    <hyperlink xmlns:r="http://schemas.openxmlformats.org/officeDocument/2006/relationships" ref="J13" r:id="rId7"/>
    <hyperlink xmlns:r="http://schemas.openxmlformats.org/officeDocument/2006/relationships" ref="J14" r:id="rId8"/>
    <hyperlink xmlns:r="http://schemas.openxmlformats.org/officeDocument/2006/relationships" ref="J15" r:id="rId9"/>
    <hyperlink xmlns:r="http://schemas.openxmlformats.org/officeDocument/2006/relationships" ref="J16" r:id="rId10"/>
    <hyperlink xmlns:r="http://schemas.openxmlformats.org/officeDocument/2006/relationships" ref="J17" r:id="rId11"/>
    <hyperlink xmlns:r="http://schemas.openxmlformats.org/officeDocument/2006/relationships" ref="J18" r:id="rId12"/>
    <hyperlink xmlns:r="http://schemas.openxmlformats.org/officeDocument/2006/relationships" ref="J19" r:id="rId13"/>
    <hyperlink xmlns:r="http://schemas.openxmlformats.org/officeDocument/2006/relationships" ref="J20" r:id="rId14"/>
    <hyperlink xmlns:r="http://schemas.openxmlformats.org/officeDocument/2006/relationships" ref="J21" r:id="rId15"/>
  </hyperlinks>
  <pageMargins left="0.7" right="0.7" top="0.75" bottom="0.75" header="0.3" footer="0.3"/>
</worksheet>
</file>

<file path=xl/worksheets/sheet4.xml><?xml version="1.0" encoding="utf-8"?>
<worksheet xmlns="http://schemas.openxmlformats.org/spreadsheetml/2006/main">
  <sheetPr codeName="Sheet4">
    <tabColor rgb="FFFF0000"/>
    <outlinePr summaryBelow="1" summaryRight="1"/>
    <pageSetUpPr/>
  </sheetPr>
  <dimension ref="B2:AF65"/>
  <sheetViews>
    <sheetView zoomScale="140" zoomScaleNormal="140" workbookViewId="0">
      <pane ySplit="3" topLeftCell="A48" activePane="bottomLeft" state="frozen"/>
      <selection activeCell="P14" sqref="P14"/>
      <selection pane="bottomLeft" activeCell="K66" sqref="K66"/>
    </sheetView>
  </sheetViews>
  <sheetFormatPr baseColWidth="10" defaultColWidth="9.1640625" defaultRowHeight="15"/>
  <cols>
    <col width="3" customWidth="1" style="122" min="1" max="1"/>
    <col width="7.6640625" customWidth="1" style="122" min="2" max="32"/>
    <col width="9.1640625" customWidth="1" style="122" min="33" max="45"/>
    <col width="9.1640625" customWidth="1" style="122" min="46" max="16384"/>
  </cols>
  <sheetData>
    <row r="1" ht="16" customHeight="1" s="95" thickBot="1"/>
    <row r="2" ht="87" customHeight="1" s="95" thickBot="1">
      <c r="B2" s="54" t="n"/>
      <c r="C2" s="132" t="inlineStr">
        <is>
          <t>Retail Sales</t>
        </is>
      </c>
      <c r="D2" s="126" t="n"/>
      <c r="E2" s="133" t="inlineStr">
        <is>
          <t>Retail Sales ex Auto</t>
        </is>
      </c>
      <c r="F2" s="126" t="n"/>
      <c r="G2" s="132" t="inlineStr">
        <is>
          <t>Retail Sales ex Auto and Gas</t>
        </is>
      </c>
      <c r="H2" s="126" t="n"/>
      <c r="I2" s="132" t="inlineStr">
        <is>
          <t>Motor Vechicle</t>
        </is>
      </c>
      <c r="J2" s="126" t="n"/>
      <c r="K2" s="132" t="inlineStr">
        <is>
          <t>Non Store</t>
        </is>
      </c>
      <c r="L2" s="126" t="n"/>
      <c r="M2" s="132" t="inlineStr">
        <is>
          <t>Food &amp; Beverage</t>
        </is>
      </c>
      <c r="N2" s="126" t="n"/>
      <c r="O2" s="132" t="inlineStr">
        <is>
          <t>Food Services</t>
        </is>
      </c>
      <c r="P2" s="126" t="n"/>
      <c r="Q2" s="132" t="inlineStr">
        <is>
          <t>General Merchandis</t>
        </is>
      </c>
      <c r="R2" s="126" t="n"/>
      <c r="S2" s="132" t="inlineStr">
        <is>
          <t>Gasoline Stations</t>
        </is>
      </c>
      <c r="T2" s="126" t="n"/>
      <c r="U2" s="132" t="inlineStr">
        <is>
          <t>Housing Supplies</t>
        </is>
      </c>
      <c r="V2" s="126" t="n"/>
      <c r="W2" s="132" t="inlineStr">
        <is>
          <t>HealthCare</t>
        </is>
      </c>
      <c r="X2" s="126" t="n"/>
      <c r="Y2" s="132" t="inlineStr">
        <is>
          <t xml:space="preserve">Clothing </t>
        </is>
      </c>
      <c r="Z2" s="126" t="n"/>
      <c r="AA2" s="132" t="inlineStr">
        <is>
          <t>Furniture</t>
        </is>
      </c>
      <c r="AB2" s="126" t="n"/>
      <c r="AC2" s="132" t="inlineStr">
        <is>
          <t>Miscellan. stores</t>
        </is>
      </c>
      <c r="AD2" s="126" t="n"/>
      <c r="AE2" s="132" t="inlineStr">
        <is>
          <t>Clothing, Sport</t>
        </is>
      </c>
      <c r="AF2" s="126" t="n"/>
    </row>
    <row r="3" ht="22.5" customFormat="1" customHeight="1" s="49">
      <c r="B3" s="55" t="inlineStr">
        <is>
          <t>Date</t>
        </is>
      </c>
      <c r="C3" s="57" t="inlineStr">
        <is>
          <t>mom</t>
        </is>
      </c>
      <c r="D3" s="58" t="inlineStr">
        <is>
          <t>yoy</t>
        </is>
      </c>
      <c r="E3" s="50" t="inlineStr">
        <is>
          <t>mom</t>
        </is>
      </c>
      <c r="F3" s="51" t="inlineStr">
        <is>
          <t>yoy</t>
        </is>
      </c>
      <c r="G3" s="50" t="inlineStr">
        <is>
          <t>mom</t>
        </is>
      </c>
      <c r="H3" s="51" t="inlineStr">
        <is>
          <t>yoy</t>
        </is>
      </c>
      <c r="I3" s="50" t="inlineStr">
        <is>
          <t>mom</t>
        </is>
      </c>
      <c r="J3" s="51" t="inlineStr">
        <is>
          <t>yoy</t>
        </is>
      </c>
      <c r="K3" s="50" t="inlineStr">
        <is>
          <t>mom</t>
        </is>
      </c>
      <c r="L3" s="51" t="inlineStr">
        <is>
          <t>yoy</t>
        </is>
      </c>
      <c r="M3" s="50" t="inlineStr">
        <is>
          <t>mom</t>
        </is>
      </c>
      <c r="N3" s="51" t="inlineStr">
        <is>
          <t>yoy</t>
        </is>
      </c>
      <c r="O3" s="50" t="inlineStr">
        <is>
          <t>mom</t>
        </is>
      </c>
      <c r="P3" s="51" t="inlineStr">
        <is>
          <t>yoy</t>
        </is>
      </c>
      <c r="Q3" s="50" t="inlineStr">
        <is>
          <t>mom</t>
        </is>
      </c>
      <c r="R3" s="51" t="inlineStr">
        <is>
          <t>yoy</t>
        </is>
      </c>
      <c r="S3" s="50" t="inlineStr">
        <is>
          <t>mom</t>
        </is>
      </c>
      <c r="T3" s="51" t="inlineStr">
        <is>
          <t>yoy</t>
        </is>
      </c>
      <c r="U3" s="50" t="inlineStr">
        <is>
          <t>mom</t>
        </is>
      </c>
      <c r="V3" s="51" t="inlineStr">
        <is>
          <t>yoy</t>
        </is>
      </c>
      <c r="W3" s="50" t="inlineStr">
        <is>
          <t>mom</t>
        </is>
      </c>
      <c r="X3" s="51" t="inlineStr">
        <is>
          <t>yoy</t>
        </is>
      </c>
      <c r="Y3" s="50" t="inlineStr">
        <is>
          <t>mom</t>
        </is>
      </c>
      <c r="Z3" s="51" t="inlineStr">
        <is>
          <t>yoy</t>
        </is>
      </c>
      <c r="AA3" s="50" t="inlineStr">
        <is>
          <t>mom</t>
        </is>
      </c>
      <c r="AB3" s="51" t="inlineStr">
        <is>
          <t>yoy</t>
        </is>
      </c>
      <c r="AC3" s="50" t="inlineStr">
        <is>
          <t>mom</t>
        </is>
      </c>
      <c r="AD3" s="51" t="inlineStr">
        <is>
          <t>yoy</t>
        </is>
      </c>
      <c r="AE3" s="50" t="inlineStr">
        <is>
          <t>mom</t>
        </is>
      </c>
      <c r="AF3" s="51" t="inlineStr">
        <is>
          <t>yoy</t>
        </is>
      </c>
    </row>
    <row r="4">
      <c r="B4" s="56" t="n">
        <v>42948</v>
      </c>
      <c r="C4" s="52">
        <f>VLOOKUP($B$4,'Retail Sales'!$A:$D,3,)</f>
        <v/>
      </c>
      <c r="D4" s="53">
        <f>VLOOKUP($B$4,'Retail Sales'!$A:$D,4,)</f>
        <v/>
      </c>
      <c r="E4" s="52">
        <f>VLOOKUP(B4,'Retail Sales ex Auto'!$A:$D,3,)</f>
        <v/>
      </c>
      <c r="F4" s="53">
        <f>VLOOKUP(B4,'Retail Sales ex Auto'!$A:$D,4,)</f>
        <v/>
      </c>
      <c r="G4" s="52">
        <f>VLOOKUP(B4,'Retail Sales ex Auto and Gas'!$A:$D,3,)</f>
        <v/>
      </c>
      <c r="H4" s="53">
        <f>VLOOKUP(B4,'Retail Sales ex Auto and Gas'!$A:$D,4,)</f>
        <v/>
      </c>
      <c r="I4" s="52">
        <f>VLOOKUP(B4,Motor!$A:$D,3,)</f>
        <v/>
      </c>
      <c r="J4" s="53">
        <f>VLOOKUP(B4,Motor!$A:$D,4,)</f>
        <v/>
      </c>
      <c r="K4" s="52">
        <f>VLOOKUP(B4,'Non Store Retail'!$A:$D,3,)</f>
        <v/>
      </c>
      <c r="L4" s="53">
        <f>VLOOKUP(B4,'Non Store Retail'!$A:$D,4,)</f>
        <v/>
      </c>
      <c r="M4" s="52">
        <f>VLOOKUP(B4,'Food and Beverage'!$A:$D,3,)</f>
        <v/>
      </c>
      <c r="N4" s="52">
        <f>VLOOKUP(B4,'Food and Beverage'!$A:$D,4,)</f>
        <v/>
      </c>
      <c r="O4" s="52">
        <f>VLOOKUP(B4,'Food Services'!$A:$D,3,)</f>
        <v/>
      </c>
      <c r="P4" s="53">
        <f>VLOOKUP(B4,'Food Services'!$A:$D,4,)</f>
        <v/>
      </c>
      <c r="Q4" s="52">
        <f>VLOOKUP(B4,'General Merchandising'!$A:$D,3,)</f>
        <v/>
      </c>
      <c r="R4" s="53">
        <f>VLOOKUP(B4,'General Merchandising'!$A:$D,4,)</f>
        <v/>
      </c>
      <c r="S4" s="52">
        <f>VLOOKUP(B4,'Gas Station'!$A:$D,3,)</f>
        <v/>
      </c>
      <c r="T4" s="53">
        <f>VLOOKUP(B4,'Gas Station'!$A:$D,4,)</f>
        <v/>
      </c>
      <c r="U4" s="52">
        <f>VLOOKUP(B4,Housing!$A:$D,3,)</f>
        <v/>
      </c>
      <c r="V4" s="53">
        <f>VLOOKUP(B4,Housing!$A:$D,4,)</f>
        <v/>
      </c>
      <c r="W4" s="52">
        <f>VLOOKUP(B4,Health!$A:$D,3,)</f>
        <v/>
      </c>
      <c r="X4" s="53">
        <f>VLOOKUP(B4,Health!$A:$D,4,)</f>
        <v/>
      </c>
      <c r="Y4" s="52">
        <f>VLOOKUP(B4,'Clothing and clothing access'!$A:$D,3,)</f>
        <v/>
      </c>
      <c r="Z4" s="53">
        <f>VLOOKUP(B4,'Clothing and clothing access'!$A:$D,4,)</f>
        <v/>
      </c>
      <c r="AA4" s="52">
        <f>VLOOKUP(B4,'Furniture Home'!$A:$D,3,)</f>
        <v/>
      </c>
      <c r="AB4" s="53">
        <f>VLOOKUP(B4,'Furniture Home'!$A:$D,4,)</f>
        <v/>
      </c>
      <c r="AC4" s="52">
        <f>VLOOKUP(B4,'Miscellaneous stores retailers'!$A:$D,3,)</f>
        <v/>
      </c>
      <c r="AD4" s="53">
        <f>VLOOKUP(B4,'Miscellaneous stores retailers'!$A:$D,4,)</f>
        <v/>
      </c>
      <c r="AE4" s="52">
        <f>VLOOKUP(B4,'Sporting Goods'!$A:$D,3,)</f>
        <v/>
      </c>
      <c r="AF4" s="53">
        <f>VLOOKUP(B4,'Sporting Goods'!$A:$D,4,)</f>
        <v/>
      </c>
    </row>
    <row r="5">
      <c r="B5" s="56" t="n">
        <v>42979</v>
      </c>
      <c r="C5" s="52">
        <f>VLOOKUP(B5,'Retail Sales'!A:D,3,)</f>
        <v/>
      </c>
      <c r="D5" s="53">
        <f>VLOOKUP(B5,'Retail Sales'!A:D,4,)</f>
        <v/>
      </c>
      <c r="E5" s="52">
        <f>VLOOKUP(B5,'Retail Sales ex Auto'!$A:$D,3,)</f>
        <v/>
      </c>
      <c r="F5" s="53">
        <f>VLOOKUP(B5,'Retail Sales ex Auto'!$A:$D,4,)</f>
        <v/>
      </c>
      <c r="G5" s="52">
        <f>VLOOKUP(B5,'Retail Sales ex Auto and Gas'!$A:$D,3,)</f>
        <v/>
      </c>
      <c r="H5" s="53">
        <f>VLOOKUP(B5,'Retail Sales ex Auto and Gas'!$A:$D,4,)</f>
        <v/>
      </c>
      <c r="I5" s="52">
        <f>VLOOKUP(B5,Motor!$A:$D,3,)</f>
        <v/>
      </c>
      <c r="J5" s="53">
        <f>VLOOKUP(B5,Motor!$A:$D,4,)</f>
        <v/>
      </c>
      <c r="K5" s="52">
        <f>VLOOKUP(B5,'Non Store Retail'!$A:$D,3,)</f>
        <v/>
      </c>
      <c r="L5" s="53">
        <f>VLOOKUP(B5,'Non Store Retail'!$A:$D,4,)</f>
        <v/>
      </c>
      <c r="M5" s="52">
        <f>VLOOKUP(B5,'Food and Beverage'!$A:$D,3,)</f>
        <v/>
      </c>
      <c r="N5" s="52">
        <f>VLOOKUP(B5,'Food and Beverage'!$A:$D,4,)</f>
        <v/>
      </c>
      <c r="O5" s="52">
        <f>VLOOKUP(B5,'Food Services'!$A:$D,3,)</f>
        <v/>
      </c>
      <c r="P5" s="53">
        <f>VLOOKUP(B5,'Food Services'!$A:$D,4,)</f>
        <v/>
      </c>
      <c r="Q5" s="52">
        <f>VLOOKUP(B5,'General Merchandising'!$A:$D,3,)</f>
        <v/>
      </c>
      <c r="R5" s="53">
        <f>VLOOKUP(B5,'General Merchandising'!$A:$D,4,)</f>
        <v/>
      </c>
      <c r="S5" s="52">
        <f>VLOOKUP(B5,'Gas Station'!$A:$D,3,)</f>
        <v/>
      </c>
      <c r="T5" s="53">
        <f>VLOOKUP(B5,'Gas Station'!$A:$D,4,)</f>
        <v/>
      </c>
      <c r="U5" s="52">
        <f>VLOOKUP(B5,Housing!$A:$D,3,)</f>
        <v/>
      </c>
      <c r="V5" s="53">
        <f>VLOOKUP(B5,Housing!$A:$D,4,)</f>
        <v/>
      </c>
      <c r="W5" s="52">
        <f>VLOOKUP(B5,Health!$A:$D,3,)</f>
        <v/>
      </c>
      <c r="X5" s="53">
        <f>VLOOKUP(B5,Health!$A:$D,4,)</f>
        <v/>
      </c>
      <c r="Y5" s="52">
        <f>VLOOKUP(B5,'Clothing and clothing access'!$A:$D,3,)</f>
        <v/>
      </c>
      <c r="Z5" s="53">
        <f>VLOOKUP(B5,'Clothing and clothing access'!$A:$D,4,)</f>
        <v/>
      </c>
      <c r="AA5" s="52">
        <f>VLOOKUP(B5,'Furniture Home'!$A:$D,3,)</f>
        <v/>
      </c>
      <c r="AB5" s="53">
        <f>VLOOKUP(B5,'Furniture Home'!$A:$D,4,)</f>
        <v/>
      </c>
      <c r="AC5" s="52">
        <f>VLOOKUP(B5,'Miscellaneous stores retailers'!$A:$D,3,)</f>
        <v/>
      </c>
      <c r="AD5" s="53">
        <f>VLOOKUP(B5,'Miscellaneous stores retailers'!$A:$D,4,)</f>
        <v/>
      </c>
      <c r="AE5" s="52">
        <f>VLOOKUP(B5,'Sporting Goods'!$A:$D,3,)</f>
        <v/>
      </c>
      <c r="AF5" s="53">
        <f>VLOOKUP(B5,'Sporting Goods'!$A:$D,4,)</f>
        <v/>
      </c>
    </row>
    <row r="6">
      <c r="B6" s="56" t="n">
        <v>43009</v>
      </c>
      <c r="C6" s="52">
        <f>VLOOKUP(B6,'Retail Sales'!A:D,3,)</f>
        <v/>
      </c>
      <c r="D6" s="53">
        <f>VLOOKUP(B6,'Retail Sales'!A:D,4,)</f>
        <v/>
      </c>
      <c r="E6" s="52">
        <f>VLOOKUP(B6,'Retail Sales ex Auto'!$A:$D,3,)</f>
        <v/>
      </c>
      <c r="F6" s="53">
        <f>VLOOKUP(B6,'Retail Sales ex Auto'!$A:$D,4,)</f>
        <v/>
      </c>
      <c r="G6" s="52">
        <f>VLOOKUP(B6,'Retail Sales ex Auto and Gas'!$A:$D,3,)</f>
        <v/>
      </c>
      <c r="H6" s="53">
        <f>VLOOKUP(B6,'Retail Sales ex Auto and Gas'!$A:$D,4,)</f>
        <v/>
      </c>
      <c r="I6" s="52">
        <f>VLOOKUP(B6,Motor!$A:$D,3,)</f>
        <v/>
      </c>
      <c r="J6" s="53">
        <f>VLOOKUP(B6,Motor!$A:$D,4,)</f>
        <v/>
      </c>
      <c r="K6" s="52">
        <f>VLOOKUP(B6,'Non Store Retail'!$A:$D,3,)</f>
        <v/>
      </c>
      <c r="L6" s="53">
        <f>VLOOKUP(B6,'Non Store Retail'!$A:$D,4,)</f>
        <v/>
      </c>
      <c r="M6" s="52">
        <f>VLOOKUP(B6,'Food and Beverage'!$A:$D,3,)</f>
        <v/>
      </c>
      <c r="N6" s="52">
        <f>VLOOKUP(B6,'Food and Beverage'!$A:$D,4,)</f>
        <v/>
      </c>
      <c r="O6" s="52">
        <f>VLOOKUP(B6,'Food Services'!$A:$D,3,)</f>
        <v/>
      </c>
      <c r="P6" s="53">
        <f>VLOOKUP(B6,'Food Services'!$A:$D,4,)</f>
        <v/>
      </c>
      <c r="Q6" s="52">
        <f>VLOOKUP(B6,'General Merchandising'!$A:$D,3,)</f>
        <v/>
      </c>
      <c r="R6" s="53">
        <f>VLOOKUP(B6,'General Merchandising'!$A:$D,4,)</f>
        <v/>
      </c>
      <c r="S6" s="52">
        <f>VLOOKUP(B6,'Gas Station'!$A:$D,3,)</f>
        <v/>
      </c>
      <c r="T6" s="53">
        <f>VLOOKUP(B6,'Gas Station'!$A:$D,4,)</f>
        <v/>
      </c>
      <c r="U6" s="52">
        <f>VLOOKUP(B6,Housing!$A:$D,3,)</f>
        <v/>
      </c>
      <c r="V6" s="53">
        <f>VLOOKUP(B6,Housing!$A:$D,4,)</f>
        <v/>
      </c>
      <c r="W6" s="52">
        <f>VLOOKUP(B6,Health!$A:$D,3,)</f>
        <v/>
      </c>
      <c r="X6" s="53">
        <f>VLOOKUP(B6,Health!$A:$D,4,)</f>
        <v/>
      </c>
      <c r="Y6" s="52">
        <f>VLOOKUP(B6,'Clothing and clothing access'!$A:$D,3,)</f>
        <v/>
      </c>
      <c r="Z6" s="53">
        <f>VLOOKUP(B6,'Clothing and clothing access'!$A:$D,4,)</f>
        <v/>
      </c>
      <c r="AA6" s="52">
        <f>VLOOKUP(B6,'Furniture Home'!$A:$D,3,)</f>
        <v/>
      </c>
      <c r="AB6" s="53">
        <f>VLOOKUP(B6,'Furniture Home'!$A:$D,4,)</f>
        <v/>
      </c>
      <c r="AC6" s="52">
        <f>VLOOKUP(B6,'Miscellaneous stores retailers'!$A:$D,3,)</f>
        <v/>
      </c>
      <c r="AD6" s="53">
        <f>VLOOKUP(B6,'Miscellaneous stores retailers'!$A:$D,4,)</f>
        <v/>
      </c>
      <c r="AE6" s="52">
        <f>VLOOKUP(B6,'Sporting Goods'!$A:$D,3,)</f>
        <v/>
      </c>
      <c r="AF6" s="53">
        <f>VLOOKUP(B6,'Sporting Goods'!$A:$D,4,)</f>
        <v/>
      </c>
    </row>
    <row r="7">
      <c r="B7" s="56" t="n">
        <v>43040</v>
      </c>
      <c r="C7" s="52">
        <f>VLOOKUP(B7,'Retail Sales'!A:D,3,)</f>
        <v/>
      </c>
      <c r="D7" s="53">
        <f>VLOOKUP(B7,'Retail Sales'!A:D,4,)</f>
        <v/>
      </c>
      <c r="E7" s="52">
        <f>VLOOKUP(B7,'Retail Sales ex Auto'!$A:$D,3,)</f>
        <v/>
      </c>
      <c r="F7" s="53">
        <f>VLOOKUP(B7,'Retail Sales ex Auto'!$A:$D,4,)</f>
        <v/>
      </c>
      <c r="G7" s="52">
        <f>VLOOKUP(B7,'Retail Sales ex Auto and Gas'!$A:$D,3,)</f>
        <v/>
      </c>
      <c r="H7" s="53">
        <f>VLOOKUP(B7,'Retail Sales ex Auto and Gas'!$A:$D,4,)</f>
        <v/>
      </c>
      <c r="I7" s="52">
        <f>VLOOKUP(B7,Motor!$A:$D,3,)</f>
        <v/>
      </c>
      <c r="J7" s="53">
        <f>VLOOKUP(B7,Motor!$A:$D,4,)</f>
        <v/>
      </c>
      <c r="K7" s="52">
        <f>VLOOKUP(B7,'Non Store Retail'!$A:$D,3,)</f>
        <v/>
      </c>
      <c r="L7" s="53">
        <f>VLOOKUP(B7,'Non Store Retail'!$A:$D,4,)</f>
        <v/>
      </c>
      <c r="M7" s="52">
        <f>VLOOKUP(B7,'Food and Beverage'!$A:$D,3,)</f>
        <v/>
      </c>
      <c r="N7" s="52">
        <f>VLOOKUP(B7,'Food and Beverage'!$A:$D,4,)</f>
        <v/>
      </c>
      <c r="O7" s="52">
        <f>VLOOKUP(B7,'Food Services'!$A:$D,3,)</f>
        <v/>
      </c>
      <c r="P7" s="53">
        <f>VLOOKUP(B7,'Food Services'!$A:$D,4,)</f>
        <v/>
      </c>
      <c r="Q7" s="52">
        <f>VLOOKUP(B7,'General Merchandising'!$A:$D,3,)</f>
        <v/>
      </c>
      <c r="R7" s="53">
        <f>VLOOKUP(B7,'General Merchandising'!$A:$D,4,)</f>
        <v/>
      </c>
      <c r="S7" s="52">
        <f>VLOOKUP(B7,'Gas Station'!$A:$D,3,)</f>
        <v/>
      </c>
      <c r="T7" s="53">
        <f>VLOOKUP(B7,'Gas Station'!$A:$D,4,)</f>
        <v/>
      </c>
      <c r="U7" s="52">
        <f>VLOOKUP(B7,Housing!$A:$D,3,)</f>
        <v/>
      </c>
      <c r="V7" s="53">
        <f>VLOOKUP(B7,Housing!$A:$D,4,)</f>
        <v/>
      </c>
      <c r="W7" s="52">
        <f>VLOOKUP(B7,Health!$A:$D,3,)</f>
        <v/>
      </c>
      <c r="X7" s="53">
        <f>VLOOKUP(B7,Health!$A:$D,4,)</f>
        <v/>
      </c>
      <c r="Y7" s="52">
        <f>VLOOKUP(B7,'Clothing and clothing access'!$A:$D,3,)</f>
        <v/>
      </c>
      <c r="Z7" s="53">
        <f>VLOOKUP(B7,'Clothing and clothing access'!$A:$D,4,)</f>
        <v/>
      </c>
      <c r="AA7" s="52">
        <f>VLOOKUP(B7,'Furniture Home'!$A:$D,3,)</f>
        <v/>
      </c>
      <c r="AB7" s="53">
        <f>VLOOKUP(B7,'Furniture Home'!$A:$D,4,)</f>
        <v/>
      </c>
      <c r="AC7" s="52">
        <f>VLOOKUP(B7,'Miscellaneous stores retailers'!$A:$D,3,)</f>
        <v/>
      </c>
      <c r="AD7" s="53">
        <f>VLOOKUP(B7,'Miscellaneous stores retailers'!$A:$D,4,)</f>
        <v/>
      </c>
      <c r="AE7" s="52">
        <f>VLOOKUP(B7,'Sporting Goods'!$A:$D,3,)</f>
        <v/>
      </c>
      <c r="AF7" s="53">
        <f>VLOOKUP(B7,'Sporting Goods'!$A:$D,4,)</f>
        <v/>
      </c>
    </row>
    <row r="8">
      <c r="B8" s="56" t="n">
        <v>43070</v>
      </c>
      <c r="C8" s="52">
        <f>VLOOKUP(B8,'Retail Sales'!A:D,3,)</f>
        <v/>
      </c>
      <c r="D8" s="53">
        <f>VLOOKUP(B8,'Retail Sales'!A:D,4,)</f>
        <v/>
      </c>
      <c r="E8" s="52">
        <f>VLOOKUP(B8,'Retail Sales ex Auto'!$A:$D,3,)</f>
        <v/>
      </c>
      <c r="F8" s="53">
        <f>VLOOKUP(B8,'Retail Sales ex Auto'!$A:$D,4,)</f>
        <v/>
      </c>
      <c r="G8" s="52">
        <f>VLOOKUP(B8,'Retail Sales ex Auto and Gas'!$A:$D,3,)</f>
        <v/>
      </c>
      <c r="H8" s="53">
        <f>VLOOKUP(B8,'Retail Sales ex Auto and Gas'!$A:$D,4,)</f>
        <v/>
      </c>
      <c r="I8" s="52">
        <f>VLOOKUP(B8,Motor!$A:$D,3,)</f>
        <v/>
      </c>
      <c r="J8" s="53">
        <f>VLOOKUP(B8,Motor!$A:$D,4,)</f>
        <v/>
      </c>
      <c r="K8" s="52">
        <f>VLOOKUP(B8,'Non Store Retail'!$A:$D,3,)</f>
        <v/>
      </c>
      <c r="L8" s="53">
        <f>VLOOKUP(B8,'Non Store Retail'!$A:$D,4,)</f>
        <v/>
      </c>
      <c r="M8" s="52">
        <f>VLOOKUP(B8,'Food and Beverage'!$A:$D,3,)</f>
        <v/>
      </c>
      <c r="N8" s="52">
        <f>VLOOKUP(B8,'Food and Beverage'!$A:$D,4,)</f>
        <v/>
      </c>
      <c r="O8" s="52">
        <f>VLOOKUP(B8,'Food Services'!$A:$D,3,)</f>
        <v/>
      </c>
      <c r="P8" s="53">
        <f>VLOOKUP(B8,'Food Services'!$A:$D,4,)</f>
        <v/>
      </c>
      <c r="Q8" s="52">
        <f>VLOOKUP(B8,'General Merchandising'!$A:$D,3,)</f>
        <v/>
      </c>
      <c r="R8" s="53">
        <f>VLOOKUP(B8,'General Merchandising'!$A:$D,4,)</f>
        <v/>
      </c>
      <c r="S8" s="52">
        <f>VLOOKUP(B8,'Gas Station'!$A:$D,3,)</f>
        <v/>
      </c>
      <c r="T8" s="53">
        <f>VLOOKUP(B8,'Gas Station'!$A:$D,4,)</f>
        <v/>
      </c>
      <c r="U8" s="52">
        <f>VLOOKUP(B8,Housing!$A:$D,3,)</f>
        <v/>
      </c>
      <c r="V8" s="53">
        <f>VLOOKUP(B8,Housing!$A:$D,4,)</f>
        <v/>
      </c>
      <c r="W8" s="52">
        <f>VLOOKUP(B8,Health!$A:$D,3,)</f>
        <v/>
      </c>
      <c r="X8" s="53">
        <f>VLOOKUP(B8,Health!$A:$D,4,)</f>
        <v/>
      </c>
      <c r="Y8" s="52">
        <f>VLOOKUP(B8,'Clothing and clothing access'!$A:$D,3,)</f>
        <v/>
      </c>
      <c r="Z8" s="53">
        <f>VLOOKUP(B8,'Clothing and clothing access'!$A:$D,4,)</f>
        <v/>
      </c>
      <c r="AA8" s="52">
        <f>VLOOKUP(B8,'Furniture Home'!$A:$D,3,)</f>
        <v/>
      </c>
      <c r="AB8" s="53">
        <f>VLOOKUP(B8,'Furniture Home'!$A:$D,4,)</f>
        <v/>
      </c>
      <c r="AC8" s="52">
        <f>VLOOKUP(B8,'Miscellaneous stores retailers'!$A:$D,3,)</f>
        <v/>
      </c>
      <c r="AD8" s="53">
        <f>VLOOKUP(B8,'Miscellaneous stores retailers'!$A:$D,4,)</f>
        <v/>
      </c>
      <c r="AE8" s="52">
        <f>VLOOKUP(B8,'Sporting Goods'!$A:$D,3,)</f>
        <v/>
      </c>
      <c r="AF8" s="53">
        <f>VLOOKUP(B8,'Sporting Goods'!$A:$D,4,)</f>
        <v/>
      </c>
    </row>
    <row r="9">
      <c r="B9" s="56" t="n">
        <v>43101</v>
      </c>
      <c r="C9" s="52">
        <f>VLOOKUP(B9,'Retail Sales'!A:D,3,)</f>
        <v/>
      </c>
      <c r="D9" s="53">
        <f>VLOOKUP(B9,'Retail Sales'!A:D,4,)</f>
        <v/>
      </c>
      <c r="E9" s="52">
        <f>VLOOKUP(B9,'Retail Sales ex Auto'!$A:$D,3,)</f>
        <v/>
      </c>
      <c r="F9" s="53">
        <f>VLOOKUP(B9,'Retail Sales ex Auto'!$A:$D,4,)</f>
        <v/>
      </c>
      <c r="G9" s="52">
        <f>VLOOKUP(B9,'Retail Sales ex Auto and Gas'!$A:$D,3,)</f>
        <v/>
      </c>
      <c r="H9" s="53">
        <f>VLOOKUP(B9,'Retail Sales ex Auto and Gas'!$A:$D,4,)</f>
        <v/>
      </c>
      <c r="I9" s="52">
        <f>VLOOKUP(B9,Motor!$A:$D,3,)</f>
        <v/>
      </c>
      <c r="J9" s="53">
        <f>VLOOKUP(B9,Motor!$A:$D,4,)</f>
        <v/>
      </c>
      <c r="K9" s="52">
        <f>VLOOKUP(B9,'Non Store Retail'!$A:$D,3,)</f>
        <v/>
      </c>
      <c r="L9" s="53">
        <f>VLOOKUP(B9,'Non Store Retail'!$A:$D,4,)</f>
        <v/>
      </c>
      <c r="M9" s="52">
        <f>VLOOKUP(B9,'Food and Beverage'!$A:$D,3,)</f>
        <v/>
      </c>
      <c r="N9" s="52">
        <f>VLOOKUP(B9,'Food and Beverage'!$A:$D,4,)</f>
        <v/>
      </c>
      <c r="O9" s="52">
        <f>VLOOKUP(B9,'Food Services'!$A:$D,3,)</f>
        <v/>
      </c>
      <c r="P9" s="53">
        <f>VLOOKUP(B9,'Food Services'!$A:$D,4,)</f>
        <v/>
      </c>
      <c r="Q9" s="52">
        <f>VLOOKUP(B9,'General Merchandising'!$A:$D,3,)</f>
        <v/>
      </c>
      <c r="R9" s="53">
        <f>VLOOKUP(B9,'General Merchandising'!$A:$D,4,)</f>
        <v/>
      </c>
      <c r="S9" s="52">
        <f>VLOOKUP(B9,'Gas Station'!$A:$D,3,)</f>
        <v/>
      </c>
      <c r="T9" s="53">
        <f>VLOOKUP(B9,'Gas Station'!$A:$D,4,)</f>
        <v/>
      </c>
      <c r="U9" s="52">
        <f>VLOOKUP(B9,Housing!$A:$D,3,)</f>
        <v/>
      </c>
      <c r="V9" s="53">
        <f>VLOOKUP(B9,Housing!$A:$D,4,)</f>
        <v/>
      </c>
      <c r="W9" s="52">
        <f>VLOOKUP(B9,Health!$A:$D,3,)</f>
        <v/>
      </c>
      <c r="X9" s="53">
        <f>VLOOKUP(B9,Health!$A:$D,4,)</f>
        <v/>
      </c>
      <c r="Y9" s="52">
        <f>VLOOKUP(B9,'Clothing and clothing access'!$A:$D,3,)</f>
        <v/>
      </c>
      <c r="Z9" s="53">
        <f>VLOOKUP(B9,'Clothing and clothing access'!$A:$D,4,)</f>
        <v/>
      </c>
      <c r="AA9" s="52">
        <f>VLOOKUP(B9,'Furniture Home'!$A:$D,3,)</f>
        <v/>
      </c>
      <c r="AB9" s="53">
        <f>VLOOKUP(B9,'Furniture Home'!$A:$D,4,)</f>
        <v/>
      </c>
      <c r="AC9" s="52">
        <f>VLOOKUP(B9,'Miscellaneous stores retailers'!$A:$D,3,)</f>
        <v/>
      </c>
      <c r="AD9" s="53">
        <f>VLOOKUP(B9,'Miscellaneous stores retailers'!$A:$D,4,)</f>
        <v/>
      </c>
      <c r="AE9" s="52">
        <f>VLOOKUP(B9,'Sporting Goods'!$A:$D,3,)</f>
        <v/>
      </c>
      <c r="AF9" s="53">
        <f>VLOOKUP(B9,'Sporting Goods'!$A:$D,4,)</f>
        <v/>
      </c>
    </row>
    <row r="10">
      <c r="B10" s="56" t="n">
        <v>43132</v>
      </c>
      <c r="C10" s="52">
        <f>VLOOKUP(B10,'Retail Sales'!A:D,3,)</f>
        <v/>
      </c>
      <c r="D10" s="53">
        <f>VLOOKUP(B10,'Retail Sales'!A:D,4,)</f>
        <v/>
      </c>
      <c r="E10" s="52">
        <f>VLOOKUP(B10,'Retail Sales ex Auto'!$A:$D,3,)</f>
        <v/>
      </c>
      <c r="F10" s="53">
        <f>VLOOKUP(B10,'Retail Sales ex Auto'!$A:$D,4,)</f>
        <v/>
      </c>
      <c r="G10" s="52">
        <f>VLOOKUP(B10,'Retail Sales ex Auto and Gas'!$A:$D,3,)</f>
        <v/>
      </c>
      <c r="H10" s="53">
        <f>VLOOKUP(B10,'Retail Sales ex Auto and Gas'!$A:$D,4,)</f>
        <v/>
      </c>
      <c r="I10" s="52">
        <f>VLOOKUP(B10,Motor!$A:$D,3,)</f>
        <v/>
      </c>
      <c r="J10" s="53">
        <f>VLOOKUP(B10,Motor!$A:$D,4,)</f>
        <v/>
      </c>
      <c r="K10" s="52">
        <f>VLOOKUP(B10,'Non Store Retail'!$A:$D,3,)</f>
        <v/>
      </c>
      <c r="L10" s="53">
        <f>VLOOKUP(B10,'Non Store Retail'!$A:$D,4,)</f>
        <v/>
      </c>
      <c r="M10" s="52">
        <f>VLOOKUP(B10,'Food and Beverage'!$A:$D,3,)</f>
        <v/>
      </c>
      <c r="N10" s="52">
        <f>VLOOKUP(B10,'Food and Beverage'!$A:$D,4,)</f>
        <v/>
      </c>
      <c r="O10" s="52">
        <f>VLOOKUP(B10,'Food Services'!$A:$D,3,)</f>
        <v/>
      </c>
      <c r="P10" s="53">
        <f>VLOOKUP(B10,'Food Services'!$A:$D,4,)</f>
        <v/>
      </c>
      <c r="Q10" s="52">
        <f>VLOOKUP(B10,'General Merchandising'!$A:$D,3,)</f>
        <v/>
      </c>
      <c r="R10" s="53">
        <f>VLOOKUP(B10,'General Merchandising'!$A:$D,4,)</f>
        <v/>
      </c>
      <c r="S10" s="52">
        <f>VLOOKUP(B10,'Gas Station'!$A:$D,3,)</f>
        <v/>
      </c>
      <c r="T10" s="53">
        <f>VLOOKUP(B10,'Gas Station'!$A:$D,4,)</f>
        <v/>
      </c>
      <c r="U10" s="52">
        <f>VLOOKUP(B10,Housing!$A:$D,3,)</f>
        <v/>
      </c>
      <c r="V10" s="53">
        <f>VLOOKUP(B10,Housing!$A:$D,4,)</f>
        <v/>
      </c>
      <c r="W10" s="52">
        <f>VLOOKUP(B10,Health!$A:$D,3,)</f>
        <v/>
      </c>
      <c r="X10" s="53">
        <f>VLOOKUP(B10,Health!$A:$D,4,)</f>
        <v/>
      </c>
      <c r="Y10" s="52">
        <f>VLOOKUP(B10,'Clothing and clothing access'!$A:$D,3,)</f>
        <v/>
      </c>
      <c r="Z10" s="53">
        <f>VLOOKUP(B10,'Clothing and clothing access'!$A:$D,4,)</f>
        <v/>
      </c>
      <c r="AA10" s="52">
        <f>VLOOKUP(B10,'Furniture Home'!$A:$D,3,)</f>
        <v/>
      </c>
      <c r="AB10" s="53">
        <f>VLOOKUP(B10,'Furniture Home'!$A:$D,4,)</f>
        <v/>
      </c>
      <c r="AC10" s="52">
        <f>VLOOKUP(B10,'Miscellaneous stores retailers'!$A:$D,3,)</f>
        <v/>
      </c>
      <c r="AD10" s="53">
        <f>VLOOKUP(B10,'Miscellaneous stores retailers'!$A:$D,4,)</f>
        <v/>
      </c>
      <c r="AE10" s="52">
        <f>VLOOKUP(B10,'Sporting Goods'!$A:$D,3,)</f>
        <v/>
      </c>
      <c r="AF10" s="53">
        <f>VLOOKUP(B10,'Sporting Goods'!$A:$D,4,)</f>
        <v/>
      </c>
    </row>
    <row r="11">
      <c r="B11" s="56" t="n">
        <v>43160</v>
      </c>
      <c r="C11" s="52">
        <f>VLOOKUP(B11,'Retail Sales'!A:D,3,)</f>
        <v/>
      </c>
      <c r="D11" s="53">
        <f>VLOOKUP(B11,'Retail Sales'!A:D,4,)</f>
        <v/>
      </c>
      <c r="E11" s="52">
        <f>VLOOKUP(B11,'Retail Sales ex Auto'!$A:$D,3,)</f>
        <v/>
      </c>
      <c r="F11" s="53">
        <f>VLOOKUP(B11,'Retail Sales ex Auto'!$A:$D,4,)</f>
        <v/>
      </c>
      <c r="G11" s="52">
        <f>VLOOKUP(B11,'Retail Sales ex Auto and Gas'!$A:$D,3,)</f>
        <v/>
      </c>
      <c r="H11" s="53">
        <f>VLOOKUP(B11,'Retail Sales ex Auto and Gas'!$A:$D,4,)</f>
        <v/>
      </c>
      <c r="I11" s="52">
        <f>VLOOKUP(B11,Motor!$A:$D,3,)</f>
        <v/>
      </c>
      <c r="J11" s="53">
        <f>VLOOKUP(B11,Motor!$A:$D,4,)</f>
        <v/>
      </c>
      <c r="K11" s="52">
        <f>VLOOKUP(B11,'Non Store Retail'!$A:$D,3,)</f>
        <v/>
      </c>
      <c r="L11" s="53">
        <f>VLOOKUP(B11,'Non Store Retail'!$A:$D,4,)</f>
        <v/>
      </c>
      <c r="M11" s="52">
        <f>VLOOKUP(B11,'Food and Beverage'!$A:$D,3,)</f>
        <v/>
      </c>
      <c r="N11" s="52">
        <f>VLOOKUP(B11,'Food and Beverage'!$A:$D,4,)</f>
        <v/>
      </c>
      <c r="O11" s="52">
        <f>VLOOKUP(B11,'Food Services'!$A:$D,3,)</f>
        <v/>
      </c>
      <c r="P11" s="53">
        <f>VLOOKUP(B11,'Food Services'!$A:$D,4,)</f>
        <v/>
      </c>
      <c r="Q11" s="52">
        <f>VLOOKUP(B11,'General Merchandising'!$A:$D,3,)</f>
        <v/>
      </c>
      <c r="R11" s="53">
        <f>VLOOKUP(B11,'General Merchandising'!$A:$D,4,)</f>
        <v/>
      </c>
      <c r="S11" s="52">
        <f>VLOOKUP(B11,'Gas Station'!$A:$D,3,)</f>
        <v/>
      </c>
      <c r="T11" s="53">
        <f>VLOOKUP(B11,'Gas Station'!$A:$D,4,)</f>
        <v/>
      </c>
      <c r="U11" s="52">
        <f>VLOOKUP(B11,Housing!$A:$D,3,)</f>
        <v/>
      </c>
      <c r="V11" s="53">
        <f>VLOOKUP(B11,Housing!$A:$D,4,)</f>
        <v/>
      </c>
      <c r="W11" s="52">
        <f>VLOOKUP(B11,Health!$A:$D,3,)</f>
        <v/>
      </c>
      <c r="X11" s="53">
        <f>VLOOKUP(B11,Health!$A:$D,4,)</f>
        <v/>
      </c>
      <c r="Y11" s="52">
        <f>VLOOKUP(B11,'Clothing and clothing access'!$A:$D,3,)</f>
        <v/>
      </c>
      <c r="Z11" s="53">
        <f>VLOOKUP(B11,'Clothing and clothing access'!$A:$D,4,)</f>
        <v/>
      </c>
      <c r="AA11" s="52">
        <f>VLOOKUP(B11,'Furniture Home'!$A:$D,3,)</f>
        <v/>
      </c>
      <c r="AB11" s="53">
        <f>VLOOKUP(B11,'Furniture Home'!$A:$D,4,)</f>
        <v/>
      </c>
      <c r="AC11" s="52">
        <f>VLOOKUP(B11,'Miscellaneous stores retailers'!$A:$D,3,)</f>
        <v/>
      </c>
      <c r="AD11" s="53">
        <f>VLOOKUP(B11,'Miscellaneous stores retailers'!$A:$D,4,)</f>
        <v/>
      </c>
      <c r="AE11" s="52">
        <f>VLOOKUP(B11,'Sporting Goods'!$A:$D,3,)</f>
        <v/>
      </c>
      <c r="AF11" s="53">
        <f>VLOOKUP(B11,'Sporting Goods'!$A:$D,4,)</f>
        <v/>
      </c>
    </row>
    <row r="12">
      <c r="B12" s="56" t="n">
        <v>43191</v>
      </c>
      <c r="C12" s="52">
        <f>VLOOKUP(B12,'Retail Sales'!A:D,3,)</f>
        <v/>
      </c>
      <c r="D12" s="53">
        <f>VLOOKUP(B12,'Retail Sales'!A:D,4,)</f>
        <v/>
      </c>
      <c r="E12" s="52">
        <f>VLOOKUP(B12,'Retail Sales ex Auto'!$A:$D,3,)</f>
        <v/>
      </c>
      <c r="F12" s="53">
        <f>VLOOKUP(B12,'Retail Sales ex Auto'!$A:$D,4,)</f>
        <v/>
      </c>
      <c r="G12" s="52">
        <f>VLOOKUP(B12,'Retail Sales ex Auto and Gas'!$A:$D,3,)</f>
        <v/>
      </c>
      <c r="H12" s="53">
        <f>VLOOKUP(B12,'Retail Sales ex Auto and Gas'!$A:$D,4,)</f>
        <v/>
      </c>
      <c r="I12" s="52">
        <f>VLOOKUP(B12,Motor!$A:$D,3,)</f>
        <v/>
      </c>
      <c r="J12" s="53">
        <f>VLOOKUP(B12,Motor!$A:$D,4,)</f>
        <v/>
      </c>
      <c r="K12" s="52">
        <f>VLOOKUP(B12,'Non Store Retail'!$A:$D,3,)</f>
        <v/>
      </c>
      <c r="L12" s="53">
        <f>VLOOKUP(B12,'Non Store Retail'!$A:$D,4,)</f>
        <v/>
      </c>
      <c r="M12" s="52">
        <f>VLOOKUP(B12,'Food and Beverage'!$A:$D,3,)</f>
        <v/>
      </c>
      <c r="N12" s="52">
        <f>VLOOKUP(B12,'Food and Beverage'!$A:$D,4,)</f>
        <v/>
      </c>
      <c r="O12" s="52">
        <f>VLOOKUP(B12,'Food Services'!$A:$D,3,)</f>
        <v/>
      </c>
      <c r="P12" s="53">
        <f>VLOOKUP(B12,'Food Services'!$A:$D,4,)</f>
        <v/>
      </c>
      <c r="Q12" s="52">
        <f>VLOOKUP(B12,'General Merchandising'!$A:$D,3,)</f>
        <v/>
      </c>
      <c r="R12" s="53">
        <f>VLOOKUP(B12,'General Merchandising'!$A:$D,4,)</f>
        <v/>
      </c>
      <c r="S12" s="52">
        <f>VLOOKUP(B12,'Gas Station'!$A:$D,3,)</f>
        <v/>
      </c>
      <c r="T12" s="53">
        <f>VLOOKUP(B12,'Gas Station'!$A:$D,4,)</f>
        <v/>
      </c>
      <c r="U12" s="52">
        <f>VLOOKUP(B12,Housing!$A:$D,3,)</f>
        <v/>
      </c>
      <c r="V12" s="53">
        <f>VLOOKUP(B12,Housing!$A:$D,4,)</f>
        <v/>
      </c>
      <c r="W12" s="52">
        <f>VLOOKUP(B12,Health!$A:$D,3,)</f>
        <v/>
      </c>
      <c r="X12" s="53">
        <f>VLOOKUP(B12,Health!$A:$D,4,)</f>
        <v/>
      </c>
      <c r="Y12" s="52">
        <f>VLOOKUP(B12,'Clothing and clothing access'!$A:$D,3,)</f>
        <v/>
      </c>
      <c r="Z12" s="53">
        <f>VLOOKUP(B12,'Clothing and clothing access'!$A:$D,4,)</f>
        <v/>
      </c>
      <c r="AA12" s="52">
        <f>VLOOKUP(B12,'Furniture Home'!$A:$D,3,)</f>
        <v/>
      </c>
      <c r="AB12" s="53">
        <f>VLOOKUP(B12,'Furniture Home'!$A:$D,4,)</f>
        <v/>
      </c>
      <c r="AC12" s="52">
        <f>VLOOKUP(B12,'Miscellaneous stores retailers'!$A:$D,3,)</f>
        <v/>
      </c>
      <c r="AD12" s="53">
        <f>VLOOKUP(B12,'Miscellaneous stores retailers'!$A:$D,4,)</f>
        <v/>
      </c>
      <c r="AE12" s="52">
        <f>VLOOKUP(B12,'Sporting Goods'!$A:$D,3,)</f>
        <v/>
      </c>
      <c r="AF12" s="53">
        <f>VLOOKUP(B12,'Sporting Goods'!$A:$D,4,)</f>
        <v/>
      </c>
    </row>
    <row r="13">
      <c r="B13" s="56" t="n">
        <v>43221</v>
      </c>
      <c r="C13" s="52">
        <f>VLOOKUP(B13,'Retail Sales'!A:D,3,)</f>
        <v/>
      </c>
      <c r="D13" s="53">
        <f>VLOOKUP(B13,'Retail Sales'!A:D,4,)</f>
        <v/>
      </c>
      <c r="E13" s="52">
        <f>VLOOKUP(B13,'Retail Sales ex Auto'!$A:$D,3,)</f>
        <v/>
      </c>
      <c r="F13" s="53">
        <f>VLOOKUP(B13,'Retail Sales ex Auto'!$A:$D,4,)</f>
        <v/>
      </c>
      <c r="G13" s="52">
        <f>VLOOKUP(B13,'Retail Sales ex Auto and Gas'!$A:$D,3,)</f>
        <v/>
      </c>
      <c r="H13" s="53">
        <f>VLOOKUP(B13,'Retail Sales ex Auto and Gas'!$A:$D,4,)</f>
        <v/>
      </c>
      <c r="I13" s="52">
        <f>VLOOKUP(B13,Motor!$A:$D,3,)</f>
        <v/>
      </c>
      <c r="J13" s="53">
        <f>VLOOKUP(B13,Motor!$A:$D,4,)</f>
        <v/>
      </c>
      <c r="K13" s="52">
        <f>VLOOKUP(B13,'Non Store Retail'!$A:$D,3,)</f>
        <v/>
      </c>
      <c r="L13" s="53">
        <f>VLOOKUP(B13,'Non Store Retail'!$A:$D,4,)</f>
        <v/>
      </c>
      <c r="M13" s="52">
        <f>VLOOKUP(B13,'Food and Beverage'!$A:$D,3,)</f>
        <v/>
      </c>
      <c r="N13" s="52">
        <f>VLOOKUP(B13,'Food and Beverage'!$A:$D,4,)</f>
        <v/>
      </c>
      <c r="O13" s="52">
        <f>VLOOKUP(B13,'Food Services'!$A:$D,3,)</f>
        <v/>
      </c>
      <c r="P13" s="53">
        <f>VLOOKUP(B13,'Food Services'!$A:$D,4,)</f>
        <v/>
      </c>
      <c r="Q13" s="52">
        <f>VLOOKUP(B13,'General Merchandising'!$A:$D,3,)</f>
        <v/>
      </c>
      <c r="R13" s="53">
        <f>VLOOKUP(B13,'General Merchandising'!$A:$D,4,)</f>
        <v/>
      </c>
      <c r="S13" s="52">
        <f>VLOOKUP(B13,'Gas Station'!$A:$D,3,)</f>
        <v/>
      </c>
      <c r="T13" s="53">
        <f>VLOOKUP(B13,'Gas Station'!$A:$D,4,)</f>
        <v/>
      </c>
      <c r="U13" s="52">
        <f>VLOOKUP(B13,Housing!$A:$D,3,)</f>
        <v/>
      </c>
      <c r="V13" s="53">
        <f>VLOOKUP(B13,Housing!$A:$D,4,)</f>
        <v/>
      </c>
      <c r="W13" s="52">
        <f>VLOOKUP(B13,Health!$A:$D,3,)</f>
        <v/>
      </c>
      <c r="X13" s="53">
        <f>VLOOKUP(B13,Health!$A:$D,4,)</f>
        <v/>
      </c>
      <c r="Y13" s="52">
        <f>VLOOKUP(B13,'Clothing and clothing access'!$A:$D,3,)</f>
        <v/>
      </c>
      <c r="Z13" s="53">
        <f>VLOOKUP(B13,'Clothing and clothing access'!$A:$D,4,)</f>
        <v/>
      </c>
      <c r="AA13" s="52">
        <f>VLOOKUP(B13,'Furniture Home'!$A:$D,3,)</f>
        <v/>
      </c>
      <c r="AB13" s="53">
        <f>VLOOKUP(B13,'Furniture Home'!$A:$D,4,)</f>
        <v/>
      </c>
      <c r="AC13" s="52">
        <f>VLOOKUP(B13,'Miscellaneous stores retailers'!$A:$D,3,)</f>
        <v/>
      </c>
      <c r="AD13" s="53">
        <f>VLOOKUP(B13,'Miscellaneous stores retailers'!$A:$D,4,)</f>
        <v/>
      </c>
      <c r="AE13" s="52">
        <f>VLOOKUP(B13,'Sporting Goods'!$A:$D,3,)</f>
        <v/>
      </c>
      <c r="AF13" s="53">
        <f>VLOOKUP(B13,'Sporting Goods'!$A:$D,4,)</f>
        <v/>
      </c>
    </row>
    <row r="14">
      <c r="B14" s="56" t="n">
        <v>43252</v>
      </c>
      <c r="C14" s="52">
        <f>VLOOKUP(B14,'Retail Sales'!A:D,3,)</f>
        <v/>
      </c>
      <c r="D14" s="53">
        <f>VLOOKUP(B14,'Retail Sales'!A:D,4,)</f>
        <v/>
      </c>
      <c r="E14" s="52">
        <f>VLOOKUP(B14,'Retail Sales ex Auto'!$A:$D,3,)</f>
        <v/>
      </c>
      <c r="F14" s="53">
        <f>VLOOKUP(B14,'Retail Sales ex Auto'!$A:$D,4,)</f>
        <v/>
      </c>
      <c r="G14" s="52">
        <f>VLOOKUP(B14,'Retail Sales ex Auto and Gas'!$A:$D,3,)</f>
        <v/>
      </c>
      <c r="H14" s="53">
        <f>VLOOKUP(B14,'Retail Sales ex Auto and Gas'!$A:$D,4,)</f>
        <v/>
      </c>
      <c r="I14" s="52">
        <f>VLOOKUP(B14,Motor!$A:$D,3,)</f>
        <v/>
      </c>
      <c r="J14" s="53">
        <f>VLOOKUP(B14,Motor!$A:$D,4,)</f>
        <v/>
      </c>
      <c r="K14" s="52">
        <f>VLOOKUP(B14,'Non Store Retail'!$A:$D,3,)</f>
        <v/>
      </c>
      <c r="L14" s="53">
        <f>VLOOKUP(B14,'Non Store Retail'!$A:$D,4,)</f>
        <v/>
      </c>
      <c r="M14" s="52">
        <f>VLOOKUP(B14,'Food and Beverage'!$A:$D,3,)</f>
        <v/>
      </c>
      <c r="N14" s="52">
        <f>VLOOKUP(B14,'Food and Beverage'!$A:$D,4,)</f>
        <v/>
      </c>
      <c r="O14" s="52">
        <f>VLOOKUP(B14,'Food Services'!$A:$D,3,)</f>
        <v/>
      </c>
      <c r="P14" s="53">
        <f>VLOOKUP(B14,'Food Services'!$A:$D,4,)</f>
        <v/>
      </c>
      <c r="Q14" s="52">
        <f>VLOOKUP(B14,'General Merchandising'!$A:$D,3,)</f>
        <v/>
      </c>
      <c r="R14" s="53">
        <f>VLOOKUP(B14,'General Merchandising'!$A:$D,4,)</f>
        <v/>
      </c>
      <c r="S14" s="52">
        <f>VLOOKUP(B14,'Gas Station'!$A:$D,3,)</f>
        <v/>
      </c>
      <c r="T14" s="53">
        <f>VLOOKUP(B14,'Gas Station'!$A:$D,4,)</f>
        <v/>
      </c>
      <c r="U14" s="52">
        <f>VLOOKUP(B14,Housing!$A:$D,3,)</f>
        <v/>
      </c>
      <c r="V14" s="53">
        <f>VLOOKUP(B14,Housing!$A:$D,4,)</f>
        <v/>
      </c>
      <c r="W14" s="52">
        <f>VLOOKUP(B14,Health!$A:$D,3,)</f>
        <v/>
      </c>
      <c r="X14" s="53">
        <f>VLOOKUP(B14,Health!$A:$D,4,)</f>
        <v/>
      </c>
      <c r="Y14" s="52">
        <f>VLOOKUP(B14,'Clothing and clothing access'!$A:$D,3,)</f>
        <v/>
      </c>
      <c r="Z14" s="53">
        <f>VLOOKUP(B14,'Clothing and clothing access'!$A:$D,4,)</f>
        <v/>
      </c>
      <c r="AA14" s="52">
        <f>VLOOKUP(B14,'Furniture Home'!$A:$D,3,)</f>
        <v/>
      </c>
      <c r="AB14" s="53">
        <f>VLOOKUP(B14,'Furniture Home'!$A:$D,4,)</f>
        <v/>
      </c>
      <c r="AC14" s="52">
        <f>VLOOKUP(B14,'Miscellaneous stores retailers'!$A:$D,3,)</f>
        <v/>
      </c>
      <c r="AD14" s="53">
        <f>VLOOKUP(B14,'Miscellaneous stores retailers'!$A:$D,4,)</f>
        <v/>
      </c>
      <c r="AE14" s="52">
        <f>VLOOKUP(B14,'Sporting Goods'!$A:$D,3,)</f>
        <v/>
      </c>
      <c r="AF14" s="53">
        <f>VLOOKUP(B14,'Sporting Goods'!$A:$D,4,)</f>
        <v/>
      </c>
    </row>
    <row r="15">
      <c r="B15" s="56" t="n">
        <v>43282</v>
      </c>
      <c r="C15" s="52">
        <f>VLOOKUP(B15,'Retail Sales'!A:D,3,)</f>
        <v/>
      </c>
      <c r="D15" s="53">
        <f>VLOOKUP(B15,'Retail Sales'!A:D,4,)</f>
        <v/>
      </c>
      <c r="E15" s="52">
        <f>VLOOKUP(B15,'Retail Sales ex Auto'!$A:$D,3,)</f>
        <v/>
      </c>
      <c r="F15" s="53">
        <f>VLOOKUP(B15,'Retail Sales ex Auto'!$A:$D,4,)</f>
        <v/>
      </c>
      <c r="G15" s="52">
        <f>VLOOKUP(B15,'Retail Sales ex Auto and Gas'!$A:$D,3,)</f>
        <v/>
      </c>
      <c r="H15" s="53">
        <f>VLOOKUP(B15,'Retail Sales ex Auto and Gas'!$A:$D,4,)</f>
        <v/>
      </c>
      <c r="I15" s="52">
        <f>VLOOKUP(B15,Motor!$A:$D,3,)</f>
        <v/>
      </c>
      <c r="J15" s="53">
        <f>VLOOKUP(B15,Motor!$A:$D,4,)</f>
        <v/>
      </c>
      <c r="K15" s="52">
        <f>VLOOKUP(B15,'Non Store Retail'!$A:$D,3,)</f>
        <v/>
      </c>
      <c r="L15" s="53">
        <f>VLOOKUP(B15,'Non Store Retail'!$A:$D,4,)</f>
        <v/>
      </c>
      <c r="M15" s="52">
        <f>VLOOKUP(B15,'Food and Beverage'!$A:$D,3,)</f>
        <v/>
      </c>
      <c r="N15" s="52">
        <f>VLOOKUP(B15,'Food and Beverage'!$A:$D,4,)</f>
        <v/>
      </c>
      <c r="O15" s="52">
        <f>VLOOKUP(B15,'Food Services'!$A:$D,3,)</f>
        <v/>
      </c>
      <c r="P15" s="53">
        <f>VLOOKUP(B15,'Food Services'!$A:$D,4,)</f>
        <v/>
      </c>
      <c r="Q15" s="52">
        <f>VLOOKUP(B15,'General Merchandising'!$A:$D,3,)</f>
        <v/>
      </c>
      <c r="R15" s="53">
        <f>VLOOKUP(B15,'General Merchandising'!$A:$D,4,)</f>
        <v/>
      </c>
      <c r="S15" s="52">
        <f>VLOOKUP(B15,'Gas Station'!$A:$D,3,)</f>
        <v/>
      </c>
      <c r="T15" s="53">
        <f>VLOOKUP(B15,'Gas Station'!$A:$D,4,)</f>
        <v/>
      </c>
      <c r="U15" s="52">
        <f>VLOOKUP(B15,Housing!$A:$D,3,)</f>
        <v/>
      </c>
      <c r="V15" s="53">
        <f>VLOOKUP(B15,Housing!$A:$D,4,)</f>
        <v/>
      </c>
      <c r="W15" s="52">
        <f>VLOOKUP(B15,Health!$A:$D,3,)</f>
        <v/>
      </c>
      <c r="X15" s="53">
        <f>VLOOKUP(B15,Health!$A:$D,4,)</f>
        <v/>
      </c>
      <c r="Y15" s="52">
        <f>VLOOKUP(B15,'Clothing and clothing access'!$A:$D,3,)</f>
        <v/>
      </c>
      <c r="Z15" s="53">
        <f>VLOOKUP(B15,'Clothing and clothing access'!$A:$D,4,)</f>
        <v/>
      </c>
      <c r="AA15" s="52">
        <f>VLOOKUP(B15,'Furniture Home'!$A:$D,3,)</f>
        <v/>
      </c>
      <c r="AB15" s="53">
        <f>VLOOKUP(B15,'Furniture Home'!$A:$D,4,)</f>
        <v/>
      </c>
      <c r="AC15" s="52">
        <f>VLOOKUP(B15,'Miscellaneous stores retailers'!$A:$D,3,)</f>
        <v/>
      </c>
      <c r="AD15" s="53">
        <f>VLOOKUP(B15,'Miscellaneous stores retailers'!$A:$D,4,)</f>
        <v/>
      </c>
      <c r="AE15" s="52">
        <f>VLOOKUP(B15,'Sporting Goods'!$A:$D,3,)</f>
        <v/>
      </c>
      <c r="AF15" s="53">
        <f>VLOOKUP(B15,'Sporting Goods'!$A:$D,4,)</f>
        <v/>
      </c>
    </row>
    <row r="16">
      <c r="B16" s="56" t="n">
        <v>43313</v>
      </c>
      <c r="C16" s="52">
        <f>VLOOKUP(B16,'Retail Sales'!A:D,3,)</f>
        <v/>
      </c>
      <c r="D16" s="53">
        <f>VLOOKUP(B16,'Retail Sales'!A:D,4,)</f>
        <v/>
      </c>
      <c r="E16" s="52">
        <f>VLOOKUP(B16,'Retail Sales ex Auto'!$A:$D,3,)</f>
        <v/>
      </c>
      <c r="F16" s="53">
        <f>VLOOKUP(B16,'Retail Sales ex Auto'!$A:$D,4,)</f>
        <v/>
      </c>
      <c r="G16" s="52">
        <f>VLOOKUP(B16,'Retail Sales ex Auto and Gas'!$A:$D,3,)</f>
        <v/>
      </c>
      <c r="H16" s="53">
        <f>VLOOKUP(B16,'Retail Sales ex Auto and Gas'!$A:$D,4,)</f>
        <v/>
      </c>
      <c r="I16" s="52">
        <f>VLOOKUP(B16,Motor!$A:$D,3,)</f>
        <v/>
      </c>
      <c r="J16" s="53">
        <f>VLOOKUP(B16,Motor!$A:$D,4,)</f>
        <v/>
      </c>
      <c r="K16" s="52">
        <f>VLOOKUP(B16,'Non Store Retail'!$A:$D,3,)</f>
        <v/>
      </c>
      <c r="L16" s="53">
        <f>VLOOKUP(B16,'Non Store Retail'!$A:$D,4,)</f>
        <v/>
      </c>
      <c r="M16" s="52">
        <f>VLOOKUP(B16,'Food and Beverage'!$A:$D,3,)</f>
        <v/>
      </c>
      <c r="N16" s="52">
        <f>VLOOKUP(B16,'Food and Beverage'!$A:$D,4,)</f>
        <v/>
      </c>
      <c r="O16" s="52">
        <f>VLOOKUP(B16,'Food Services'!$A:$D,3,)</f>
        <v/>
      </c>
      <c r="P16" s="53">
        <f>VLOOKUP(B16,'Food Services'!$A:$D,4,)</f>
        <v/>
      </c>
      <c r="Q16" s="52">
        <f>VLOOKUP(B16,'General Merchandising'!$A:$D,3,)</f>
        <v/>
      </c>
      <c r="R16" s="53">
        <f>VLOOKUP(B16,'General Merchandising'!$A:$D,4,)</f>
        <v/>
      </c>
      <c r="S16" s="52">
        <f>VLOOKUP(B16,'Gas Station'!$A:$D,3,)</f>
        <v/>
      </c>
      <c r="T16" s="53">
        <f>VLOOKUP(B16,'Gas Station'!$A:$D,4,)</f>
        <v/>
      </c>
      <c r="U16" s="52">
        <f>VLOOKUP(B16,Housing!$A:$D,3,)</f>
        <v/>
      </c>
      <c r="V16" s="53">
        <f>VLOOKUP(B16,Housing!$A:$D,4,)</f>
        <v/>
      </c>
      <c r="W16" s="52">
        <f>VLOOKUP(B16,Health!$A:$D,3,)</f>
        <v/>
      </c>
      <c r="X16" s="53">
        <f>VLOOKUP(B16,Health!$A:$D,4,)</f>
        <v/>
      </c>
      <c r="Y16" s="52">
        <f>VLOOKUP(B16,'Clothing and clothing access'!$A:$D,3,)</f>
        <v/>
      </c>
      <c r="Z16" s="53">
        <f>VLOOKUP(B16,'Clothing and clothing access'!$A:$D,4,)</f>
        <v/>
      </c>
      <c r="AA16" s="52">
        <f>VLOOKUP(B16,'Furniture Home'!$A:$D,3,)</f>
        <v/>
      </c>
      <c r="AB16" s="53">
        <f>VLOOKUP(B16,'Furniture Home'!$A:$D,4,)</f>
        <v/>
      </c>
      <c r="AC16" s="52">
        <f>VLOOKUP(B16,'Miscellaneous stores retailers'!$A:$D,3,)</f>
        <v/>
      </c>
      <c r="AD16" s="53">
        <f>VLOOKUP(B16,'Miscellaneous stores retailers'!$A:$D,4,)</f>
        <v/>
      </c>
      <c r="AE16" s="52">
        <f>VLOOKUP(B16,'Sporting Goods'!$A:$D,3,)</f>
        <v/>
      </c>
      <c r="AF16" s="53">
        <f>VLOOKUP(B16,'Sporting Goods'!$A:$D,4,)</f>
        <v/>
      </c>
    </row>
    <row r="17">
      <c r="B17" s="56" t="n">
        <v>43344</v>
      </c>
      <c r="C17" s="52">
        <f>VLOOKUP(B17,'Retail Sales'!A:D,3,)</f>
        <v/>
      </c>
      <c r="D17" s="53">
        <f>VLOOKUP(B17,'Retail Sales'!A:D,4,)</f>
        <v/>
      </c>
      <c r="E17" s="52">
        <f>VLOOKUP(B17,'Retail Sales ex Auto'!$A:$D,3,)</f>
        <v/>
      </c>
      <c r="F17" s="53">
        <f>VLOOKUP(B17,'Retail Sales ex Auto'!$A:$D,4,)</f>
        <v/>
      </c>
      <c r="G17" s="52">
        <f>VLOOKUP(B17,'Retail Sales ex Auto and Gas'!$A:$D,3,)</f>
        <v/>
      </c>
      <c r="H17" s="53">
        <f>VLOOKUP(B17,'Retail Sales ex Auto and Gas'!$A:$D,4,)</f>
        <v/>
      </c>
      <c r="I17" s="52">
        <f>VLOOKUP(B17,Motor!$A:$D,3,)</f>
        <v/>
      </c>
      <c r="J17" s="53">
        <f>VLOOKUP(B17,Motor!$A:$D,4,)</f>
        <v/>
      </c>
      <c r="K17" s="52">
        <f>VLOOKUP(B17,'Non Store Retail'!$A:$D,3,)</f>
        <v/>
      </c>
      <c r="L17" s="53">
        <f>VLOOKUP(B17,'Non Store Retail'!$A:$D,4,)</f>
        <v/>
      </c>
      <c r="M17" s="52">
        <f>VLOOKUP(B17,'Food and Beverage'!$A:$D,3,)</f>
        <v/>
      </c>
      <c r="N17" s="52">
        <f>VLOOKUP(B17,'Food and Beverage'!$A:$D,4,)</f>
        <v/>
      </c>
      <c r="O17" s="52">
        <f>VLOOKUP(B17,'Food Services'!$A:$D,3,)</f>
        <v/>
      </c>
      <c r="P17" s="53">
        <f>VLOOKUP(B17,'Food Services'!$A:$D,4,)</f>
        <v/>
      </c>
      <c r="Q17" s="52">
        <f>VLOOKUP(B17,'General Merchandising'!$A:$D,3,)</f>
        <v/>
      </c>
      <c r="R17" s="53">
        <f>VLOOKUP(B17,'General Merchandising'!$A:$D,4,)</f>
        <v/>
      </c>
      <c r="S17" s="52">
        <f>VLOOKUP(B17,'Gas Station'!$A:$D,3,)</f>
        <v/>
      </c>
      <c r="T17" s="53">
        <f>VLOOKUP(B17,'Gas Station'!$A:$D,4,)</f>
        <v/>
      </c>
      <c r="U17" s="52">
        <f>VLOOKUP(B17,Housing!$A:$D,3,)</f>
        <v/>
      </c>
      <c r="V17" s="53">
        <f>VLOOKUP(B17,Housing!$A:$D,4,)</f>
        <v/>
      </c>
      <c r="W17" s="52">
        <f>VLOOKUP(B17,Health!$A:$D,3,)</f>
        <v/>
      </c>
      <c r="X17" s="53">
        <f>VLOOKUP(B17,Health!$A:$D,4,)</f>
        <v/>
      </c>
      <c r="Y17" s="52">
        <f>VLOOKUP(B17,'Clothing and clothing access'!$A:$D,3,)</f>
        <v/>
      </c>
      <c r="Z17" s="53">
        <f>VLOOKUP(B17,'Clothing and clothing access'!$A:$D,4,)</f>
        <v/>
      </c>
      <c r="AA17" s="52">
        <f>VLOOKUP(B17,'Furniture Home'!$A:$D,3,)</f>
        <v/>
      </c>
      <c r="AB17" s="53">
        <f>VLOOKUP(B17,'Furniture Home'!$A:$D,4,)</f>
        <v/>
      </c>
      <c r="AC17" s="52">
        <f>VLOOKUP(B17,'Miscellaneous stores retailers'!$A:$D,3,)</f>
        <v/>
      </c>
      <c r="AD17" s="53">
        <f>VLOOKUP(B17,'Miscellaneous stores retailers'!$A:$D,4,)</f>
        <v/>
      </c>
      <c r="AE17" s="52">
        <f>VLOOKUP(B17,'Sporting Goods'!$A:$D,3,)</f>
        <v/>
      </c>
      <c r="AF17" s="53">
        <f>VLOOKUP(B17,'Sporting Goods'!$A:$D,4,)</f>
        <v/>
      </c>
    </row>
    <row r="18">
      <c r="B18" s="56" t="n">
        <v>43374</v>
      </c>
      <c r="C18" s="52">
        <f>VLOOKUP(B18,'Retail Sales'!A:D,3,)</f>
        <v/>
      </c>
      <c r="D18" s="53">
        <f>VLOOKUP(B18,'Retail Sales'!A:D,4,)</f>
        <v/>
      </c>
      <c r="E18" s="52">
        <f>VLOOKUP(B18,'Retail Sales ex Auto'!$A:$D,3,)</f>
        <v/>
      </c>
      <c r="F18" s="53">
        <f>VLOOKUP(B18,'Retail Sales ex Auto'!$A:$D,4,)</f>
        <v/>
      </c>
      <c r="G18" s="52">
        <f>VLOOKUP(B18,'Retail Sales ex Auto and Gas'!$A:$D,3,)</f>
        <v/>
      </c>
      <c r="H18" s="53">
        <f>VLOOKUP(B18,'Retail Sales ex Auto and Gas'!$A:$D,4,)</f>
        <v/>
      </c>
      <c r="I18" s="52">
        <f>VLOOKUP(B18,Motor!$A:$D,3,)</f>
        <v/>
      </c>
      <c r="J18" s="53">
        <f>VLOOKUP(B18,Motor!$A:$D,4,)</f>
        <v/>
      </c>
      <c r="K18" s="52">
        <f>VLOOKUP(B18,'Non Store Retail'!$A:$D,3,)</f>
        <v/>
      </c>
      <c r="L18" s="53">
        <f>VLOOKUP(B18,'Non Store Retail'!$A:$D,4,)</f>
        <v/>
      </c>
      <c r="M18" s="52">
        <f>VLOOKUP(B18,'Food and Beverage'!$A:$D,3,)</f>
        <v/>
      </c>
      <c r="N18" s="52">
        <f>VLOOKUP(B18,'Food and Beverage'!$A:$D,4,)</f>
        <v/>
      </c>
      <c r="O18" s="52">
        <f>VLOOKUP(B18,'Food Services'!$A:$D,3,)</f>
        <v/>
      </c>
      <c r="P18" s="53">
        <f>VLOOKUP(B18,'Food Services'!$A:$D,4,)</f>
        <v/>
      </c>
      <c r="Q18" s="52">
        <f>VLOOKUP(B18,'General Merchandising'!$A:$D,3,)</f>
        <v/>
      </c>
      <c r="R18" s="53">
        <f>VLOOKUP(B18,'General Merchandising'!$A:$D,4,)</f>
        <v/>
      </c>
      <c r="S18" s="52">
        <f>VLOOKUP(B18,'Gas Station'!$A:$D,3,)</f>
        <v/>
      </c>
      <c r="T18" s="53">
        <f>VLOOKUP(B18,'Gas Station'!$A:$D,4,)</f>
        <v/>
      </c>
      <c r="U18" s="52">
        <f>VLOOKUP(B18,Housing!$A:$D,3,)</f>
        <v/>
      </c>
      <c r="V18" s="53">
        <f>VLOOKUP(B18,Housing!$A:$D,4,)</f>
        <v/>
      </c>
      <c r="W18" s="52">
        <f>VLOOKUP(B18,Health!$A:$D,3,)</f>
        <v/>
      </c>
      <c r="X18" s="53">
        <f>VLOOKUP(B18,Health!$A:$D,4,)</f>
        <v/>
      </c>
      <c r="Y18" s="52">
        <f>VLOOKUP(B18,'Clothing and clothing access'!$A:$D,3,)</f>
        <v/>
      </c>
      <c r="Z18" s="53">
        <f>VLOOKUP(B18,'Clothing and clothing access'!$A:$D,4,)</f>
        <v/>
      </c>
      <c r="AA18" s="52">
        <f>VLOOKUP(B18,'Furniture Home'!$A:$D,3,)</f>
        <v/>
      </c>
      <c r="AB18" s="53">
        <f>VLOOKUP(B18,'Furniture Home'!$A:$D,4,)</f>
        <v/>
      </c>
      <c r="AC18" s="52">
        <f>VLOOKUP(B18,'Miscellaneous stores retailers'!$A:$D,3,)</f>
        <v/>
      </c>
      <c r="AD18" s="53">
        <f>VLOOKUP(B18,'Miscellaneous stores retailers'!$A:$D,4,)</f>
        <v/>
      </c>
      <c r="AE18" s="52">
        <f>VLOOKUP(B18,'Sporting Goods'!$A:$D,3,)</f>
        <v/>
      </c>
      <c r="AF18" s="53">
        <f>VLOOKUP(B18,'Sporting Goods'!$A:$D,4,)</f>
        <v/>
      </c>
    </row>
    <row r="19">
      <c r="B19" s="56" t="n">
        <v>43405</v>
      </c>
      <c r="C19" s="52">
        <f>VLOOKUP(B19,'Retail Sales'!A:D,3,)</f>
        <v/>
      </c>
      <c r="D19" s="53">
        <f>VLOOKUP(B19,'Retail Sales'!A:D,4,)</f>
        <v/>
      </c>
      <c r="E19" s="52">
        <f>VLOOKUP(B19,'Retail Sales ex Auto'!$A:$D,3,)</f>
        <v/>
      </c>
      <c r="F19" s="53">
        <f>VLOOKUP(B19,'Retail Sales ex Auto'!$A:$D,4,)</f>
        <v/>
      </c>
      <c r="G19" s="52">
        <f>VLOOKUP(B19,'Retail Sales ex Auto and Gas'!$A:$D,3,)</f>
        <v/>
      </c>
      <c r="H19" s="53">
        <f>VLOOKUP(B19,'Retail Sales ex Auto and Gas'!$A:$D,4,)</f>
        <v/>
      </c>
      <c r="I19" s="52">
        <f>VLOOKUP(B19,Motor!$A:$D,3,)</f>
        <v/>
      </c>
      <c r="J19" s="53">
        <f>VLOOKUP(B19,Motor!$A:$D,4,)</f>
        <v/>
      </c>
      <c r="K19" s="52">
        <f>VLOOKUP(B19,'Non Store Retail'!$A:$D,3,)</f>
        <v/>
      </c>
      <c r="L19" s="53">
        <f>VLOOKUP(B19,'Non Store Retail'!$A:$D,4,)</f>
        <v/>
      </c>
      <c r="M19" s="52">
        <f>VLOOKUP(B19,'Food and Beverage'!$A:$D,3,)</f>
        <v/>
      </c>
      <c r="N19" s="52">
        <f>VLOOKUP(B19,'Food and Beverage'!$A:$D,4,)</f>
        <v/>
      </c>
      <c r="O19" s="52">
        <f>VLOOKUP(B19,'Food Services'!$A:$D,3,)</f>
        <v/>
      </c>
      <c r="P19" s="53">
        <f>VLOOKUP(B19,'Food Services'!$A:$D,4,)</f>
        <v/>
      </c>
      <c r="Q19" s="52">
        <f>VLOOKUP(B19,'General Merchandising'!$A:$D,3,)</f>
        <v/>
      </c>
      <c r="R19" s="53">
        <f>VLOOKUP(B19,'General Merchandising'!$A:$D,4,)</f>
        <v/>
      </c>
      <c r="S19" s="52">
        <f>VLOOKUP(B19,'Gas Station'!$A:$D,3,)</f>
        <v/>
      </c>
      <c r="T19" s="53">
        <f>VLOOKUP(B19,'Gas Station'!$A:$D,4,)</f>
        <v/>
      </c>
      <c r="U19" s="52">
        <f>VLOOKUP(B19,Housing!$A:$D,3,)</f>
        <v/>
      </c>
      <c r="V19" s="53">
        <f>VLOOKUP(B19,Housing!$A:$D,4,)</f>
        <v/>
      </c>
      <c r="W19" s="52">
        <f>VLOOKUP(B19,Health!$A:$D,3,)</f>
        <v/>
      </c>
      <c r="X19" s="53">
        <f>VLOOKUP(B19,Health!$A:$D,4,)</f>
        <v/>
      </c>
      <c r="Y19" s="52">
        <f>VLOOKUP(B19,'Clothing and clothing access'!$A:$D,3,)</f>
        <v/>
      </c>
      <c r="Z19" s="53">
        <f>VLOOKUP(B19,'Clothing and clothing access'!$A:$D,4,)</f>
        <v/>
      </c>
      <c r="AA19" s="52">
        <f>VLOOKUP(B19,'Furniture Home'!$A:$D,3,)</f>
        <v/>
      </c>
      <c r="AB19" s="53">
        <f>VLOOKUP(B19,'Furniture Home'!$A:$D,4,)</f>
        <v/>
      </c>
      <c r="AC19" s="52">
        <f>VLOOKUP(B19,'Miscellaneous stores retailers'!$A:$D,3,)</f>
        <v/>
      </c>
      <c r="AD19" s="53">
        <f>VLOOKUP(B19,'Miscellaneous stores retailers'!$A:$D,4,)</f>
        <v/>
      </c>
      <c r="AE19" s="52">
        <f>VLOOKUP(B19,'Sporting Goods'!$A:$D,3,)</f>
        <v/>
      </c>
      <c r="AF19" s="53">
        <f>VLOOKUP(B19,'Sporting Goods'!$A:$D,4,)</f>
        <v/>
      </c>
    </row>
    <row r="20">
      <c r="B20" s="56" t="n">
        <v>43435</v>
      </c>
      <c r="C20" s="52">
        <f>VLOOKUP(B20,'Retail Sales'!A:D,3,)</f>
        <v/>
      </c>
      <c r="D20" s="53">
        <f>VLOOKUP(B20,'Retail Sales'!A:D,4,)</f>
        <v/>
      </c>
      <c r="E20" s="52">
        <f>VLOOKUP(B20,'Retail Sales ex Auto'!$A:$D,3,)</f>
        <v/>
      </c>
      <c r="F20" s="53">
        <f>VLOOKUP(B20,'Retail Sales ex Auto'!$A:$D,4,)</f>
        <v/>
      </c>
      <c r="G20" s="52">
        <f>VLOOKUP(B20,'Retail Sales ex Auto and Gas'!$A:$D,3,)</f>
        <v/>
      </c>
      <c r="H20" s="53">
        <f>VLOOKUP(B20,'Retail Sales ex Auto and Gas'!$A:$D,4,)</f>
        <v/>
      </c>
      <c r="I20" s="52">
        <f>VLOOKUP(B20,Motor!$A:$D,3,)</f>
        <v/>
      </c>
      <c r="J20" s="53">
        <f>VLOOKUP(B20,Motor!$A:$D,4,)</f>
        <v/>
      </c>
      <c r="K20" s="52">
        <f>VLOOKUP(B20,'Non Store Retail'!$A:$D,3,)</f>
        <v/>
      </c>
      <c r="L20" s="53">
        <f>VLOOKUP(B20,'Non Store Retail'!$A:$D,4,)</f>
        <v/>
      </c>
      <c r="M20" s="52">
        <f>VLOOKUP(B20,'Food and Beverage'!$A:$D,3,)</f>
        <v/>
      </c>
      <c r="N20" s="52">
        <f>VLOOKUP(B20,'Food and Beverage'!$A:$D,4,)</f>
        <v/>
      </c>
      <c r="O20" s="52">
        <f>VLOOKUP(B20,'Food Services'!$A:$D,3,)</f>
        <v/>
      </c>
      <c r="P20" s="53">
        <f>VLOOKUP(B20,'Food Services'!$A:$D,4,)</f>
        <v/>
      </c>
      <c r="Q20" s="52">
        <f>VLOOKUP(B20,'General Merchandising'!$A:$D,3,)</f>
        <v/>
      </c>
      <c r="R20" s="53">
        <f>VLOOKUP(B20,'General Merchandising'!$A:$D,4,)</f>
        <v/>
      </c>
      <c r="S20" s="52">
        <f>VLOOKUP(B20,'Gas Station'!$A:$D,3,)</f>
        <v/>
      </c>
      <c r="T20" s="53">
        <f>VLOOKUP(B20,'Gas Station'!$A:$D,4,)</f>
        <v/>
      </c>
      <c r="U20" s="52">
        <f>VLOOKUP(B20,Housing!$A:$D,3,)</f>
        <v/>
      </c>
      <c r="V20" s="53">
        <f>VLOOKUP(B20,Housing!$A:$D,4,)</f>
        <v/>
      </c>
      <c r="W20" s="52">
        <f>VLOOKUP(B20,Health!$A:$D,3,)</f>
        <v/>
      </c>
      <c r="X20" s="53">
        <f>VLOOKUP(B20,Health!$A:$D,4,)</f>
        <v/>
      </c>
      <c r="Y20" s="52">
        <f>VLOOKUP(B20,'Clothing and clothing access'!$A:$D,3,)</f>
        <v/>
      </c>
      <c r="Z20" s="53">
        <f>VLOOKUP(B20,'Clothing and clothing access'!$A:$D,4,)</f>
        <v/>
      </c>
      <c r="AA20" s="52">
        <f>VLOOKUP(B20,'Furniture Home'!$A:$D,3,)</f>
        <v/>
      </c>
      <c r="AB20" s="53">
        <f>VLOOKUP(B20,'Furniture Home'!$A:$D,4,)</f>
        <v/>
      </c>
      <c r="AC20" s="52">
        <f>VLOOKUP(B20,'Miscellaneous stores retailers'!$A:$D,3,)</f>
        <v/>
      </c>
      <c r="AD20" s="53">
        <f>VLOOKUP(B20,'Miscellaneous stores retailers'!$A:$D,4,)</f>
        <v/>
      </c>
      <c r="AE20" s="52">
        <f>VLOOKUP(B20,'Sporting Goods'!$A:$D,3,)</f>
        <v/>
      </c>
      <c r="AF20" s="53">
        <f>VLOOKUP(B20,'Sporting Goods'!$A:$D,4,)</f>
        <v/>
      </c>
    </row>
    <row r="21">
      <c r="B21" s="56" t="n">
        <v>43466</v>
      </c>
      <c r="C21" s="52">
        <f>VLOOKUP(B21,'Retail Sales'!A:D,3,)</f>
        <v/>
      </c>
      <c r="D21" s="53">
        <f>VLOOKUP(B21,'Retail Sales'!A:D,4,)</f>
        <v/>
      </c>
      <c r="E21" s="52">
        <f>VLOOKUP(B21,'Retail Sales ex Auto'!$A:$D,3,)</f>
        <v/>
      </c>
      <c r="F21" s="53">
        <f>VLOOKUP(B21,'Retail Sales ex Auto'!$A:$D,4,)</f>
        <v/>
      </c>
      <c r="G21" s="52">
        <f>VLOOKUP(B21,'Retail Sales ex Auto and Gas'!$A:$D,3,)</f>
        <v/>
      </c>
      <c r="H21" s="53">
        <f>VLOOKUP(B21,'Retail Sales ex Auto and Gas'!$A:$D,4,)</f>
        <v/>
      </c>
      <c r="I21" s="52">
        <f>VLOOKUP(B21,Motor!$A:$D,3,)</f>
        <v/>
      </c>
      <c r="J21" s="53">
        <f>VLOOKUP(B21,Motor!$A:$D,4,)</f>
        <v/>
      </c>
      <c r="K21" s="52">
        <f>VLOOKUP(B21,'Non Store Retail'!$A:$D,3,)</f>
        <v/>
      </c>
      <c r="L21" s="53">
        <f>VLOOKUP(B21,'Non Store Retail'!$A:$D,4,)</f>
        <v/>
      </c>
      <c r="M21" s="52">
        <f>VLOOKUP(B21,'Food and Beverage'!$A:$D,3,)</f>
        <v/>
      </c>
      <c r="N21" s="52">
        <f>VLOOKUP(B21,'Food and Beverage'!$A:$D,4,)</f>
        <v/>
      </c>
      <c r="O21" s="52">
        <f>VLOOKUP(B21,'Food Services'!$A:$D,3,)</f>
        <v/>
      </c>
      <c r="P21" s="53">
        <f>VLOOKUP(B21,'Food Services'!$A:$D,4,)</f>
        <v/>
      </c>
      <c r="Q21" s="52">
        <f>VLOOKUP(B21,'General Merchandising'!$A:$D,3,)</f>
        <v/>
      </c>
      <c r="R21" s="53">
        <f>VLOOKUP(B21,'General Merchandising'!$A:$D,4,)</f>
        <v/>
      </c>
      <c r="S21" s="52">
        <f>VLOOKUP(B21,'Gas Station'!$A:$D,3,)</f>
        <v/>
      </c>
      <c r="T21" s="53">
        <f>VLOOKUP(B21,'Gas Station'!$A:$D,4,)</f>
        <v/>
      </c>
      <c r="U21" s="52">
        <f>VLOOKUP(B21,Housing!$A:$D,3,)</f>
        <v/>
      </c>
      <c r="V21" s="53">
        <f>VLOOKUP(B21,Housing!$A:$D,4,)</f>
        <v/>
      </c>
      <c r="W21" s="52">
        <f>VLOOKUP(B21,Health!$A:$D,3,)</f>
        <v/>
      </c>
      <c r="X21" s="53">
        <f>VLOOKUP(B21,Health!$A:$D,4,)</f>
        <v/>
      </c>
      <c r="Y21" s="52">
        <f>VLOOKUP(B21,'Clothing and clothing access'!$A:$D,3,)</f>
        <v/>
      </c>
      <c r="Z21" s="53">
        <f>VLOOKUP(B21,'Clothing and clothing access'!$A:$D,4,)</f>
        <v/>
      </c>
      <c r="AA21" s="52">
        <f>VLOOKUP(B21,'Furniture Home'!$A:$D,3,)</f>
        <v/>
      </c>
      <c r="AB21" s="53">
        <f>VLOOKUP(B21,'Furniture Home'!$A:$D,4,)</f>
        <v/>
      </c>
      <c r="AC21" s="52">
        <f>VLOOKUP(B21,'Miscellaneous stores retailers'!$A:$D,3,)</f>
        <v/>
      </c>
      <c r="AD21" s="53">
        <f>VLOOKUP(B21,'Miscellaneous stores retailers'!$A:$D,4,)</f>
        <v/>
      </c>
      <c r="AE21" s="52">
        <f>VLOOKUP(B21,'Sporting Goods'!$A:$D,3,)</f>
        <v/>
      </c>
      <c r="AF21" s="53">
        <f>VLOOKUP(B21,'Sporting Goods'!$A:$D,4,)</f>
        <v/>
      </c>
    </row>
    <row r="22">
      <c r="B22" s="56" t="n">
        <v>43497</v>
      </c>
      <c r="C22" s="52">
        <f>VLOOKUP(B22,'Retail Sales'!A:D,3,)</f>
        <v/>
      </c>
      <c r="D22" s="53">
        <f>VLOOKUP(B22,'Retail Sales'!A:D,4,)</f>
        <v/>
      </c>
      <c r="E22" s="52">
        <f>VLOOKUP(B22,'Retail Sales ex Auto'!$A:$D,3,)</f>
        <v/>
      </c>
      <c r="F22" s="53">
        <f>VLOOKUP(B22,'Retail Sales ex Auto'!$A:$D,4,)</f>
        <v/>
      </c>
      <c r="G22" s="52">
        <f>VLOOKUP(B22,'Retail Sales ex Auto and Gas'!$A:$D,3,)</f>
        <v/>
      </c>
      <c r="H22" s="53">
        <f>VLOOKUP(B22,'Retail Sales ex Auto and Gas'!$A:$D,4,)</f>
        <v/>
      </c>
      <c r="I22" s="52">
        <f>VLOOKUP(B22,Motor!$A:$D,3,)</f>
        <v/>
      </c>
      <c r="J22" s="53">
        <f>VLOOKUP(B22,Motor!$A:$D,4,)</f>
        <v/>
      </c>
      <c r="K22" s="52">
        <f>VLOOKUP(B22,'Non Store Retail'!$A:$D,3,)</f>
        <v/>
      </c>
      <c r="L22" s="53">
        <f>VLOOKUP(B22,'Non Store Retail'!$A:$D,4,)</f>
        <v/>
      </c>
      <c r="M22" s="52">
        <f>VLOOKUP(B22,'Food and Beverage'!$A:$D,3,)</f>
        <v/>
      </c>
      <c r="N22" s="52">
        <f>VLOOKUP(B22,'Food and Beverage'!$A:$D,4,)</f>
        <v/>
      </c>
      <c r="O22" s="52">
        <f>VLOOKUP(B22,'Food Services'!$A:$D,3,)</f>
        <v/>
      </c>
      <c r="P22" s="53">
        <f>VLOOKUP(B22,'Food Services'!$A:$D,4,)</f>
        <v/>
      </c>
      <c r="Q22" s="52">
        <f>VLOOKUP(B22,'General Merchandising'!$A:$D,3,)</f>
        <v/>
      </c>
      <c r="R22" s="53">
        <f>VLOOKUP(B22,'General Merchandising'!$A:$D,4,)</f>
        <v/>
      </c>
      <c r="S22" s="52">
        <f>VLOOKUP(B22,'Gas Station'!$A:$D,3,)</f>
        <v/>
      </c>
      <c r="T22" s="53">
        <f>VLOOKUP(B22,'Gas Station'!$A:$D,4,)</f>
        <v/>
      </c>
      <c r="U22" s="52">
        <f>VLOOKUP(B22,Housing!$A:$D,3,)</f>
        <v/>
      </c>
      <c r="V22" s="53">
        <f>VLOOKUP(B22,Housing!$A:$D,4,)</f>
        <v/>
      </c>
      <c r="W22" s="52">
        <f>VLOOKUP(B22,Health!$A:$D,3,)</f>
        <v/>
      </c>
      <c r="X22" s="53">
        <f>VLOOKUP(B22,Health!$A:$D,4,)</f>
        <v/>
      </c>
      <c r="Y22" s="52">
        <f>VLOOKUP(B22,'Clothing and clothing access'!$A:$D,3,)</f>
        <v/>
      </c>
      <c r="Z22" s="53">
        <f>VLOOKUP(B22,'Clothing and clothing access'!$A:$D,4,)</f>
        <v/>
      </c>
      <c r="AA22" s="52">
        <f>VLOOKUP(B22,'Furniture Home'!$A:$D,3,)</f>
        <v/>
      </c>
      <c r="AB22" s="53">
        <f>VLOOKUP(B22,'Furniture Home'!$A:$D,4,)</f>
        <v/>
      </c>
      <c r="AC22" s="52">
        <f>VLOOKUP(B22,'Miscellaneous stores retailers'!$A:$D,3,)</f>
        <v/>
      </c>
      <c r="AD22" s="53">
        <f>VLOOKUP(B22,'Miscellaneous stores retailers'!$A:$D,4,)</f>
        <v/>
      </c>
      <c r="AE22" s="52">
        <f>VLOOKUP(B22,'Sporting Goods'!$A:$D,3,)</f>
        <v/>
      </c>
      <c r="AF22" s="53">
        <f>VLOOKUP(B22,'Sporting Goods'!$A:$D,4,)</f>
        <v/>
      </c>
    </row>
    <row r="23">
      <c r="B23" s="56" t="n">
        <v>43525</v>
      </c>
      <c r="C23" s="52">
        <f>VLOOKUP(B23,'Retail Sales'!A:D,3,)</f>
        <v/>
      </c>
      <c r="D23" s="53">
        <f>VLOOKUP(B23,'Retail Sales'!A:D,4,)</f>
        <v/>
      </c>
      <c r="E23" s="52">
        <f>VLOOKUP(B23,'Retail Sales ex Auto'!$A:$D,3,)</f>
        <v/>
      </c>
      <c r="F23" s="53">
        <f>VLOOKUP(B23,'Retail Sales ex Auto'!$A:$D,4,)</f>
        <v/>
      </c>
      <c r="G23" s="52">
        <f>VLOOKUP(B23,'Retail Sales ex Auto and Gas'!$A:$D,3,)</f>
        <v/>
      </c>
      <c r="H23" s="53">
        <f>VLOOKUP(B23,'Retail Sales ex Auto and Gas'!$A:$D,4,)</f>
        <v/>
      </c>
      <c r="I23" s="52">
        <f>VLOOKUP(B23,Motor!$A:$D,3,)</f>
        <v/>
      </c>
      <c r="J23" s="53">
        <f>VLOOKUP(B23,Motor!$A:$D,4,)</f>
        <v/>
      </c>
      <c r="K23" s="52">
        <f>VLOOKUP(B23,'Non Store Retail'!$A:$D,3,)</f>
        <v/>
      </c>
      <c r="L23" s="53">
        <f>VLOOKUP(B23,'Non Store Retail'!$A:$D,4,)</f>
        <v/>
      </c>
      <c r="M23" s="52">
        <f>VLOOKUP(B23,'Food and Beverage'!$A:$D,3,)</f>
        <v/>
      </c>
      <c r="N23" s="52">
        <f>VLOOKUP(B23,'Food and Beverage'!$A:$D,4,)</f>
        <v/>
      </c>
      <c r="O23" s="52">
        <f>VLOOKUP(B23,'Food Services'!$A:$D,3,)</f>
        <v/>
      </c>
      <c r="P23" s="53">
        <f>VLOOKUP(B23,'Food Services'!$A:$D,4,)</f>
        <v/>
      </c>
      <c r="Q23" s="52">
        <f>VLOOKUP(B23,'General Merchandising'!$A:$D,3,)</f>
        <v/>
      </c>
      <c r="R23" s="53">
        <f>VLOOKUP(B23,'General Merchandising'!$A:$D,4,)</f>
        <v/>
      </c>
      <c r="S23" s="52">
        <f>VLOOKUP(B23,'Gas Station'!$A:$D,3,)</f>
        <v/>
      </c>
      <c r="T23" s="53">
        <f>VLOOKUP(B23,'Gas Station'!$A:$D,4,)</f>
        <v/>
      </c>
      <c r="U23" s="52">
        <f>VLOOKUP(B23,Housing!$A:$D,3,)</f>
        <v/>
      </c>
      <c r="V23" s="53">
        <f>VLOOKUP(B23,Housing!$A:$D,4,)</f>
        <v/>
      </c>
      <c r="W23" s="52">
        <f>VLOOKUP(B23,Health!$A:$D,3,)</f>
        <v/>
      </c>
      <c r="X23" s="53">
        <f>VLOOKUP(B23,Health!$A:$D,4,)</f>
        <v/>
      </c>
      <c r="Y23" s="52">
        <f>VLOOKUP(B23,'Clothing and clothing access'!$A:$D,3,)</f>
        <v/>
      </c>
      <c r="Z23" s="53">
        <f>VLOOKUP(B23,'Clothing and clothing access'!$A:$D,4,)</f>
        <v/>
      </c>
      <c r="AA23" s="52">
        <f>VLOOKUP(B23,'Furniture Home'!$A:$D,3,)</f>
        <v/>
      </c>
      <c r="AB23" s="53">
        <f>VLOOKUP(B23,'Furniture Home'!$A:$D,4,)</f>
        <v/>
      </c>
      <c r="AC23" s="52">
        <f>VLOOKUP(B23,'Miscellaneous stores retailers'!$A:$D,3,)</f>
        <v/>
      </c>
      <c r="AD23" s="53">
        <f>VLOOKUP(B23,'Miscellaneous stores retailers'!$A:$D,4,)</f>
        <v/>
      </c>
      <c r="AE23" s="52">
        <f>VLOOKUP(B23,'Sporting Goods'!$A:$D,3,)</f>
        <v/>
      </c>
      <c r="AF23" s="53">
        <f>VLOOKUP(B23,'Sporting Goods'!$A:$D,4,)</f>
        <v/>
      </c>
    </row>
    <row r="24">
      <c r="B24" s="56" t="n">
        <v>43556</v>
      </c>
      <c r="C24" s="52">
        <f>VLOOKUP(B24,'Retail Sales'!A:D,3,)</f>
        <v/>
      </c>
      <c r="D24" s="53">
        <f>VLOOKUP(B24,'Retail Sales'!A:D,4,)</f>
        <v/>
      </c>
      <c r="E24" s="52">
        <f>VLOOKUP(B24,'Retail Sales ex Auto'!$A:$D,3,)</f>
        <v/>
      </c>
      <c r="F24" s="53">
        <f>VLOOKUP(B24,'Retail Sales ex Auto'!$A:$D,4,)</f>
        <v/>
      </c>
      <c r="G24" s="52">
        <f>VLOOKUP(B24,'Retail Sales ex Auto and Gas'!$A:$D,3,)</f>
        <v/>
      </c>
      <c r="H24" s="53">
        <f>VLOOKUP(B24,'Retail Sales ex Auto and Gas'!$A:$D,4,)</f>
        <v/>
      </c>
      <c r="I24" s="52">
        <f>VLOOKUP(B24,Motor!$A:$D,3,)</f>
        <v/>
      </c>
      <c r="J24" s="53">
        <f>VLOOKUP(B24,Motor!$A:$D,4,)</f>
        <v/>
      </c>
      <c r="K24" s="52">
        <f>VLOOKUP(B24,'Non Store Retail'!$A:$D,3,)</f>
        <v/>
      </c>
      <c r="L24" s="53">
        <f>VLOOKUP(B24,'Non Store Retail'!$A:$D,4,)</f>
        <v/>
      </c>
      <c r="M24" s="52">
        <f>VLOOKUP(B24,'Food and Beverage'!$A:$D,3,)</f>
        <v/>
      </c>
      <c r="N24" s="52">
        <f>VLOOKUP(B24,'Food and Beverage'!$A:$D,4,)</f>
        <v/>
      </c>
      <c r="O24" s="52">
        <f>VLOOKUP(B24,'Food Services'!$A:$D,3,)</f>
        <v/>
      </c>
      <c r="P24" s="53">
        <f>VLOOKUP(B24,'Food Services'!$A:$D,4,)</f>
        <v/>
      </c>
      <c r="Q24" s="52">
        <f>VLOOKUP(B24,'General Merchandising'!$A:$D,3,)</f>
        <v/>
      </c>
      <c r="R24" s="53">
        <f>VLOOKUP(B24,'General Merchandising'!$A:$D,4,)</f>
        <v/>
      </c>
      <c r="S24" s="52">
        <f>VLOOKUP(B24,'Gas Station'!$A:$D,3,)</f>
        <v/>
      </c>
      <c r="T24" s="53">
        <f>VLOOKUP(B24,'Gas Station'!$A:$D,4,)</f>
        <v/>
      </c>
      <c r="U24" s="52">
        <f>VLOOKUP(B24,Housing!$A:$D,3,)</f>
        <v/>
      </c>
      <c r="V24" s="53">
        <f>VLOOKUP(B24,Housing!$A:$D,4,)</f>
        <v/>
      </c>
      <c r="W24" s="52">
        <f>VLOOKUP(B24,Health!$A:$D,3,)</f>
        <v/>
      </c>
      <c r="X24" s="53">
        <f>VLOOKUP(B24,Health!$A:$D,4,)</f>
        <v/>
      </c>
      <c r="Y24" s="52">
        <f>VLOOKUP(B24,'Clothing and clothing access'!$A:$D,3,)</f>
        <v/>
      </c>
      <c r="Z24" s="53">
        <f>VLOOKUP(B24,'Clothing and clothing access'!$A:$D,4,)</f>
        <v/>
      </c>
      <c r="AA24" s="52">
        <f>VLOOKUP(B24,'Furniture Home'!$A:$D,3,)</f>
        <v/>
      </c>
      <c r="AB24" s="53">
        <f>VLOOKUP(B24,'Furniture Home'!$A:$D,4,)</f>
        <v/>
      </c>
      <c r="AC24" s="52">
        <f>VLOOKUP(B24,'Miscellaneous stores retailers'!$A:$D,3,)</f>
        <v/>
      </c>
      <c r="AD24" s="53">
        <f>VLOOKUP(B24,'Miscellaneous stores retailers'!$A:$D,4,)</f>
        <v/>
      </c>
      <c r="AE24" s="52">
        <f>VLOOKUP(B24,'Sporting Goods'!$A:$D,3,)</f>
        <v/>
      </c>
      <c r="AF24" s="53">
        <f>VLOOKUP(B24,'Sporting Goods'!$A:$D,4,)</f>
        <v/>
      </c>
    </row>
    <row r="25">
      <c r="B25" s="56" t="n">
        <v>43586</v>
      </c>
      <c r="C25" s="52">
        <f>VLOOKUP(B25,'Retail Sales'!A:D,3,)</f>
        <v/>
      </c>
      <c r="D25" s="53">
        <f>VLOOKUP(B25,'Retail Sales'!A:D,4,)</f>
        <v/>
      </c>
      <c r="E25" s="52">
        <f>VLOOKUP(B25,'Retail Sales ex Auto'!$A:$D,3,)</f>
        <v/>
      </c>
      <c r="F25" s="53">
        <f>VLOOKUP(B25,'Retail Sales ex Auto'!$A:$D,4,)</f>
        <v/>
      </c>
      <c r="G25" s="52">
        <f>VLOOKUP(B25,'Retail Sales ex Auto and Gas'!$A:$D,3,)</f>
        <v/>
      </c>
      <c r="H25" s="53">
        <f>VLOOKUP(B25,'Retail Sales ex Auto and Gas'!$A:$D,4,)</f>
        <v/>
      </c>
      <c r="I25" s="52">
        <f>VLOOKUP(B25,Motor!$A:$D,3,)</f>
        <v/>
      </c>
      <c r="J25" s="53">
        <f>VLOOKUP(B25,Motor!$A:$D,4,)</f>
        <v/>
      </c>
      <c r="K25" s="52">
        <f>VLOOKUP(B25,'Non Store Retail'!$A:$D,3,)</f>
        <v/>
      </c>
      <c r="L25" s="53">
        <f>VLOOKUP(B25,'Non Store Retail'!$A:$D,4,)</f>
        <v/>
      </c>
      <c r="M25" s="52">
        <f>VLOOKUP(B25,'Food and Beverage'!$A:$D,3,)</f>
        <v/>
      </c>
      <c r="N25" s="52">
        <f>VLOOKUP(B25,'Food and Beverage'!$A:$D,4,)</f>
        <v/>
      </c>
      <c r="O25" s="52">
        <f>VLOOKUP(B25,'Food Services'!$A:$D,3,)</f>
        <v/>
      </c>
      <c r="P25" s="53">
        <f>VLOOKUP(B25,'Food Services'!$A:$D,4,)</f>
        <v/>
      </c>
      <c r="Q25" s="52">
        <f>VLOOKUP(B25,'General Merchandising'!$A:$D,3,)</f>
        <v/>
      </c>
      <c r="R25" s="53">
        <f>VLOOKUP(B25,'General Merchandising'!$A:$D,4,)</f>
        <v/>
      </c>
      <c r="S25" s="52">
        <f>VLOOKUP(B25,'Gas Station'!$A:$D,3,)</f>
        <v/>
      </c>
      <c r="T25" s="53">
        <f>VLOOKUP(B25,'Gas Station'!$A:$D,4,)</f>
        <v/>
      </c>
      <c r="U25" s="52">
        <f>VLOOKUP(B25,Housing!$A:$D,3,)</f>
        <v/>
      </c>
      <c r="V25" s="53">
        <f>VLOOKUP(B25,Housing!$A:$D,4,)</f>
        <v/>
      </c>
      <c r="W25" s="52">
        <f>VLOOKUP(B25,Health!$A:$D,3,)</f>
        <v/>
      </c>
      <c r="X25" s="53">
        <f>VLOOKUP(B25,Health!$A:$D,4,)</f>
        <v/>
      </c>
      <c r="Y25" s="52">
        <f>VLOOKUP(B25,'Clothing and clothing access'!$A:$D,3,)</f>
        <v/>
      </c>
      <c r="Z25" s="53">
        <f>VLOOKUP(B25,'Clothing and clothing access'!$A:$D,4,)</f>
        <v/>
      </c>
      <c r="AA25" s="52">
        <f>VLOOKUP(B25,'Furniture Home'!$A:$D,3,)</f>
        <v/>
      </c>
      <c r="AB25" s="53">
        <f>VLOOKUP(B25,'Furniture Home'!$A:$D,4,)</f>
        <v/>
      </c>
      <c r="AC25" s="52">
        <f>VLOOKUP(B25,'Miscellaneous stores retailers'!$A:$D,3,)</f>
        <v/>
      </c>
      <c r="AD25" s="53">
        <f>VLOOKUP(B25,'Miscellaneous stores retailers'!$A:$D,4,)</f>
        <v/>
      </c>
      <c r="AE25" s="52">
        <f>VLOOKUP(B25,'Sporting Goods'!$A:$D,3,)</f>
        <v/>
      </c>
      <c r="AF25" s="53">
        <f>VLOOKUP(B25,'Sporting Goods'!$A:$D,4,)</f>
        <v/>
      </c>
    </row>
    <row r="26">
      <c r="B26" s="56" t="n">
        <v>43617</v>
      </c>
      <c r="C26" s="52">
        <f>VLOOKUP(B26,'Retail Sales'!A:D,3,)</f>
        <v/>
      </c>
      <c r="D26" s="53">
        <f>VLOOKUP(B26,'Retail Sales'!A:D,4,)</f>
        <v/>
      </c>
      <c r="E26" s="52">
        <f>VLOOKUP(B26,'Retail Sales ex Auto'!$A:$D,3,)</f>
        <v/>
      </c>
      <c r="F26" s="53">
        <f>VLOOKUP(B26,'Retail Sales ex Auto'!$A:$D,4,)</f>
        <v/>
      </c>
      <c r="G26" s="52">
        <f>VLOOKUP(B26,'Retail Sales ex Auto and Gas'!$A:$D,3,)</f>
        <v/>
      </c>
      <c r="H26" s="53">
        <f>VLOOKUP(B26,'Retail Sales ex Auto and Gas'!$A:$D,4,)</f>
        <v/>
      </c>
      <c r="I26" s="52">
        <f>VLOOKUP(B26,Motor!$A:$D,3,)</f>
        <v/>
      </c>
      <c r="J26" s="53">
        <f>VLOOKUP(B26,Motor!$A:$D,4,)</f>
        <v/>
      </c>
      <c r="K26" s="52">
        <f>VLOOKUP(B26,'Non Store Retail'!$A:$D,3,)</f>
        <v/>
      </c>
      <c r="L26" s="53">
        <f>VLOOKUP(B26,'Non Store Retail'!$A:$D,4,)</f>
        <v/>
      </c>
      <c r="M26" s="52">
        <f>VLOOKUP(B26,'Food and Beverage'!$A:$D,3,)</f>
        <v/>
      </c>
      <c r="N26" s="52">
        <f>VLOOKUP(B26,'Food and Beverage'!$A:$D,4,)</f>
        <v/>
      </c>
      <c r="O26" s="52">
        <f>VLOOKUP(B26,'Food Services'!$A:$D,3,)</f>
        <v/>
      </c>
      <c r="P26" s="53">
        <f>VLOOKUP(B26,'Food Services'!$A:$D,4,)</f>
        <v/>
      </c>
      <c r="Q26" s="52">
        <f>VLOOKUP(B26,'General Merchandising'!$A:$D,3,)</f>
        <v/>
      </c>
      <c r="R26" s="53">
        <f>VLOOKUP(B26,'General Merchandising'!$A:$D,4,)</f>
        <v/>
      </c>
      <c r="S26" s="52">
        <f>VLOOKUP(B26,'Gas Station'!$A:$D,3,)</f>
        <v/>
      </c>
      <c r="T26" s="53">
        <f>VLOOKUP(B26,'Gas Station'!$A:$D,4,)</f>
        <v/>
      </c>
      <c r="U26" s="52">
        <f>VLOOKUP(B26,Housing!$A:$D,3,)</f>
        <v/>
      </c>
      <c r="V26" s="53">
        <f>VLOOKUP(B26,Housing!$A:$D,4,)</f>
        <v/>
      </c>
      <c r="W26" s="52">
        <f>VLOOKUP(B26,Health!$A:$D,3,)</f>
        <v/>
      </c>
      <c r="X26" s="53">
        <f>VLOOKUP(B26,Health!$A:$D,4,)</f>
        <v/>
      </c>
      <c r="Y26" s="52">
        <f>VLOOKUP(B26,'Clothing and clothing access'!$A:$D,3,)</f>
        <v/>
      </c>
      <c r="Z26" s="53">
        <f>VLOOKUP(B26,'Clothing and clothing access'!$A:$D,4,)</f>
        <v/>
      </c>
      <c r="AA26" s="52">
        <f>VLOOKUP(B26,'Furniture Home'!$A:$D,3,)</f>
        <v/>
      </c>
      <c r="AB26" s="53">
        <f>VLOOKUP(B26,'Furniture Home'!$A:$D,4,)</f>
        <v/>
      </c>
      <c r="AC26" s="52">
        <f>VLOOKUP(B26,'Miscellaneous stores retailers'!$A:$D,3,)</f>
        <v/>
      </c>
      <c r="AD26" s="53">
        <f>VLOOKUP(B26,'Miscellaneous stores retailers'!$A:$D,4,)</f>
        <v/>
      </c>
      <c r="AE26" s="52">
        <f>VLOOKUP(B26,'Sporting Goods'!$A:$D,3,)</f>
        <v/>
      </c>
      <c r="AF26" s="53">
        <f>VLOOKUP(B26,'Sporting Goods'!$A:$D,4,)</f>
        <v/>
      </c>
    </row>
    <row r="27">
      <c r="B27" s="56" t="n">
        <v>43647</v>
      </c>
      <c r="C27" s="52">
        <f>VLOOKUP(B27,'Retail Sales'!A:D,3,)</f>
        <v/>
      </c>
      <c r="D27" s="53">
        <f>VLOOKUP(B27,'Retail Sales'!A:D,4,)</f>
        <v/>
      </c>
      <c r="E27" s="52">
        <f>VLOOKUP(B27,'Retail Sales ex Auto'!$A:$D,3,)</f>
        <v/>
      </c>
      <c r="F27" s="53">
        <f>VLOOKUP(B27,'Retail Sales ex Auto'!$A:$D,4,)</f>
        <v/>
      </c>
      <c r="G27" s="52">
        <f>VLOOKUP(B27,'Retail Sales ex Auto and Gas'!$A:$D,3,)</f>
        <v/>
      </c>
      <c r="H27" s="53">
        <f>VLOOKUP(B27,'Retail Sales ex Auto and Gas'!$A:$D,4,)</f>
        <v/>
      </c>
      <c r="I27" s="52">
        <f>VLOOKUP(B27,Motor!$A:$D,3,)</f>
        <v/>
      </c>
      <c r="J27" s="53">
        <f>VLOOKUP(B27,Motor!$A:$D,4,)</f>
        <v/>
      </c>
      <c r="K27" s="52">
        <f>VLOOKUP(B27,'Non Store Retail'!$A:$D,3,)</f>
        <v/>
      </c>
      <c r="L27" s="53">
        <f>VLOOKUP(B27,'Non Store Retail'!$A:$D,4,)</f>
        <v/>
      </c>
      <c r="M27" s="52">
        <f>VLOOKUP(B27,'Food and Beverage'!$A:$D,3,)</f>
        <v/>
      </c>
      <c r="N27" s="52">
        <f>VLOOKUP(B27,'Food and Beverage'!$A:$D,4,)</f>
        <v/>
      </c>
      <c r="O27" s="52">
        <f>VLOOKUP(B27,'Food Services'!$A:$D,3,)</f>
        <v/>
      </c>
      <c r="P27" s="53">
        <f>VLOOKUP(B27,'Food Services'!$A:$D,4,)</f>
        <v/>
      </c>
      <c r="Q27" s="52">
        <f>VLOOKUP(B27,'General Merchandising'!$A:$D,3,)</f>
        <v/>
      </c>
      <c r="R27" s="53">
        <f>VLOOKUP(B27,'General Merchandising'!$A:$D,4,)</f>
        <v/>
      </c>
      <c r="S27" s="52">
        <f>VLOOKUP(B27,'Gas Station'!$A:$D,3,)</f>
        <v/>
      </c>
      <c r="T27" s="53">
        <f>VLOOKUP(B27,'Gas Station'!$A:$D,4,)</f>
        <v/>
      </c>
      <c r="U27" s="52">
        <f>VLOOKUP(B27,Housing!$A:$D,3,)</f>
        <v/>
      </c>
      <c r="V27" s="53">
        <f>VLOOKUP(B27,Housing!$A:$D,4,)</f>
        <v/>
      </c>
      <c r="W27" s="52">
        <f>VLOOKUP(B27,Health!$A:$D,3,)</f>
        <v/>
      </c>
      <c r="X27" s="53">
        <f>VLOOKUP(B27,Health!$A:$D,4,)</f>
        <v/>
      </c>
      <c r="Y27" s="52">
        <f>VLOOKUP(B27,'Clothing and clothing access'!$A:$D,3,)</f>
        <v/>
      </c>
      <c r="Z27" s="53">
        <f>VLOOKUP(B27,'Clothing and clothing access'!$A:$D,4,)</f>
        <v/>
      </c>
      <c r="AA27" s="52">
        <f>VLOOKUP(B27,'Furniture Home'!$A:$D,3,)</f>
        <v/>
      </c>
      <c r="AB27" s="53">
        <f>VLOOKUP(B27,'Furniture Home'!$A:$D,4,)</f>
        <v/>
      </c>
      <c r="AC27" s="52">
        <f>VLOOKUP(B27,'Miscellaneous stores retailers'!$A:$D,3,)</f>
        <v/>
      </c>
      <c r="AD27" s="53">
        <f>VLOOKUP(B27,'Miscellaneous stores retailers'!$A:$D,4,)</f>
        <v/>
      </c>
      <c r="AE27" s="52">
        <f>VLOOKUP(B27,'Sporting Goods'!$A:$D,3,)</f>
        <v/>
      </c>
      <c r="AF27" s="53">
        <f>VLOOKUP(B27,'Sporting Goods'!$A:$D,4,)</f>
        <v/>
      </c>
    </row>
    <row r="28">
      <c r="B28" s="56" t="n">
        <v>43678</v>
      </c>
      <c r="C28" s="52">
        <f>VLOOKUP(B28,'Retail Sales'!A:D,3,)</f>
        <v/>
      </c>
      <c r="D28" s="53">
        <f>VLOOKUP(B28,'Retail Sales'!A:D,4,)</f>
        <v/>
      </c>
      <c r="E28" s="52">
        <f>VLOOKUP(B28,'Retail Sales ex Auto'!$A:$D,3,)</f>
        <v/>
      </c>
      <c r="F28" s="53">
        <f>VLOOKUP(B28,'Retail Sales ex Auto'!$A:$D,4,)</f>
        <v/>
      </c>
      <c r="G28" s="52">
        <f>VLOOKUP(B28,'Retail Sales ex Auto and Gas'!$A:$D,3,)</f>
        <v/>
      </c>
      <c r="H28" s="53">
        <f>VLOOKUP(B28,'Retail Sales ex Auto and Gas'!$A:$D,4,)</f>
        <v/>
      </c>
      <c r="I28" s="52">
        <f>VLOOKUP(B28,Motor!$A:$D,3,)</f>
        <v/>
      </c>
      <c r="J28" s="53">
        <f>VLOOKUP(B28,Motor!$A:$D,4,)</f>
        <v/>
      </c>
      <c r="K28" s="52">
        <f>VLOOKUP(B28,'Non Store Retail'!$A:$D,3,)</f>
        <v/>
      </c>
      <c r="L28" s="53">
        <f>VLOOKUP(B28,'Non Store Retail'!$A:$D,4,)</f>
        <v/>
      </c>
      <c r="M28" s="52">
        <f>VLOOKUP(B28,'Food and Beverage'!$A:$D,3,)</f>
        <v/>
      </c>
      <c r="N28" s="52">
        <f>VLOOKUP(B28,'Food and Beverage'!$A:$D,4,)</f>
        <v/>
      </c>
      <c r="O28" s="52">
        <f>VLOOKUP(B28,'Food Services'!$A:$D,3,)</f>
        <v/>
      </c>
      <c r="P28" s="53">
        <f>VLOOKUP(B28,'Food Services'!$A:$D,4,)</f>
        <v/>
      </c>
      <c r="Q28" s="52">
        <f>VLOOKUP(B28,'General Merchandising'!$A:$D,3,)</f>
        <v/>
      </c>
      <c r="R28" s="53">
        <f>VLOOKUP(B28,'General Merchandising'!$A:$D,4,)</f>
        <v/>
      </c>
      <c r="S28" s="52">
        <f>VLOOKUP(B28,'Gas Station'!$A:$D,3,)</f>
        <v/>
      </c>
      <c r="T28" s="53">
        <f>VLOOKUP(B28,'Gas Station'!$A:$D,4,)</f>
        <v/>
      </c>
      <c r="U28" s="52">
        <f>VLOOKUP(B28,Housing!$A:$D,3,)</f>
        <v/>
      </c>
      <c r="V28" s="53">
        <f>VLOOKUP(B28,Housing!$A:$D,4,)</f>
        <v/>
      </c>
      <c r="W28" s="52">
        <f>VLOOKUP(B28,Health!$A:$D,3,)</f>
        <v/>
      </c>
      <c r="X28" s="53">
        <f>VLOOKUP(B28,Health!$A:$D,4,)</f>
        <v/>
      </c>
      <c r="Y28" s="52">
        <f>VLOOKUP(B28,'Clothing and clothing access'!$A:$D,3,)</f>
        <v/>
      </c>
      <c r="Z28" s="53">
        <f>VLOOKUP(B28,'Clothing and clothing access'!$A:$D,4,)</f>
        <v/>
      </c>
      <c r="AA28" s="52">
        <f>VLOOKUP(B28,'Furniture Home'!$A:$D,3,)</f>
        <v/>
      </c>
      <c r="AB28" s="53">
        <f>VLOOKUP(B28,'Furniture Home'!$A:$D,4,)</f>
        <v/>
      </c>
      <c r="AC28" s="52">
        <f>VLOOKUP(B28,'Miscellaneous stores retailers'!$A:$D,3,)</f>
        <v/>
      </c>
      <c r="AD28" s="53">
        <f>VLOOKUP(B28,'Miscellaneous stores retailers'!$A:$D,4,)</f>
        <v/>
      </c>
      <c r="AE28" s="52">
        <f>VLOOKUP(B28,'Sporting Goods'!$A:$D,3,)</f>
        <v/>
      </c>
      <c r="AF28" s="53">
        <f>VLOOKUP(B28,'Sporting Goods'!$A:$D,4,)</f>
        <v/>
      </c>
    </row>
    <row r="29">
      <c r="B29" s="56" t="n">
        <v>43709</v>
      </c>
      <c r="C29" s="52">
        <f>VLOOKUP(B29,'Retail Sales'!A:D,3,)</f>
        <v/>
      </c>
      <c r="D29" s="53">
        <f>VLOOKUP(B29,'Retail Sales'!A:D,4,)</f>
        <v/>
      </c>
      <c r="E29" s="52">
        <f>VLOOKUP(B29,'Retail Sales ex Auto'!$A:$D,3,)</f>
        <v/>
      </c>
      <c r="F29" s="53">
        <f>VLOOKUP(B29,'Retail Sales ex Auto'!$A:$D,4,)</f>
        <v/>
      </c>
      <c r="G29" s="52">
        <f>VLOOKUP(B29,'Retail Sales ex Auto and Gas'!$A:$D,3,)</f>
        <v/>
      </c>
      <c r="H29" s="53">
        <f>VLOOKUP(B29,'Retail Sales ex Auto and Gas'!$A:$D,4,)</f>
        <v/>
      </c>
      <c r="I29" s="52">
        <f>VLOOKUP(B29,Motor!$A:$D,3,)</f>
        <v/>
      </c>
      <c r="J29" s="53">
        <f>VLOOKUP(B29,Motor!$A:$D,4,)</f>
        <v/>
      </c>
      <c r="K29" s="52">
        <f>VLOOKUP(B29,'Non Store Retail'!$A:$D,3,)</f>
        <v/>
      </c>
      <c r="L29" s="53">
        <f>VLOOKUP(B29,'Non Store Retail'!$A:$D,4,)</f>
        <v/>
      </c>
      <c r="M29" s="52">
        <f>VLOOKUP(B29,'Food and Beverage'!$A:$D,3,)</f>
        <v/>
      </c>
      <c r="N29" s="52">
        <f>VLOOKUP(B29,'Food and Beverage'!$A:$D,4,)</f>
        <v/>
      </c>
      <c r="O29" s="52">
        <f>VLOOKUP(B29,'Food Services'!$A:$D,3,)</f>
        <v/>
      </c>
      <c r="P29" s="53">
        <f>VLOOKUP(B29,'Food Services'!$A:$D,4,)</f>
        <v/>
      </c>
      <c r="Q29" s="52">
        <f>VLOOKUP(B29,'General Merchandising'!$A:$D,3,)</f>
        <v/>
      </c>
      <c r="R29" s="53">
        <f>VLOOKUP(B29,'General Merchandising'!$A:$D,4,)</f>
        <v/>
      </c>
      <c r="S29" s="52">
        <f>VLOOKUP(B29,'Gas Station'!$A:$D,3,)</f>
        <v/>
      </c>
      <c r="T29" s="53">
        <f>VLOOKUP(B29,'Gas Station'!$A:$D,4,)</f>
        <v/>
      </c>
      <c r="U29" s="52">
        <f>VLOOKUP(B29,Housing!$A:$D,3,)</f>
        <v/>
      </c>
      <c r="V29" s="53">
        <f>VLOOKUP(B29,Housing!$A:$D,4,)</f>
        <v/>
      </c>
      <c r="W29" s="52">
        <f>VLOOKUP(B29,Health!$A:$D,3,)</f>
        <v/>
      </c>
      <c r="X29" s="53">
        <f>VLOOKUP(B29,Health!$A:$D,4,)</f>
        <v/>
      </c>
      <c r="Y29" s="52">
        <f>VLOOKUP(B29,'Clothing and clothing access'!$A:$D,3,)</f>
        <v/>
      </c>
      <c r="Z29" s="53">
        <f>VLOOKUP(B29,'Clothing and clothing access'!$A:$D,4,)</f>
        <v/>
      </c>
      <c r="AA29" s="52">
        <f>VLOOKUP(B29,'Furniture Home'!$A:$D,3,)</f>
        <v/>
      </c>
      <c r="AB29" s="53">
        <f>VLOOKUP(B29,'Furniture Home'!$A:$D,4,)</f>
        <v/>
      </c>
      <c r="AC29" s="52">
        <f>VLOOKUP(B29,'Miscellaneous stores retailers'!$A:$D,3,)</f>
        <v/>
      </c>
      <c r="AD29" s="53">
        <f>VLOOKUP(B29,'Miscellaneous stores retailers'!$A:$D,4,)</f>
        <v/>
      </c>
      <c r="AE29" s="52">
        <f>VLOOKUP(B29,'Sporting Goods'!$A:$D,3,)</f>
        <v/>
      </c>
      <c r="AF29" s="53">
        <f>VLOOKUP(B29,'Sporting Goods'!$A:$D,4,)</f>
        <v/>
      </c>
    </row>
    <row r="30">
      <c r="B30" s="56" t="n">
        <v>43739</v>
      </c>
      <c r="C30" s="52">
        <f>VLOOKUP(B30,'Retail Sales'!A:D,3,)</f>
        <v/>
      </c>
      <c r="D30" s="53">
        <f>VLOOKUP(B30,'Retail Sales'!A:D,4,)</f>
        <v/>
      </c>
      <c r="E30" s="52">
        <f>VLOOKUP(B30,'Retail Sales ex Auto'!$A:$D,3,)</f>
        <v/>
      </c>
      <c r="F30" s="53">
        <f>VLOOKUP(B30,'Retail Sales ex Auto'!$A:$D,4,)</f>
        <v/>
      </c>
      <c r="G30" s="52">
        <f>VLOOKUP(B30,'Retail Sales ex Auto and Gas'!$A:$D,3,)</f>
        <v/>
      </c>
      <c r="H30" s="53">
        <f>VLOOKUP(B30,'Retail Sales ex Auto and Gas'!$A:$D,4,)</f>
        <v/>
      </c>
      <c r="I30" s="52">
        <f>VLOOKUP(B30,Motor!$A:$D,3,)</f>
        <v/>
      </c>
      <c r="J30" s="53">
        <f>VLOOKUP(B30,Motor!$A:$D,4,)</f>
        <v/>
      </c>
      <c r="K30" s="52">
        <f>VLOOKUP(B30,'Non Store Retail'!$A:$D,3,)</f>
        <v/>
      </c>
      <c r="L30" s="53">
        <f>VLOOKUP(B30,'Non Store Retail'!$A:$D,4,)</f>
        <v/>
      </c>
      <c r="M30" s="52">
        <f>VLOOKUP(B30,'Food and Beverage'!$A:$D,3,)</f>
        <v/>
      </c>
      <c r="N30" s="52">
        <f>VLOOKUP(B30,'Food and Beverage'!$A:$D,4,)</f>
        <v/>
      </c>
      <c r="O30" s="52">
        <f>VLOOKUP(B30,'Food Services'!$A:$D,3,)</f>
        <v/>
      </c>
      <c r="P30" s="53">
        <f>VLOOKUP(B30,'Food Services'!$A:$D,4,)</f>
        <v/>
      </c>
      <c r="Q30" s="52">
        <f>VLOOKUP(B30,'General Merchandising'!$A:$D,3,)</f>
        <v/>
      </c>
      <c r="R30" s="53">
        <f>VLOOKUP(B30,'General Merchandising'!$A:$D,4,)</f>
        <v/>
      </c>
      <c r="S30" s="52">
        <f>VLOOKUP(B30,'Gas Station'!$A:$D,3,)</f>
        <v/>
      </c>
      <c r="T30" s="53">
        <f>VLOOKUP(B30,'Gas Station'!$A:$D,4,)</f>
        <v/>
      </c>
      <c r="U30" s="52">
        <f>VLOOKUP(B30,Housing!$A:$D,3,)</f>
        <v/>
      </c>
      <c r="V30" s="53">
        <f>VLOOKUP(B30,Housing!$A:$D,4,)</f>
        <v/>
      </c>
      <c r="W30" s="52">
        <f>VLOOKUP(B30,Health!$A:$D,3,)</f>
        <v/>
      </c>
      <c r="X30" s="53">
        <f>VLOOKUP(B30,Health!$A:$D,4,)</f>
        <v/>
      </c>
      <c r="Y30" s="52">
        <f>VLOOKUP(B30,'Clothing and clothing access'!$A:$D,3,)</f>
        <v/>
      </c>
      <c r="Z30" s="53">
        <f>VLOOKUP(B30,'Clothing and clothing access'!$A:$D,4,)</f>
        <v/>
      </c>
      <c r="AA30" s="52">
        <f>VLOOKUP(B30,'Furniture Home'!$A:$D,3,)</f>
        <v/>
      </c>
      <c r="AB30" s="53">
        <f>VLOOKUP(B30,'Furniture Home'!$A:$D,4,)</f>
        <v/>
      </c>
      <c r="AC30" s="52">
        <f>VLOOKUP(B30,'Miscellaneous stores retailers'!$A:$D,3,)</f>
        <v/>
      </c>
      <c r="AD30" s="53">
        <f>VLOOKUP(B30,'Miscellaneous stores retailers'!$A:$D,4,)</f>
        <v/>
      </c>
      <c r="AE30" s="52">
        <f>VLOOKUP(B30,'Sporting Goods'!$A:$D,3,)</f>
        <v/>
      </c>
      <c r="AF30" s="53">
        <f>VLOOKUP(B30,'Sporting Goods'!$A:$D,4,)</f>
        <v/>
      </c>
    </row>
    <row r="31">
      <c r="B31" s="56" t="n">
        <v>43770</v>
      </c>
      <c r="C31" s="52">
        <f>VLOOKUP(B31,'Retail Sales'!A:D,3,)</f>
        <v/>
      </c>
      <c r="D31" s="53">
        <f>VLOOKUP(B31,'Retail Sales'!A:D,4,)</f>
        <v/>
      </c>
      <c r="E31" s="52">
        <f>VLOOKUP(B31,'Retail Sales ex Auto'!$A:$D,3,)</f>
        <v/>
      </c>
      <c r="F31" s="53">
        <f>VLOOKUP(B31,'Retail Sales ex Auto'!$A:$D,4,)</f>
        <v/>
      </c>
      <c r="G31" s="52">
        <f>VLOOKUP(B31,'Retail Sales ex Auto and Gas'!$A:$D,3,)</f>
        <v/>
      </c>
      <c r="H31" s="53">
        <f>VLOOKUP(B31,'Retail Sales ex Auto and Gas'!$A:$D,4,)</f>
        <v/>
      </c>
      <c r="I31" s="52">
        <f>VLOOKUP(B31,Motor!$A:$D,3,)</f>
        <v/>
      </c>
      <c r="J31" s="53">
        <f>VLOOKUP(B31,Motor!$A:$D,4,)</f>
        <v/>
      </c>
      <c r="K31" s="52">
        <f>VLOOKUP(B31,'Non Store Retail'!$A:$D,3,)</f>
        <v/>
      </c>
      <c r="L31" s="53">
        <f>VLOOKUP(B31,'Non Store Retail'!$A:$D,4,)</f>
        <v/>
      </c>
      <c r="M31" s="52">
        <f>VLOOKUP(B31,'Food and Beverage'!$A:$D,3,)</f>
        <v/>
      </c>
      <c r="N31" s="52">
        <f>VLOOKUP(B31,'Food and Beverage'!$A:$D,4,)</f>
        <v/>
      </c>
      <c r="O31" s="52">
        <f>VLOOKUP(B31,'Food Services'!$A:$D,3,)</f>
        <v/>
      </c>
      <c r="P31" s="53">
        <f>VLOOKUP(B31,'Food Services'!$A:$D,4,)</f>
        <v/>
      </c>
      <c r="Q31" s="52">
        <f>VLOOKUP(B31,'General Merchandising'!$A:$D,3,)</f>
        <v/>
      </c>
      <c r="R31" s="53">
        <f>VLOOKUP(B31,'General Merchandising'!$A:$D,4,)</f>
        <v/>
      </c>
      <c r="S31" s="52">
        <f>VLOOKUP(B31,'Gas Station'!$A:$D,3,)</f>
        <v/>
      </c>
      <c r="T31" s="53">
        <f>VLOOKUP(B31,'Gas Station'!$A:$D,4,)</f>
        <v/>
      </c>
      <c r="U31" s="52">
        <f>VLOOKUP(B31,Housing!$A:$D,3,)</f>
        <v/>
      </c>
      <c r="V31" s="53">
        <f>VLOOKUP(B31,Housing!$A:$D,4,)</f>
        <v/>
      </c>
      <c r="W31" s="52">
        <f>VLOOKUP(B31,Health!$A:$D,3,)</f>
        <v/>
      </c>
      <c r="X31" s="53">
        <f>VLOOKUP(B31,Health!$A:$D,4,)</f>
        <v/>
      </c>
      <c r="Y31" s="52">
        <f>VLOOKUP(B31,'Clothing and clothing access'!$A:$D,3,)</f>
        <v/>
      </c>
      <c r="Z31" s="53">
        <f>VLOOKUP(B31,'Clothing and clothing access'!$A:$D,4,)</f>
        <v/>
      </c>
      <c r="AA31" s="52">
        <f>VLOOKUP(B31,'Furniture Home'!$A:$D,3,)</f>
        <v/>
      </c>
      <c r="AB31" s="53">
        <f>VLOOKUP(B31,'Furniture Home'!$A:$D,4,)</f>
        <v/>
      </c>
      <c r="AC31" s="52">
        <f>VLOOKUP(B31,'Miscellaneous stores retailers'!$A:$D,3,)</f>
        <v/>
      </c>
      <c r="AD31" s="53">
        <f>VLOOKUP(B31,'Miscellaneous stores retailers'!$A:$D,4,)</f>
        <v/>
      </c>
      <c r="AE31" s="52">
        <f>VLOOKUP(B31,'Sporting Goods'!$A:$D,3,)</f>
        <v/>
      </c>
      <c r="AF31" s="53">
        <f>VLOOKUP(B31,'Sporting Goods'!$A:$D,4,)</f>
        <v/>
      </c>
    </row>
    <row r="32">
      <c r="B32" s="56" t="n">
        <v>43800</v>
      </c>
      <c r="C32" s="52">
        <f>VLOOKUP(B32,'Retail Sales'!A:D,3,)</f>
        <v/>
      </c>
      <c r="D32" s="53">
        <f>VLOOKUP(B32,'Retail Sales'!A:D,4,)</f>
        <v/>
      </c>
      <c r="E32" s="52">
        <f>VLOOKUP(B32,'Retail Sales ex Auto'!$A:$D,3,)</f>
        <v/>
      </c>
      <c r="F32" s="53">
        <f>VLOOKUP(B32,'Retail Sales ex Auto'!$A:$D,4,)</f>
        <v/>
      </c>
      <c r="G32" s="52">
        <f>VLOOKUP(B32,'Retail Sales ex Auto and Gas'!$A:$D,3,)</f>
        <v/>
      </c>
      <c r="H32" s="53">
        <f>VLOOKUP(B32,'Retail Sales ex Auto and Gas'!$A:$D,4,)</f>
        <v/>
      </c>
      <c r="I32" s="52">
        <f>VLOOKUP(B32,Motor!$A:$D,3,)</f>
        <v/>
      </c>
      <c r="J32" s="53">
        <f>VLOOKUP(B32,Motor!$A:$D,4,)</f>
        <v/>
      </c>
      <c r="K32" s="52">
        <f>VLOOKUP(B32,'Non Store Retail'!$A:$D,3,)</f>
        <v/>
      </c>
      <c r="L32" s="53">
        <f>VLOOKUP(B32,'Non Store Retail'!$A:$D,4,)</f>
        <v/>
      </c>
      <c r="M32" s="52">
        <f>VLOOKUP(B32,'Food and Beverage'!$A:$D,3,)</f>
        <v/>
      </c>
      <c r="N32" s="52">
        <f>VLOOKUP(B32,'Food and Beverage'!$A:$D,4,)</f>
        <v/>
      </c>
      <c r="O32" s="52">
        <f>VLOOKUP(B32,'Food Services'!$A:$D,3,)</f>
        <v/>
      </c>
      <c r="P32" s="53">
        <f>VLOOKUP(B32,'Food Services'!$A:$D,4,)</f>
        <v/>
      </c>
      <c r="Q32" s="52">
        <f>VLOOKUP(B32,'General Merchandising'!$A:$D,3,)</f>
        <v/>
      </c>
      <c r="R32" s="53">
        <f>VLOOKUP(B32,'General Merchandising'!$A:$D,4,)</f>
        <v/>
      </c>
      <c r="S32" s="52">
        <f>VLOOKUP(B32,'Gas Station'!$A:$D,3,)</f>
        <v/>
      </c>
      <c r="T32" s="53">
        <f>VLOOKUP(B32,'Gas Station'!$A:$D,4,)</f>
        <v/>
      </c>
      <c r="U32" s="52">
        <f>VLOOKUP(B32,Housing!$A:$D,3,)</f>
        <v/>
      </c>
      <c r="V32" s="53">
        <f>VLOOKUP(B32,Housing!$A:$D,4,)</f>
        <v/>
      </c>
      <c r="W32" s="52">
        <f>VLOOKUP(B32,Health!$A:$D,3,)</f>
        <v/>
      </c>
      <c r="X32" s="53">
        <f>VLOOKUP(B32,Health!$A:$D,4,)</f>
        <v/>
      </c>
      <c r="Y32" s="52">
        <f>VLOOKUP(B32,'Clothing and clothing access'!$A:$D,3,)</f>
        <v/>
      </c>
      <c r="Z32" s="53">
        <f>VLOOKUP(B32,'Clothing and clothing access'!$A:$D,4,)</f>
        <v/>
      </c>
      <c r="AA32" s="52">
        <f>VLOOKUP(B32,'Furniture Home'!$A:$D,3,)</f>
        <v/>
      </c>
      <c r="AB32" s="53">
        <f>VLOOKUP(B32,'Furniture Home'!$A:$D,4,)</f>
        <v/>
      </c>
      <c r="AC32" s="52">
        <f>VLOOKUP(B32,'Miscellaneous stores retailers'!$A:$D,3,)</f>
        <v/>
      </c>
      <c r="AD32" s="53">
        <f>VLOOKUP(B32,'Miscellaneous stores retailers'!$A:$D,4,)</f>
        <v/>
      </c>
      <c r="AE32" s="52">
        <f>VLOOKUP(B32,'Sporting Goods'!$A:$D,3,)</f>
        <v/>
      </c>
      <c r="AF32" s="53">
        <f>VLOOKUP(B32,'Sporting Goods'!$A:$D,4,)</f>
        <v/>
      </c>
    </row>
    <row r="33">
      <c r="B33" s="56" t="n">
        <v>43831</v>
      </c>
      <c r="C33" s="52">
        <f>VLOOKUP(B33,'Retail Sales'!A:D,3,)</f>
        <v/>
      </c>
      <c r="D33" s="53">
        <f>VLOOKUP(B33,'Retail Sales'!A:D,4,)</f>
        <v/>
      </c>
      <c r="E33" s="52">
        <f>VLOOKUP(B33,'Retail Sales ex Auto'!$A:$D,3,)</f>
        <v/>
      </c>
      <c r="F33" s="53">
        <f>VLOOKUP(B33,'Retail Sales ex Auto'!$A:$D,4,)</f>
        <v/>
      </c>
      <c r="G33" s="52">
        <f>VLOOKUP(B33,'Retail Sales ex Auto and Gas'!$A:$D,3,)</f>
        <v/>
      </c>
      <c r="H33" s="53">
        <f>VLOOKUP(B33,'Retail Sales ex Auto and Gas'!$A:$D,4,)</f>
        <v/>
      </c>
      <c r="I33" s="52">
        <f>VLOOKUP(B33,Motor!$A:$D,3,)</f>
        <v/>
      </c>
      <c r="J33" s="53">
        <f>VLOOKUP(B33,Motor!$A:$D,4,)</f>
        <v/>
      </c>
      <c r="K33" s="52">
        <f>VLOOKUP(B33,'Non Store Retail'!$A:$D,3,)</f>
        <v/>
      </c>
      <c r="L33" s="53">
        <f>VLOOKUP(B33,'Non Store Retail'!$A:$D,4,)</f>
        <v/>
      </c>
      <c r="M33" s="52">
        <f>VLOOKUP(B33,'Food and Beverage'!$A:$D,3,)</f>
        <v/>
      </c>
      <c r="N33" s="52">
        <f>VLOOKUP(B33,'Food and Beverage'!$A:$D,4,)</f>
        <v/>
      </c>
      <c r="O33" s="52">
        <f>VLOOKUP(B33,'Food Services'!$A:$D,3,)</f>
        <v/>
      </c>
      <c r="P33" s="53">
        <f>VLOOKUP(B33,'Food Services'!$A:$D,4,)</f>
        <v/>
      </c>
      <c r="Q33" s="52">
        <f>VLOOKUP(B33,'General Merchandising'!$A:$D,3,)</f>
        <v/>
      </c>
      <c r="R33" s="53">
        <f>VLOOKUP(B33,'General Merchandising'!$A:$D,4,)</f>
        <v/>
      </c>
      <c r="S33" s="52">
        <f>VLOOKUP(B33,'Gas Station'!$A:$D,3,)</f>
        <v/>
      </c>
      <c r="T33" s="53">
        <f>VLOOKUP(B33,'Gas Station'!$A:$D,4,)</f>
        <v/>
      </c>
      <c r="U33" s="52">
        <f>VLOOKUP(B33,Housing!$A:$D,3,)</f>
        <v/>
      </c>
      <c r="V33" s="53">
        <f>VLOOKUP(B33,Housing!$A:$D,4,)</f>
        <v/>
      </c>
      <c r="W33" s="52">
        <f>VLOOKUP(B33,Health!$A:$D,3,)</f>
        <v/>
      </c>
      <c r="X33" s="53">
        <f>VLOOKUP(B33,Health!$A:$D,4,)</f>
        <v/>
      </c>
      <c r="Y33" s="52">
        <f>VLOOKUP(B33,'Clothing and clothing access'!$A:$D,3,)</f>
        <v/>
      </c>
      <c r="Z33" s="53">
        <f>VLOOKUP(B33,'Clothing and clothing access'!$A:$D,4,)</f>
        <v/>
      </c>
      <c r="AA33" s="52">
        <f>VLOOKUP(B33,'Furniture Home'!$A:$D,3,)</f>
        <v/>
      </c>
      <c r="AB33" s="53">
        <f>VLOOKUP(B33,'Furniture Home'!$A:$D,4,)</f>
        <v/>
      </c>
      <c r="AC33" s="52">
        <f>VLOOKUP(B33,'Miscellaneous stores retailers'!$A:$D,3,)</f>
        <v/>
      </c>
      <c r="AD33" s="53">
        <f>VLOOKUP(B33,'Miscellaneous stores retailers'!$A:$D,4,)</f>
        <v/>
      </c>
      <c r="AE33" s="52">
        <f>VLOOKUP(B33,'Sporting Goods'!$A:$D,3,)</f>
        <v/>
      </c>
      <c r="AF33" s="53">
        <f>VLOOKUP(B33,'Sporting Goods'!$A:$D,4,)</f>
        <v/>
      </c>
    </row>
    <row r="34">
      <c r="B34" s="56" t="n">
        <v>43862</v>
      </c>
      <c r="C34" s="52">
        <f>VLOOKUP(B34,'Retail Sales'!A:D,3,)</f>
        <v/>
      </c>
      <c r="D34" s="53">
        <f>VLOOKUP(B34,'Retail Sales'!A:D,4,)</f>
        <v/>
      </c>
      <c r="E34" s="52">
        <f>VLOOKUP(B34,'Retail Sales ex Auto'!$A:$D,3,)</f>
        <v/>
      </c>
      <c r="F34" s="53">
        <f>VLOOKUP(B34,'Retail Sales ex Auto'!$A:$D,4,)</f>
        <v/>
      </c>
      <c r="G34" s="52">
        <f>VLOOKUP(B34,'Retail Sales ex Auto and Gas'!$A:$D,3,)</f>
        <v/>
      </c>
      <c r="H34" s="53">
        <f>VLOOKUP(B34,'Retail Sales ex Auto and Gas'!$A:$D,4,)</f>
        <v/>
      </c>
      <c r="I34" s="52">
        <f>VLOOKUP(B34,Motor!$A:$D,3,)</f>
        <v/>
      </c>
      <c r="J34" s="53">
        <f>VLOOKUP(B34,Motor!$A:$D,4,)</f>
        <v/>
      </c>
      <c r="K34" s="52">
        <f>VLOOKUP(B34,'Non Store Retail'!$A:$D,3,)</f>
        <v/>
      </c>
      <c r="L34" s="53">
        <f>VLOOKUP(B34,'Non Store Retail'!$A:$D,4,)</f>
        <v/>
      </c>
      <c r="M34" s="52">
        <f>VLOOKUP(B34,'Food and Beverage'!$A:$D,3,)</f>
        <v/>
      </c>
      <c r="N34" s="52">
        <f>VLOOKUP(B34,'Food and Beverage'!$A:$D,4,)</f>
        <v/>
      </c>
      <c r="O34" s="52">
        <f>VLOOKUP(B34,'Food Services'!$A:$D,3,)</f>
        <v/>
      </c>
      <c r="P34" s="53">
        <f>VLOOKUP(B34,'Food Services'!$A:$D,4,)</f>
        <v/>
      </c>
      <c r="Q34" s="52">
        <f>VLOOKUP(B34,'General Merchandising'!$A:$D,3,)</f>
        <v/>
      </c>
      <c r="R34" s="53">
        <f>VLOOKUP(B34,'General Merchandising'!$A:$D,4,)</f>
        <v/>
      </c>
      <c r="S34" s="52">
        <f>VLOOKUP(B34,'Gas Station'!$A:$D,3,)</f>
        <v/>
      </c>
      <c r="T34" s="53">
        <f>VLOOKUP(B34,'Gas Station'!$A:$D,4,)</f>
        <v/>
      </c>
      <c r="U34" s="52">
        <f>VLOOKUP(B34,Housing!$A:$D,3,)</f>
        <v/>
      </c>
      <c r="V34" s="53">
        <f>VLOOKUP(B34,Housing!$A:$D,4,)</f>
        <v/>
      </c>
      <c r="W34" s="52">
        <f>VLOOKUP(B34,Health!$A:$D,3,)</f>
        <v/>
      </c>
      <c r="X34" s="53">
        <f>VLOOKUP(B34,Health!$A:$D,4,)</f>
        <v/>
      </c>
      <c r="Y34" s="52">
        <f>VLOOKUP(B34,'Clothing and clothing access'!$A:$D,3,)</f>
        <v/>
      </c>
      <c r="Z34" s="53">
        <f>VLOOKUP(B34,'Clothing and clothing access'!$A:$D,4,)</f>
        <v/>
      </c>
      <c r="AA34" s="52">
        <f>VLOOKUP(B34,'Furniture Home'!$A:$D,3,)</f>
        <v/>
      </c>
      <c r="AB34" s="53">
        <f>VLOOKUP(B34,'Furniture Home'!$A:$D,4,)</f>
        <v/>
      </c>
      <c r="AC34" s="52">
        <f>VLOOKUP(B34,'Miscellaneous stores retailers'!$A:$D,3,)</f>
        <v/>
      </c>
      <c r="AD34" s="53">
        <f>VLOOKUP(B34,'Miscellaneous stores retailers'!$A:$D,4,)</f>
        <v/>
      </c>
      <c r="AE34" s="52">
        <f>VLOOKUP(B34,'Sporting Goods'!$A:$D,3,)</f>
        <v/>
      </c>
      <c r="AF34" s="53">
        <f>VLOOKUP(B34,'Sporting Goods'!$A:$D,4,)</f>
        <v/>
      </c>
    </row>
    <row r="35">
      <c r="B35" s="56" t="n">
        <v>43891</v>
      </c>
      <c r="C35" s="52">
        <f>VLOOKUP(B35,'Retail Sales'!A:D,3,)</f>
        <v/>
      </c>
      <c r="D35" s="53">
        <f>VLOOKUP(B35,'Retail Sales'!A:D,4,)</f>
        <v/>
      </c>
      <c r="E35" s="52">
        <f>VLOOKUP(B35,'Retail Sales ex Auto'!$A:$D,3,)</f>
        <v/>
      </c>
      <c r="F35" s="53">
        <f>VLOOKUP(B35,'Retail Sales ex Auto'!$A:$D,4,)</f>
        <v/>
      </c>
      <c r="G35" s="52">
        <f>VLOOKUP(B35,'Retail Sales ex Auto and Gas'!$A:$D,3,)</f>
        <v/>
      </c>
      <c r="H35" s="53">
        <f>VLOOKUP(B35,'Retail Sales ex Auto and Gas'!$A:$D,4,)</f>
        <v/>
      </c>
      <c r="I35" s="52">
        <f>VLOOKUP(B35,Motor!$A:$D,3,)</f>
        <v/>
      </c>
      <c r="J35" s="53">
        <f>VLOOKUP(B35,Motor!$A:$D,4,)</f>
        <v/>
      </c>
      <c r="K35" s="52">
        <f>VLOOKUP(B35,'Non Store Retail'!$A:$D,3,)</f>
        <v/>
      </c>
      <c r="L35" s="53">
        <f>VLOOKUP(B35,'Non Store Retail'!$A:$D,4,)</f>
        <v/>
      </c>
      <c r="M35" s="52">
        <f>VLOOKUP(B35,'Food and Beverage'!$A:$D,3,)</f>
        <v/>
      </c>
      <c r="N35" s="52">
        <f>VLOOKUP(B35,'Food and Beverage'!$A:$D,4,)</f>
        <v/>
      </c>
      <c r="O35" s="52">
        <f>VLOOKUP(B35,'Food Services'!$A:$D,3,)</f>
        <v/>
      </c>
      <c r="P35" s="53">
        <f>VLOOKUP(B35,'Food Services'!$A:$D,4,)</f>
        <v/>
      </c>
      <c r="Q35" s="52">
        <f>VLOOKUP(B35,'General Merchandising'!$A:$D,3,)</f>
        <v/>
      </c>
      <c r="R35" s="53">
        <f>VLOOKUP(B35,'General Merchandising'!$A:$D,4,)</f>
        <v/>
      </c>
      <c r="S35" s="52">
        <f>VLOOKUP(B35,'Gas Station'!$A:$D,3,)</f>
        <v/>
      </c>
      <c r="T35" s="53">
        <f>VLOOKUP(B35,'Gas Station'!$A:$D,4,)</f>
        <v/>
      </c>
      <c r="U35" s="52">
        <f>VLOOKUP(B35,Housing!$A:$D,3,)</f>
        <v/>
      </c>
      <c r="V35" s="53">
        <f>VLOOKUP(B35,Housing!$A:$D,4,)</f>
        <v/>
      </c>
      <c r="W35" s="52">
        <f>VLOOKUP(B35,Health!$A:$D,3,)</f>
        <v/>
      </c>
      <c r="X35" s="53">
        <f>VLOOKUP(B35,Health!$A:$D,4,)</f>
        <v/>
      </c>
      <c r="Y35" s="52">
        <f>VLOOKUP(B35,'Clothing and clothing access'!$A:$D,3,)</f>
        <v/>
      </c>
      <c r="Z35" s="53">
        <f>VLOOKUP(B35,'Clothing and clothing access'!$A:$D,4,)</f>
        <v/>
      </c>
      <c r="AA35" s="52">
        <f>VLOOKUP(B35,'Furniture Home'!$A:$D,3,)</f>
        <v/>
      </c>
      <c r="AB35" s="53">
        <f>VLOOKUP(B35,'Furniture Home'!$A:$D,4,)</f>
        <v/>
      </c>
      <c r="AC35" s="52">
        <f>VLOOKUP(B35,'Miscellaneous stores retailers'!$A:$D,3,)</f>
        <v/>
      </c>
      <c r="AD35" s="53">
        <f>VLOOKUP(B35,'Miscellaneous stores retailers'!$A:$D,4,)</f>
        <v/>
      </c>
      <c r="AE35" s="52">
        <f>VLOOKUP(B35,'Sporting Goods'!$A:$D,3,)</f>
        <v/>
      </c>
      <c r="AF35" s="53">
        <f>VLOOKUP(B35,'Sporting Goods'!$A:$D,4,)</f>
        <v/>
      </c>
    </row>
    <row r="36">
      <c r="B36" s="56" t="n">
        <v>43922</v>
      </c>
      <c r="C36" s="52">
        <f>VLOOKUP(B36,'Retail Sales'!A:D,3,)</f>
        <v/>
      </c>
      <c r="D36" s="53">
        <f>VLOOKUP(B36,'Retail Sales'!A:D,4,)</f>
        <v/>
      </c>
      <c r="E36" s="52">
        <f>VLOOKUP(B36,'Retail Sales ex Auto'!$A:$D,3,)</f>
        <v/>
      </c>
      <c r="F36" s="53">
        <f>VLOOKUP(B36,'Retail Sales ex Auto'!$A:$D,4,)</f>
        <v/>
      </c>
      <c r="G36" s="52">
        <f>VLOOKUP(B36,'Retail Sales ex Auto and Gas'!$A:$D,3,)</f>
        <v/>
      </c>
      <c r="H36" s="53">
        <f>VLOOKUP(B36,'Retail Sales ex Auto and Gas'!$A:$D,4,)</f>
        <v/>
      </c>
      <c r="I36" s="52">
        <f>VLOOKUP(B36,Motor!$A:$D,3,)</f>
        <v/>
      </c>
      <c r="J36" s="53">
        <f>VLOOKUP(B36,Motor!$A:$D,4,)</f>
        <v/>
      </c>
      <c r="K36" s="52">
        <f>VLOOKUP(B36,'Non Store Retail'!$A:$D,3,)</f>
        <v/>
      </c>
      <c r="L36" s="53">
        <f>VLOOKUP(B36,'Non Store Retail'!$A:$D,4,)</f>
        <v/>
      </c>
      <c r="M36" s="52">
        <f>VLOOKUP(B36,'Food and Beverage'!$A:$D,3,)</f>
        <v/>
      </c>
      <c r="N36" s="52">
        <f>VLOOKUP(B36,'Food and Beverage'!$A:$D,4,)</f>
        <v/>
      </c>
      <c r="O36" s="52">
        <f>VLOOKUP(B36,'Food Services'!$A:$D,3,)</f>
        <v/>
      </c>
      <c r="P36" s="53">
        <f>VLOOKUP(B36,'Food Services'!$A:$D,4,)</f>
        <v/>
      </c>
      <c r="Q36" s="52">
        <f>VLOOKUP(B36,'General Merchandising'!$A:$D,3,)</f>
        <v/>
      </c>
      <c r="R36" s="53">
        <f>VLOOKUP(B36,'General Merchandising'!$A:$D,4,)</f>
        <v/>
      </c>
      <c r="S36" s="52">
        <f>VLOOKUP(B36,'Gas Station'!$A:$D,3,)</f>
        <v/>
      </c>
      <c r="T36" s="53">
        <f>VLOOKUP(B36,'Gas Station'!$A:$D,4,)</f>
        <v/>
      </c>
      <c r="U36" s="52">
        <f>VLOOKUP(B36,Housing!$A:$D,3,)</f>
        <v/>
      </c>
      <c r="V36" s="53">
        <f>VLOOKUP(B36,Housing!$A:$D,4,)</f>
        <v/>
      </c>
      <c r="W36" s="52">
        <f>VLOOKUP(B36,Health!$A:$D,3,)</f>
        <v/>
      </c>
      <c r="X36" s="53">
        <f>VLOOKUP(B36,Health!$A:$D,4,)</f>
        <v/>
      </c>
      <c r="Y36" s="52">
        <f>VLOOKUP(B36,'Clothing and clothing access'!$A:$D,3,)</f>
        <v/>
      </c>
      <c r="Z36" s="53">
        <f>VLOOKUP(B36,'Clothing and clothing access'!$A:$D,4,)</f>
        <v/>
      </c>
      <c r="AA36" s="52">
        <f>VLOOKUP(B36,'Furniture Home'!$A:$D,3,)</f>
        <v/>
      </c>
      <c r="AB36" s="53">
        <f>VLOOKUP(B36,'Furniture Home'!$A:$D,4,)</f>
        <v/>
      </c>
      <c r="AC36" s="52">
        <f>VLOOKUP(B36,'Miscellaneous stores retailers'!$A:$D,3,)</f>
        <v/>
      </c>
      <c r="AD36" s="53">
        <f>VLOOKUP(B36,'Miscellaneous stores retailers'!$A:$D,4,)</f>
        <v/>
      </c>
      <c r="AE36" s="52">
        <f>VLOOKUP(B36,'Sporting Goods'!$A:$D,3,)</f>
        <v/>
      </c>
      <c r="AF36" s="53">
        <f>VLOOKUP(B36,'Sporting Goods'!$A:$D,4,)</f>
        <v/>
      </c>
    </row>
    <row r="37">
      <c r="B37" s="56" t="n">
        <v>43952</v>
      </c>
      <c r="C37" s="52">
        <f>VLOOKUP(B37,'Retail Sales'!A:D,3,)</f>
        <v/>
      </c>
      <c r="D37" s="53">
        <f>VLOOKUP(B37,'Retail Sales'!A:D,4,)</f>
        <v/>
      </c>
      <c r="E37" s="52">
        <f>VLOOKUP(B37,'Retail Sales ex Auto'!$A:$D,3,)</f>
        <v/>
      </c>
      <c r="F37" s="53">
        <f>VLOOKUP(B37,'Retail Sales ex Auto'!$A:$D,4,)</f>
        <v/>
      </c>
      <c r="G37" s="52">
        <f>VLOOKUP(B37,'Retail Sales ex Auto and Gas'!$A:$D,3,)</f>
        <v/>
      </c>
      <c r="H37" s="53">
        <f>VLOOKUP(B37,'Retail Sales ex Auto and Gas'!$A:$D,4,)</f>
        <v/>
      </c>
      <c r="I37" s="52">
        <f>VLOOKUP(B37,Motor!$A:$D,3,)</f>
        <v/>
      </c>
      <c r="J37" s="53">
        <f>VLOOKUP(B37,Motor!$A:$D,4,)</f>
        <v/>
      </c>
      <c r="K37" s="52">
        <f>VLOOKUP(B37,'Non Store Retail'!$A:$D,3,)</f>
        <v/>
      </c>
      <c r="L37" s="53">
        <f>VLOOKUP(B37,'Non Store Retail'!$A:$D,4,)</f>
        <v/>
      </c>
      <c r="M37" s="52">
        <f>VLOOKUP(B37,'Food and Beverage'!$A:$D,3,)</f>
        <v/>
      </c>
      <c r="N37" s="52">
        <f>VLOOKUP(B37,'Food and Beverage'!$A:$D,4,)</f>
        <v/>
      </c>
      <c r="O37" s="52">
        <f>VLOOKUP(B37,'Food Services'!$A:$D,3,)</f>
        <v/>
      </c>
      <c r="P37" s="53">
        <f>VLOOKUP(B37,'Food Services'!$A:$D,4,)</f>
        <v/>
      </c>
      <c r="Q37" s="52">
        <f>VLOOKUP(B37,'General Merchandising'!$A:$D,3,)</f>
        <v/>
      </c>
      <c r="R37" s="53">
        <f>VLOOKUP(B37,'General Merchandising'!$A:$D,4,)</f>
        <v/>
      </c>
      <c r="S37" s="52">
        <f>VLOOKUP(B37,'Gas Station'!$A:$D,3,)</f>
        <v/>
      </c>
      <c r="T37" s="53">
        <f>VLOOKUP(B37,'Gas Station'!$A:$D,4,)</f>
        <v/>
      </c>
      <c r="U37" s="52">
        <f>VLOOKUP(B37,Housing!$A:$D,3,)</f>
        <v/>
      </c>
      <c r="V37" s="53">
        <f>VLOOKUP(B37,Housing!$A:$D,4,)</f>
        <v/>
      </c>
      <c r="W37" s="52">
        <f>VLOOKUP(B37,Health!$A:$D,3,)</f>
        <v/>
      </c>
      <c r="X37" s="53">
        <f>VLOOKUP(B37,Health!$A:$D,4,)</f>
        <v/>
      </c>
      <c r="Y37" s="52">
        <f>VLOOKUP(B37,'Clothing and clothing access'!$A:$D,3,)</f>
        <v/>
      </c>
      <c r="Z37" s="53">
        <f>VLOOKUP(B37,'Clothing and clothing access'!$A:$D,4,)</f>
        <v/>
      </c>
      <c r="AA37" s="52">
        <f>VLOOKUP(B37,'Furniture Home'!$A:$D,3,)</f>
        <v/>
      </c>
      <c r="AB37" s="53">
        <f>VLOOKUP(B37,'Furniture Home'!$A:$D,4,)</f>
        <v/>
      </c>
      <c r="AC37" s="52">
        <f>VLOOKUP(B37,'Miscellaneous stores retailers'!$A:$D,3,)</f>
        <v/>
      </c>
      <c r="AD37" s="53">
        <f>VLOOKUP(B37,'Miscellaneous stores retailers'!$A:$D,4,)</f>
        <v/>
      </c>
      <c r="AE37" s="52">
        <f>VLOOKUP(B37,'Sporting Goods'!$A:$D,3,)</f>
        <v/>
      </c>
      <c r="AF37" s="53">
        <f>VLOOKUP(B37,'Sporting Goods'!$A:$D,4,)</f>
        <v/>
      </c>
    </row>
    <row r="38">
      <c r="B38" s="56" t="n">
        <v>43983</v>
      </c>
      <c r="C38" s="52">
        <f>VLOOKUP(B38,'Retail Sales'!A:D,3,)</f>
        <v/>
      </c>
      <c r="D38" s="53">
        <f>VLOOKUP(B38,'Retail Sales'!A:D,4,)</f>
        <v/>
      </c>
      <c r="E38" s="52">
        <f>VLOOKUP(B38,'Retail Sales ex Auto'!$A:$D,3,)</f>
        <v/>
      </c>
      <c r="F38" s="53">
        <f>VLOOKUP(B38,'Retail Sales ex Auto'!$A:$D,4,)</f>
        <v/>
      </c>
      <c r="G38" s="52">
        <f>VLOOKUP(B38,'Retail Sales ex Auto and Gas'!$A:$D,3,)</f>
        <v/>
      </c>
      <c r="H38" s="53">
        <f>VLOOKUP(B38,'Retail Sales ex Auto and Gas'!$A:$D,4,)</f>
        <v/>
      </c>
      <c r="I38" s="52">
        <f>VLOOKUP(B38,Motor!$A:$D,3,)</f>
        <v/>
      </c>
      <c r="J38" s="53">
        <f>VLOOKUP(B38,Motor!$A:$D,4,)</f>
        <v/>
      </c>
      <c r="K38" s="52">
        <f>VLOOKUP(B38,'Non Store Retail'!$A:$D,3,)</f>
        <v/>
      </c>
      <c r="L38" s="53">
        <f>VLOOKUP(B38,'Non Store Retail'!$A:$D,4,)</f>
        <v/>
      </c>
      <c r="M38" s="52">
        <f>VLOOKUP(B38,'Food and Beverage'!$A:$D,3,)</f>
        <v/>
      </c>
      <c r="N38" s="52">
        <f>VLOOKUP(B38,'Food and Beverage'!$A:$D,4,)</f>
        <v/>
      </c>
      <c r="O38" s="52">
        <f>VLOOKUP(B38,'Food Services'!$A:$D,3,)</f>
        <v/>
      </c>
      <c r="P38" s="53">
        <f>VLOOKUP(B38,'Food Services'!$A:$D,4,)</f>
        <v/>
      </c>
      <c r="Q38" s="52">
        <f>VLOOKUP(B38,'General Merchandising'!$A:$D,3,)</f>
        <v/>
      </c>
      <c r="R38" s="53">
        <f>VLOOKUP(B38,'General Merchandising'!$A:$D,4,)</f>
        <v/>
      </c>
      <c r="S38" s="52">
        <f>VLOOKUP(B38,'Gas Station'!$A:$D,3,)</f>
        <v/>
      </c>
      <c r="T38" s="53">
        <f>VLOOKUP(B38,'Gas Station'!$A:$D,4,)</f>
        <v/>
      </c>
      <c r="U38" s="52">
        <f>VLOOKUP(B38,Housing!$A:$D,3,)</f>
        <v/>
      </c>
      <c r="V38" s="53">
        <f>VLOOKUP(B38,Housing!$A:$D,4,)</f>
        <v/>
      </c>
      <c r="W38" s="52">
        <f>VLOOKUP(B38,Health!$A:$D,3,)</f>
        <v/>
      </c>
      <c r="X38" s="53">
        <f>VLOOKUP(B38,Health!$A:$D,4,)</f>
        <v/>
      </c>
      <c r="Y38" s="52">
        <f>VLOOKUP(B38,'Clothing and clothing access'!$A:$D,3,)</f>
        <v/>
      </c>
      <c r="Z38" s="53">
        <f>VLOOKUP(B38,'Clothing and clothing access'!$A:$D,4,)</f>
        <v/>
      </c>
      <c r="AA38" s="52">
        <f>VLOOKUP(B38,'Furniture Home'!$A:$D,3,)</f>
        <v/>
      </c>
      <c r="AB38" s="53">
        <f>VLOOKUP(B38,'Furniture Home'!$A:$D,4,)</f>
        <v/>
      </c>
      <c r="AC38" s="52">
        <f>VLOOKUP(B38,'Miscellaneous stores retailers'!$A:$D,3,)</f>
        <v/>
      </c>
      <c r="AD38" s="53">
        <f>VLOOKUP(B38,'Miscellaneous stores retailers'!$A:$D,4,)</f>
        <v/>
      </c>
      <c r="AE38" s="52">
        <f>VLOOKUP(B38,'Sporting Goods'!$A:$D,3,)</f>
        <v/>
      </c>
      <c r="AF38" s="53">
        <f>VLOOKUP(B38,'Sporting Goods'!$A:$D,4,)</f>
        <v/>
      </c>
    </row>
    <row r="39">
      <c r="B39" s="56" t="n">
        <v>44013</v>
      </c>
      <c r="C39" s="52">
        <f>VLOOKUP(B39,'Retail Sales'!A:D,3,)</f>
        <v/>
      </c>
      <c r="D39" s="53">
        <f>VLOOKUP(B39,'Retail Sales'!A:D,4,)</f>
        <v/>
      </c>
      <c r="E39" s="52">
        <f>VLOOKUP(B39,'Retail Sales ex Auto'!$A:$D,3,)</f>
        <v/>
      </c>
      <c r="F39" s="53">
        <f>VLOOKUP(B39,'Retail Sales ex Auto'!$A:$D,4,)</f>
        <v/>
      </c>
      <c r="G39" s="52">
        <f>VLOOKUP(B39,'Retail Sales ex Auto and Gas'!$A:$D,3,)</f>
        <v/>
      </c>
      <c r="H39" s="53">
        <f>VLOOKUP(B39,'Retail Sales ex Auto and Gas'!$A:$D,4,)</f>
        <v/>
      </c>
      <c r="I39" s="52">
        <f>VLOOKUP(B39,Motor!$A:$D,3,)</f>
        <v/>
      </c>
      <c r="J39" s="53">
        <f>VLOOKUP(B39,Motor!$A:$D,4,)</f>
        <v/>
      </c>
      <c r="K39" s="52">
        <f>VLOOKUP(B39,'Non Store Retail'!$A:$D,3,)</f>
        <v/>
      </c>
      <c r="L39" s="53">
        <f>VLOOKUP(B39,'Non Store Retail'!$A:$D,4,)</f>
        <v/>
      </c>
      <c r="M39" s="52">
        <f>VLOOKUP(B39,'Food and Beverage'!$A:$D,3,)</f>
        <v/>
      </c>
      <c r="N39" s="52">
        <f>VLOOKUP(B39,'Food and Beverage'!$A:$D,4,)</f>
        <v/>
      </c>
      <c r="O39" s="52">
        <f>VLOOKUP(B39,'Food Services'!$A:$D,3,)</f>
        <v/>
      </c>
      <c r="P39" s="53">
        <f>VLOOKUP(B39,'Food Services'!$A:$D,4,)</f>
        <v/>
      </c>
      <c r="Q39" s="52">
        <f>VLOOKUP(B39,'General Merchandising'!$A:$D,3,)</f>
        <v/>
      </c>
      <c r="R39" s="53">
        <f>VLOOKUP(B39,'General Merchandising'!$A:$D,4,)</f>
        <v/>
      </c>
      <c r="S39" s="52">
        <f>VLOOKUP(B39,'Gas Station'!$A:$D,3,)</f>
        <v/>
      </c>
      <c r="T39" s="53">
        <f>VLOOKUP(B39,'Gas Station'!$A:$D,4,)</f>
        <v/>
      </c>
      <c r="U39" s="52">
        <f>VLOOKUP(B39,Housing!$A:$D,3,)</f>
        <v/>
      </c>
      <c r="V39" s="53">
        <f>VLOOKUP(B39,Housing!$A:$D,4,)</f>
        <v/>
      </c>
      <c r="W39" s="52">
        <f>VLOOKUP(B39,Health!$A:$D,3,)</f>
        <v/>
      </c>
      <c r="X39" s="53">
        <f>VLOOKUP(B39,Health!$A:$D,4,)</f>
        <v/>
      </c>
      <c r="Y39" s="52">
        <f>VLOOKUP(B39,'Clothing and clothing access'!$A:$D,3,)</f>
        <v/>
      </c>
      <c r="Z39" s="53">
        <f>VLOOKUP(B39,'Clothing and clothing access'!$A:$D,4,)</f>
        <v/>
      </c>
      <c r="AA39" s="52">
        <f>VLOOKUP(B39,'Furniture Home'!$A:$D,3,)</f>
        <v/>
      </c>
      <c r="AB39" s="53">
        <f>VLOOKUP(B39,'Furniture Home'!$A:$D,4,)</f>
        <v/>
      </c>
      <c r="AC39" s="52">
        <f>VLOOKUP(B39,'Miscellaneous stores retailers'!$A:$D,3,)</f>
        <v/>
      </c>
      <c r="AD39" s="53">
        <f>VLOOKUP(B39,'Miscellaneous stores retailers'!$A:$D,4,)</f>
        <v/>
      </c>
      <c r="AE39" s="52">
        <f>VLOOKUP(B39,'Sporting Goods'!$A:$D,3,)</f>
        <v/>
      </c>
      <c r="AF39" s="53">
        <f>VLOOKUP(B39,'Sporting Goods'!$A:$D,4,)</f>
        <v/>
      </c>
    </row>
    <row r="40">
      <c r="B40" s="56" t="n">
        <v>44044</v>
      </c>
      <c r="C40" s="52">
        <f>VLOOKUP(B40,'Retail Sales'!A:D,3,)</f>
        <v/>
      </c>
      <c r="D40" s="53">
        <f>VLOOKUP(B40,'Retail Sales'!A:D,4,)</f>
        <v/>
      </c>
      <c r="E40" s="52">
        <f>VLOOKUP(B40,'Retail Sales ex Auto'!$A:$D,3,)</f>
        <v/>
      </c>
      <c r="F40" s="53">
        <f>VLOOKUP(B40,'Retail Sales ex Auto'!$A:$D,4,)</f>
        <v/>
      </c>
      <c r="G40" s="52">
        <f>VLOOKUP(B40,'Retail Sales ex Auto and Gas'!$A:$D,3,)</f>
        <v/>
      </c>
      <c r="H40" s="53">
        <f>VLOOKUP(B40,'Retail Sales ex Auto and Gas'!$A:$D,4,)</f>
        <v/>
      </c>
      <c r="I40" s="52">
        <f>VLOOKUP(B40,Motor!$A:$D,3,)</f>
        <v/>
      </c>
      <c r="J40" s="53">
        <f>VLOOKUP(B40,Motor!$A:$D,4,)</f>
        <v/>
      </c>
      <c r="K40" s="52">
        <f>VLOOKUP(B40,'Non Store Retail'!$A:$D,3,)</f>
        <v/>
      </c>
      <c r="L40" s="53">
        <f>VLOOKUP(B40,'Non Store Retail'!$A:$D,4,)</f>
        <v/>
      </c>
      <c r="M40" s="52">
        <f>VLOOKUP(B40,'Food and Beverage'!$A:$D,3,)</f>
        <v/>
      </c>
      <c r="N40" s="52">
        <f>VLOOKUP(B40,'Food and Beverage'!$A:$D,4,)</f>
        <v/>
      </c>
      <c r="O40" s="52">
        <f>VLOOKUP(B40,'Food Services'!$A:$D,3,)</f>
        <v/>
      </c>
      <c r="P40" s="53">
        <f>VLOOKUP(B40,'Food Services'!$A:$D,4,)</f>
        <v/>
      </c>
      <c r="Q40" s="52">
        <f>VLOOKUP(B40,'General Merchandising'!$A:$D,3,)</f>
        <v/>
      </c>
      <c r="R40" s="53">
        <f>VLOOKUP(B40,'General Merchandising'!$A:$D,4,)</f>
        <v/>
      </c>
      <c r="S40" s="52">
        <f>VLOOKUP(B40,'Gas Station'!$A:$D,3,)</f>
        <v/>
      </c>
      <c r="T40" s="53">
        <f>VLOOKUP(B40,'Gas Station'!$A:$D,4,)</f>
        <v/>
      </c>
      <c r="U40" s="52">
        <f>VLOOKUP(B40,Housing!$A:$D,3,)</f>
        <v/>
      </c>
      <c r="V40" s="53">
        <f>VLOOKUP(B40,Housing!$A:$D,4,)</f>
        <v/>
      </c>
      <c r="W40" s="52">
        <f>VLOOKUP(B40,Health!$A:$D,3,)</f>
        <v/>
      </c>
      <c r="X40" s="53">
        <f>VLOOKUP(B40,Health!$A:$D,4,)</f>
        <v/>
      </c>
      <c r="Y40" s="52">
        <f>VLOOKUP(B40,'Clothing and clothing access'!$A:$D,3,)</f>
        <v/>
      </c>
      <c r="Z40" s="53">
        <f>VLOOKUP(B40,'Clothing and clothing access'!$A:$D,4,)</f>
        <v/>
      </c>
      <c r="AA40" s="52">
        <f>VLOOKUP(B40,'Furniture Home'!$A:$D,3,)</f>
        <v/>
      </c>
      <c r="AB40" s="53">
        <f>VLOOKUP(B40,'Furniture Home'!$A:$D,4,)</f>
        <v/>
      </c>
      <c r="AC40" s="52">
        <f>VLOOKUP(B40,'Miscellaneous stores retailers'!$A:$D,3,)</f>
        <v/>
      </c>
      <c r="AD40" s="53">
        <f>VLOOKUP(B40,'Miscellaneous stores retailers'!$A:$D,4,)</f>
        <v/>
      </c>
      <c r="AE40" s="52">
        <f>VLOOKUP(B40,'Sporting Goods'!$A:$D,3,)</f>
        <v/>
      </c>
      <c r="AF40" s="53">
        <f>VLOOKUP(B40,'Sporting Goods'!$A:$D,4,)</f>
        <v/>
      </c>
    </row>
    <row r="41">
      <c r="B41" s="56" t="n">
        <v>44075</v>
      </c>
      <c r="C41" s="52">
        <f>VLOOKUP(B41,'Retail Sales'!A:D,3,)</f>
        <v/>
      </c>
      <c r="D41" s="53">
        <f>VLOOKUP(B41,'Retail Sales'!A:D,4,)</f>
        <v/>
      </c>
      <c r="E41" s="52">
        <f>VLOOKUP(B41,'Retail Sales ex Auto'!$A:$D,3,)</f>
        <v/>
      </c>
      <c r="F41" s="53">
        <f>VLOOKUP(B41,'Retail Sales ex Auto'!$A:$D,4,)</f>
        <v/>
      </c>
      <c r="G41" s="52">
        <f>VLOOKUP(B41,'Retail Sales ex Auto and Gas'!$A:$D,3,)</f>
        <v/>
      </c>
      <c r="H41" s="53">
        <f>VLOOKUP(B41,'Retail Sales ex Auto and Gas'!$A:$D,4,)</f>
        <v/>
      </c>
      <c r="I41" s="52">
        <f>VLOOKUP(B41,Motor!$A:$D,3,)</f>
        <v/>
      </c>
      <c r="J41" s="53">
        <f>VLOOKUP(B41,Motor!$A:$D,4,)</f>
        <v/>
      </c>
      <c r="K41" s="52">
        <f>VLOOKUP(B41,'Non Store Retail'!$A:$D,3,)</f>
        <v/>
      </c>
      <c r="L41" s="53">
        <f>VLOOKUP(B41,'Non Store Retail'!$A:$D,4,)</f>
        <v/>
      </c>
      <c r="M41" s="52">
        <f>VLOOKUP(B41,'Food and Beverage'!$A:$D,3,)</f>
        <v/>
      </c>
      <c r="N41" s="52">
        <f>VLOOKUP(B41,'Food and Beverage'!$A:$D,4,)</f>
        <v/>
      </c>
      <c r="O41" s="52">
        <f>VLOOKUP(B41,'Food Services'!$A:$D,3,)</f>
        <v/>
      </c>
      <c r="P41" s="53">
        <f>VLOOKUP(B41,'Food Services'!$A:$D,4,)</f>
        <v/>
      </c>
      <c r="Q41" s="52">
        <f>VLOOKUP(B41,'General Merchandising'!$A:$D,3,)</f>
        <v/>
      </c>
      <c r="R41" s="53">
        <f>VLOOKUP(B41,'General Merchandising'!$A:$D,4,)</f>
        <v/>
      </c>
      <c r="S41" s="52">
        <f>VLOOKUP(B41,'Gas Station'!$A:$D,3,)</f>
        <v/>
      </c>
      <c r="T41" s="53">
        <f>VLOOKUP(B41,'Gas Station'!$A:$D,4,)</f>
        <v/>
      </c>
      <c r="U41" s="52">
        <f>VLOOKUP(B41,Housing!$A:$D,3,)</f>
        <v/>
      </c>
      <c r="V41" s="53">
        <f>VLOOKUP(B41,Housing!$A:$D,4,)</f>
        <v/>
      </c>
      <c r="W41" s="52">
        <f>VLOOKUP(B41,Health!$A:$D,3,)</f>
        <v/>
      </c>
      <c r="X41" s="53">
        <f>VLOOKUP(B41,Health!$A:$D,4,)</f>
        <v/>
      </c>
      <c r="Y41" s="52">
        <f>VLOOKUP(B41,'Clothing and clothing access'!$A:$D,3,)</f>
        <v/>
      </c>
      <c r="Z41" s="53">
        <f>VLOOKUP(B41,'Clothing and clothing access'!$A:$D,4,)</f>
        <v/>
      </c>
      <c r="AA41" s="52">
        <f>VLOOKUP(B41,'Furniture Home'!$A:$D,3,)</f>
        <v/>
      </c>
      <c r="AB41" s="53">
        <f>VLOOKUP(B41,'Furniture Home'!$A:$D,4,)</f>
        <v/>
      </c>
      <c r="AC41" s="52">
        <f>VLOOKUP(B41,'Miscellaneous stores retailers'!$A:$D,3,)</f>
        <v/>
      </c>
      <c r="AD41" s="53">
        <f>VLOOKUP(B41,'Miscellaneous stores retailers'!$A:$D,4,)</f>
        <v/>
      </c>
      <c r="AE41" s="52">
        <f>VLOOKUP(B41,'Sporting Goods'!$A:$D,3,)</f>
        <v/>
      </c>
      <c r="AF41" s="53">
        <f>VLOOKUP(B41,'Sporting Goods'!$A:$D,4,)</f>
        <v/>
      </c>
    </row>
    <row r="42">
      <c r="B42" s="56" t="n">
        <v>44105</v>
      </c>
      <c r="C42" s="52">
        <f>VLOOKUP(B42,'Retail Sales'!A:D,3,)</f>
        <v/>
      </c>
      <c r="D42" s="53">
        <f>VLOOKUP(B42,'Retail Sales'!A:D,4,)</f>
        <v/>
      </c>
      <c r="E42" s="52">
        <f>VLOOKUP(B42,'Retail Sales ex Auto'!$A:$D,3,)</f>
        <v/>
      </c>
      <c r="F42" s="53">
        <f>VLOOKUP(B42,'Retail Sales ex Auto'!$A:$D,4,)</f>
        <v/>
      </c>
      <c r="G42" s="52">
        <f>VLOOKUP(B42,'Retail Sales ex Auto and Gas'!$A:$D,3,)</f>
        <v/>
      </c>
      <c r="H42" s="53">
        <f>VLOOKUP(B42,'Retail Sales ex Auto and Gas'!$A:$D,4,)</f>
        <v/>
      </c>
      <c r="I42" s="52">
        <f>VLOOKUP(B42,Motor!$A:$D,3,)</f>
        <v/>
      </c>
      <c r="J42" s="53">
        <f>VLOOKUP(B42,Motor!$A:$D,4,)</f>
        <v/>
      </c>
      <c r="K42" s="52">
        <f>VLOOKUP(B42,'Non Store Retail'!$A:$D,3,)</f>
        <v/>
      </c>
      <c r="L42" s="53">
        <f>VLOOKUP(B42,'Non Store Retail'!$A:$D,4,)</f>
        <v/>
      </c>
      <c r="M42" s="52">
        <f>VLOOKUP(B42,'Food and Beverage'!$A:$D,3,)</f>
        <v/>
      </c>
      <c r="N42" s="52">
        <f>VLOOKUP(B42,'Food and Beverage'!$A:$D,4,)</f>
        <v/>
      </c>
      <c r="O42" s="52">
        <f>VLOOKUP(B42,'Food Services'!$A:$D,3,)</f>
        <v/>
      </c>
      <c r="P42" s="53">
        <f>VLOOKUP(B42,'Food Services'!$A:$D,4,)</f>
        <v/>
      </c>
      <c r="Q42" s="52">
        <f>VLOOKUP(B42,'General Merchandising'!$A:$D,3,)</f>
        <v/>
      </c>
      <c r="R42" s="53">
        <f>VLOOKUP(B42,'General Merchandising'!$A:$D,4,)</f>
        <v/>
      </c>
      <c r="S42" s="52">
        <f>VLOOKUP(B42,'Gas Station'!$A:$D,3,)</f>
        <v/>
      </c>
      <c r="T42" s="53">
        <f>VLOOKUP(B42,'Gas Station'!$A:$D,4,)</f>
        <v/>
      </c>
      <c r="U42" s="52">
        <f>VLOOKUP(B42,Housing!$A:$D,3,)</f>
        <v/>
      </c>
      <c r="V42" s="53">
        <f>VLOOKUP(B42,Housing!$A:$D,4,)</f>
        <v/>
      </c>
      <c r="W42" s="52">
        <f>VLOOKUP(B42,Health!$A:$D,3,)</f>
        <v/>
      </c>
      <c r="X42" s="53">
        <f>VLOOKUP(B42,Health!$A:$D,4,)</f>
        <v/>
      </c>
      <c r="Y42" s="52">
        <f>VLOOKUP(B42,'Clothing and clothing access'!$A:$D,3,)</f>
        <v/>
      </c>
      <c r="Z42" s="53">
        <f>VLOOKUP(B42,'Clothing and clothing access'!$A:$D,4,)</f>
        <v/>
      </c>
      <c r="AA42" s="52">
        <f>VLOOKUP(B42,'Furniture Home'!$A:$D,3,)</f>
        <v/>
      </c>
      <c r="AB42" s="53">
        <f>VLOOKUP(B42,'Furniture Home'!$A:$D,4,)</f>
        <v/>
      </c>
      <c r="AC42" s="52">
        <f>VLOOKUP(B42,'Miscellaneous stores retailers'!$A:$D,3,)</f>
        <v/>
      </c>
      <c r="AD42" s="53">
        <f>VLOOKUP(B42,'Miscellaneous stores retailers'!$A:$D,4,)</f>
        <v/>
      </c>
      <c r="AE42" s="52">
        <f>VLOOKUP(B42,'Sporting Goods'!$A:$D,3,)</f>
        <v/>
      </c>
      <c r="AF42" s="53">
        <f>VLOOKUP(B42,'Sporting Goods'!$A:$D,4,)</f>
        <v/>
      </c>
    </row>
    <row r="43">
      <c r="B43" s="56" t="n">
        <v>44136</v>
      </c>
      <c r="C43" s="52">
        <f>VLOOKUP(B43,'Retail Sales'!A:D,3,)</f>
        <v/>
      </c>
      <c r="D43" s="53">
        <f>VLOOKUP(B43,'Retail Sales'!A:D,4,)</f>
        <v/>
      </c>
      <c r="E43" s="52">
        <f>VLOOKUP(B43,'Retail Sales ex Auto'!$A:$D,3,)</f>
        <v/>
      </c>
      <c r="F43" s="53">
        <f>VLOOKUP(B43,'Retail Sales ex Auto'!$A:$D,4,)</f>
        <v/>
      </c>
      <c r="G43" s="52">
        <f>VLOOKUP(B43,'Retail Sales ex Auto and Gas'!$A:$D,3,)</f>
        <v/>
      </c>
      <c r="H43" s="53">
        <f>VLOOKUP(B43,'Retail Sales ex Auto and Gas'!$A:$D,4,)</f>
        <v/>
      </c>
      <c r="I43" s="52">
        <f>VLOOKUP(B43,Motor!$A:$D,3,)</f>
        <v/>
      </c>
      <c r="J43" s="53">
        <f>VLOOKUP(B43,Motor!$A:$D,4,)</f>
        <v/>
      </c>
      <c r="K43" s="52">
        <f>VLOOKUP(B43,'Non Store Retail'!$A:$D,3,)</f>
        <v/>
      </c>
      <c r="L43" s="53">
        <f>VLOOKUP(B43,'Non Store Retail'!$A:$D,4,)</f>
        <v/>
      </c>
      <c r="M43" s="52">
        <f>VLOOKUP(B43,'Food and Beverage'!$A:$D,3,)</f>
        <v/>
      </c>
      <c r="N43" s="52">
        <f>VLOOKUP(B43,'Food and Beverage'!$A:$D,4,)</f>
        <v/>
      </c>
      <c r="O43" s="52">
        <f>VLOOKUP(B43,'Food Services'!$A:$D,3,)</f>
        <v/>
      </c>
      <c r="P43" s="53">
        <f>VLOOKUP(B43,'Food Services'!$A:$D,4,)</f>
        <v/>
      </c>
      <c r="Q43" s="52">
        <f>VLOOKUP(B43,'General Merchandising'!$A:$D,3,)</f>
        <v/>
      </c>
      <c r="R43" s="53">
        <f>VLOOKUP(B43,'General Merchandising'!$A:$D,4,)</f>
        <v/>
      </c>
      <c r="S43" s="52">
        <f>VLOOKUP(B43,'Gas Station'!$A:$D,3,)</f>
        <v/>
      </c>
      <c r="T43" s="53">
        <f>VLOOKUP(B43,'Gas Station'!$A:$D,4,)</f>
        <v/>
      </c>
      <c r="U43" s="52">
        <f>VLOOKUP(B43,Housing!$A:$D,3,)</f>
        <v/>
      </c>
      <c r="V43" s="53">
        <f>VLOOKUP(B43,Housing!$A:$D,4,)</f>
        <v/>
      </c>
      <c r="W43" s="52">
        <f>VLOOKUP(B43,Health!$A:$D,3,)</f>
        <v/>
      </c>
      <c r="X43" s="53">
        <f>VLOOKUP(B43,Health!$A:$D,4,)</f>
        <v/>
      </c>
      <c r="Y43" s="52">
        <f>VLOOKUP(B43,'Clothing and clothing access'!$A:$D,3,)</f>
        <v/>
      </c>
      <c r="Z43" s="53">
        <f>VLOOKUP(B43,'Clothing and clothing access'!$A:$D,4,)</f>
        <v/>
      </c>
      <c r="AA43" s="52">
        <f>VLOOKUP(B43,'Furniture Home'!$A:$D,3,)</f>
        <v/>
      </c>
      <c r="AB43" s="53">
        <f>VLOOKUP(B43,'Furniture Home'!$A:$D,4,)</f>
        <v/>
      </c>
      <c r="AC43" s="52">
        <f>VLOOKUP(B43,'Miscellaneous stores retailers'!$A:$D,3,)</f>
        <v/>
      </c>
      <c r="AD43" s="53">
        <f>VLOOKUP(B43,'Miscellaneous stores retailers'!$A:$D,4,)</f>
        <v/>
      </c>
      <c r="AE43" s="52">
        <f>VLOOKUP(B43,'Sporting Goods'!$A:$D,3,)</f>
        <v/>
      </c>
      <c r="AF43" s="53">
        <f>VLOOKUP(B43,'Sporting Goods'!$A:$D,4,)</f>
        <v/>
      </c>
    </row>
    <row r="44">
      <c r="B44" s="56" t="n">
        <v>44166</v>
      </c>
      <c r="C44" s="52">
        <f>VLOOKUP(B44,'Retail Sales'!A:D,3,)</f>
        <v/>
      </c>
      <c r="D44" s="53">
        <f>VLOOKUP(B44,'Retail Sales'!A:D,4,)</f>
        <v/>
      </c>
      <c r="E44" s="52">
        <f>VLOOKUP(B44,'Retail Sales ex Auto'!$A:$D,3,)</f>
        <v/>
      </c>
      <c r="F44" s="53">
        <f>VLOOKUP(B44,'Retail Sales ex Auto'!$A:$D,4,)</f>
        <v/>
      </c>
      <c r="G44" s="52">
        <f>VLOOKUP(B44,'Retail Sales ex Auto and Gas'!$A:$D,3,)</f>
        <v/>
      </c>
      <c r="H44" s="53">
        <f>VLOOKUP(B44,'Retail Sales ex Auto and Gas'!$A:$D,4,)</f>
        <v/>
      </c>
      <c r="I44" s="52">
        <f>VLOOKUP(B44,Motor!$A:$D,3,)</f>
        <v/>
      </c>
      <c r="J44" s="53">
        <f>VLOOKUP(B44,Motor!$A:$D,4,)</f>
        <v/>
      </c>
      <c r="K44" s="52">
        <f>VLOOKUP(B44,'Non Store Retail'!$A:$D,3,)</f>
        <v/>
      </c>
      <c r="L44" s="53">
        <f>VLOOKUP(B44,'Non Store Retail'!$A:$D,4,)</f>
        <v/>
      </c>
      <c r="M44" s="52">
        <f>VLOOKUP(B44,'Food and Beverage'!$A:$D,3,)</f>
        <v/>
      </c>
      <c r="N44" s="52">
        <f>VLOOKUP(B44,'Food and Beverage'!$A:$D,4,)</f>
        <v/>
      </c>
      <c r="O44" s="52">
        <f>VLOOKUP(B44,'Food Services'!$A:$D,3,)</f>
        <v/>
      </c>
      <c r="P44" s="53">
        <f>VLOOKUP(B44,'Food Services'!$A:$D,4,)</f>
        <v/>
      </c>
      <c r="Q44" s="52">
        <f>VLOOKUP(B44,'General Merchandising'!$A:$D,3,)</f>
        <v/>
      </c>
      <c r="R44" s="53">
        <f>VLOOKUP(B44,'General Merchandising'!$A:$D,4,)</f>
        <v/>
      </c>
      <c r="S44" s="52">
        <f>VLOOKUP(B44,'Gas Station'!$A:$D,3,)</f>
        <v/>
      </c>
      <c r="T44" s="53">
        <f>VLOOKUP(B44,'Gas Station'!$A:$D,4,)</f>
        <v/>
      </c>
      <c r="U44" s="52">
        <f>VLOOKUP(B44,Housing!$A:$D,3,)</f>
        <v/>
      </c>
      <c r="V44" s="53">
        <f>VLOOKUP(B44,Housing!$A:$D,4,)</f>
        <v/>
      </c>
      <c r="W44" s="52">
        <f>VLOOKUP(B44,Health!$A:$D,3,)</f>
        <v/>
      </c>
      <c r="X44" s="53">
        <f>VLOOKUP(B44,Health!$A:$D,4,)</f>
        <v/>
      </c>
      <c r="Y44" s="52">
        <f>VLOOKUP(B44,'Clothing and clothing access'!$A:$D,3,)</f>
        <v/>
      </c>
      <c r="Z44" s="53">
        <f>VLOOKUP(B44,'Clothing and clothing access'!$A:$D,4,)</f>
        <v/>
      </c>
      <c r="AA44" s="52">
        <f>VLOOKUP(B44,'Furniture Home'!$A:$D,3,)</f>
        <v/>
      </c>
      <c r="AB44" s="53">
        <f>VLOOKUP(B44,'Furniture Home'!$A:$D,4,)</f>
        <v/>
      </c>
      <c r="AC44" s="52">
        <f>VLOOKUP(B44,'Miscellaneous stores retailers'!$A:$D,3,)</f>
        <v/>
      </c>
      <c r="AD44" s="53">
        <f>VLOOKUP(B44,'Miscellaneous stores retailers'!$A:$D,4,)</f>
        <v/>
      </c>
      <c r="AE44" s="52">
        <f>VLOOKUP(B44,'Sporting Goods'!$A:$D,3,)</f>
        <v/>
      </c>
      <c r="AF44" s="53">
        <f>VLOOKUP(B44,'Sporting Goods'!$A:$D,4,)</f>
        <v/>
      </c>
    </row>
    <row r="45">
      <c r="B45" s="56" t="n">
        <v>44197</v>
      </c>
      <c r="C45" s="52">
        <f>VLOOKUP(B45,'Retail Sales'!A:D,3,)</f>
        <v/>
      </c>
      <c r="D45" s="53">
        <f>VLOOKUP(B45,'Retail Sales'!A:D,4,)</f>
        <v/>
      </c>
      <c r="E45" s="52">
        <f>VLOOKUP(B45,'Retail Sales ex Auto'!$A:$D,3,)</f>
        <v/>
      </c>
      <c r="F45" s="53">
        <f>VLOOKUP(B45,'Retail Sales ex Auto'!$A:$D,4,)</f>
        <v/>
      </c>
      <c r="G45" s="52">
        <f>VLOOKUP(B45,'Retail Sales ex Auto and Gas'!$A:$D,3,)</f>
        <v/>
      </c>
      <c r="H45" s="53">
        <f>VLOOKUP(B45,'Retail Sales ex Auto and Gas'!$A:$D,4,)</f>
        <v/>
      </c>
      <c r="I45" s="52">
        <f>VLOOKUP(B45,Motor!$A:$D,3,)</f>
        <v/>
      </c>
      <c r="J45" s="53">
        <f>VLOOKUP(B45,Motor!$A:$D,4,)</f>
        <v/>
      </c>
      <c r="K45" s="52">
        <f>VLOOKUP(B45,'Non Store Retail'!$A:$D,3,)</f>
        <v/>
      </c>
      <c r="L45" s="53">
        <f>VLOOKUP(B45,'Non Store Retail'!$A:$D,4,)</f>
        <v/>
      </c>
      <c r="M45" s="52">
        <f>VLOOKUP(B45,'Food and Beverage'!$A:$D,3,)</f>
        <v/>
      </c>
      <c r="N45" s="52">
        <f>VLOOKUP(B45,'Food and Beverage'!$A:$D,4,)</f>
        <v/>
      </c>
      <c r="O45" s="52">
        <f>VLOOKUP(B45,'Food Services'!$A:$D,3,)</f>
        <v/>
      </c>
      <c r="P45" s="53">
        <f>VLOOKUP(B45,'Food Services'!$A:$D,4,)</f>
        <v/>
      </c>
      <c r="Q45" s="52">
        <f>VLOOKUP(B45,'General Merchandising'!$A:$D,3,)</f>
        <v/>
      </c>
      <c r="R45" s="53">
        <f>VLOOKUP(B45,'General Merchandising'!$A:$D,4,)</f>
        <v/>
      </c>
      <c r="S45" s="52">
        <f>VLOOKUP(B45,'Gas Station'!$A:$D,3,)</f>
        <v/>
      </c>
      <c r="T45" s="53">
        <f>VLOOKUP(B45,'Gas Station'!$A:$D,4,)</f>
        <v/>
      </c>
      <c r="U45" s="52">
        <f>VLOOKUP(B45,Housing!$A:$D,3,)</f>
        <v/>
      </c>
      <c r="V45" s="53">
        <f>VLOOKUP(B45,Housing!$A:$D,4,)</f>
        <v/>
      </c>
      <c r="W45" s="52">
        <f>VLOOKUP(B45,Health!$A:$D,3,)</f>
        <v/>
      </c>
      <c r="X45" s="53">
        <f>VLOOKUP(B45,Health!$A:$D,4,)</f>
        <v/>
      </c>
      <c r="Y45" s="52">
        <f>VLOOKUP(B45,'Clothing and clothing access'!$A:$D,3,)</f>
        <v/>
      </c>
      <c r="Z45" s="53">
        <f>VLOOKUP(B45,'Clothing and clothing access'!$A:$D,4,)</f>
        <v/>
      </c>
      <c r="AA45" s="52">
        <f>VLOOKUP(B45,'Furniture Home'!$A:$D,3,)</f>
        <v/>
      </c>
      <c r="AB45" s="53">
        <f>VLOOKUP(B45,'Furniture Home'!$A:$D,4,)</f>
        <v/>
      </c>
      <c r="AC45" s="52">
        <f>VLOOKUP(B45,'Miscellaneous stores retailers'!$A:$D,3,)</f>
        <v/>
      </c>
      <c r="AD45" s="53">
        <f>VLOOKUP(B45,'Miscellaneous stores retailers'!$A:$D,4,)</f>
        <v/>
      </c>
      <c r="AE45" s="52">
        <f>VLOOKUP(B45,'Sporting Goods'!$A:$D,3,)</f>
        <v/>
      </c>
      <c r="AF45" s="53">
        <f>VLOOKUP(B45,'Sporting Goods'!$A:$D,4,)</f>
        <v/>
      </c>
    </row>
    <row r="46">
      <c r="B46" s="56" t="n">
        <v>44228</v>
      </c>
      <c r="C46" s="52">
        <f>VLOOKUP(B46,'Retail Sales'!A:D,3,)</f>
        <v/>
      </c>
      <c r="D46" s="53">
        <f>VLOOKUP(B46,'Retail Sales'!A:D,4,)</f>
        <v/>
      </c>
      <c r="E46" s="52">
        <f>VLOOKUP(B46,'Retail Sales ex Auto'!$A:$D,3,)</f>
        <v/>
      </c>
      <c r="F46" s="53">
        <f>VLOOKUP(B46,'Retail Sales ex Auto'!$A:$D,4,)</f>
        <v/>
      </c>
      <c r="G46" s="52">
        <f>VLOOKUP(B46,'Retail Sales ex Auto and Gas'!$A:$D,3,)</f>
        <v/>
      </c>
      <c r="H46" s="53">
        <f>VLOOKUP(B46,'Retail Sales ex Auto and Gas'!$A:$D,4,)</f>
        <v/>
      </c>
      <c r="I46" s="52">
        <f>VLOOKUP(B46,Motor!$A:$D,3,)</f>
        <v/>
      </c>
      <c r="J46" s="53">
        <f>VLOOKUP(B46,Motor!$A:$D,4,)</f>
        <v/>
      </c>
      <c r="K46" s="52">
        <f>VLOOKUP(B46,'Non Store Retail'!$A:$D,3,)</f>
        <v/>
      </c>
      <c r="L46" s="53">
        <f>VLOOKUP(B46,'Non Store Retail'!$A:$D,4,)</f>
        <v/>
      </c>
      <c r="M46" s="52">
        <f>VLOOKUP(B46,'Food and Beverage'!$A:$D,3,)</f>
        <v/>
      </c>
      <c r="N46" s="52">
        <f>VLOOKUP(B46,'Food and Beverage'!$A:$D,4,)</f>
        <v/>
      </c>
      <c r="O46" s="52">
        <f>VLOOKUP(B46,'Food Services'!$A:$D,3,)</f>
        <v/>
      </c>
      <c r="P46" s="53">
        <f>VLOOKUP(B46,'Food Services'!$A:$D,4,)</f>
        <v/>
      </c>
      <c r="Q46" s="52">
        <f>VLOOKUP(B46,'General Merchandising'!$A:$D,3,)</f>
        <v/>
      </c>
      <c r="R46" s="53">
        <f>VLOOKUP(B46,'General Merchandising'!$A:$D,4,)</f>
        <v/>
      </c>
      <c r="S46" s="52">
        <f>VLOOKUP(B46,'Gas Station'!$A:$D,3,)</f>
        <v/>
      </c>
      <c r="T46" s="53">
        <f>VLOOKUP(B46,'Gas Station'!$A:$D,4,)</f>
        <v/>
      </c>
      <c r="U46" s="52">
        <f>VLOOKUP(B46,Housing!$A:$D,3,)</f>
        <v/>
      </c>
      <c r="V46" s="53">
        <f>VLOOKUP(B46,Housing!$A:$D,4,)</f>
        <v/>
      </c>
      <c r="W46" s="52">
        <f>VLOOKUP(B46,Health!$A:$D,3,)</f>
        <v/>
      </c>
      <c r="X46" s="53">
        <f>VLOOKUP(B46,Health!$A:$D,4,)</f>
        <v/>
      </c>
      <c r="Y46" s="52">
        <f>VLOOKUP(B46,'Clothing and clothing access'!$A:$D,3,)</f>
        <v/>
      </c>
      <c r="Z46" s="53">
        <f>VLOOKUP(B46,'Clothing and clothing access'!$A:$D,4,)</f>
        <v/>
      </c>
      <c r="AA46" s="52">
        <f>VLOOKUP(B46,'Furniture Home'!$A:$D,3,)</f>
        <v/>
      </c>
      <c r="AB46" s="53">
        <f>VLOOKUP(B46,'Furniture Home'!$A:$D,4,)</f>
        <v/>
      </c>
      <c r="AC46" s="52">
        <f>VLOOKUP(B46,'Miscellaneous stores retailers'!$A:$D,3,)</f>
        <v/>
      </c>
      <c r="AD46" s="53">
        <f>VLOOKUP(B46,'Miscellaneous stores retailers'!$A:$D,4,)</f>
        <v/>
      </c>
      <c r="AE46" s="52">
        <f>VLOOKUP(B46,'Sporting Goods'!$A:$D,3,)</f>
        <v/>
      </c>
      <c r="AF46" s="53">
        <f>VLOOKUP(B46,'Sporting Goods'!$A:$D,4,)</f>
        <v/>
      </c>
    </row>
    <row r="47">
      <c r="B47" s="56" t="n">
        <v>44256</v>
      </c>
      <c r="C47" s="52">
        <f>VLOOKUP(B47,'Retail Sales'!A:D,3,)</f>
        <v/>
      </c>
      <c r="D47" s="53">
        <f>VLOOKUP(B47,'Retail Sales'!A:D,4,)</f>
        <v/>
      </c>
      <c r="E47" s="52">
        <f>VLOOKUP(B47,'Retail Sales ex Auto'!$A:$D,3,)</f>
        <v/>
      </c>
      <c r="F47" s="53">
        <f>VLOOKUP(B47,'Retail Sales ex Auto'!$A:$D,4,)</f>
        <v/>
      </c>
      <c r="G47" s="52">
        <f>VLOOKUP(B47,'Retail Sales ex Auto and Gas'!$A:$D,3,)</f>
        <v/>
      </c>
      <c r="H47" s="53">
        <f>VLOOKUP(B47,'Retail Sales ex Auto and Gas'!$A:$D,4,)</f>
        <v/>
      </c>
      <c r="I47" s="52">
        <f>VLOOKUP(B47,Motor!$A:$D,3,)</f>
        <v/>
      </c>
      <c r="J47" s="53">
        <f>VLOOKUP(B47,Motor!$A:$D,4,)</f>
        <v/>
      </c>
      <c r="K47" s="52">
        <f>VLOOKUP(B47,'Non Store Retail'!$A:$D,3,)</f>
        <v/>
      </c>
      <c r="L47" s="53">
        <f>VLOOKUP(B47,'Non Store Retail'!$A:$D,4,)</f>
        <v/>
      </c>
      <c r="M47" s="52">
        <f>VLOOKUP(B47,'Food and Beverage'!$A:$D,3,)</f>
        <v/>
      </c>
      <c r="N47" s="52">
        <f>VLOOKUP(B47,'Food and Beverage'!$A:$D,4,)</f>
        <v/>
      </c>
      <c r="O47" s="52">
        <f>VLOOKUP(B47,'Food Services'!$A:$D,3,)</f>
        <v/>
      </c>
      <c r="P47" s="53">
        <f>VLOOKUP(B47,'Food Services'!$A:$D,4,)</f>
        <v/>
      </c>
      <c r="Q47" s="52">
        <f>VLOOKUP(B47,'General Merchandising'!$A:$D,3,)</f>
        <v/>
      </c>
      <c r="R47" s="53">
        <f>VLOOKUP(B47,'General Merchandising'!$A:$D,4,)</f>
        <v/>
      </c>
      <c r="S47" s="52">
        <f>VLOOKUP(B47,'Gas Station'!$A:$D,3,)</f>
        <v/>
      </c>
      <c r="T47" s="53">
        <f>VLOOKUP(B47,'Gas Station'!$A:$D,4,)</f>
        <v/>
      </c>
      <c r="U47" s="52">
        <f>VLOOKUP(B47,Housing!$A:$D,3,)</f>
        <v/>
      </c>
      <c r="V47" s="53">
        <f>VLOOKUP(B47,Housing!$A:$D,4,)</f>
        <v/>
      </c>
      <c r="W47" s="52">
        <f>VLOOKUP(B47,Health!$A:$D,3,)</f>
        <v/>
      </c>
      <c r="X47" s="53">
        <f>VLOOKUP(B47,Health!$A:$D,4,)</f>
        <v/>
      </c>
      <c r="Y47" s="52">
        <f>VLOOKUP(B47,'Clothing and clothing access'!$A:$D,3,)</f>
        <v/>
      </c>
      <c r="Z47" s="53">
        <f>VLOOKUP(B47,'Clothing and clothing access'!$A:$D,4,)</f>
        <v/>
      </c>
      <c r="AA47" s="52">
        <f>VLOOKUP(B47,'Furniture Home'!$A:$D,3,)</f>
        <v/>
      </c>
      <c r="AB47" s="53">
        <f>VLOOKUP(B47,'Furniture Home'!$A:$D,4,)</f>
        <v/>
      </c>
      <c r="AC47" s="52">
        <f>VLOOKUP(B47,'Miscellaneous stores retailers'!$A:$D,3,)</f>
        <v/>
      </c>
      <c r="AD47" s="53">
        <f>VLOOKUP(B47,'Miscellaneous stores retailers'!$A:$D,4,)</f>
        <v/>
      </c>
      <c r="AE47" s="52">
        <f>VLOOKUP(B47,'Sporting Goods'!$A:$D,3,)</f>
        <v/>
      </c>
      <c r="AF47" s="53">
        <f>VLOOKUP(B47,'Sporting Goods'!$A:$D,4,)</f>
        <v/>
      </c>
    </row>
    <row r="48">
      <c r="B48" s="56" t="n">
        <v>44287</v>
      </c>
      <c r="C48" s="52">
        <f>VLOOKUP(B48,'Retail Sales'!A:D,3,)</f>
        <v/>
      </c>
      <c r="D48" s="53">
        <f>VLOOKUP(B48,'Retail Sales'!A:D,4,)</f>
        <v/>
      </c>
      <c r="E48" s="52">
        <f>VLOOKUP(B48,'Retail Sales ex Auto'!$A:$D,3,)</f>
        <v/>
      </c>
      <c r="F48" s="53">
        <f>VLOOKUP(B48,'Retail Sales ex Auto'!$A:$D,4,)</f>
        <v/>
      </c>
      <c r="G48" s="52">
        <f>VLOOKUP(B48,'Retail Sales ex Auto and Gas'!$A:$D,3,)</f>
        <v/>
      </c>
      <c r="H48" s="53">
        <f>VLOOKUP(B48,'Retail Sales ex Auto and Gas'!$A:$D,4,)</f>
        <v/>
      </c>
      <c r="I48" s="52">
        <f>VLOOKUP(B48,Motor!$A:$D,3,)</f>
        <v/>
      </c>
      <c r="J48" s="53">
        <f>VLOOKUP(B48,Motor!$A:$D,4,)</f>
        <v/>
      </c>
      <c r="K48" s="52">
        <f>VLOOKUP(B48,'Non Store Retail'!$A:$D,3,)</f>
        <v/>
      </c>
      <c r="L48" s="53">
        <f>VLOOKUP(B48,'Non Store Retail'!$A:$D,4,)</f>
        <v/>
      </c>
      <c r="M48" s="52">
        <f>VLOOKUP(B48,'Food and Beverage'!$A:$D,3,)</f>
        <v/>
      </c>
      <c r="N48" s="52">
        <f>VLOOKUP(B48,'Food and Beverage'!$A:$D,4,)</f>
        <v/>
      </c>
      <c r="O48" s="52">
        <f>VLOOKUP(B48,'Food Services'!$A:$D,3,)</f>
        <v/>
      </c>
      <c r="P48" s="53">
        <f>VLOOKUP(B48,'Food Services'!$A:$D,4,)</f>
        <v/>
      </c>
      <c r="Q48" s="52">
        <f>VLOOKUP(B48,'General Merchandising'!$A:$D,3,)</f>
        <v/>
      </c>
      <c r="R48" s="53">
        <f>VLOOKUP(B48,'General Merchandising'!$A:$D,4,)</f>
        <v/>
      </c>
      <c r="S48" s="52">
        <f>VLOOKUP(B48,'Gas Station'!$A:$D,3,)</f>
        <v/>
      </c>
      <c r="T48" s="53">
        <f>VLOOKUP(B48,'Gas Station'!$A:$D,4,)</f>
        <v/>
      </c>
      <c r="U48" s="52">
        <f>VLOOKUP(B48,Housing!$A:$D,3,)</f>
        <v/>
      </c>
      <c r="V48" s="53">
        <f>VLOOKUP(B48,Housing!$A:$D,4,)</f>
        <v/>
      </c>
      <c r="W48" s="52">
        <f>VLOOKUP(B48,Health!$A:$D,3,)</f>
        <v/>
      </c>
      <c r="X48" s="53">
        <f>VLOOKUP(B48,Health!$A:$D,4,)</f>
        <v/>
      </c>
      <c r="Y48" s="52">
        <f>VLOOKUP(B48,'Clothing and clothing access'!$A:$D,3,)</f>
        <v/>
      </c>
      <c r="Z48" s="53">
        <f>VLOOKUP(B48,'Clothing and clothing access'!$A:$D,4,)</f>
        <v/>
      </c>
      <c r="AA48" s="52">
        <f>VLOOKUP(B48,'Furniture Home'!$A:$D,3,)</f>
        <v/>
      </c>
      <c r="AB48" s="53">
        <f>VLOOKUP(B48,'Furniture Home'!$A:$D,4,)</f>
        <v/>
      </c>
      <c r="AC48" s="52">
        <f>VLOOKUP(B48,'Miscellaneous stores retailers'!$A:$D,3,)</f>
        <v/>
      </c>
      <c r="AD48" s="53">
        <f>VLOOKUP(B48,'Miscellaneous stores retailers'!$A:$D,4,)</f>
        <v/>
      </c>
      <c r="AE48" s="52">
        <f>VLOOKUP(B48,'Sporting Goods'!$A:$D,3,)</f>
        <v/>
      </c>
      <c r="AF48" s="53">
        <f>VLOOKUP(B48,'Sporting Goods'!$A:$D,4,)</f>
        <v/>
      </c>
    </row>
    <row r="49">
      <c r="B49" s="56" t="n">
        <v>44317</v>
      </c>
      <c r="C49" s="52">
        <f>VLOOKUP(B49,'Retail Sales'!A:D,3,)</f>
        <v/>
      </c>
      <c r="D49" s="53">
        <f>VLOOKUP(B49,'Retail Sales'!A:D,4,)</f>
        <v/>
      </c>
      <c r="E49" s="52">
        <f>VLOOKUP(B49,'Retail Sales ex Auto'!$A:$D,3,)</f>
        <v/>
      </c>
      <c r="F49" s="53">
        <f>VLOOKUP(B49,'Retail Sales ex Auto'!$A:$D,4,)</f>
        <v/>
      </c>
      <c r="G49" s="52">
        <f>VLOOKUP(B49,'Retail Sales ex Auto and Gas'!$A:$D,3,)</f>
        <v/>
      </c>
      <c r="H49" s="53">
        <f>VLOOKUP(B49,'Retail Sales ex Auto and Gas'!$A:$D,4,)</f>
        <v/>
      </c>
      <c r="I49" s="52">
        <f>VLOOKUP(B49,Motor!$A:$D,3,)</f>
        <v/>
      </c>
      <c r="J49" s="53">
        <f>VLOOKUP(B49,Motor!$A:$D,4,)</f>
        <v/>
      </c>
      <c r="K49" s="52">
        <f>VLOOKUP(B49,'Non Store Retail'!$A:$D,3,)</f>
        <v/>
      </c>
      <c r="L49" s="53">
        <f>VLOOKUP(B49,'Non Store Retail'!$A:$D,4,)</f>
        <v/>
      </c>
      <c r="M49" s="52">
        <f>VLOOKUP(B49,'Food and Beverage'!$A:$D,3,)</f>
        <v/>
      </c>
      <c r="N49" s="52">
        <f>VLOOKUP(B49,'Food and Beverage'!$A:$D,4,)</f>
        <v/>
      </c>
      <c r="O49" s="52">
        <f>VLOOKUP(B49,'Food Services'!$A:$D,3,)</f>
        <v/>
      </c>
      <c r="P49" s="53">
        <f>VLOOKUP(B49,'Food Services'!$A:$D,4,)</f>
        <v/>
      </c>
      <c r="Q49" s="52">
        <f>VLOOKUP(B49,'General Merchandising'!$A:$D,3,)</f>
        <v/>
      </c>
      <c r="R49" s="53">
        <f>VLOOKUP(B49,'General Merchandising'!$A:$D,4,)</f>
        <v/>
      </c>
      <c r="S49" s="52">
        <f>VLOOKUP(B49,'Gas Station'!$A:$D,3,)</f>
        <v/>
      </c>
      <c r="T49" s="53">
        <f>VLOOKUP(B49,'Gas Station'!$A:$D,4,)</f>
        <v/>
      </c>
      <c r="U49" s="52">
        <f>VLOOKUP(B49,Housing!$A:$D,3,)</f>
        <v/>
      </c>
      <c r="V49" s="53">
        <f>VLOOKUP(B49,Housing!$A:$D,4,)</f>
        <v/>
      </c>
      <c r="W49" s="52">
        <f>VLOOKUP(B49,Health!$A:$D,3,)</f>
        <v/>
      </c>
      <c r="X49" s="53">
        <f>VLOOKUP(B49,Health!$A:$D,4,)</f>
        <v/>
      </c>
      <c r="Y49" s="52">
        <f>VLOOKUP(B49,'Clothing and clothing access'!$A:$D,3,)</f>
        <v/>
      </c>
      <c r="Z49" s="53">
        <f>VLOOKUP(B49,'Clothing and clothing access'!$A:$D,4,)</f>
        <v/>
      </c>
      <c r="AA49" s="52">
        <f>VLOOKUP(B49,'Furniture Home'!$A:$D,3,)</f>
        <v/>
      </c>
      <c r="AB49" s="53">
        <f>VLOOKUP(B49,'Furniture Home'!$A:$D,4,)</f>
        <v/>
      </c>
      <c r="AC49" s="52">
        <f>VLOOKUP(B49,'Miscellaneous stores retailers'!$A:$D,3,)</f>
        <v/>
      </c>
      <c r="AD49" s="53">
        <f>VLOOKUP(B49,'Miscellaneous stores retailers'!$A:$D,4,)</f>
        <v/>
      </c>
      <c r="AE49" s="52">
        <f>VLOOKUP(B49,'Sporting Goods'!$A:$D,3,)</f>
        <v/>
      </c>
      <c r="AF49" s="53">
        <f>VLOOKUP(B49,'Sporting Goods'!$A:$D,4,)</f>
        <v/>
      </c>
    </row>
    <row r="50">
      <c r="B50" s="56" t="n">
        <v>44348</v>
      </c>
      <c r="C50" s="52">
        <f>VLOOKUP(B50,'Retail Sales'!A:D,3,)</f>
        <v/>
      </c>
      <c r="D50" s="53">
        <f>VLOOKUP(B50,'Retail Sales'!A:D,4,)</f>
        <v/>
      </c>
      <c r="E50" s="52">
        <f>VLOOKUP(B50,'Retail Sales ex Auto'!$A:$D,3,)</f>
        <v/>
      </c>
      <c r="F50" s="53">
        <f>VLOOKUP(B50,'Retail Sales ex Auto'!$A:$D,4,)</f>
        <v/>
      </c>
      <c r="G50" s="52">
        <f>VLOOKUP(B50,'Retail Sales ex Auto and Gas'!$A:$D,3,)</f>
        <v/>
      </c>
      <c r="H50" s="53">
        <f>VLOOKUP(B50,'Retail Sales ex Auto and Gas'!$A:$D,4,)</f>
        <v/>
      </c>
      <c r="I50" s="52">
        <f>VLOOKUP(B50,Motor!$A:$D,3,)</f>
        <v/>
      </c>
      <c r="J50" s="53">
        <f>VLOOKUP(B50,Motor!$A:$D,4,)</f>
        <v/>
      </c>
      <c r="K50" s="52">
        <f>VLOOKUP(B50,'Non Store Retail'!$A:$D,3,)</f>
        <v/>
      </c>
      <c r="L50" s="53">
        <f>VLOOKUP(B50,'Non Store Retail'!$A:$D,4,)</f>
        <v/>
      </c>
      <c r="M50" s="52">
        <f>VLOOKUP(B50,'Food and Beverage'!$A:$D,3,)</f>
        <v/>
      </c>
      <c r="N50" s="52">
        <f>VLOOKUP(B50,'Food and Beverage'!$A:$D,4,)</f>
        <v/>
      </c>
      <c r="O50" s="52">
        <f>VLOOKUP(B50,'Food Services'!$A:$D,3,)</f>
        <v/>
      </c>
      <c r="P50" s="53">
        <f>VLOOKUP(B50,'Food Services'!$A:$D,4,)</f>
        <v/>
      </c>
      <c r="Q50" s="52">
        <f>VLOOKUP(B50,'General Merchandising'!$A:$D,3,)</f>
        <v/>
      </c>
      <c r="R50" s="53">
        <f>VLOOKUP(B50,'General Merchandising'!$A:$D,4,)</f>
        <v/>
      </c>
      <c r="S50" s="52">
        <f>VLOOKUP(B50,'Gas Station'!$A:$D,3,)</f>
        <v/>
      </c>
      <c r="T50" s="53">
        <f>VLOOKUP(B50,'Gas Station'!$A:$D,4,)</f>
        <v/>
      </c>
      <c r="U50" s="52">
        <f>VLOOKUP(B50,Housing!$A:$D,3,)</f>
        <v/>
      </c>
      <c r="V50" s="53">
        <f>VLOOKUP(B50,Housing!$A:$D,4,)</f>
        <v/>
      </c>
      <c r="W50" s="52">
        <f>VLOOKUP(B50,Health!$A:$D,3,)</f>
        <v/>
      </c>
      <c r="X50" s="53">
        <f>VLOOKUP(B50,Health!$A:$D,4,)</f>
        <v/>
      </c>
      <c r="Y50" s="52">
        <f>VLOOKUP(B50,'Clothing and clothing access'!$A:$D,3,)</f>
        <v/>
      </c>
      <c r="Z50" s="53">
        <f>VLOOKUP(B50,'Clothing and clothing access'!$A:$D,4,)</f>
        <v/>
      </c>
      <c r="AA50" s="52">
        <f>VLOOKUP(B50,'Furniture Home'!$A:$D,3,)</f>
        <v/>
      </c>
      <c r="AB50" s="53">
        <f>VLOOKUP(B50,'Furniture Home'!$A:$D,4,)</f>
        <v/>
      </c>
      <c r="AC50" s="52">
        <f>VLOOKUP(B50,'Miscellaneous stores retailers'!$A:$D,3,)</f>
        <v/>
      </c>
      <c r="AD50" s="53">
        <f>VLOOKUP(B50,'Miscellaneous stores retailers'!$A:$D,4,)</f>
        <v/>
      </c>
      <c r="AE50" s="52">
        <f>VLOOKUP(B50,'Sporting Goods'!$A:$D,3,)</f>
        <v/>
      </c>
      <c r="AF50" s="53">
        <f>VLOOKUP(B50,'Sporting Goods'!$A:$D,4,)</f>
        <v/>
      </c>
    </row>
    <row r="51">
      <c r="B51" s="56" t="n">
        <v>44378</v>
      </c>
      <c r="C51" s="52">
        <f>VLOOKUP(B51,'Retail Sales'!A:D,3,)</f>
        <v/>
      </c>
      <c r="D51" s="53">
        <f>VLOOKUP(B51,'Retail Sales'!A:D,4,)</f>
        <v/>
      </c>
      <c r="E51" s="52">
        <f>VLOOKUP(B51,'Retail Sales ex Auto'!$A:$D,3,)</f>
        <v/>
      </c>
      <c r="F51" s="53">
        <f>VLOOKUP(B51,'Retail Sales ex Auto'!$A:$D,4,)</f>
        <v/>
      </c>
      <c r="G51" s="52">
        <f>VLOOKUP(B51,'Retail Sales ex Auto and Gas'!$A:$D,3,)</f>
        <v/>
      </c>
      <c r="H51" s="53">
        <f>VLOOKUP(B51,'Retail Sales ex Auto and Gas'!$A:$D,4,)</f>
        <v/>
      </c>
      <c r="I51" s="52">
        <f>VLOOKUP(B51,Motor!$A:$D,3,)</f>
        <v/>
      </c>
      <c r="J51" s="53">
        <f>VLOOKUP(B51,Motor!$A:$D,4,)</f>
        <v/>
      </c>
      <c r="K51" s="52">
        <f>VLOOKUP(B51,'Non Store Retail'!$A:$D,3,)</f>
        <v/>
      </c>
      <c r="L51" s="53">
        <f>VLOOKUP(B51,'Non Store Retail'!$A:$D,4,)</f>
        <v/>
      </c>
      <c r="M51" s="52">
        <f>VLOOKUP(B51,'Food and Beverage'!$A:$D,3,)</f>
        <v/>
      </c>
      <c r="N51" s="52">
        <f>VLOOKUP(B51,'Food and Beverage'!$A:$D,4,)</f>
        <v/>
      </c>
      <c r="O51" s="52">
        <f>VLOOKUP(B51,'Food Services'!$A:$D,3,)</f>
        <v/>
      </c>
      <c r="P51" s="53">
        <f>VLOOKUP(B51,'Food Services'!$A:$D,4,)</f>
        <v/>
      </c>
      <c r="Q51" s="52">
        <f>VLOOKUP(B51,'General Merchandising'!$A:$D,3,)</f>
        <v/>
      </c>
      <c r="R51" s="53">
        <f>VLOOKUP(B51,'General Merchandising'!$A:$D,4,)</f>
        <v/>
      </c>
      <c r="S51" s="52">
        <f>VLOOKUP(B51,'Gas Station'!$A:$D,3,)</f>
        <v/>
      </c>
      <c r="T51" s="53">
        <f>VLOOKUP(B51,'Gas Station'!$A:$D,4,)</f>
        <v/>
      </c>
      <c r="U51" s="52">
        <f>VLOOKUP(B51,Housing!$A:$D,3,)</f>
        <v/>
      </c>
      <c r="V51" s="53">
        <f>VLOOKUP(B51,Housing!$A:$D,4,)</f>
        <v/>
      </c>
      <c r="W51" s="52">
        <f>VLOOKUP(B51,Health!$A:$D,3,)</f>
        <v/>
      </c>
      <c r="X51" s="53">
        <f>VLOOKUP(B51,Health!$A:$D,4,)</f>
        <v/>
      </c>
      <c r="Y51" s="52">
        <f>VLOOKUP(B51,'Clothing and clothing access'!$A:$D,3,)</f>
        <v/>
      </c>
      <c r="Z51" s="53">
        <f>VLOOKUP(B51,'Clothing and clothing access'!$A:$D,4,)</f>
        <v/>
      </c>
      <c r="AA51" s="52">
        <f>VLOOKUP(B51,'Furniture Home'!$A:$D,3,)</f>
        <v/>
      </c>
      <c r="AB51" s="53">
        <f>VLOOKUP(B51,'Furniture Home'!$A:$D,4,)</f>
        <v/>
      </c>
      <c r="AC51" s="52">
        <f>VLOOKUP(B51,'Miscellaneous stores retailers'!$A:$D,3,)</f>
        <v/>
      </c>
      <c r="AD51" s="53">
        <f>VLOOKUP(B51,'Miscellaneous stores retailers'!$A:$D,4,)</f>
        <v/>
      </c>
      <c r="AE51" s="52">
        <f>VLOOKUP(B51,'Sporting Goods'!$A:$D,3,)</f>
        <v/>
      </c>
      <c r="AF51" s="53">
        <f>VLOOKUP(B51,'Sporting Goods'!$A:$D,4,)</f>
        <v/>
      </c>
    </row>
    <row r="52">
      <c r="B52" s="56" t="n">
        <v>44409</v>
      </c>
      <c r="C52" s="52">
        <f>VLOOKUP(B52,'Retail Sales'!A:D,3,)</f>
        <v/>
      </c>
      <c r="D52" s="53">
        <f>VLOOKUP(B52,'Retail Sales'!A:D,4,)</f>
        <v/>
      </c>
      <c r="E52" s="52">
        <f>VLOOKUP(B52,'Retail Sales ex Auto'!$A:$D,3,)</f>
        <v/>
      </c>
      <c r="F52" s="53">
        <f>VLOOKUP(B52,'Retail Sales ex Auto'!$A:$D,4,)</f>
        <v/>
      </c>
      <c r="G52" s="52">
        <f>VLOOKUP(B52,'Retail Sales ex Auto and Gas'!$A:$D,3,)</f>
        <v/>
      </c>
      <c r="H52" s="53">
        <f>VLOOKUP(B52,'Retail Sales ex Auto and Gas'!$A:$D,4,)</f>
        <v/>
      </c>
      <c r="I52" s="52">
        <f>VLOOKUP(B52,Motor!$A:$D,3,)</f>
        <v/>
      </c>
      <c r="J52" s="53">
        <f>VLOOKUP(B52,Motor!$A:$D,4,)</f>
        <v/>
      </c>
      <c r="K52" s="52">
        <f>VLOOKUP(B52,'Non Store Retail'!$A:$D,3,)</f>
        <v/>
      </c>
      <c r="L52" s="53">
        <f>VLOOKUP(B52,'Non Store Retail'!$A:$D,4,)</f>
        <v/>
      </c>
      <c r="M52" s="52">
        <f>VLOOKUP(B52,'Food and Beverage'!$A:$D,3,)</f>
        <v/>
      </c>
      <c r="N52" s="52">
        <f>VLOOKUP(B52,'Food and Beverage'!$A:$D,4,)</f>
        <v/>
      </c>
      <c r="O52" s="52">
        <f>VLOOKUP(B52,'Food Services'!$A:$D,3,)</f>
        <v/>
      </c>
      <c r="P52" s="53">
        <f>VLOOKUP(B52,'Food Services'!$A:$D,4,)</f>
        <v/>
      </c>
      <c r="Q52" s="52">
        <f>VLOOKUP(B52,'General Merchandising'!$A:$D,3,)</f>
        <v/>
      </c>
      <c r="R52" s="53">
        <f>VLOOKUP(B52,'General Merchandising'!$A:$D,4,)</f>
        <v/>
      </c>
      <c r="S52" s="52">
        <f>VLOOKUP(B52,'Gas Station'!$A:$D,3,)</f>
        <v/>
      </c>
      <c r="T52" s="53">
        <f>VLOOKUP(B52,'Gas Station'!$A:$D,4,)</f>
        <v/>
      </c>
      <c r="U52" s="52">
        <f>VLOOKUP(B52,Housing!$A:$D,3,)</f>
        <v/>
      </c>
      <c r="V52" s="53">
        <f>VLOOKUP(B52,Housing!$A:$D,4,)</f>
        <v/>
      </c>
      <c r="W52" s="52">
        <f>VLOOKUP(B52,Health!$A:$D,3,)</f>
        <v/>
      </c>
      <c r="X52" s="53">
        <f>VLOOKUP(B52,Health!$A:$D,4,)</f>
        <v/>
      </c>
      <c r="Y52" s="52">
        <f>VLOOKUP(B52,'Clothing and clothing access'!$A:$D,3,)</f>
        <v/>
      </c>
      <c r="Z52" s="53">
        <f>VLOOKUP(B52,'Clothing and clothing access'!$A:$D,4,)</f>
        <v/>
      </c>
      <c r="AA52" s="52">
        <f>VLOOKUP(B52,'Furniture Home'!$A:$D,3,)</f>
        <v/>
      </c>
      <c r="AB52" s="53">
        <f>VLOOKUP(B52,'Furniture Home'!$A:$D,4,)</f>
        <v/>
      </c>
      <c r="AC52" s="52">
        <f>VLOOKUP(B52,'Miscellaneous stores retailers'!$A:$D,3,)</f>
        <v/>
      </c>
      <c r="AD52" s="53">
        <f>VLOOKUP(B52,'Miscellaneous stores retailers'!$A:$D,4,)</f>
        <v/>
      </c>
      <c r="AE52" s="52">
        <f>VLOOKUP(B52,'Sporting Goods'!$A:$D,3,)</f>
        <v/>
      </c>
      <c r="AF52" s="53">
        <f>VLOOKUP(B52,'Sporting Goods'!$A:$D,4,)</f>
        <v/>
      </c>
    </row>
    <row r="53">
      <c r="B53" s="56" t="n">
        <v>44440</v>
      </c>
      <c r="C53" s="52">
        <f>VLOOKUP(B53,'Retail Sales'!A:D,3,)</f>
        <v/>
      </c>
      <c r="D53" s="53">
        <f>VLOOKUP(B53,'Retail Sales'!A:D,4,)</f>
        <v/>
      </c>
      <c r="E53" s="52">
        <f>VLOOKUP(B53,'Retail Sales ex Auto'!$A:$D,3,)</f>
        <v/>
      </c>
      <c r="F53" s="53">
        <f>VLOOKUP(B53,'Retail Sales ex Auto'!$A:$D,4,)</f>
        <v/>
      </c>
      <c r="G53" s="52">
        <f>VLOOKUP(B53,'Retail Sales ex Auto and Gas'!$A:$D,3,)</f>
        <v/>
      </c>
      <c r="H53" s="53">
        <f>VLOOKUP(B53,'Retail Sales ex Auto and Gas'!$A:$D,4,)</f>
        <v/>
      </c>
      <c r="I53" s="52">
        <f>VLOOKUP(B53,Motor!$A:$D,3,)</f>
        <v/>
      </c>
      <c r="J53" s="53">
        <f>VLOOKUP(B53,Motor!$A:$D,4,)</f>
        <v/>
      </c>
      <c r="K53" s="52">
        <f>VLOOKUP(B53,'Non Store Retail'!$A:$D,3,)</f>
        <v/>
      </c>
      <c r="L53" s="53">
        <f>VLOOKUP(B53,'Non Store Retail'!$A:$D,4,)</f>
        <v/>
      </c>
      <c r="M53" s="52">
        <f>VLOOKUP(B53,'Food and Beverage'!$A:$D,3,)</f>
        <v/>
      </c>
      <c r="N53" s="52">
        <f>VLOOKUP(B53,'Food and Beverage'!$A:$D,4,)</f>
        <v/>
      </c>
      <c r="O53" s="52">
        <f>VLOOKUP(B53,'Food Services'!$A:$D,3,)</f>
        <v/>
      </c>
      <c r="P53" s="53">
        <f>VLOOKUP(B53,'Food Services'!$A:$D,4,)</f>
        <v/>
      </c>
      <c r="Q53" s="52">
        <f>VLOOKUP(B53,'General Merchandising'!$A:$D,3,)</f>
        <v/>
      </c>
      <c r="R53" s="53">
        <f>VLOOKUP(B53,'General Merchandising'!$A:$D,4,)</f>
        <v/>
      </c>
      <c r="S53" s="52">
        <f>VLOOKUP(B53,'Gas Station'!$A:$D,3,)</f>
        <v/>
      </c>
      <c r="T53" s="53">
        <f>VLOOKUP(B53,'Gas Station'!$A:$D,4,)</f>
        <v/>
      </c>
      <c r="U53" s="52">
        <f>VLOOKUP(B53,Housing!$A:$D,3,)</f>
        <v/>
      </c>
      <c r="V53" s="53">
        <f>VLOOKUP(B53,Housing!$A:$D,4,)</f>
        <v/>
      </c>
      <c r="W53" s="52">
        <f>VLOOKUP(B53,Health!$A:$D,3,)</f>
        <v/>
      </c>
      <c r="X53" s="53">
        <f>VLOOKUP(B53,Health!$A:$D,4,)</f>
        <v/>
      </c>
      <c r="Y53" s="52">
        <f>VLOOKUP(B53,'Clothing and clothing access'!$A:$D,3,)</f>
        <v/>
      </c>
      <c r="Z53" s="53">
        <f>VLOOKUP(B53,'Clothing and clothing access'!$A:$D,4,)</f>
        <v/>
      </c>
      <c r="AA53" s="52">
        <f>VLOOKUP(B53,'Furniture Home'!$A:$D,3,)</f>
        <v/>
      </c>
      <c r="AB53" s="53">
        <f>VLOOKUP(B53,'Furniture Home'!$A:$D,4,)</f>
        <v/>
      </c>
      <c r="AC53" s="52">
        <f>VLOOKUP(B53,'Miscellaneous stores retailers'!$A:$D,3,)</f>
        <v/>
      </c>
      <c r="AD53" s="53">
        <f>VLOOKUP(B53,'Miscellaneous stores retailers'!$A:$D,4,)</f>
        <v/>
      </c>
      <c r="AE53" s="52">
        <f>VLOOKUP(B53,'Sporting Goods'!$A:$D,3,)</f>
        <v/>
      </c>
      <c r="AF53" s="53">
        <f>VLOOKUP(B53,'Sporting Goods'!$A:$D,4,)</f>
        <v/>
      </c>
    </row>
    <row r="54">
      <c r="B54" s="56" t="n">
        <v>44470</v>
      </c>
      <c r="C54" s="52">
        <f>VLOOKUP(B54,'Retail Sales'!A:D,3,)</f>
        <v/>
      </c>
      <c r="D54" s="53">
        <f>VLOOKUP(B54,'Retail Sales'!A:D,4,)</f>
        <v/>
      </c>
      <c r="E54" s="52">
        <f>VLOOKUP(B54,'Retail Sales ex Auto'!$A:$D,3,)</f>
        <v/>
      </c>
      <c r="F54" s="53">
        <f>VLOOKUP(B54,'Retail Sales ex Auto'!$A:$D,4,)</f>
        <v/>
      </c>
      <c r="G54" s="52">
        <f>VLOOKUP(B54,'Retail Sales ex Auto and Gas'!$A:$D,3,)</f>
        <v/>
      </c>
      <c r="H54" s="53">
        <f>VLOOKUP(B54,'Retail Sales ex Auto and Gas'!$A:$D,4,)</f>
        <v/>
      </c>
      <c r="I54" s="52">
        <f>VLOOKUP(B54,Motor!$A:$D,3,)</f>
        <v/>
      </c>
      <c r="J54" s="53">
        <f>VLOOKUP(B54,Motor!$A:$D,4,)</f>
        <v/>
      </c>
      <c r="K54" s="52">
        <f>VLOOKUP(B54,'Non Store Retail'!$A:$D,3,)</f>
        <v/>
      </c>
      <c r="L54" s="53">
        <f>VLOOKUP(B54,'Non Store Retail'!$A:$D,4,)</f>
        <v/>
      </c>
      <c r="M54" s="52">
        <f>VLOOKUP(B54,'Food and Beverage'!$A:$D,3,)</f>
        <v/>
      </c>
      <c r="N54" s="52">
        <f>VLOOKUP(B54,'Food and Beverage'!$A:$D,4,)</f>
        <v/>
      </c>
      <c r="O54" s="52">
        <f>VLOOKUP(B54,'Food Services'!$A:$D,3,)</f>
        <v/>
      </c>
      <c r="P54" s="53">
        <f>VLOOKUP(B54,'Food Services'!$A:$D,4,)</f>
        <v/>
      </c>
      <c r="Q54" s="52">
        <f>VLOOKUP(B54,'General Merchandising'!$A:$D,3,)</f>
        <v/>
      </c>
      <c r="R54" s="53">
        <f>VLOOKUP(B54,'General Merchandising'!$A:$D,4,)</f>
        <v/>
      </c>
      <c r="S54" s="52">
        <f>VLOOKUP(B54,'Gas Station'!$A:$D,3,)</f>
        <v/>
      </c>
      <c r="T54" s="53">
        <f>VLOOKUP(B54,'Gas Station'!$A:$D,4,)</f>
        <v/>
      </c>
      <c r="U54" s="52">
        <f>VLOOKUP(B54,Housing!$A:$D,3,)</f>
        <v/>
      </c>
      <c r="V54" s="53">
        <f>VLOOKUP(B54,Housing!$A:$D,4,)</f>
        <v/>
      </c>
      <c r="W54" s="52">
        <f>VLOOKUP(B54,Health!$A:$D,3,)</f>
        <v/>
      </c>
      <c r="X54" s="53">
        <f>VLOOKUP(B54,Health!$A:$D,4,)</f>
        <v/>
      </c>
      <c r="Y54" s="52">
        <f>VLOOKUP(B54,'Clothing and clothing access'!$A:$D,3,)</f>
        <v/>
      </c>
      <c r="Z54" s="53">
        <f>VLOOKUP(B54,'Clothing and clothing access'!$A:$D,4,)</f>
        <v/>
      </c>
      <c r="AA54" s="52">
        <f>VLOOKUP(B54,'Furniture Home'!$A:$D,3,)</f>
        <v/>
      </c>
      <c r="AB54" s="53">
        <f>VLOOKUP(B54,'Furniture Home'!$A:$D,4,)</f>
        <v/>
      </c>
      <c r="AC54" s="52">
        <f>VLOOKUP(B54,'Miscellaneous stores retailers'!$A:$D,3,)</f>
        <v/>
      </c>
      <c r="AD54" s="53">
        <f>VLOOKUP(B54,'Miscellaneous stores retailers'!$A:$D,4,)</f>
        <v/>
      </c>
      <c r="AE54" s="52">
        <f>VLOOKUP(B54,'Sporting Goods'!$A:$D,3,)</f>
        <v/>
      </c>
      <c r="AF54" s="53">
        <f>VLOOKUP(B54,'Sporting Goods'!$A:$D,4,)</f>
        <v/>
      </c>
    </row>
    <row r="55">
      <c r="B55" s="56" t="n">
        <v>44501</v>
      </c>
      <c r="C55" s="52">
        <f>VLOOKUP(B55,'Retail Sales'!A:D,3,)</f>
        <v/>
      </c>
      <c r="D55" s="53">
        <f>VLOOKUP(B55,'Retail Sales'!A:D,4,)</f>
        <v/>
      </c>
      <c r="E55" s="52">
        <f>VLOOKUP(B55,'Retail Sales ex Auto'!$A:$D,3,)</f>
        <v/>
      </c>
      <c r="F55" s="53">
        <f>VLOOKUP(B55,'Retail Sales ex Auto'!$A:$D,4,)</f>
        <v/>
      </c>
      <c r="G55" s="52">
        <f>VLOOKUP(B55,'Retail Sales ex Auto and Gas'!$A:$D,3,)</f>
        <v/>
      </c>
      <c r="H55" s="53">
        <f>VLOOKUP(B55,'Retail Sales ex Auto and Gas'!$A:$D,4,)</f>
        <v/>
      </c>
      <c r="I55" s="52">
        <f>VLOOKUP(B55,Motor!$A:$D,3,)</f>
        <v/>
      </c>
      <c r="J55" s="53">
        <f>VLOOKUP(B55,Motor!$A:$D,4,)</f>
        <v/>
      </c>
      <c r="K55" s="52">
        <f>VLOOKUP(B55,'Non Store Retail'!$A:$D,3,)</f>
        <v/>
      </c>
      <c r="L55" s="53">
        <f>VLOOKUP(B55,'Non Store Retail'!$A:$D,4,)</f>
        <v/>
      </c>
      <c r="M55" s="52">
        <f>VLOOKUP(B55,'Food and Beverage'!$A:$D,3,)</f>
        <v/>
      </c>
      <c r="N55" s="52">
        <f>VLOOKUP(B55,'Food and Beverage'!$A:$D,4,)</f>
        <v/>
      </c>
      <c r="O55" s="52">
        <f>VLOOKUP(B55,'Food Services'!$A:$D,3,)</f>
        <v/>
      </c>
      <c r="P55" s="53">
        <f>VLOOKUP(B55,'Food Services'!$A:$D,4,)</f>
        <v/>
      </c>
      <c r="Q55" s="52">
        <f>VLOOKUP(B55,'General Merchandising'!$A:$D,3,)</f>
        <v/>
      </c>
      <c r="R55" s="53">
        <f>VLOOKUP(B55,'General Merchandising'!$A:$D,4,)</f>
        <v/>
      </c>
      <c r="S55" s="52">
        <f>VLOOKUP(B55,'Gas Station'!$A:$D,3,)</f>
        <v/>
      </c>
      <c r="T55" s="53">
        <f>VLOOKUP(B55,'Gas Station'!$A:$D,4,)</f>
        <v/>
      </c>
      <c r="U55" s="52">
        <f>VLOOKUP(B55,Housing!$A:$D,3,)</f>
        <v/>
      </c>
      <c r="V55" s="53">
        <f>VLOOKUP(B55,Housing!$A:$D,4,)</f>
        <v/>
      </c>
      <c r="W55" s="52">
        <f>VLOOKUP(B55,Health!$A:$D,3,)</f>
        <v/>
      </c>
      <c r="X55" s="53">
        <f>VLOOKUP(B55,Health!$A:$D,4,)</f>
        <v/>
      </c>
      <c r="Y55" s="52">
        <f>VLOOKUP(B55,'Clothing and clothing access'!$A:$D,3,)</f>
        <v/>
      </c>
      <c r="Z55" s="53">
        <f>VLOOKUP(B55,'Clothing and clothing access'!$A:$D,4,)</f>
        <v/>
      </c>
      <c r="AA55" s="52">
        <f>VLOOKUP(B55,'Furniture Home'!$A:$D,3,)</f>
        <v/>
      </c>
      <c r="AB55" s="53">
        <f>VLOOKUP(B55,'Furniture Home'!$A:$D,4,)</f>
        <v/>
      </c>
      <c r="AC55" s="52">
        <f>VLOOKUP(B55,'Miscellaneous stores retailers'!$A:$D,3,)</f>
        <v/>
      </c>
      <c r="AD55" s="53">
        <f>VLOOKUP(B55,'Miscellaneous stores retailers'!$A:$D,4,)</f>
        <v/>
      </c>
      <c r="AE55" s="52">
        <f>VLOOKUP(B55,'Sporting Goods'!$A:$D,3,)</f>
        <v/>
      </c>
      <c r="AF55" s="53">
        <f>VLOOKUP(B55,'Sporting Goods'!$A:$D,4,)</f>
        <v/>
      </c>
    </row>
    <row r="56">
      <c r="B56" s="56" t="n">
        <v>44531</v>
      </c>
      <c r="C56" s="52">
        <f>VLOOKUP(B56,'Retail Sales'!A:D,3,)</f>
        <v/>
      </c>
      <c r="D56" s="53">
        <f>VLOOKUP(B56,'Retail Sales'!A:D,4,)</f>
        <v/>
      </c>
      <c r="E56" s="52">
        <f>VLOOKUP(B56,'Retail Sales ex Auto'!$A:$D,3,)</f>
        <v/>
      </c>
      <c r="F56" s="53">
        <f>VLOOKUP(B56,'Retail Sales ex Auto'!$A:$D,4,)</f>
        <v/>
      </c>
      <c r="G56" s="52">
        <f>VLOOKUP(B56,'Retail Sales ex Auto and Gas'!$A:$D,3,)</f>
        <v/>
      </c>
      <c r="H56" s="53">
        <f>VLOOKUP(B56,'Retail Sales ex Auto and Gas'!$A:$D,4,)</f>
        <v/>
      </c>
      <c r="I56" s="52">
        <f>VLOOKUP(B56,Motor!$A:$D,3,)</f>
        <v/>
      </c>
      <c r="J56" s="53">
        <f>VLOOKUP(B56,Motor!$A:$D,4,)</f>
        <v/>
      </c>
      <c r="K56" s="52">
        <f>VLOOKUP(B56,'Non Store Retail'!$A:$D,3,)</f>
        <v/>
      </c>
      <c r="L56" s="53">
        <f>VLOOKUP(B56,'Non Store Retail'!$A:$D,4,)</f>
        <v/>
      </c>
      <c r="M56" s="52">
        <f>VLOOKUP(B56,'Food and Beverage'!$A:$D,3,)</f>
        <v/>
      </c>
      <c r="N56" s="52">
        <f>VLOOKUP(B56,'Food and Beverage'!$A:$D,4,)</f>
        <v/>
      </c>
      <c r="O56" s="52">
        <f>VLOOKUP(B56,'Food Services'!$A:$D,3,)</f>
        <v/>
      </c>
      <c r="P56" s="53">
        <f>VLOOKUP(B56,'Food Services'!$A:$D,4,)</f>
        <v/>
      </c>
      <c r="Q56" s="52">
        <f>VLOOKUP(B56,'General Merchandising'!$A:$D,3,)</f>
        <v/>
      </c>
      <c r="R56" s="53">
        <f>VLOOKUP(B56,'General Merchandising'!$A:$D,4,)</f>
        <v/>
      </c>
      <c r="S56" s="52">
        <f>VLOOKUP(B56,'Gas Station'!$A:$D,3,)</f>
        <v/>
      </c>
      <c r="T56" s="53">
        <f>VLOOKUP(B56,'Gas Station'!$A:$D,4,)</f>
        <v/>
      </c>
      <c r="U56" s="52">
        <f>VLOOKUP(B56,Housing!$A:$D,3,)</f>
        <v/>
      </c>
      <c r="V56" s="53">
        <f>VLOOKUP(B56,Housing!$A:$D,4,)</f>
        <v/>
      </c>
      <c r="W56" s="52">
        <f>VLOOKUP(B56,Health!$A:$D,3,)</f>
        <v/>
      </c>
      <c r="X56" s="53">
        <f>VLOOKUP(B56,Health!$A:$D,4,)</f>
        <v/>
      </c>
      <c r="Y56" s="52">
        <f>VLOOKUP(B56,'Clothing and clothing access'!$A:$D,3,)</f>
        <v/>
      </c>
      <c r="Z56" s="53">
        <f>VLOOKUP(B56,'Clothing and clothing access'!$A:$D,4,)</f>
        <v/>
      </c>
      <c r="AA56" s="52">
        <f>VLOOKUP(B56,'Furniture Home'!$A:$D,3,)</f>
        <v/>
      </c>
      <c r="AB56" s="53">
        <f>VLOOKUP(B56,'Furniture Home'!$A:$D,4,)</f>
        <v/>
      </c>
      <c r="AC56" s="52">
        <f>VLOOKUP(B56,'Miscellaneous stores retailers'!$A:$D,3,)</f>
        <v/>
      </c>
      <c r="AD56" s="53">
        <f>VLOOKUP(B56,'Miscellaneous stores retailers'!$A:$D,4,)</f>
        <v/>
      </c>
      <c r="AE56" s="52">
        <f>VLOOKUP(B56,'Sporting Goods'!$A:$D,3,)</f>
        <v/>
      </c>
      <c r="AF56" s="53">
        <f>VLOOKUP(B56,'Sporting Goods'!$A:$D,4,)</f>
        <v/>
      </c>
    </row>
    <row r="57">
      <c r="B57" s="56" t="n">
        <v>44562</v>
      </c>
      <c r="C57" s="52">
        <f>VLOOKUP(B57,'Retail Sales'!A:D,3,)</f>
        <v/>
      </c>
      <c r="D57" s="53">
        <f>VLOOKUP(B57,'Retail Sales'!A:D,4,)</f>
        <v/>
      </c>
      <c r="E57" s="52">
        <f>VLOOKUP(B57,'Retail Sales ex Auto'!$A:$D,3,)</f>
        <v/>
      </c>
      <c r="F57" s="53">
        <f>VLOOKUP(B57,'Retail Sales ex Auto'!$A:$D,4,)</f>
        <v/>
      </c>
      <c r="G57" s="52">
        <f>VLOOKUP(B57,'Retail Sales ex Auto and Gas'!$A:$D,3,)</f>
        <v/>
      </c>
      <c r="H57" s="53">
        <f>VLOOKUP(B57,'Retail Sales ex Auto and Gas'!$A:$D,4,)</f>
        <v/>
      </c>
      <c r="I57" s="52">
        <f>VLOOKUP(B57,Motor!$A:$D,3,)</f>
        <v/>
      </c>
      <c r="J57" s="53">
        <f>VLOOKUP(B57,Motor!$A:$D,4,)</f>
        <v/>
      </c>
      <c r="K57" s="52">
        <f>VLOOKUP(B57,'Non Store Retail'!$A:$D,3,)</f>
        <v/>
      </c>
      <c r="L57" s="53">
        <f>VLOOKUP(B57,'Non Store Retail'!$A:$D,4,)</f>
        <v/>
      </c>
      <c r="M57" s="52">
        <f>VLOOKUP(B57,'Food and Beverage'!$A:$D,3,)</f>
        <v/>
      </c>
      <c r="N57" s="52">
        <f>VLOOKUP(B57,'Food and Beverage'!$A:$D,4,)</f>
        <v/>
      </c>
      <c r="O57" s="52">
        <f>VLOOKUP(B57,'Food Services'!$A:$D,3,)</f>
        <v/>
      </c>
      <c r="P57" s="53">
        <f>VLOOKUP(B57,'Food Services'!$A:$D,4,)</f>
        <v/>
      </c>
      <c r="Q57" s="52">
        <f>VLOOKUP(B57,'General Merchandising'!$A:$D,3,)</f>
        <v/>
      </c>
      <c r="R57" s="53">
        <f>VLOOKUP(B57,'General Merchandising'!$A:$D,4,)</f>
        <v/>
      </c>
      <c r="S57" s="52">
        <f>VLOOKUP(B57,'Gas Station'!$A:$D,3,)</f>
        <v/>
      </c>
      <c r="T57" s="53">
        <f>VLOOKUP(B57,'Gas Station'!$A:$D,4,)</f>
        <v/>
      </c>
      <c r="U57" s="52">
        <f>VLOOKUP(B57,Housing!$A:$D,3,)</f>
        <v/>
      </c>
      <c r="V57" s="53">
        <f>VLOOKUP(B57,Housing!$A:$D,4,)</f>
        <v/>
      </c>
      <c r="W57" s="52">
        <f>VLOOKUP(B57,Health!$A:$D,3,)</f>
        <v/>
      </c>
      <c r="X57" s="53">
        <f>VLOOKUP(B57,Health!$A:$D,4,)</f>
        <v/>
      </c>
      <c r="Y57" s="52">
        <f>VLOOKUP(B57,'Clothing and clothing access'!$A:$D,3,)</f>
        <v/>
      </c>
      <c r="Z57" s="53">
        <f>VLOOKUP(B57,'Clothing and clothing access'!$A:$D,4,)</f>
        <v/>
      </c>
      <c r="AA57" s="52">
        <f>VLOOKUP(B57,'Furniture Home'!$A:$D,3,)</f>
        <v/>
      </c>
      <c r="AB57" s="53">
        <f>VLOOKUP(B57,'Furniture Home'!$A:$D,4,)</f>
        <v/>
      </c>
      <c r="AC57" s="52">
        <f>VLOOKUP(B57,'Miscellaneous stores retailers'!$A:$D,3,)</f>
        <v/>
      </c>
      <c r="AD57" s="53">
        <f>VLOOKUP(B57,'Miscellaneous stores retailers'!$A:$D,4,)</f>
        <v/>
      </c>
      <c r="AE57" s="52">
        <f>VLOOKUP(B57,'Sporting Goods'!$A:$D,3,)</f>
        <v/>
      </c>
      <c r="AF57" s="53">
        <f>VLOOKUP(B57,'Sporting Goods'!$A:$D,4,)</f>
        <v/>
      </c>
    </row>
    <row r="58">
      <c r="B58" s="56" t="n">
        <v>44593</v>
      </c>
      <c r="C58" s="52">
        <f>VLOOKUP(B58,'Retail Sales'!A:D,3,)</f>
        <v/>
      </c>
      <c r="D58" s="53">
        <f>VLOOKUP(B58,'Retail Sales'!A:D,4,)</f>
        <v/>
      </c>
      <c r="E58" s="52">
        <f>VLOOKUP(B58,'Retail Sales ex Auto'!$A:$D,3,)</f>
        <v/>
      </c>
      <c r="F58" s="53">
        <f>VLOOKUP(B58,'Retail Sales ex Auto'!$A:$D,4,)</f>
        <v/>
      </c>
      <c r="G58" s="52">
        <f>VLOOKUP(B58,'Retail Sales ex Auto and Gas'!$A:$D,3,)</f>
        <v/>
      </c>
      <c r="H58" s="53">
        <f>VLOOKUP(B58,'Retail Sales ex Auto and Gas'!$A:$D,4,)</f>
        <v/>
      </c>
      <c r="I58" s="52">
        <f>VLOOKUP(B58,Motor!$A:$D,3,)</f>
        <v/>
      </c>
      <c r="J58" s="53">
        <f>VLOOKUP(B58,Motor!$A:$D,4,)</f>
        <v/>
      </c>
      <c r="K58" s="52">
        <f>VLOOKUP(B58,'Non Store Retail'!$A:$D,3,)</f>
        <v/>
      </c>
      <c r="L58" s="53">
        <f>VLOOKUP(B58,'Non Store Retail'!$A:$D,4,)</f>
        <v/>
      </c>
      <c r="M58" s="52">
        <f>VLOOKUP(B58,'Food and Beverage'!$A:$D,3,)</f>
        <v/>
      </c>
      <c r="N58" s="52">
        <f>VLOOKUP(B58,'Food and Beverage'!$A:$D,4,)</f>
        <v/>
      </c>
      <c r="O58" s="52">
        <f>VLOOKUP(B58,'Food Services'!$A:$D,3,)</f>
        <v/>
      </c>
      <c r="P58" s="53">
        <f>VLOOKUP(B58,'Food Services'!$A:$D,4,)</f>
        <v/>
      </c>
      <c r="Q58" s="52">
        <f>VLOOKUP(B58,'General Merchandising'!$A:$D,3,)</f>
        <v/>
      </c>
      <c r="R58" s="53">
        <f>VLOOKUP(B58,'General Merchandising'!$A:$D,4,)</f>
        <v/>
      </c>
      <c r="S58" s="52">
        <f>VLOOKUP(B58,'Gas Station'!$A:$D,3,)</f>
        <v/>
      </c>
      <c r="T58" s="53">
        <f>VLOOKUP(B58,'Gas Station'!$A:$D,4,)</f>
        <v/>
      </c>
      <c r="U58" s="52">
        <f>VLOOKUP(B58,Housing!$A:$D,3,)</f>
        <v/>
      </c>
      <c r="V58" s="53">
        <f>VLOOKUP(B58,Housing!$A:$D,4,)</f>
        <v/>
      </c>
      <c r="W58" s="52">
        <f>VLOOKUP(B58,Health!$A:$D,3,)</f>
        <v/>
      </c>
      <c r="X58" s="53">
        <f>VLOOKUP(B58,Health!$A:$D,4,)</f>
        <v/>
      </c>
      <c r="Y58" s="52">
        <f>VLOOKUP(B58,'Clothing and clothing access'!$A:$D,3,)</f>
        <v/>
      </c>
      <c r="Z58" s="53">
        <f>VLOOKUP(B58,'Clothing and clothing access'!$A:$D,4,)</f>
        <v/>
      </c>
      <c r="AA58" s="52">
        <f>VLOOKUP(B58,'Furniture Home'!$A:$D,3,)</f>
        <v/>
      </c>
      <c r="AB58" s="53">
        <f>VLOOKUP(B58,'Furniture Home'!$A:$D,4,)</f>
        <v/>
      </c>
      <c r="AC58" s="52">
        <f>VLOOKUP(B58,'Miscellaneous stores retailers'!$A:$D,3,)</f>
        <v/>
      </c>
      <c r="AD58" s="53">
        <f>VLOOKUP(B58,'Miscellaneous stores retailers'!$A:$D,4,)</f>
        <v/>
      </c>
      <c r="AE58" s="52">
        <f>VLOOKUP(B58,'Sporting Goods'!$A:$D,3,)</f>
        <v/>
      </c>
      <c r="AF58" s="53">
        <f>VLOOKUP(B58,'Sporting Goods'!$A:$D,4,)</f>
        <v/>
      </c>
    </row>
    <row r="59">
      <c r="B59" s="56" t="n">
        <v>44621</v>
      </c>
      <c r="C59" s="52">
        <f>VLOOKUP(B59,'Retail Sales'!A:D,3,)</f>
        <v/>
      </c>
      <c r="D59" s="53">
        <f>VLOOKUP(B59,'Retail Sales'!A:D,4,)</f>
        <v/>
      </c>
      <c r="E59" s="52">
        <f>VLOOKUP(B59,'Retail Sales ex Auto'!$A:$D,3,)</f>
        <v/>
      </c>
      <c r="F59" s="53">
        <f>VLOOKUP(B59,'Retail Sales ex Auto'!$A:$D,4,)</f>
        <v/>
      </c>
      <c r="G59" s="52">
        <f>VLOOKUP(B59,'Retail Sales ex Auto and Gas'!$A:$D,3,)</f>
        <v/>
      </c>
      <c r="H59" s="53">
        <f>VLOOKUP(B59,'Retail Sales ex Auto and Gas'!$A:$D,4,)</f>
        <v/>
      </c>
      <c r="I59" s="52">
        <f>VLOOKUP(B59,Motor!$A:$D,3,)</f>
        <v/>
      </c>
      <c r="J59" s="53">
        <f>VLOOKUP(B59,Motor!$A:$D,4,)</f>
        <v/>
      </c>
      <c r="K59" s="52">
        <f>VLOOKUP(B59,'Non Store Retail'!$A:$D,3,)</f>
        <v/>
      </c>
      <c r="L59" s="53">
        <f>VLOOKUP(B59,'Non Store Retail'!$A:$D,4,)</f>
        <v/>
      </c>
      <c r="M59" s="52">
        <f>VLOOKUP(B59,'Food and Beverage'!$A:$D,3,)</f>
        <v/>
      </c>
      <c r="N59" s="52">
        <f>VLOOKUP(B59,'Food and Beverage'!$A:$D,4,)</f>
        <v/>
      </c>
      <c r="O59" s="52">
        <f>VLOOKUP(B59,'Food Services'!$A:$D,3,)</f>
        <v/>
      </c>
      <c r="P59" s="53">
        <f>VLOOKUP(B59,'Food Services'!$A:$D,4,)</f>
        <v/>
      </c>
      <c r="Q59" s="52">
        <f>VLOOKUP(B59,'General Merchandising'!$A:$D,3,)</f>
        <v/>
      </c>
      <c r="R59" s="53">
        <f>VLOOKUP(B59,'General Merchandising'!$A:$D,4,)</f>
        <v/>
      </c>
      <c r="S59" s="52">
        <f>VLOOKUP(B59,'Gas Station'!$A:$D,3,)</f>
        <v/>
      </c>
      <c r="T59" s="53">
        <f>VLOOKUP(B59,'Gas Station'!$A:$D,4,)</f>
        <v/>
      </c>
      <c r="U59" s="52">
        <f>VLOOKUP(B59,Housing!$A:$D,3,)</f>
        <v/>
      </c>
      <c r="V59" s="53">
        <f>VLOOKUP(B59,Housing!$A:$D,4,)</f>
        <v/>
      </c>
      <c r="W59" s="52">
        <f>VLOOKUP(B59,Health!$A:$D,3,)</f>
        <v/>
      </c>
      <c r="X59" s="53">
        <f>VLOOKUP(B59,Health!$A:$D,4,)</f>
        <v/>
      </c>
      <c r="Y59" s="52">
        <f>VLOOKUP(B59,'Clothing and clothing access'!$A:$D,3,)</f>
        <v/>
      </c>
      <c r="Z59" s="53">
        <f>VLOOKUP(B59,'Clothing and clothing access'!$A:$D,4,)</f>
        <v/>
      </c>
      <c r="AA59" s="52">
        <f>VLOOKUP(B59,'Furniture Home'!$A:$D,3,)</f>
        <v/>
      </c>
      <c r="AB59" s="53">
        <f>VLOOKUP(B59,'Furniture Home'!$A:$D,4,)</f>
        <v/>
      </c>
      <c r="AC59" s="52">
        <f>VLOOKUP(B59,'Miscellaneous stores retailers'!$A:$D,3,)</f>
        <v/>
      </c>
      <c r="AD59" s="53">
        <f>VLOOKUP(B59,'Miscellaneous stores retailers'!$A:$D,4,)</f>
        <v/>
      </c>
      <c r="AE59" s="52">
        <f>VLOOKUP(B59,'Sporting Goods'!$A:$D,3,)</f>
        <v/>
      </c>
      <c r="AF59" s="53">
        <f>VLOOKUP(B59,'Sporting Goods'!$A:$D,4,)</f>
        <v/>
      </c>
    </row>
    <row r="60">
      <c r="B60" s="56" t="n">
        <v>44652</v>
      </c>
      <c r="C60" s="52">
        <f>VLOOKUP(B60,'Retail Sales'!A:D,3,)</f>
        <v/>
      </c>
      <c r="D60" s="53">
        <f>VLOOKUP(B60,'Retail Sales'!A:D,4,)</f>
        <v/>
      </c>
      <c r="E60" s="52">
        <f>VLOOKUP(B60,'Retail Sales ex Auto'!$A:$D,3,)</f>
        <v/>
      </c>
      <c r="F60" s="53">
        <f>VLOOKUP(B60,'Retail Sales ex Auto'!$A:$D,4,)</f>
        <v/>
      </c>
      <c r="G60" s="52">
        <f>VLOOKUP(B60,'Retail Sales ex Auto and Gas'!$A:$D,3,)</f>
        <v/>
      </c>
      <c r="H60" s="53">
        <f>VLOOKUP(B60,'Retail Sales ex Auto and Gas'!$A:$D,4,)</f>
        <v/>
      </c>
      <c r="I60" s="52">
        <f>VLOOKUP(B60,Motor!$A:$D,3,)</f>
        <v/>
      </c>
      <c r="J60" s="53">
        <f>VLOOKUP(B60,Motor!$A:$D,4,)</f>
        <v/>
      </c>
      <c r="K60" s="52">
        <f>VLOOKUP(B60,'Non Store Retail'!$A:$D,3,)</f>
        <v/>
      </c>
      <c r="L60" s="53">
        <f>VLOOKUP(B60,'Non Store Retail'!$A:$D,4,)</f>
        <v/>
      </c>
      <c r="M60" s="52">
        <f>VLOOKUP(B60,'Food and Beverage'!$A:$D,3,)</f>
        <v/>
      </c>
      <c r="N60" s="52">
        <f>VLOOKUP(B60,'Food and Beverage'!$A:$D,4,)</f>
        <v/>
      </c>
      <c r="O60" s="52">
        <f>VLOOKUP(B60,'Food Services'!$A:$D,3,)</f>
        <v/>
      </c>
      <c r="P60" s="53">
        <f>VLOOKUP(B60,'Food Services'!$A:$D,4,)</f>
        <v/>
      </c>
      <c r="Q60" s="52">
        <f>VLOOKUP(B60,'General Merchandising'!$A:$D,3,)</f>
        <v/>
      </c>
      <c r="R60" s="53">
        <f>VLOOKUP(B60,'General Merchandising'!$A:$D,4,)</f>
        <v/>
      </c>
      <c r="S60" s="52">
        <f>VLOOKUP(B60,'Gas Station'!$A:$D,3,)</f>
        <v/>
      </c>
      <c r="T60" s="53">
        <f>VLOOKUP(B60,'Gas Station'!$A:$D,4,)</f>
        <v/>
      </c>
      <c r="U60" s="52">
        <f>VLOOKUP(B60,Housing!$A:$D,3,)</f>
        <v/>
      </c>
      <c r="V60" s="53">
        <f>VLOOKUP(B60,Housing!$A:$D,4,)</f>
        <v/>
      </c>
      <c r="W60" s="52">
        <f>VLOOKUP(B60,Health!$A:$D,3,)</f>
        <v/>
      </c>
      <c r="X60" s="53">
        <f>VLOOKUP(B60,Health!$A:$D,4,)</f>
        <v/>
      </c>
      <c r="Y60" s="52">
        <f>VLOOKUP(B60,'Clothing and clothing access'!$A:$D,3,)</f>
        <v/>
      </c>
      <c r="Z60" s="53">
        <f>VLOOKUP(B60,'Clothing and clothing access'!$A:$D,4,)</f>
        <v/>
      </c>
      <c r="AA60" s="52">
        <f>VLOOKUP(B60,'Furniture Home'!$A:$D,3,)</f>
        <v/>
      </c>
      <c r="AB60" s="53">
        <f>VLOOKUP(B60,'Furniture Home'!$A:$D,4,)</f>
        <v/>
      </c>
      <c r="AC60" s="52">
        <f>VLOOKUP(B60,'Miscellaneous stores retailers'!$A:$D,3,)</f>
        <v/>
      </c>
      <c r="AD60" s="53">
        <f>VLOOKUP(B60,'Miscellaneous stores retailers'!$A:$D,4,)</f>
        <v/>
      </c>
      <c r="AE60" s="52">
        <f>VLOOKUP(B60,'Sporting Goods'!$A:$D,3,)</f>
        <v/>
      </c>
      <c r="AF60" s="53">
        <f>VLOOKUP(B60,'Sporting Goods'!$A:$D,4,)</f>
        <v/>
      </c>
    </row>
    <row r="61">
      <c r="B61" s="56" t="n">
        <v>44682</v>
      </c>
      <c r="C61" s="52">
        <f>VLOOKUP(B61,'Retail Sales'!A:D,3,)</f>
        <v/>
      </c>
      <c r="D61" s="53">
        <f>VLOOKUP(B61,'Retail Sales'!A:D,4,)</f>
        <v/>
      </c>
      <c r="E61" s="52">
        <f>VLOOKUP(B61,'Retail Sales ex Auto'!$A:$D,3,)</f>
        <v/>
      </c>
      <c r="F61" s="53">
        <f>VLOOKUP(B61,'Retail Sales ex Auto'!$A:$D,4,)</f>
        <v/>
      </c>
      <c r="G61" s="52">
        <f>VLOOKUP(B61,'Retail Sales ex Auto and Gas'!$A:$D,3,)</f>
        <v/>
      </c>
      <c r="H61" s="53">
        <f>VLOOKUP(B61,'Retail Sales ex Auto and Gas'!$A:$D,4,)</f>
        <v/>
      </c>
      <c r="I61" s="52">
        <f>VLOOKUP(B61,Motor!$A:$D,3,)</f>
        <v/>
      </c>
      <c r="J61" s="53">
        <f>VLOOKUP(B61,Motor!$A:$D,4,)</f>
        <v/>
      </c>
      <c r="K61" s="52">
        <f>VLOOKUP(B61,'Non Store Retail'!$A:$D,3,)</f>
        <v/>
      </c>
      <c r="L61" s="53">
        <f>VLOOKUP(B61,'Non Store Retail'!$A:$D,4,)</f>
        <v/>
      </c>
      <c r="M61" s="52">
        <f>VLOOKUP(B61,'Food and Beverage'!$A:$D,3,)</f>
        <v/>
      </c>
      <c r="N61" s="52">
        <f>VLOOKUP(B61,'Food and Beverage'!$A:$D,4,)</f>
        <v/>
      </c>
      <c r="O61" s="52">
        <f>VLOOKUP(B61,'Food Services'!$A:$D,3,)</f>
        <v/>
      </c>
      <c r="P61" s="53">
        <f>VLOOKUP(B61,'Food Services'!$A:$D,4,)</f>
        <v/>
      </c>
      <c r="Q61" s="52">
        <f>VLOOKUP(B61,'General Merchandising'!$A:$D,3,)</f>
        <v/>
      </c>
      <c r="R61" s="53">
        <f>VLOOKUP(B61,'General Merchandising'!$A:$D,4,)</f>
        <v/>
      </c>
      <c r="S61" s="52">
        <f>VLOOKUP(B61,'Gas Station'!$A:$D,3,)</f>
        <v/>
      </c>
      <c r="T61" s="53">
        <f>VLOOKUP(B61,'Gas Station'!$A:$D,4,)</f>
        <v/>
      </c>
      <c r="U61" s="52">
        <f>VLOOKUP(B61,Housing!$A:$D,3,)</f>
        <v/>
      </c>
      <c r="V61" s="53">
        <f>VLOOKUP(B61,Housing!$A:$D,4,)</f>
        <v/>
      </c>
      <c r="W61" s="52">
        <f>VLOOKUP(B61,Health!$A:$D,3,)</f>
        <v/>
      </c>
      <c r="X61" s="53">
        <f>VLOOKUP(B61,Health!$A:$D,4,)</f>
        <v/>
      </c>
      <c r="Y61" s="52">
        <f>VLOOKUP(B61,'Clothing and clothing access'!$A:$D,3,)</f>
        <v/>
      </c>
      <c r="Z61" s="53">
        <f>VLOOKUP(B61,'Clothing and clothing access'!$A:$D,4,)</f>
        <v/>
      </c>
      <c r="AA61" s="52">
        <f>VLOOKUP(B61,'Furniture Home'!$A:$D,3,)</f>
        <v/>
      </c>
      <c r="AB61" s="53">
        <f>VLOOKUP(B61,'Furniture Home'!$A:$D,4,)</f>
        <v/>
      </c>
      <c r="AC61" s="52">
        <f>VLOOKUP(B61,'Miscellaneous stores retailers'!$A:$D,3,)</f>
        <v/>
      </c>
      <c r="AD61" s="53">
        <f>VLOOKUP(B61,'Miscellaneous stores retailers'!$A:$D,4,)</f>
        <v/>
      </c>
      <c r="AE61" s="52">
        <f>VLOOKUP(B61,'Sporting Goods'!$A:$D,3,)</f>
        <v/>
      </c>
      <c r="AF61" s="53">
        <f>VLOOKUP(B61,'Sporting Goods'!$A:$D,4,)</f>
        <v/>
      </c>
    </row>
    <row r="62">
      <c r="B62" s="56" t="n">
        <v>44713</v>
      </c>
      <c r="C62" s="52">
        <f>VLOOKUP(B62,'Retail Sales'!A:D,3,)</f>
        <v/>
      </c>
      <c r="D62" s="53">
        <f>VLOOKUP(B62,'Retail Sales'!A:D,4,)</f>
        <v/>
      </c>
      <c r="E62" s="52">
        <f>VLOOKUP(B62,'Retail Sales ex Auto'!$A:$D,3,)</f>
        <v/>
      </c>
      <c r="F62" s="53">
        <f>VLOOKUP(B62,'Retail Sales ex Auto'!$A:$D,4,)</f>
        <v/>
      </c>
      <c r="G62" s="52">
        <f>VLOOKUP(B62,'Retail Sales ex Auto and Gas'!$A:$D,3,)</f>
        <v/>
      </c>
      <c r="H62" s="53">
        <f>VLOOKUP(B62,'Retail Sales ex Auto and Gas'!$A:$D,4,)</f>
        <v/>
      </c>
      <c r="I62" s="52">
        <f>VLOOKUP(B62,Motor!$A:$D,3,)</f>
        <v/>
      </c>
      <c r="J62" s="53">
        <f>VLOOKUP(B62,Motor!$A:$D,4,)</f>
        <v/>
      </c>
      <c r="K62" s="52">
        <f>VLOOKUP(B62,'Non Store Retail'!$A:$D,3,)</f>
        <v/>
      </c>
      <c r="L62" s="53">
        <f>VLOOKUP(B62,'Non Store Retail'!$A:$D,4,)</f>
        <v/>
      </c>
      <c r="M62" s="52">
        <f>VLOOKUP(B62,'Food and Beverage'!$A:$D,3,)</f>
        <v/>
      </c>
      <c r="N62" s="52">
        <f>VLOOKUP(B62,'Food and Beverage'!$A:$D,4,)</f>
        <v/>
      </c>
      <c r="O62" s="52">
        <f>VLOOKUP(B62,'Food Services'!$A:$D,3,)</f>
        <v/>
      </c>
      <c r="P62" s="53">
        <f>VLOOKUP(B62,'Food Services'!$A:$D,4,)</f>
        <v/>
      </c>
      <c r="Q62" s="52">
        <f>VLOOKUP(B62,'General Merchandising'!$A:$D,3,)</f>
        <v/>
      </c>
      <c r="R62" s="53">
        <f>VLOOKUP(B62,'General Merchandising'!$A:$D,4,)</f>
        <v/>
      </c>
      <c r="S62" s="52">
        <f>VLOOKUP(B62,'Gas Station'!$A:$D,3,)</f>
        <v/>
      </c>
      <c r="T62" s="53">
        <f>VLOOKUP(B62,'Gas Station'!$A:$D,4,)</f>
        <v/>
      </c>
      <c r="U62" s="52">
        <f>VLOOKUP(B62,Housing!$A:$D,3,)</f>
        <v/>
      </c>
      <c r="V62" s="53">
        <f>VLOOKUP(B62,Housing!$A:$D,4,)</f>
        <v/>
      </c>
      <c r="W62" s="52">
        <f>VLOOKUP(B62,Health!$A:$D,3,)</f>
        <v/>
      </c>
      <c r="X62" s="53">
        <f>VLOOKUP(B62,Health!$A:$D,4,)</f>
        <v/>
      </c>
      <c r="Y62" s="52">
        <f>VLOOKUP(B62,'Clothing and clothing access'!$A:$D,3,)</f>
        <v/>
      </c>
      <c r="Z62" s="53">
        <f>VLOOKUP(B62,'Clothing and clothing access'!$A:$D,4,)</f>
        <v/>
      </c>
      <c r="AA62" s="52">
        <f>VLOOKUP(B62,'Furniture Home'!$A:$D,3,)</f>
        <v/>
      </c>
      <c r="AB62" s="53">
        <f>VLOOKUP(B62,'Furniture Home'!$A:$D,4,)</f>
        <v/>
      </c>
      <c r="AC62" s="52">
        <f>VLOOKUP(B62,'Miscellaneous stores retailers'!$A:$D,3,)</f>
        <v/>
      </c>
      <c r="AD62" s="53">
        <f>VLOOKUP(B62,'Miscellaneous stores retailers'!$A:$D,4,)</f>
        <v/>
      </c>
      <c r="AE62" s="52">
        <f>VLOOKUP(B62,'Sporting Goods'!$A:$D,3,)</f>
        <v/>
      </c>
      <c r="AF62" s="53">
        <f>VLOOKUP(B62,'Sporting Goods'!$A:$D,4,)</f>
        <v/>
      </c>
    </row>
    <row r="63">
      <c r="B63" s="56" t="n">
        <v>44743</v>
      </c>
      <c r="C63" s="52">
        <f>VLOOKUP(B63,'Retail Sales'!A:D,3,)</f>
        <v/>
      </c>
      <c r="D63" s="53">
        <f>VLOOKUP(B63,'Retail Sales'!A:D,4,)</f>
        <v/>
      </c>
      <c r="E63" s="52">
        <f>VLOOKUP(B63,'Retail Sales ex Auto'!$A:$D,3,)</f>
        <v/>
      </c>
      <c r="F63" s="53">
        <f>VLOOKUP(B63,'Retail Sales ex Auto'!$A:$D,4,)</f>
        <v/>
      </c>
      <c r="G63" s="52">
        <f>VLOOKUP(B63,'Retail Sales ex Auto and Gas'!$A:$D,3,)</f>
        <v/>
      </c>
      <c r="H63" s="53">
        <f>VLOOKUP(B63,'Retail Sales ex Auto and Gas'!$A:$D,4,)</f>
        <v/>
      </c>
      <c r="I63" s="52">
        <f>VLOOKUP(B63,Motor!$A:$D,3,)</f>
        <v/>
      </c>
      <c r="J63" s="53">
        <f>VLOOKUP(B63,Motor!$A:$D,4,)</f>
        <v/>
      </c>
      <c r="K63" s="52">
        <f>VLOOKUP(B63,'Non Store Retail'!$A:$D,3,)</f>
        <v/>
      </c>
      <c r="L63" s="53">
        <f>VLOOKUP(B63,'Non Store Retail'!$A:$D,4,)</f>
        <v/>
      </c>
      <c r="M63" s="52">
        <f>VLOOKUP(B63,'Food and Beverage'!$A:$D,3,)</f>
        <v/>
      </c>
      <c r="N63" s="52">
        <f>VLOOKUP(B63,'Food and Beverage'!$A:$D,4,)</f>
        <v/>
      </c>
      <c r="O63" s="52">
        <f>VLOOKUP(B63,'Food Services'!$A:$D,3,)</f>
        <v/>
      </c>
      <c r="P63" s="53">
        <f>VLOOKUP(B63,'Food Services'!$A:$D,4,)</f>
        <v/>
      </c>
      <c r="Q63" s="52">
        <f>VLOOKUP(B63,'General Merchandising'!$A:$D,3,)</f>
        <v/>
      </c>
      <c r="R63" s="53">
        <f>VLOOKUP(B63,'General Merchandising'!$A:$D,4,)</f>
        <v/>
      </c>
      <c r="S63" s="52">
        <f>VLOOKUP(B63,'Gas Station'!$A:$D,3,)</f>
        <v/>
      </c>
      <c r="T63" s="53">
        <f>VLOOKUP(B63,'Gas Station'!$A:$D,4,)</f>
        <v/>
      </c>
      <c r="U63" s="52">
        <f>VLOOKUP(B63,Housing!$A:$D,3,)</f>
        <v/>
      </c>
      <c r="V63" s="53">
        <f>VLOOKUP(B63,Housing!$A:$D,4,)</f>
        <v/>
      </c>
      <c r="W63" s="52">
        <f>VLOOKUP(B63,Health!$A:$D,3,)</f>
        <v/>
      </c>
      <c r="X63" s="53">
        <f>VLOOKUP(B63,Health!$A:$D,4,)</f>
        <v/>
      </c>
      <c r="Y63" s="52">
        <f>VLOOKUP(B63,'Clothing and clothing access'!$A:$D,3,)</f>
        <v/>
      </c>
      <c r="Z63" s="53">
        <f>VLOOKUP(B63,'Clothing and clothing access'!$A:$D,4,)</f>
        <v/>
      </c>
      <c r="AA63" s="52">
        <f>VLOOKUP(B63,'Furniture Home'!$A:$D,3,)</f>
        <v/>
      </c>
      <c r="AB63" s="53">
        <f>VLOOKUP(B63,'Furniture Home'!$A:$D,4,)</f>
        <v/>
      </c>
      <c r="AC63" s="52">
        <f>VLOOKUP(B63,'Miscellaneous stores retailers'!$A:$D,3,)</f>
        <v/>
      </c>
      <c r="AD63" s="53">
        <f>VLOOKUP(B63,'Miscellaneous stores retailers'!$A:$D,4,)</f>
        <v/>
      </c>
      <c r="AE63" s="52">
        <f>VLOOKUP(B63,'Sporting Goods'!$A:$D,3,)</f>
        <v/>
      </c>
      <c r="AF63" s="53">
        <f>VLOOKUP(B63,'Sporting Goods'!$A:$D,4,)</f>
        <v/>
      </c>
    </row>
    <row r="64">
      <c r="B64" s="56" t="n">
        <v>44774</v>
      </c>
      <c r="C64" s="52">
        <f>VLOOKUP(B64,'Retail Sales'!A:D,3,)</f>
        <v/>
      </c>
      <c r="D64" s="53">
        <f>VLOOKUP(B64,'Retail Sales'!A:D,4,)</f>
        <v/>
      </c>
      <c r="E64" s="52">
        <f>VLOOKUP(B64,'Retail Sales ex Auto'!$A:$D,3,)</f>
        <v/>
      </c>
      <c r="F64" s="53">
        <f>VLOOKUP(B64,'Retail Sales ex Auto'!$A:$D,4,)</f>
        <v/>
      </c>
      <c r="G64" s="52">
        <f>VLOOKUP(B64,'Retail Sales ex Auto and Gas'!$A:$D,3,)</f>
        <v/>
      </c>
      <c r="H64" s="53">
        <f>VLOOKUP(B64,'Retail Sales ex Auto and Gas'!$A:$D,4,)</f>
        <v/>
      </c>
      <c r="I64" s="52">
        <f>VLOOKUP(B64,Motor!$A:$D,3,)</f>
        <v/>
      </c>
      <c r="J64" s="53">
        <f>VLOOKUP(B64,Motor!$A:$D,4,)</f>
        <v/>
      </c>
      <c r="K64" s="52">
        <f>VLOOKUP(B64,'Non Store Retail'!$A:$D,3,)</f>
        <v/>
      </c>
      <c r="L64" s="53">
        <f>VLOOKUP(B64,'Non Store Retail'!$A:$D,4,)</f>
        <v/>
      </c>
      <c r="M64" s="52">
        <f>VLOOKUP(B64,'Food and Beverage'!$A:$D,3,)</f>
        <v/>
      </c>
      <c r="N64" s="52">
        <f>VLOOKUP(B64,'Food and Beverage'!$A:$D,4,)</f>
        <v/>
      </c>
      <c r="O64" s="52">
        <f>VLOOKUP(B64,'Food Services'!$A:$D,3,)</f>
        <v/>
      </c>
      <c r="P64" s="53">
        <f>VLOOKUP(B64,'Food Services'!$A:$D,4,)</f>
        <v/>
      </c>
      <c r="Q64" s="52">
        <f>VLOOKUP(B64,'General Merchandising'!$A:$D,3,)</f>
        <v/>
      </c>
      <c r="R64" s="53">
        <f>VLOOKUP(B64,'General Merchandising'!$A:$D,4,)</f>
        <v/>
      </c>
      <c r="S64" s="52">
        <f>VLOOKUP(B64,'Gas Station'!$A:$D,3,)</f>
        <v/>
      </c>
      <c r="T64" s="53">
        <f>VLOOKUP(B64,'Gas Station'!$A:$D,4,)</f>
        <v/>
      </c>
      <c r="U64" s="52">
        <f>VLOOKUP(B64,Housing!$A:$D,3,)</f>
        <v/>
      </c>
      <c r="V64" s="53">
        <f>VLOOKUP(B64,Housing!$A:$D,4,)</f>
        <v/>
      </c>
      <c r="W64" s="52">
        <f>VLOOKUP(B64,Health!$A:$D,3,)</f>
        <v/>
      </c>
      <c r="X64" s="53">
        <f>VLOOKUP(B64,Health!$A:$D,4,)</f>
        <v/>
      </c>
      <c r="Y64" s="52">
        <f>VLOOKUP(B64,'Clothing and clothing access'!$A:$D,3,)</f>
        <v/>
      </c>
      <c r="Z64" s="53">
        <f>VLOOKUP(B64,'Clothing and clothing access'!$A:$D,4,)</f>
        <v/>
      </c>
      <c r="AA64" s="52">
        <f>VLOOKUP(B64,'Furniture Home'!$A:$D,3,)</f>
        <v/>
      </c>
      <c r="AB64" s="53">
        <f>VLOOKUP(B64,'Furniture Home'!$A:$D,4,)</f>
        <v/>
      </c>
      <c r="AC64" s="52">
        <f>VLOOKUP(B64,'Miscellaneous stores retailers'!$A:$D,3,)</f>
        <v/>
      </c>
      <c r="AD64" s="53">
        <f>VLOOKUP(B64,'Miscellaneous stores retailers'!$A:$D,4,)</f>
        <v/>
      </c>
      <c r="AE64" s="52">
        <f>VLOOKUP(B64,'Sporting Goods'!$A:$D,3,)</f>
        <v/>
      </c>
      <c r="AF64" s="53">
        <f>VLOOKUP(B64,'Sporting Goods'!$A:$D,4,)</f>
        <v/>
      </c>
    </row>
    <row r="65">
      <c r="B65" s="56" t="n">
        <v>44805</v>
      </c>
      <c r="C65" s="52">
        <f>VLOOKUP(B65,'Retail Sales'!A:D,3,)</f>
        <v/>
      </c>
      <c r="D65" s="53">
        <f>VLOOKUP(B65,'Retail Sales'!A:D,4,)</f>
        <v/>
      </c>
      <c r="E65" s="52">
        <f>VLOOKUP(B65,'Retail Sales ex Auto'!$A:$D,3,)</f>
        <v/>
      </c>
      <c r="F65" s="53">
        <f>VLOOKUP(B65,'Retail Sales ex Auto'!$A:$D,4,)</f>
        <v/>
      </c>
      <c r="G65" s="52">
        <f>VLOOKUP(B65,'Retail Sales ex Auto and Gas'!$A:$D,3,)</f>
        <v/>
      </c>
      <c r="H65" s="53">
        <f>VLOOKUP(B65,'Retail Sales ex Auto and Gas'!$A:$D,4,)</f>
        <v/>
      </c>
      <c r="I65" s="52">
        <f>VLOOKUP(B65,Motor!$A:$D,3,)</f>
        <v/>
      </c>
      <c r="J65" s="53">
        <f>VLOOKUP(B65,Motor!$A:$D,4,)</f>
        <v/>
      </c>
      <c r="K65" s="52">
        <f>VLOOKUP(B65,'Non Store Retail'!$A:$D,3,)</f>
        <v/>
      </c>
      <c r="L65" s="53">
        <f>VLOOKUP(B65,'Non Store Retail'!$A:$D,4,)</f>
        <v/>
      </c>
      <c r="M65" s="52">
        <f>VLOOKUP(B65,'Food and Beverage'!$A:$D,3,)</f>
        <v/>
      </c>
      <c r="N65" s="52">
        <f>VLOOKUP(B65,'Food and Beverage'!$A:$D,4,)</f>
        <v/>
      </c>
      <c r="O65" s="52">
        <f>VLOOKUP(B65,'Food Services'!$A:$D,3,)</f>
        <v/>
      </c>
      <c r="P65" s="53">
        <f>VLOOKUP(B65,'Food Services'!$A:$D,4,)</f>
        <v/>
      </c>
      <c r="Q65" s="52">
        <f>VLOOKUP(B65,'General Merchandising'!$A:$D,3,)</f>
        <v/>
      </c>
      <c r="R65" s="53">
        <f>VLOOKUP(B65,'General Merchandising'!$A:$D,4,)</f>
        <v/>
      </c>
      <c r="S65" s="52">
        <f>VLOOKUP(B65,'Gas Station'!$A:$D,3,)</f>
        <v/>
      </c>
      <c r="T65" s="53">
        <f>VLOOKUP(B65,'Gas Station'!$A:$D,4,)</f>
        <v/>
      </c>
      <c r="U65" s="52">
        <f>VLOOKUP(B65,Housing!$A:$D,3,)</f>
        <v/>
      </c>
      <c r="V65" s="53">
        <f>VLOOKUP(B65,Housing!$A:$D,4,)</f>
        <v/>
      </c>
      <c r="W65" s="52">
        <f>VLOOKUP(B65,Health!$A:$D,3,)</f>
        <v/>
      </c>
      <c r="X65" s="53">
        <f>VLOOKUP(B65,Health!$A:$D,4,)</f>
        <v/>
      </c>
      <c r="Y65" s="52">
        <f>VLOOKUP(B65,'Clothing and clothing access'!$A:$D,3,)</f>
        <v/>
      </c>
      <c r="Z65" s="53">
        <f>VLOOKUP(B65,'Clothing and clothing access'!$A:$D,4,)</f>
        <v/>
      </c>
      <c r="AA65" s="52">
        <f>VLOOKUP(B65,'Furniture Home'!$A:$D,3,)</f>
        <v/>
      </c>
      <c r="AB65" s="53">
        <f>VLOOKUP(B65,'Furniture Home'!$A:$D,4,)</f>
        <v/>
      </c>
      <c r="AC65" s="52">
        <f>VLOOKUP(B65,'Miscellaneous stores retailers'!$A:$D,3,)</f>
        <v/>
      </c>
      <c r="AD65" s="53">
        <f>VLOOKUP(B65,'Miscellaneous stores retailers'!$A:$D,4,)</f>
        <v/>
      </c>
      <c r="AE65" s="52">
        <f>VLOOKUP(B65,'Sporting Goods'!$A:$D,3,)</f>
        <v/>
      </c>
      <c r="AF65" s="53">
        <f>VLOOKUP(B65,'Sporting Goods'!$A:$D,4,)</f>
        <v/>
      </c>
    </row>
  </sheetData>
  <mergeCells count="15">
    <mergeCell ref="C2:D2"/>
    <mergeCell ref="E2:F2"/>
    <mergeCell ref="G2:H2"/>
    <mergeCell ref="I2:J2"/>
    <mergeCell ref="K2:L2"/>
    <mergeCell ref="M2:N2"/>
    <mergeCell ref="O2:P2"/>
    <mergeCell ref="Q2:R2"/>
    <mergeCell ref="S2:T2"/>
    <mergeCell ref="AE2:AF2"/>
    <mergeCell ref="U2:V2"/>
    <mergeCell ref="W2:X2"/>
    <mergeCell ref="Y2:Z2"/>
    <mergeCell ref="AA2:AB2"/>
    <mergeCell ref="AC2:AD2"/>
  </mergeCells>
  <conditionalFormatting sqref="D3">
    <cfRule type="colorScale" priority="153">
      <colorScale>
        <cfvo type="min"/>
        <cfvo type="percentile" val="50"/>
        <cfvo type="max"/>
        <color rgb="FFF8696B"/>
        <color rgb="FFFFEB84"/>
        <color rgb="FF63BE7B"/>
      </colorScale>
    </cfRule>
  </conditionalFormatting>
  <conditionalFormatting sqref="F3">
    <cfRule type="colorScale" priority="56">
      <colorScale>
        <cfvo type="min"/>
        <cfvo type="percentile" val="50"/>
        <cfvo type="max"/>
        <color rgb="FFF8696B"/>
        <color rgb="FFFFEB84"/>
        <color rgb="FF63BE7B"/>
      </colorScale>
    </cfRule>
  </conditionalFormatting>
  <conditionalFormatting sqref="E3">
    <cfRule type="colorScale" priority="57">
      <colorScale>
        <cfvo type="min"/>
        <cfvo type="percentile" val="50"/>
        <cfvo type="max"/>
        <color rgb="FFF8696B"/>
        <color rgb="FFFFEB84"/>
        <color rgb="FF63BE7B"/>
      </colorScale>
    </cfRule>
  </conditionalFormatting>
  <conditionalFormatting sqref="H3">
    <cfRule type="colorScale" priority="54">
      <colorScale>
        <cfvo type="min"/>
        <cfvo type="percentile" val="50"/>
        <cfvo type="max"/>
        <color rgb="FFF8696B"/>
        <color rgb="FFFFEB84"/>
        <color rgb="FF63BE7B"/>
      </colorScale>
    </cfRule>
  </conditionalFormatting>
  <conditionalFormatting sqref="G3">
    <cfRule type="colorScale" priority="55">
      <colorScale>
        <cfvo type="min"/>
        <cfvo type="percentile" val="50"/>
        <cfvo type="max"/>
        <color rgb="FFF8696B"/>
        <color rgb="FFFFEB84"/>
        <color rgb="FF63BE7B"/>
      </colorScale>
    </cfRule>
  </conditionalFormatting>
  <conditionalFormatting sqref="J3">
    <cfRule type="colorScale" priority="52">
      <colorScale>
        <cfvo type="min"/>
        <cfvo type="percentile" val="50"/>
        <cfvo type="max"/>
        <color rgb="FFF8696B"/>
        <color rgb="FFFFEB84"/>
        <color rgb="FF63BE7B"/>
      </colorScale>
    </cfRule>
  </conditionalFormatting>
  <conditionalFormatting sqref="I3">
    <cfRule type="colorScale" priority="53">
      <colorScale>
        <cfvo type="min"/>
        <cfvo type="percentile" val="50"/>
        <cfvo type="max"/>
        <color rgb="FFF8696B"/>
        <color rgb="FFFFEB84"/>
        <color rgb="FF63BE7B"/>
      </colorScale>
    </cfRule>
  </conditionalFormatting>
  <conditionalFormatting sqref="L3">
    <cfRule type="colorScale" priority="50">
      <colorScale>
        <cfvo type="min"/>
        <cfvo type="percentile" val="50"/>
        <cfvo type="max"/>
        <color rgb="FFF8696B"/>
        <color rgb="FFFFEB84"/>
        <color rgb="FF63BE7B"/>
      </colorScale>
    </cfRule>
  </conditionalFormatting>
  <conditionalFormatting sqref="K3">
    <cfRule type="colorScale" priority="51">
      <colorScale>
        <cfvo type="min"/>
        <cfvo type="percentile" val="50"/>
        <cfvo type="max"/>
        <color rgb="FFF8696B"/>
        <color rgb="FFFFEB84"/>
        <color rgb="FF63BE7B"/>
      </colorScale>
    </cfRule>
  </conditionalFormatting>
  <conditionalFormatting sqref="N3">
    <cfRule type="colorScale" priority="48">
      <colorScale>
        <cfvo type="min"/>
        <cfvo type="percentile" val="50"/>
        <cfvo type="max"/>
        <color rgb="FFF8696B"/>
        <color rgb="FFFFEB84"/>
        <color rgb="FF63BE7B"/>
      </colorScale>
    </cfRule>
  </conditionalFormatting>
  <conditionalFormatting sqref="M3">
    <cfRule type="colorScale" priority="49">
      <colorScale>
        <cfvo type="min"/>
        <cfvo type="percentile" val="50"/>
        <cfvo type="max"/>
        <color rgb="FFF8696B"/>
        <color rgb="FFFFEB84"/>
        <color rgb="FF63BE7B"/>
      </colorScale>
    </cfRule>
  </conditionalFormatting>
  <conditionalFormatting sqref="P3">
    <cfRule type="colorScale" priority="46">
      <colorScale>
        <cfvo type="min"/>
        <cfvo type="percentile" val="50"/>
        <cfvo type="max"/>
        <color rgb="FFF8696B"/>
        <color rgb="FFFFEB84"/>
        <color rgb="FF63BE7B"/>
      </colorScale>
    </cfRule>
  </conditionalFormatting>
  <conditionalFormatting sqref="O3">
    <cfRule type="colorScale" priority="47">
      <colorScale>
        <cfvo type="min"/>
        <cfvo type="percentile" val="50"/>
        <cfvo type="max"/>
        <color rgb="FFF8696B"/>
        <color rgb="FFFFEB84"/>
        <color rgb="FF63BE7B"/>
      </colorScale>
    </cfRule>
  </conditionalFormatting>
  <conditionalFormatting sqref="R3">
    <cfRule type="colorScale" priority="44">
      <colorScale>
        <cfvo type="min"/>
        <cfvo type="percentile" val="50"/>
        <cfvo type="max"/>
        <color rgb="FFF8696B"/>
        <color rgb="FFFFEB84"/>
        <color rgb="FF63BE7B"/>
      </colorScale>
    </cfRule>
  </conditionalFormatting>
  <conditionalFormatting sqref="Q3">
    <cfRule type="colorScale" priority="45">
      <colorScale>
        <cfvo type="min"/>
        <cfvo type="percentile" val="50"/>
        <cfvo type="max"/>
        <color rgb="FFF8696B"/>
        <color rgb="FFFFEB84"/>
        <color rgb="FF63BE7B"/>
      </colorScale>
    </cfRule>
  </conditionalFormatting>
  <conditionalFormatting sqref="T3">
    <cfRule type="colorScale" priority="42">
      <colorScale>
        <cfvo type="min"/>
        <cfvo type="percentile" val="50"/>
        <cfvo type="max"/>
        <color rgb="FFF8696B"/>
        <color rgb="FFFFEB84"/>
        <color rgb="FF63BE7B"/>
      </colorScale>
    </cfRule>
  </conditionalFormatting>
  <conditionalFormatting sqref="S3">
    <cfRule type="colorScale" priority="43">
      <colorScale>
        <cfvo type="min"/>
        <cfvo type="percentile" val="50"/>
        <cfvo type="max"/>
        <color rgb="FFF8696B"/>
        <color rgb="FFFFEB84"/>
        <color rgb="FF63BE7B"/>
      </colorScale>
    </cfRule>
  </conditionalFormatting>
  <conditionalFormatting sqref="V3">
    <cfRule type="colorScale" priority="40">
      <colorScale>
        <cfvo type="min"/>
        <cfvo type="percentile" val="50"/>
        <cfvo type="max"/>
        <color rgb="FFF8696B"/>
        <color rgb="FFFFEB84"/>
        <color rgb="FF63BE7B"/>
      </colorScale>
    </cfRule>
  </conditionalFormatting>
  <conditionalFormatting sqref="U3">
    <cfRule type="colorScale" priority="41">
      <colorScale>
        <cfvo type="min"/>
        <cfvo type="percentile" val="50"/>
        <cfvo type="max"/>
        <color rgb="FFF8696B"/>
        <color rgb="FFFFEB84"/>
        <color rgb="FF63BE7B"/>
      </colorScale>
    </cfRule>
  </conditionalFormatting>
  <conditionalFormatting sqref="X3">
    <cfRule type="colorScale" priority="38">
      <colorScale>
        <cfvo type="min"/>
        <cfvo type="percentile" val="50"/>
        <cfvo type="max"/>
        <color rgb="FFF8696B"/>
        <color rgb="FFFFEB84"/>
        <color rgb="FF63BE7B"/>
      </colorScale>
    </cfRule>
  </conditionalFormatting>
  <conditionalFormatting sqref="W3">
    <cfRule type="colorScale" priority="39">
      <colorScale>
        <cfvo type="min"/>
        <cfvo type="percentile" val="50"/>
        <cfvo type="max"/>
        <color rgb="FFF8696B"/>
        <color rgb="FFFFEB84"/>
        <color rgb="FF63BE7B"/>
      </colorScale>
    </cfRule>
  </conditionalFormatting>
  <conditionalFormatting sqref="Z3">
    <cfRule type="colorScale" priority="36">
      <colorScale>
        <cfvo type="min"/>
        <cfvo type="percentile" val="50"/>
        <cfvo type="max"/>
        <color rgb="FFF8696B"/>
        <color rgb="FFFFEB84"/>
        <color rgb="FF63BE7B"/>
      </colorScale>
    </cfRule>
  </conditionalFormatting>
  <conditionalFormatting sqref="Y3">
    <cfRule type="colorScale" priority="37">
      <colorScale>
        <cfvo type="min"/>
        <cfvo type="percentile" val="50"/>
        <cfvo type="max"/>
        <color rgb="FFF8696B"/>
        <color rgb="FFFFEB84"/>
        <color rgb="FF63BE7B"/>
      </colorScale>
    </cfRule>
  </conditionalFormatting>
  <conditionalFormatting sqref="AB3">
    <cfRule type="colorScale" priority="34">
      <colorScale>
        <cfvo type="min"/>
        <cfvo type="percentile" val="50"/>
        <cfvo type="max"/>
        <color rgb="FFF8696B"/>
        <color rgb="FFFFEB84"/>
        <color rgb="FF63BE7B"/>
      </colorScale>
    </cfRule>
  </conditionalFormatting>
  <conditionalFormatting sqref="AA3">
    <cfRule type="colorScale" priority="35">
      <colorScale>
        <cfvo type="min"/>
        <cfvo type="percentile" val="50"/>
        <cfvo type="max"/>
        <color rgb="FFF8696B"/>
        <color rgb="FFFFEB84"/>
        <color rgb="FF63BE7B"/>
      </colorScale>
    </cfRule>
  </conditionalFormatting>
  <conditionalFormatting sqref="AD3">
    <cfRule type="colorScale" priority="32">
      <colorScale>
        <cfvo type="min"/>
        <cfvo type="percentile" val="50"/>
        <cfvo type="max"/>
        <color rgb="FFF8696B"/>
        <color rgb="FFFFEB84"/>
        <color rgb="FF63BE7B"/>
      </colorScale>
    </cfRule>
  </conditionalFormatting>
  <conditionalFormatting sqref="AC3">
    <cfRule type="colorScale" priority="33">
      <colorScale>
        <cfvo type="min"/>
        <cfvo type="percentile" val="50"/>
        <cfvo type="max"/>
        <color rgb="FFF8696B"/>
        <color rgb="FFFFEB84"/>
        <color rgb="FF63BE7B"/>
      </colorScale>
    </cfRule>
  </conditionalFormatting>
  <conditionalFormatting sqref="AF3">
    <cfRule type="colorScale" priority="30">
      <colorScale>
        <cfvo type="min"/>
        <cfvo type="percentile" val="50"/>
        <cfvo type="max"/>
        <color rgb="FFF8696B"/>
        <color rgb="FFFFEB84"/>
        <color rgb="FF63BE7B"/>
      </colorScale>
    </cfRule>
  </conditionalFormatting>
  <conditionalFormatting sqref="AE3">
    <cfRule type="colorScale" priority="31">
      <colorScale>
        <cfvo type="min"/>
        <cfvo type="percentile" val="50"/>
        <cfvo type="max"/>
        <color rgb="FFF8696B"/>
        <color rgb="FFFFEB84"/>
        <color rgb="FF63BE7B"/>
      </colorScale>
    </cfRule>
  </conditionalFormatting>
  <conditionalFormatting sqref="C3:C65">
    <cfRule type="colorScale" priority="243">
      <colorScale>
        <cfvo type="min"/>
        <cfvo type="percentile" val="50"/>
        <cfvo type="max"/>
        <color rgb="FFF8696B"/>
        <color rgb="FFFFEB84"/>
        <color rgb="FF63BE7B"/>
      </colorScale>
    </cfRule>
  </conditionalFormatting>
  <conditionalFormatting sqref="D4:D65">
    <cfRule type="colorScale" priority="244">
      <colorScale>
        <cfvo type="min"/>
        <cfvo type="percentile" val="50"/>
        <cfvo type="max"/>
        <color rgb="FFF8696B"/>
        <color rgb="FFFFEB84"/>
        <color rgb="FF63BE7B"/>
      </colorScale>
    </cfRule>
  </conditionalFormatting>
  <conditionalFormatting sqref="E4:E65">
    <cfRule type="colorScale" priority="245">
      <colorScale>
        <cfvo type="min"/>
        <cfvo type="percentile" val="50"/>
        <cfvo type="max"/>
        <color rgb="FFF8696B"/>
        <color rgb="FFFFEB84"/>
        <color rgb="FF63BE7B"/>
      </colorScale>
    </cfRule>
  </conditionalFormatting>
  <conditionalFormatting sqref="F4:F65">
    <cfRule type="colorScale" priority="246">
      <colorScale>
        <cfvo type="min"/>
        <cfvo type="percentile" val="50"/>
        <cfvo type="max"/>
        <color rgb="FFF8696B"/>
        <color rgb="FFFFEB84"/>
        <color rgb="FF63BE7B"/>
      </colorScale>
    </cfRule>
  </conditionalFormatting>
  <conditionalFormatting sqref="G4:G65">
    <cfRule type="colorScale" priority="247">
      <colorScale>
        <cfvo type="min"/>
        <cfvo type="percentile" val="50"/>
        <cfvo type="max"/>
        <color rgb="FFF8696B"/>
        <color rgb="FFFFEB84"/>
        <color rgb="FF63BE7B"/>
      </colorScale>
    </cfRule>
  </conditionalFormatting>
  <conditionalFormatting sqref="H4:H65">
    <cfRule type="colorScale" priority="248">
      <colorScale>
        <cfvo type="min"/>
        <cfvo type="percentile" val="50"/>
        <cfvo type="max"/>
        <color rgb="FFF8696B"/>
        <color rgb="FFFFEB84"/>
        <color rgb="FF63BE7B"/>
      </colorScale>
    </cfRule>
  </conditionalFormatting>
  <conditionalFormatting sqref="I4:I65">
    <cfRule type="colorScale" priority="249">
      <colorScale>
        <cfvo type="min"/>
        <cfvo type="percentile" val="50"/>
        <cfvo type="max"/>
        <color rgb="FFF8696B"/>
        <color rgb="FFFFEB84"/>
        <color rgb="FF63BE7B"/>
      </colorScale>
    </cfRule>
  </conditionalFormatting>
  <conditionalFormatting sqref="J4:J65">
    <cfRule type="colorScale" priority="250">
      <colorScale>
        <cfvo type="min"/>
        <cfvo type="percentile" val="50"/>
        <cfvo type="max"/>
        <color rgb="FFF8696B"/>
        <color rgb="FFFFEB84"/>
        <color rgb="FF63BE7B"/>
      </colorScale>
    </cfRule>
  </conditionalFormatting>
  <conditionalFormatting sqref="K4:K65">
    <cfRule type="colorScale" priority="251">
      <colorScale>
        <cfvo type="min"/>
        <cfvo type="percentile" val="50"/>
        <cfvo type="max"/>
        <color rgb="FFF8696B"/>
        <color rgb="FFFFEB84"/>
        <color rgb="FF63BE7B"/>
      </colorScale>
    </cfRule>
  </conditionalFormatting>
  <conditionalFormatting sqref="L4:L65">
    <cfRule type="colorScale" priority="252">
      <colorScale>
        <cfvo type="min"/>
        <cfvo type="percentile" val="50"/>
        <cfvo type="max"/>
        <color rgb="FFF8696B"/>
        <color rgb="FFFFEB84"/>
        <color rgb="FF63BE7B"/>
      </colorScale>
    </cfRule>
  </conditionalFormatting>
  <conditionalFormatting sqref="M4:M65">
    <cfRule type="colorScale" priority="253">
      <colorScale>
        <cfvo type="min"/>
        <cfvo type="percentile" val="50"/>
        <cfvo type="max"/>
        <color rgb="FFF8696B"/>
        <color rgb="FFFFEB84"/>
        <color rgb="FF63BE7B"/>
      </colorScale>
    </cfRule>
  </conditionalFormatting>
  <conditionalFormatting sqref="O4:O65">
    <cfRule type="colorScale" priority="254">
      <colorScale>
        <cfvo type="min"/>
        <cfvo type="percentile" val="50"/>
        <cfvo type="max"/>
        <color rgb="FFF8696B"/>
        <color rgb="FFFFEB84"/>
        <color rgb="FF63BE7B"/>
      </colorScale>
    </cfRule>
  </conditionalFormatting>
  <conditionalFormatting sqref="P4:P65">
    <cfRule type="colorScale" priority="255">
      <colorScale>
        <cfvo type="min"/>
        <cfvo type="percentile" val="50"/>
        <cfvo type="max"/>
        <color rgb="FFF8696B"/>
        <color rgb="FFFFEB84"/>
        <color rgb="FF63BE7B"/>
      </colorScale>
    </cfRule>
  </conditionalFormatting>
  <conditionalFormatting sqref="Q4:Q65">
    <cfRule type="colorScale" priority="256">
      <colorScale>
        <cfvo type="min"/>
        <cfvo type="percentile" val="50"/>
        <cfvo type="max"/>
        <color rgb="FFF8696B"/>
        <color rgb="FFFFEB84"/>
        <color rgb="FF63BE7B"/>
      </colorScale>
    </cfRule>
  </conditionalFormatting>
  <conditionalFormatting sqref="R4:R65">
    <cfRule type="colorScale" priority="257">
      <colorScale>
        <cfvo type="min"/>
        <cfvo type="percentile" val="50"/>
        <cfvo type="max"/>
        <color rgb="FFF8696B"/>
        <color rgb="FFFFEB84"/>
        <color rgb="FF63BE7B"/>
      </colorScale>
    </cfRule>
  </conditionalFormatting>
  <conditionalFormatting sqref="S4:S65">
    <cfRule type="colorScale" priority="258">
      <colorScale>
        <cfvo type="min"/>
        <cfvo type="percentile" val="50"/>
        <cfvo type="max"/>
        <color rgb="FFF8696B"/>
        <color rgb="FFFFEB84"/>
        <color rgb="FF63BE7B"/>
      </colorScale>
    </cfRule>
  </conditionalFormatting>
  <conditionalFormatting sqref="T4:T65">
    <cfRule type="colorScale" priority="259">
      <colorScale>
        <cfvo type="min"/>
        <cfvo type="percentile" val="50"/>
        <cfvo type="max"/>
        <color rgb="FFF8696B"/>
        <color rgb="FFFFEB84"/>
        <color rgb="FF63BE7B"/>
      </colorScale>
    </cfRule>
  </conditionalFormatting>
  <conditionalFormatting sqref="U4:U65">
    <cfRule type="colorScale" priority="260">
      <colorScale>
        <cfvo type="min"/>
        <cfvo type="percentile" val="50"/>
        <cfvo type="max"/>
        <color rgb="FFF8696B"/>
        <color rgb="FFFFEB84"/>
        <color rgb="FF63BE7B"/>
      </colorScale>
    </cfRule>
  </conditionalFormatting>
  <conditionalFormatting sqref="V4:V65">
    <cfRule type="colorScale" priority="261">
      <colorScale>
        <cfvo type="min"/>
        <cfvo type="percentile" val="50"/>
        <cfvo type="max"/>
        <color rgb="FFF8696B"/>
        <color rgb="FFFFEB84"/>
        <color rgb="FF63BE7B"/>
      </colorScale>
    </cfRule>
  </conditionalFormatting>
  <conditionalFormatting sqref="W4:W65">
    <cfRule type="colorScale" priority="262">
      <colorScale>
        <cfvo type="min"/>
        <cfvo type="percentile" val="50"/>
        <cfvo type="max"/>
        <color rgb="FFF8696B"/>
        <color rgb="FFFFEB84"/>
        <color rgb="FF63BE7B"/>
      </colorScale>
    </cfRule>
  </conditionalFormatting>
  <conditionalFormatting sqref="X4:X65">
    <cfRule type="colorScale" priority="265">
      <colorScale>
        <cfvo type="min"/>
        <cfvo type="percentile" val="50"/>
        <cfvo type="max"/>
        <color rgb="FFF8696B"/>
        <color rgb="FFFFEB84"/>
        <color rgb="FF63BE7B"/>
      </colorScale>
    </cfRule>
  </conditionalFormatting>
  <conditionalFormatting sqref="Y4:Y65">
    <cfRule type="colorScale" priority="268">
      <colorScale>
        <cfvo type="min"/>
        <cfvo type="percentile" val="50"/>
        <cfvo type="max"/>
        <color rgb="FFF8696B"/>
        <color rgb="FFFFEB84"/>
        <color rgb="FF63BE7B"/>
      </colorScale>
    </cfRule>
  </conditionalFormatting>
  <conditionalFormatting sqref="Z4:Z65">
    <cfRule type="colorScale" priority="269">
      <colorScale>
        <cfvo type="min"/>
        <cfvo type="percentile" val="50"/>
        <cfvo type="max"/>
        <color rgb="FFF8696B"/>
        <color rgb="FFFFEB84"/>
        <color rgb="FF63BE7B"/>
      </colorScale>
    </cfRule>
  </conditionalFormatting>
  <conditionalFormatting sqref="AA4:AA65">
    <cfRule type="colorScale" priority="270">
      <colorScale>
        <cfvo type="min"/>
        <cfvo type="percentile" val="50"/>
        <cfvo type="max"/>
        <color rgb="FFF8696B"/>
        <color rgb="FFFFEB84"/>
        <color rgb="FF63BE7B"/>
      </colorScale>
    </cfRule>
  </conditionalFormatting>
  <conditionalFormatting sqref="AB4:AB65">
    <cfRule type="colorScale" priority="271">
      <colorScale>
        <cfvo type="min"/>
        <cfvo type="percentile" val="50"/>
        <cfvo type="max"/>
        <color rgb="FFF8696B"/>
        <color rgb="FFFFEB84"/>
        <color rgb="FF63BE7B"/>
      </colorScale>
    </cfRule>
  </conditionalFormatting>
  <conditionalFormatting sqref="AC4:AC65">
    <cfRule type="colorScale" priority="272">
      <colorScale>
        <cfvo type="min"/>
        <cfvo type="percentile" val="50"/>
        <cfvo type="max"/>
        <color rgb="FFF8696B"/>
        <color rgb="FFFFEB84"/>
        <color rgb="FF63BE7B"/>
      </colorScale>
    </cfRule>
  </conditionalFormatting>
  <conditionalFormatting sqref="AD4:AD65">
    <cfRule type="colorScale" priority="273">
      <colorScale>
        <cfvo type="min"/>
        <cfvo type="percentile" val="50"/>
        <cfvo type="max"/>
        <color rgb="FFF8696B"/>
        <color rgb="FFFFEB84"/>
        <color rgb="FF63BE7B"/>
      </colorScale>
    </cfRule>
  </conditionalFormatting>
  <conditionalFormatting sqref="AE4:AE65">
    <cfRule type="colorScale" priority="274">
      <colorScale>
        <cfvo type="min"/>
        <cfvo type="percentile" val="50"/>
        <cfvo type="max"/>
        <color rgb="FFF8696B"/>
        <color rgb="FFFFEB84"/>
        <color rgb="FF63BE7B"/>
      </colorScale>
    </cfRule>
  </conditionalFormatting>
  <conditionalFormatting sqref="AF4:AF65">
    <cfRule type="colorScale" priority="275">
      <colorScale>
        <cfvo type="min"/>
        <cfvo type="percentile" val="50"/>
        <cfvo type="max"/>
        <color rgb="FFF8696B"/>
        <color rgb="FFFFEB84"/>
        <color rgb="FF63BE7B"/>
      </colorScale>
    </cfRule>
  </conditionalFormatting>
  <conditionalFormatting sqref="N4:N65">
    <cfRule type="colorScale" priority="276">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sheetPr codeName="Sheet7">
    <tabColor rgb="FFFF0000"/>
    <outlinePr summaryBelow="1" summaryRight="1"/>
    <pageSetUpPr/>
  </sheetPr>
  <dimension ref="A1:M672"/>
  <sheetViews>
    <sheetView zoomScale="170" zoomScaleNormal="170" workbookViewId="0">
      <pane ySplit="6" topLeftCell="A341" activePane="bottomLeft" state="frozen"/>
      <selection pane="bottomLeft" activeCell="G374" sqref="G374"/>
    </sheetView>
  </sheetViews>
  <sheetFormatPr baseColWidth="10" defaultColWidth="8.83203125" defaultRowHeight="15"/>
  <cols>
    <col width="14" customWidth="1" style="95" min="1" max="1"/>
    <col width="17.6640625" customWidth="1" style="95" min="2" max="2"/>
    <col width="14.33203125" customWidth="1" style="95" min="3" max="3"/>
    <col width="14.1640625" customWidth="1" style="95" min="4" max="4"/>
    <col width="9.1640625" customWidth="1" style="122" min="5" max="53"/>
  </cols>
  <sheetData>
    <row r="1" customFormat="1" s="122">
      <c r="A1" s="26" t="inlineStr">
        <is>
          <t>MARTSSM44W72USS</t>
        </is>
      </c>
      <c r="B1" s="27" t="inlineStr">
        <is>
          <t>Advance Retail Sales: Retail Trade and Food Services, Excluding Motor Vehicle and Parts Dealers and Gasoline Stations (MARTSMPCSM44W72USS)</t>
        </is>
      </c>
      <c r="I1" s="21" t="n"/>
      <c r="J1" s="21" t="n"/>
      <c r="L1" s="122" t="inlineStr">
        <is>
          <t>mom</t>
        </is>
      </c>
      <c r="M1" s="122" t="inlineStr">
        <is>
          <t>yoy</t>
        </is>
      </c>
    </row>
    <row r="2" customFormat="1" s="122">
      <c r="A2" s="128" t="inlineStr">
        <is>
          <t>https://fred.stlouisfed.org/series/MARTSMPCSM44W72USS</t>
        </is>
      </c>
      <c r="I2" s="21" t="n"/>
      <c r="J2" s="21" t="n"/>
      <c r="L2" s="28">
        <f>MAX(C8:C335)</f>
        <v/>
      </c>
      <c r="M2" s="28">
        <f>MAX(D8:D335)</f>
        <v/>
      </c>
    </row>
    <row r="3" customFormat="1" s="122">
      <c r="A3" s="128" t="n"/>
      <c r="I3" s="21" t="n"/>
      <c r="J3" s="21" t="n"/>
      <c r="L3" s="28">
        <f>MIN(C8:C335)</f>
        <v/>
      </c>
      <c r="M3" s="28">
        <f>MIN(D8:D335)</f>
        <v/>
      </c>
    </row>
    <row r="4" customFormat="1" s="122">
      <c r="A4" s="128" t="n"/>
      <c r="I4" s="21" t="n"/>
      <c r="J4" s="21" t="n"/>
      <c r="L4" s="28" t="n"/>
      <c r="M4" s="28" t="n"/>
    </row>
    <row r="5" customFormat="1" s="122">
      <c r="C5" s="122" t="inlineStr">
        <is>
          <t>https://tradingeconomics.com/united-states/retail-sales</t>
        </is>
      </c>
      <c r="D5" s="122" t="inlineStr">
        <is>
          <t>https://tradingeconomics.com/united-states/retail-sales-annual</t>
        </is>
      </c>
      <c r="I5" s="21" t="n"/>
      <c r="J5" s="21" t="n"/>
    </row>
    <row r="6">
      <c r="A6" s="76" t="inlineStr">
        <is>
          <t>Date</t>
        </is>
      </c>
      <c r="B6" s="76" t="inlineStr">
        <is>
          <t>Retail Sales mil$</t>
        </is>
      </c>
      <c r="C6" s="77" t="inlineStr">
        <is>
          <t>mom</t>
        </is>
      </c>
      <c r="D6" s="77" t="inlineStr">
        <is>
          <t>yoy</t>
        </is>
      </c>
      <c r="I6" s="21" t="n"/>
      <c r="J6" s="21" t="n"/>
    </row>
    <row r="7">
      <c r="A7" s="10" t="n">
        <v>33604</v>
      </c>
      <c r="B7" s="15">
        <f>VLOOKUP(A7,Database!A:M,MATCH($A$1,Database!$A$1:$M$1,),)</f>
        <v/>
      </c>
      <c r="C7" s="1" t="n"/>
      <c r="D7" s="1" t="n"/>
    </row>
    <row r="8">
      <c r="A8" s="11" t="n">
        <v>33635</v>
      </c>
      <c r="B8" s="15">
        <f>VLOOKUP(A8,Database!A:M,MATCH($A$1,Database!$A$1:$M$1,),)</f>
        <v/>
      </c>
      <c r="C8" s="12">
        <f>(B8-B7)/B7</f>
        <v/>
      </c>
      <c r="D8" s="1" t="n"/>
    </row>
    <row r="9">
      <c r="A9" s="10" t="n">
        <v>33664</v>
      </c>
      <c r="B9" s="15">
        <f>VLOOKUP(A9,Database!A:M,MATCH($A$1,Database!$A$1:$M$1,),)</f>
        <v/>
      </c>
      <c r="C9" s="12">
        <f>(B9-B8)/B8</f>
        <v/>
      </c>
      <c r="D9" s="1" t="n"/>
    </row>
    <row r="10">
      <c r="A10" s="11" t="n">
        <v>33695</v>
      </c>
      <c r="B10" s="15">
        <f>VLOOKUP(A10,Database!A:M,MATCH($A$1,Database!$A$1:$M$1,),)</f>
        <v/>
      </c>
      <c r="C10" s="12">
        <f>(B10-B9)/B9</f>
        <v/>
      </c>
      <c r="D10" s="1" t="n"/>
    </row>
    <row r="11">
      <c r="A11" s="10" t="n">
        <v>33725</v>
      </c>
      <c r="B11" s="15">
        <f>VLOOKUP(A11,Database!A:M,MATCH($A$1,Database!$A$1:$M$1,),)</f>
        <v/>
      </c>
      <c r="C11" s="12">
        <f>(B11-B10)/B10</f>
        <v/>
      </c>
      <c r="D11" s="1" t="n"/>
    </row>
    <row r="12">
      <c r="A12" s="11" t="n">
        <v>33756</v>
      </c>
      <c r="B12" s="15">
        <f>VLOOKUP(A12,Database!A:M,MATCH($A$1,Database!$A$1:$M$1,),)</f>
        <v/>
      </c>
      <c r="C12" s="12">
        <f>(B12-B11)/B11</f>
        <v/>
      </c>
      <c r="D12" s="1" t="n"/>
    </row>
    <row r="13">
      <c r="A13" s="10" t="n">
        <v>33786</v>
      </c>
      <c r="B13" s="15">
        <f>VLOOKUP(A13,Database!A:M,MATCH($A$1,Database!$A$1:$M$1,),)</f>
        <v/>
      </c>
      <c r="C13" s="12">
        <f>(B13-B12)/B12</f>
        <v/>
      </c>
      <c r="D13" s="1" t="n"/>
    </row>
    <row r="14">
      <c r="A14" s="11" t="n">
        <v>33817</v>
      </c>
      <c r="B14" s="15">
        <f>VLOOKUP(A14,Database!A:M,MATCH($A$1,Database!$A$1:$M$1,),)</f>
        <v/>
      </c>
      <c r="C14" s="12">
        <f>(B14-B13)/B13</f>
        <v/>
      </c>
      <c r="D14" s="1" t="n"/>
    </row>
    <row r="15">
      <c r="A15" s="10" t="n">
        <v>33848</v>
      </c>
      <c r="B15" s="15">
        <f>VLOOKUP(A15,Database!A:M,MATCH($A$1,Database!$A$1:$M$1,),)</f>
        <v/>
      </c>
      <c r="C15" s="12">
        <f>(B15-B14)/B14</f>
        <v/>
      </c>
      <c r="D15" s="1" t="n"/>
    </row>
    <row r="16">
      <c r="A16" s="11" t="n">
        <v>33878</v>
      </c>
      <c r="B16" s="15">
        <f>VLOOKUP(A16,Database!A:M,MATCH($A$1,Database!$A$1:$M$1,),)</f>
        <v/>
      </c>
      <c r="C16" s="12">
        <f>(B16-B15)/B15</f>
        <v/>
      </c>
      <c r="D16" s="1" t="n"/>
    </row>
    <row r="17">
      <c r="A17" s="10" t="n">
        <v>33909</v>
      </c>
      <c r="B17" s="15">
        <f>VLOOKUP(A17,Database!A:M,MATCH($A$1,Database!$A$1:$M$1,),)</f>
        <v/>
      </c>
      <c r="C17" s="12">
        <f>(B17-B16)/B16</f>
        <v/>
      </c>
      <c r="D17" s="1" t="n"/>
    </row>
    <row r="18">
      <c r="A18" s="11" t="n">
        <v>33939</v>
      </c>
      <c r="B18" s="15">
        <f>VLOOKUP(A18,Database!A:M,MATCH($A$1,Database!$A$1:$M$1,),)</f>
        <v/>
      </c>
      <c r="C18" s="12">
        <f>(B18-B17)/B17</f>
        <v/>
      </c>
      <c r="D18" s="1" t="n"/>
    </row>
    <row r="19">
      <c r="A19" s="10" t="n">
        <v>33970</v>
      </c>
      <c r="B19" s="15">
        <f>VLOOKUP(A19,Database!A:M,MATCH($A$1,Database!$A$1:$M$1,),)</f>
        <v/>
      </c>
      <c r="C19" s="12">
        <f>(B19-B18)/B18</f>
        <v/>
      </c>
      <c r="D19" s="13">
        <f>(B19-B7)/B7</f>
        <v/>
      </c>
    </row>
    <row r="20">
      <c r="A20" s="11" t="n">
        <v>34001</v>
      </c>
      <c r="B20" s="15">
        <f>VLOOKUP(A20,Database!A:M,MATCH($A$1,Database!$A$1:$M$1,),)</f>
        <v/>
      </c>
      <c r="C20" s="12">
        <f>(B20-B19)/B19</f>
        <v/>
      </c>
      <c r="D20" s="13">
        <f>(B20-B8)/B8</f>
        <v/>
      </c>
    </row>
    <row r="21">
      <c r="A21" s="10" t="n">
        <v>34029</v>
      </c>
      <c r="B21" s="15">
        <f>VLOOKUP(A21,Database!A:M,MATCH($A$1,Database!$A$1:$M$1,),)</f>
        <v/>
      </c>
      <c r="C21" s="12">
        <f>(B21-B20)/B20</f>
        <v/>
      </c>
      <c r="D21" s="13">
        <f>(B21-B9)/B9</f>
        <v/>
      </c>
    </row>
    <row r="22">
      <c r="A22" s="11" t="n">
        <v>34060</v>
      </c>
      <c r="B22" s="15">
        <f>VLOOKUP(A22,Database!A:M,MATCH($A$1,Database!$A$1:$M$1,),)</f>
        <v/>
      </c>
      <c r="C22" s="12">
        <f>(B22-B21)/B21</f>
        <v/>
      </c>
      <c r="D22" s="13">
        <f>(B22-B10)/B10</f>
        <v/>
      </c>
    </row>
    <row r="23">
      <c r="A23" s="10" t="n">
        <v>34090</v>
      </c>
      <c r="B23" s="15">
        <f>VLOOKUP(A23,Database!A:M,MATCH($A$1,Database!$A$1:$M$1,),)</f>
        <v/>
      </c>
      <c r="C23" s="12">
        <f>(B23-B22)/B22</f>
        <v/>
      </c>
      <c r="D23" s="13">
        <f>(B23-B11)/B11</f>
        <v/>
      </c>
    </row>
    <row r="24">
      <c r="A24" s="11" t="n">
        <v>34121</v>
      </c>
      <c r="B24" s="15">
        <f>VLOOKUP(A24,Database!A:M,MATCH($A$1,Database!$A$1:$M$1,),)</f>
        <v/>
      </c>
      <c r="C24" s="12">
        <f>(B24-B23)/B23</f>
        <v/>
      </c>
      <c r="D24" s="13">
        <f>(B24-B12)/B12</f>
        <v/>
      </c>
    </row>
    <row r="25">
      <c r="A25" s="10" t="n">
        <v>34151</v>
      </c>
      <c r="B25" s="15">
        <f>VLOOKUP(A25,Database!A:M,MATCH($A$1,Database!$A$1:$M$1,),)</f>
        <v/>
      </c>
      <c r="C25" s="12">
        <f>(B25-B24)/B24</f>
        <v/>
      </c>
      <c r="D25" s="13">
        <f>(B25-B13)/B13</f>
        <v/>
      </c>
    </row>
    <row r="26">
      <c r="A26" s="11" t="n">
        <v>34182</v>
      </c>
      <c r="B26" s="15">
        <f>VLOOKUP(A26,Database!A:M,MATCH($A$1,Database!$A$1:$M$1,),)</f>
        <v/>
      </c>
      <c r="C26" s="12">
        <f>(B26-B25)/B25</f>
        <v/>
      </c>
      <c r="D26" s="13">
        <f>(B26-B14)/B14</f>
        <v/>
      </c>
    </row>
    <row r="27">
      <c r="A27" s="10" t="n">
        <v>34213</v>
      </c>
      <c r="B27" s="15">
        <f>VLOOKUP(A27,Database!A:M,MATCH($A$1,Database!$A$1:$M$1,),)</f>
        <v/>
      </c>
      <c r="C27" s="12">
        <f>(B27-B26)/B26</f>
        <v/>
      </c>
      <c r="D27" s="13">
        <f>(B27-B15)/B15</f>
        <v/>
      </c>
    </row>
    <row r="28">
      <c r="A28" s="11" t="n">
        <v>34243</v>
      </c>
      <c r="B28" s="15">
        <f>VLOOKUP(A28,Database!A:M,MATCH($A$1,Database!$A$1:$M$1,),)</f>
        <v/>
      </c>
      <c r="C28" s="12">
        <f>(B28-B27)/B27</f>
        <v/>
      </c>
      <c r="D28" s="13">
        <f>(B28-B16)/B16</f>
        <v/>
      </c>
    </row>
    <row r="29">
      <c r="A29" s="10" t="n">
        <v>34274</v>
      </c>
      <c r="B29" s="15">
        <f>VLOOKUP(A29,Database!A:M,MATCH($A$1,Database!$A$1:$M$1,),)</f>
        <v/>
      </c>
      <c r="C29" s="12">
        <f>(B29-B28)/B28</f>
        <v/>
      </c>
      <c r="D29" s="13">
        <f>(B29-B17)/B17</f>
        <v/>
      </c>
    </row>
    <row r="30">
      <c r="A30" s="11" t="n">
        <v>34304</v>
      </c>
      <c r="B30" s="15">
        <f>VLOOKUP(A30,Database!A:M,MATCH($A$1,Database!$A$1:$M$1,),)</f>
        <v/>
      </c>
      <c r="C30" s="12">
        <f>(B30-B29)/B29</f>
        <v/>
      </c>
      <c r="D30" s="13">
        <f>(B30-B18)/B18</f>
        <v/>
      </c>
    </row>
    <row r="31">
      <c r="A31" s="10" t="n">
        <v>34335</v>
      </c>
      <c r="B31" s="15">
        <f>VLOOKUP(A31,Database!A:M,MATCH($A$1,Database!$A$1:$M$1,),)</f>
        <v/>
      </c>
      <c r="C31" s="12">
        <f>(B31-B30)/B30</f>
        <v/>
      </c>
      <c r="D31" s="13">
        <f>(B31-B19)/B19</f>
        <v/>
      </c>
    </row>
    <row r="32">
      <c r="A32" s="11" t="n">
        <v>34366</v>
      </c>
      <c r="B32" s="15">
        <f>VLOOKUP(A32,Database!A:M,MATCH($A$1,Database!$A$1:$M$1,),)</f>
        <v/>
      </c>
      <c r="C32" s="12">
        <f>(B32-B31)/B31</f>
        <v/>
      </c>
      <c r="D32" s="13">
        <f>(B32-B20)/B20</f>
        <v/>
      </c>
    </row>
    <row r="33">
      <c r="A33" s="10" t="n">
        <v>34394</v>
      </c>
      <c r="B33" s="15">
        <f>VLOOKUP(A33,Database!A:M,MATCH($A$1,Database!$A$1:$M$1,),)</f>
        <v/>
      </c>
      <c r="C33" s="12">
        <f>(B33-B32)/B32</f>
        <v/>
      </c>
      <c r="D33" s="13">
        <f>(B33-B21)/B21</f>
        <v/>
      </c>
    </row>
    <row r="34">
      <c r="A34" s="11" t="n">
        <v>34425</v>
      </c>
      <c r="B34" s="15">
        <f>VLOOKUP(A34,Database!A:M,MATCH($A$1,Database!$A$1:$M$1,),)</f>
        <v/>
      </c>
      <c r="C34" s="12">
        <f>(B34-B33)/B33</f>
        <v/>
      </c>
      <c r="D34" s="13">
        <f>(B34-B22)/B22</f>
        <v/>
      </c>
    </row>
    <row r="35">
      <c r="A35" s="10" t="n">
        <v>34455</v>
      </c>
      <c r="B35" s="15">
        <f>VLOOKUP(A35,Database!A:M,MATCH($A$1,Database!$A$1:$M$1,),)</f>
        <v/>
      </c>
      <c r="C35" s="12">
        <f>(B35-B34)/B34</f>
        <v/>
      </c>
      <c r="D35" s="13">
        <f>(B35-B23)/B23</f>
        <v/>
      </c>
    </row>
    <row r="36">
      <c r="A36" s="11" t="n">
        <v>34486</v>
      </c>
      <c r="B36" s="15">
        <f>VLOOKUP(A36,Database!A:M,MATCH($A$1,Database!$A$1:$M$1,),)</f>
        <v/>
      </c>
      <c r="C36" s="12">
        <f>(B36-B35)/B35</f>
        <v/>
      </c>
      <c r="D36" s="13">
        <f>(B36-B24)/B24</f>
        <v/>
      </c>
    </row>
    <row r="37">
      <c r="A37" s="10" t="n">
        <v>34516</v>
      </c>
      <c r="B37" s="15">
        <f>VLOOKUP(A37,Database!A:M,MATCH($A$1,Database!$A$1:$M$1,),)</f>
        <v/>
      </c>
      <c r="C37" s="12">
        <f>(B37-B36)/B36</f>
        <v/>
      </c>
      <c r="D37" s="13">
        <f>(B37-B25)/B25</f>
        <v/>
      </c>
    </row>
    <row r="38">
      <c r="A38" s="11" t="n">
        <v>34547</v>
      </c>
      <c r="B38" s="15">
        <f>VLOOKUP(A38,Database!A:M,MATCH($A$1,Database!$A$1:$M$1,),)</f>
        <v/>
      </c>
      <c r="C38" s="12">
        <f>(B38-B37)/B37</f>
        <v/>
      </c>
      <c r="D38" s="13">
        <f>(B38-B26)/B26</f>
        <v/>
      </c>
    </row>
    <row r="39">
      <c r="A39" s="10" t="n">
        <v>34578</v>
      </c>
      <c r="B39" s="15">
        <f>VLOOKUP(A39,Database!A:M,MATCH($A$1,Database!$A$1:$M$1,),)</f>
        <v/>
      </c>
      <c r="C39" s="12">
        <f>(B39-B38)/B38</f>
        <v/>
      </c>
      <c r="D39" s="13">
        <f>(B39-B27)/B27</f>
        <v/>
      </c>
    </row>
    <row r="40">
      <c r="A40" s="11" t="n">
        <v>34608</v>
      </c>
      <c r="B40" s="15">
        <f>VLOOKUP(A40,Database!A:M,MATCH($A$1,Database!$A$1:$M$1,),)</f>
        <v/>
      </c>
      <c r="C40" s="12">
        <f>(B40-B39)/B39</f>
        <v/>
      </c>
      <c r="D40" s="13">
        <f>(B40-B28)/B28</f>
        <v/>
      </c>
    </row>
    <row r="41">
      <c r="A41" s="10" t="n">
        <v>34639</v>
      </c>
      <c r="B41" s="15">
        <f>VLOOKUP(A41,Database!A:M,MATCH($A$1,Database!$A$1:$M$1,),)</f>
        <v/>
      </c>
      <c r="C41" s="12">
        <f>(B41-B40)/B40</f>
        <v/>
      </c>
      <c r="D41" s="13">
        <f>(B41-B29)/B29</f>
        <v/>
      </c>
    </row>
    <row r="42">
      <c r="A42" s="11" t="n">
        <v>34669</v>
      </c>
      <c r="B42" s="15">
        <f>VLOOKUP(A42,Database!A:M,MATCH($A$1,Database!$A$1:$M$1,),)</f>
        <v/>
      </c>
      <c r="C42" s="12">
        <f>(B42-B41)/B41</f>
        <v/>
      </c>
      <c r="D42" s="13">
        <f>(B42-B30)/B30</f>
        <v/>
      </c>
    </row>
    <row r="43">
      <c r="A43" s="10" t="n">
        <v>34700</v>
      </c>
      <c r="B43" s="15">
        <f>VLOOKUP(A43,Database!A:M,MATCH($A$1,Database!$A$1:$M$1,),)</f>
        <v/>
      </c>
      <c r="C43" s="12">
        <f>(B43-B42)/B42</f>
        <v/>
      </c>
      <c r="D43" s="13">
        <f>(B43-B31)/B31</f>
        <v/>
      </c>
    </row>
    <row r="44">
      <c r="A44" s="11" t="n">
        <v>34731</v>
      </c>
      <c r="B44" s="15">
        <f>VLOOKUP(A44,Database!A:M,MATCH($A$1,Database!$A$1:$M$1,),)</f>
        <v/>
      </c>
      <c r="C44" s="12">
        <f>(B44-B43)/B43</f>
        <v/>
      </c>
      <c r="D44" s="13">
        <f>(B44-B32)/B32</f>
        <v/>
      </c>
    </row>
    <row r="45">
      <c r="A45" s="10" t="n">
        <v>34759</v>
      </c>
      <c r="B45" s="15">
        <f>VLOOKUP(A45,Database!A:M,MATCH($A$1,Database!$A$1:$M$1,),)</f>
        <v/>
      </c>
      <c r="C45" s="12">
        <f>(B45-B44)/B44</f>
        <v/>
      </c>
      <c r="D45" s="13">
        <f>(B45-B33)/B33</f>
        <v/>
      </c>
    </row>
    <row r="46">
      <c r="A46" s="11" t="n">
        <v>34790</v>
      </c>
      <c r="B46" s="15">
        <f>VLOOKUP(A46,Database!A:M,MATCH($A$1,Database!$A$1:$M$1,),)</f>
        <v/>
      </c>
      <c r="C46" s="12">
        <f>(B46-B45)/B45</f>
        <v/>
      </c>
      <c r="D46" s="13">
        <f>(B46-B34)/B34</f>
        <v/>
      </c>
    </row>
    <row r="47">
      <c r="A47" s="10" t="n">
        <v>34820</v>
      </c>
      <c r="B47" s="15">
        <f>VLOOKUP(A47,Database!A:M,MATCH($A$1,Database!$A$1:$M$1,),)</f>
        <v/>
      </c>
      <c r="C47" s="12">
        <f>(B47-B46)/B46</f>
        <v/>
      </c>
      <c r="D47" s="13">
        <f>(B47-B35)/B35</f>
        <v/>
      </c>
    </row>
    <row r="48">
      <c r="A48" s="11" t="n">
        <v>34851</v>
      </c>
      <c r="B48" s="15">
        <f>VLOOKUP(A48,Database!A:M,MATCH($A$1,Database!$A$1:$M$1,),)</f>
        <v/>
      </c>
      <c r="C48" s="12">
        <f>(B48-B47)/B47</f>
        <v/>
      </c>
      <c r="D48" s="13">
        <f>(B48-B36)/B36</f>
        <v/>
      </c>
    </row>
    <row r="49">
      <c r="A49" s="10" t="n">
        <v>34881</v>
      </c>
      <c r="B49" s="15">
        <f>VLOOKUP(A49,Database!A:M,MATCH($A$1,Database!$A$1:$M$1,),)</f>
        <v/>
      </c>
      <c r="C49" s="12">
        <f>(B49-B48)/B48</f>
        <v/>
      </c>
      <c r="D49" s="13">
        <f>(B49-B37)/B37</f>
        <v/>
      </c>
    </row>
    <row r="50">
      <c r="A50" s="11" t="n">
        <v>34912</v>
      </c>
      <c r="B50" s="15">
        <f>VLOOKUP(A50,Database!A:M,MATCH($A$1,Database!$A$1:$M$1,),)</f>
        <v/>
      </c>
      <c r="C50" s="12">
        <f>(B50-B49)/B49</f>
        <v/>
      </c>
      <c r="D50" s="13">
        <f>(B50-B38)/B38</f>
        <v/>
      </c>
    </row>
    <row r="51">
      <c r="A51" s="10" t="n">
        <v>34943</v>
      </c>
      <c r="B51" s="15">
        <f>VLOOKUP(A51,Database!A:M,MATCH($A$1,Database!$A$1:$M$1,),)</f>
        <v/>
      </c>
      <c r="C51" s="12">
        <f>(B51-B50)/B50</f>
        <v/>
      </c>
      <c r="D51" s="13">
        <f>(B51-B39)/B39</f>
        <v/>
      </c>
    </row>
    <row r="52">
      <c r="A52" s="11" t="n">
        <v>34973</v>
      </c>
      <c r="B52" s="15">
        <f>VLOOKUP(A52,Database!A:M,MATCH($A$1,Database!$A$1:$M$1,),)</f>
        <v/>
      </c>
      <c r="C52" s="12">
        <f>(B52-B51)/B51</f>
        <v/>
      </c>
      <c r="D52" s="13">
        <f>(B52-B40)/B40</f>
        <v/>
      </c>
    </row>
    <row r="53">
      <c r="A53" s="10" t="n">
        <v>35004</v>
      </c>
      <c r="B53" s="15">
        <f>VLOOKUP(A53,Database!A:M,MATCH($A$1,Database!$A$1:$M$1,),)</f>
        <v/>
      </c>
      <c r="C53" s="12">
        <f>(B53-B52)/B52</f>
        <v/>
      </c>
      <c r="D53" s="13">
        <f>(B53-B41)/B41</f>
        <v/>
      </c>
    </row>
    <row r="54">
      <c r="A54" s="11" t="n">
        <v>35034</v>
      </c>
      <c r="B54" s="15">
        <f>VLOOKUP(A54,Database!A:M,MATCH($A$1,Database!$A$1:$M$1,),)</f>
        <v/>
      </c>
      <c r="C54" s="12">
        <f>(B54-B53)/B53</f>
        <v/>
      </c>
      <c r="D54" s="13">
        <f>(B54-B42)/B42</f>
        <v/>
      </c>
    </row>
    <row r="55">
      <c r="A55" s="10" t="n">
        <v>35065</v>
      </c>
      <c r="B55" s="15">
        <f>VLOOKUP(A55,Database!A:M,MATCH($A$1,Database!$A$1:$M$1,),)</f>
        <v/>
      </c>
      <c r="C55" s="12">
        <f>(B55-B54)/B54</f>
        <v/>
      </c>
      <c r="D55" s="13">
        <f>(B55-B43)/B43</f>
        <v/>
      </c>
    </row>
    <row r="56">
      <c r="A56" s="11" t="n">
        <v>35096</v>
      </c>
      <c r="B56" s="15">
        <f>VLOOKUP(A56,Database!A:M,MATCH($A$1,Database!$A$1:$M$1,),)</f>
        <v/>
      </c>
      <c r="C56" s="12">
        <f>(B56-B55)/B55</f>
        <v/>
      </c>
      <c r="D56" s="13">
        <f>(B56-B44)/B44</f>
        <v/>
      </c>
    </row>
    <row r="57">
      <c r="A57" s="10" t="n">
        <v>35125</v>
      </c>
      <c r="B57" s="15">
        <f>VLOOKUP(A57,Database!A:M,MATCH($A$1,Database!$A$1:$M$1,),)</f>
        <v/>
      </c>
      <c r="C57" s="12">
        <f>(B57-B56)/B56</f>
        <v/>
      </c>
      <c r="D57" s="13">
        <f>(B57-B45)/B45</f>
        <v/>
      </c>
    </row>
    <row r="58">
      <c r="A58" s="11" t="n">
        <v>35156</v>
      </c>
      <c r="B58" s="15">
        <f>VLOOKUP(A58,Database!A:M,MATCH($A$1,Database!$A$1:$M$1,),)</f>
        <v/>
      </c>
      <c r="C58" s="12">
        <f>(B58-B57)/B57</f>
        <v/>
      </c>
      <c r="D58" s="13">
        <f>(B58-B46)/B46</f>
        <v/>
      </c>
    </row>
    <row r="59">
      <c r="A59" s="10" t="n">
        <v>35186</v>
      </c>
      <c r="B59" s="15">
        <f>VLOOKUP(A59,Database!A:M,MATCH($A$1,Database!$A$1:$M$1,),)</f>
        <v/>
      </c>
      <c r="C59" s="12">
        <f>(B59-B58)/B58</f>
        <v/>
      </c>
      <c r="D59" s="13">
        <f>(B59-B47)/B47</f>
        <v/>
      </c>
    </row>
    <row r="60">
      <c r="A60" s="11" t="n">
        <v>35217</v>
      </c>
      <c r="B60" s="15">
        <f>VLOOKUP(A60,Database!A:M,MATCH($A$1,Database!$A$1:$M$1,),)</f>
        <v/>
      </c>
      <c r="C60" s="12">
        <f>(B60-B59)/B59</f>
        <v/>
      </c>
      <c r="D60" s="13">
        <f>(B60-B48)/B48</f>
        <v/>
      </c>
    </row>
    <row r="61">
      <c r="A61" s="10" t="n">
        <v>35247</v>
      </c>
      <c r="B61" s="15">
        <f>VLOOKUP(A61,Database!A:M,MATCH($A$1,Database!$A$1:$M$1,),)</f>
        <v/>
      </c>
      <c r="C61" s="12">
        <f>(B61-B60)/B60</f>
        <v/>
      </c>
      <c r="D61" s="13">
        <f>(B61-B49)/B49</f>
        <v/>
      </c>
    </row>
    <row r="62">
      <c r="A62" s="11" t="n">
        <v>35278</v>
      </c>
      <c r="B62" s="15">
        <f>VLOOKUP(A62,Database!A:M,MATCH($A$1,Database!$A$1:$M$1,),)</f>
        <v/>
      </c>
      <c r="C62" s="12">
        <f>(B62-B61)/B61</f>
        <v/>
      </c>
      <c r="D62" s="13">
        <f>(B62-B50)/B50</f>
        <v/>
      </c>
    </row>
    <row r="63">
      <c r="A63" s="10" t="n">
        <v>35309</v>
      </c>
      <c r="B63" s="15">
        <f>VLOOKUP(A63,Database!A:M,MATCH($A$1,Database!$A$1:$M$1,),)</f>
        <v/>
      </c>
      <c r="C63" s="12">
        <f>(B63-B62)/B62</f>
        <v/>
      </c>
      <c r="D63" s="13">
        <f>(B63-B51)/B51</f>
        <v/>
      </c>
    </row>
    <row r="64">
      <c r="A64" s="11" t="n">
        <v>35339</v>
      </c>
      <c r="B64" s="15">
        <f>VLOOKUP(A64,Database!A:M,MATCH($A$1,Database!$A$1:$M$1,),)</f>
        <v/>
      </c>
      <c r="C64" s="12">
        <f>(B64-B63)/B63</f>
        <v/>
      </c>
      <c r="D64" s="13">
        <f>(B64-B52)/B52</f>
        <v/>
      </c>
    </row>
    <row r="65">
      <c r="A65" s="10" t="n">
        <v>35370</v>
      </c>
      <c r="B65" s="15">
        <f>VLOOKUP(A65,Database!A:M,MATCH($A$1,Database!$A$1:$M$1,),)</f>
        <v/>
      </c>
      <c r="C65" s="12">
        <f>(B65-B64)/B64</f>
        <v/>
      </c>
      <c r="D65" s="13">
        <f>(B65-B53)/B53</f>
        <v/>
      </c>
    </row>
    <row r="66">
      <c r="A66" s="11" t="n">
        <v>35400</v>
      </c>
      <c r="B66" s="15">
        <f>VLOOKUP(A66,Database!A:M,MATCH($A$1,Database!$A$1:$M$1,),)</f>
        <v/>
      </c>
      <c r="C66" s="12">
        <f>(B66-B65)/B65</f>
        <v/>
      </c>
      <c r="D66" s="13">
        <f>(B66-B54)/B54</f>
        <v/>
      </c>
    </row>
    <row r="67">
      <c r="A67" s="10" t="n">
        <v>35431</v>
      </c>
      <c r="B67" s="15">
        <f>VLOOKUP(A67,Database!A:M,MATCH($A$1,Database!$A$1:$M$1,),)</f>
        <v/>
      </c>
      <c r="C67" s="12">
        <f>(B67-B66)/B66</f>
        <v/>
      </c>
      <c r="D67" s="13">
        <f>(B67-B55)/B55</f>
        <v/>
      </c>
    </row>
    <row r="68">
      <c r="A68" s="11" t="n">
        <v>35462</v>
      </c>
      <c r="B68" s="15">
        <f>VLOOKUP(A68,Database!A:M,MATCH($A$1,Database!$A$1:$M$1,),)</f>
        <v/>
      </c>
      <c r="C68" s="12">
        <f>(B68-B67)/B67</f>
        <v/>
      </c>
      <c r="D68" s="13">
        <f>(B68-B56)/B56</f>
        <v/>
      </c>
    </row>
    <row r="69">
      <c r="A69" s="10" t="n">
        <v>35490</v>
      </c>
      <c r="B69" s="15">
        <f>VLOOKUP(A69,Database!A:M,MATCH($A$1,Database!$A$1:$M$1,),)</f>
        <v/>
      </c>
      <c r="C69" s="12">
        <f>(B69-B68)/B68</f>
        <v/>
      </c>
      <c r="D69" s="13">
        <f>(B69-B57)/B57</f>
        <v/>
      </c>
    </row>
    <row r="70">
      <c r="A70" s="11" t="n">
        <v>35521</v>
      </c>
      <c r="B70" s="15">
        <f>VLOOKUP(A70,Database!A:M,MATCH($A$1,Database!$A$1:$M$1,),)</f>
        <v/>
      </c>
      <c r="C70" s="12">
        <f>(B70-B69)/B69</f>
        <v/>
      </c>
      <c r="D70" s="13">
        <f>(B70-B58)/B58</f>
        <v/>
      </c>
    </row>
    <row r="71">
      <c r="A71" s="10" t="n">
        <v>35551</v>
      </c>
      <c r="B71" s="15">
        <f>VLOOKUP(A71,Database!A:M,MATCH($A$1,Database!$A$1:$M$1,),)</f>
        <v/>
      </c>
      <c r="C71" s="12">
        <f>(B71-B70)/B70</f>
        <v/>
      </c>
      <c r="D71" s="13">
        <f>(B71-B59)/B59</f>
        <v/>
      </c>
    </row>
    <row r="72">
      <c r="A72" s="11" t="n">
        <v>35582</v>
      </c>
      <c r="B72" s="15">
        <f>VLOOKUP(A72,Database!A:M,MATCH($A$1,Database!$A$1:$M$1,),)</f>
        <v/>
      </c>
      <c r="C72" s="12">
        <f>(B72-B71)/B71</f>
        <v/>
      </c>
      <c r="D72" s="13">
        <f>(B72-B60)/B60</f>
        <v/>
      </c>
    </row>
    <row r="73">
      <c r="A73" s="10" t="n">
        <v>35612</v>
      </c>
      <c r="B73" s="15">
        <f>VLOOKUP(A73,Database!A:M,MATCH($A$1,Database!$A$1:$M$1,),)</f>
        <v/>
      </c>
      <c r="C73" s="12">
        <f>(B73-B72)/B72</f>
        <v/>
      </c>
      <c r="D73" s="13">
        <f>(B73-B61)/B61</f>
        <v/>
      </c>
    </row>
    <row r="74">
      <c r="A74" s="11" t="n">
        <v>35643</v>
      </c>
      <c r="B74" s="15">
        <f>VLOOKUP(A74,Database!A:M,MATCH($A$1,Database!$A$1:$M$1,),)</f>
        <v/>
      </c>
      <c r="C74" s="12">
        <f>(B74-B73)/B73</f>
        <v/>
      </c>
      <c r="D74" s="13">
        <f>(B74-B62)/B62</f>
        <v/>
      </c>
    </row>
    <row r="75">
      <c r="A75" s="10" t="n">
        <v>35674</v>
      </c>
      <c r="B75" s="15">
        <f>VLOOKUP(A75,Database!A:M,MATCH($A$1,Database!$A$1:$M$1,),)</f>
        <v/>
      </c>
      <c r="C75" s="12">
        <f>(B75-B74)/B74</f>
        <v/>
      </c>
      <c r="D75" s="13">
        <f>(B75-B63)/B63</f>
        <v/>
      </c>
    </row>
    <row r="76">
      <c r="A76" s="11" t="n">
        <v>35704</v>
      </c>
      <c r="B76" s="15">
        <f>VLOOKUP(A76,Database!A:M,MATCH($A$1,Database!$A$1:$M$1,),)</f>
        <v/>
      </c>
      <c r="C76" s="12">
        <f>(B76-B75)/B75</f>
        <v/>
      </c>
      <c r="D76" s="13">
        <f>(B76-B64)/B64</f>
        <v/>
      </c>
    </row>
    <row r="77">
      <c r="A77" s="10" t="n">
        <v>35735</v>
      </c>
      <c r="B77" s="15">
        <f>VLOOKUP(A77,Database!A:M,MATCH($A$1,Database!$A$1:$M$1,),)</f>
        <v/>
      </c>
      <c r="C77" s="12">
        <f>(B77-B76)/B76</f>
        <v/>
      </c>
      <c r="D77" s="13">
        <f>(B77-B65)/B65</f>
        <v/>
      </c>
    </row>
    <row r="78">
      <c r="A78" s="11" t="n">
        <v>35765</v>
      </c>
      <c r="B78" s="15">
        <f>VLOOKUP(A78,Database!A:M,MATCH($A$1,Database!$A$1:$M$1,),)</f>
        <v/>
      </c>
      <c r="C78" s="12">
        <f>(B78-B77)/B77</f>
        <v/>
      </c>
      <c r="D78" s="13">
        <f>(B78-B66)/B66</f>
        <v/>
      </c>
    </row>
    <row r="79">
      <c r="A79" s="10" t="n">
        <v>35796</v>
      </c>
      <c r="B79" s="15">
        <f>VLOOKUP(A79,Database!A:M,MATCH($A$1,Database!$A$1:$M$1,),)</f>
        <v/>
      </c>
      <c r="C79" s="12">
        <f>(B79-B78)/B78</f>
        <v/>
      </c>
      <c r="D79" s="13">
        <f>(B79-B67)/B67</f>
        <v/>
      </c>
    </row>
    <row r="80">
      <c r="A80" s="11" t="n">
        <v>35827</v>
      </c>
      <c r="B80" s="15">
        <f>VLOOKUP(A80,Database!A:M,MATCH($A$1,Database!$A$1:$M$1,),)</f>
        <v/>
      </c>
      <c r="C80" s="12">
        <f>(B80-B79)/B79</f>
        <v/>
      </c>
      <c r="D80" s="13">
        <f>(B80-B68)/B68</f>
        <v/>
      </c>
    </row>
    <row r="81">
      <c r="A81" s="10" t="n">
        <v>35855</v>
      </c>
      <c r="B81" s="15">
        <f>VLOOKUP(A81,Database!A:M,MATCH($A$1,Database!$A$1:$M$1,),)</f>
        <v/>
      </c>
      <c r="C81" s="12">
        <f>(B81-B80)/B80</f>
        <v/>
      </c>
      <c r="D81" s="13">
        <f>(B81-B69)/B69</f>
        <v/>
      </c>
    </row>
    <row r="82">
      <c r="A82" s="11" t="n">
        <v>35886</v>
      </c>
      <c r="B82" s="15">
        <f>VLOOKUP(A82,Database!A:M,MATCH($A$1,Database!$A$1:$M$1,),)</f>
        <v/>
      </c>
      <c r="C82" s="12">
        <f>(B82-B81)/B81</f>
        <v/>
      </c>
      <c r="D82" s="13">
        <f>(B82-B70)/B70</f>
        <v/>
      </c>
    </row>
    <row r="83">
      <c r="A83" s="10" t="n">
        <v>35916</v>
      </c>
      <c r="B83" s="15">
        <f>VLOOKUP(A83,Database!A:M,MATCH($A$1,Database!$A$1:$M$1,),)</f>
        <v/>
      </c>
      <c r="C83" s="12">
        <f>(B83-B82)/B82</f>
        <v/>
      </c>
      <c r="D83" s="13">
        <f>(B83-B71)/B71</f>
        <v/>
      </c>
    </row>
    <row r="84">
      <c r="A84" s="11" t="n">
        <v>35947</v>
      </c>
      <c r="B84" s="15">
        <f>VLOOKUP(A84,Database!A:M,MATCH($A$1,Database!$A$1:$M$1,),)</f>
        <v/>
      </c>
      <c r="C84" s="12">
        <f>(B84-B83)/B83</f>
        <v/>
      </c>
      <c r="D84" s="13">
        <f>(B84-B72)/B72</f>
        <v/>
      </c>
    </row>
    <row r="85">
      <c r="A85" s="10" t="n">
        <v>35977</v>
      </c>
      <c r="B85" s="15">
        <f>VLOOKUP(A85,Database!A:M,MATCH($A$1,Database!$A$1:$M$1,),)</f>
        <v/>
      </c>
      <c r="C85" s="12">
        <f>(B85-B84)/B84</f>
        <v/>
      </c>
      <c r="D85" s="13">
        <f>(B85-B73)/B73</f>
        <v/>
      </c>
    </row>
    <row r="86">
      <c r="A86" s="11" t="n">
        <v>36008</v>
      </c>
      <c r="B86" s="15">
        <f>VLOOKUP(A86,Database!A:M,MATCH($A$1,Database!$A$1:$M$1,),)</f>
        <v/>
      </c>
      <c r="C86" s="12">
        <f>(B86-B85)/B85</f>
        <v/>
      </c>
      <c r="D86" s="13">
        <f>(B86-B74)/B74</f>
        <v/>
      </c>
    </row>
    <row r="87">
      <c r="A87" s="10" t="n">
        <v>36039</v>
      </c>
      <c r="B87" s="15">
        <f>VLOOKUP(A87,Database!A:M,MATCH($A$1,Database!$A$1:$M$1,),)</f>
        <v/>
      </c>
      <c r="C87" s="12">
        <f>(B87-B86)/B86</f>
        <v/>
      </c>
      <c r="D87" s="13">
        <f>(B87-B75)/B75</f>
        <v/>
      </c>
    </row>
    <row r="88">
      <c r="A88" s="11" t="n">
        <v>36069</v>
      </c>
      <c r="B88" s="15">
        <f>VLOOKUP(A88,Database!A:M,MATCH($A$1,Database!$A$1:$M$1,),)</f>
        <v/>
      </c>
      <c r="C88" s="12">
        <f>(B88-B87)/B87</f>
        <v/>
      </c>
      <c r="D88" s="13">
        <f>(B88-B76)/B76</f>
        <v/>
      </c>
    </row>
    <row r="89">
      <c r="A89" s="10" t="n">
        <v>36100</v>
      </c>
      <c r="B89" s="15">
        <f>VLOOKUP(A89,Database!A:M,MATCH($A$1,Database!$A$1:$M$1,),)</f>
        <v/>
      </c>
      <c r="C89" s="12">
        <f>(B89-B88)/B88</f>
        <v/>
      </c>
      <c r="D89" s="13">
        <f>(B89-B77)/B77</f>
        <v/>
      </c>
    </row>
    <row r="90">
      <c r="A90" s="11" t="n">
        <v>36130</v>
      </c>
      <c r="B90" s="15">
        <f>VLOOKUP(A90,Database!A:M,MATCH($A$1,Database!$A$1:$M$1,),)</f>
        <v/>
      </c>
      <c r="C90" s="12">
        <f>(B90-B89)/B89</f>
        <v/>
      </c>
      <c r="D90" s="13">
        <f>(B90-B78)/B78</f>
        <v/>
      </c>
    </row>
    <row r="91">
      <c r="A91" s="10" t="n">
        <v>36161</v>
      </c>
      <c r="B91" s="15">
        <f>VLOOKUP(A91,Database!A:M,MATCH($A$1,Database!$A$1:$M$1,),)</f>
        <v/>
      </c>
      <c r="C91" s="12">
        <f>(B91-B90)/B90</f>
        <v/>
      </c>
      <c r="D91" s="13">
        <f>(B91-B79)/B79</f>
        <v/>
      </c>
    </row>
    <row r="92">
      <c r="A92" s="11" t="n">
        <v>36192</v>
      </c>
      <c r="B92" s="15">
        <f>VLOOKUP(A92,Database!A:M,MATCH($A$1,Database!$A$1:$M$1,),)</f>
        <v/>
      </c>
      <c r="C92" s="12">
        <f>(B92-B91)/B91</f>
        <v/>
      </c>
      <c r="D92" s="13">
        <f>(B92-B80)/B80</f>
        <v/>
      </c>
    </row>
    <row r="93">
      <c r="A93" s="10" t="n">
        <v>36220</v>
      </c>
      <c r="B93" s="15">
        <f>VLOOKUP(A93,Database!A:M,MATCH($A$1,Database!$A$1:$M$1,),)</f>
        <v/>
      </c>
      <c r="C93" s="12">
        <f>(B93-B92)/B92</f>
        <v/>
      </c>
      <c r="D93" s="13">
        <f>(B93-B81)/B81</f>
        <v/>
      </c>
    </row>
    <row r="94">
      <c r="A94" s="11" t="n">
        <v>36251</v>
      </c>
      <c r="B94" s="15">
        <f>VLOOKUP(A94,Database!A:M,MATCH($A$1,Database!$A$1:$M$1,),)</f>
        <v/>
      </c>
      <c r="C94" s="12">
        <f>(B94-B93)/B93</f>
        <v/>
      </c>
      <c r="D94" s="13">
        <f>(B94-B82)/B82</f>
        <v/>
      </c>
    </row>
    <row r="95">
      <c r="A95" s="10" t="n">
        <v>36281</v>
      </c>
      <c r="B95" s="15">
        <f>VLOOKUP(A95,Database!A:M,MATCH($A$1,Database!$A$1:$M$1,),)</f>
        <v/>
      </c>
      <c r="C95" s="12">
        <f>(B95-B94)/B94</f>
        <v/>
      </c>
      <c r="D95" s="13">
        <f>(B95-B83)/B83</f>
        <v/>
      </c>
    </row>
    <row r="96">
      <c r="A96" s="11" t="n">
        <v>36312</v>
      </c>
      <c r="B96" s="15">
        <f>VLOOKUP(A96,Database!A:M,MATCH($A$1,Database!$A$1:$M$1,),)</f>
        <v/>
      </c>
      <c r="C96" s="12">
        <f>(B96-B95)/B95</f>
        <v/>
      </c>
      <c r="D96" s="13">
        <f>(B96-B84)/B84</f>
        <v/>
      </c>
    </row>
    <row r="97">
      <c r="A97" s="10" t="n">
        <v>36342</v>
      </c>
      <c r="B97" s="15">
        <f>VLOOKUP(A97,Database!A:M,MATCH($A$1,Database!$A$1:$M$1,),)</f>
        <v/>
      </c>
      <c r="C97" s="12">
        <f>(B97-B96)/B96</f>
        <v/>
      </c>
      <c r="D97" s="13">
        <f>(B97-B85)/B85</f>
        <v/>
      </c>
    </row>
    <row r="98">
      <c r="A98" s="11" t="n">
        <v>36373</v>
      </c>
      <c r="B98" s="15">
        <f>VLOOKUP(A98,Database!A:M,MATCH($A$1,Database!$A$1:$M$1,),)</f>
        <v/>
      </c>
      <c r="C98" s="12">
        <f>(B98-B97)/B97</f>
        <v/>
      </c>
      <c r="D98" s="13">
        <f>(B98-B86)/B86</f>
        <v/>
      </c>
    </row>
    <row r="99">
      <c r="A99" s="10" t="n">
        <v>36404</v>
      </c>
      <c r="B99" s="15">
        <f>VLOOKUP(A99,Database!A:M,MATCH($A$1,Database!$A$1:$M$1,),)</f>
        <v/>
      </c>
      <c r="C99" s="12">
        <f>(B99-B98)/B98</f>
        <v/>
      </c>
      <c r="D99" s="13">
        <f>(B99-B87)/B87</f>
        <v/>
      </c>
    </row>
    <row r="100">
      <c r="A100" s="11" t="n">
        <v>36434</v>
      </c>
      <c r="B100" s="15">
        <f>VLOOKUP(A100,Database!A:M,MATCH($A$1,Database!$A$1:$M$1,),)</f>
        <v/>
      </c>
      <c r="C100" s="12">
        <f>(B100-B99)/B99</f>
        <v/>
      </c>
      <c r="D100" s="13">
        <f>(B100-B88)/B88</f>
        <v/>
      </c>
    </row>
    <row r="101">
      <c r="A101" s="10" t="n">
        <v>36465</v>
      </c>
      <c r="B101" s="15">
        <f>VLOOKUP(A101,Database!A:M,MATCH($A$1,Database!$A$1:$M$1,),)</f>
        <v/>
      </c>
      <c r="C101" s="12">
        <f>(B101-B100)/B100</f>
        <v/>
      </c>
      <c r="D101" s="13">
        <f>(B101-B89)/B89</f>
        <v/>
      </c>
    </row>
    <row r="102">
      <c r="A102" s="11" t="n">
        <v>36495</v>
      </c>
      <c r="B102" s="15">
        <f>VLOOKUP(A102,Database!A:M,MATCH($A$1,Database!$A$1:$M$1,),)</f>
        <v/>
      </c>
      <c r="C102" s="12">
        <f>(B102-B101)/B101</f>
        <v/>
      </c>
      <c r="D102" s="13">
        <f>(B102-B90)/B90</f>
        <v/>
      </c>
    </row>
    <row r="103">
      <c r="A103" s="10" t="n">
        <v>36526</v>
      </c>
      <c r="B103" s="15">
        <f>VLOOKUP(A103,Database!A:M,MATCH($A$1,Database!$A$1:$M$1,),)</f>
        <v/>
      </c>
      <c r="C103" s="12">
        <f>(B103-B102)/B102</f>
        <v/>
      </c>
      <c r="D103" s="13">
        <f>(B103-B91)/B91</f>
        <v/>
      </c>
    </row>
    <row r="104">
      <c r="A104" s="11" t="n">
        <v>36557</v>
      </c>
      <c r="B104" s="15">
        <f>VLOOKUP(A104,Database!A:M,MATCH($A$1,Database!$A$1:$M$1,),)</f>
        <v/>
      </c>
      <c r="C104" s="12">
        <f>(B104-B103)/B103</f>
        <v/>
      </c>
      <c r="D104" s="13">
        <f>(B104-B92)/B92</f>
        <v/>
      </c>
    </row>
    <row r="105">
      <c r="A105" s="10" t="n">
        <v>36586</v>
      </c>
      <c r="B105" s="15">
        <f>VLOOKUP(A105,Database!A:M,MATCH($A$1,Database!$A$1:$M$1,),)</f>
        <v/>
      </c>
      <c r="C105" s="12">
        <f>(B105-B104)/B104</f>
        <v/>
      </c>
      <c r="D105" s="13">
        <f>(B105-B93)/B93</f>
        <v/>
      </c>
    </row>
    <row r="106">
      <c r="A106" s="11" t="n">
        <v>36617</v>
      </c>
      <c r="B106" s="15">
        <f>VLOOKUP(A106,Database!A:M,MATCH($A$1,Database!$A$1:$M$1,),)</f>
        <v/>
      </c>
      <c r="C106" s="12">
        <f>(B106-B105)/B105</f>
        <v/>
      </c>
      <c r="D106" s="13">
        <f>(B106-B94)/B94</f>
        <v/>
      </c>
    </row>
    <row r="107">
      <c r="A107" s="10" t="n">
        <v>36647</v>
      </c>
      <c r="B107" s="15">
        <f>VLOOKUP(A107,Database!A:M,MATCH($A$1,Database!$A$1:$M$1,),)</f>
        <v/>
      </c>
      <c r="C107" s="12">
        <f>(B107-B106)/B106</f>
        <v/>
      </c>
      <c r="D107" s="13">
        <f>(B107-B95)/B95</f>
        <v/>
      </c>
    </row>
    <row r="108">
      <c r="A108" s="11" t="n">
        <v>36678</v>
      </c>
      <c r="B108" s="15">
        <f>VLOOKUP(A108,Database!A:M,MATCH($A$1,Database!$A$1:$M$1,),)</f>
        <v/>
      </c>
      <c r="C108" s="12">
        <f>(B108-B107)/B107</f>
        <v/>
      </c>
      <c r="D108" s="13">
        <f>(B108-B96)/B96</f>
        <v/>
      </c>
    </row>
    <row r="109">
      <c r="A109" s="10" t="n">
        <v>36708</v>
      </c>
      <c r="B109" s="15">
        <f>VLOOKUP(A109,Database!A:M,MATCH($A$1,Database!$A$1:$M$1,),)</f>
        <v/>
      </c>
      <c r="C109" s="12">
        <f>(B109-B108)/B108</f>
        <v/>
      </c>
      <c r="D109" s="13">
        <f>(B109-B97)/B97</f>
        <v/>
      </c>
    </row>
    <row r="110">
      <c r="A110" s="11" t="n">
        <v>36739</v>
      </c>
      <c r="B110" s="15">
        <f>VLOOKUP(A110,Database!A:M,MATCH($A$1,Database!$A$1:$M$1,),)</f>
        <v/>
      </c>
      <c r="C110" s="12">
        <f>(B110-B109)/B109</f>
        <v/>
      </c>
      <c r="D110" s="13">
        <f>(B110-B98)/B98</f>
        <v/>
      </c>
    </row>
    <row r="111">
      <c r="A111" s="10" t="n">
        <v>36770</v>
      </c>
      <c r="B111" s="15">
        <f>VLOOKUP(A111,Database!A:M,MATCH($A$1,Database!$A$1:$M$1,),)</f>
        <v/>
      </c>
      <c r="C111" s="12">
        <f>(B111-B110)/B110</f>
        <v/>
      </c>
      <c r="D111" s="13">
        <f>(B111-B99)/B99</f>
        <v/>
      </c>
    </row>
    <row r="112">
      <c r="A112" s="11" t="n">
        <v>36800</v>
      </c>
      <c r="B112" s="15">
        <f>VLOOKUP(A112,Database!A:M,MATCH($A$1,Database!$A$1:$M$1,),)</f>
        <v/>
      </c>
      <c r="C112" s="12">
        <f>(B112-B111)/B111</f>
        <v/>
      </c>
      <c r="D112" s="13">
        <f>(B112-B100)/B100</f>
        <v/>
      </c>
    </row>
    <row r="113">
      <c r="A113" s="10" t="n">
        <v>36831</v>
      </c>
      <c r="B113" s="15">
        <f>VLOOKUP(A113,Database!A:M,MATCH($A$1,Database!$A$1:$M$1,),)</f>
        <v/>
      </c>
      <c r="C113" s="12">
        <f>(B113-B112)/B112</f>
        <v/>
      </c>
      <c r="D113" s="13">
        <f>(B113-B101)/B101</f>
        <v/>
      </c>
    </row>
    <row r="114">
      <c r="A114" s="11" t="n">
        <v>36861</v>
      </c>
      <c r="B114" s="15">
        <f>VLOOKUP(A114,Database!A:M,MATCH($A$1,Database!$A$1:$M$1,),)</f>
        <v/>
      </c>
      <c r="C114" s="12">
        <f>(B114-B113)/B113</f>
        <v/>
      </c>
      <c r="D114" s="13">
        <f>(B114-B102)/B102</f>
        <v/>
      </c>
    </row>
    <row r="115">
      <c r="A115" s="10" t="n">
        <v>36892</v>
      </c>
      <c r="B115" s="15">
        <f>VLOOKUP(A115,Database!A:M,MATCH($A$1,Database!$A$1:$M$1,),)</f>
        <v/>
      </c>
      <c r="C115" s="12">
        <f>(B115-B114)/B114</f>
        <v/>
      </c>
      <c r="D115" s="13">
        <f>(B115-B103)/B103</f>
        <v/>
      </c>
    </row>
    <row r="116">
      <c r="A116" s="11" t="n">
        <v>36923</v>
      </c>
      <c r="B116" s="15">
        <f>VLOOKUP(A116,Database!A:M,MATCH($A$1,Database!$A$1:$M$1,),)</f>
        <v/>
      </c>
      <c r="C116" s="12">
        <f>(B116-B115)/B115</f>
        <v/>
      </c>
      <c r="D116" s="13">
        <f>(B116-B104)/B104</f>
        <v/>
      </c>
    </row>
    <row r="117">
      <c r="A117" s="10" t="n">
        <v>36951</v>
      </c>
      <c r="B117" s="15">
        <f>VLOOKUP(A117,Database!A:M,MATCH($A$1,Database!$A$1:$M$1,),)</f>
        <v/>
      </c>
      <c r="C117" s="12">
        <f>(B117-B116)/B116</f>
        <v/>
      </c>
      <c r="D117" s="13">
        <f>(B117-B105)/B105</f>
        <v/>
      </c>
    </row>
    <row r="118">
      <c r="A118" s="11" t="n">
        <v>36982</v>
      </c>
      <c r="B118" s="15">
        <f>VLOOKUP(A118,Database!A:M,MATCH($A$1,Database!$A$1:$M$1,),)</f>
        <v/>
      </c>
      <c r="C118" s="12">
        <f>(B118-B117)/B117</f>
        <v/>
      </c>
      <c r="D118" s="13">
        <f>(B118-B106)/B106</f>
        <v/>
      </c>
    </row>
    <row r="119">
      <c r="A119" s="10" t="n">
        <v>37012</v>
      </c>
      <c r="B119" s="15">
        <f>VLOOKUP(A119,Database!A:M,MATCH($A$1,Database!$A$1:$M$1,),)</f>
        <v/>
      </c>
      <c r="C119" s="12">
        <f>(B119-B118)/B118</f>
        <v/>
      </c>
      <c r="D119" s="13">
        <f>(B119-B107)/B107</f>
        <v/>
      </c>
    </row>
    <row r="120">
      <c r="A120" s="11" t="n">
        <v>37043</v>
      </c>
      <c r="B120" s="15">
        <f>VLOOKUP(A120,Database!A:M,MATCH($A$1,Database!$A$1:$M$1,),)</f>
        <v/>
      </c>
      <c r="C120" s="12">
        <f>(B120-B119)/B119</f>
        <v/>
      </c>
      <c r="D120" s="13">
        <f>(B120-B108)/B108</f>
        <v/>
      </c>
    </row>
    <row r="121">
      <c r="A121" s="10" t="n">
        <v>37073</v>
      </c>
      <c r="B121" s="15">
        <f>VLOOKUP(A121,Database!A:M,MATCH($A$1,Database!$A$1:$M$1,),)</f>
        <v/>
      </c>
      <c r="C121" s="12">
        <f>(B121-B120)/B120</f>
        <v/>
      </c>
      <c r="D121" s="13">
        <f>(B121-B109)/B109</f>
        <v/>
      </c>
    </row>
    <row r="122">
      <c r="A122" s="11" t="n">
        <v>37104</v>
      </c>
      <c r="B122" s="15">
        <f>VLOOKUP(A122,Database!A:M,MATCH($A$1,Database!$A$1:$M$1,),)</f>
        <v/>
      </c>
      <c r="C122" s="12">
        <f>(B122-B121)/B121</f>
        <v/>
      </c>
      <c r="D122" s="13">
        <f>(B122-B110)/B110</f>
        <v/>
      </c>
    </row>
    <row r="123">
      <c r="A123" s="10" t="n">
        <v>37135</v>
      </c>
      <c r="B123" s="15">
        <f>VLOOKUP(A123,Database!A:M,MATCH($A$1,Database!$A$1:$M$1,),)</f>
        <v/>
      </c>
      <c r="C123" s="12">
        <f>(B123-B122)/B122</f>
        <v/>
      </c>
      <c r="D123" s="13">
        <f>(B123-B111)/B111</f>
        <v/>
      </c>
    </row>
    <row r="124">
      <c r="A124" s="11" t="n">
        <v>37165</v>
      </c>
      <c r="B124" s="15">
        <f>VLOOKUP(A124,Database!A:M,MATCH($A$1,Database!$A$1:$M$1,),)</f>
        <v/>
      </c>
      <c r="C124" s="12">
        <f>(B124-B123)/B123</f>
        <v/>
      </c>
      <c r="D124" s="13">
        <f>(B124-B112)/B112</f>
        <v/>
      </c>
    </row>
    <row r="125">
      <c r="A125" s="10" t="n">
        <v>37196</v>
      </c>
      <c r="B125" s="15">
        <f>VLOOKUP(A125,Database!A:M,MATCH($A$1,Database!$A$1:$M$1,),)</f>
        <v/>
      </c>
      <c r="C125" s="12">
        <f>(B125-B124)/B124</f>
        <v/>
      </c>
      <c r="D125" s="13">
        <f>(B125-B113)/B113</f>
        <v/>
      </c>
    </row>
    <row r="126">
      <c r="A126" s="11" t="n">
        <v>37226</v>
      </c>
      <c r="B126" s="15">
        <f>VLOOKUP(A126,Database!A:M,MATCH($A$1,Database!$A$1:$M$1,),)</f>
        <v/>
      </c>
      <c r="C126" s="12">
        <f>(B126-B125)/B125</f>
        <v/>
      </c>
      <c r="D126" s="13">
        <f>(B126-B114)/B114</f>
        <v/>
      </c>
    </row>
    <row r="127">
      <c r="A127" s="10" t="n">
        <v>37257</v>
      </c>
      <c r="B127" s="15">
        <f>VLOOKUP(A127,Database!A:M,MATCH($A$1,Database!$A$1:$M$1,),)</f>
        <v/>
      </c>
      <c r="C127" s="12">
        <f>(B127-B126)/B126</f>
        <v/>
      </c>
      <c r="D127" s="13">
        <f>(B127-B115)/B115</f>
        <v/>
      </c>
    </row>
    <row r="128">
      <c r="A128" s="11" t="n">
        <v>37288</v>
      </c>
      <c r="B128" s="15">
        <f>VLOOKUP(A128,Database!A:M,MATCH($A$1,Database!$A$1:$M$1,),)</f>
        <v/>
      </c>
      <c r="C128" s="12">
        <f>(B128-B127)/B127</f>
        <v/>
      </c>
      <c r="D128" s="13">
        <f>(B128-B116)/B116</f>
        <v/>
      </c>
    </row>
    <row r="129">
      <c r="A129" s="10" t="n">
        <v>37316</v>
      </c>
      <c r="B129" s="15">
        <f>VLOOKUP(A129,Database!A:M,MATCH($A$1,Database!$A$1:$M$1,),)</f>
        <v/>
      </c>
      <c r="C129" s="12">
        <f>(B129-B128)/B128</f>
        <v/>
      </c>
      <c r="D129" s="13">
        <f>(B129-B117)/B117</f>
        <v/>
      </c>
    </row>
    <row r="130">
      <c r="A130" s="11" t="n">
        <v>37347</v>
      </c>
      <c r="B130" s="15">
        <f>VLOOKUP(A130,Database!A:M,MATCH($A$1,Database!$A$1:$M$1,),)</f>
        <v/>
      </c>
      <c r="C130" s="12">
        <f>(B130-B129)/B129</f>
        <v/>
      </c>
      <c r="D130" s="13">
        <f>(B130-B118)/B118</f>
        <v/>
      </c>
    </row>
    <row r="131">
      <c r="A131" s="10" t="n">
        <v>37377</v>
      </c>
      <c r="B131" s="15">
        <f>VLOOKUP(A131,Database!A:M,MATCH($A$1,Database!$A$1:$M$1,),)</f>
        <v/>
      </c>
      <c r="C131" s="12">
        <f>(B131-B130)/B130</f>
        <v/>
      </c>
      <c r="D131" s="13">
        <f>(B131-B119)/B119</f>
        <v/>
      </c>
    </row>
    <row r="132">
      <c r="A132" s="11" t="n">
        <v>37408</v>
      </c>
      <c r="B132" s="15">
        <f>VLOOKUP(A132,Database!A:M,MATCH($A$1,Database!$A$1:$M$1,),)</f>
        <v/>
      </c>
      <c r="C132" s="12">
        <f>(B132-B131)/B131</f>
        <v/>
      </c>
      <c r="D132" s="13">
        <f>(B132-B120)/B120</f>
        <v/>
      </c>
    </row>
    <row r="133">
      <c r="A133" s="10" t="n">
        <v>37438</v>
      </c>
      <c r="B133" s="15">
        <f>VLOOKUP(A133,Database!A:M,MATCH($A$1,Database!$A$1:$M$1,),)</f>
        <v/>
      </c>
      <c r="C133" s="12">
        <f>(B133-B132)/B132</f>
        <v/>
      </c>
      <c r="D133" s="13">
        <f>(B133-B121)/B121</f>
        <v/>
      </c>
    </row>
    <row r="134">
      <c r="A134" s="11" t="n">
        <v>37469</v>
      </c>
      <c r="B134" s="15">
        <f>VLOOKUP(A134,Database!A:M,MATCH($A$1,Database!$A$1:$M$1,),)</f>
        <v/>
      </c>
      <c r="C134" s="12">
        <f>(B134-B133)/B133</f>
        <v/>
      </c>
      <c r="D134" s="13">
        <f>(B134-B122)/B122</f>
        <v/>
      </c>
    </row>
    <row r="135">
      <c r="A135" s="10" t="n">
        <v>37500</v>
      </c>
      <c r="B135" s="15">
        <f>VLOOKUP(A135,Database!A:M,MATCH($A$1,Database!$A$1:$M$1,),)</f>
        <v/>
      </c>
      <c r="C135" s="12">
        <f>(B135-B134)/B134</f>
        <v/>
      </c>
      <c r="D135" s="13">
        <f>(B135-B123)/B123</f>
        <v/>
      </c>
    </row>
    <row r="136">
      <c r="A136" s="11" t="n">
        <v>37530</v>
      </c>
      <c r="B136" s="15">
        <f>VLOOKUP(A136,Database!A:M,MATCH($A$1,Database!$A$1:$M$1,),)</f>
        <v/>
      </c>
      <c r="C136" s="12">
        <f>(B136-B135)/B135</f>
        <v/>
      </c>
      <c r="D136" s="13">
        <f>(B136-B124)/B124</f>
        <v/>
      </c>
    </row>
    <row r="137">
      <c r="A137" s="10" t="n">
        <v>37561</v>
      </c>
      <c r="B137" s="15">
        <f>VLOOKUP(A137,Database!A:M,MATCH($A$1,Database!$A$1:$M$1,),)</f>
        <v/>
      </c>
      <c r="C137" s="12">
        <f>(B137-B136)/B136</f>
        <v/>
      </c>
      <c r="D137" s="13">
        <f>(B137-B125)/B125</f>
        <v/>
      </c>
    </row>
    <row r="138">
      <c r="A138" s="11" t="n">
        <v>37591</v>
      </c>
      <c r="B138" s="15">
        <f>VLOOKUP(A138,Database!A:M,MATCH($A$1,Database!$A$1:$M$1,),)</f>
        <v/>
      </c>
      <c r="C138" s="12">
        <f>(B138-B137)/B137</f>
        <v/>
      </c>
      <c r="D138" s="13">
        <f>(B138-B126)/B126</f>
        <v/>
      </c>
    </row>
    <row r="139">
      <c r="A139" s="10" t="n">
        <v>37622</v>
      </c>
      <c r="B139" s="15">
        <f>VLOOKUP(A139,Database!A:M,MATCH($A$1,Database!$A$1:$M$1,),)</f>
        <v/>
      </c>
      <c r="C139" s="12">
        <f>(B139-B138)/B138</f>
        <v/>
      </c>
      <c r="D139" s="13">
        <f>(B139-B127)/B127</f>
        <v/>
      </c>
    </row>
    <row r="140">
      <c r="A140" s="11" t="n">
        <v>37653</v>
      </c>
      <c r="B140" s="15">
        <f>VLOOKUP(A140,Database!A:M,MATCH($A$1,Database!$A$1:$M$1,),)</f>
        <v/>
      </c>
      <c r="C140" s="12">
        <f>(B140-B139)/B139</f>
        <v/>
      </c>
      <c r="D140" s="13">
        <f>(B140-B128)/B128</f>
        <v/>
      </c>
    </row>
    <row r="141">
      <c r="A141" s="10" t="n">
        <v>37681</v>
      </c>
      <c r="B141" s="15">
        <f>VLOOKUP(A141,Database!A:M,MATCH($A$1,Database!$A$1:$M$1,),)</f>
        <v/>
      </c>
      <c r="C141" s="12">
        <f>(B141-B140)/B140</f>
        <v/>
      </c>
      <c r="D141" s="13">
        <f>(B141-B129)/B129</f>
        <v/>
      </c>
    </row>
    <row r="142">
      <c r="A142" s="11" t="n">
        <v>37712</v>
      </c>
      <c r="B142" s="15">
        <f>VLOOKUP(A142,Database!A:M,MATCH($A$1,Database!$A$1:$M$1,),)</f>
        <v/>
      </c>
      <c r="C142" s="12">
        <f>(B142-B141)/B141</f>
        <v/>
      </c>
      <c r="D142" s="13">
        <f>(B142-B130)/B130</f>
        <v/>
      </c>
    </row>
    <row r="143">
      <c r="A143" s="10" t="n">
        <v>37742</v>
      </c>
      <c r="B143" s="15">
        <f>VLOOKUP(A143,Database!A:M,MATCH($A$1,Database!$A$1:$M$1,),)</f>
        <v/>
      </c>
      <c r="C143" s="12">
        <f>(B143-B142)/B142</f>
        <v/>
      </c>
      <c r="D143" s="13">
        <f>(B143-B131)/B131</f>
        <v/>
      </c>
    </row>
    <row r="144">
      <c r="A144" s="11" t="n">
        <v>37773</v>
      </c>
      <c r="B144" s="15">
        <f>VLOOKUP(A144,Database!A:M,MATCH($A$1,Database!$A$1:$M$1,),)</f>
        <v/>
      </c>
      <c r="C144" s="12">
        <f>(B144-B143)/B143</f>
        <v/>
      </c>
      <c r="D144" s="13">
        <f>(B144-B132)/B132</f>
        <v/>
      </c>
    </row>
    <row r="145">
      <c r="A145" s="10" t="n">
        <v>37803</v>
      </c>
      <c r="B145" s="15">
        <f>VLOOKUP(A145,Database!A:M,MATCH($A$1,Database!$A$1:$M$1,),)</f>
        <v/>
      </c>
      <c r="C145" s="12">
        <f>(B145-B144)/B144</f>
        <v/>
      </c>
      <c r="D145" s="13">
        <f>(B145-B133)/B133</f>
        <v/>
      </c>
    </row>
    <row r="146">
      <c r="A146" s="11" t="n">
        <v>37834</v>
      </c>
      <c r="B146" s="15">
        <f>VLOOKUP(A146,Database!A:M,MATCH($A$1,Database!$A$1:$M$1,),)</f>
        <v/>
      </c>
      <c r="C146" s="12">
        <f>(B146-B145)/B145</f>
        <v/>
      </c>
      <c r="D146" s="13">
        <f>(B146-B134)/B134</f>
        <v/>
      </c>
    </row>
    <row r="147">
      <c r="A147" s="10" t="n">
        <v>37865</v>
      </c>
      <c r="B147" s="15">
        <f>VLOOKUP(A147,Database!A:M,MATCH($A$1,Database!$A$1:$M$1,),)</f>
        <v/>
      </c>
      <c r="C147" s="12">
        <f>(B147-B146)/B146</f>
        <v/>
      </c>
      <c r="D147" s="13">
        <f>(B147-B135)/B135</f>
        <v/>
      </c>
    </row>
    <row r="148">
      <c r="A148" s="11" t="n">
        <v>37895</v>
      </c>
      <c r="B148" s="15">
        <f>VLOOKUP(A148,Database!A:M,MATCH($A$1,Database!$A$1:$M$1,),)</f>
        <v/>
      </c>
      <c r="C148" s="12">
        <f>(B148-B147)/B147</f>
        <v/>
      </c>
      <c r="D148" s="13">
        <f>(B148-B136)/B136</f>
        <v/>
      </c>
    </row>
    <row r="149">
      <c r="A149" s="10" t="n">
        <v>37926</v>
      </c>
      <c r="B149" s="15">
        <f>VLOOKUP(A149,Database!A:M,MATCH($A$1,Database!$A$1:$M$1,),)</f>
        <v/>
      </c>
      <c r="C149" s="12">
        <f>(B149-B148)/B148</f>
        <v/>
      </c>
      <c r="D149" s="13">
        <f>(B149-B137)/B137</f>
        <v/>
      </c>
    </row>
    <row r="150">
      <c r="A150" s="11" t="n">
        <v>37956</v>
      </c>
      <c r="B150" s="15">
        <f>VLOOKUP(A150,Database!A:M,MATCH($A$1,Database!$A$1:$M$1,),)</f>
        <v/>
      </c>
      <c r="C150" s="12">
        <f>(B150-B149)/B149</f>
        <v/>
      </c>
      <c r="D150" s="13">
        <f>(B150-B138)/B138</f>
        <v/>
      </c>
    </row>
    <row r="151">
      <c r="A151" s="10" t="n">
        <v>37987</v>
      </c>
      <c r="B151" s="15">
        <f>VLOOKUP(A151,Database!A:M,MATCH($A$1,Database!$A$1:$M$1,),)</f>
        <v/>
      </c>
      <c r="C151" s="12">
        <f>(B151-B150)/B150</f>
        <v/>
      </c>
      <c r="D151" s="13">
        <f>(B151-B139)/B139</f>
        <v/>
      </c>
    </row>
    <row r="152">
      <c r="A152" s="11" t="n">
        <v>38018</v>
      </c>
      <c r="B152" s="15">
        <f>VLOOKUP(A152,Database!A:M,MATCH($A$1,Database!$A$1:$M$1,),)</f>
        <v/>
      </c>
      <c r="C152" s="12">
        <f>(B152-B151)/B151</f>
        <v/>
      </c>
      <c r="D152" s="13">
        <f>(B152-B140)/B140</f>
        <v/>
      </c>
    </row>
    <row r="153">
      <c r="A153" s="10" t="n">
        <v>38047</v>
      </c>
      <c r="B153" s="15">
        <f>VLOOKUP(A153,Database!A:M,MATCH($A$1,Database!$A$1:$M$1,),)</f>
        <v/>
      </c>
      <c r="C153" s="12">
        <f>(B153-B152)/B152</f>
        <v/>
      </c>
      <c r="D153" s="13">
        <f>(B153-B141)/B141</f>
        <v/>
      </c>
    </row>
    <row r="154">
      <c r="A154" s="11" t="n">
        <v>38078</v>
      </c>
      <c r="B154" s="15">
        <f>VLOOKUP(A154,Database!A:M,MATCH($A$1,Database!$A$1:$M$1,),)</f>
        <v/>
      </c>
      <c r="C154" s="12">
        <f>(B154-B153)/B153</f>
        <v/>
      </c>
      <c r="D154" s="13">
        <f>(B154-B142)/B142</f>
        <v/>
      </c>
    </row>
    <row r="155">
      <c r="A155" s="10" t="n">
        <v>38108</v>
      </c>
      <c r="B155" s="15">
        <f>VLOOKUP(A155,Database!A:M,MATCH($A$1,Database!$A$1:$M$1,),)</f>
        <v/>
      </c>
      <c r="C155" s="12">
        <f>(B155-B154)/B154</f>
        <v/>
      </c>
      <c r="D155" s="13">
        <f>(B155-B143)/B143</f>
        <v/>
      </c>
    </row>
    <row r="156">
      <c r="A156" s="11" t="n">
        <v>38139</v>
      </c>
      <c r="B156" s="15">
        <f>VLOOKUP(A156,Database!A:M,MATCH($A$1,Database!$A$1:$M$1,),)</f>
        <v/>
      </c>
      <c r="C156" s="12">
        <f>(B156-B155)/B155</f>
        <v/>
      </c>
      <c r="D156" s="13">
        <f>(B156-B144)/B144</f>
        <v/>
      </c>
    </row>
    <row r="157">
      <c r="A157" s="10" t="n">
        <v>38169</v>
      </c>
      <c r="B157" s="15">
        <f>VLOOKUP(A157,Database!A:M,MATCH($A$1,Database!$A$1:$M$1,),)</f>
        <v/>
      </c>
      <c r="C157" s="12">
        <f>(B157-B156)/B156</f>
        <v/>
      </c>
      <c r="D157" s="13">
        <f>(B157-B145)/B145</f>
        <v/>
      </c>
    </row>
    <row r="158">
      <c r="A158" s="11" t="n">
        <v>38200</v>
      </c>
      <c r="B158" s="15">
        <f>VLOOKUP(A158,Database!A:M,MATCH($A$1,Database!$A$1:$M$1,),)</f>
        <v/>
      </c>
      <c r="C158" s="12">
        <f>(B158-B157)/B157</f>
        <v/>
      </c>
      <c r="D158" s="13">
        <f>(B158-B146)/B146</f>
        <v/>
      </c>
    </row>
    <row r="159">
      <c r="A159" s="10" t="n">
        <v>38231</v>
      </c>
      <c r="B159" s="15">
        <f>VLOOKUP(A159,Database!A:M,MATCH($A$1,Database!$A$1:$M$1,),)</f>
        <v/>
      </c>
      <c r="C159" s="12">
        <f>(B159-B158)/B158</f>
        <v/>
      </c>
      <c r="D159" s="13">
        <f>(B159-B147)/B147</f>
        <v/>
      </c>
    </row>
    <row r="160">
      <c r="A160" s="11" t="n">
        <v>38261</v>
      </c>
      <c r="B160" s="15">
        <f>VLOOKUP(A160,Database!A:M,MATCH($A$1,Database!$A$1:$M$1,),)</f>
        <v/>
      </c>
      <c r="C160" s="12">
        <f>(B160-B159)/B159</f>
        <v/>
      </c>
      <c r="D160" s="13">
        <f>(B160-B148)/B148</f>
        <v/>
      </c>
    </row>
    <row r="161">
      <c r="A161" s="10" t="n">
        <v>38292</v>
      </c>
      <c r="B161" s="15">
        <f>VLOOKUP(A161,Database!A:M,MATCH($A$1,Database!$A$1:$M$1,),)</f>
        <v/>
      </c>
      <c r="C161" s="12">
        <f>(B161-B160)/B160</f>
        <v/>
      </c>
      <c r="D161" s="13">
        <f>(B161-B149)/B149</f>
        <v/>
      </c>
    </row>
    <row r="162">
      <c r="A162" s="11" t="n">
        <v>38322</v>
      </c>
      <c r="B162" s="15">
        <f>VLOOKUP(A162,Database!A:M,MATCH($A$1,Database!$A$1:$M$1,),)</f>
        <v/>
      </c>
      <c r="C162" s="12">
        <f>(B162-B161)/B161</f>
        <v/>
      </c>
      <c r="D162" s="13">
        <f>(B162-B150)/B150</f>
        <v/>
      </c>
    </row>
    <row r="163">
      <c r="A163" s="10" t="n">
        <v>38353</v>
      </c>
      <c r="B163" s="15">
        <f>VLOOKUP(A163,Database!A:M,MATCH($A$1,Database!$A$1:$M$1,),)</f>
        <v/>
      </c>
      <c r="C163" s="12">
        <f>(B163-B162)/B162</f>
        <v/>
      </c>
      <c r="D163" s="13">
        <f>(B163-B151)/B151</f>
        <v/>
      </c>
    </row>
    <row r="164">
      <c r="A164" s="11" t="n">
        <v>38384</v>
      </c>
      <c r="B164" s="15">
        <f>VLOOKUP(A164,Database!A:M,MATCH($A$1,Database!$A$1:$M$1,),)</f>
        <v/>
      </c>
      <c r="C164" s="12">
        <f>(B164-B163)/B163</f>
        <v/>
      </c>
      <c r="D164" s="13">
        <f>(B164-B152)/B152</f>
        <v/>
      </c>
    </row>
    <row r="165">
      <c r="A165" s="10" t="n">
        <v>38412</v>
      </c>
      <c r="B165" s="15">
        <f>VLOOKUP(A165,Database!A:M,MATCH($A$1,Database!$A$1:$M$1,),)</f>
        <v/>
      </c>
      <c r="C165" s="12">
        <f>(B165-B164)/B164</f>
        <v/>
      </c>
      <c r="D165" s="13">
        <f>(B165-B153)/B153</f>
        <v/>
      </c>
    </row>
    <row r="166">
      <c r="A166" s="11" t="n">
        <v>38443</v>
      </c>
      <c r="B166" s="15">
        <f>VLOOKUP(A166,Database!A:M,MATCH($A$1,Database!$A$1:$M$1,),)</f>
        <v/>
      </c>
      <c r="C166" s="12">
        <f>(B166-B165)/B165</f>
        <v/>
      </c>
      <c r="D166" s="13">
        <f>(B166-B154)/B154</f>
        <v/>
      </c>
    </row>
    <row r="167">
      <c r="A167" s="10" t="n">
        <v>38473</v>
      </c>
      <c r="B167" s="15">
        <f>VLOOKUP(A167,Database!A:M,MATCH($A$1,Database!$A$1:$M$1,),)</f>
        <v/>
      </c>
      <c r="C167" s="12">
        <f>(B167-B166)/B166</f>
        <v/>
      </c>
      <c r="D167" s="13">
        <f>(B167-B155)/B155</f>
        <v/>
      </c>
    </row>
    <row r="168">
      <c r="A168" s="11" t="n">
        <v>38504</v>
      </c>
      <c r="B168" s="15">
        <f>VLOOKUP(A168,Database!A:M,MATCH($A$1,Database!$A$1:$M$1,),)</f>
        <v/>
      </c>
      <c r="C168" s="12">
        <f>(B168-B167)/B167</f>
        <v/>
      </c>
      <c r="D168" s="13">
        <f>(B168-B156)/B156</f>
        <v/>
      </c>
    </row>
    <row r="169">
      <c r="A169" s="10" t="n">
        <v>38534</v>
      </c>
      <c r="B169" s="15">
        <f>VLOOKUP(A169,Database!A:M,MATCH($A$1,Database!$A$1:$M$1,),)</f>
        <v/>
      </c>
      <c r="C169" s="12">
        <f>(B169-B168)/B168</f>
        <v/>
      </c>
      <c r="D169" s="13">
        <f>(B169-B157)/B157</f>
        <v/>
      </c>
    </row>
    <row r="170">
      <c r="A170" s="11" t="n">
        <v>38565</v>
      </c>
      <c r="B170" s="15">
        <f>VLOOKUP(A170,Database!A:M,MATCH($A$1,Database!$A$1:$M$1,),)</f>
        <v/>
      </c>
      <c r="C170" s="12">
        <f>(B170-B169)/B169</f>
        <v/>
      </c>
      <c r="D170" s="13">
        <f>(B170-B158)/B158</f>
        <v/>
      </c>
    </row>
    <row r="171">
      <c r="A171" s="10" t="n">
        <v>38596</v>
      </c>
      <c r="B171" s="15">
        <f>VLOOKUP(A171,Database!A:M,MATCH($A$1,Database!$A$1:$M$1,),)</f>
        <v/>
      </c>
      <c r="C171" s="12">
        <f>(B171-B170)/B170</f>
        <v/>
      </c>
      <c r="D171" s="13">
        <f>(B171-B159)/B159</f>
        <v/>
      </c>
    </row>
    <row r="172">
      <c r="A172" s="11" t="n">
        <v>38626</v>
      </c>
      <c r="B172" s="15">
        <f>VLOOKUP(A172,Database!A:M,MATCH($A$1,Database!$A$1:$M$1,),)</f>
        <v/>
      </c>
      <c r="C172" s="12">
        <f>(B172-B171)/B171</f>
        <v/>
      </c>
      <c r="D172" s="13">
        <f>(B172-B160)/B160</f>
        <v/>
      </c>
    </row>
    <row r="173">
      <c r="A173" s="10" t="n">
        <v>38657</v>
      </c>
      <c r="B173" s="15">
        <f>VLOOKUP(A173,Database!A:M,MATCH($A$1,Database!$A$1:$M$1,),)</f>
        <v/>
      </c>
      <c r="C173" s="12">
        <f>(B173-B172)/B172</f>
        <v/>
      </c>
      <c r="D173" s="13">
        <f>(B173-B161)/B161</f>
        <v/>
      </c>
    </row>
    <row r="174">
      <c r="A174" s="11" t="n">
        <v>38687</v>
      </c>
      <c r="B174" s="15">
        <f>VLOOKUP(A174,Database!A:M,MATCH($A$1,Database!$A$1:$M$1,),)</f>
        <v/>
      </c>
      <c r="C174" s="12">
        <f>(B174-B173)/B173</f>
        <v/>
      </c>
      <c r="D174" s="13">
        <f>(B174-B162)/B162</f>
        <v/>
      </c>
    </row>
    <row r="175">
      <c r="A175" s="10" t="n">
        <v>38718</v>
      </c>
      <c r="B175" s="15">
        <f>VLOOKUP(A175,Database!A:M,MATCH($A$1,Database!$A$1:$M$1,),)</f>
        <v/>
      </c>
      <c r="C175" s="12">
        <f>(B175-B174)/B174</f>
        <v/>
      </c>
      <c r="D175" s="13">
        <f>(B175-B163)/B163</f>
        <v/>
      </c>
    </row>
    <row r="176">
      <c r="A176" s="11" t="n">
        <v>38749</v>
      </c>
      <c r="B176" s="15">
        <f>VLOOKUP(A176,Database!A:M,MATCH($A$1,Database!$A$1:$M$1,),)</f>
        <v/>
      </c>
      <c r="C176" s="12">
        <f>(B176-B175)/B175</f>
        <v/>
      </c>
      <c r="D176" s="13">
        <f>(B176-B164)/B164</f>
        <v/>
      </c>
    </row>
    <row r="177">
      <c r="A177" s="10" t="n">
        <v>38777</v>
      </c>
      <c r="B177" s="15">
        <f>VLOOKUP(A177,Database!A:M,MATCH($A$1,Database!$A$1:$M$1,),)</f>
        <v/>
      </c>
      <c r="C177" s="12">
        <f>(B177-B176)/B176</f>
        <v/>
      </c>
      <c r="D177" s="13">
        <f>(B177-B165)/B165</f>
        <v/>
      </c>
    </row>
    <row r="178">
      <c r="A178" s="11" t="n">
        <v>38808</v>
      </c>
      <c r="B178" s="15">
        <f>VLOOKUP(A178,Database!A:M,MATCH($A$1,Database!$A$1:$M$1,),)</f>
        <v/>
      </c>
      <c r="C178" s="12">
        <f>(B178-B177)/B177</f>
        <v/>
      </c>
      <c r="D178" s="13">
        <f>(B178-B166)/B166</f>
        <v/>
      </c>
    </row>
    <row r="179">
      <c r="A179" s="10" t="n">
        <v>38838</v>
      </c>
      <c r="B179" s="15">
        <f>VLOOKUP(A179,Database!A:M,MATCH($A$1,Database!$A$1:$M$1,),)</f>
        <v/>
      </c>
      <c r="C179" s="12">
        <f>(B179-B178)/B178</f>
        <v/>
      </c>
      <c r="D179" s="13">
        <f>(B179-B167)/B167</f>
        <v/>
      </c>
    </row>
    <row r="180">
      <c r="A180" s="11" t="n">
        <v>38869</v>
      </c>
      <c r="B180" s="15">
        <f>VLOOKUP(A180,Database!A:M,MATCH($A$1,Database!$A$1:$M$1,),)</f>
        <v/>
      </c>
      <c r="C180" s="12">
        <f>(B180-B179)/B179</f>
        <v/>
      </c>
      <c r="D180" s="13">
        <f>(B180-B168)/B168</f>
        <v/>
      </c>
    </row>
    <row r="181">
      <c r="A181" s="10" t="n">
        <v>38899</v>
      </c>
      <c r="B181" s="15">
        <f>VLOOKUP(A181,Database!A:M,MATCH($A$1,Database!$A$1:$M$1,),)</f>
        <v/>
      </c>
      <c r="C181" s="12">
        <f>(B181-B180)/B180</f>
        <v/>
      </c>
      <c r="D181" s="13">
        <f>(B181-B169)/B169</f>
        <v/>
      </c>
    </row>
    <row r="182">
      <c r="A182" s="11" t="n">
        <v>38930</v>
      </c>
      <c r="B182" s="15">
        <f>VLOOKUP(A182,Database!A:M,MATCH($A$1,Database!$A$1:$M$1,),)</f>
        <v/>
      </c>
      <c r="C182" s="12">
        <f>(B182-B181)/B181</f>
        <v/>
      </c>
      <c r="D182" s="13">
        <f>(B182-B170)/B170</f>
        <v/>
      </c>
    </row>
    <row r="183">
      <c r="A183" s="10" t="n">
        <v>38961</v>
      </c>
      <c r="B183" s="15">
        <f>VLOOKUP(A183,Database!A:M,MATCH($A$1,Database!$A$1:$M$1,),)</f>
        <v/>
      </c>
      <c r="C183" s="12">
        <f>(B183-B182)/B182</f>
        <v/>
      </c>
      <c r="D183" s="13">
        <f>(B183-B171)/B171</f>
        <v/>
      </c>
    </row>
    <row r="184">
      <c r="A184" s="11" t="n">
        <v>38991</v>
      </c>
      <c r="B184" s="15">
        <f>VLOOKUP(A184,Database!A:M,MATCH($A$1,Database!$A$1:$M$1,),)</f>
        <v/>
      </c>
      <c r="C184" s="12">
        <f>(B184-B183)/B183</f>
        <v/>
      </c>
      <c r="D184" s="13">
        <f>(B184-B172)/B172</f>
        <v/>
      </c>
    </row>
    <row r="185">
      <c r="A185" s="10" t="n">
        <v>39022</v>
      </c>
      <c r="B185" s="15">
        <f>VLOOKUP(A185,Database!A:M,MATCH($A$1,Database!$A$1:$M$1,),)</f>
        <v/>
      </c>
      <c r="C185" s="12">
        <f>(B185-B184)/B184</f>
        <v/>
      </c>
      <c r="D185" s="13">
        <f>(B185-B173)/B173</f>
        <v/>
      </c>
    </row>
    <row r="186">
      <c r="A186" s="11" t="n">
        <v>39052</v>
      </c>
      <c r="B186" s="15">
        <f>VLOOKUP(A186,Database!A:M,MATCH($A$1,Database!$A$1:$M$1,),)</f>
        <v/>
      </c>
      <c r="C186" s="12">
        <f>(B186-B185)/B185</f>
        <v/>
      </c>
      <c r="D186" s="13">
        <f>(B186-B174)/B174</f>
        <v/>
      </c>
    </row>
    <row r="187">
      <c r="A187" s="10" t="n">
        <v>39083</v>
      </c>
      <c r="B187" s="15">
        <f>VLOOKUP(A187,Database!A:M,MATCH($A$1,Database!$A$1:$M$1,),)</f>
        <v/>
      </c>
      <c r="C187" s="12">
        <f>(B187-B186)/B186</f>
        <v/>
      </c>
      <c r="D187" s="13">
        <f>(B187-B175)/B175</f>
        <v/>
      </c>
    </row>
    <row r="188">
      <c r="A188" s="11" t="n">
        <v>39114</v>
      </c>
      <c r="B188" s="15">
        <f>VLOOKUP(A188,Database!A:M,MATCH($A$1,Database!$A$1:$M$1,),)</f>
        <v/>
      </c>
      <c r="C188" s="12">
        <f>(B188-B187)/B187</f>
        <v/>
      </c>
      <c r="D188" s="13">
        <f>(B188-B176)/B176</f>
        <v/>
      </c>
    </row>
    <row r="189">
      <c r="A189" s="10" t="n">
        <v>39142</v>
      </c>
      <c r="B189" s="15">
        <f>VLOOKUP(A189,Database!A:M,MATCH($A$1,Database!$A$1:$M$1,),)</f>
        <v/>
      </c>
      <c r="C189" s="12">
        <f>(B189-B188)/B188</f>
        <v/>
      </c>
      <c r="D189" s="13">
        <f>(B189-B177)/B177</f>
        <v/>
      </c>
    </row>
    <row r="190">
      <c r="A190" s="11" t="n">
        <v>39173</v>
      </c>
      <c r="B190" s="15">
        <f>VLOOKUP(A190,Database!A:M,MATCH($A$1,Database!$A$1:$M$1,),)</f>
        <v/>
      </c>
      <c r="C190" s="12">
        <f>(B190-B189)/B189</f>
        <v/>
      </c>
      <c r="D190" s="13">
        <f>(B190-B178)/B178</f>
        <v/>
      </c>
    </row>
    <row r="191">
      <c r="A191" s="10" t="n">
        <v>39203</v>
      </c>
      <c r="B191" s="15">
        <f>VLOOKUP(A191,Database!A:M,MATCH($A$1,Database!$A$1:$M$1,),)</f>
        <v/>
      </c>
      <c r="C191" s="12">
        <f>(B191-B190)/B190</f>
        <v/>
      </c>
      <c r="D191" s="13">
        <f>(B191-B179)/B179</f>
        <v/>
      </c>
    </row>
    <row r="192">
      <c r="A192" s="11" t="n">
        <v>39234</v>
      </c>
      <c r="B192" s="15">
        <f>VLOOKUP(A192,Database!A:M,MATCH($A$1,Database!$A$1:$M$1,),)</f>
        <v/>
      </c>
      <c r="C192" s="12">
        <f>(B192-B191)/B191</f>
        <v/>
      </c>
      <c r="D192" s="13">
        <f>(B192-B180)/B180</f>
        <v/>
      </c>
    </row>
    <row r="193">
      <c r="A193" s="10" t="n">
        <v>39264</v>
      </c>
      <c r="B193" s="15">
        <f>VLOOKUP(A193,Database!A:M,MATCH($A$1,Database!$A$1:$M$1,),)</f>
        <v/>
      </c>
      <c r="C193" s="12">
        <f>(B193-B192)/B192</f>
        <v/>
      </c>
      <c r="D193" s="13">
        <f>(B193-B181)/B181</f>
        <v/>
      </c>
    </row>
    <row r="194">
      <c r="A194" s="11" t="n">
        <v>39295</v>
      </c>
      <c r="B194" s="15">
        <f>VLOOKUP(A194,Database!A:M,MATCH($A$1,Database!$A$1:$M$1,),)</f>
        <v/>
      </c>
      <c r="C194" s="12">
        <f>(B194-B193)/B193</f>
        <v/>
      </c>
      <c r="D194" s="13">
        <f>(B194-B182)/B182</f>
        <v/>
      </c>
    </row>
    <row r="195">
      <c r="A195" s="10" t="n">
        <v>39326</v>
      </c>
      <c r="B195" s="15">
        <f>VLOOKUP(A195,Database!A:M,MATCH($A$1,Database!$A$1:$M$1,),)</f>
        <v/>
      </c>
      <c r="C195" s="12">
        <f>(B195-B194)/B194</f>
        <v/>
      </c>
      <c r="D195" s="13">
        <f>(B195-B183)/B183</f>
        <v/>
      </c>
    </row>
    <row r="196">
      <c r="A196" s="11" t="n">
        <v>39356</v>
      </c>
      <c r="B196" s="15">
        <f>VLOOKUP(A196,Database!A:M,MATCH($A$1,Database!$A$1:$M$1,),)</f>
        <v/>
      </c>
      <c r="C196" s="12">
        <f>(B196-B195)/B195</f>
        <v/>
      </c>
      <c r="D196" s="13">
        <f>(B196-B184)/B184</f>
        <v/>
      </c>
    </row>
    <row r="197">
      <c r="A197" s="10" t="n">
        <v>39387</v>
      </c>
      <c r="B197" s="15">
        <f>VLOOKUP(A197,Database!A:M,MATCH($A$1,Database!$A$1:$M$1,),)</f>
        <v/>
      </c>
      <c r="C197" s="12">
        <f>(B197-B196)/B196</f>
        <v/>
      </c>
      <c r="D197" s="13">
        <f>(B197-B185)/B185</f>
        <v/>
      </c>
    </row>
    <row r="198">
      <c r="A198" s="11" t="n">
        <v>39417</v>
      </c>
      <c r="B198" s="15">
        <f>VLOOKUP(A198,Database!A:M,MATCH($A$1,Database!$A$1:$M$1,),)</f>
        <v/>
      </c>
      <c r="C198" s="12">
        <f>(B198-B197)/B197</f>
        <v/>
      </c>
      <c r="D198" s="13">
        <f>(B198-B186)/B186</f>
        <v/>
      </c>
    </row>
    <row r="199">
      <c r="A199" s="10" t="n">
        <v>39448</v>
      </c>
      <c r="B199" s="15">
        <f>VLOOKUP(A199,Database!A:M,MATCH($A$1,Database!$A$1:$M$1,),)</f>
        <v/>
      </c>
      <c r="C199" s="12">
        <f>(B199-B198)/B198</f>
        <v/>
      </c>
      <c r="D199" s="13">
        <f>(B199-B187)/B187</f>
        <v/>
      </c>
    </row>
    <row r="200">
      <c r="A200" s="11" t="n">
        <v>39479</v>
      </c>
      <c r="B200" s="15">
        <f>VLOOKUP(A200,Database!A:M,MATCH($A$1,Database!$A$1:$M$1,),)</f>
        <v/>
      </c>
      <c r="C200" s="12">
        <f>(B200-B199)/B199</f>
        <v/>
      </c>
      <c r="D200" s="13">
        <f>(B200-B188)/B188</f>
        <v/>
      </c>
    </row>
    <row r="201">
      <c r="A201" s="10" t="n">
        <v>39508</v>
      </c>
      <c r="B201" s="15">
        <f>VLOOKUP(A201,Database!A:M,MATCH($A$1,Database!$A$1:$M$1,),)</f>
        <v/>
      </c>
      <c r="C201" s="12">
        <f>(B201-B200)/B200</f>
        <v/>
      </c>
      <c r="D201" s="13">
        <f>(B201-B189)/B189</f>
        <v/>
      </c>
    </row>
    <row r="202">
      <c r="A202" s="11" t="n">
        <v>39539</v>
      </c>
      <c r="B202" s="15">
        <f>VLOOKUP(A202,Database!A:M,MATCH($A$1,Database!$A$1:$M$1,),)</f>
        <v/>
      </c>
      <c r="C202" s="12">
        <f>(B202-B201)/B201</f>
        <v/>
      </c>
      <c r="D202" s="13">
        <f>(B202-B190)/B190</f>
        <v/>
      </c>
    </row>
    <row r="203">
      <c r="A203" s="10" t="n">
        <v>39569</v>
      </c>
      <c r="B203" s="15">
        <f>VLOOKUP(A203,Database!A:M,MATCH($A$1,Database!$A$1:$M$1,),)</f>
        <v/>
      </c>
      <c r="C203" s="12">
        <f>(B203-B202)/B202</f>
        <v/>
      </c>
      <c r="D203" s="13">
        <f>(B203-B191)/B191</f>
        <v/>
      </c>
    </row>
    <row r="204">
      <c r="A204" s="11" t="n">
        <v>39600</v>
      </c>
      <c r="B204" s="15">
        <f>VLOOKUP(A204,Database!A:M,MATCH($A$1,Database!$A$1:$M$1,),)</f>
        <v/>
      </c>
      <c r="C204" s="12">
        <f>(B204-B203)/B203</f>
        <v/>
      </c>
      <c r="D204" s="13">
        <f>(B204-B192)/B192</f>
        <v/>
      </c>
    </row>
    <row r="205">
      <c r="A205" s="10" t="n">
        <v>39630</v>
      </c>
      <c r="B205" s="15">
        <f>VLOOKUP(A205,Database!A:M,MATCH($A$1,Database!$A$1:$M$1,),)</f>
        <v/>
      </c>
      <c r="C205" s="12">
        <f>(B205-B204)/B204</f>
        <v/>
      </c>
      <c r="D205" s="13">
        <f>(B205-B193)/B193</f>
        <v/>
      </c>
    </row>
    <row r="206">
      <c r="A206" s="11" t="n">
        <v>39661</v>
      </c>
      <c r="B206" s="15">
        <f>VLOOKUP(A206,Database!A:M,MATCH($A$1,Database!$A$1:$M$1,),)</f>
        <v/>
      </c>
      <c r="C206" s="12">
        <f>(B206-B205)/B205</f>
        <v/>
      </c>
      <c r="D206" s="13">
        <f>(B206-B194)/B194</f>
        <v/>
      </c>
    </row>
    <row r="207">
      <c r="A207" s="10" t="n">
        <v>39692</v>
      </c>
      <c r="B207" s="15">
        <f>VLOOKUP(A207,Database!A:M,MATCH($A$1,Database!$A$1:$M$1,),)</f>
        <v/>
      </c>
      <c r="C207" s="12">
        <f>(B207-B206)/B206</f>
        <v/>
      </c>
      <c r="D207" s="13">
        <f>(B207-B195)/B195</f>
        <v/>
      </c>
    </row>
    <row r="208">
      <c r="A208" s="11" t="n">
        <v>39722</v>
      </c>
      <c r="B208" s="15">
        <f>VLOOKUP(A208,Database!A:M,MATCH($A$1,Database!$A$1:$M$1,),)</f>
        <v/>
      </c>
      <c r="C208" s="12">
        <f>(B208-B207)/B207</f>
        <v/>
      </c>
      <c r="D208" s="13">
        <f>(B208-B196)/B196</f>
        <v/>
      </c>
    </row>
    <row r="209">
      <c r="A209" s="10" t="n">
        <v>39753</v>
      </c>
      <c r="B209" s="15">
        <f>VLOOKUP(A209,Database!A:M,MATCH($A$1,Database!$A$1:$M$1,),)</f>
        <v/>
      </c>
      <c r="C209" s="12">
        <f>(B209-B208)/B208</f>
        <v/>
      </c>
      <c r="D209" s="13">
        <f>(B209-B197)/B197</f>
        <v/>
      </c>
    </row>
    <row r="210">
      <c r="A210" s="11" t="n">
        <v>39783</v>
      </c>
      <c r="B210" s="15">
        <f>VLOOKUP(A210,Database!A:M,MATCH($A$1,Database!$A$1:$M$1,),)</f>
        <v/>
      </c>
      <c r="C210" s="12">
        <f>(B210-B209)/B209</f>
        <v/>
      </c>
      <c r="D210" s="13">
        <f>(B210-B198)/B198</f>
        <v/>
      </c>
    </row>
    <row r="211">
      <c r="A211" s="10" t="n">
        <v>39814</v>
      </c>
      <c r="B211" s="15">
        <f>VLOOKUP(A211,Database!A:M,MATCH($A$1,Database!$A$1:$M$1,),)</f>
        <v/>
      </c>
      <c r="C211" s="12">
        <f>(B211-B210)/B210</f>
        <v/>
      </c>
      <c r="D211" s="13">
        <f>(B211-B199)/B199</f>
        <v/>
      </c>
    </row>
    <row r="212">
      <c r="A212" s="11" t="n">
        <v>39845</v>
      </c>
      <c r="B212" s="15">
        <f>VLOOKUP(A212,Database!A:M,MATCH($A$1,Database!$A$1:$M$1,),)</f>
        <v/>
      </c>
      <c r="C212" s="12">
        <f>(B212-B211)/B211</f>
        <v/>
      </c>
      <c r="D212" s="13">
        <f>(B212-B200)/B200</f>
        <v/>
      </c>
    </row>
    <row r="213">
      <c r="A213" s="10" t="n">
        <v>39873</v>
      </c>
      <c r="B213" s="15">
        <f>VLOOKUP(A213,Database!A:M,MATCH($A$1,Database!$A$1:$M$1,),)</f>
        <v/>
      </c>
      <c r="C213" s="12">
        <f>(B213-B212)/B212</f>
        <v/>
      </c>
      <c r="D213" s="13">
        <f>(B213-B201)/B201</f>
        <v/>
      </c>
    </row>
    <row r="214">
      <c r="A214" s="11" t="n">
        <v>39904</v>
      </c>
      <c r="B214" s="15">
        <f>VLOOKUP(A214,Database!A:M,MATCH($A$1,Database!$A$1:$M$1,),)</f>
        <v/>
      </c>
      <c r="C214" s="12">
        <f>(B214-B213)/B213</f>
        <v/>
      </c>
      <c r="D214" s="13">
        <f>(B214-B202)/B202</f>
        <v/>
      </c>
    </row>
    <row r="215">
      <c r="A215" s="10" t="n">
        <v>39934</v>
      </c>
      <c r="B215" s="15">
        <f>VLOOKUP(A215,Database!A:M,MATCH($A$1,Database!$A$1:$M$1,),)</f>
        <v/>
      </c>
      <c r="C215" s="12">
        <f>(B215-B214)/B214</f>
        <v/>
      </c>
      <c r="D215" s="13">
        <f>(B215-B203)/B203</f>
        <v/>
      </c>
    </row>
    <row r="216">
      <c r="A216" s="11" t="n">
        <v>39965</v>
      </c>
      <c r="B216" s="15">
        <f>VLOOKUP(A216,Database!A:M,MATCH($A$1,Database!$A$1:$M$1,),)</f>
        <v/>
      </c>
      <c r="C216" s="12">
        <f>(B216-B215)/B215</f>
        <v/>
      </c>
      <c r="D216" s="13">
        <f>(B216-B204)/B204</f>
        <v/>
      </c>
    </row>
    <row r="217">
      <c r="A217" s="10" t="n">
        <v>39995</v>
      </c>
      <c r="B217" s="15">
        <f>VLOOKUP(A217,Database!A:M,MATCH($A$1,Database!$A$1:$M$1,),)</f>
        <v/>
      </c>
      <c r="C217" s="12">
        <f>(B217-B216)/B216</f>
        <v/>
      </c>
      <c r="D217" s="13">
        <f>(B217-B205)/B205</f>
        <v/>
      </c>
    </row>
    <row r="218">
      <c r="A218" s="11" t="n">
        <v>40026</v>
      </c>
      <c r="B218" s="15">
        <f>VLOOKUP(A218,Database!A:M,MATCH($A$1,Database!$A$1:$M$1,),)</f>
        <v/>
      </c>
      <c r="C218" s="12">
        <f>(B218-B217)/B217</f>
        <v/>
      </c>
      <c r="D218" s="13">
        <f>(B218-B206)/B206</f>
        <v/>
      </c>
    </row>
    <row r="219">
      <c r="A219" s="10" t="n">
        <v>40057</v>
      </c>
      <c r="B219" s="15">
        <f>VLOOKUP(A219,Database!A:M,MATCH($A$1,Database!$A$1:$M$1,),)</f>
        <v/>
      </c>
      <c r="C219" s="12">
        <f>(B219-B218)/B218</f>
        <v/>
      </c>
      <c r="D219" s="13">
        <f>(B219-B207)/B207</f>
        <v/>
      </c>
    </row>
    <row r="220">
      <c r="A220" s="11" t="n">
        <v>40087</v>
      </c>
      <c r="B220" s="15">
        <f>VLOOKUP(A220,Database!A:M,MATCH($A$1,Database!$A$1:$M$1,),)</f>
        <v/>
      </c>
      <c r="C220" s="12">
        <f>(B220-B219)/B219</f>
        <v/>
      </c>
      <c r="D220" s="13">
        <f>(B220-B208)/B208</f>
        <v/>
      </c>
    </row>
    <row r="221">
      <c r="A221" s="10" t="n">
        <v>40118</v>
      </c>
      <c r="B221" s="15">
        <f>VLOOKUP(A221,Database!A:M,MATCH($A$1,Database!$A$1:$M$1,),)</f>
        <v/>
      </c>
      <c r="C221" s="12">
        <f>(B221-B220)/B220</f>
        <v/>
      </c>
      <c r="D221" s="13">
        <f>(B221-B209)/B209</f>
        <v/>
      </c>
    </row>
    <row r="222">
      <c r="A222" s="11" t="n">
        <v>40148</v>
      </c>
      <c r="B222" s="15">
        <f>VLOOKUP(A222,Database!A:M,MATCH($A$1,Database!$A$1:$M$1,),)</f>
        <v/>
      </c>
      <c r="C222" s="12">
        <f>(B222-B221)/B221</f>
        <v/>
      </c>
      <c r="D222" s="13">
        <f>(B222-B210)/B210</f>
        <v/>
      </c>
    </row>
    <row r="223">
      <c r="A223" s="10" t="n">
        <v>40179</v>
      </c>
      <c r="B223" s="15">
        <f>VLOOKUP(A223,Database!A:M,MATCH($A$1,Database!$A$1:$M$1,),)</f>
        <v/>
      </c>
      <c r="C223" s="12">
        <f>(B223-B222)/B222</f>
        <v/>
      </c>
      <c r="D223" s="13">
        <f>(B223-B211)/B211</f>
        <v/>
      </c>
    </row>
    <row r="224">
      <c r="A224" s="11" t="n">
        <v>40210</v>
      </c>
      <c r="B224" s="15">
        <f>VLOOKUP(A224,Database!A:M,MATCH($A$1,Database!$A$1:$M$1,),)</f>
        <v/>
      </c>
      <c r="C224" s="12">
        <f>(B224-B223)/B223</f>
        <v/>
      </c>
      <c r="D224" s="13">
        <f>(B224-B212)/B212</f>
        <v/>
      </c>
    </row>
    <row r="225">
      <c r="A225" s="10" t="n">
        <v>40238</v>
      </c>
      <c r="B225" s="15">
        <f>VLOOKUP(A225,Database!A:M,MATCH($A$1,Database!$A$1:$M$1,),)</f>
        <v/>
      </c>
      <c r="C225" s="12">
        <f>(B225-B224)/B224</f>
        <v/>
      </c>
      <c r="D225" s="13">
        <f>(B225-B213)/B213</f>
        <v/>
      </c>
    </row>
    <row r="226">
      <c r="A226" s="11" t="n">
        <v>40269</v>
      </c>
      <c r="B226" s="15">
        <f>VLOOKUP(A226,Database!A:M,MATCH($A$1,Database!$A$1:$M$1,),)</f>
        <v/>
      </c>
      <c r="C226" s="12">
        <f>(B226-B225)/B225</f>
        <v/>
      </c>
      <c r="D226" s="13">
        <f>(B226-B214)/B214</f>
        <v/>
      </c>
    </row>
    <row r="227">
      <c r="A227" s="10" t="n">
        <v>40299</v>
      </c>
      <c r="B227" s="15">
        <f>VLOOKUP(A227,Database!A:M,MATCH($A$1,Database!$A$1:$M$1,),)</f>
        <v/>
      </c>
      <c r="C227" s="12">
        <f>(B227-B226)/B226</f>
        <v/>
      </c>
      <c r="D227" s="13">
        <f>(B227-B215)/B215</f>
        <v/>
      </c>
    </row>
    <row r="228">
      <c r="A228" s="11" t="n">
        <v>40330</v>
      </c>
      <c r="B228" s="15">
        <f>VLOOKUP(A228,Database!A:M,MATCH($A$1,Database!$A$1:$M$1,),)</f>
        <v/>
      </c>
      <c r="C228" s="12">
        <f>(B228-B227)/B227</f>
        <v/>
      </c>
      <c r="D228" s="13">
        <f>(B228-B216)/B216</f>
        <v/>
      </c>
    </row>
    <row r="229">
      <c r="A229" s="10" t="n">
        <v>40360</v>
      </c>
      <c r="B229" s="15">
        <f>VLOOKUP(A229,Database!A:M,MATCH($A$1,Database!$A$1:$M$1,),)</f>
        <v/>
      </c>
      <c r="C229" s="12">
        <f>(B229-B228)/B228</f>
        <v/>
      </c>
      <c r="D229" s="13">
        <f>(B229-B217)/B217</f>
        <v/>
      </c>
    </row>
    <row r="230">
      <c r="A230" s="11" t="n">
        <v>40391</v>
      </c>
      <c r="B230" s="15">
        <f>VLOOKUP(A230,Database!A:M,MATCH($A$1,Database!$A$1:$M$1,),)</f>
        <v/>
      </c>
      <c r="C230" s="12">
        <f>(B230-B229)/B229</f>
        <v/>
      </c>
      <c r="D230" s="13">
        <f>(B230-B218)/B218</f>
        <v/>
      </c>
    </row>
    <row r="231">
      <c r="A231" s="10" t="n">
        <v>40422</v>
      </c>
      <c r="B231" s="15">
        <f>VLOOKUP(A231,Database!A:M,MATCH($A$1,Database!$A$1:$M$1,),)</f>
        <v/>
      </c>
      <c r="C231" s="12">
        <f>(B231-B230)/B230</f>
        <v/>
      </c>
      <c r="D231" s="13">
        <f>(B231-B219)/B219</f>
        <v/>
      </c>
    </row>
    <row r="232">
      <c r="A232" s="11" t="n">
        <v>40452</v>
      </c>
      <c r="B232" s="15">
        <f>VLOOKUP(A232,Database!A:M,MATCH($A$1,Database!$A$1:$M$1,),)</f>
        <v/>
      </c>
      <c r="C232" s="12">
        <f>(B232-B231)/B231</f>
        <v/>
      </c>
      <c r="D232" s="13">
        <f>(B232-B220)/B220</f>
        <v/>
      </c>
    </row>
    <row r="233">
      <c r="A233" s="10" t="n">
        <v>40483</v>
      </c>
      <c r="B233" s="15">
        <f>VLOOKUP(A233,Database!A:M,MATCH($A$1,Database!$A$1:$M$1,),)</f>
        <v/>
      </c>
      <c r="C233" s="12">
        <f>(B233-B232)/B232</f>
        <v/>
      </c>
      <c r="D233" s="13">
        <f>(B233-B221)/B221</f>
        <v/>
      </c>
    </row>
    <row r="234">
      <c r="A234" s="11" t="n">
        <v>40513</v>
      </c>
      <c r="B234" s="15">
        <f>VLOOKUP(A234,Database!A:M,MATCH($A$1,Database!$A$1:$M$1,),)</f>
        <v/>
      </c>
      <c r="C234" s="12">
        <f>(B234-B233)/B233</f>
        <v/>
      </c>
      <c r="D234" s="13">
        <f>(B234-B222)/B222</f>
        <v/>
      </c>
    </row>
    <row r="235">
      <c r="A235" s="10" t="n">
        <v>40544</v>
      </c>
      <c r="B235" s="15">
        <f>VLOOKUP(A235,Database!A:M,MATCH($A$1,Database!$A$1:$M$1,),)</f>
        <v/>
      </c>
      <c r="C235" s="12">
        <f>(B235-B234)/B234</f>
        <v/>
      </c>
      <c r="D235" s="13">
        <f>(B235-B223)/B223</f>
        <v/>
      </c>
    </row>
    <row r="236">
      <c r="A236" s="11" t="n">
        <v>40575</v>
      </c>
      <c r="B236" s="15">
        <f>VLOOKUP(A236,Database!A:M,MATCH($A$1,Database!$A$1:$M$1,),)</f>
        <v/>
      </c>
      <c r="C236" s="12">
        <f>(B236-B235)/B235</f>
        <v/>
      </c>
      <c r="D236" s="13">
        <f>(B236-B224)/B224</f>
        <v/>
      </c>
    </row>
    <row r="237">
      <c r="A237" s="10" t="n">
        <v>40603</v>
      </c>
      <c r="B237" s="15">
        <f>VLOOKUP(A237,Database!A:M,MATCH($A$1,Database!$A$1:$M$1,),)</f>
        <v/>
      </c>
      <c r="C237" s="12">
        <f>(B237-B236)/B236</f>
        <v/>
      </c>
      <c r="D237" s="13">
        <f>(B237-B225)/B225</f>
        <v/>
      </c>
    </row>
    <row r="238">
      <c r="A238" s="11" t="n">
        <v>40634</v>
      </c>
      <c r="B238" s="15">
        <f>VLOOKUP(A238,Database!A:M,MATCH($A$1,Database!$A$1:$M$1,),)</f>
        <v/>
      </c>
      <c r="C238" s="12">
        <f>(B238-B237)/B237</f>
        <v/>
      </c>
      <c r="D238" s="13">
        <f>(B238-B226)/B226</f>
        <v/>
      </c>
    </row>
    <row r="239">
      <c r="A239" s="10" t="n">
        <v>40664</v>
      </c>
      <c r="B239" s="15">
        <f>VLOOKUP(A239,Database!A:M,MATCH($A$1,Database!$A$1:$M$1,),)</f>
        <v/>
      </c>
      <c r="C239" s="12">
        <f>(B239-B238)/B238</f>
        <v/>
      </c>
      <c r="D239" s="13">
        <f>(B239-B227)/B227</f>
        <v/>
      </c>
    </row>
    <row r="240">
      <c r="A240" s="11" t="n">
        <v>40695</v>
      </c>
      <c r="B240" s="15">
        <f>VLOOKUP(A240,Database!A:M,MATCH($A$1,Database!$A$1:$M$1,),)</f>
        <v/>
      </c>
      <c r="C240" s="12">
        <f>(B240-B239)/B239</f>
        <v/>
      </c>
      <c r="D240" s="13">
        <f>(B240-B228)/B228</f>
        <v/>
      </c>
    </row>
    <row r="241">
      <c r="A241" s="10" t="n">
        <v>40725</v>
      </c>
      <c r="B241" s="15">
        <f>VLOOKUP(A241,Database!A:M,MATCH($A$1,Database!$A$1:$M$1,),)</f>
        <v/>
      </c>
      <c r="C241" s="12">
        <f>(B241-B240)/B240</f>
        <v/>
      </c>
      <c r="D241" s="13">
        <f>(B241-B229)/B229</f>
        <v/>
      </c>
    </row>
    <row r="242">
      <c r="A242" s="11" t="n">
        <v>40756</v>
      </c>
      <c r="B242" s="15">
        <f>VLOOKUP(A242,Database!A:M,MATCH($A$1,Database!$A$1:$M$1,),)</f>
        <v/>
      </c>
      <c r="C242" s="12">
        <f>(B242-B241)/B241</f>
        <v/>
      </c>
      <c r="D242" s="13">
        <f>(B242-B230)/B230</f>
        <v/>
      </c>
    </row>
    <row r="243">
      <c r="A243" s="10" t="n">
        <v>40787</v>
      </c>
      <c r="B243" s="15">
        <f>VLOOKUP(A243,Database!A:M,MATCH($A$1,Database!$A$1:$M$1,),)</f>
        <v/>
      </c>
      <c r="C243" s="12">
        <f>(B243-B242)/B242</f>
        <v/>
      </c>
      <c r="D243" s="13">
        <f>(B243-B231)/B231</f>
        <v/>
      </c>
    </row>
    <row r="244">
      <c r="A244" s="11" t="n">
        <v>40817</v>
      </c>
      <c r="B244" s="15">
        <f>VLOOKUP(A244,Database!A:M,MATCH($A$1,Database!$A$1:$M$1,),)</f>
        <v/>
      </c>
      <c r="C244" s="12">
        <f>(B244-B243)/B243</f>
        <v/>
      </c>
      <c r="D244" s="13">
        <f>(B244-B232)/B232</f>
        <v/>
      </c>
    </row>
    <row r="245">
      <c r="A245" s="10" t="n">
        <v>40848</v>
      </c>
      <c r="B245" s="15">
        <f>VLOOKUP(A245,Database!A:M,MATCH($A$1,Database!$A$1:$M$1,),)</f>
        <v/>
      </c>
      <c r="C245" s="12">
        <f>(B245-B244)/B244</f>
        <v/>
      </c>
      <c r="D245" s="13">
        <f>(B245-B233)/B233</f>
        <v/>
      </c>
    </row>
    <row r="246">
      <c r="A246" s="11" t="n">
        <v>40878</v>
      </c>
      <c r="B246" s="15">
        <f>VLOOKUP(A246,Database!A:M,MATCH($A$1,Database!$A$1:$M$1,),)</f>
        <v/>
      </c>
      <c r="C246" s="12">
        <f>(B246-B245)/B245</f>
        <v/>
      </c>
      <c r="D246" s="13">
        <f>(B246-B234)/B234</f>
        <v/>
      </c>
    </row>
    <row r="247">
      <c r="A247" s="10" t="n">
        <v>40909</v>
      </c>
      <c r="B247" s="15">
        <f>VLOOKUP(A247,Database!A:M,MATCH($A$1,Database!$A$1:$M$1,),)</f>
        <v/>
      </c>
      <c r="C247" s="12">
        <f>(B247-B246)/B246</f>
        <v/>
      </c>
      <c r="D247" s="13">
        <f>(B247-B235)/B235</f>
        <v/>
      </c>
    </row>
    <row r="248">
      <c r="A248" s="11" t="n">
        <v>40940</v>
      </c>
      <c r="B248" s="15">
        <f>VLOOKUP(A248,Database!A:M,MATCH($A$1,Database!$A$1:$M$1,),)</f>
        <v/>
      </c>
      <c r="C248" s="12">
        <f>(B248-B247)/B247</f>
        <v/>
      </c>
      <c r="D248" s="13">
        <f>(B248-B236)/B236</f>
        <v/>
      </c>
    </row>
    <row r="249">
      <c r="A249" s="10" t="n">
        <v>40969</v>
      </c>
      <c r="B249" s="15">
        <f>VLOOKUP(A249,Database!A:M,MATCH($A$1,Database!$A$1:$M$1,),)</f>
        <v/>
      </c>
      <c r="C249" s="12">
        <f>(B249-B248)/B248</f>
        <v/>
      </c>
      <c r="D249" s="13">
        <f>(B249-B237)/B237</f>
        <v/>
      </c>
    </row>
    <row r="250">
      <c r="A250" s="11" t="n">
        <v>41000</v>
      </c>
      <c r="B250" s="15">
        <f>VLOOKUP(A250,Database!A:M,MATCH($A$1,Database!$A$1:$M$1,),)</f>
        <v/>
      </c>
      <c r="C250" s="12">
        <f>(B250-B249)/B249</f>
        <v/>
      </c>
      <c r="D250" s="13">
        <f>(B250-B238)/B238</f>
        <v/>
      </c>
    </row>
    <row r="251">
      <c r="A251" s="10" t="n">
        <v>41030</v>
      </c>
      <c r="B251" s="15">
        <f>VLOOKUP(A251,Database!A:M,MATCH($A$1,Database!$A$1:$M$1,),)</f>
        <v/>
      </c>
      <c r="C251" s="12">
        <f>(B251-B250)/B250</f>
        <v/>
      </c>
      <c r="D251" s="13">
        <f>(B251-B239)/B239</f>
        <v/>
      </c>
    </row>
    <row r="252">
      <c r="A252" s="11" t="n">
        <v>41061</v>
      </c>
      <c r="B252" s="15">
        <f>VLOOKUP(A252,Database!A:M,MATCH($A$1,Database!$A$1:$M$1,),)</f>
        <v/>
      </c>
      <c r="C252" s="12">
        <f>(B252-B251)/B251</f>
        <v/>
      </c>
      <c r="D252" s="13">
        <f>(B252-B240)/B240</f>
        <v/>
      </c>
    </row>
    <row r="253">
      <c r="A253" s="10" t="n">
        <v>41091</v>
      </c>
      <c r="B253" s="15">
        <f>VLOOKUP(A253,Database!A:M,MATCH($A$1,Database!$A$1:$M$1,),)</f>
        <v/>
      </c>
      <c r="C253" s="12">
        <f>(B253-B252)/B252</f>
        <v/>
      </c>
      <c r="D253" s="13">
        <f>(B253-B241)/B241</f>
        <v/>
      </c>
    </row>
    <row r="254">
      <c r="A254" s="11" t="n">
        <v>41122</v>
      </c>
      <c r="B254" s="15">
        <f>VLOOKUP(A254,Database!A:M,MATCH($A$1,Database!$A$1:$M$1,),)</f>
        <v/>
      </c>
      <c r="C254" s="12">
        <f>(B254-B253)/B253</f>
        <v/>
      </c>
      <c r="D254" s="13">
        <f>(B254-B242)/B242</f>
        <v/>
      </c>
    </row>
    <row r="255">
      <c r="A255" s="10" t="n">
        <v>41153</v>
      </c>
      <c r="B255" s="15">
        <f>VLOOKUP(A255,Database!A:M,MATCH($A$1,Database!$A$1:$M$1,),)</f>
        <v/>
      </c>
      <c r="C255" s="12">
        <f>(B255-B254)/B254</f>
        <v/>
      </c>
      <c r="D255" s="13">
        <f>(B255-B243)/B243</f>
        <v/>
      </c>
    </row>
    <row r="256">
      <c r="A256" s="11" t="n">
        <v>41183</v>
      </c>
      <c r="B256" s="15">
        <f>VLOOKUP(A256,Database!A:M,MATCH($A$1,Database!$A$1:$M$1,),)</f>
        <v/>
      </c>
      <c r="C256" s="12">
        <f>(B256-B255)/B255</f>
        <v/>
      </c>
      <c r="D256" s="13">
        <f>(B256-B244)/B244</f>
        <v/>
      </c>
    </row>
    <row r="257">
      <c r="A257" s="10" t="n">
        <v>41214</v>
      </c>
      <c r="B257" s="15">
        <f>VLOOKUP(A257,Database!A:M,MATCH($A$1,Database!$A$1:$M$1,),)</f>
        <v/>
      </c>
      <c r="C257" s="12">
        <f>(B257-B256)/B256</f>
        <v/>
      </c>
      <c r="D257" s="13">
        <f>(B257-B245)/B245</f>
        <v/>
      </c>
    </row>
    <row r="258">
      <c r="A258" s="11" t="n">
        <v>41244</v>
      </c>
      <c r="B258" s="15">
        <f>VLOOKUP(A258,Database!A:M,MATCH($A$1,Database!$A$1:$M$1,),)</f>
        <v/>
      </c>
      <c r="C258" s="12">
        <f>(B258-B257)/B257</f>
        <v/>
      </c>
      <c r="D258" s="13">
        <f>(B258-B246)/B246</f>
        <v/>
      </c>
    </row>
    <row r="259">
      <c r="A259" s="10" t="n">
        <v>41275</v>
      </c>
      <c r="B259" s="15">
        <f>VLOOKUP(A259,Database!A:M,MATCH($A$1,Database!$A$1:$M$1,),)</f>
        <v/>
      </c>
      <c r="C259" s="12">
        <f>(B259-B258)/B258</f>
        <v/>
      </c>
      <c r="D259" s="13">
        <f>(B259-B247)/B247</f>
        <v/>
      </c>
    </row>
    <row r="260">
      <c r="A260" s="11" t="n">
        <v>41306</v>
      </c>
      <c r="B260" s="15">
        <f>VLOOKUP(A260,Database!A:M,MATCH($A$1,Database!$A$1:$M$1,),)</f>
        <v/>
      </c>
      <c r="C260" s="12">
        <f>(B260-B259)/B259</f>
        <v/>
      </c>
      <c r="D260" s="13">
        <f>(B260-B248)/B248</f>
        <v/>
      </c>
    </row>
    <row r="261">
      <c r="A261" s="10" t="n">
        <v>41334</v>
      </c>
      <c r="B261" s="15">
        <f>VLOOKUP(A261,Database!A:M,MATCH($A$1,Database!$A$1:$M$1,),)</f>
        <v/>
      </c>
      <c r="C261" s="12">
        <f>(B261-B260)/B260</f>
        <v/>
      </c>
      <c r="D261" s="13">
        <f>(B261-B249)/B249</f>
        <v/>
      </c>
    </row>
    <row r="262">
      <c r="A262" s="11" t="n">
        <v>41365</v>
      </c>
      <c r="B262" s="15">
        <f>VLOOKUP(A262,Database!A:M,MATCH($A$1,Database!$A$1:$M$1,),)</f>
        <v/>
      </c>
      <c r="C262" s="12">
        <f>(B262-B261)/B261</f>
        <v/>
      </c>
      <c r="D262" s="13">
        <f>(B262-B250)/B250</f>
        <v/>
      </c>
    </row>
    <row r="263">
      <c r="A263" s="10" t="n">
        <v>41395</v>
      </c>
      <c r="B263" s="15">
        <f>VLOOKUP(A263,Database!A:M,MATCH($A$1,Database!$A$1:$M$1,),)</f>
        <v/>
      </c>
      <c r="C263" s="12">
        <f>(B263-B262)/B262</f>
        <v/>
      </c>
      <c r="D263" s="13">
        <f>(B263-B251)/B251</f>
        <v/>
      </c>
    </row>
    <row r="264">
      <c r="A264" s="11" t="n">
        <v>41426</v>
      </c>
      <c r="B264" s="15">
        <f>VLOOKUP(A264,Database!A:M,MATCH($A$1,Database!$A$1:$M$1,),)</f>
        <v/>
      </c>
      <c r="C264" s="12">
        <f>(B264-B263)/B263</f>
        <v/>
      </c>
      <c r="D264" s="13">
        <f>(B264-B252)/B252</f>
        <v/>
      </c>
    </row>
    <row r="265">
      <c r="A265" s="10" t="n">
        <v>41456</v>
      </c>
      <c r="B265" s="15">
        <f>VLOOKUP(A265,Database!A:M,MATCH($A$1,Database!$A$1:$M$1,),)</f>
        <v/>
      </c>
      <c r="C265" s="12">
        <f>(B265-B264)/B264</f>
        <v/>
      </c>
      <c r="D265" s="13">
        <f>(B265-B253)/B253</f>
        <v/>
      </c>
    </row>
    <row r="266">
      <c r="A266" s="11" t="n">
        <v>41487</v>
      </c>
      <c r="B266" s="15">
        <f>VLOOKUP(A266,Database!A:M,MATCH($A$1,Database!$A$1:$M$1,),)</f>
        <v/>
      </c>
      <c r="C266" s="12">
        <f>(B266-B265)/B265</f>
        <v/>
      </c>
      <c r="D266" s="13">
        <f>(B266-B254)/B254</f>
        <v/>
      </c>
    </row>
    <row r="267">
      <c r="A267" s="10" t="n">
        <v>41518</v>
      </c>
      <c r="B267" s="15">
        <f>VLOOKUP(A267,Database!A:M,MATCH($A$1,Database!$A$1:$M$1,),)</f>
        <v/>
      </c>
      <c r="C267" s="12">
        <f>(B267-B266)/B266</f>
        <v/>
      </c>
      <c r="D267" s="13">
        <f>(B267-B255)/B255</f>
        <v/>
      </c>
    </row>
    <row r="268">
      <c r="A268" s="11" t="n">
        <v>41548</v>
      </c>
      <c r="B268" s="15">
        <f>VLOOKUP(A268,Database!A:M,MATCH($A$1,Database!$A$1:$M$1,),)</f>
        <v/>
      </c>
      <c r="C268" s="12">
        <f>(B268-B267)/B267</f>
        <v/>
      </c>
      <c r="D268" s="13">
        <f>(B268-B256)/B256</f>
        <v/>
      </c>
    </row>
    <row r="269">
      <c r="A269" s="10" t="n">
        <v>41579</v>
      </c>
      <c r="B269" s="15">
        <f>VLOOKUP(A269,Database!A:M,MATCH($A$1,Database!$A$1:$M$1,),)</f>
        <v/>
      </c>
      <c r="C269" s="12">
        <f>(B269-B268)/B268</f>
        <v/>
      </c>
      <c r="D269" s="13">
        <f>(B269-B257)/B257</f>
        <v/>
      </c>
    </row>
    <row r="270">
      <c r="A270" s="11" t="n">
        <v>41609</v>
      </c>
      <c r="B270" s="15">
        <f>VLOOKUP(A270,Database!A:M,MATCH($A$1,Database!$A$1:$M$1,),)</f>
        <v/>
      </c>
      <c r="C270" s="12">
        <f>(B270-B269)/B269</f>
        <v/>
      </c>
      <c r="D270" s="13">
        <f>(B270-B258)/B258</f>
        <v/>
      </c>
    </row>
    <row r="271">
      <c r="A271" s="10" t="n">
        <v>41640</v>
      </c>
      <c r="B271" s="15">
        <f>VLOOKUP(A271,Database!A:M,MATCH($A$1,Database!$A$1:$M$1,),)</f>
        <v/>
      </c>
      <c r="C271" s="12">
        <f>(B271-B270)/B270</f>
        <v/>
      </c>
      <c r="D271" s="13">
        <f>(B271-B259)/B259</f>
        <v/>
      </c>
    </row>
    <row r="272">
      <c r="A272" s="11" t="n">
        <v>41671</v>
      </c>
      <c r="B272" s="15">
        <f>VLOOKUP(A272,Database!A:M,MATCH($A$1,Database!$A$1:$M$1,),)</f>
        <v/>
      </c>
      <c r="C272" s="12">
        <f>(B272-B271)/B271</f>
        <v/>
      </c>
      <c r="D272" s="13">
        <f>(B272-B260)/B260</f>
        <v/>
      </c>
    </row>
    <row r="273">
      <c r="A273" s="10" t="n">
        <v>41699</v>
      </c>
      <c r="B273" s="15">
        <f>VLOOKUP(A273,Database!A:M,MATCH($A$1,Database!$A$1:$M$1,),)</f>
        <v/>
      </c>
      <c r="C273" s="12">
        <f>(B273-B272)/B272</f>
        <v/>
      </c>
      <c r="D273" s="13">
        <f>(B273-B261)/B261</f>
        <v/>
      </c>
    </row>
    <row r="274">
      <c r="A274" s="11" t="n">
        <v>41730</v>
      </c>
      <c r="B274" s="15">
        <f>VLOOKUP(A274,Database!A:M,MATCH($A$1,Database!$A$1:$M$1,),)</f>
        <v/>
      </c>
      <c r="C274" s="12">
        <f>(B274-B273)/B273</f>
        <v/>
      </c>
      <c r="D274" s="13">
        <f>(B274-B262)/B262</f>
        <v/>
      </c>
    </row>
    <row r="275">
      <c r="A275" s="10" t="n">
        <v>41760</v>
      </c>
      <c r="B275" s="15">
        <f>VLOOKUP(A275,Database!A:M,MATCH($A$1,Database!$A$1:$M$1,),)</f>
        <v/>
      </c>
      <c r="C275" s="12">
        <f>(B275-B274)/B274</f>
        <v/>
      </c>
      <c r="D275" s="13">
        <f>(B275-B263)/B263</f>
        <v/>
      </c>
    </row>
    <row r="276">
      <c r="A276" s="11" t="n">
        <v>41791</v>
      </c>
      <c r="B276" s="15">
        <f>VLOOKUP(A276,Database!A:M,MATCH($A$1,Database!$A$1:$M$1,),)</f>
        <v/>
      </c>
      <c r="C276" s="12">
        <f>(B276-B275)/B275</f>
        <v/>
      </c>
      <c r="D276" s="13">
        <f>(B276-B264)/B264</f>
        <v/>
      </c>
    </row>
    <row r="277">
      <c r="A277" s="10" t="n">
        <v>41821</v>
      </c>
      <c r="B277" s="15">
        <f>VLOOKUP(A277,Database!A:M,MATCH($A$1,Database!$A$1:$M$1,),)</f>
        <v/>
      </c>
      <c r="C277" s="12">
        <f>(B277-B276)/B276</f>
        <v/>
      </c>
      <c r="D277" s="13">
        <f>(B277-B265)/B265</f>
        <v/>
      </c>
    </row>
    <row r="278">
      <c r="A278" s="11" t="n">
        <v>41852</v>
      </c>
      <c r="B278" s="15">
        <f>VLOOKUP(A278,Database!A:M,MATCH($A$1,Database!$A$1:$M$1,),)</f>
        <v/>
      </c>
      <c r="C278" s="12">
        <f>(B278-B277)/B277</f>
        <v/>
      </c>
      <c r="D278" s="13">
        <f>(B278-B266)/B266</f>
        <v/>
      </c>
    </row>
    <row r="279">
      <c r="A279" s="10" t="n">
        <v>41883</v>
      </c>
      <c r="B279" s="15">
        <f>VLOOKUP(A279,Database!A:M,MATCH($A$1,Database!$A$1:$M$1,),)</f>
        <v/>
      </c>
      <c r="C279" s="12">
        <f>(B279-B278)/B278</f>
        <v/>
      </c>
      <c r="D279" s="13">
        <f>(B279-B267)/B267</f>
        <v/>
      </c>
    </row>
    <row r="280">
      <c r="A280" s="11" t="n">
        <v>41913</v>
      </c>
      <c r="B280" s="15">
        <f>VLOOKUP(A280,Database!A:M,MATCH($A$1,Database!$A$1:$M$1,),)</f>
        <v/>
      </c>
      <c r="C280" s="12">
        <f>(B280-B279)/B279</f>
        <v/>
      </c>
      <c r="D280" s="13">
        <f>(B280-B268)/B268</f>
        <v/>
      </c>
    </row>
    <row r="281">
      <c r="A281" s="10" t="n">
        <v>41944</v>
      </c>
      <c r="B281" s="15">
        <f>VLOOKUP(A281,Database!A:M,MATCH($A$1,Database!$A$1:$M$1,),)</f>
        <v/>
      </c>
      <c r="C281" s="12">
        <f>(B281-B280)/B280</f>
        <v/>
      </c>
      <c r="D281" s="13">
        <f>(B281-B269)/B269</f>
        <v/>
      </c>
    </row>
    <row r="282">
      <c r="A282" s="11" t="n">
        <v>41974</v>
      </c>
      <c r="B282" s="15">
        <f>VLOOKUP(A282,Database!A:M,MATCH($A$1,Database!$A$1:$M$1,),)</f>
        <v/>
      </c>
      <c r="C282" s="12">
        <f>(B282-B281)/B281</f>
        <v/>
      </c>
      <c r="D282" s="13">
        <f>(B282-B270)/B270</f>
        <v/>
      </c>
    </row>
    <row r="283">
      <c r="A283" s="10" t="n">
        <v>42005</v>
      </c>
      <c r="B283" s="15">
        <f>VLOOKUP(A283,Database!A:M,MATCH($A$1,Database!$A$1:$M$1,),)</f>
        <v/>
      </c>
      <c r="C283" s="12">
        <f>(B283-B282)/B282</f>
        <v/>
      </c>
      <c r="D283" s="13">
        <f>(B283-B271)/B271</f>
        <v/>
      </c>
    </row>
    <row r="284">
      <c r="A284" s="11" t="n">
        <v>42036</v>
      </c>
      <c r="B284" s="15">
        <f>VLOOKUP(A284,Database!A:M,MATCH($A$1,Database!$A$1:$M$1,),)</f>
        <v/>
      </c>
      <c r="C284" s="12">
        <f>(B284-B283)/B283</f>
        <v/>
      </c>
      <c r="D284" s="13">
        <f>(B284-B272)/B272</f>
        <v/>
      </c>
    </row>
    <row r="285">
      <c r="A285" s="10" t="n">
        <v>42064</v>
      </c>
      <c r="B285" s="15">
        <f>VLOOKUP(A285,Database!A:M,MATCH($A$1,Database!$A$1:$M$1,),)</f>
        <v/>
      </c>
      <c r="C285" s="12">
        <f>(B285-B284)/B284</f>
        <v/>
      </c>
      <c r="D285" s="13">
        <f>(B285-B273)/B273</f>
        <v/>
      </c>
    </row>
    <row r="286">
      <c r="A286" s="11" t="n">
        <v>42095</v>
      </c>
      <c r="B286" s="15">
        <f>VLOOKUP(A286,Database!A:M,MATCH($A$1,Database!$A$1:$M$1,),)</f>
        <v/>
      </c>
      <c r="C286" s="12">
        <f>(B286-B285)/B285</f>
        <v/>
      </c>
      <c r="D286" s="13">
        <f>(B286-B274)/B274</f>
        <v/>
      </c>
    </row>
    <row r="287">
      <c r="A287" s="10" t="n">
        <v>42125</v>
      </c>
      <c r="B287" s="15">
        <f>VLOOKUP(A287,Database!A:M,MATCH($A$1,Database!$A$1:$M$1,),)</f>
        <v/>
      </c>
      <c r="C287" s="12">
        <f>(B287-B286)/B286</f>
        <v/>
      </c>
      <c r="D287" s="13">
        <f>(B287-B275)/B275</f>
        <v/>
      </c>
    </row>
    <row r="288">
      <c r="A288" s="11" t="n">
        <v>42156</v>
      </c>
      <c r="B288" s="15">
        <f>VLOOKUP(A288,Database!A:M,MATCH($A$1,Database!$A$1:$M$1,),)</f>
        <v/>
      </c>
      <c r="C288" s="12">
        <f>(B288-B287)/B287</f>
        <v/>
      </c>
      <c r="D288" s="13">
        <f>(B288-B276)/B276</f>
        <v/>
      </c>
    </row>
    <row r="289">
      <c r="A289" s="10" t="n">
        <v>42186</v>
      </c>
      <c r="B289" s="15">
        <f>VLOOKUP(A289,Database!A:M,MATCH($A$1,Database!$A$1:$M$1,),)</f>
        <v/>
      </c>
      <c r="C289" s="12">
        <f>(B289-B288)/B288</f>
        <v/>
      </c>
      <c r="D289" s="13">
        <f>(B289-B277)/B277</f>
        <v/>
      </c>
    </row>
    <row r="290">
      <c r="A290" s="11" t="n">
        <v>42217</v>
      </c>
      <c r="B290" s="15">
        <f>VLOOKUP(A290,Database!A:M,MATCH($A$1,Database!$A$1:$M$1,),)</f>
        <v/>
      </c>
      <c r="C290" s="12">
        <f>(B290-B289)/B289</f>
        <v/>
      </c>
      <c r="D290" s="13">
        <f>(B290-B278)/B278</f>
        <v/>
      </c>
    </row>
    <row r="291">
      <c r="A291" s="10" t="n">
        <v>42248</v>
      </c>
      <c r="B291" s="15">
        <f>VLOOKUP(A291,Database!A:M,MATCH($A$1,Database!$A$1:$M$1,),)</f>
        <v/>
      </c>
      <c r="C291" s="12">
        <f>(B291-B290)/B290</f>
        <v/>
      </c>
      <c r="D291" s="13">
        <f>(B291-B279)/B279</f>
        <v/>
      </c>
    </row>
    <row r="292">
      <c r="A292" s="11" t="n">
        <v>42278</v>
      </c>
      <c r="B292" s="15">
        <f>VLOOKUP(A292,Database!A:M,MATCH($A$1,Database!$A$1:$M$1,),)</f>
        <v/>
      </c>
      <c r="C292" s="12">
        <f>(B292-B291)/B291</f>
        <v/>
      </c>
      <c r="D292" s="13">
        <f>(B292-B280)/B280</f>
        <v/>
      </c>
    </row>
    <row r="293">
      <c r="A293" s="10" t="n">
        <v>42309</v>
      </c>
      <c r="B293" s="15">
        <f>VLOOKUP(A293,Database!A:M,MATCH($A$1,Database!$A$1:$M$1,),)</f>
        <v/>
      </c>
      <c r="C293" s="12">
        <f>(B293-B292)/B292</f>
        <v/>
      </c>
      <c r="D293" s="13">
        <f>(B293-B281)/B281</f>
        <v/>
      </c>
    </row>
    <row r="294">
      <c r="A294" s="11" t="n">
        <v>42339</v>
      </c>
      <c r="B294" s="15">
        <f>VLOOKUP(A294,Database!A:M,MATCH($A$1,Database!$A$1:$M$1,),)</f>
        <v/>
      </c>
      <c r="C294" s="12">
        <f>(B294-B293)/B293</f>
        <v/>
      </c>
      <c r="D294" s="13">
        <f>(B294-B282)/B282</f>
        <v/>
      </c>
    </row>
    <row r="295">
      <c r="A295" s="10" t="n">
        <v>42370</v>
      </c>
      <c r="B295" s="15">
        <f>VLOOKUP(A295,Database!A:M,MATCH($A$1,Database!$A$1:$M$1,),)</f>
        <v/>
      </c>
      <c r="C295" s="12">
        <f>(B295-B294)/B294</f>
        <v/>
      </c>
      <c r="D295" s="13">
        <f>(B295-B283)/B283</f>
        <v/>
      </c>
    </row>
    <row r="296">
      <c r="A296" s="11" t="n">
        <v>42401</v>
      </c>
      <c r="B296" s="15">
        <f>VLOOKUP(A296,Database!A:M,MATCH($A$1,Database!$A$1:$M$1,),)</f>
        <v/>
      </c>
      <c r="C296" s="12">
        <f>(B296-B295)/B295</f>
        <v/>
      </c>
      <c r="D296" s="13">
        <f>(B296-B284)/B284</f>
        <v/>
      </c>
    </row>
    <row r="297">
      <c r="A297" s="10" t="n">
        <v>42430</v>
      </c>
      <c r="B297" s="15">
        <f>VLOOKUP(A297,Database!A:M,MATCH($A$1,Database!$A$1:$M$1,),)</f>
        <v/>
      </c>
      <c r="C297" s="12">
        <f>(B297-B296)/B296</f>
        <v/>
      </c>
      <c r="D297" s="13">
        <f>(B297-B285)/B285</f>
        <v/>
      </c>
    </row>
    <row r="298">
      <c r="A298" s="11" t="n">
        <v>42461</v>
      </c>
      <c r="B298" s="15">
        <f>VLOOKUP(A298,Database!A:M,MATCH($A$1,Database!$A$1:$M$1,),)</f>
        <v/>
      </c>
      <c r="C298" s="12">
        <f>(B298-B297)/B297</f>
        <v/>
      </c>
      <c r="D298" s="13">
        <f>(B298-B286)/B286</f>
        <v/>
      </c>
    </row>
    <row r="299">
      <c r="A299" s="10" t="n">
        <v>42491</v>
      </c>
      <c r="B299" s="15">
        <f>VLOOKUP(A299,Database!A:M,MATCH($A$1,Database!$A$1:$M$1,),)</f>
        <v/>
      </c>
      <c r="C299" s="12">
        <f>(B299-B298)/B298</f>
        <v/>
      </c>
      <c r="D299" s="13">
        <f>(B299-B287)/B287</f>
        <v/>
      </c>
    </row>
    <row r="300">
      <c r="A300" s="11" t="n">
        <v>42522</v>
      </c>
      <c r="B300" s="15">
        <f>VLOOKUP(A300,Database!A:M,MATCH($A$1,Database!$A$1:$M$1,),)</f>
        <v/>
      </c>
      <c r="C300" s="12">
        <f>(B300-B299)/B299</f>
        <v/>
      </c>
      <c r="D300" s="13">
        <f>(B300-B288)/B288</f>
        <v/>
      </c>
    </row>
    <row r="301">
      <c r="A301" s="10" t="n">
        <v>42552</v>
      </c>
      <c r="B301" s="15">
        <f>VLOOKUP(A301,Database!A:M,MATCH($A$1,Database!$A$1:$M$1,),)</f>
        <v/>
      </c>
      <c r="C301" s="12">
        <f>(B301-B300)/B300</f>
        <v/>
      </c>
      <c r="D301" s="13">
        <f>(B301-B289)/B289</f>
        <v/>
      </c>
    </row>
    <row r="302">
      <c r="A302" s="11" t="n">
        <v>42583</v>
      </c>
      <c r="B302" s="15">
        <f>VLOOKUP(A302,Database!A:M,MATCH($A$1,Database!$A$1:$M$1,),)</f>
        <v/>
      </c>
      <c r="C302" s="12">
        <f>(B302-B301)/B301</f>
        <v/>
      </c>
      <c r="D302" s="13">
        <f>(B302-B290)/B290</f>
        <v/>
      </c>
    </row>
    <row r="303">
      <c r="A303" s="10" t="n">
        <v>42614</v>
      </c>
      <c r="B303" s="15">
        <f>VLOOKUP(A303,Database!A:M,MATCH($A$1,Database!$A$1:$M$1,),)</f>
        <v/>
      </c>
      <c r="C303" s="12">
        <f>(B303-B302)/B302</f>
        <v/>
      </c>
      <c r="D303" s="13">
        <f>(B303-B291)/B291</f>
        <v/>
      </c>
    </row>
    <row r="304">
      <c r="A304" s="11" t="n">
        <v>42644</v>
      </c>
      <c r="B304" s="15">
        <f>VLOOKUP(A304,Database!A:M,MATCH($A$1,Database!$A$1:$M$1,),)</f>
        <v/>
      </c>
      <c r="C304" s="12">
        <f>(B304-B303)/B303</f>
        <v/>
      </c>
      <c r="D304" s="13">
        <f>(B304-B292)/B292</f>
        <v/>
      </c>
    </row>
    <row r="305">
      <c r="A305" s="10" t="n">
        <v>42675</v>
      </c>
      <c r="B305" s="15">
        <f>VLOOKUP(A305,Database!A:M,MATCH($A$1,Database!$A$1:$M$1,),)</f>
        <v/>
      </c>
      <c r="C305" s="12">
        <f>(B305-B304)/B304</f>
        <v/>
      </c>
      <c r="D305" s="13">
        <f>(B305-B293)/B293</f>
        <v/>
      </c>
    </row>
    <row r="306">
      <c r="A306" s="11" t="n">
        <v>42705</v>
      </c>
      <c r="B306" s="15">
        <f>VLOOKUP(A306,Database!A:M,MATCH($A$1,Database!$A$1:$M$1,),)</f>
        <v/>
      </c>
      <c r="C306" s="12">
        <f>(B306-B305)/B305</f>
        <v/>
      </c>
      <c r="D306" s="13">
        <f>(B306-B294)/B294</f>
        <v/>
      </c>
    </row>
    <row r="307">
      <c r="A307" s="10" t="n">
        <v>42736</v>
      </c>
      <c r="B307" s="15">
        <f>VLOOKUP(A307,Database!A:M,MATCH($A$1,Database!$A$1:$M$1,),)</f>
        <v/>
      </c>
      <c r="C307" s="12">
        <f>(B307-B306)/B306</f>
        <v/>
      </c>
      <c r="D307" s="13">
        <f>(B307-B295)/B295</f>
        <v/>
      </c>
    </row>
    <row r="308">
      <c r="A308" s="11" t="n">
        <v>42767</v>
      </c>
      <c r="B308" s="15">
        <f>VLOOKUP(A308,Database!A:M,MATCH($A$1,Database!$A$1:$M$1,),)</f>
        <v/>
      </c>
      <c r="C308" s="12">
        <f>(B308-B307)/B307</f>
        <v/>
      </c>
      <c r="D308" s="13">
        <f>(B308-B296)/B296</f>
        <v/>
      </c>
    </row>
    <row r="309">
      <c r="A309" s="10" t="n">
        <v>42795</v>
      </c>
      <c r="B309" s="15">
        <f>VLOOKUP(A309,Database!A:M,MATCH($A$1,Database!$A$1:$M$1,),)</f>
        <v/>
      </c>
      <c r="C309" s="12">
        <f>(B309-B308)/B308</f>
        <v/>
      </c>
      <c r="D309" s="13">
        <f>(B309-B297)/B297</f>
        <v/>
      </c>
    </row>
    <row r="310">
      <c r="A310" s="11" t="n">
        <v>42826</v>
      </c>
      <c r="B310" s="15">
        <f>VLOOKUP(A310,Database!A:M,MATCH($A$1,Database!$A$1:$M$1,),)</f>
        <v/>
      </c>
      <c r="C310" s="12">
        <f>(B310-B309)/B309</f>
        <v/>
      </c>
      <c r="D310" s="13">
        <f>(B310-B298)/B298</f>
        <v/>
      </c>
    </row>
    <row r="311">
      <c r="A311" s="10" t="n">
        <v>42856</v>
      </c>
      <c r="B311" s="15">
        <f>VLOOKUP(A311,Database!A:M,MATCH($A$1,Database!$A$1:$M$1,),)</f>
        <v/>
      </c>
      <c r="C311" s="12">
        <f>(B311-B310)/B310</f>
        <v/>
      </c>
      <c r="D311" s="13">
        <f>(B311-B299)/B299</f>
        <v/>
      </c>
    </row>
    <row r="312">
      <c r="A312" s="11" t="n">
        <v>42887</v>
      </c>
      <c r="B312" s="15">
        <f>VLOOKUP(A312,Database!A:M,MATCH($A$1,Database!$A$1:$M$1,),)</f>
        <v/>
      </c>
      <c r="C312" s="12">
        <f>(B312-B311)/B311</f>
        <v/>
      </c>
      <c r="D312" s="13">
        <f>(B312-B300)/B300</f>
        <v/>
      </c>
    </row>
    <row r="313">
      <c r="A313" s="10" t="n">
        <v>42917</v>
      </c>
      <c r="B313" s="15">
        <f>VLOOKUP(A313,Database!A:M,MATCH($A$1,Database!$A$1:$M$1,),)</f>
        <v/>
      </c>
      <c r="C313" s="12">
        <f>(B313-B312)/B312</f>
        <v/>
      </c>
      <c r="D313" s="13">
        <f>(B313-B301)/B301</f>
        <v/>
      </c>
    </row>
    <row r="314">
      <c r="A314" s="11" t="n">
        <v>42948</v>
      </c>
      <c r="B314" s="15">
        <f>VLOOKUP(A314,Database!A:M,MATCH($A$1,Database!$A$1:$M$1,),)</f>
        <v/>
      </c>
      <c r="C314" s="12">
        <f>(B314-B313)/B313</f>
        <v/>
      </c>
      <c r="D314" s="13">
        <f>(B314-B302)/B302</f>
        <v/>
      </c>
    </row>
    <row r="315">
      <c r="A315" s="10" t="n">
        <v>42979</v>
      </c>
      <c r="B315" s="15">
        <f>VLOOKUP(A315,Database!A:M,MATCH($A$1,Database!$A$1:$M$1,),)</f>
        <v/>
      </c>
      <c r="C315" s="12">
        <f>(B315-B314)/B314</f>
        <v/>
      </c>
      <c r="D315" s="13">
        <f>(B315-B303)/B303</f>
        <v/>
      </c>
    </row>
    <row r="316">
      <c r="A316" s="11" t="n">
        <v>43009</v>
      </c>
      <c r="B316" s="15">
        <f>VLOOKUP(A316,Database!A:M,MATCH($A$1,Database!$A$1:$M$1,),)</f>
        <v/>
      </c>
      <c r="C316" s="12">
        <f>(B316-B315)/B315</f>
        <v/>
      </c>
      <c r="D316" s="13">
        <f>(B316-B304)/B304</f>
        <v/>
      </c>
    </row>
    <row r="317">
      <c r="A317" s="10" t="n">
        <v>43040</v>
      </c>
      <c r="B317" s="15">
        <f>VLOOKUP(A317,Database!A:M,MATCH($A$1,Database!$A$1:$M$1,),)</f>
        <v/>
      </c>
      <c r="C317" s="12">
        <f>(B317-B316)/B316</f>
        <v/>
      </c>
      <c r="D317" s="13">
        <f>(B317-B305)/B305</f>
        <v/>
      </c>
    </row>
    <row r="318">
      <c r="A318" s="11" t="n">
        <v>43070</v>
      </c>
      <c r="B318" s="15">
        <f>VLOOKUP(A318,Database!A:M,MATCH($A$1,Database!$A$1:$M$1,),)</f>
        <v/>
      </c>
      <c r="C318" s="12">
        <f>(B318-B317)/B317</f>
        <v/>
      </c>
      <c r="D318" s="13">
        <f>(B318-B306)/B306</f>
        <v/>
      </c>
    </row>
    <row r="319">
      <c r="A319" s="10" t="n">
        <v>43101</v>
      </c>
      <c r="B319" s="15">
        <f>VLOOKUP(A319,Database!A:M,MATCH($A$1,Database!$A$1:$M$1,),)</f>
        <v/>
      </c>
      <c r="C319" s="12">
        <f>(B319-B318)/B318</f>
        <v/>
      </c>
      <c r="D319" s="13">
        <f>(B319-B307)/B307</f>
        <v/>
      </c>
    </row>
    <row r="320">
      <c r="A320" s="11" t="n">
        <v>43132</v>
      </c>
      <c r="B320" s="15">
        <f>VLOOKUP(A320,Database!A:M,MATCH($A$1,Database!$A$1:$M$1,),)</f>
        <v/>
      </c>
      <c r="C320" s="12">
        <f>(B320-B319)/B319</f>
        <v/>
      </c>
      <c r="D320" s="13">
        <f>(B320-B308)/B308</f>
        <v/>
      </c>
    </row>
    <row r="321">
      <c r="A321" s="10" t="n">
        <v>43160</v>
      </c>
      <c r="B321" s="15">
        <f>VLOOKUP(A321,Database!A:M,MATCH($A$1,Database!$A$1:$M$1,),)</f>
        <v/>
      </c>
      <c r="C321" s="12">
        <f>(B321-B320)/B320</f>
        <v/>
      </c>
      <c r="D321" s="13">
        <f>(B321-B309)/B309</f>
        <v/>
      </c>
    </row>
    <row r="322">
      <c r="A322" s="11" t="n">
        <v>43191</v>
      </c>
      <c r="B322" s="15">
        <f>VLOOKUP(A322,Database!A:M,MATCH($A$1,Database!$A$1:$M$1,),)</f>
        <v/>
      </c>
      <c r="C322" s="12">
        <f>(B322-B321)/B321</f>
        <v/>
      </c>
      <c r="D322" s="13">
        <f>(B322-B310)/B310</f>
        <v/>
      </c>
    </row>
    <row r="323">
      <c r="A323" s="10" t="n">
        <v>43221</v>
      </c>
      <c r="B323" s="15">
        <f>VLOOKUP(A323,Database!A:M,MATCH($A$1,Database!$A$1:$M$1,),)</f>
        <v/>
      </c>
      <c r="C323" s="12">
        <f>(B323-B322)/B322</f>
        <v/>
      </c>
      <c r="D323" s="13">
        <f>(B323-B311)/B311</f>
        <v/>
      </c>
    </row>
    <row r="324">
      <c r="A324" s="11" t="n">
        <v>43252</v>
      </c>
      <c r="B324" s="15">
        <f>VLOOKUP(A324,Database!A:M,MATCH($A$1,Database!$A$1:$M$1,),)</f>
        <v/>
      </c>
      <c r="C324" s="12">
        <f>(B324-B323)/B323</f>
        <v/>
      </c>
      <c r="D324" s="13">
        <f>(B324-B312)/B312</f>
        <v/>
      </c>
    </row>
    <row r="325">
      <c r="A325" s="10" t="n">
        <v>43282</v>
      </c>
      <c r="B325" s="15">
        <f>VLOOKUP(A325,Database!A:M,MATCH($A$1,Database!$A$1:$M$1,),)</f>
        <v/>
      </c>
      <c r="C325" s="12">
        <f>(B325-B324)/B324</f>
        <v/>
      </c>
      <c r="D325" s="13">
        <f>(B325-B313)/B313</f>
        <v/>
      </c>
    </row>
    <row r="326">
      <c r="A326" s="11" t="n">
        <v>43313</v>
      </c>
      <c r="B326" s="15">
        <f>VLOOKUP(A326,Database!A:M,MATCH($A$1,Database!$A$1:$M$1,),)</f>
        <v/>
      </c>
      <c r="C326" s="12">
        <f>(B326-B325)/B325</f>
        <v/>
      </c>
      <c r="D326" s="13">
        <f>(B326-B314)/B314</f>
        <v/>
      </c>
    </row>
    <row r="327">
      <c r="A327" s="10" t="n">
        <v>43344</v>
      </c>
      <c r="B327" s="15">
        <f>VLOOKUP(A327,Database!A:M,MATCH($A$1,Database!$A$1:$M$1,),)</f>
        <v/>
      </c>
      <c r="C327" s="12">
        <f>(B327-B326)/B326</f>
        <v/>
      </c>
      <c r="D327" s="13">
        <f>(B327-B315)/B315</f>
        <v/>
      </c>
    </row>
    <row r="328">
      <c r="A328" s="11" t="n">
        <v>43374</v>
      </c>
      <c r="B328" s="15">
        <f>VLOOKUP(A328,Database!A:M,MATCH($A$1,Database!$A$1:$M$1,),)</f>
        <v/>
      </c>
      <c r="C328" s="12">
        <f>(B328-B327)/B327</f>
        <v/>
      </c>
      <c r="D328" s="13">
        <f>(B328-B316)/B316</f>
        <v/>
      </c>
    </row>
    <row r="329">
      <c r="A329" s="10" t="n">
        <v>43405</v>
      </c>
      <c r="B329" s="15">
        <f>VLOOKUP(A329,Database!A:M,MATCH($A$1,Database!$A$1:$M$1,),)</f>
        <v/>
      </c>
      <c r="C329" s="12">
        <f>(B329-B328)/B328</f>
        <v/>
      </c>
      <c r="D329" s="13">
        <f>(B329-B317)/B317</f>
        <v/>
      </c>
    </row>
    <row r="330">
      <c r="A330" s="11" t="n">
        <v>43435</v>
      </c>
      <c r="B330" s="15">
        <f>VLOOKUP(A330,Database!A:M,MATCH($A$1,Database!$A$1:$M$1,),)</f>
        <v/>
      </c>
      <c r="C330" s="12">
        <f>(B330-B329)/B329</f>
        <v/>
      </c>
      <c r="D330" s="13">
        <f>(B330-B318)/B318</f>
        <v/>
      </c>
    </row>
    <row r="331">
      <c r="A331" s="10" t="n">
        <v>43466</v>
      </c>
      <c r="B331" s="15">
        <f>VLOOKUP(A331,Database!A:M,MATCH($A$1,Database!$A$1:$M$1,),)</f>
        <v/>
      </c>
      <c r="C331" s="12">
        <f>(B331-B330)/B330</f>
        <v/>
      </c>
      <c r="D331" s="13">
        <f>(B331-B319)/B319</f>
        <v/>
      </c>
    </row>
    <row r="332">
      <c r="A332" s="11" t="n">
        <v>43497</v>
      </c>
      <c r="B332" s="15">
        <f>VLOOKUP(A332,Database!A:M,MATCH($A$1,Database!$A$1:$M$1,),)</f>
        <v/>
      </c>
      <c r="C332" s="12">
        <f>(B332-B331)/B331</f>
        <v/>
      </c>
      <c r="D332" s="13">
        <f>(B332-B320)/B320</f>
        <v/>
      </c>
    </row>
    <row r="333">
      <c r="A333" s="10" t="n">
        <v>43525</v>
      </c>
      <c r="B333" s="15">
        <f>VLOOKUP(A333,Database!A:M,MATCH($A$1,Database!$A$1:$M$1,),)</f>
        <v/>
      </c>
      <c r="C333" s="12">
        <f>(B333-B332)/B332</f>
        <v/>
      </c>
      <c r="D333" s="13">
        <f>(B333-B321)/B321</f>
        <v/>
      </c>
    </row>
    <row r="334">
      <c r="A334" s="11" t="n">
        <v>43556</v>
      </c>
      <c r="B334" s="15">
        <f>VLOOKUP(A334,Database!A:M,MATCH($A$1,Database!$A$1:$M$1,),)</f>
        <v/>
      </c>
      <c r="C334" s="12">
        <f>(B334-B333)/B333</f>
        <v/>
      </c>
      <c r="D334" s="13">
        <f>(B334-B322)/B322</f>
        <v/>
      </c>
    </row>
    <row r="335">
      <c r="A335" s="10" t="n">
        <v>43586</v>
      </c>
      <c r="B335" s="15">
        <f>VLOOKUP(A335,Database!A:M,MATCH($A$1,Database!$A$1:$M$1,),)</f>
        <v/>
      </c>
      <c r="C335" s="12">
        <f>(B335-B334)/B334</f>
        <v/>
      </c>
      <c r="D335" s="13">
        <f>(B335-B323)/B323</f>
        <v/>
      </c>
    </row>
    <row r="336" customFormat="1" s="122">
      <c r="A336" s="11" t="n">
        <v>43617</v>
      </c>
      <c r="B336" s="15">
        <f>VLOOKUP(A336,Database!A:M,MATCH($A$1,Database!$A$1:$M$1,),)</f>
        <v/>
      </c>
      <c r="C336" s="12">
        <f>(B336-B335)/B335</f>
        <v/>
      </c>
      <c r="D336" s="13">
        <f>(B336-B324)/B324</f>
        <v/>
      </c>
    </row>
    <row r="337" customFormat="1" s="122">
      <c r="A337" s="10" t="n">
        <v>43647</v>
      </c>
      <c r="B337" s="15">
        <f>VLOOKUP(A337,Database!A:M,MATCH($A$1,Database!$A$1:$M$1,),)</f>
        <v/>
      </c>
      <c r="C337" s="12">
        <f>(B337-B336)/B336</f>
        <v/>
      </c>
      <c r="D337" s="13">
        <f>(B337-B325)/B325</f>
        <v/>
      </c>
    </row>
    <row r="338" customFormat="1" s="122">
      <c r="A338" s="11" t="n">
        <v>43678</v>
      </c>
      <c r="B338" s="15">
        <f>VLOOKUP(A338,Database!A:M,MATCH($A$1,Database!$A$1:$M$1,),)</f>
        <v/>
      </c>
      <c r="C338" s="12">
        <f>(B338-B337)/B337</f>
        <v/>
      </c>
      <c r="D338" s="13">
        <f>(B338-B326)/B326</f>
        <v/>
      </c>
    </row>
    <row r="339" customFormat="1" s="122">
      <c r="A339" s="10" t="n">
        <v>43709</v>
      </c>
      <c r="B339" s="15">
        <f>VLOOKUP(A339,Database!A:M,MATCH($A$1,Database!$A$1:$M$1,),)</f>
        <v/>
      </c>
      <c r="C339" s="12">
        <f>(B339-B338)/B338</f>
        <v/>
      </c>
      <c r="D339" s="13">
        <f>(B339-B327)/B327</f>
        <v/>
      </c>
    </row>
    <row r="340" customFormat="1" s="122">
      <c r="A340" s="11" t="n">
        <v>43739</v>
      </c>
      <c r="B340" s="15">
        <f>VLOOKUP(A340,Database!A:M,MATCH($A$1,Database!$A$1:$M$1,),)</f>
        <v/>
      </c>
      <c r="C340" s="12">
        <f>(B340-B339)/B339</f>
        <v/>
      </c>
      <c r="D340" s="13">
        <f>(B340-B328)/B328</f>
        <v/>
      </c>
    </row>
    <row r="341" customFormat="1" s="122">
      <c r="A341" s="10" t="n">
        <v>43770</v>
      </c>
      <c r="B341" s="15">
        <f>VLOOKUP(A341,Database!A:M,MATCH($A$1,Database!$A$1:$M$1,),)</f>
        <v/>
      </c>
      <c r="C341" s="12">
        <f>(B341-B340)/B340</f>
        <v/>
      </c>
      <c r="D341" s="13">
        <f>(B341-B329)/B329</f>
        <v/>
      </c>
    </row>
    <row r="342" customFormat="1" s="122">
      <c r="A342" s="11" t="n">
        <v>43800</v>
      </c>
      <c r="B342" s="15">
        <f>VLOOKUP(A342,Database!A:M,MATCH($A$1,Database!$A$1:$M$1,),)</f>
        <v/>
      </c>
      <c r="C342" s="12">
        <f>(B342-B341)/B341</f>
        <v/>
      </c>
      <c r="D342" s="13">
        <f>(B342-B330)/B330</f>
        <v/>
      </c>
    </row>
    <row r="343" customFormat="1" s="122">
      <c r="A343" s="10" t="n">
        <v>43831</v>
      </c>
      <c r="B343" s="15">
        <f>VLOOKUP(A343,Database!A:M,MATCH($A$1,Database!$A$1:$M$1,),)</f>
        <v/>
      </c>
      <c r="C343" s="12">
        <f>(B343-B342)/B342</f>
        <v/>
      </c>
      <c r="D343" s="13">
        <f>(B343-B331)/B331</f>
        <v/>
      </c>
    </row>
    <row r="344" customFormat="1" s="122">
      <c r="A344" s="11" t="n">
        <v>43862</v>
      </c>
      <c r="B344" s="15">
        <f>VLOOKUP(A344,Database!A:M,MATCH($A$1,Database!$A$1:$M$1,),)</f>
        <v/>
      </c>
      <c r="C344" s="12">
        <f>(B344-B343)/B343</f>
        <v/>
      </c>
      <c r="D344" s="13">
        <f>(B344-B332)/B332</f>
        <v/>
      </c>
    </row>
    <row r="345" customFormat="1" s="122">
      <c r="A345" s="10" t="n">
        <v>43891</v>
      </c>
      <c r="B345" s="15">
        <f>VLOOKUP(A345,Database!A:M,MATCH($A$1,Database!$A$1:$M$1,),)</f>
        <v/>
      </c>
      <c r="C345" s="12">
        <f>(B345-B344)/B344</f>
        <v/>
      </c>
      <c r="D345" s="13">
        <f>(B345-B333)/B333</f>
        <v/>
      </c>
    </row>
    <row r="346" customFormat="1" s="122">
      <c r="A346" s="11" t="n">
        <v>43922</v>
      </c>
      <c r="B346" s="15">
        <f>VLOOKUP(A346,Database!A:M,MATCH($A$1,Database!$A$1:$M$1,),)</f>
        <v/>
      </c>
      <c r="C346" s="12">
        <f>(B346-B345)/B345</f>
        <v/>
      </c>
      <c r="D346" s="13">
        <f>(B346-B334)/B334</f>
        <v/>
      </c>
    </row>
    <row r="347" customFormat="1" s="122">
      <c r="A347" s="10" t="n">
        <v>43952</v>
      </c>
      <c r="B347" s="15">
        <f>VLOOKUP(A347,Database!A:M,MATCH($A$1,Database!$A$1:$M$1,),)</f>
        <v/>
      </c>
      <c r="C347" s="12">
        <f>(B347-B346)/B346</f>
        <v/>
      </c>
      <c r="D347" s="13">
        <f>(B347-B335)/B335</f>
        <v/>
      </c>
    </row>
    <row r="348" customFormat="1" s="122">
      <c r="A348" s="11" t="n">
        <v>43983</v>
      </c>
      <c r="B348" s="15">
        <f>VLOOKUP(A348,Database!A:M,MATCH($A$1,Database!$A$1:$M$1,),)</f>
        <v/>
      </c>
      <c r="C348" s="12">
        <f>(B348-B347)/B347</f>
        <v/>
      </c>
      <c r="D348" s="13">
        <f>(B348-B336)/B336</f>
        <v/>
      </c>
    </row>
    <row r="349" customFormat="1" s="122">
      <c r="A349" s="10" t="n">
        <v>44013</v>
      </c>
      <c r="B349" s="15">
        <f>VLOOKUP(A349,Database!A:M,MATCH($A$1,Database!$A$1:$M$1,),)</f>
        <v/>
      </c>
      <c r="C349" s="12">
        <f>(B349-B348)/B348</f>
        <v/>
      </c>
      <c r="D349" s="13">
        <f>(B349-B337)/B337</f>
        <v/>
      </c>
    </row>
    <row r="350" customFormat="1" s="122">
      <c r="A350" s="11" t="n">
        <v>44044</v>
      </c>
      <c r="B350" s="15">
        <f>VLOOKUP(A350,Database!A:M,MATCH($A$1,Database!$A$1:$M$1,),)</f>
        <v/>
      </c>
      <c r="C350" s="12">
        <f>(B350-B349)/B349</f>
        <v/>
      </c>
      <c r="D350" s="13">
        <f>(B350-B338)/B338</f>
        <v/>
      </c>
    </row>
    <row r="351" customFormat="1" s="122">
      <c r="A351" s="10" t="n">
        <v>44075</v>
      </c>
      <c r="B351" s="15">
        <f>VLOOKUP(A351,Database!A:M,MATCH($A$1,Database!$A$1:$M$1,),)</f>
        <v/>
      </c>
      <c r="C351" s="12">
        <f>(B351-B350)/B350</f>
        <v/>
      </c>
      <c r="D351" s="13">
        <f>(B351-B339)/B339</f>
        <v/>
      </c>
    </row>
    <row r="352" customFormat="1" s="122">
      <c r="A352" s="11" t="n">
        <v>44105</v>
      </c>
      <c r="B352" s="15">
        <f>VLOOKUP(A352,Database!A:M,MATCH($A$1,Database!$A$1:$M$1,),)</f>
        <v/>
      </c>
      <c r="C352" s="12">
        <f>(B352-B351)/B351</f>
        <v/>
      </c>
      <c r="D352" s="13">
        <f>(B352-B340)/B340</f>
        <v/>
      </c>
    </row>
    <row r="353" customFormat="1" s="122">
      <c r="A353" s="10" t="n">
        <v>44136</v>
      </c>
      <c r="B353" s="15">
        <f>VLOOKUP(A353,Database!A:M,MATCH($A$1,Database!$A$1:$M$1,),)</f>
        <v/>
      </c>
      <c r="C353" s="12">
        <f>(B353-B352)/B352</f>
        <v/>
      </c>
      <c r="D353" s="13">
        <f>(B353-B341)/B341</f>
        <v/>
      </c>
    </row>
    <row r="354" customFormat="1" s="122">
      <c r="A354" s="11" t="n">
        <v>44166</v>
      </c>
      <c r="B354" s="15">
        <f>VLOOKUP(A354,Database!A:M,MATCH($A$1,Database!$A$1:$M$1,),)</f>
        <v/>
      </c>
      <c r="C354" s="12">
        <f>(B354-B353)/B353</f>
        <v/>
      </c>
      <c r="D354" s="13">
        <f>(B354-B342)/B342</f>
        <v/>
      </c>
    </row>
    <row r="355" customFormat="1" s="122">
      <c r="A355" s="10" t="n">
        <v>44197</v>
      </c>
      <c r="B355" s="15">
        <f>VLOOKUP(A355,Database!A:M,MATCH($A$1,Database!$A$1:$M$1,),)</f>
        <v/>
      </c>
      <c r="C355" s="12">
        <f>(B355-B354)/B354</f>
        <v/>
      </c>
      <c r="D355" s="13">
        <f>(B355-B343)/B343</f>
        <v/>
      </c>
    </row>
    <row r="356" customFormat="1" s="122">
      <c r="A356" s="11" t="n">
        <v>44228</v>
      </c>
      <c r="B356" s="15">
        <f>VLOOKUP(A356,Database!A:M,MATCH($A$1,Database!$A$1:$M$1,),)</f>
        <v/>
      </c>
      <c r="C356" s="12">
        <f>(B356-B355)/B355</f>
        <v/>
      </c>
      <c r="D356" s="13">
        <f>(B356-B344)/B344</f>
        <v/>
      </c>
    </row>
    <row r="357" customFormat="1" s="122">
      <c r="A357" s="10" t="n">
        <v>44256</v>
      </c>
      <c r="B357" s="15">
        <f>VLOOKUP(A357,Database!A:M,MATCH($A$1,Database!$A$1:$M$1,),)</f>
        <v/>
      </c>
      <c r="C357" s="12">
        <f>(B357-B356)/B356</f>
        <v/>
      </c>
      <c r="D357" s="13">
        <f>(B357-B345)/B345</f>
        <v/>
      </c>
    </row>
    <row r="358" customFormat="1" s="122">
      <c r="A358" s="11" t="n">
        <v>44287</v>
      </c>
      <c r="B358" s="15">
        <f>VLOOKUP(A358,Database!A:M,MATCH($A$1,Database!$A$1:$M$1,),)</f>
        <v/>
      </c>
      <c r="C358" s="12">
        <f>(B358-B357)/B357</f>
        <v/>
      </c>
      <c r="D358" s="13">
        <f>(B358-B346)/B346</f>
        <v/>
      </c>
    </row>
    <row r="359" customFormat="1" s="122">
      <c r="A359" s="10" t="n">
        <v>44317</v>
      </c>
      <c r="B359" s="15">
        <f>VLOOKUP(A359,Database!A:M,MATCH($A$1,Database!$A$1:$M$1,),)</f>
        <v/>
      </c>
      <c r="C359" s="12">
        <f>(B359-B358)/B358</f>
        <v/>
      </c>
      <c r="D359" s="13">
        <f>(B359-B347)/B347</f>
        <v/>
      </c>
    </row>
    <row r="360" customFormat="1" s="122">
      <c r="A360" s="11" t="n">
        <v>44348</v>
      </c>
      <c r="B360" s="15">
        <f>VLOOKUP(A360,Database!A:M,MATCH($A$1,Database!$A$1:$M$1,),)</f>
        <v/>
      </c>
      <c r="C360" s="12">
        <f>(B360-B359)/B359</f>
        <v/>
      </c>
      <c r="D360" s="13">
        <f>(B360-B348)/B348</f>
        <v/>
      </c>
    </row>
    <row r="361" customFormat="1" s="122">
      <c r="A361" s="10" t="n">
        <v>44378</v>
      </c>
      <c r="B361" s="15">
        <f>VLOOKUP(A361,Database!A:M,MATCH($A$1,Database!$A$1:$M$1,),)</f>
        <v/>
      </c>
      <c r="C361" s="12">
        <f>(B361-B360)/B360</f>
        <v/>
      </c>
      <c r="D361" s="13">
        <f>(B361-B349)/B349</f>
        <v/>
      </c>
    </row>
    <row r="362" customFormat="1" s="122">
      <c r="A362" s="11" t="n">
        <v>44409</v>
      </c>
      <c r="B362" s="15">
        <f>VLOOKUP(A362,Database!A:M,MATCH($A$1,Database!$A$1:$M$1,),)</f>
        <v/>
      </c>
      <c r="C362" s="12">
        <f>(B362-B361)/B361</f>
        <v/>
      </c>
      <c r="D362" s="13">
        <f>(B362-B350)/B350</f>
        <v/>
      </c>
    </row>
    <row r="363" customFormat="1" s="122">
      <c r="A363" s="11" t="n">
        <v>44440</v>
      </c>
      <c r="B363" s="15">
        <f>VLOOKUP(A363,Database!A:M,MATCH($A$1,Database!$A$1:$M$1,),)</f>
        <v/>
      </c>
      <c r="C363" s="12">
        <f>(B363-B362)/B362</f>
        <v/>
      </c>
      <c r="D363" s="13">
        <f>(B363-B351)/B351</f>
        <v/>
      </c>
    </row>
    <row r="364" customFormat="1" s="122">
      <c r="A364" s="10" t="n">
        <v>44470</v>
      </c>
      <c r="B364" s="15">
        <f>VLOOKUP(A364,Database!A:M,MATCH($A$1,Database!$A$1:$M$1,),)</f>
        <v/>
      </c>
      <c r="C364" s="12">
        <f>(B364-B363)/B363</f>
        <v/>
      </c>
      <c r="D364" s="13">
        <f>(B364-B352)/B352</f>
        <v/>
      </c>
    </row>
    <row r="365" customFormat="1" s="122">
      <c r="A365" s="11" t="n">
        <v>44501</v>
      </c>
      <c r="B365" s="15">
        <f>VLOOKUP(A365,Database!A:M,MATCH($A$1,Database!$A$1:$M$1,),)</f>
        <v/>
      </c>
      <c r="C365" s="12">
        <f>(B365-B364)/B364</f>
        <v/>
      </c>
      <c r="D365" s="13">
        <f>(B365-B353)/B353</f>
        <v/>
      </c>
    </row>
    <row r="366" customFormat="1" s="122">
      <c r="A366" s="11" t="n">
        <v>44531</v>
      </c>
      <c r="B366" s="15">
        <f>VLOOKUP(A366,Database!A:M,MATCH($A$1,Database!$A$1:$M$1,),)</f>
        <v/>
      </c>
      <c r="C366" s="12">
        <f>(B366-B365)/B365</f>
        <v/>
      </c>
      <c r="D366" s="13">
        <f>(B366-B354)/B354</f>
        <v/>
      </c>
    </row>
    <row r="367" customFormat="1" s="122">
      <c r="A367" s="11" t="n">
        <v>44562</v>
      </c>
      <c r="B367" s="15">
        <f>VLOOKUP(A367,Database!A:M,MATCH($A$1,Database!$A$1:$M$1,),)</f>
        <v/>
      </c>
      <c r="C367" s="12">
        <f>(B367-B366)/B366</f>
        <v/>
      </c>
      <c r="D367" s="13">
        <f>(B367-B355)/B355</f>
        <v/>
      </c>
    </row>
    <row r="368" customFormat="1" s="122">
      <c r="A368" s="11" t="n">
        <v>44593</v>
      </c>
      <c r="B368" s="15">
        <f>VLOOKUP(A368,Database!A:M,MATCH($A$1,Database!$A$1:$M$1,),)</f>
        <v/>
      </c>
      <c r="C368" s="12">
        <f>(B368-B367)/B367</f>
        <v/>
      </c>
      <c r="D368" s="13">
        <f>(B368-B356)/B356</f>
        <v/>
      </c>
    </row>
    <row r="369" customFormat="1" s="122">
      <c r="A369" s="11" t="n">
        <v>44621</v>
      </c>
      <c r="B369" s="15">
        <f>VLOOKUP(A369,Database!A:M,MATCH($A$1,Database!$A$1:$M$1,),)</f>
        <v/>
      </c>
      <c r="C369" s="12">
        <f>(B369-B368)/B368</f>
        <v/>
      </c>
      <c r="D369" s="13">
        <f>(B369-B357)/B357</f>
        <v/>
      </c>
    </row>
    <row r="370" customFormat="1" s="122">
      <c r="A370" s="10" t="n">
        <v>44652</v>
      </c>
      <c r="B370" s="15">
        <f>VLOOKUP(A370,Database!A:M,MATCH($A$1,Database!$A$1:$M$1,),)</f>
        <v/>
      </c>
      <c r="C370" s="12">
        <f>(B370-B369)/B369</f>
        <v/>
      </c>
      <c r="D370" s="13">
        <f>(B370-B358)/B358</f>
        <v/>
      </c>
    </row>
    <row r="371" customFormat="1" s="122">
      <c r="A371" s="11" t="n">
        <v>44682</v>
      </c>
      <c r="B371" s="15">
        <f>VLOOKUP(A371,Database!A:M,MATCH($A$1,Database!$A$1:$M$1,),)</f>
        <v/>
      </c>
      <c r="C371" s="12">
        <f>(B371-B370)/B370</f>
        <v/>
      </c>
      <c r="D371" s="13">
        <f>(B371-B359)/B359</f>
        <v/>
      </c>
    </row>
    <row r="372" customFormat="1" s="122">
      <c r="A372" s="11" t="n">
        <v>44713</v>
      </c>
      <c r="B372" s="15">
        <f>VLOOKUP(A372,Database!A:M,MATCH($A$1,Database!$A$1:$M$1,),)</f>
        <v/>
      </c>
      <c r="C372" s="12">
        <f>(B372-B371)/B371</f>
        <v/>
      </c>
      <c r="D372" s="13">
        <f>(B372-B360)/B360</f>
        <v/>
      </c>
    </row>
    <row r="373" customFormat="1" s="122">
      <c r="A373" s="11" t="n">
        <v>44743</v>
      </c>
      <c r="B373" s="15">
        <f>VLOOKUP(A373,Database!A:M,MATCH($A$1,Database!$A$1:$M$1,),)</f>
        <v/>
      </c>
      <c r="C373" s="12">
        <f>(B373-B372)/B372</f>
        <v/>
      </c>
      <c r="D373" s="13">
        <f>(B373-B361)/B361</f>
        <v/>
      </c>
    </row>
    <row r="374" customFormat="1" s="122">
      <c r="A374" s="11" t="n">
        <v>44774</v>
      </c>
      <c r="B374" s="15">
        <f>VLOOKUP(A374,Database!A:M,MATCH($A$1,Database!$A$1:$M$1,),)</f>
        <v/>
      </c>
      <c r="C374" s="12">
        <f>(B374-B373)/B373</f>
        <v/>
      </c>
      <c r="D374" s="13">
        <f>(B374-B362)/B362</f>
        <v/>
      </c>
    </row>
    <row r="375" customFormat="1" s="122">
      <c r="A375" s="11" t="n">
        <v>44805</v>
      </c>
      <c r="B375" s="15">
        <f>VLOOKUP(A375,Database!A:M,MATCH($A$1,Database!$A$1:$M$1,),)</f>
        <v/>
      </c>
      <c r="C375" s="12">
        <f>(B375-B374)/B374</f>
        <v/>
      </c>
      <c r="D375" s="13">
        <f>(B375-B363)/B363</f>
        <v/>
      </c>
    </row>
    <row r="376" customFormat="1" s="122"/>
    <row r="377" customFormat="1" s="122"/>
    <row r="378" customFormat="1" s="122"/>
    <row r="379" customFormat="1" s="122"/>
    <row r="380" customFormat="1" s="122"/>
    <row r="381" customFormat="1" s="122"/>
    <row r="382" customFormat="1" s="122"/>
    <row r="383" customFormat="1" s="122"/>
    <row r="384" customFormat="1" s="122"/>
    <row r="385" customFormat="1" s="122"/>
    <row r="386" customFormat="1" s="122"/>
    <row r="387" customFormat="1" s="122"/>
    <row r="388" customFormat="1" s="122"/>
    <row r="389" customFormat="1" s="122"/>
    <row r="390" customFormat="1" s="122"/>
    <row r="391" customFormat="1" s="122"/>
    <row r="392" customFormat="1" s="122"/>
    <row r="393" customFormat="1" s="122"/>
    <row r="394" customFormat="1" s="122"/>
    <row r="395" customFormat="1" s="122"/>
    <row r="396" customFormat="1" s="122"/>
    <row r="397" customFormat="1" s="122"/>
    <row r="398" customFormat="1" s="122"/>
    <row r="399" customFormat="1" s="122"/>
    <row r="400" customFormat="1" s="122"/>
    <row r="401" customFormat="1" s="122"/>
    <row r="402" customFormat="1" s="122"/>
    <row r="403" customFormat="1" s="122"/>
    <row r="404" customFormat="1" s="122"/>
    <row r="405" customFormat="1" s="122"/>
    <row r="406" customFormat="1" s="122"/>
    <row r="407" customFormat="1" s="122"/>
    <row r="408" customFormat="1" s="122"/>
    <row r="409" customFormat="1" s="122"/>
    <row r="410" customFormat="1" s="122"/>
    <row r="411" customFormat="1" s="122"/>
    <row r="412" customFormat="1" s="122"/>
    <row r="413" customFormat="1" s="122"/>
    <row r="414" customFormat="1" s="122"/>
    <row r="415" customFormat="1" s="122"/>
    <row r="416" customFormat="1" s="122"/>
    <row r="417" customFormat="1" s="122"/>
    <row r="418" customFormat="1" s="122"/>
    <row r="419" customFormat="1" s="122"/>
    <row r="420" customFormat="1" s="122"/>
    <row r="421" customFormat="1" s="122"/>
    <row r="422" customFormat="1" s="122"/>
    <row r="423" customFormat="1" s="122"/>
    <row r="424" customFormat="1" s="122"/>
    <row r="425" customFormat="1" s="122"/>
    <row r="426" customFormat="1" s="122"/>
    <row r="427" customFormat="1" s="122"/>
    <row r="428" customFormat="1" s="122"/>
    <row r="429" customFormat="1" s="122"/>
    <row r="430" customFormat="1" s="122"/>
    <row r="431" customFormat="1" s="122"/>
    <row r="432" customFormat="1" s="122"/>
    <row r="433" customFormat="1" s="122"/>
    <row r="434" customFormat="1" s="122"/>
    <row r="435" customFormat="1" s="122"/>
    <row r="436" customFormat="1" s="122"/>
    <row r="437" customFormat="1" s="122"/>
    <row r="438" customFormat="1" s="122"/>
    <row r="439" customFormat="1" s="122"/>
    <row r="440" customFormat="1" s="122"/>
    <row r="441" customFormat="1" s="122"/>
    <row r="442" customFormat="1" s="122"/>
    <row r="443" customFormat="1" s="122"/>
    <row r="444" customFormat="1" s="122"/>
    <row r="445" customFormat="1" s="122"/>
    <row r="446" customFormat="1" s="122"/>
    <row r="447" customFormat="1" s="122"/>
    <row r="448" customFormat="1" s="122"/>
    <row r="449" customFormat="1" s="122"/>
    <row r="450" customFormat="1" s="122"/>
    <row r="451" customFormat="1" s="122"/>
    <row r="452" customFormat="1" s="122"/>
    <row r="453" customFormat="1" s="122"/>
    <row r="454" customFormat="1" s="122"/>
    <row r="455" customFormat="1" s="122"/>
    <row r="456" customFormat="1" s="122"/>
    <row r="457" customFormat="1" s="122"/>
    <row r="458" customFormat="1" s="122"/>
    <row r="459" customFormat="1" s="122"/>
    <row r="460" customFormat="1" s="122"/>
    <row r="461" customFormat="1" s="122"/>
    <row r="462" customFormat="1" s="122"/>
    <row r="463" customFormat="1" s="122"/>
    <row r="464" customFormat="1" s="122"/>
    <row r="465" customFormat="1" s="122"/>
    <row r="466" customFormat="1" s="122"/>
    <row r="467" customFormat="1" s="122"/>
    <row r="468" customFormat="1" s="122"/>
    <row r="469" customFormat="1" s="122"/>
    <row r="470" customFormat="1" s="122"/>
    <row r="471" customFormat="1" s="122"/>
    <row r="472" customFormat="1" s="122"/>
    <row r="473" customFormat="1" s="122"/>
    <row r="474" customFormat="1" s="122"/>
    <row r="475" customFormat="1" s="122"/>
    <row r="476" customFormat="1" s="122"/>
    <row r="477" customFormat="1" s="122"/>
    <row r="478" customFormat="1" s="122"/>
    <row r="479" customFormat="1" s="122"/>
    <row r="480" customFormat="1" s="122"/>
    <row r="481" customFormat="1" s="122"/>
    <row r="482" customFormat="1" s="122"/>
    <row r="483" customFormat="1" s="122"/>
    <row r="484" customFormat="1" s="122"/>
    <row r="485" customFormat="1" s="122"/>
    <row r="486" customFormat="1" s="122"/>
    <row r="487" customFormat="1" s="122"/>
    <row r="488" customFormat="1" s="122"/>
    <row r="489" customFormat="1" s="122"/>
    <row r="490" customFormat="1" s="122"/>
    <row r="491" customFormat="1" s="122"/>
    <row r="492" customFormat="1" s="122"/>
    <row r="493" customFormat="1" s="122"/>
    <row r="494" customFormat="1" s="122"/>
    <row r="495" customFormat="1" s="122"/>
    <row r="496" customFormat="1" s="122"/>
    <row r="497" customFormat="1" s="122"/>
    <row r="498" customFormat="1" s="122"/>
    <row r="499" customFormat="1" s="122"/>
    <row r="500" customFormat="1" s="122"/>
    <row r="501" customFormat="1" s="122"/>
    <row r="502" customFormat="1" s="122"/>
    <row r="503" customFormat="1" s="122"/>
    <row r="504" customFormat="1" s="122"/>
    <row r="505" customFormat="1" s="122"/>
    <row r="506" customFormat="1" s="122"/>
    <row r="507" customFormat="1" s="122"/>
    <row r="508" customFormat="1" s="122"/>
    <row r="509" customFormat="1" s="122"/>
    <row r="510" customFormat="1" s="122"/>
    <row r="511" customFormat="1" s="122"/>
    <row r="512" customFormat="1" s="122"/>
    <row r="513" customFormat="1" s="122"/>
    <row r="514" customFormat="1" s="122"/>
    <row r="515" customFormat="1" s="122"/>
    <row r="516" customFormat="1" s="122"/>
    <row r="517" customFormat="1" s="122"/>
    <row r="518" customFormat="1" s="122"/>
    <row r="519" customFormat="1" s="122"/>
    <row r="520" customFormat="1" s="122"/>
    <row r="521" customFormat="1" s="122"/>
    <row r="522" customFormat="1" s="122"/>
    <row r="523" customFormat="1" s="122"/>
    <row r="524" customFormat="1" s="122"/>
    <row r="525" customFormat="1" s="122"/>
    <row r="526" customFormat="1" s="122"/>
    <row r="527" customFormat="1" s="122"/>
    <row r="528" customFormat="1" s="122"/>
    <row r="529" customFormat="1" s="122"/>
    <row r="530" customFormat="1" s="122"/>
    <row r="531" customFormat="1" s="122"/>
    <row r="532" customFormat="1" s="122"/>
    <row r="533" customFormat="1" s="122"/>
    <row r="534" customFormat="1" s="122"/>
    <row r="535" customFormat="1" s="122"/>
    <row r="536" customFormat="1" s="122"/>
    <row r="537" customFormat="1" s="122"/>
    <row r="538" customFormat="1" s="122"/>
    <row r="539" customFormat="1" s="122"/>
    <row r="540" customFormat="1" s="122"/>
    <row r="541" customFormat="1" s="122"/>
    <row r="542" customFormat="1" s="122"/>
    <row r="543" customFormat="1" s="122"/>
    <row r="544" customFormat="1" s="122"/>
    <row r="545" customFormat="1" s="122"/>
    <row r="546" customFormat="1" s="122"/>
    <row r="547" customFormat="1" s="122"/>
    <row r="548" customFormat="1" s="122"/>
    <row r="549" customFormat="1" s="122"/>
    <row r="550" customFormat="1" s="122"/>
    <row r="551" customFormat="1" s="122"/>
    <row r="552" customFormat="1" s="122"/>
    <row r="553" customFormat="1" s="122"/>
    <row r="554" customFormat="1" s="122"/>
    <row r="555" customFormat="1" s="122"/>
    <row r="556" customFormat="1" s="122"/>
    <row r="557" customFormat="1" s="122"/>
    <row r="558" customFormat="1" s="122"/>
    <row r="559" customFormat="1" s="122"/>
    <row r="560" customFormat="1" s="122"/>
    <row r="561" customFormat="1" s="122"/>
    <row r="562" customFormat="1" s="122"/>
    <row r="563" customFormat="1" s="122"/>
    <row r="564" customFormat="1" s="122"/>
    <row r="565" customFormat="1" s="122"/>
    <row r="566" customFormat="1" s="122"/>
    <row r="567" customFormat="1" s="122"/>
    <row r="568" customFormat="1" s="122"/>
    <row r="569" customFormat="1" s="122"/>
    <row r="570" customFormat="1" s="122"/>
    <row r="571" customFormat="1" s="122"/>
    <row r="572" customFormat="1" s="122"/>
    <row r="573" customFormat="1" s="122"/>
    <row r="574" customFormat="1" s="122"/>
    <row r="575" customFormat="1" s="122"/>
    <row r="576" customFormat="1" s="122"/>
    <row r="577" customFormat="1" s="122"/>
    <row r="578" customFormat="1" s="122"/>
    <row r="579" customFormat="1" s="122"/>
    <row r="580" customFormat="1" s="122"/>
    <row r="581" customFormat="1" s="122"/>
    <row r="582" customFormat="1" s="122"/>
    <row r="583" customFormat="1" s="122"/>
    <row r="584" customFormat="1" s="122"/>
    <row r="585" customFormat="1" s="122"/>
    <row r="586" customFormat="1" s="122"/>
    <row r="587" customFormat="1" s="122"/>
    <row r="588" customFormat="1" s="122"/>
    <row r="589" customFormat="1" s="122"/>
    <row r="590" customFormat="1" s="122"/>
    <row r="591" customFormat="1" s="122"/>
    <row r="592" customFormat="1" s="122"/>
    <row r="593" customFormat="1" s="122"/>
    <row r="594" customFormat="1" s="122"/>
    <row r="595" customFormat="1" s="122"/>
    <row r="596" customFormat="1" s="122"/>
    <row r="597" customFormat="1" s="122"/>
    <row r="598" customFormat="1" s="122"/>
    <row r="599" customFormat="1" s="122"/>
    <row r="600" customFormat="1" s="122"/>
    <row r="601" customFormat="1" s="122"/>
    <row r="602" customFormat="1" s="122"/>
    <row r="603" customFormat="1" s="122"/>
    <row r="604" customFormat="1" s="122"/>
    <row r="605" customFormat="1" s="122"/>
    <row r="606" customFormat="1" s="122"/>
    <row r="607" customFormat="1" s="122"/>
    <row r="608" customFormat="1" s="122"/>
    <row r="609" customFormat="1" s="122"/>
    <row r="610" customFormat="1" s="122"/>
    <row r="611" customFormat="1" s="122"/>
    <row r="612" customFormat="1" s="122"/>
    <row r="613" customFormat="1" s="122"/>
    <row r="614" customFormat="1" s="122"/>
    <row r="615" customFormat="1" s="122"/>
    <row r="616" customFormat="1" s="122"/>
    <row r="617" customFormat="1" s="122"/>
    <row r="618" customFormat="1" s="122"/>
    <row r="619" customFormat="1" s="122"/>
    <row r="620" customFormat="1" s="122"/>
    <row r="621" customFormat="1" s="122"/>
    <row r="622" customFormat="1" s="122"/>
    <row r="623" customFormat="1" s="122"/>
    <row r="624" customFormat="1" s="122"/>
    <row r="625" customFormat="1" s="122"/>
    <row r="626" customFormat="1" s="122"/>
    <row r="627" customFormat="1" s="122"/>
    <row r="628" customFormat="1" s="122"/>
    <row r="629" customFormat="1" s="122"/>
    <row r="630" customFormat="1" s="122"/>
    <row r="631" customFormat="1" s="122"/>
    <row r="632" customFormat="1" s="122"/>
    <row r="633">
      <c r="A633" s="122" t="n"/>
      <c r="B633" s="122" t="n"/>
      <c r="C633" s="122" t="n"/>
      <c r="D633" s="122" t="n"/>
    </row>
    <row r="634">
      <c r="A634" s="122" t="n"/>
      <c r="B634" s="122" t="n"/>
      <c r="C634" s="122" t="n"/>
      <c r="D634" s="122" t="n"/>
    </row>
    <row r="635">
      <c r="A635" s="122" t="n"/>
      <c r="B635" s="122" t="n"/>
      <c r="C635" s="122" t="n"/>
      <c r="D635" s="122" t="n"/>
    </row>
    <row r="636">
      <c r="A636" s="122" t="n"/>
      <c r="B636" s="122" t="n"/>
      <c r="C636" s="122" t="n"/>
      <c r="D636" s="122" t="n"/>
    </row>
    <row r="637">
      <c r="A637" s="122" t="n"/>
      <c r="B637" s="122" t="n"/>
      <c r="C637" s="122" t="n"/>
      <c r="D637" s="122" t="n"/>
    </row>
    <row r="638">
      <c r="A638" s="122" t="n"/>
      <c r="B638" s="122" t="n"/>
      <c r="C638" s="122" t="n"/>
      <c r="D638" s="122" t="n"/>
    </row>
    <row r="639">
      <c r="A639" s="122" t="n"/>
      <c r="B639" s="122" t="n"/>
      <c r="C639" s="122" t="n"/>
      <c r="D639" s="122" t="n"/>
    </row>
    <row r="640">
      <c r="A640" s="122" t="n"/>
      <c r="B640" s="122" t="n"/>
      <c r="C640" s="122" t="n"/>
      <c r="D640" s="122" t="n"/>
    </row>
    <row r="641">
      <c r="A641" s="122" t="n"/>
      <c r="B641" s="122" t="n"/>
      <c r="C641" s="122" t="n"/>
      <c r="D641" s="122" t="n"/>
    </row>
    <row r="642">
      <c r="A642" s="122" t="n"/>
      <c r="B642" s="122" t="n"/>
      <c r="C642" s="122" t="n"/>
      <c r="D642" s="122" t="n"/>
    </row>
    <row r="643">
      <c r="A643" s="122" t="n"/>
      <c r="B643" s="122" t="n"/>
      <c r="C643" s="122" t="n"/>
      <c r="D643" s="122" t="n"/>
    </row>
    <row r="644">
      <c r="A644" s="122" t="n"/>
      <c r="B644" s="122" t="n"/>
      <c r="C644" s="122" t="n"/>
      <c r="D644" s="122" t="n"/>
    </row>
    <row r="645">
      <c r="A645" s="122" t="n"/>
      <c r="B645" s="122" t="n"/>
      <c r="C645" s="122" t="n"/>
      <c r="D645" s="122" t="n"/>
    </row>
    <row r="646">
      <c r="A646" s="122" t="n"/>
      <c r="B646" s="122" t="n"/>
      <c r="C646" s="122" t="n"/>
      <c r="D646" s="122" t="n"/>
    </row>
    <row r="647">
      <c r="A647" s="122" t="n"/>
      <c r="B647" s="122" t="n"/>
      <c r="C647" s="122" t="n"/>
      <c r="D647" s="122" t="n"/>
    </row>
    <row r="648">
      <c r="A648" s="122" t="n"/>
      <c r="B648" s="122" t="n"/>
      <c r="C648" s="122" t="n"/>
      <c r="D648" s="122" t="n"/>
    </row>
    <row r="649">
      <c r="A649" s="122" t="n"/>
      <c r="B649" s="122" t="n"/>
      <c r="C649" s="122" t="n"/>
      <c r="D649" s="122" t="n"/>
    </row>
    <row r="650">
      <c r="A650" s="122" t="n"/>
      <c r="B650" s="122" t="n"/>
      <c r="C650" s="122" t="n"/>
      <c r="D650" s="122" t="n"/>
    </row>
    <row r="651">
      <c r="A651" s="122" t="n"/>
      <c r="B651" s="122" t="n"/>
      <c r="C651" s="122" t="n"/>
      <c r="D651" s="122" t="n"/>
    </row>
    <row r="652">
      <c r="A652" s="122" t="n"/>
      <c r="B652" s="122" t="n"/>
      <c r="C652" s="122" t="n"/>
      <c r="D652" s="122" t="n"/>
    </row>
    <row r="653">
      <c r="A653" s="122" t="n"/>
      <c r="B653" s="122" t="n"/>
      <c r="C653" s="122" t="n"/>
      <c r="D653" s="122" t="n"/>
    </row>
    <row r="654">
      <c r="A654" s="122" t="n"/>
      <c r="B654" s="122" t="n"/>
      <c r="C654" s="122" t="n"/>
      <c r="D654" s="122" t="n"/>
    </row>
    <row r="655">
      <c r="A655" s="122" t="n"/>
      <c r="B655" s="122" t="n"/>
      <c r="C655" s="122" t="n"/>
      <c r="D655" s="122" t="n"/>
    </row>
    <row r="656">
      <c r="A656" s="122" t="n"/>
      <c r="B656" s="122" t="n"/>
      <c r="C656" s="122" t="n"/>
      <c r="D656" s="122" t="n"/>
    </row>
    <row r="657">
      <c r="A657" s="122" t="n"/>
      <c r="B657" s="122" t="n"/>
      <c r="C657" s="122" t="n"/>
      <c r="D657" s="122" t="n"/>
    </row>
    <row r="658">
      <c r="A658" s="122" t="n"/>
      <c r="B658" s="122" t="n"/>
      <c r="C658" s="122" t="n"/>
      <c r="D658" s="122" t="n"/>
    </row>
    <row r="659">
      <c r="A659" s="122" t="n"/>
      <c r="B659" s="122" t="n"/>
      <c r="C659" s="122" t="n"/>
      <c r="D659" s="122" t="n"/>
    </row>
    <row r="660">
      <c r="A660" s="122" t="n"/>
      <c r="B660" s="122" t="n"/>
      <c r="C660" s="122" t="n"/>
      <c r="D660" s="122" t="n"/>
    </row>
    <row r="661">
      <c r="A661" s="122" t="n"/>
      <c r="B661" s="122" t="n"/>
      <c r="C661" s="122" t="n"/>
      <c r="D661" s="122" t="n"/>
    </row>
    <row r="662">
      <c r="A662" s="122" t="n"/>
      <c r="B662" s="122" t="n"/>
      <c r="C662" s="122" t="n"/>
      <c r="D662" s="122" t="n"/>
    </row>
    <row r="663">
      <c r="A663" s="122" t="n"/>
      <c r="B663" s="122" t="n"/>
      <c r="C663" s="122" t="n"/>
      <c r="D663" s="122" t="n"/>
    </row>
    <row r="664">
      <c r="A664" s="122" t="n"/>
      <c r="B664" s="122" t="n"/>
      <c r="C664" s="122" t="n"/>
      <c r="D664" s="122" t="n"/>
    </row>
    <row r="665">
      <c r="A665" s="122" t="n"/>
      <c r="B665" s="122" t="n"/>
      <c r="C665" s="122" t="n"/>
      <c r="D665" s="122" t="n"/>
    </row>
    <row r="666">
      <c r="A666" s="122" t="n"/>
      <c r="B666" s="122" t="n"/>
      <c r="C666" s="122" t="n"/>
      <c r="D666" s="122" t="n"/>
    </row>
    <row r="667">
      <c r="A667" s="122" t="n"/>
      <c r="B667" s="122" t="n"/>
      <c r="C667" s="122" t="n"/>
      <c r="D667" s="122" t="n"/>
    </row>
    <row r="668">
      <c r="A668" s="122" t="n"/>
      <c r="B668" s="122" t="n"/>
      <c r="C668" s="122" t="n"/>
      <c r="D668" s="122" t="n"/>
    </row>
    <row r="669">
      <c r="A669" s="122" t="n"/>
      <c r="B669" s="122" t="n"/>
      <c r="C669" s="122" t="n"/>
      <c r="D669" s="122" t="n"/>
    </row>
    <row r="670">
      <c r="A670" s="122" t="n"/>
      <c r="B670" s="122" t="n"/>
      <c r="C670" s="122" t="n"/>
      <c r="D670" s="122" t="n"/>
    </row>
    <row r="671">
      <c r="A671" s="122" t="n"/>
      <c r="B671" s="122" t="n"/>
      <c r="C671" s="122" t="n"/>
      <c r="D671" s="122" t="n"/>
    </row>
    <row r="672">
      <c r="A672" s="122" t="n"/>
      <c r="B672" s="122" t="n"/>
      <c r="C672" s="122" t="n"/>
      <c r="D672" s="122" t="n"/>
    </row>
  </sheetData>
  <conditionalFormatting sqref="C8:C375">
    <cfRule type="colorScale" priority="2">
      <colorScale>
        <cfvo type="min"/>
        <cfvo type="percentile" val="50"/>
        <cfvo type="max"/>
        <color rgb="FFF8696B"/>
        <color rgb="FFFFEB84"/>
        <color rgb="FF63BE7B"/>
      </colorScale>
    </cfRule>
  </conditionalFormatting>
  <conditionalFormatting sqref="D19:D375">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codeName="Sheet5">
    <outlinePr summaryBelow="1" summaryRight="1"/>
    <pageSetUpPr/>
  </sheetPr>
  <dimension ref="A1:D547"/>
  <sheetViews>
    <sheetView zoomScale="160" zoomScaleNormal="160" workbookViewId="0">
      <pane ySplit="6" topLeftCell="A366" activePane="bottomLeft" state="frozen"/>
      <selection pane="bottomLeft" activeCell="C375" sqref="C375"/>
    </sheetView>
  </sheetViews>
  <sheetFormatPr baseColWidth="10" defaultColWidth="8.83203125" defaultRowHeight="15"/>
  <cols>
    <col width="14" customWidth="1" style="2" min="1" max="1"/>
    <col width="21.33203125" customWidth="1" style="16" min="2" max="2"/>
    <col width="21.33203125" customWidth="1" style="2" min="3" max="4"/>
    <col width="9.1640625" customWidth="1" style="122" min="5" max="140"/>
  </cols>
  <sheetData>
    <row r="1" customFormat="1" s="122">
      <c r="A1" s="27" t="inlineStr">
        <is>
          <t>RSAFS</t>
        </is>
      </c>
      <c r="B1" s="25" t="inlineStr">
        <is>
          <t>Retail and Food Services Sales (RSAFS), Millions of Dollars, Monthly, Seasonally Adjusted</t>
        </is>
      </c>
      <c r="C1" s="54" t="n"/>
      <c r="D1" s="54" t="n"/>
    </row>
    <row r="2" customFormat="1" s="122">
      <c r="A2" s="9" t="inlineStr">
        <is>
          <t>https://fred.stlouisfed.org/series/RSAFS</t>
        </is>
      </c>
      <c r="B2" s="14" t="n"/>
      <c r="C2" s="54" t="n"/>
      <c r="D2" s="54" t="n"/>
    </row>
    <row r="3" customFormat="1" s="122">
      <c r="A3" s="9" t="n"/>
      <c r="B3" s="14" t="n"/>
      <c r="C3" s="54" t="n"/>
      <c r="D3" s="54" t="n"/>
    </row>
    <row r="4" customFormat="1" s="122">
      <c r="A4" s="9" t="n"/>
      <c r="B4" s="14" t="n"/>
      <c r="C4" s="54" t="n"/>
      <c r="D4" s="54" t="n"/>
    </row>
    <row r="5" ht="16" customFormat="1" customHeight="1" s="122" thickBot="1">
      <c r="A5" s="54" t="n"/>
      <c r="B5" s="14" t="n"/>
      <c r="C5" s="54" t="n"/>
      <c r="D5" s="54" t="n"/>
    </row>
    <row r="6" ht="33" customHeight="1" s="95" thickBot="1">
      <c r="A6" s="78" t="inlineStr">
        <is>
          <t>Date</t>
        </is>
      </c>
      <c r="B6" s="79" t="inlineStr">
        <is>
          <t>Retail Sales (RSAFS), Millions of Dollars</t>
        </is>
      </c>
      <c r="C6" s="80" t="inlineStr">
        <is>
          <t>mom %</t>
        </is>
      </c>
      <c r="D6" s="81" t="inlineStr">
        <is>
          <t>yoy %</t>
        </is>
      </c>
    </row>
    <row r="7">
      <c r="A7" s="17" t="n">
        <v>33604</v>
      </c>
      <c r="B7" s="18">
        <f>VLOOKUP(A7,Database!A:K,MATCH('Retail Sales'!$A$1,Database!$A$1:$K$1,),)</f>
        <v/>
      </c>
      <c r="C7" s="19" t="n"/>
      <c r="D7" s="19" t="n"/>
    </row>
    <row r="8">
      <c r="A8" s="11" t="n">
        <v>33635</v>
      </c>
      <c r="B8" s="15">
        <f>VLOOKUP(A8,Database!A:K,MATCH('Retail Sales'!$A$1,Database!$A$1:$K$1,),)</f>
        <v/>
      </c>
      <c r="C8" s="12">
        <f>(B8-B7)/B7</f>
        <v/>
      </c>
      <c r="D8" s="1" t="n"/>
    </row>
    <row r="9">
      <c r="A9" s="10" t="n">
        <v>33664</v>
      </c>
      <c r="B9" s="15">
        <f>VLOOKUP(A9,Database!A:K,MATCH('Retail Sales'!$A$1,Database!$A$1:$K$1,),)</f>
        <v/>
      </c>
      <c r="C9" s="12">
        <f>(B9-B8)/B8</f>
        <v/>
      </c>
      <c r="D9" s="1" t="n"/>
    </row>
    <row r="10">
      <c r="A10" s="11" t="n">
        <v>33695</v>
      </c>
      <c r="B10" s="15">
        <f>VLOOKUP(A10,Database!A:K,MATCH('Retail Sales'!$A$1,Database!$A$1:$K$1,),)</f>
        <v/>
      </c>
      <c r="C10" s="12">
        <f>(B10-B9)/B9</f>
        <v/>
      </c>
      <c r="D10" s="1" t="n"/>
    </row>
    <row r="11">
      <c r="A11" s="10" t="n">
        <v>33725</v>
      </c>
      <c r="B11" s="15">
        <f>VLOOKUP(A11,Database!A:K,MATCH('Retail Sales'!$A$1,Database!$A$1:$K$1,),)</f>
        <v/>
      </c>
      <c r="C11" s="12">
        <f>(B11-B10)/B10</f>
        <v/>
      </c>
      <c r="D11" s="1" t="n"/>
    </row>
    <row r="12">
      <c r="A12" s="11" t="n">
        <v>33756</v>
      </c>
      <c r="B12" s="15">
        <f>VLOOKUP(A12,Database!A:K,MATCH('Retail Sales'!$A$1,Database!$A$1:$K$1,),)</f>
        <v/>
      </c>
      <c r="C12" s="12">
        <f>(B12-B11)/B11</f>
        <v/>
      </c>
      <c r="D12" s="1" t="n"/>
    </row>
    <row r="13">
      <c r="A13" s="10" t="n">
        <v>33786</v>
      </c>
      <c r="B13" s="15">
        <f>VLOOKUP(A13,Database!A:K,MATCH('Retail Sales'!$A$1,Database!$A$1:$K$1,),)</f>
        <v/>
      </c>
      <c r="C13" s="12">
        <f>(B13-B12)/B12</f>
        <v/>
      </c>
      <c r="D13" s="1" t="n"/>
    </row>
    <row r="14">
      <c r="A14" s="11" t="n">
        <v>33817</v>
      </c>
      <c r="B14" s="15">
        <f>VLOOKUP(A14,Database!A:K,MATCH('Retail Sales'!$A$1,Database!$A$1:$K$1,),)</f>
        <v/>
      </c>
      <c r="C14" s="12">
        <f>(B14-B13)/B13</f>
        <v/>
      </c>
      <c r="D14" s="1" t="n"/>
    </row>
    <row r="15">
      <c r="A15" s="10" t="n">
        <v>33848</v>
      </c>
      <c r="B15" s="15">
        <f>VLOOKUP(A15,Database!A:K,MATCH('Retail Sales'!$A$1,Database!$A$1:$K$1,),)</f>
        <v/>
      </c>
      <c r="C15" s="12">
        <f>(B15-B14)/B14</f>
        <v/>
      </c>
      <c r="D15" s="1" t="n"/>
    </row>
    <row r="16">
      <c r="A16" s="11" t="n">
        <v>33878</v>
      </c>
      <c r="B16" s="15">
        <f>VLOOKUP(A16,Database!A:K,MATCH('Retail Sales'!$A$1,Database!$A$1:$K$1,),)</f>
        <v/>
      </c>
      <c r="C16" s="12">
        <f>(B16-B15)/B15</f>
        <v/>
      </c>
      <c r="D16" s="1" t="n"/>
    </row>
    <row r="17">
      <c r="A17" s="10" t="n">
        <v>33909</v>
      </c>
      <c r="B17" s="15">
        <f>VLOOKUP(A17,Database!A:K,MATCH('Retail Sales'!$A$1,Database!$A$1:$K$1,),)</f>
        <v/>
      </c>
      <c r="C17" s="12">
        <f>(B17-B16)/B16</f>
        <v/>
      </c>
      <c r="D17" s="1" t="n"/>
    </row>
    <row r="18">
      <c r="A18" s="11" t="n">
        <v>33939</v>
      </c>
      <c r="B18" s="15">
        <f>VLOOKUP(A18,Database!A:K,MATCH('Retail Sales'!$A$1,Database!$A$1:$K$1,),)</f>
        <v/>
      </c>
      <c r="C18" s="12">
        <f>(B18-B17)/B17</f>
        <v/>
      </c>
      <c r="D18" s="1" t="n"/>
    </row>
    <row r="19">
      <c r="A19" s="10" t="n">
        <v>33970</v>
      </c>
      <c r="B19" s="15">
        <f>VLOOKUP(A19,Database!A:K,MATCH('Retail Sales'!$A$1,Database!$A$1:$K$1,),)</f>
        <v/>
      </c>
      <c r="C19" s="12">
        <f>(B19-B18)/B18</f>
        <v/>
      </c>
      <c r="D19" s="13">
        <f>(B19-B7)/B7</f>
        <v/>
      </c>
    </row>
    <row r="20">
      <c r="A20" s="11" t="n">
        <v>34001</v>
      </c>
      <c r="B20" s="15">
        <f>VLOOKUP(A20,Database!A:K,MATCH('Retail Sales'!$A$1,Database!$A$1:$K$1,),)</f>
        <v/>
      </c>
      <c r="C20" s="12">
        <f>(B20-B19)/B19</f>
        <v/>
      </c>
      <c r="D20" s="13">
        <f>(B20-B8)/B8</f>
        <v/>
      </c>
    </row>
    <row r="21">
      <c r="A21" s="10" t="n">
        <v>34029</v>
      </c>
      <c r="B21" s="15">
        <f>VLOOKUP(A21,Database!A:K,MATCH('Retail Sales'!$A$1,Database!$A$1:$K$1,),)</f>
        <v/>
      </c>
      <c r="C21" s="12">
        <f>(B21-B20)/B20</f>
        <v/>
      </c>
      <c r="D21" s="13">
        <f>(B21-B9)/B9</f>
        <v/>
      </c>
    </row>
    <row r="22">
      <c r="A22" s="11" t="n">
        <v>34060</v>
      </c>
      <c r="B22" s="15">
        <f>VLOOKUP(A22,Database!A:K,MATCH('Retail Sales'!$A$1,Database!$A$1:$K$1,),)</f>
        <v/>
      </c>
      <c r="C22" s="12">
        <f>(B22-B21)/B21</f>
        <v/>
      </c>
      <c r="D22" s="13">
        <f>(B22-B10)/B10</f>
        <v/>
      </c>
    </row>
    <row r="23">
      <c r="A23" s="10" t="n">
        <v>34090</v>
      </c>
      <c r="B23" s="15">
        <f>VLOOKUP(A23,Database!A:K,MATCH('Retail Sales'!$A$1,Database!$A$1:$K$1,),)</f>
        <v/>
      </c>
      <c r="C23" s="12">
        <f>(B23-B22)/B22</f>
        <v/>
      </c>
      <c r="D23" s="13">
        <f>(B23-B11)/B11</f>
        <v/>
      </c>
    </row>
    <row r="24">
      <c r="A24" s="11" t="n">
        <v>34121</v>
      </c>
      <c r="B24" s="15">
        <f>VLOOKUP(A24,Database!A:K,MATCH('Retail Sales'!$A$1,Database!$A$1:$K$1,),)</f>
        <v/>
      </c>
      <c r="C24" s="12">
        <f>(B24-B23)/B23</f>
        <v/>
      </c>
      <c r="D24" s="13">
        <f>(B24-B12)/B12</f>
        <v/>
      </c>
    </row>
    <row r="25">
      <c r="A25" s="10" t="n">
        <v>34151</v>
      </c>
      <c r="B25" s="15">
        <f>VLOOKUP(A25,Database!A:K,MATCH('Retail Sales'!$A$1,Database!$A$1:$K$1,),)</f>
        <v/>
      </c>
      <c r="C25" s="12">
        <f>(B25-B24)/B24</f>
        <v/>
      </c>
      <c r="D25" s="13">
        <f>(B25-B13)/B13</f>
        <v/>
      </c>
    </row>
    <row r="26">
      <c r="A26" s="11" t="n">
        <v>34182</v>
      </c>
      <c r="B26" s="15">
        <f>VLOOKUP(A26,Database!A:K,MATCH('Retail Sales'!$A$1,Database!$A$1:$K$1,),)</f>
        <v/>
      </c>
      <c r="C26" s="12">
        <f>(B26-B25)/B25</f>
        <v/>
      </c>
      <c r="D26" s="13">
        <f>(B26-B14)/B14</f>
        <v/>
      </c>
    </row>
    <row r="27">
      <c r="A27" s="10" t="n">
        <v>34213</v>
      </c>
      <c r="B27" s="15">
        <f>VLOOKUP(A27,Database!A:K,MATCH('Retail Sales'!$A$1,Database!$A$1:$K$1,),)</f>
        <v/>
      </c>
      <c r="C27" s="12">
        <f>(B27-B26)/B26</f>
        <v/>
      </c>
      <c r="D27" s="13">
        <f>(B27-B15)/B15</f>
        <v/>
      </c>
    </row>
    <row r="28">
      <c r="A28" s="11" t="n">
        <v>34243</v>
      </c>
      <c r="B28" s="15">
        <f>VLOOKUP(A28,Database!A:K,MATCH('Retail Sales'!$A$1,Database!$A$1:$K$1,),)</f>
        <v/>
      </c>
      <c r="C28" s="12">
        <f>(B28-B27)/B27</f>
        <v/>
      </c>
      <c r="D28" s="13">
        <f>(B28-B16)/B16</f>
        <v/>
      </c>
    </row>
    <row r="29">
      <c r="A29" s="10" t="n">
        <v>34274</v>
      </c>
      <c r="B29" s="15">
        <f>VLOOKUP(A29,Database!A:K,MATCH('Retail Sales'!$A$1,Database!$A$1:$K$1,),)</f>
        <v/>
      </c>
      <c r="C29" s="12">
        <f>(B29-B28)/B28</f>
        <v/>
      </c>
      <c r="D29" s="13">
        <f>(B29-B17)/B17</f>
        <v/>
      </c>
    </row>
    <row r="30">
      <c r="A30" s="11" t="n">
        <v>34304</v>
      </c>
      <c r="B30" s="15">
        <f>VLOOKUP(A30,Database!A:K,MATCH('Retail Sales'!$A$1,Database!$A$1:$K$1,),)</f>
        <v/>
      </c>
      <c r="C30" s="12">
        <f>(B30-B29)/B29</f>
        <v/>
      </c>
      <c r="D30" s="13">
        <f>(B30-B18)/B18</f>
        <v/>
      </c>
    </row>
    <row r="31">
      <c r="A31" s="10" t="n">
        <v>34335</v>
      </c>
      <c r="B31" s="15">
        <f>VLOOKUP(A31,Database!A:K,MATCH('Retail Sales'!$A$1,Database!$A$1:$K$1,),)</f>
        <v/>
      </c>
      <c r="C31" s="12">
        <f>(B31-B30)/B30</f>
        <v/>
      </c>
      <c r="D31" s="13">
        <f>(B31-B19)/B19</f>
        <v/>
      </c>
    </row>
    <row r="32">
      <c r="A32" s="11" t="n">
        <v>34366</v>
      </c>
      <c r="B32" s="15">
        <f>VLOOKUP(A32,Database!A:K,MATCH('Retail Sales'!$A$1,Database!$A$1:$K$1,),)</f>
        <v/>
      </c>
      <c r="C32" s="12">
        <f>(B32-B31)/B31</f>
        <v/>
      </c>
      <c r="D32" s="13">
        <f>(B32-B20)/B20</f>
        <v/>
      </c>
    </row>
    <row r="33">
      <c r="A33" s="10" t="n">
        <v>34394</v>
      </c>
      <c r="B33" s="15">
        <f>VLOOKUP(A33,Database!A:K,MATCH('Retail Sales'!$A$1,Database!$A$1:$K$1,),)</f>
        <v/>
      </c>
      <c r="C33" s="12">
        <f>(B33-B32)/B32</f>
        <v/>
      </c>
      <c r="D33" s="13">
        <f>(B33-B21)/B21</f>
        <v/>
      </c>
    </row>
    <row r="34">
      <c r="A34" s="11" t="n">
        <v>34425</v>
      </c>
      <c r="B34" s="15">
        <f>VLOOKUP(A34,Database!A:K,MATCH('Retail Sales'!$A$1,Database!$A$1:$K$1,),)</f>
        <v/>
      </c>
      <c r="C34" s="12">
        <f>(B34-B33)/B33</f>
        <v/>
      </c>
      <c r="D34" s="13">
        <f>(B34-B22)/B22</f>
        <v/>
      </c>
    </row>
    <row r="35">
      <c r="A35" s="10" t="n">
        <v>34455</v>
      </c>
      <c r="B35" s="15">
        <f>VLOOKUP(A35,Database!A:K,MATCH('Retail Sales'!$A$1,Database!$A$1:$K$1,),)</f>
        <v/>
      </c>
      <c r="C35" s="12">
        <f>(B35-B34)/B34</f>
        <v/>
      </c>
      <c r="D35" s="13">
        <f>(B35-B23)/B23</f>
        <v/>
      </c>
    </row>
    <row r="36">
      <c r="A36" s="11" t="n">
        <v>34486</v>
      </c>
      <c r="B36" s="15">
        <f>VLOOKUP(A36,Database!A:K,MATCH('Retail Sales'!$A$1,Database!$A$1:$K$1,),)</f>
        <v/>
      </c>
      <c r="C36" s="12">
        <f>(B36-B35)/B35</f>
        <v/>
      </c>
      <c r="D36" s="13">
        <f>(B36-B24)/B24</f>
        <v/>
      </c>
    </row>
    <row r="37">
      <c r="A37" s="10" t="n">
        <v>34516</v>
      </c>
      <c r="B37" s="15">
        <f>VLOOKUP(A37,Database!A:K,MATCH('Retail Sales'!$A$1,Database!$A$1:$K$1,),)</f>
        <v/>
      </c>
      <c r="C37" s="12">
        <f>(B37-B36)/B36</f>
        <v/>
      </c>
      <c r="D37" s="13">
        <f>(B37-B25)/B25</f>
        <v/>
      </c>
    </row>
    <row r="38">
      <c r="A38" s="11" t="n">
        <v>34547</v>
      </c>
      <c r="B38" s="15">
        <f>VLOOKUP(A38,Database!A:K,MATCH('Retail Sales'!$A$1,Database!$A$1:$K$1,),)</f>
        <v/>
      </c>
      <c r="C38" s="12">
        <f>(B38-B37)/B37</f>
        <v/>
      </c>
      <c r="D38" s="13">
        <f>(B38-B26)/B26</f>
        <v/>
      </c>
    </row>
    <row r="39">
      <c r="A39" s="10" t="n">
        <v>34578</v>
      </c>
      <c r="B39" s="15">
        <f>VLOOKUP(A39,Database!A:K,MATCH('Retail Sales'!$A$1,Database!$A$1:$K$1,),)</f>
        <v/>
      </c>
      <c r="C39" s="12">
        <f>(B39-B38)/B38</f>
        <v/>
      </c>
      <c r="D39" s="13">
        <f>(B39-B27)/B27</f>
        <v/>
      </c>
    </row>
    <row r="40">
      <c r="A40" s="11" t="n">
        <v>34608</v>
      </c>
      <c r="B40" s="15">
        <f>VLOOKUP(A40,Database!A:K,MATCH('Retail Sales'!$A$1,Database!$A$1:$K$1,),)</f>
        <v/>
      </c>
      <c r="C40" s="12">
        <f>(B40-B39)/B39</f>
        <v/>
      </c>
      <c r="D40" s="13">
        <f>(B40-B28)/B28</f>
        <v/>
      </c>
    </row>
    <row r="41">
      <c r="A41" s="10" t="n">
        <v>34639</v>
      </c>
      <c r="B41" s="15">
        <f>VLOOKUP(A41,Database!A:K,MATCH('Retail Sales'!$A$1,Database!$A$1:$K$1,),)</f>
        <v/>
      </c>
      <c r="C41" s="12">
        <f>(B41-B40)/B40</f>
        <v/>
      </c>
      <c r="D41" s="13">
        <f>(B41-B29)/B29</f>
        <v/>
      </c>
    </row>
    <row r="42">
      <c r="A42" s="11" t="n">
        <v>34669</v>
      </c>
      <c r="B42" s="15">
        <f>VLOOKUP(A42,Database!A:K,MATCH('Retail Sales'!$A$1,Database!$A$1:$K$1,),)</f>
        <v/>
      </c>
      <c r="C42" s="12">
        <f>(B42-B41)/B41</f>
        <v/>
      </c>
      <c r="D42" s="13">
        <f>(B42-B30)/B30</f>
        <v/>
      </c>
    </row>
    <row r="43">
      <c r="A43" s="10" t="n">
        <v>34700</v>
      </c>
      <c r="B43" s="15">
        <f>VLOOKUP(A43,Database!A:K,MATCH('Retail Sales'!$A$1,Database!$A$1:$K$1,),)</f>
        <v/>
      </c>
      <c r="C43" s="12">
        <f>(B43-B42)/B42</f>
        <v/>
      </c>
      <c r="D43" s="13">
        <f>(B43-B31)/B31</f>
        <v/>
      </c>
    </row>
    <row r="44">
      <c r="A44" s="11" t="n">
        <v>34731</v>
      </c>
      <c r="B44" s="15">
        <f>VLOOKUP(A44,Database!A:K,MATCH('Retail Sales'!$A$1,Database!$A$1:$K$1,),)</f>
        <v/>
      </c>
      <c r="C44" s="12">
        <f>(B44-B43)/B43</f>
        <v/>
      </c>
      <c r="D44" s="13">
        <f>(B44-B32)/B32</f>
        <v/>
      </c>
    </row>
    <row r="45">
      <c r="A45" s="10" t="n">
        <v>34759</v>
      </c>
      <c r="B45" s="15">
        <f>VLOOKUP(A45,Database!A:K,MATCH('Retail Sales'!$A$1,Database!$A$1:$K$1,),)</f>
        <v/>
      </c>
      <c r="C45" s="12">
        <f>(B45-B44)/B44</f>
        <v/>
      </c>
      <c r="D45" s="13">
        <f>(B45-B33)/B33</f>
        <v/>
      </c>
    </row>
    <row r="46">
      <c r="A46" s="11" t="n">
        <v>34790</v>
      </c>
      <c r="B46" s="15">
        <f>VLOOKUP(A46,Database!A:K,MATCH('Retail Sales'!$A$1,Database!$A$1:$K$1,),)</f>
        <v/>
      </c>
      <c r="C46" s="12">
        <f>(B46-B45)/B45</f>
        <v/>
      </c>
      <c r="D46" s="13">
        <f>(B46-B34)/B34</f>
        <v/>
      </c>
    </row>
    <row r="47">
      <c r="A47" s="10" t="n">
        <v>34820</v>
      </c>
      <c r="B47" s="15">
        <f>VLOOKUP(A47,Database!A:K,MATCH('Retail Sales'!$A$1,Database!$A$1:$K$1,),)</f>
        <v/>
      </c>
      <c r="C47" s="12">
        <f>(B47-B46)/B46</f>
        <v/>
      </c>
      <c r="D47" s="13">
        <f>(B47-B35)/B35</f>
        <v/>
      </c>
    </row>
    <row r="48">
      <c r="A48" s="11" t="n">
        <v>34851</v>
      </c>
      <c r="B48" s="15">
        <f>VLOOKUP(A48,Database!A:K,MATCH('Retail Sales'!$A$1,Database!$A$1:$K$1,),)</f>
        <v/>
      </c>
      <c r="C48" s="12">
        <f>(B48-B47)/B47</f>
        <v/>
      </c>
      <c r="D48" s="13">
        <f>(B48-B36)/B36</f>
        <v/>
      </c>
    </row>
    <row r="49">
      <c r="A49" s="10" t="n">
        <v>34881</v>
      </c>
      <c r="B49" s="15">
        <f>VLOOKUP(A49,Database!A:K,MATCH('Retail Sales'!$A$1,Database!$A$1:$K$1,),)</f>
        <v/>
      </c>
      <c r="C49" s="12">
        <f>(B49-B48)/B48</f>
        <v/>
      </c>
      <c r="D49" s="13">
        <f>(B49-B37)/B37</f>
        <v/>
      </c>
    </row>
    <row r="50">
      <c r="A50" s="11" t="n">
        <v>34912</v>
      </c>
      <c r="B50" s="15">
        <f>VLOOKUP(A50,Database!A:K,MATCH('Retail Sales'!$A$1,Database!$A$1:$K$1,),)</f>
        <v/>
      </c>
      <c r="C50" s="12">
        <f>(B50-B49)/B49</f>
        <v/>
      </c>
      <c r="D50" s="13">
        <f>(B50-B38)/B38</f>
        <v/>
      </c>
    </row>
    <row r="51">
      <c r="A51" s="10" t="n">
        <v>34943</v>
      </c>
      <c r="B51" s="15">
        <f>VLOOKUP(A51,Database!A:K,MATCH('Retail Sales'!$A$1,Database!$A$1:$K$1,),)</f>
        <v/>
      </c>
      <c r="C51" s="12">
        <f>(B51-B50)/B50</f>
        <v/>
      </c>
      <c r="D51" s="13">
        <f>(B51-B39)/B39</f>
        <v/>
      </c>
    </row>
    <row r="52">
      <c r="A52" s="11" t="n">
        <v>34973</v>
      </c>
      <c r="B52" s="15">
        <f>VLOOKUP(A52,Database!A:K,MATCH('Retail Sales'!$A$1,Database!$A$1:$K$1,),)</f>
        <v/>
      </c>
      <c r="C52" s="12">
        <f>(B52-B51)/B51</f>
        <v/>
      </c>
      <c r="D52" s="13">
        <f>(B52-B40)/B40</f>
        <v/>
      </c>
    </row>
    <row r="53">
      <c r="A53" s="10" t="n">
        <v>35004</v>
      </c>
      <c r="B53" s="15">
        <f>VLOOKUP(A53,Database!A:K,MATCH('Retail Sales'!$A$1,Database!$A$1:$K$1,),)</f>
        <v/>
      </c>
      <c r="C53" s="12">
        <f>(B53-B52)/B52</f>
        <v/>
      </c>
      <c r="D53" s="13">
        <f>(B53-B41)/B41</f>
        <v/>
      </c>
    </row>
    <row r="54">
      <c r="A54" s="11" t="n">
        <v>35034</v>
      </c>
      <c r="B54" s="15">
        <f>VLOOKUP(A54,Database!A:K,MATCH('Retail Sales'!$A$1,Database!$A$1:$K$1,),)</f>
        <v/>
      </c>
      <c r="C54" s="12">
        <f>(B54-B53)/B53</f>
        <v/>
      </c>
      <c r="D54" s="13">
        <f>(B54-B42)/B42</f>
        <v/>
      </c>
    </row>
    <row r="55">
      <c r="A55" s="10" t="n">
        <v>35065</v>
      </c>
      <c r="B55" s="15">
        <f>VLOOKUP(A55,Database!A:K,MATCH('Retail Sales'!$A$1,Database!$A$1:$K$1,),)</f>
        <v/>
      </c>
      <c r="C55" s="12">
        <f>(B55-B54)/B54</f>
        <v/>
      </c>
      <c r="D55" s="13">
        <f>(B55-B43)/B43</f>
        <v/>
      </c>
    </row>
    <row r="56">
      <c r="A56" s="11" t="n">
        <v>35096</v>
      </c>
      <c r="B56" s="15">
        <f>VLOOKUP(A56,Database!A:K,MATCH('Retail Sales'!$A$1,Database!$A$1:$K$1,),)</f>
        <v/>
      </c>
      <c r="C56" s="12">
        <f>(B56-B55)/B55</f>
        <v/>
      </c>
      <c r="D56" s="13">
        <f>(B56-B44)/B44</f>
        <v/>
      </c>
    </row>
    <row r="57">
      <c r="A57" s="10" t="n">
        <v>35125</v>
      </c>
      <c r="B57" s="15">
        <f>VLOOKUP(A57,Database!A:K,MATCH('Retail Sales'!$A$1,Database!$A$1:$K$1,),)</f>
        <v/>
      </c>
      <c r="C57" s="12">
        <f>(B57-B56)/B56</f>
        <v/>
      </c>
      <c r="D57" s="13">
        <f>(B57-B45)/B45</f>
        <v/>
      </c>
    </row>
    <row r="58">
      <c r="A58" s="11" t="n">
        <v>35156</v>
      </c>
      <c r="B58" s="15">
        <f>VLOOKUP(A58,Database!A:K,MATCH('Retail Sales'!$A$1,Database!$A$1:$K$1,),)</f>
        <v/>
      </c>
      <c r="C58" s="12">
        <f>(B58-B57)/B57</f>
        <v/>
      </c>
      <c r="D58" s="13">
        <f>(B58-B46)/B46</f>
        <v/>
      </c>
    </row>
    <row r="59">
      <c r="A59" s="10" t="n">
        <v>35186</v>
      </c>
      <c r="B59" s="15">
        <f>VLOOKUP(A59,Database!A:K,MATCH('Retail Sales'!$A$1,Database!$A$1:$K$1,),)</f>
        <v/>
      </c>
      <c r="C59" s="12">
        <f>(B59-B58)/B58</f>
        <v/>
      </c>
      <c r="D59" s="13">
        <f>(B59-B47)/B47</f>
        <v/>
      </c>
    </row>
    <row r="60">
      <c r="A60" s="11" t="n">
        <v>35217</v>
      </c>
      <c r="B60" s="15">
        <f>VLOOKUP(A60,Database!A:K,MATCH('Retail Sales'!$A$1,Database!$A$1:$K$1,),)</f>
        <v/>
      </c>
      <c r="C60" s="12">
        <f>(B60-B59)/B59</f>
        <v/>
      </c>
      <c r="D60" s="13">
        <f>(B60-B48)/B48</f>
        <v/>
      </c>
    </row>
    <row r="61">
      <c r="A61" s="10" t="n">
        <v>35247</v>
      </c>
      <c r="B61" s="15">
        <f>VLOOKUP(A61,Database!A:K,MATCH('Retail Sales'!$A$1,Database!$A$1:$K$1,),)</f>
        <v/>
      </c>
      <c r="C61" s="12">
        <f>(B61-B60)/B60</f>
        <v/>
      </c>
      <c r="D61" s="13">
        <f>(B61-B49)/B49</f>
        <v/>
      </c>
    </row>
    <row r="62">
      <c r="A62" s="11" t="n">
        <v>35278</v>
      </c>
      <c r="B62" s="15">
        <f>VLOOKUP(A62,Database!A:K,MATCH('Retail Sales'!$A$1,Database!$A$1:$K$1,),)</f>
        <v/>
      </c>
      <c r="C62" s="12">
        <f>(B62-B61)/B61</f>
        <v/>
      </c>
      <c r="D62" s="13">
        <f>(B62-B50)/B50</f>
        <v/>
      </c>
    </row>
    <row r="63">
      <c r="A63" s="10" t="n">
        <v>35309</v>
      </c>
      <c r="B63" s="15">
        <f>VLOOKUP(A63,Database!A:K,MATCH('Retail Sales'!$A$1,Database!$A$1:$K$1,),)</f>
        <v/>
      </c>
      <c r="C63" s="12">
        <f>(B63-B62)/B62</f>
        <v/>
      </c>
      <c r="D63" s="13">
        <f>(B63-B51)/B51</f>
        <v/>
      </c>
    </row>
    <row r="64">
      <c r="A64" s="11" t="n">
        <v>35339</v>
      </c>
      <c r="B64" s="15">
        <f>VLOOKUP(A64,Database!A:K,MATCH('Retail Sales'!$A$1,Database!$A$1:$K$1,),)</f>
        <v/>
      </c>
      <c r="C64" s="12">
        <f>(B64-B63)/B63</f>
        <v/>
      </c>
      <c r="D64" s="13">
        <f>(B64-B52)/B52</f>
        <v/>
      </c>
    </row>
    <row r="65">
      <c r="A65" s="10" t="n">
        <v>35370</v>
      </c>
      <c r="B65" s="15">
        <f>VLOOKUP(A65,Database!A:K,MATCH('Retail Sales'!$A$1,Database!$A$1:$K$1,),)</f>
        <v/>
      </c>
      <c r="C65" s="12">
        <f>(B65-B64)/B64</f>
        <v/>
      </c>
      <c r="D65" s="13">
        <f>(B65-B53)/B53</f>
        <v/>
      </c>
    </row>
    <row r="66">
      <c r="A66" s="11" t="n">
        <v>35400</v>
      </c>
      <c r="B66" s="15">
        <f>VLOOKUP(A66,Database!A:K,MATCH('Retail Sales'!$A$1,Database!$A$1:$K$1,),)</f>
        <v/>
      </c>
      <c r="C66" s="12">
        <f>(B66-B65)/B65</f>
        <v/>
      </c>
      <c r="D66" s="13">
        <f>(B66-B54)/B54</f>
        <v/>
      </c>
    </row>
    <row r="67">
      <c r="A67" s="10" t="n">
        <v>35431</v>
      </c>
      <c r="B67" s="15">
        <f>VLOOKUP(A67,Database!A:K,MATCH('Retail Sales'!$A$1,Database!$A$1:$K$1,),)</f>
        <v/>
      </c>
      <c r="C67" s="12">
        <f>(B67-B66)/B66</f>
        <v/>
      </c>
      <c r="D67" s="13">
        <f>(B67-B55)/B55</f>
        <v/>
      </c>
    </row>
    <row r="68">
      <c r="A68" s="11" t="n">
        <v>35462</v>
      </c>
      <c r="B68" s="15">
        <f>VLOOKUP(A68,Database!A:K,MATCH('Retail Sales'!$A$1,Database!$A$1:$K$1,),)</f>
        <v/>
      </c>
      <c r="C68" s="12">
        <f>(B68-B67)/B67</f>
        <v/>
      </c>
      <c r="D68" s="13">
        <f>(B68-B56)/B56</f>
        <v/>
      </c>
    </row>
    <row r="69">
      <c r="A69" s="10" t="n">
        <v>35490</v>
      </c>
      <c r="B69" s="15">
        <f>VLOOKUP(A69,Database!A:K,MATCH('Retail Sales'!$A$1,Database!$A$1:$K$1,),)</f>
        <v/>
      </c>
      <c r="C69" s="12">
        <f>(B69-B68)/B68</f>
        <v/>
      </c>
      <c r="D69" s="13">
        <f>(B69-B57)/B57</f>
        <v/>
      </c>
    </row>
    <row r="70">
      <c r="A70" s="11" t="n">
        <v>35521</v>
      </c>
      <c r="B70" s="15">
        <f>VLOOKUP(A70,Database!A:K,MATCH('Retail Sales'!$A$1,Database!$A$1:$K$1,),)</f>
        <v/>
      </c>
      <c r="C70" s="12">
        <f>(B70-B69)/B69</f>
        <v/>
      </c>
      <c r="D70" s="13">
        <f>(B70-B58)/B58</f>
        <v/>
      </c>
    </row>
    <row r="71">
      <c r="A71" s="10" t="n">
        <v>35551</v>
      </c>
      <c r="B71" s="15">
        <f>VLOOKUP(A71,Database!A:K,MATCH('Retail Sales'!$A$1,Database!$A$1:$K$1,),)</f>
        <v/>
      </c>
      <c r="C71" s="12">
        <f>(B71-B70)/B70</f>
        <v/>
      </c>
      <c r="D71" s="13">
        <f>(B71-B59)/B59</f>
        <v/>
      </c>
    </row>
    <row r="72">
      <c r="A72" s="11" t="n">
        <v>35582</v>
      </c>
      <c r="B72" s="15">
        <f>VLOOKUP(A72,Database!A:K,MATCH('Retail Sales'!$A$1,Database!$A$1:$K$1,),)</f>
        <v/>
      </c>
      <c r="C72" s="12">
        <f>(B72-B71)/B71</f>
        <v/>
      </c>
      <c r="D72" s="13">
        <f>(B72-B60)/B60</f>
        <v/>
      </c>
    </row>
    <row r="73">
      <c r="A73" s="10" t="n">
        <v>35612</v>
      </c>
      <c r="B73" s="15">
        <f>VLOOKUP(A73,Database!A:K,MATCH('Retail Sales'!$A$1,Database!$A$1:$K$1,),)</f>
        <v/>
      </c>
      <c r="C73" s="12">
        <f>(B73-B72)/B72</f>
        <v/>
      </c>
      <c r="D73" s="13">
        <f>(B73-B61)/B61</f>
        <v/>
      </c>
    </row>
    <row r="74">
      <c r="A74" s="11" t="n">
        <v>35643</v>
      </c>
      <c r="B74" s="15">
        <f>VLOOKUP(A74,Database!A:K,MATCH('Retail Sales'!$A$1,Database!$A$1:$K$1,),)</f>
        <v/>
      </c>
      <c r="C74" s="12">
        <f>(B74-B73)/B73</f>
        <v/>
      </c>
      <c r="D74" s="13">
        <f>(B74-B62)/B62</f>
        <v/>
      </c>
    </row>
    <row r="75">
      <c r="A75" s="10" t="n">
        <v>35674</v>
      </c>
      <c r="B75" s="15">
        <f>VLOOKUP(A75,Database!A:K,MATCH('Retail Sales'!$A$1,Database!$A$1:$K$1,),)</f>
        <v/>
      </c>
      <c r="C75" s="12">
        <f>(B75-B74)/B74</f>
        <v/>
      </c>
      <c r="D75" s="13">
        <f>(B75-B63)/B63</f>
        <v/>
      </c>
    </row>
    <row r="76">
      <c r="A76" s="11" t="n">
        <v>35704</v>
      </c>
      <c r="B76" s="15">
        <f>VLOOKUP(A76,Database!A:K,MATCH('Retail Sales'!$A$1,Database!$A$1:$K$1,),)</f>
        <v/>
      </c>
      <c r="C76" s="12">
        <f>(B76-B75)/B75</f>
        <v/>
      </c>
      <c r="D76" s="13">
        <f>(B76-B64)/B64</f>
        <v/>
      </c>
    </row>
    <row r="77">
      <c r="A77" s="10" t="n">
        <v>35735</v>
      </c>
      <c r="B77" s="15">
        <f>VLOOKUP(A77,Database!A:K,MATCH('Retail Sales'!$A$1,Database!$A$1:$K$1,),)</f>
        <v/>
      </c>
      <c r="C77" s="12">
        <f>(B77-B76)/B76</f>
        <v/>
      </c>
      <c r="D77" s="13">
        <f>(B77-B65)/B65</f>
        <v/>
      </c>
    </row>
    <row r="78">
      <c r="A78" s="11" t="n">
        <v>35765</v>
      </c>
      <c r="B78" s="15">
        <f>VLOOKUP(A78,Database!A:K,MATCH('Retail Sales'!$A$1,Database!$A$1:$K$1,),)</f>
        <v/>
      </c>
      <c r="C78" s="12">
        <f>(B78-B77)/B77</f>
        <v/>
      </c>
      <c r="D78" s="13">
        <f>(B78-B66)/B66</f>
        <v/>
      </c>
    </row>
    <row r="79">
      <c r="A79" s="10" t="n">
        <v>35796</v>
      </c>
      <c r="B79" s="15">
        <f>VLOOKUP(A79,Database!A:K,MATCH('Retail Sales'!$A$1,Database!$A$1:$K$1,),)</f>
        <v/>
      </c>
      <c r="C79" s="12">
        <f>(B79-B78)/B78</f>
        <v/>
      </c>
      <c r="D79" s="13">
        <f>(B79-B67)/B67</f>
        <v/>
      </c>
    </row>
    <row r="80">
      <c r="A80" s="11" t="n">
        <v>35827</v>
      </c>
      <c r="B80" s="15">
        <f>VLOOKUP(A80,Database!A:K,MATCH('Retail Sales'!$A$1,Database!$A$1:$K$1,),)</f>
        <v/>
      </c>
      <c r="C80" s="12">
        <f>(B80-B79)/B79</f>
        <v/>
      </c>
      <c r="D80" s="13">
        <f>(B80-B68)/B68</f>
        <v/>
      </c>
    </row>
    <row r="81">
      <c r="A81" s="10" t="n">
        <v>35855</v>
      </c>
      <c r="B81" s="15">
        <f>VLOOKUP(A81,Database!A:K,MATCH('Retail Sales'!$A$1,Database!$A$1:$K$1,),)</f>
        <v/>
      </c>
      <c r="C81" s="12">
        <f>(B81-B80)/B80</f>
        <v/>
      </c>
      <c r="D81" s="13">
        <f>(B81-B69)/B69</f>
        <v/>
      </c>
    </row>
    <row r="82">
      <c r="A82" s="11" t="n">
        <v>35886</v>
      </c>
      <c r="B82" s="15">
        <f>VLOOKUP(A82,Database!A:K,MATCH('Retail Sales'!$A$1,Database!$A$1:$K$1,),)</f>
        <v/>
      </c>
      <c r="C82" s="12">
        <f>(B82-B81)/B81</f>
        <v/>
      </c>
      <c r="D82" s="13">
        <f>(B82-B70)/B70</f>
        <v/>
      </c>
    </row>
    <row r="83">
      <c r="A83" s="10" t="n">
        <v>35916</v>
      </c>
      <c r="B83" s="15">
        <f>VLOOKUP(A83,Database!A:K,MATCH('Retail Sales'!$A$1,Database!$A$1:$K$1,),)</f>
        <v/>
      </c>
      <c r="C83" s="12">
        <f>(B83-B82)/B82</f>
        <v/>
      </c>
      <c r="D83" s="13">
        <f>(B83-B71)/B71</f>
        <v/>
      </c>
    </row>
    <row r="84">
      <c r="A84" s="11" t="n">
        <v>35947</v>
      </c>
      <c r="B84" s="15">
        <f>VLOOKUP(A84,Database!A:K,MATCH('Retail Sales'!$A$1,Database!$A$1:$K$1,),)</f>
        <v/>
      </c>
      <c r="C84" s="12">
        <f>(B84-B83)/B83</f>
        <v/>
      </c>
      <c r="D84" s="13">
        <f>(B84-B72)/B72</f>
        <v/>
      </c>
    </row>
    <row r="85">
      <c r="A85" s="10" t="n">
        <v>35977</v>
      </c>
      <c r="B85" s="15">
        <f>VLOOKUP(A85,Database!A:K,MATCH('Retail Sales'!$A$1,Database!$A$1:$K$1,),)</f>
        <v/>
      </c>
      <c r="C85" s="12">
        <f>(B85-B84)/B84</f>
        <v/>
      </c>
      <c r="D85" s="13">
        <f>(B85-B73)/B73</f>
        <v/>
      </c>
    </row>
    <row r="86">
      <c r="A86" s="11" t="n">
        <v>36008</v>
      </c>
      <c r="B86" s="15">
        <f>VLOOKUP(A86,Database!A:K,MATCH('Retail Sales'!$A$1,Database!$A$1:$K$1,),)</f>
        <v/>
      </c>
      <c r="C86" s="12">
        <f>(B86-B85)/B85</f>
        <v/>
      </c>
      <c r="D86" s="13">
        <f>(B86-B74)/B74</f>
        <v/>
      </c>
    </row>
    <row r="87">
      <c r="A87" s="10" t="n">
        <v>36039</v>
      </c>
      <c r="B87" s="15">
        <f>VLOOKUP(A87,Database!A:K,MATCH('Retail Sales'!$A$1,Database!$A$1:$K$1,),)</f>
        <v/>
      </c>
      <c r="C87" s="12">
        <f>(B87-B86)/B86</f>
        <v/>
      </c>
      <c r="D87" s="13">
        <f>(B87-B75)/B75</f>
        <v/>
      </c>
    </row>
    <row r="88">
      <c r="A88" s="11" t="n">
        <v>36069</v>
      </c>
      <c r="B88" s="15">
        <f>VLOOKUP(A88,Database!A:K,MATCH('Retail Sales'!$A$1,Database!$A$1:$K$1,),)</f>
        <v/>
      </c>
      <c r="C88" s="12">
        <f>(B88-B87)/B87</f>
        <v/>
      </c>
      <c r="D88" s="13">
        <f>(B88-B76)/B76</f>
        <v/>
      </c>
    </row>
    <row r="89">
      <c r="A89" s="10" t="n">
        <v>36100</v>
      </c>
      <c r="B89" s="15">
        <f>VLOOKUP(A89,Database!A:K,MATCH('Retail Sales'!$A$1,Database!$A$1:$K$1,),)</f>
        <v/>
      </c>
      <c r="C89" s="12">
        <f>(B89-B88)/B88</f>
        <v/>
      </c>
      <c r="D89" s="13">
        <f>(B89-B77)/B77</f>
        <v/>
      </c>
    </row>
    <row r="90">
      <c r="A90" s="11" t="n">
        <v>36130</v>
      </c>
      <c r="B90" s="15">
        <f>VLOOKUP(A90,Database!A:K,MATCH('Retail Sales'!$A$1,Database!$A$1:$K$1,),)</f>
        <v/>
      </c>
      <c r="C90" s="12">
        <f>(B90-B89)/B89</f>
        <v/>
      </c>
      <c r="D90" s="13">
        <f>(B90-B78)/B78</f>
        <v/>
      </c>
    </row>
    <row r="91">
      <c r="A91" s="10" t="n">
        <v>36161</v>
      </c>
      <c r="B91" s="15">
        <f>VLOOKUP(A91,Database!A:K,MATCH('Retail Sales'!$A$1,Database!$A$1:$K$1,),)</f>
        <v/>
      </c>
      <c r="C91" s="12">
        <f>(B91-B90)/B90</f>
        <v/>
      </c>
      <c r="D91" s="13">
        <f>(B91-B79)/B79</f>
        <v/>
      </c>
    </row>
    <row r="92">
      <c r="A92" s="11" t="n">
        <v>36192</v>
      </c>
      <c r="B92" s="15">
        <f>VLOOKUP(A92,Database!A:K,MATCH('Retail Sales'!$A$1,Database!$A$1:$K$1,),)</f>
        <v/>
      </c>
      <c r="C92" s="12">
        <f>(B92-B91)/B91</f>
        <v/>
      </c>
      <c r="D92" s="13">
        <f>(B92-B80)/B80</f>
        <v/>
      </c>
    </row>
    <row r="93">
      <c r="A93" s="10" t="n">
        <v>36220</v>
      </c>
      <c r="B93" s="15">
        <f>VLOOKUP(A93,Database!A:K,MATCH('Retail Sales'!$A$1,Database!$A$1:$K$1,),)</f>
        <v/>
      </c>
      <c r="C93" s="12">
        <f>(B93-B92)/B92</f>
        <v/>
      </c>
      <c r="D93" s="13">
        <f>(B93-B81)/B81</f>
        <v/>
      </c>
    </row>
    <row r="94">
      <c r="A94" s="11" t="n">
        <v>36251</v>
      </c>
      <c r="B94" s="15">
        <f>VLOOKUP(A94,Database!A:K,MATCH('Retail Sales'!$A$1,Database!$A$1:$K$1,),)</f>
        <v/>
      </c>
      <c r="C94" s="12">
        <f>(B94-B93)/B93</f>
        <v/>
      </c>
      <c r="D94" s="13">
        <f>(B94-B82)/B82</f>
        <v/>
      </c>
    </row>
    <row r="95">
      <c r="A95" s="10" t="n">
        <v>36281</v>
      </c>
      <c r="B95" s="15">
        <f>VLOOKUP(A95,Database!A:K,MATCH('Retail Sales'!$A$1,Database!$A$1:$K$1,),)</f>
        <v/>
      </c>
      <c r="C95" s="12">
        <f>(B95-B94)/B94</f>
        <v/>
      </c>
      <c r="D95" s="13">
        <f>(B95-B83)/B83</f>
        <v/>
      </c>
    </row>
    <row r="96">
      <c r="A96" s="11" t="n">
        <v>36312</v>
      </c>
      <c r="B96" s="15">
        <f>VLOOKUP(A96,Database!A:K,MATCH('Retail Sales'!$A$1,Database!$A$1:$K$1,),)</f>
        <v/>
      </c>
      <c r="C96" s="12">
        <f>(B96-B95)/B95</f>
        <v/>
      </c>
      <c r="D96" s="13">
        <f>(B96-B84)/B84</f>
        <v/>
      </c>
    </row>
    <row r="97">
      <c r="A97" s="10" t="n">
        <v>36342</v>
      </c>
      <c r="B97" s="15">
        <f>VLOOKUP(A97,Database!A:K,MATCH('Retail Sales'!$A$1,Database!$A$1:$K$1,),)</f>
        <v/>
      </c>
      <c r="C97" s="12">
        <f>(B97-B96)/B96</f>
        <v/>
      </c>
      <c r="D97" s="13">
        <f>(B97-B85)/B85</f>
        <v/>
      </c>
    </row>
    <row r="98">
      <c r="A98" s="11" t="n">
        <v>36373</v>
      </c>
      <c r="B98" s="15">
        <f>VLOOKUP(A98,Database!A:K,MATCH('Retail Sales'!$A$1,Database!$A$1:$K$1,),)</f>
        <v/>
      </c>
      <c r="C98" s="12">
        <f>(B98-B97)/B97</f>
        <v/>
      </c>
      <c r="D98" s="13">
        <f>(B98-B86)/B86</f>
        <v/>
      </c>
    </row>
    <row r="99">
      <c r="A99" s="10" t="n">
        <v>36404</v>
      </c>
      <c r="B99" s="15">
        <f>VLOOKUP(A99,Database!A:K,MATCH('Retail Sales'!$A$1,Database!$A$1:$K$1,),)</f>
        <v/>
      </c>
      <c r="C99" s="12">
        <f>(B99-B98)/B98</f>
        <v/>
      </c>
      <c r="D99" s="13">
        <f>(B99-B87)/B87</f>
        <v/>
      </c>
    </row>
    <row r="100">
      <c r="A100" s="11" t="n">
        <v>36434</v>
      </c>
      <c r="B100" s="15">
        <f>VLOOKUP(A100,Database!A:K,MATCH('Retail Sales'!$A$1,Database!$A$1:$K$1,),)</f>
        <v/>
      </c>
      <c r="C100" s="12">
        <f>(B100-B99)/B99</f>
        <v/>
      </c>
      <c r="D100" s="13">
        <f>(B100-B88)/B88</f>
        <v/>
      </c>
    </row>
    <row r="101">
      <c r="A101" s="10" t="n">
        <v>36465</v>
      </c>
      <c r="B101" s="15">
        <f>VLOOKUP(A101,Database!A:K,MATCH('Retail Sales'!$A$1,Database!$A$1:$K$1,),)</f>
        <v/>
      </c>
      <c r="C101" s="12">
        <f>(B101-B100)/B100</f>
        <v/>
      </c>
      <c r="D101" s="13">
        <f>(B101-B89)/B89</f>
        <v/>
      </c>
    </row>
    <row r="102">
      <c r="A102" s="11" t="n">
        <v>36495</v>
      </c>
      <c r="B102" s="15">
        <f>VLOOKUP(A102,Database!A:K,MATCH('Retail Sales'!$A$1,Database!$A$1:$K$1,),)</f>
        <v/>
      </c>
      <c r="C102" s="12">
        <f>(B102-B101)/B101</f>
        <v/>
      </c>
      <c r="D102" s="13">
        <f>(B102-B90)/B90</f>
        <v/>
      </c>
    </row>
    <row r="103">
      <c r="A103" s="10" t="n">
        <v>36526</v>
      </c>
      <c r="B103" s="15">
        <f>VLOOKUP(A103,Database!A:K,MATCH('Retail Sales'!$A$1,Database!$A$1:$K$1,),)</f>
        <v/>
      </c>
      <c r="C103" s="12">
        <f>(B103-B102)/B102</f>
        <v/>
      </c>
      <c r="D103" s="13">
        <f>(B103-B91)/B91</f>
        <v/>
      </c>
    </row>
    <row r="104">
      <c r="A104" s="11" t="n">
        <v>36557</v>
      </c>
      <c r="B104" s="15">
        <f>VLOOKUP(A104,Database!A:K,MATCH('Retail Sales'!$A$1,Database!$A$1:$K$1,),)</f>
        <v/>
      </c>
      <c r="C104" s="12">
        <f>(B104-B103)/B103</f>
        <v/>
      </c>
      <c r="D104" s="13">
        <f>(B104-B92)/B92</f>
        <v/>
      </c>
    </row>
    <row r="105">
      <c r="A105" s="10" t="n">
        <v>36586</v>
      </c>
      <c r="B105" s="15">
        <f>VLOOKUP(A105,Database!A:K,MATCH('Retail Sales'!$A$1,Database!$A$1:$K$1,),)</f>
        <v/>
      </c>
      <c r="C105" s="12">
        <f>(B105-B104)/B104</f>
        <v/>
      </c>
      <c r="D105" s="13">
        <f>(B105-B93)/B93</f>
        <v/>
      </c>
    </row>
    <row r="106">
      <c r="A106" s="11" t="n">
        <v>36617</v>
      </c>
      <c r="B106" s="15">
        <f>VLOOKUP(A106,Database!A:K,MATCH('Retail Sales'!$A$1,Database!$A$1:$K$1,),)</f>
        <v/>
      </c>
      <c r="C106" s="12">
        <f>(B106-B105)/B105</f>
        <v/>
      </c>
      <c r="D106" s="13">
        <f>(B106-B94)/B94</f>
        <v/>
      </c>
    </row>
    <row r="107">
      <c r="A107" s="10" t="n">
        <v>36647</v>
      </c>
      <c r="B107" s="15">
        <f>VLOOKUP(A107,Database!A:K,MATCH('Retail Sales'!$A$1,Database!$A$1:$K$1,),)</f>
        <v/>
      </c>
      <c r="C107" s="12">
        <f>(B107-B106)/B106</f>
        <v/>
      </c>
      <c r="D107" s="13">
        <f>(B107-B95)/B95</f>
        <v/>
      </c>
    </row>
    <row r="108">
      <c r="A108" s="11" t="n">
        <v>36678</v>
      </c>
      <c r="B108" s="15">
        <f>VLOOKUP(A108,Database!A:K,MATCH('Retail Sales'!$A$1,Database!$A$1:$K$1,),)</f>
        <v/>
      </c>
      <c r="C108" s="12">
        <f>(B108-B107)/B107</f>
        <v/>
      </c>
      <c r="D108" s="13">
        <f>(B108-B96)/B96</f>
        <v/>
      </c>
    </row>
    <row r="109">
      <c r="A109" s="10" t="n">
        <v>36708</v>
      </c>
      <c r="B109" s="15">
        <f>VLOOKUP(A109,Database!A:K,MATCH('Retail Sales'!$A$1,Database!$A$1:$K$1,),)</f>
        <v/>
      </c>
      <c r="C109" s="12">
        <f>(B109-B108)/B108</f>
        <v/>
      </c>
      <c r="D109" s="13">
        <f>(B109-B97)/B97</f>
        <v/>
      </c>
    </row>
    <row r="110">
      <c r="A110" s="11" t="n">
        <v>36739</v>
      </c>
      <c r="B110" s="15">
        <f>VLOOKUP(A110,Database!A:K,MATCH('Retail Sales'!$A$1,Database!$A$1:$K$1,),)</f>
        <v/>
      </c>
      <c r="C110" s="12">
        <f>(B110-B109)/B109</f>
        <v/>
      </c>
      <c r="D110" s="13">
        <f>(B110-B98)/B98</f>
        <v/>
      </c>
    </row>
    <row r="111">
      <c r="A111" s="10" t="n">
        <v>36770</v>
      </c>
      <c r="B111" s="15">
        <f>VLOOKUP(A111,Database!A:K,MATCH('Retail Sales'!$A$1,Database!$A$1:$K$1,),)</f>
        <v/>
      </c>
      <c r="C111" s="12">
        <f>(B111-B110)/B110</f>
        <v/>
      </c>
      <c r="D111" s="13">
        <f>(B111-B99)/B99</f>
        <v/>
      </c>
    </row>
    <row r="112">
      <c r="A112" s="11" t="n">
        <v>36800</v>
      </c>
      <c r="B112" s="15">
        <f>VLOOKUP(A112,Database!A:K,MATCH('Retail Sales'!$A$1,Database!$A$1:$K$1,),)</f>
        <v/>
      </c>
      <c r="C112" s="12">
        <f>(B112-B111)/B111</f>
        <v/>
      </c>
      <c r="D112" s="13">
        <f>(B112-B100)/B100</f>
        <v/>
      </c>
    </row>
    <row r="113">
      <c r="A113" s="10" t="n">
        <v>36831</v>
      </c>
      <c r="B113" s="15">
        <f>VLOOKUP(A113,Database!A:K,MATCH('Retail Sales'!$A$1,Database!$A$1:$K$1,),)</f>
        <v/>
      </c>
      <c r="C113" s="12">
        <f>(B113-B112)/B112</f>
        <v/>
      </c>
      <c r="D113" s="13">
        <f>(B113-B101)/B101</f>
        <v/>
      </c>
    </row>
    <row r="114">
      <c r="A114" s="11" t="n">
        <v>36861</v>
      </c>
      <c r="B114" s="15">
        <f>VLOOKUP(A114,Database!A:K,MATCH('Retail Sales'!$A$1,Database!$A$1:$K$1,),)</f>
        <v/>
      </c>
      <c r="C114" s="12">
        <f>(B114-B113)/B113</f>
        <v/>
      </c>
      <c r="D114" s="13">
        <f>(B114-B102)/B102</f>
        <v/>
      </c>
    </row>
    <row r="115">
      <c r="A115" s="10" t="n">
        <v>36892</v>
      </c>
      <c r="B115" s="15">
        <f>VLOOKUP(A115,Database!A:K,MATCH('Retail Sales'!$A$1,Database!$A$1:$K$1,),)</f>
        <v/>
      </c>
      <c r="C115" s="12">
        <f>(B115-B114)/B114</f>
        <v/>
      </c>
      <c r="D115" s="13">
        <f>(B115-B103)/B103</f>
        <v/>
      </c>
    </row>
    <row r="116">
      <c r="A116" s="11" t="n">
        <v>36923</v>
      </c>
      <c r="B116" s="15">
        <f>VLOOKUP(A116,Database!A:K,MATCH('Retail Sales'!$A$1,Database!$A$1:$K$1,),)</f>
        <v/>
      </c>
      <c r="C116" s="12">
        <f>(B116-B115)/B115</f>
        <v/>
      </c>
      <c r="D116" s="13">
        <f>(B116-B104)/B104</f>
        <v/>
      </c>
    </row>
    <row r="117">
      <c r="A117" s="10" t="n">
        <v>36951</v>
      </c>
      <c r="B117" s="15">
        <f>VLOOKUP(A117,Database!A:K,MATCH('Retail Sales'!$A$1,Database!$A$1:$K$1,),)</f>
        <v/>
      </c>
      <c r="C117" s="12">
        <f>(B117-B116)/B116</f>
        <v/>
      </c>
      <c r="D117" s="13">
        <f>(B117-B105)/B105</f>
        <v/>
      </c>
    </row>
    <row r="118">
      <c r="A118" s="11" t="n">
        <v>36982</v>
      </c>
      <c r="B118" s="15">
        <f>VLOOKUP(A118,Database!A:K,MATCH('Retail Sales'!$A$1,Database!$A$1:$K$1,),)</f>
        <v/>
      </c>
      <c r="C118" s="12">
        <f>(B118-B117)/B117</f>
        <v/>
      </c>
      <c r="D118" s="13">
        <f>(B118-B106)/B106</f>
        <v/>
      </c>
    </row>
    <row r="119">
      <c r="A119" s="10" t="n">
        <v>37012</v>
      </c>
      <c r="B119" s="15">
        <f>VLOOKUP(A119,Database!A:K,MATCH('Retail Sales'!$A$1,Database!$A$1:$K$1,),)</f>
        <v/>
      </c>
      <c r="C119" s="12">
        <f>(B119-B118)/B118</f>
        <v/>
      </c>
      <c r="D119" s="13">
        <f>(B119-B107)/B107</f>
        <v/>
      </c>
    </row>
    <row r="120">
      <c r="A120" s="11" t="n">
        <v>37043</v>
      </c>
      <c r="B120" s="15">
        <f>VLOOKUP(A120,Database!A:K,MATCH('Retail Sales'!$A$1,Database!$A$1:$K$1,),)</f>
        <v/>
      </c>
      <c r="C120" s="12">
        <f>(B120-B119)/B119</f>
        <v/>
      </c>
      <c r="D120" s="13">
        <f>(B120-B108)/B108</f>
        <v/>
      </c>
    </row>
    <row r="121">
      <c r="A121" s="10" t="n">
        <v>37073</v>
      </c>
      <c r="B121" s="15">
        <f>VLOOKUP(A121,Database!A:K,MATCH('Retail Sales'!$A$1,Database!$A$1:$K$1,),)</f>
        <v/>
      </c>
      <c r="C121" s="12">
        <f>(B121-B120)/B120</f>
        <v/>
      </c>
      <c r="D121" s="13">
        <f>(B121-B109)/B109</f>
        <v/>
      </c>
    </row>
    <row r="122">
      <c r="A122" s="11" t="n">
        <v>37104</v>
      </c>
      <c r="B122" s="15">
        <f>VLOOKUP(A122,Database!A:K,MATCH('Retail Sales'!$A$1,Database!$A$1:$K$1,),)</f>
        <v/>
      </c>
      <c r="C122" s="12">
        <f>(B122-B121)/B121</f>
        <v/>
      </c>
      <c r="D122" s="13">
        <f>(B122-B110)/B110</f>
        <v/>
      </c>
    </row>
    <row r="123">
      <c r="A123" s="10" t="n">
        <v>37135</v>
      </c>
      <c r="B123" s="15">
        <f>VLOOKUP(A123,Database!A:K,MATCH('Retail Sales'!$A$1,Database!$A$1:$K$1,),)</f>
        <v/>
      </c>
      <c r="C123" s="12">
        <f>(B123-B122)/B122</f>
        <v/>
      </c>
      <c r="D123" s="13">
        <f>(B123-B111)/B111</f>
        <v/>
      </c>
    </row>
    <row r="124">
      <c r="A124" s="11" t="n">
        <v>37165</v>
      </c>
      <c r="B124" s="15">
        <f>VLOOKUP(A124,Database!A:K,MATCH('Retail Sales'!$A$1,Database!$A$1:$K$1,),)</f>
        <v/>
      </c>
      <c r="C124" s="12">
        <f>(B124-B123)/B123</f>
        <v/>
      </c>
      <c r="D124" s="13">
        <f>(B124-B112)/B112</f>
        <v/>
      </c>
    </row>
    <row r="125">
      <c r="A125" s="10" t="n">
        <v>37196</v>
      </c>
      <c r="B125" s="15">
        <f>VLOOKUP(A125,Database!A:K,MATCH('Retail Sales'!$A$1,Database!$A$1:$K$1,),)</f>
        <v/>
      </c>
      <c r="C125" s="12">
        <f>(B125-B124)/B124</f>
        <v/>
      </c>
      <c r="D125" s="13">
        <f>(B125-B113)/B113</f>
        <v/>
      </c>
    </row>
    <row r="126">
      <c r="A126" s="11" t="n">
        <v>37226</v>
      </c>
      <c r="B126" s="15">
        <f>VLOOKUP(A126,Database!A:K,MATCH('Retail Sales'!$A$1,Database!$A$1:$K$1,),)</f>
        <v/>
      </c>
      <c r="C126" s="12">
        <f>(B126-B125)/B125</f>
        <v/>
      </c>
      <c r="D126" s="13">
        <f>(B126-B114)/B114</f>
        <v/>
      </c>
    </row>
    <row r="127">
      <c r="A127" s="10" t="n">
        <v>37257</v>
      </c>
      <c r="B127" s="15">
        <f>VLOOKUP(A127,Database!A:K,MATCH('Retail Sales'!$A$1,Database!$A$1:$K$1,),)</f>
        <v/>
      </c>
      <c r="C127" s="12">
        <f>(B127-B126)/B126</f>
        <v/>
      </c>
      <c r="D127" s="13">
        <f>(B127-B115)/B115</f>
        <v/>
      </c>
    </row>
    <row r="128">
      <c r="A128" s="11" t="n">
        <v>37288</v>
      </c>
      <c r="B128" s="15">
        <f>VLOOKUP(A128,Database!A:K,MATCH('Retail Sales'!$A$1,Database!$A$1:$K$1,),)</f>
        <v/>
      </c>
      <c r="C128" s="12">
        <f>(B128-B127)/B127</f>
        <v/>
      </c>
      <c r="D128" s="13">
        <f>(B128-B116)/B116</f>
        <v/>
      </c>
    </row>
    <row r="129">
      <c r="A129" s="10" t="n">
        <v>37316</v>
      </c>
      <c r="B129" s="15">
        <f>VLOOKUP(A129,Database!A:K,MATCH('Retail Sales'!$A$1,Database!$A$1:$K$1,),)</f>
        <v/>
      </c>
      <c r="C129" s="12">
        <f>(B129-B128)/B128</f>
        <v/>
      </c>
      <c r="D129" s="13">
        <f>(B129-B117)/B117</f>
        <v/>
      </c>
    </row>
    <row r="130">
      <c r="A130" s="11" t="n">
        <v>37347</v>
      </c>
      <c r="B130" s="15">
        <f>VLOOKUP(A130,Database!A:K,MATCH('Retail Sales'!$A$1,Database!$A$1:$K$1,),)</f>
        <v/>
      </c>
      <c r="C130" s="12">
        <f>(B130-B129)/B129</f>
        <v/>
      </c>
      <c r="D130" s="13">
        <f>(B130-B118)/B118</f>
        <v/>
      </c>
    </row>
    <row r="131">
      <c r="A131" s="10" t="n">
        <v>37377</v>
      </c>
      <c r="B131" s="15">
        <f>VLOOKUP(A131,Database!A:K,MATCH('Retail Sales'!$A$1,Database!$A$1:$K$1,),)</f>
        <v/>
      </c>
      <c r="C131" s="12">
        <f>(B131-B130)/B130</f>
        <v/>
      </c>
      <c r="D131" s="13">
        <f>(B131-B119)/B119</f>
        <v/>
      </c>
    </row>
    <row r="132">
      <c r="A132" s="11" t="n">
        <v>37408</v>
      </c>
      <c r="B132" s="15">
        <f>VLOOKUP(A132,Database!A:K,MATCH('Retail Sales'!$A$1,Database!$A$1:$K$1,),)</f>
        <v/>
      </c>
      <c r="C132" s="12">
        <f>(B132-B131)/B131</f>
        <v/>
      </c>
      <c r="D132" s="13">
        <f>(B132-B120)/B120</f>
        <v/>
      </c>
    </row>
    <row r="133">
      <c r="A133" s="10" t="n">
        <v>37438</v>
      </c>
      <c r="B133" s="15">
        <f>VLOOKUP(A133,Database!A:K,MATCH('Retail Sales'!$A$1,Database!$A$1:$K$1,),)</f>
        <v/>
      </c>
      <c r="C133" s="12">
        <f>(B133-B132)/B132</f>
        <v/>
      </c>
      <c r="D133" s="13">
        <f>(B133-B121)/B121</f>
        <v/>
      </c>
    </row>
    <row r="134">
      <c r="A134" s="11" t="n">
        <v>37469</v>
      </c>
      <c r="B134" s="15">
        <f>VLOOKUP(A134,Database!A:K,MATCH('Retail Sales'!$A$1,Database!$A$1:$K$1,),)</f>
        <v/>
      </c>
      <c r="C134" s="12">
        <f>(B134-B133)/B133</f>
        <v/>
      </c>
      <c r="D134" s="13">
        <f>(B134-B122)/B122</f>
        <v/>
      </c>
    </row>
    <row r="135">
      <c r="A135" s="10" t="n">
        <v>37500</v>
      </c>
      <c r="B135" s="15">
        <f>VLOOKUP(A135,Database!A:K,MATCH('Retail Sales'!$A$1,Database!$A$1:$K$1,),)</f>
        <v/>
      </c>
      <c r="C135" s="12">
        <f>(B135-B134)/B134</f>
        <v/>
      </c>
      <c r="D135" s="13">
        <f>(B135-B123)/B123</f>
        <v/>
      </c>
    </row>
    <row r="136">
      <c r="A136" s="11" t="n">
        <v>37530</v>
      </c>
      <c r="B136" s="15">
        <f>VLOOKUP(A136,Database!A:K,MATCH('Retail Sales'!$A$1,Database!$A$1:$K$1,),)</f>
        <v/>
      </c>
      <c r="C136" s="12">
        <f>(B136-B135)/B135</f>
        <v/>
      </c>
      <c r="D136" s="13">
        <f>(B136-B124)/B124</f>
        <v/>
      </c>
    </row>
    <row r="137">
      <c r="A137" s="10" t="n">
        <v>37561</v>
      </c>
      <c r="B137" s="15">
        <f>VLOOKUP(A137,Database!A:K,MATCH('Retail Sales'!$A$1,Database!$A$1:$K$1,),)</f>
        <v/>
      </c>
      <c r="C137" s="12">
        <f>(B137-B136)/B136</f>
        <v/>
      </c>
      <c r="D137" s="13">
        <f>(B137-B125)/B125</f>
        <v/>
      </c>
    </row>
    <row r="138">
      <c r="A138" s="11" t="n">
        <v>37591</v>
      </c>
      <c r="B138" s="15">
        <f>VLOOKUP(A138,Database!A:K,MATCH('Retail Sales'!$A$1,Database!$A$1:$K$1,),)</f>
        <v/>
      </c>
      <c r="C138" s="12">
        <f>(B138-B137)/B137</f>
        <v/>
      </c>
      <c r="D138" s="13">
        <f>(B138-B126)/B126</f>
        <v/>
      </c>
    </row>
    <row r="139">
      <c r="A139" s="10" t="n">
        <v>37622</v>
      </c>
      <c r="B139" s="15">
        <f>VLOOKUP(A139,Database!A:K,MATCH('Retail Sales'!$A$1,Database!$A$1:$K$1,),)</f>
        <v/>
      </c>
      <c r="C139" s="12">
        <f>(B139-B138)/B138</f>
        <v/>
      </c>
      <c r="D139" s="13">
        <f>(B139-B127)/B127</f>
        <v/>
      </c>
    </row>
    <row r="140">
      <c r="A140" s="11" t="n">
        <v>37653</v>
      </c>
      <c r="B140" s="15">
        <f>VLOOKUP(A140,Database!A:K,MATCH('Retail Sales'!$A$1,Database!$A$1:$K$1,),)</f>
        <v/>
      </c>
      <c r="C140" s="12">
        <f>(B140-B139)/B139</f>
        <v/>
      </c>
      <c r="D140" s="13">
        <f>(B140-B128)/B128</f>
        <v/>
      </c>
    </row>
    <row r="141">
      <c r="A141" s="10" t="n">
        <v>37681</v>
      </c>
      <c r="B141" s="15">
        <f>VLOOKUP(A141,Database!A:K,MATCH('Retail Sales'!$A$1,Database!$A$1:$K$1,),)</f>
        <v/>
      </c>
      <c r="C141" s="12">
        <f>(B141-B140)/B140</f>
        <v/>
      </c>
      <c r="D141" s="13">
        <f>(B141-B129)/B129</f>
        <v/>
      </c>
    </row>
    <row r="142">
      <c r="A142" s="11" t="n">
        <v>37712</v>
      </c>
      <c r="B142" s="15">
        <f>VLOOKUP(A142,Database!A:K,MATCH('Retail Sales'!$A$1,Database!$A$1:$K$1,),)</f>
        <v/>
      </c>
      <c r="C142" s="12">
        <f>(B142-B141)/B141</f>
        <v/>
      </c>
      <c r="D142" s="13">
        <f>(B142-B130)/B130</f>
        <v/>
      </c>
    </row>
    <row r="143">
      <c r="A143" s="10" t="n">
        <v>37742</v>
      </c>
      <c r="B143" s="15">
        <f>VLOOKUP(A143,Database!A:K,MATCH('Retail Sales'!$A$1,Database!$A$1:$K$1,),)</f>
        <v/>
      </c>
      <c r="C143" s="12">
        <f>(B143-B142)/B142</f>
        <v/>
      </c>
      <c r="D143" s="13">
        <f>(B143-B131)/B131</f>
        <v/>
      </c>
    </row>
    <row r="144">
      <c r="A144" s="11" t="n">
        <v>37773</v>
      </c>
      <c r="B144" s="15">
        <f>VLOOKUP(A144,Database!A:K,MATCH('Retail Sales'!$A$1,Database!$A$1:$K$1,),)</f>
        <v/>
      </c>
      <c r="C144" s="12">
        <f>(B144-B143)/B143</f>
        <v/>
      </c>
      <c r="D144" s="13">
        <f>(B144-B132)/B132</f>
        <v/>
      </c>
    </row>
    <row r="145">
      <c r="A145" s="10" t="n">
        <v>37803</v>
      </c>
      <c r="B145" s="15">
        <f>VLOOKUP(A145,Database!A:K,MATCH('Retail Sales'!$A$1,Database!$A$1:$K$1,),)</f>
        <v/>
      </c>
      <c r="C145" s="12">
        <f>(B145-B144)/B144</f>
        <v/>
      </c>
      <c r="D145" s="13">
        <f>(B145-B133)/B133</f>
        <v/>
      </c>
    </row>
    <row r="146">
      <c r="A146" s="11" t="n">
        <v>37834</v>
      </c>
      <c r="B146" s="15">
        <f>VLOOKUP(A146,Database!A:K,MATCH('Retail Sales'!$A$1,Database!$A$1:$K$1,),)</f>
        <v/>
      </c>
      <c r="C146" s="12">
        <f>(B146-B145)/B145</f>
        <v/>
      </c>
      <c r="D146" s="13">
        <f>(B146-B134)/B134</f>
        <v/>
      </c>
    </row>
    <row r="147">
      <c r="A147" s="10" t="n">
        <v>37865</v>
      </c>
      <c r="B147" s="15">
        <f>VLOOKUP(A147,Database!A:K,MATCH('Retail Sales'!$A$1,Database!$A$1:$K$1,),)</f>
        <v/>
      </c>
      <c r="C147" s="12">
        <f>(B147-B146)/B146</f>
        <v/>
      </c>
      <c r="D147" s="13">
        <f>(B147-B135)/B135</f>
        <v/>
      </c>
    </row>
    <row r="148">
      <c r="A148" s="11" t="n">
        <v>37895</v>
      </c>
      <c r="B148" s="15">
        <f>VLOOKUP(A148,Database!A:K,MATCH('Retail Sales'!$A$1,Database!$A$1:$K$1,),)</f>
        <v/>
      </c>
      <c r="C148" s="12">
        <f>(B148-B147)/B147</f>
        <v/>
      </c>
      <c r="D148" s="13">
        <f>(B148-B136)/B136</f>
        <v/>
      </c>
    </row>
    <row r="149">
      <c r="A149" s="10" t="n">
        <v>37926</v>
      </c>
      <c r="B149" s="15">
        <f>VLOOKUP(A149,Database!A:K,MATCH('Retail Sales'!$A$1,Database!$A$1:$K$1,),)</f>
        <v/>
      </c>
      <c r="C149" s="12">
        <f>(B149-B148)/B148</f>
        <v/>
      </c>
      <c r="D149" s="13">
        <f>(B149-B137)/B137</f>
        <v/>
      </c>
    </row>
    <row r="150">
      <c r="A150" s="11" t="n">
        <v>37956</v>
      </c>
      <c r="B150" s="15">
        <f>VLOOKUP(A150,Database!A:K,MATCH('Retail Sales'!$A$1,Database!$A$1:$K$1,),)</f>
        <v/>
      </c>
      <c r="C150" s="12">
        <f>(B150-B149)/B149</f>
        <v/>
      </c>
      <c r="D150" s="13">
        <f>(B150-B138)/B138</f>
        <v/>
      </c>
    </row>
    <row r="151">
      <c r="A151" s="10" t="n">
        <v>37987</v>
      </c>
      <c r="B151" s="15">
        <f>VLOOKUP(A151,Database!A:K,MATCH('Retail Sales'!$A$1,Database!$A$1:$K$1,),)</f>
        <v/>
      </c>
      <c r="C151" s="12">
        <f>(B151-B150)/B150</f>
        <v/>
      </c>
      <c r="D151" s="13">
        <f>(B151-B139)/B139</f>
        <v/>
      </c>
    </row>
    <row r="152">
      <c r="A152" s="11" t="n">
        <v>38018</v>
      </c>
      <c r="B152" s="15">
        <f>VLOOKUP(A152,Database!A:K,MATCH('Retail Sales'!$A$1,Database!$A$1:$K$1,),)</f>
        <v/>
      </c>
      <c r="C152" s="12">
        <f>(B152-B151)/B151</f>
        <v/>
      </c>
      <c r="D152" s="13">
        <f>(B152-B140)/B140</f>
        <v/>
      </c>
    </row>
    <row r="153">
      <c r="A153" s="10" t="n">
        <v>38047</v>
      </c>
      <c r="B153" s="15">
        <f>VLOOKUP(A153,Database!A:K,MATCH('Retail Sales'!$A$1,Database!$A$1:$K$1,),)</f>
        <v/>
      </c>
      <c r="C153" s="12">
        <f>(B153-B152)/B152</f>
        <v/>
      </c>
      <c r="D153" s="13">
        <f>(B153-B141)/B141</f>
        <v/>
      </c>
    </row>
    <row r="154">
      <c r="A154" s="11" t="n">
        <v>38078</v>
      </c>
      <c r="B154" s="15">
        <f>VLOOKUP(A154,Database!A:K,MATCH('Retail Sales'!$A$1,Database!$A$1:$K$1,),)</f>
        <v/>
      </c>
      <c r="C154" s="12">
        <f>(B154-B153)/B153</f>
        <v/>
      </c>
      <c r="D154" s="13">
        <f>(B154-B142)/B142</f>
        <v/>
      </c>
    </row>
    <row r="155">
      <c r="A155" s="10" t="n">
        <v>38108</v>
      </c>
      <c r="B155" s="15">
        <f>VLOOKUP(A155,Database!A:K,MATCH('Retail Sales'!$A$1,Database!$A$1:$K$1,),)</f>
        <v/>
      </c>
      <c r="C155" s="12">
        <f>(B155-B154)/B154</f>
        <v/>
      </c>
      <c r="D155" s="13">
        <f>(B155-B143)/B143</f>
        <v/>
      </c>
    </row>
    <row r="156">
      <c r="A156" s="11" t="n">
        <v>38139</v>
      </c>
      <c r="B156" s="15">
        <f>VLOOKUP(A156,Database!A:K,MATCH('Retail Sales'!$A$1,Database!$A$1:$K$1,),)</f>
        <v/>
      </c>
      <c r="C156" s="12">
        <f>(B156-B155)/B155</f>
        <v/>
      </c>
      <c r="D156" s="13">
        <f>(B156-B144)/B144</f>
        <v/>
      </c>
    </row>
    <row r="157">
      <c r="A157" s="10" t="n">
        <v>38169</v>
      </c>
      <c r="B157" s="15">
        <f>VLOOKUP(A157,Database!A:K,MATCH('Retail Sales'!$A$1,Database!$A$1:$K$1,),)</f>
        <v/>
      </c>
      <c r="C157" s="12">
        <f>(B157-B156)/B156</f>
        <v/>
      </c>
      <c r="D157" s="13">
        <f>(B157-B145)/B145</f>
        <v/>
      </c>
    </row>
    <row r="158">
      <c r="A158" s="11" t="n">
        <v>38200</v>
      </c>
      <c r="B158" s="15">
        <f>VLOOKUP(A158,Database!A:K,MATCH('Retail Sales'!$A$1,Database!$A$1:$K$1,),)</f>
        <v/>
      </c>
      <c r="C158" s="12">
        <f>(B158-B157)/B157</f>
        <v/>
      </c>
      <c r="D158" s="13">
        <f>(B158-B146)/B146</f>
        <v/>
      </c>
    </row>
    <row r="159">
      <c r="A159" s="10" t="n">
        <v>38231</v>
      </c>
      <c r="B159" s="15">
        <f>VLOOKUP(A159,Database!A:K,MATCH('Retail Sales'!$A$1,Database!$A$1:$K$1,),)</f>
        <v/>
      </c>
      <c r="C159" s="12">
        <f>(B159-B158)/B158</f>
        <v/>
      </c>
      <c r="D159" s="13">
        <f>(B159-B147)/B147</f>
        <v/>
      </c>
    </row>
    <row r="160">
      <c r="A160" s="11" t="n">
        <v>38261</v>
      </c>
      <c r="B160" s="15">
        <f>VLOOKUP(A160,Database!A:K,MATCH('Retail Sales'!$A$1,Database!$A$1:$K$1,),)</f>
        <v/>
      </c>
      <c r="C160" s="12">
        <f>(B160-B159)/B159</f>
        <v/>
      </c>
      <c r="D160" s="13">
        <f>(B160-B148)/B148</f>
        <v/>
      </c>
    </row>
    <row r="161">
      <c r="A161" s="10" t="n">
        <v>38292</v>
      </c>
      <c r="B161" s="15">
        <f>VLOOKUP(A161,Database!A:K,MATCH('Retail Sales'!$A$1,Database!$A$1:$K$1,),)</f>
        <v/>
      </c>
      <c r="C161" s="12">
        <f>(B161-B160)/B160</f>
        <v/>
      </c>
      <c r="D161" s="13">
        <f>(B161-B149)/B149</f>
        <v/>
      </c>
    </row>
    <row r="162">
      <c r="A162" s="11" t="n">
        <v>38322</v>
      </c>
      <c r="B162" s="15">
        <f>VLOOKUP(A162,Database!A:K,MATCH('Retail Sales'!$A$1,Database!$A$1:$K$1,),)</f>
        <v/>
      </c>
      <c r="C162" s="12">
        <f>(B162-B161)/B161</f>
        <v/>
      </c>
      <c r="D162" s="13">
        <f>(B162-B150)/B150</f>
        <v/>
      </c>
    </row>
    <row r="163">
      <c r="A163" s="10" t="n">
        <v>38353</v>
      </c>
      <c r="B163" s="15">
        <f>VLOOKUP(A163,Database!A:K,MATCH('Retail Sales'!$A$1,Database!$A$1:$K$1,),)</f>
        <v/>
      </c>
      <c r="C163" s="12">
        <f>(B163-B162)/B162</f>
        <v/>
      </c>
      <c r="D163" s="13">
        <f>(B163-B151)/B151</f>
        <v/>
      </c>
    </row>
    <row r="164">
      <c r="A164" s="11" t="n">
        <v>38384</v>
      </c>
      <c r="B164" s="15">
        <f>VLOOKUP(A164,Database!A:K,MATCH('Retail Sales'!$A$1,Database!$A$1:$K$1,),)</f>
        <v/>
      </c>
      <c r="C164" s="12">
        <f>(B164-B163)/B163</f>
        <v/>
      </c>
      <c r="D164" s="13">
        <f>(B164-B152)/B152</f>
        <v/>
      </c>
    </row>
    <row r="165">
      <c r="A165" s="10" t="n">
        <v>38412</v>
      </c>
      <c r="B165" s="15">
        <f>VLOOKUP(A165,Database!A:K,MATCH('Retail Sales'!$A$1,Database!$A$1:$K$1,),)</f>
        <v/>
      </c>
      <c r="C165" s="12">
        <f>(B165-B164)/B164</f>
        <v/>
      </c>
      <c r="D165" s="13">
        <f>(B165-B153)/B153</f>
        <v/>
      </c>
    </row>
    <row r="166">
      <c r="A166" s="11" t="n">
        <v>38443</v>
      </c>
      <c r="B166" s="15">
        <f>VLOOKUP(A166,Database!A:K,MATCH('Retail Sales'!$A$1,Database!$A$1:$K$1,),)</f>
        <v/>
      </c>
      <c r="C166" s="12">
        <f>(B166-B165)/B165</f>
        <v/>
      </c>
      <c r="D166" s="13">
        <f>(B166-B154)/B154</f>
        <v/>
      </c>
    </row>
    <row r="167">
      <c r="A167" s="10" t="n">
        <v>38473</v>
      </c>
      <c r="B167" s="15">
        <f>VLOOKUP(A167,Database!A:K,MATCH('Retail Sales'!$A$1,Database!$A$1:$K$1,),)</f>
        <v/>
      </c>
      <c r="C167" s="12">
        <f>(B167-B166)/B166</f>
        <v/>
      </c>
      <c r="D167" s="13">
        <f>(B167-B155)/B155</f>
        <v/>
      </c>
    </row>
    <row r="168">
      <c r="A168" s="11" t="n">
        <v>38504</v>
      </c>
      <c r="B168" s="15">
        <f>VLOOKUP(A168,Database!A:K,MATCH('Retail Sales'!$A$1,Database!$A$1:$K$1,),)</f>
        <v/>
      </c>
      <c r="C168" s="12">
        <f>(B168-B167)/B167</f>
        <v/>
      </c>
      <c r="D168" s="13">
        <f>(B168-B156)/B156</f>
        <v/>
      </c>
    </row>
    <row r="169">
      <c r="A169" s="10" t="n">
        <v>38534</v>
      </c>
      <c r="B169" s="15">
        <f>VLOOKUP(A169,Database!A:K,MATCH('Retail Sales'!$A$1,Database!$A$1:$K$1,),)</f>
        <v/>
      </c>
      <c r="C169" s="12">
        <f>(B169-B168)/B168</f>
        <v/>
      </c>
      <c r="D169" s="13">
        <f>(B169-B157)/B157</f>
        <v/>
      </c>
    </row>
    <row r="170">
      <c r="A170" s="11" t="n">
        <v>38565</v>
      </c>
      <c r="B170" s="15">
        <f>VLOOKUP(A170,Database!A:K,MATCH('Retail Sales'!$A$1,Database!$A$1:$K$1,),)</f>
        <v/>
      </c>
      <c r="C170" s="12">
        <f>(B170-B169)/B169</f>
        <v/>
      </c>
      <c r="D170" s="13">
        <f>(B170-B158)/B158</f>
        <v/>
      </c>
    </row>
    <row r="171">
      <c r="A171" s="10" t="n">
        <v>38596</v>
      </c>
      <c r="B171" s="15">
        <f>VLOOKUP(A171,Database!A:K,MATCH('Retail Sales'!$A$1,Database!$A$1:$K$1,),)</f>
        <v/>
      </c>
      <c r="C171" s="12">
        <f>(B171-B170)/B170</f>
        <v/>
      </c>
      <c r="D171" s="13">
        <f>(B171-B159)/B159</f>
        <v/>
      </c>
    </row>
    <row r="172">
      <c r="A172" s="11" t="n">
        <v>38626</v>
      </c>
      <c r="B172" s="15">
        <f>VLOOKUP(A172,Database!A:K,MATCH('Retail Sales'!$A$1,Database!$A$1:$K$1,),)</f>
        <v/>
      </c>
      <c r="C172" s="12">
        <f>(B172-B171)/B171</f>
        <v/>
      </c>
      <c r="D172" s="13">
        <f>(B172-B160)/B160</f>
        <v/>
      </c>
    </row>
    <row r="173">
      <c r="A173" s="10" t="n">
        <v>38657</v>
      </c>
      <c r="B173" s="15">
        <f>VLOOKUP(A173,Database!A:K,MATCH('Retail Sales'!$A$1,Database!$A$1:$K$1,),)</f>
        <v/>
      </c>
      <c r="C173" s="12">
        <f>(B173-B172)/B172</f>
        <v/>
      </c>
      <c r="D173" s="13">
        <f>(B173-B161)/B161</f>
        <v/>
      </c>
    </row>
    <row r="174">
      <c r="A174" s="11" t="n">
        <v>38687</v>
      </c>
      <c r="B174" s="15">
        <f>VLOOKUP(A174,Database!A:K,MATCH('Retail Sales'!$A$1,Database!$A$1:$K$1,),)</f>
        <v/>
      </c>
      <c r="C174" s="12">
        <f>(B174-B173)/B173</f>
        <v/>
      </c>
      <c r="D174" s="13">
        <f>(B174-B162)/B162</f>
        <v/>
      </c>
    </row>
    <row r="175">
      <c r="A175" s="10" t="n">
        <v>38718</v>
      </c>
      <c r="B175" s="15">
        <f>VLOOKUP(A175,Database!A:K,MATCH('Retail Sales'!$A$1,Database!$A$1:$K$1,),)</f>
        <v/>
      </c>
      <c r="C175" s="12">
        <f>(B175-B174)/B174</f>
        <v/>
      </c>
      <c r="D175" s="13">
        <f>(B175-B163)/B163</f>
        <v/>
      </c>
    </row>
    <row r="176">
      <c r="A176" s="11" t="n">
        <v>38749</v>
      </c>
      <c r="B176" s="15">
        <f>VLOOKUP(A176,Database!A:K,MATCH('Retail Sales'!$A$1,Database!$A$1:$K$1,),)</f>
        <v/>
      </c>
      <c r="C176" s="12">
        <f>(B176-B175)/B175</f>
        <v/>
      </c>
      <c r="D176" s="13">
        <f>(B176-B164)/B164</f>
        <v/>
      </c>
    </row>
    <row r="177">
      <c r="A177" s="10" t="n">
        <v>38777</v>
      </c>
      <c r="B177" s="15">
        <f>VLOOKUP(A177,Database!A:K,MATCH('Retail Sales'!$A$1,Database!$A$1:$K$1,),)</f>
        <v/>
      </c>
      <c r="C177" s="12">
        <f>(B177-B176)/B176</f>
        <v/>
      </c>
      <c r="D177" s="13">
        <f>(B177-B165)/B165</f>
        <v/>
      </c>
    </row>
    <row r="178">
      <c r="A178" s="11" t="n">
        <v>38808</v>
      </c>
      <c r="B178" s="15">
        <f>VLOOKUP(A178,Database!A:K,MATCH('Retail Sales'!$A$1,Database!$A$1:$K$1,),)</f>
        <v/>
      </c>
      <c r="C178" s="12">
        <f>(B178-B177)/B177</f>
        <v/>
      </c>
      <c r="D178" s="13">
        <f>(B178-B166)/B166</f>
        <v/>
      </c>
    </row>
    <row r="179">
      <c r="A179" s="10" t="n">
        <v>38838</v>
      </c>
      <c r="B179" s="15">
        <f>VLOOKUP(A179,Database!A:K,MATCH('Retail Sales'!$A$1,Database!$A$1:$K$1,),)</f>
        <v/>
      </c>
      <c r="C179" s="12">
        <f>(B179-B178)/B178</f>
        <v/>
      </c>
      <c r="D179" s="13">
        <f>(B179-B167)/B167</f>
        <v/>
      </c>
    </row>
    <row r="180">
      <c r="A180" s="11" t="n">
        <v>38869</v>
      </c>
      <c r="B180" s="15">
        <f>VLOOKUP(A180,Database!A:K,MATCH('Retail Sales'!$A$1,Database!$A$1:$K$1,),)</f>
        <v/>
      </c>
      <c r="C180" s="12">
        <f>(B180-B179)/B179</f>
        <v/>
      </c>
      <c r="D180" s="13">
        <f>(B180-B168)/B168</f>
        <v/>
      </c>
    </row>
    <row r="181">
      <c r="A181" s="10" t="n">
        <v>38899</v>
      </c>
      <c r="B181" s="15">
        <f>VLOOKUP(A181,Database!A:K,MATCH('Retail Sales'!$A$1,Database!$A$1:$K$1,),)</f>
        <v/>
      </c>
      <c r="C181" s="12">
        <f>(B181-B180)/B180</f>
        <v/>
      </c>
      <c r="D181" s="13">
        <f>(B181-B169)/B169</f>
        <v/>
      </c>
    </row>
    <row r="182">
      <c r="A182" s="11" t="n">
        <v>38930</v>
      </c>
      <c r="B182" s="15">
        <f>VLOOKUP(A182,Database!A:K,MATCH('Retail Sales'!$A$1,Database!$A$1:$K$1,),)</f>
        <v/>
      </c>
      <c r="C182" s="12">
        <f>(B182-B181)/B181</f>
        <v/>
      </c>
      <c r="D182" s="13">
        <f>(B182-B170)/B170</f>
        <v/>
      </c>
    </row>
    <row r="183">
      <c r="A183" s="10" t="n">
        <v>38961</v>
      </c>
      <c r="B183" s="15">
        <f>VLOOKUP(A183,Database!A:K,MATCH('Retail Sales'!$A$1,Database!$A$1:$K$1,),)</f>
        <v/>
      </c>
      <c r="C183" s="12">
        <f>(B183-B182)/B182</f>
        <v/>
      </c>
      <c r="D183" s="13">
        <f>(B183-B171)/B171</f>
        <v/>
      </c>
    </row>
    <row r="184">
      <c r="A184" s="11" t="n">
        <v>38991</v>
      </c>
      <c r="B184" s="15">
        <f>VLOOKUP(A184,Database!A:K,MATCH('Retail Sales'!$A$1,Database!$A$1:$K$1,),)</f>
        <v/>
      </c>
      <c r="C184" s="12">
        <f>(B184-B183)/B183</f>
        <v/>
      </c>
      <c r="D184" s="13">
        <f>(B184-B172)/B172</f>
        <v/>
      </c>
    </row>
    <row r="185">
      <c r="A185" s="10" t="n">
        <v>39022</v>
      </c>
      <c r="B185" s="15">
        <f>VLOOKUP(A185,Database!A:K,MATCH('Retail Sales'!$A$1,Database!$A$1:$K$1,),)</f>
        <v/>
      </c>
      <c r="C185" s="12">
        <f>(B185-B184)/B184</f>
        <v/>
      </c>
      <c r="D185" s="13">
        <f>(B185-B173)/B173</f>
        <v/>
      </c>
    </row>
    <row r="186">
      <c r="A186" s="11" t="n">
        <v>39052</v>
      </c>
      <c r="B186" s="15">
        <f>VLOOKUP(A186,Database!A:K,MATCH('Retail Sales'!$A$1,Database!$A$1:$K$1,),)</f>
        <v/>
      </c>
      <c r="C186" s="12">
        <f>(B186-B185)/B185</f>
        <v/>
      </c>
      <c r="D186" s="13">
        <f>(B186-B174)/B174</f>
        <v/>
      </c>
    </row>
    <row r="187">
      <c r="A187" s="10" t="n">
        <v>39083</v>
      </c>
      <c r="B187" s="15">
        <f>VLOOKUP(A187,Database!A:K,MATCH('Retail Sales'!$A$1,Database!$A$1:$K$1,),)</f>
        <v/>
      </c>
      <c r="C187" s="12">
        <f>(B187-B186)/B186</f>
        <v/>
      </c>
      <c r="D187" s="13">
        <f>(B187-B175)/B175</f>
        <v/>
      </c>
    </row>
    <row r="188">
      <c r="A188" s="11" t="n">
        <v>39114</v>
      </c>
      <c r="B188" s="15">
        <f>VLOOKUP(A188,Database!A:K,MATCH('Retail Sales'!$A$1,Database!$A$1:$K$1,),)</f>
        <v/>
      </c>
      <c r="C188" s="12">
        <f>(B188-B187)/B187</f>
        <v/>
      </c>
      <c r="D188" s="13">
        <f>(B188-B176)/B176</f>
        <v/>
      </c>
    </row>
    <row r="189">
      <c r="A189" s="10" t="n">
        <v>39142</v>
      </c>
      <c r="B189" s="15">
        <f>VLOOKUP(A189,Database!A:K,MATCH('Retail Sales'!$A$1,Database!$A$1:$K$1,),)</f>
        <v/>
      </c>
      <c r="C189" s="12">
        <f>(B189-B188)/B188</f>
        <v/>
      </c>
      <c r="D189" s="13">
        <f>(B189-B177)/B177</f>
        <v/>
      </c>
    </row>
    <row r="190">
      <c r="A190" s="11" t="n">
        <v>39173</v>
      </c>
      <c r="B190" s="15">
        <f>VLOOKUP(A190,Database!A:K,MATCH('Retail Sales'!$A$1,Database!$A$1:$K$1,),)</f>
        <v/>
      </c>
      <c r="C190" s="12">
        <f>(B190-B189)/B189</f>
        <v/>
      </c>
      <c r="D190" s="13">
        <f>(B190-B178)/B178</f>
        <v/>
      </c>
    </row>
    <row r="191">
      <c r="A191" s="10" t="n">
        <v>39203</v>
      </c>
      <c r="B191" s="15">
        <f>VLOOKUP(A191,Database!A:K,MATCH('Retail Sales'!$A$1,Database!$A$1:$K$1,),)</f>
        <v/>
      </c>
      <c r="C191" s="12">
        <f>(B191-B190)/B190</f>
        <v/>
      </c>
      <c r="D191" s="13">
        <f>(B191-B179)/B179</f>
        <v/>
      </c>
    </row>
    <row r="192">
      <c r="A192" s="11" t="n">
        <v>39234</v>
      </c>
      <c r="B192" s="15">
        <f>VLOOKUP(A192,Database!A:K,MATCH('Retail Sales'!$A$1,Database!$A$1:$K$1,),)</f>
        <v/>
      </c>
      <c r="C192" s="12">
        <f>(B192-B191)/B191</f>
        <v/>
      </c>
      <c r="D192" s="13">
        <f>(B192-B180)/B180</f>
        <v/>
      </c>
    </row>
    <row r="193">
      <c r="A193" s="10" t="n">
        <v>39264</v>
      </c>
      <c r="B193" s="15">
        <f>VLOOKUP(A193,Database!A:K,MATCH('Retail Sales'!$A$1,Database!$A$1:$K$1,),)</f>
        <v/>
      </c>
      <c r="C193" s="12">
        <f>(B193-B192)/B192</f>
        <v/>
      </c>
      <c r="D193" s="13">
        <f>(B193-B181)/B181</f>
        <v/>
      </c>
    </row>
    <row r="194">
      <c r="A194" s="11" t="n">
        <v>39295</v>
      </c>
      <c r="B194" s="15">
        <f>VLOOKUP(A194,Database!A:K,MATCH('Retail Sales'!$A$1,Database!$A$1:$K$1,),)</f>
        <v/>
      </c>
      <c r="C194" s="12">
        <f>(B194-B193)/B193</f>
        <v/>
      </c>
      <c r="D194" s="13">
        <f>(B194-B182)/B182</f>
        <v/>
      </c>
    </row>
    <row r="195">
      <c r="A195" s="10" t="n">
        <v>39326</v>
      </c>
      <c r="B195" s="15">
        <f>VLOOKUP(A195,Database!A:K,MATCH('Retail Sales'!$A$1,Database!$A$1:$K$1,),)</f>
        <v/>
      </c>
      <c r="C195" s="12">
        <f>(B195-B194)/B194</f>
        <v/>
      </c>
      <c r="D195" s="13">
        <f>(B195-B183)/B183</f>
        <v/>
      </c>
    </row>
    <row r="196">
      <c r="A196" s="11" t="n">
        <v>39356</v>
      </c>
      <c r="B196" s="15">
        <f>VLOOKUP(A196,Database!A:K,MATCH('Retail Sales'!$A$1,Database!$A$1:$K$1,),)</f>
        <v/>
      </c>
      <c r="C196" s="12">
        <f>(B196-B195)/B195</f>
        <v/>
      </c>
      <c r="D196" s="13">
        <f>(B196-B184)/B184</f>
        <v/>
      </c>
    </row>
    <row r="197">
      <c r="A197" s="10" t="n">
        <v>39387</v>
      </c>
      <c r="B197" s="15">
        <f>VLOOKUP(A197,Database!A:K,MATCH('Retail Sales'!$A$1,Database!$A$1:$K$1,),)</f>
        <v/>
      </c>
      <c r="C197" s="12">
        <f>(B197-B196)/B196</f>
        <v/>
      </c>
      <c r="D197" s="13">
        <f>(B197-B185)/B185</f>
        <v/>
      </c>
    </row>
    <row r="198">
      <c r="A198" s="11" t="n">
        <v>39417</v>
      </c>
      <c r="B198" s="15">
        <f>VLOOKUP(A198,Database!A:K,MATCH('Retail Sales'!$A$1,Database!$A$1:$K$1,),)</f>
        <v/>
      </c>
      <c r="C198" s="12">
        <f>(B198-B197)/B197</f>
        <v/>
      </c>
      <c r="D198" s="13">
        <f>(B198-B186)/B186</f>
        <v/>
      </c>
    </row>
    <row r="199">
      <c r="A199" s="10" t="n">
        <v>39448</v>
      </c>
      <c r="B199" s="15">
        <f>VLOOKUP(A199,Database!A:K,MATCH('Retail Sales'!$A$1,Database!$A$1:$K$1,),)</f>
        <v/>
      </c>
      <c r="C199" s="12">
        <f>(B199-B198)/B198</f>
        <v/>
      </c>
      <c r="D199" s="13">
        <f>(B199-B187)/B187</f>
        <v/>
      </c>
    </row>
    <row r="200">
      <c r="A200" s="11" t="n">
        <v>39479</v>
      </c>
      <c r="B200" s="15">
        <f>VLOOKUP(A200,Database!A:K,MATCH('Retail Sales'!$A$1,Database!$A$1:$K$1,),)</f>
        <v/>
      </c>
      <c r="C200" s="12">
        <f>(B200-B199)/B199</f>
        <v/>
      </c>
      <c r="D200" s="13">
        <f>(B200-B188)/B188</f>
        <v/>
      </c>
    </row>
    <row r="201">
      <c r="A201" s="10" t="n">
        <v>39508</v>
      </c>
      <c r="B201" s="15">
        <f>VLOOKUP(A201,Database!A:K,MATCH('Retail Sales'!$A$1,Database!$A$1:$K$1,),)</f>
        <v/>
      </c>
      <c r="C201" s="12">
        <f>(B201-B200)/B200</f>
        <v/>
      </c>
      <c r="D201" s="13">
        <f>(B201-B189)/B189</f>
        <v/>
      </c>
    </row>
    <row r="202">
      <c r="A202" s="11" t="n">
        <v>39539</v>
      </c>
      <c r="B202" s="15">
        <f>VLOOKUP(A202,Database!A:K,MATCH('Retail Sales'!$A$1,Database!$A$1:$K$1,),)</f>
        <v/>
      </c>
      <c r="C202" s="12">
        <f>(B202-B201)/B201</f>
        <v/>
      </c>
      <c r="D202" s="13">
        <f>(B202-B190)/B190</f>
        <v/>
      </c>
    </row>
    <row r="203">
      <c r="A203" s="10" t="n">
        <v>39569</v>
      </c>
      <c r="B203" s="15">
        <f>VLOOKUP(A203,Database!A:K,MATCH('Retail Sales'!$A$1,Database!$A$1:$K$1,),)</f>
        <v/>
      </c>
      <c r="C203" s="12">
        <f>(B203-B202)/B202</f>
        <v/>
      </c>
      <c r="D203" s="13">
        <f>(B203-B191)/B191</f>
        <v/>
      </c>
    </row>
    <row r="204">
      <c r="A204" s="11" t="n">
        <v>39600</v>
      </c>
      <c r="B204" s="15">
        <f>VLOOKUP(A204,Database!A:K,MATCH('Retail Sales'!$A$1,Database!$A$1:$K$1,),)</f>
        <v/>
      </c>
      <c r="C204" s="12">
        <f>(B204-B203)/B203</f>
        <v/>
      </c>
      <c r="D204" s="13">
        <f>(B204-B192)/B192</f>
        <v/>
      </c>
    </row>
    <row r="205">
      <c r="A205" s="10" t="n">
        <v>39630</v>
      </c>
      <c r="B205" s="15">
        <f>VLOOKUP(A205,Database!A:K,MATCH('Retail Sales'!$A$1,Database!$A$1:$K$1,),)</f>
        <v/>
      </c>
      <c r="C205" s="12">
        <f>(B205-B204)/B204</f>
        <v/>
      </c>
      <c r="D205" s="13">
        <f>(B205-B193)/B193</f>
        <v/>
      </c>
    </row>
    <row r="206">
      <c r="A206" s="11" t="n">
        <v>39661</v>
      </c>
      <c r="B206" s="15">
        <f>VLOOKUP(A206,Database!A:K,MATCH('Retail Sales'!$A$1,Database!$A$1:$K$1,),)</f>
        <v/>
      </c>
      <c r="C206" s="12">
        <f>(B206-B205)/B205</f>
        <v/>
      </c>
      <c r="D206" s="13">
        <f>(B206-B194)/B194</f>
        <v/>
      </c>
    </row>
    <row r="207">
      <c r="A207" s="10" t="n">
        <v>39692</v>
      </c>
      <c r="B207" s="15">
        <f>VLOOKUP(A207,Database!A:K,MATCH('Retail Sales'!$A$1,Database!$A$1:$K$1,),)</f>
        <v/>
      </c>
      <c r="C207" s="12">
        <f>(B207-B206)/B206</f>
        <v/>
      </c>
      <c r="D207" s="13">
        <f>(B207-B195)/B195</f>
        <v/>
      </c>
    </row>
    <row r="208">
      <c r="A208" s="11" t="n">
        <v>39722</v>
      </c>
      <c r="B208" s="15">
        <f>VLOOKUP(A208,Database!A:K,MATCH('Retail Sales'!$A$1,Database!$A$1:$K$1,),)</f>
        <v/>
      </c>
      <c r="C208" s="12">
        <f>(B208-B207)/B207</f>
        <v/>
      </c>
      <c r="D208" s="13">
        <f>(B208-B196)/B196</f>
        <v/>
      </c>
    </row>
    <row r="209">
      <c r="A209" s="10" t="n">
        <v>39753</v>
      </c>
      <c r="B209" s="15">
        <f>VLOOKUP(A209,Database!A:K,MATCH('Retail Sales'!$A$1,Database!$A$1:$K$1,),)</f>
        <v/>
      </c>
      <c r="C209" s="12">
        <f>(B209-B208)/B208</f>
        <v/>
      </c>
      <c r="D209" s="13">
        <f>(B209-B197)/B197</f>
        <v/>
      </c>
    </row>
    <row r="210">
      <c r="A210" s="11" t="n">
        <v>39783</v>
      </c>
      <c r="B210" s="15">
        <f>VLOOKUP(A210,Database!A:K,MATCH('Retail Sales'!$A$1,Database!$A$1:$K$1,),)</f>
        <v/>
      </c>
      <c r="C210" s="12">
        <f>(B210-B209)/B209</f>
        <v/>
      </c>
      <c r="D210" s="13">
        <f>(B210-B198)/B198</f>
        <v/>
      </c>
    </row>
    <row r="211">
      <c r="A211" s="10" t="n">
        <v>39814</v>
      </c>
      <c r="B211" s="15">
        <f>VLOOKUP(A211,Database!A:K,MATCH('Retail Sales'!$A$1,Database!$A$1:$K$1,),)</f>
        <v/>
      </c>
      <c r="C211" s="12">
        <f>(B211-B210)/B210</f>
        <v/>
      </c>
      <c r="D211" s="13">
        <f>(B211-B199)/B199</f>
        <v/>
      </c>
    </row>
    <row r="212">
      <c r="A212" s="11" t="n">
        <v>39845</v>
      </c>
      <c r="B212" s="15">
        <f>VLOOKUP(A212,Database!A:K,MATCH('Retail Sales'!$A$1,Database!$A$1:$K$1,),)</f>
        <v/>
      </c>
      <c r="C212" s="12">
        <f>(B212-B211)/B211</f>
        <v/>
      </c>
      <c r="D212" s="13">
        <f>(B212-B200)/B200</f>
        <v/>
      </c>
    </row>
    <row r="213">
      <c r="A213" s="10" t="n">
        <v>39873</v>
      </c>
      <c r="B213" s="15">
        <f>VLOOKUP(A213,Database!A:K,MATCH('Retail Sales'!$A$1,Database!$A$1:$K$1,),)</f>
        <v/>
      </c>
      <c r="C213" s="12">
        <f>(B213-B212)/B212</f>
        <v/>
      </c>
      <c r="D213" s="13">
        <f>(B213-B201)/B201</f>
        <v/>
      </c>
    </row>
    <row r="214">
      <c r="A214" s="11" t="n">
        <v>39904</v>
      </c>
      <c r="B214" s="15">
        <f>VLOOKUP(A214,Database!A:K,MATCH('Retail Sales'!$A$1,Database!$A$1:$K$1,),)</f>
        <v/>
      </c>
      <c r="C214" s="12">
        <f>(B214-B213)/B213</f>
        <v/>
      </c>
      <c r="D214" s="13">
        <f>(B214-B202)/B202</f>
        <v/>
      </c>
    </row>
    <row r="215">
      <c r="A215" s="10" t="n">
        <v>39934</v>
      </c>
      <c r="B215" s="15">
        <f>VLOOKUP(A215,Database!A:K,MATCH('Retail Sales'!$A$1,Database!$A$1:$K$1,),)</f>
        <v/>
      </c>
      <c r="C215" s="12">
        <f>(B215-B214)/B214</f>
        <v/>
      </c>
      <c r="D215" s="13">
        <f>(B215-B203)/B203</f>
        <v/>
      </c>
    </row>
    <row r="216">
      <c r="A216" s="11" t="n">
        <v>39965</v>
      </c>
      <c r="B216" s="15">
        <f>VLOOKUP(A216,Database!A:K,MATCH('Retail Sales'!$A$1,Database!$A$1:$K$1,),)</f>
        <v/>
      </c>
      <c r="C216" s="12">
        <f>(B216-B215)/B215</f>
        <v/>
      </c>
      <c r="D216" s="13">
        <f>(B216-B204)/B204</f>
        <v/>
      </c>
    </row>
    <row r="217">
      <c r="A217" s="10" t="n">
        <v>39995</v>
      </c>
      <c r="B217" s="15">
        <f>VLOOKUP(A217,Database!A:K,MATCH('Retail Sales'!$A$1,Database!$A$1:$K$1,),)</f>
        <v/>
      </c>
      <c r="C217" s="12">
        <f>(B217-B216)/B216</f>
        <v/>
      </c>
      <c r="D217" s="13">
        <f>(B217-B205)/B205</f>
        <v/>
      </c>
    </row>
    <row r="218">
      <c r="A218" s="11" t="n">
        <v>40026</v>
      </c>
      <c r="B218" s="15">
        <f>VLOOKUP(A218,Database!A:K,MATCH('Retail Sales'!$A$1,Database!$A$1:$K$1,),)</f>
        <v/>
      </c>
      <c r="C218" s="12">
        <f>(B218-B217)/B217</f>
        <v/>
      </c>
      <c r="D218" s="13">
        <f>(B218-B206)/B206</f>
        <v/>
      </c>
    </row>
    <row r="219">
      <c r="A219" s="10" t="n">
        <v>40057</v>
      </c>
      <c r="B219" s="15">
        <f>VLOOKUP(A219,Database!A:K,MATCH('Retail Sales'!$A$1,Database!$A$1:$K$1,),)</f>
        <v/>
      </c>
      <c r="C219" s="12">
        <f>(B219-B218)/B218</f>
        <v/>
      </c>
      <c r="D219" s="13">
        <f>(B219-B207)/B207</f>
        <v/>
      </c>
    </row>
    <row r="220">
      <c r="A220" s="11" t="n">
        <v>40087</v>
      </c>
      <c r="B220" s="15">
        <f>VLOOKUP(A220,Database!A:K,MATCH('Retail Sales'!$A$1,Database!$A$1:$K$1,),)</f>
        <v/>
      </c>
      <c r="C220" s="12">
        <f>(B220-B219)/B219</f>
        <v/>
      </c>
      <c r="D220" s="13">
        <f>(B220-B208)/B208</f>
        <v/>
      </c>
    </row>
    <row r="221">
      <c r="A221" s="10" t="n">
        <v>40118</v>
      </c>
      <c r="B221" s="15">
        <f>VLOOKUP(A221,Database!A:K,MATCH('Retail Sales'!$A$1,Database!$A$1:$K$1,),)</f>
        <v/>
      </c>
      <c r="C221" s="12">
        <f>(B221-B220)/B220</f>
        <v/>
      </c>
      <c r="D221" s="13">
        <f>(B221-B209)/B209</f>
        <v/>
      </c>
    </row>
    <row r="222">
      <c r="A222" s="11" t="n">
        <v>40148</v>
      </c>
      <c r="B222" s="15">
        <f>VLOOKUP(A222,Database!A:K,MATCH('Retail Sales'!$A$1,Database!$A$1:$K$1,),)</f>
        <v/>
      </c>
      <c r="C222" s="12">
        <f>(B222-B221)/B221</f>
        <v/>
      </c>
      <c r="D222" s="13">
        <f>(B222-B210)/B210</f>
        <v/>
      </c>
    </row>
    <row r="223">
      <c r="A223" s="10" t="n">
        <v>40179</v>
      </c>
      <c r="B223" s="15">
        <f>VLOOKUP(A223,Database!A:K,MATCH('Retail Sales'!$A$1,Database!$A$1:$K$1,),)</f>
        <v/>
      </c>
      <c r="C223" s="12">
        <f>(B223-B222)/B222</f>
        <v/>
      </c>
      <c r="D223" s="13">
        <f>(B223-B211)/B211</f>
        <v/>
      </c>
    </row>
    <row r="224">
      <c r="A224" s="11" t="n">
        <v>40210</v>
      </c>
      <c r="B224" s="15">
        <f>VLOOKUP(A224,Database!A:K,MATCH('Retail Sales'!$A$1,Database!$A$1:$K$1,),)</f>
        <v/>
      </c>
      <c r="C224" s="12">
        <f>(B224-B223)/B223</f>
        <v/>
      </c>
      <c r="D224" s="13">
        <f>(B224-B212)/B212</f>
        <v/>
      </c>
    </row>
    <row r="225">
      <c r="A225" s="10" t="n">
        <v>40238</v>
      </c>
      <c r="B225" s="15">
        <f>VLOOKUP(A225,Database!A:K,MATCH('Retail Sales'!$A$1,Database!$A$1:$K$1,),)</f>
        <v/>
      </c>
      <c r="C225" s="12">
        <f>(B225-B224)/B224</f>
        <v/>
      </c>
      <c r="D225" s="13">
        <f>(B225-B213)/B213</f>
        <v/>
      </c>
    </row>
    <row r="226">
      <c r="A226" s="11" t="n">
        <v>40269</v>
      </c>
      <c r="B226" s="15">
        <f>VLOOKUP(A226,Database!A:K,MATCH('Retail Sales'!$A$1,Database!$A$1:$K$1,),)</f>
        <v/>
      </c>
      <c r="C226" s="12">
        <f>(B226-B225)/B225</f>
        <v/>
      </c>
      <c r="D226" s="13">
        <f>(B226-B214)/B214</f>
        <v/>
      </c>
    </row>
    <row r="227">
      <c r="A227" s="10" t="n">
        <v>40299</v>
      </c>
      <c r="B227" s="15">
        <f>VLOOKUP(A227,Database!A:K,MATCH('Retail Sales'!$A$1,Database!$A$1:$K$1,),)</f>
        <v/>
      </c>
      <c r="C227" s="12">
        <f>(B227-B226)/B226</f>
        <v/>
      </c>
      <c r="D227" s="13">
        <f>(B227-B215)/B215</f>
        <v/>
      </c>
    </row>
    <row r="228">
      <c r="A228" s="11" t="n">
        <v>40330</v>
      </c>
      <c r="B228" s="15">
        <f>VLOOKUP(A228,Database!A:K,MATCH('Retail Sales'!$A$1,Database!$A$1:$K$1,),)</f>
        <v/>
      </c>
      <c r="C228" s="12">
        <f>(B228-B227)/B227</f>
        <v/>
      </c>
      <c r="D228" s="13">
        <f>(B228-B216)/B216</f>
        <v/>
      </c>
    </row>
    <row r="229">
      <c r="A229" s="10" t="n">
        <v>40360</v>
      </c>
      <c r="B229" s="15">
        <f>VLOOKUP(A229,Database!A:K,MATCH('Retail Sales'!$A$1,Database!$A$1:$K$1,),)</f>
        <v/>
      </c>
      <c r="C229" s="12">
        <f>(B229-B228)/B228</f>
        <v/>
      </c>
      <c r="D229" s="13">
        <f>(B229-B217)/B217</f>
        <v/>
      </c>
    </row>
    <row r="230">
      <c r="A230" s="11" t="n">
        <v>40391</v>
      </c>
      <c r="B230" s="15">
        <f>VLOOKUP(A230,Database!A:K,MATCH('Retail Sales'!$A$1,Database!$A$1:$K$1,),)</f>
        <v/>
      </c>
      <c r="C230" s="12">
        <f>(B230-B229)/B229</f>
        <v/>
      </c>
      <c r="D230" s="13">
        <f>(B230-B218)/B218</f>
        <v/>
      </c>
    </row>
    <row r="231">
      <c r="A231" s="10" t="n">
        <v>40422</v>
      </c>
      <c r="B231" s="15">
        <f>VLOOKUP(A231,Database!A:K,MATCH('Retail Sales'!$A$1,Database!$A$1:$K$1,),)</f>
        <v/>
      </c>
      <c r="C231" s="12">
        <f>(B231-B230)/B230</f>
        <v/>
      </c>
      <c r="D231" s="13">
        <f>(B231-B219)/B219</f>
        <v/>
      </c>
    </row>
    <row r="232">
      <c r="A232" s="11" t="n">
        <v>40452</v>
      </c>
      <c r="B232" s="15">
        <f>VLOOKUP(A232,Database!A:K,MATCH('Retail Sales'!$A$1,Database!$A$1:$K$1,),)</f>
        <v/>
      </c>
      <c r="C232" s="12">
        <f>(B232-B231)/B231</f>
        <v/>
      </c>
      <c r="D232" s="13">
        <f>(B232-B220)/B220</f>
        <v/>
      </c>
    </row>
    <row r="233">
      <c r="A233" s="10" t="n">
        <v>40483</v>
      </c>
      <c r="B233" s="15">
        <f>VLOOKUP(A233,Database!A:K,MATCH('Retail Sales'!$A$1,Database!$A$1:$K$1,),)</f>
        <v/>
      </c>
      <c r="C233" s="12">
        <f>(B233-B232)/B232</f>
        <v/>
      </c>
      <c r="D233" s="13">
        <f>(B233-B221)/B221</f>
        <v/>
      </c>
    </row>
    <row r="234">
      <c r="A234" s="11" t="n">
        <v>40513</v>
      </c>
      <c r="B234" s="15">
        <f>VLOOKUP(A234,Database!A:K,MATCH('Retail Sales'!$A$1,Database!$A$1:$K$1,),)</f>
        <v/>
      </c>
      <c r="C234" s="12">
        <f>(B234-B233)/B233</f>
        <v/>
      </c>
      <c r="D234" s="13">
        <f>(B234-B222)/B222</f>
        <v/>
      </c>
    </row>
    <row r="235">
      <c r="A235" s="10" t="n">
        <v>40544</v>
      </c>
      <c r="B235" s="15">
        <f>VLOOKUP(A235,Database!A:K,MATCH('Retail Sales'!$A$1,Database!$A$1:$K$1,),)</f>
        <v/>
      </c>
      <c r="C235" s="12">
        <f>(B235-B234)/B234</f>
        <v/>
      </c>
      <c r="D235" s="13">
        <f>(B235-B223)/B223</f>
        <v/>
      </c>
    </row>
    <row r="236">
      <c r="A236" s="11" t="n">
        <v>40575</v>
      </c>
      <c r="B236" s="15">
        <f>VLOOKUP(A236,Database!A:K,MATCH('Retail Sales'!$A$1,Database!$A$1:$K$1,),)</f>
        <v/>
      </c>
      <c r="C236" s="12">
        <f>(B236-B235)/B235</f>
        <v/>
      </c>
      <c r="D236" s="13">
        <f>(B236-B224)/B224</f>
        <v/>
      </c>
    </row>
    <row r="237">
      <c r="A237" s="10" t="n">
        <v>40603</v>
      </c>
      <c r="B237" s="15">
        <f>VLOOKUP(A237,Database!A:K,MATCH('Retail Sales'!$A$1,Database!$A$1:$K$1,),)</f>
        <v/>
      </c>
      <c r="C237" s="12">
        <f>(B237-B236)/B236</f>
        <v/>
      </c>
      <c r="D237" s="13">
        <f>(B237-B225)/B225</f>
        <v/>
      </c>
    </row>
    <row r="238">
      <c r="A238" s="11" t="n">
        <v>40634</v>
      </c>
      <c r="B238" s="15">
        <f>VLOOKUP(A238,Database!A:K,MATCH('Retail Sales'!$A$1,Database!$A$1:$K$1,),)</f>
        <v/>
      </c>
      <c r="C238" s="12">
        <f>(B238-B237)/B237</f>
        <v/>
      </c>
      <c r="D238" s="13">
        <f>(B238-B226)/B226</f>
        <v/>
      </c>
    </row>
    <row r="239">
      <c r="A239" s="10" t="n">
        <v>40664</v>
      </c>
      <c r="B239" s="15">
        <f>VLOOKUP(A239,Database!A:K,MATCH('Retail Sales'!$A$1,Database!$A$1:$K$1,),)</f>
        <v/>
      </c>
      <c r="C239" s="12">
        <f>(B239-B238)/B238</f>
        <v/>
      </c>
      <c r="D239" s="13">
        <f>(B239-B227)/B227</f>
        <v/>
      </c>
    </row>
    <row r="240">
      <c r="A240" s="11" t="n">
        <v>40695</v>
      </c>
      <c r="B240" s="15">
        <f>VLOOKUP(A240,Database!A:K,MATCH('Retail Sales'!$A$1,Database!$A$1:$K$1,),)</f>
        <v/>
      </c>
      <c r="C240" s="12">
        <f>(B240-B239)/B239</f>
        <v/>
      </c>
      <c r="D240" s="13">
        <f>(B240-B228)/B228</f>
        <v/>
      </c>
    </row>
    <row r="241">
      <c r="A241" s="10" t="n">
        <v>40725</v>
      </c>
      <c r="B241" s="15">
        <f>VLOOKUP(A241,Database!A:K,MATCH('Retail Sales'!$A$1,Database!$A$1:$K$1,),)</f>
        <v/>
      </c>
      <c r="C241" s="12">
        <f>(B241-B240)/B240</f>
        <v/>
      </c>
      <c r="D241" s="13">
        <f>(B241-B229)/B229</f>
        <v/>
      </c>
    </row>
    <row r="242">
      <c r="A242" s="11" t="n">
        <v>40756</v>
      </c>
      <c r="B242" s="15">
        <f>VLOOKUP(A242,Database!A:K,MATCH('Retail Sales'!$A$1,Database!$A$1:$K$1,),)</f>
        <v/>
      </c>
      <c r="C242" s="12">
        <f>(B242-B241)/B241</f>
        <v/>
      </c>
      <c r="D242" s="13">
        <f>(B242-B230)/B230</f>
        <v/>
      </c>
    </row>
    <row r="243">
      <c r="A243" s="10" t="n">
        <v>40787</v>
      </c>
      <c r="B243" s="15">
        <f>VLOOKUP(A243,Database!A:K,MATCH('Retail Sales'!$A$1,Database!$A$1:$K$1,),)</f>
        <v/>
      </c>
      <c r="C243" s="12">
        <f>(B243-B242)/B242</f>
        <v/>
      </c>
      <c r="D243" s="13">
        <f>(B243-B231)/B231</f>
        <v/>
      </c>
    </row>
    <row r="244">
      <c r="A244" s="11" t="n">
        <v>40817</v>
      </c>
      <c r="B244" s="15">
        <f>VLOOKUP(A244,Database!A:K,MATCH('Retail Sales'!$A$1,Database!$A$1:$K$1,),)</f>
        <v/>
      </c>
      <c r="C244" s="12">
        <f>(B244-B243)/B243</f>
        <v/>
      </c>
      <c r="D244" s="13">
        <f>(B244-B232)/B232</f>
        <v/>
      </c>
    </row>
    <row r="245">
      <c r="A245" s="10" t="n">
        <v>40848</v>
      </c>
      <c r="B245" s="15">
        <f>VLOOKUP(A245,Database!A:K,MATCH('Retail Sales'!$A$1,Database!$A$1:$K$1,),)</f>
        <v/>
      </c>
      <c r="C245" s="12">
        <f>(B245-B244)/B244</f>
        <v/>
      </c>
      <c r="D245" s="13">
        <f>(B245-B233)/B233</f>
        <v/>
      </c>
    </row>
    <row r="246">
      <c r="A246" s="11" t="n">
        <v>40878</v>
      </c>
      <c r="B246" s="15">
        <f>VLOOKUP(A246,Database!A:K,MATCH('Retail Sales'!$A$1,Database!$A$1:$K$1,),)</f>
        <v/>
      </c>
      <c r="C246" s="12">
        <f>(B246-B245)/B245</f>
        <v/>
      </c>
      <c r="D246" s="13">
        <f>(B246-B234)/B234</f>
        <v/>
      </c>
    </row>
    <row r="247">
      <c r="A247" s="10" t="n">
        <v>40909</v>
      </c>
      <c r="B247" s="15">
        <f>VLOOKUP(A247,Database!A:K,MATCH('Retail Sales'!$A$1,Database!$A$1:$K$1,),)</f>
        <v/>
      </c>
      <c r="C247" s="12">
        <f>(B247-B246)/B246</f>
        <v/>
      </c>
      <c r="D247" s="13">
        <f>(B247-B235)/B235</f>
        <v/>
      </c>
    </row>
    <row r="248">
      <c r="A248" s="11" t="n">
        <v>40940</v>
      </c>
      <c r="B248" s="15">
        <f>VLOOKUP(A248,Database!A:K,MATCH('Retail Sales'!$A$1,Database!$A$1:$K$1,),)</f>
        <v/>
      </c>
      <c r="C248" s="12">
        <f>(B248-B247)/B247</f>
        <v/>
      </c>
      <c r="D248" s="13">
        <f>(B248-B236)/B236</f>
        <v/>
      </c>
    </row>
    <row r="249">
      <c r="A249" s="10" t="n">
        <v>40969</v>
      </c>
      <c r="B249" s="15">
        <f>VLOOKUP(A249,Database!A:K,MATCH('Retail Sales'!$A$1,Database!$A$1:$K$1,),)</f>
        <v/>
      </c>
      <c r="C249" s="12">
        <f>(B249-B248)/B248</f>
        <v/>
      </c>
      <c r="D249" s="13">
        <f>(B249-B237)/B237</f>
        <v/>
      </c>
    </row>
    <row r="250">
      <c r="A250" s="11" t="n">
        <v>41000</v>
      </c>
      <c r="B250" s="15">
        <f>VLOOKUP(A250,Database!A:K,MATCH('Retail Sales'!$A$1,Database!$A$1:$K$1,),)</f>
        <v/>
      </c>
      <c r="C250" s="12">
        <f>(B250-B249)/B249</f>
        <v/>
      </c>
      <c r="D250" s="13">
        <f>(B250-B238)/B238</f>
        <v/>
      </c>
    </row>
    <row r="251">
      <c r="A251" s="10" t="n">
        <v>41030</v>
      </c>
      <c r="B251" s="15">
        <f>VLOOKUP(A251,Database!A:K,MATCH('Retail Sales'!$A$1,Database!$A$1:$K$1,),)</f>
        <v/>
      </c>
      <c r="C251" s="12">
        <f>(B251-B250)/B250</f>
        <v/>
      </c>
      <c r="D251" s="13">
        <f>(B251-B239)/B239</f>
        <v/>
      </c>
    </row>
    <row r="252">
      <c r="A252" s="11" t="n">
        <v>41061</v>
      </c>
      <c r="B252" s="15">
        <f>VLOOKUP(A252,Database!A:K,MATCH('Retail Sales'!$A$1,Database!$A$1:$K$1,),)</f>
        <v/>
      </c>
      <c r="C252" s="12">
        <f>(B252-B251)/B251</f>
        <v/>
      </c>
      <c r="D252" s="13">
        <f>(B252-B240)/B240</f>
        <v/>
      </c>
    </row>
    <row r="253">
      <c r="A253" s="10" t="n">
        <v>41091</v>
      </c>
      <c r="B253" s="15">
        <f>VLOOKUP(A253,Database!A:K,MATCH('Retail Sales'!$A$1,Database!$A$1:$K$1,),)</f>
        <v/>
      </c>
      <c r="C253" s="12">
        <f>(B253-B252)/B252</f>
        <v/>
      </c>
      <c r="D253" s="13">
        <f>(B253-B241)/B241</f>
        <v/>
      </c>
    </row>
    <row r="254">
      <c r="A254" s="11" t="n">
        <v>41122</v>
      </c>
      <c r="B254" s="15">
        <f>VLOOKUP(A254,Database!A:K,MATCH('Retail Sales'!$A$1,Database!$A$1:$K$1,),)</f>
        <v/>
      </c>
      <c r="C254" s="12">
        <f>(B254-B253)/B253</f>
        <v/>
      </c>
      <c r="D254" s="13">
        <f>(B254-B242)/B242</f>
        <v/>
      </c>
    </row>
    <row r="255">
      <c r="A255" s="10" t="n">
        <v>41153</v>
      </c>
      <c r="B255" s="15">
        <f>VLOOKUP(A255,Database!A:K,MATCH('Retail Sales'!$A$1,Database!$A$1:$K$1,),)</f>
        <v/>
      </c>
      <c r="C255" s="12">
        <f>(B255-B254)/B254</f>
        <v/>
      </c>
      <c r="D255" s="13">
        <f>(B255-B243)/B243</f>
        <v/>
      </c>
    </row>
    <row r="256">
      <c r="A256" s="11" t="n">
        <v>41183</v>
      </c>
      <c r="B256" s="15">
        <f>VLOOKUP(A256,Database!A:K,MATCH('Retail Sales'!$A$1,Database!$A$1:$K$1,),)</f>
        <v/>
      </c>
      <c r="C256" s="12">
        <f>(B256-B255)/B255</f>
        <v/>
      </c>
      <c r="D256" s="13">
        <f>(B256-B244)/B244</f>
        <v/>
      </c>
    </row>
    <row r="257">
      <c r="A257" s="10" t="n">
        <v>41214</v>
      </c>
      <c r="B257" s="15">
        <f>VLOOKUP(A257,Database!A:K,MATCH('Retail Sales'!$A$1,Database!$A$1:$K$1,),)</f>
        <v/>
      </c>
      <c r="C257" s="12">
        <f>(B257-B256)/B256</f>
        <v/>
      </c>
      <c r="D257" s="13">
        <f>(B257-B245)/B245</f>
        <v/>
      </c>
    </row>
    <row r="258">
      <c r="A258" s="11" t="n">
        <v>41244</v>
      </c>
      <c r="B258" s="15">
        <f>VLOOKUP(A258,Database!A:K,MATCH('Retail Sales'!$A$1,Database!$A$1:$K$1,),)</f>
        <v/>
      </c>
      <c r="C258" s="12">
        <f>(B258-B257)/B257</f>
        <v/>
      </c>
      <c r="D258" s="13">
        <f>(B258-B246)/B246</f>
        <v/>
      </c>
    </row>
    <row r="259">
      <c r="A259" s="10" t="n">
        <v>41275</v>
      </c>
      <c r="B259" s="15">
        <f>VLOOKUP(A259,Database!A:K,MATCH('Retail Sales'!$A$1,Database!$A$1:$K$1,),)</f>
        <v/>
      </c>
      <c r="C259" s="12">
        <f>(B259-B258)/B258</f>
        <v/>
      </c>
      <c r="D259" s="13">
        <f>(B259-B247)/B247</f>
        <v/>
      </c>
    </row>
    <row r="260">
      <c r="A260" s="11" t="n">
        <v>41306</v>
      </c>
      <c r="B260" s="15">
        <f>VLOOKUP(A260,Database!A:K,MATCH('Retail Sales'!$A$1,Database!$A$1:$K$1,),)</f>
        <v/>
      </c>
      <c r="C260" s="12">
        <f>(B260-B259)/B259</f>
        <v/>
      </c>
      <c r="D260" s="13">
        <f>(B260-B248)/B248</f>
        <v/>
      </c>
    </row>
    <row r="261">
      <c r="A261" s="10" t="n">
        <v>41334</v>
      </c>
      <c r="B261" s="15">
        <f>VLOOKUP(A261,Database!A:K,MATCH('Retail Sales'!$A$1,Database!$A$1:$K$1,),)</f>
        <v/>
      </c>
      <c r="C261" s="12">
        <f>(B261-B260)/B260</f>
        <v/>
      </c>
      <c r="D261" s="13">
        <f>(B261-B249)/B249</f>
        <v/>
      </c>
    </row>
    <row r="262">
      <c r="A262" s="11" t="n">
        <v>41365</v>
      </c>
      <c r="B262" s="15">
        <f>VLOOKUP(A262,Database!A:K,MATCH('Retail Sales'!$A$1,Database!$A$1:$K$1,),)</f>
        <v/>
      </c>
      <c r="C262" s="12">
        <f>(B262-B261)/B261</f>
        <v/>
      </c>
      <c r="D262" s="13">
        <f>(B262-B250)/B250</f>
        <v/>
      </c>
    </row>
    <row r="263">
      <c r="A263" s="10" t="n">
        <v>41395</v>
      </c>
      <c r="B263" s="15">
        <f>VLOOKUP(A263,Database!A:K,MATCH('Retail Sales'!$A$1,Database!$A$1:$K$1,),)</f>
        <v/>
      </c>
      <c r="C263" s="12">
        <f>(B263-B262)/B262</f>
        <v/>
      </c>
      <c r="D263" s="13">
        <f>(B263-B251)/B251</f>
        <v/>
      </c>
    </row>
    <row r="264">
      <c r="A264" s="11" t="n">
        <v>41426</v>
      </c>
      <c r="B264" s="15">
        <f>VLOOKUP(A264,Database!A:K,MATCH('Retail Sales'!$A$1,Database!$A$1:$K$1,),)</f>
        <v/>
      </c>
      <c r="C264" s="12">
        <f>(B264-B263)/B263</f>
        <v/>
      </c>
      <c r="D264" s="13">
        <f>(B264-B252)/B252</f>
        <v/>
      </c>
    </row>
    <row r="265">
      <c r="A265" s="10" t="n">
        <v>41456</v>
      </c>
      <c r="B265" s="15">
        <f>VLOOKUP(A265,Database!A:K,MATCH('Retail Sales'!$A$1,Database!$A$1:$K$1,),)</f>
        <v/>
      </c>
      <c r="C265" s="12">
        <f>(B265-B264)/B264</f>
        <v/>
      </c>
      <c r="D265" s="13">
        <f>(B265-B253)/B253</f>
        <v/>
      </c>
    </row>
    <row r="266">
      <c r="A266" s="11" t="n">
        <v>41487</v>
      </c>
      <c r="B266" s="15">
        <f>VLOOKUP(A266,Database!A:K,MATCH('Retail Sales'!$A$1,Database!$A$1:$K$1,),)</f>
        <v/>
      </c>
      <c r="C266" s="12">
        <f>(B266-B265)/B265</f>
        <v/>
      </c>
      <c r="D266" s="13">
        <f>(B266-B254)/B254</f>
        <v/>
      </c>
    </row>
    <row r="267">
      <c r="A267" s="10" t="n">
        <v>41518</v>
      </c>
      <c r="B267" s="15">
        <f>VLOOKUP(A267,Database!A:K,MATCH('Retail Sales'!$A$1,Database!$A$1:$K$1,),)</f>
        <v/>
      </c>
      <c r="C267" s="12">
        <f>(B267-B266)/B266</f>
        <v/>
      </c>
      <c r="D267" s="13">
        <f>(B267-B255)/B255</f>
        <v/>
      </c>
    </row>
    <row r="268">
      <c r="A268" s="11" t="n">
        <v>41548</v>
      </c>
      <c r="B268" s="15">
        <f>VLOOKUP(A268,Database!A:K,MATCH('Retail Sales'!$A$1,Database!$A$1:$K$1,),)</f>
        <v/>
      </c>
      <c r="C268" s="12">
        <f>(B268-B267)/B267</f>
        <v/>
      </c>
      <c r="D268" s="13">
        <f>(B268-B256)/B256</f>
        <v/>
      </c>
    </row>
    <row r="269">
      <c r="A269" s="10" t="n">
        <v>41579</v>
      </c>
      <c r="B269" s="15">
        <f>VLOOKUP(A269,Database!A:K,MATCH('Retail Sales'!$A$1,Database!$A$1:$K$1,),)</f>
        <v/>
      </c>
      <c r="C269" s="12">
        <f>(B269-B268)/B268</f>
        <v/>
      </c>
      <c r="D269" s="13">
        <f>(B269-B257)/B257</f>
        <v/>
      </c>
    </row>
    <row r="270">
      <c r="A270" s="11" t="n">
        <v>41609</v>
      </c>
      <c r="B270" s="15">
        <f>VLOOKUP(A270,Database!A:K,MATCH('Retail Sales'!$A$1,Database!$A$1:$K$1,),)</f>
        <v/>
      </c>
      <c r="C270" s="12">
        <f>(B270-B269)/B269</f>
        <v/>
      </c>
      <c r="D270" s="13">
        <f>(B270-B258)/B258</f>
        <v/>
      </c>
    </row>
    <row r="271">
      <c r="A271" s="10" t="n">
        <v>41640</v>
      </c>
      <c r="B271" s="15">
        <f>VLOOKUP(A271,Database!A:K,MATCH('Retail Sales'!$A$1,Database!$A$1:$K$1,),)</f>
        <v/>
      </c>
      <c r="C271" s="12">
        <f>(B271-B270)/B270</f>
        <v/>
      </c>
      <c r="D271" s="13">
        <f>(B271-B259)/B259</f>
        <v/>
      </c>
    </row>
    <row r="272">
      <c r="A272" s="11" t="n">
        <v>41671</v>
      </c>
      <c r="B272" s="15">
        <f>VLOOKUP(A272,Database!A:K,MATCH('Retail Sales'!$A$1,Database!$A$1:$K$1,),)</f>
        <v/>
      </c>
      <c r="C272" s="12">
        <f>(B272-B271)/B271</f>
        <v/>
      </c>
      <c r="D272" s="13">
        <f>(B272-B260)/B260</f>
        <v/>
      </c>
    </row>
    <row r="273">
      <c r="A273" s="10" t="n">
        <v>41699</v>
      </c>
      <c r="B273" s="15">
        <f>VLOOKUP(A273,Database!A:K,MATCH('Retail Sales'!$A$1,Database!$A$1:$K$1,),)</f>
        <v/>
      </c>
      <c r="C273" s="12">
        <f>(B273-B272)/B272</f>
        <v/>
      </c>
      <c r="D273" s="13">
        <f>(B273-B261)/B261</f>
        <v/>
      </c>
    </row>
    <row r="274">
      <c r="A274" s="11" t="n">
        <v>41730</v>
      </c>
      <c r="B274" s="15">
        <f>VLOOKUP(A274,Database!A:K,MATCH('Retail Sales'!$A$1,Database!$A$1:$K$1,),)</f>
        <v/>
      </c>
      <c r="C274" s="12">
        <f>(B274-B273)/B273</f>
        <v/>
      </c>
      <c r="D274" s="13">
        <f>(B274-B262)/B262</f>
        <v/>
      </c>
    </row>
    <row r="275">
      <c r="A275" s="10" t="n">
        <v>41760</v>
      </c>
      <c r="B275" s="15">
        <f>VLOOKUP(A275,Database!A:K,MATCH('Retail Sales'!$A$1,Database!$A$1:$K$1,),)</f>
        <v/>
      </c>
      <c r="C275" s="12">
        <f>(B275-B274)/B274</f>
        <v/>
      </c>
      <c r="D275" s="13">
        <f>(B275-B263)/B263</f>
        <v/>
      </c>
    </row>
    <row r="276">
      <c r="A276" s="11" t="n">
        <v>41791</v>
      </c>
      <c r="B276" s="15">
        <f>VLOOKUP(A276,Database!A:K,MATCH('Retail Sales'!$A$1,Database!$A$1:$K$1,),)</f>
        <v/>
      </c>
      <c r="C276" s="12">
        <f>(B276-B275)/B275</f>
        <v/>
      </c>
      <c r="D276" s="13">
        <f>(B276-B264)/B264</f>
        <v/>
      </c>
    </row>
    <row r="277">
      <c r="A277" s="10" t="n">
        <v>41821</v>
      </c>
      <c r="B277" s="15">
        <f>VLOOKUP(A277,Database!A:K,MATCH('Retail Sales'!$A$1,Database!$A$1:$K$1,),)</f>
        <v/>
      </c>
      <c r="C277" s="12">
        <f>(B277-B276)/B276</f>
        <v/>
      </c>
      <c r="D277" s="13">
        <f>(B277-B265)/B265</f>
        <v/>
      </c>
    </row>
    <row r="278">
      <c r="A278" s="11" t="n">
        <v>41852</v>
      </c>
      <c r="B278" s="15">
        <f>VLOOKUP(A278,Database!A:K,MATCH('Retail Sales'!$A$1,Database!$A$1:$K$1,),)</f>
        <v/>
      </c>
      <c r="C278" s="12">
        <f>(B278-B277)/B277</f>
        <v/>
      </c>
      <c r="D278" s="13">
        <f>(B278-B266)/B266</f>
        <v/>
      </c>
    </row>
    <row r="279">
      <c r="A279" s="10" t="n">
        <v>41883</v>
      </c>
      <c r="B279" s="15">
        <f>VLOOKUP(A279,Database!A:K,MATCH('Retail Sales'!$A$1,Database!$A$1:$K$1,),)</f>
        <v/>
      </c>
      <c r="C279" s="12">
        <f>(B279-B278)/B278</f>
        <v/>
      </c>
      <c r="D279" s="13">
        <f>(B279-B267)/B267</f>
        <v/>
      </c>
    </row>
    <row r="280">
      <c r="A280" s="11" t="n">
        <v>41913</v>
      </c>
      <c r="B280" s="15">
        <f>VLOOKUP(A280,Database!A:K,MATCH('Retail Sales'!$A$1,Database!$A$1:$K$1,),)</f>
        <v/>
      </c>
      <c r="C280" s="12">
        <f>(B280-B279)/B279</f>
        <v/>
      </c>
      <c r="D280" s="13">
        <f>(B280-B268)/B268</f>
        <v/>
      </c>
    </row>
    <row r="281">
      <c r="A281" s="10" t="n">
        <v>41944</v>
      </c>
      <c r="B281" s="15">
        <f>VLOOKUP(A281,Database!A:K,MATCH('Retail Sales'!$A$1,Database!$A$1:$K$1,),)</f>
        <v/>
      </c>
      <c r="C281" s="12">
        <f>(B281-B280)/B280</f>
        <v/>
      </c>
      <c r="D281" s="13">
        <f>(B281-B269)/B269</f>
        <v/>
      </c>
    </row>
    <row r="282">
      <c r="A282" s="11" t="n">
        <v>41974</v>
      </c>
      <c r="B282" s="15">
        <f>VLOOKUP(A282,Database!A:K,MATCH('Retail Sales'!$A$1,Database!$A$1:$K$1,),)</f>
        <v/>
      </c>
      <c r="C282" s="12">
        <f>(B282-B281)/B281</f>
        <v/>
      </c>
      <c r="D282" s="13">
        <f>(B282-B270)/B270</f>
        <v/>
      </c>
    </row>
    <row r="283">
      <c r="A283" s="10" t="n">
        <v>42005</v>
      </c>
      <c r="B283" s="15">
        <f>VLOOKUP(A283,Database!A:K,MATCH('Retail Sales'!$A$1,Database!$A$1:$K$1,),)</f>
        <v/>
      </c>
      <c r="C283" s="12">
        <f>(B283-B282)/B282</f>
        <v/>
      </c>
      <c r="D283" s="13">
        <f>(B283-B271)/B271</f>
        <v/>
      </c>
    </row>
    <row r="284">
      <c r="A284" s="11" t="n">
        <v>42036</v>
      </c>
      <c r="B284" s="15">
        <f>VLOOKUP(A284,Database!A:K,MATCH('Retail Sales'!$A$1,Database!$A$1:$K$1,),)</f>
        <v/>
      </c>
      <c r="C284" s="12">
        <f>(B284-B283)/B283</f>
        <v/>
      </c>
      <c r="D284" s="13">
        <f>(B284-B272)/B272</f>
        <v/>
      </c>
    </row>
    <row r="285">
      <c r="A285" s="10" t="n">
        <v>42064</v>
      </c>
      <c r="B285" s="15">
        <f>VLOOKUP(A285,Database!A:K,MATCH('Retail Sales'!$A$1,Database!$A$1:$K$1,),)</f>
        <v/>
      </c>
      <c r="C285" s="12">
        <f>(B285-B284)/B284</f>
        <v/>
      </c>
      <c r="D285" s="13">
        <f>(B285-B273)/B273</f>
        <v/>
      </c>
    </row>
    <row r="286">
      <c r="A286" s="11" t="n">
        <v>42095</v>
      </c>
      <c r="B286" s="15">
        <f>VLOOKUP(A286,Database!A:K,MATCH('Retail Sales'!$A$1,Database!$A$1:$K$1,),)</f>
        <v/>
      </c>
      <c r="C286" s="12">
        <f>(B286-B285)/B285</f>
        <v/>
      </c>
      <c r="D286" s="13">
        <f>(B286-B274)/B274</f>
        <v/>
      </c>
    </row>
    <row r="287">
      <c r="A287" s="10" t="n">
        <v>42125</v>
      </c>
      <c r="B287" s="15">
        <f>VLOOKUP(A287,Database!A:K,MATCH('Retail Sales'!$A$1,Database!$A$1:$K$1,),)</f>
        <v/>
      </c>
      <c r="C287" s="12">
        <f>(B287-B286)/B286</f>
        <v/>
      </c>
      <c r="D287" s="13">
        <f>(B287-B275)/B275</f>
        <v/>
      </c>
    </row>
    <row r="288">
      <c r="A288" s="11" t="n">
        <v>42156</v>
      </c>
      <c r="B288" s="15">
        <f>VLOOKUP(A288,Database!A:K,MATCH('Retail Sales'!$A$1,Database!$A$1:$K$1,),)</f>
        <v/>
      </c>
      <c r="C288" s="12">
        <f>(B288-B287)/B287</f>
        <v/>
      </c>
      <c r="D288" s="13">
        <f>(B288-B276)/B276</f>
        <v/>
      </c>
    </row>
    <row r="289">
      <c r="A289" s="10" t="n">
        <v>42186</v>
      </c>
      <c r="B289" s="15">
        <f>VLOOKUP(A289,Database!A:K,MATCH('Retail Sales'!$A$1,Database!$A$1:$K$1,),)</f>
        <v/>
      </c>
      <c r="C289" s="12">
        <f>(B289-B288)/B288</f>
        <v/>
      </c>
      <c r="D289" s="13">
        <f>(B289-B277)/B277</f>
        <v/>
      </c>
    </row>
    <row r="290">
      <c r="A290" s="11" t="n">
        <v>42217</v>
      </c>
      <c r="B290" s="15">
        <f>VLOOKUP(A290,Database!A:K,MATCH('Retail Sales'!$A$1,Database!$A$1:$K$1,),)</f>
        <v/>
      </c>
      <c r="C290" s="12">
        <f>(B290-B289)/B289</f>
        <v/>
      </c>
      <c r="D290" s="13">
        <f>(B290-B278)/B278</f>
        <v/>
      </c>
    </row>
    <row r="291">
      <c r="A291" s="10" t="n">
        <v>42248</v>
      </c>
      <c r="B291" s="15">
        <f>VLOOKUP(A291,Database!A:K,MATCH('Retail Sales'!$A$1,Database!$A$1:$K$1,),)</f>
        <v/>
      </c>
      <c r="C291" s="12">
        <f>(B291-B290)/B290</f>
        <v/>
      </c>
      <c r="D291" s="13">
        <f>(B291-B279)/B279</f>
        <v/>
      </c>
    </row>
    <row r="292">
      <c r="A292" s="11" t="n">
        <v>42278</v>
      </c>
      <c r="B292" s="15">
        <f>VLOOKUP(A292,Database!A:K,MATCH('Retail Sales'!$A$1,Database!$A$1:$K$1,),)</f>
        <v/>
      </c>
      <c r="C292" s="12">
        <f>(B292-B291)/B291</f>
        <v/>
      </c>
      <c r="D292" s="13">
        <f>(B292-B280)/B280</f>
        <v/>
      </c>
    </row>
    <row r="293">
      <c r="A293" s="10" t="n">
        <v>42309</v>
      </c>
      <c r="B293" s="15">
        <f>VLOOKUP(A293,Database!A:K,MATCH('Retail Sales'!$A$1,Database!$A$1:$K$1,),)</f>
        <v/>
      </c>
      <c r="C293" s="12">
        <f>(B293-B292)/B292</f>
        <v/>
      </c>
      <c r="D293" s="13">
        <f>(B293-B281)/B281</f>
        <v/>
      </c>
    </row>
    <row r="294">
      <c r="A294" s="11" t="n">
        <v>42339</v>
      </c>
      <c r="B294" s="15">
        <f>VLOOKUP(A294,Database!A:K,MATCH('Retail Sales'!$A$1,Database!$A$1:$K$1,),)</f>
        <v/>
      </c>
      <c r="C294" s="12">
        <f>(B294-B293)/B293</f>
        <v/>
      </c>
      <c r="D294" s="13">
        <f>(B294-B282)/B282</f>
        <v/>
      </c>
    </row>
    <row r="295">
      <c r="A295" s="10" t="n">
        <v>42370</v>
      </c>
      <c r="B295" s="15">
        <f>VLOOKUP(A295,Database!A:K,MATCH('Retail Sales'!$A$1,Database!$A$1:$K$1,),)</f>
        <v/>
      </c>
      <c r="C295" s="12">
        <f>(B295-B294)/B294</f>
        <v/>
      </c>
      <c r="D295" s="13">
        <f>(B295-B283)/B283</f>
        <v/>
      </c>
    </row>
    <row r="296">
      <c r="A296" s="11" t="n">
        <v>42401</v>
      </c>
      <c r="B296" s="15">
        <f>VLOOKUP(A296,Database!A:K,MATCH('Retail Sales'!$A$1,Database!$A$1:$K$1,),)</f>
        <v/>
      </c>
      <c r="C296" s="12">
        <f>(B296-B295)/B295</f>
        <v/>
      </c>
      <c r="D296" s="13">
        <f>(B296-B284)/B284</f>
        <v/>
      </c>
    </row>
    <row r="297">
      <c r="A297" s="10" t="n">
        <v>42430</v>
      </c>
      <c r="B297" s="15">
        <f>VLOOKUP(A297,Database!A:K,MATCH('Retail Sales'!$A$1,Database!$A$1:$K$1,),)</f>
        <v/>
      </c>
      <c r="C297" s="12">
        <f>(B297-B296)/B296</f>
        <v/>
      </c>
      <c r="D297" s="13">
        <f>(B297-B285)/B285</f>
        <v/>
      </c>
    </row>
    <row r="298">
      <c r="A298" s="11" t="n">
        <v>42461</v>
      </c>
      <c r="B298" s="15">
        <f>VLOOKUP(A298,Database!A:K,MATCH('Retail Sales'!$A$1,Database!$A$1:$K$1,),)</f>
        <v/>
      </c>
      <c r="C298" s="12">
        <f>(B298-B297)/B297</f>
        <v/>
      </c>
      <c r="D298" s="13">
        <f>(B298-B286)/B286</f>
        <v/>
      </c>
    </row>
    <row r="299">
      <c r="A299" s="10" t="n">
        <v>42491</v>
      </c>
      <c r="B299" s="15">
        <f>VLOOKUP(A299,Database!A:K,MATCH('Retail Sales'!$A$1,Database!$A$1:$K$1,),)</f>
        <v/>
      </c>
      <c r="C299" s="12">
        <f>(B299-B298)/B298</f>
        <v/>
      </c>
      <c r="D299" s="13">
        <f>(B299-B287)/B287</f>
        <v/>
      </c>
    </row>
    <row r="300">
      <c r="A300" s="11" t="n">
        <v>42522</v>
      </c>
      <c r="B300" s="15">
        <f>VLOOKUP(A300,Database!A:K,MATCH('Retail Sales'!$A$1,Database!$A$1:$K$1,),)</f>
        <v/>
      </c>
      <c r="C300" s="12">
        <f>(B300-B299)/B299</f>
        <v/>
      </c>
      <c r="D300" s="13">
        <f>(B300-B288)/B288</f>
        <v/>
      </c>
    </row>
    <row r="301">
      <c r="A301" s="10" t="n">
        <v>42552</v>
      </c>
      <c r="B301" s="15">
        <f>VLOOKUP(A301,Database!A:K,MATCH('Retail Sales'!$A$1,Database!$A$1:$K$1,),)</f>
        <v/>
      </c>
      <c r="C301" s="12">
        <f>(B301-B300)/B300</f>
        <v/>
      </c>
      <c r="D301" s="13">
        <f>(B301-B289)/B289</f>
        <v/>
      </c>
    </row>
    <row r="302">
      <c r="A302" s="11" t="n">
        <v>42583</v>
      </c>
      <c r="B302" s="15">
        <f>VLOOKUP(A302,Database!A:K,MATCH('Retail Sales'!$A$1,Database!$A$1:$K$1,),)</f>
        <v/>
      </c>
      <c r="C302" s="12">
        <f>(B302-B301)/B301</f>
        <v/>
      </c>
      <c r="D302" s="13">
        <f>(B302-B290)/B290</f>
        <v/>
      </c>
    </row>
    <row r="303">
      <c r="A303" s="10" t="n">
        <v>42614</v>
      </c>
      <c r="B303" s="15">
        <f>VLOOKUP(A303,Database!A:K,MATCH('Retail Sales'!$A$1,Database!$A$1:$K$1,),)</f>
        <v/>
      </c>
      <c r="C303" s="12">
        <f>(B303-B302)/B302</f>
        <v/>
      </c>
      <c r="D303" s="13">
        <f>(B303-B291)/B291</f>
        <v/>
      </c>
    </row>
    <row r="304">
      <c r="A304" s="11" t="n">
        <v>42644</v>
      </c>
      <c r="B304" s="15">
        <f>VLOOKUP(A304,Database!A:K,MATCH('Retail Sales'!$A$1,Database!$A$1:$K$1,),)</f>
        <v/>
      </c>
      <c r="C304" s="12">
        <f>(B304-B303)/B303</f>
        <v/>
      </c>
      <c r="D304" s="13">
        <f>(B304-B292)/B292</f>
        <v/>
      </c>
    </row>
    <row r="305">
      <c r="A305" s="10" t="n">
        <v>42675</v>
      </c>
      <c r="B305" s="15">
        <f>VLOOKUP(A305,Database!A:K,MATCH('Retail Sales'!$A$1,Database!$A$1:$K$1,),)</f>
        <v/>
      </c>
      <c r="C305" s="12">
        <f>(B305-B304)/B304</f>
        <v/>
      </c>
      <c r="D305" s="13">
        <f>(B305-B293)/B293</f>
        <v/>
      </c>
    </row>
    <row r="306">
      <c r="A306" s="11" t="n">
        <v>42705</v>
      </c>
      <c r="B306" s="15">
        <f>VLOOKUP(A306,Database!A:K,MATCH('Retail Sales'!$A$1,Database!$A$1:$K$1,),)</f>
        <v/>
      </c>
      <c r="C306" s="12">
        <f>(B306-B305)/B305</f>
        <v/>
      </c>
      <c r="D306" s="13">
        <f>(B306-B294)/B294</f>
        <v/>
      </c>
    </row>
    <row r="307">
      <c r="A307" s="10" t="n">
        <v>42736</v>
      </c>
      <c r="B307" s="15">
        <f>VLOOKUP(A307,Database!A:K,MATCH('Retail Sales'!$A$1,Database!$A$1:$K$1,),)</f>
        <v/>
      </c>
      <c r="C307" s="12">
        <f>(B307-B306)/B306</f>
        <v/>
      </c>
      <c r="D307" s="13">
        <f>(B307-B295)/B295</f>
        <v/>
      </c>
    </row>
    <row r="308">
      <c r="A308" s="11" t="n">
        <v>42767</v>
      </c>
      <c r="B308" s="15">
        <f>VLOOKUP(A308,Database!A:K,MATCH('Retail Sales'!$A$1,Database!$A$1:$K$1,),)</f>
        <v/>
      </c>
      <c r="C308" s="12">
        <f>(B308-B307)/B307</f>
        <v/>
      </c>
      <c r="D308" s="13">
        <f>(B308-B296)/B296</f>
        <v/>
      </c>
    </row>
    <row r="309">
      <c r="A309" s="10" t="n">
        <v>42795</v>
      </c>
      <c r="B309" s="15">
        <f>VLOOKUP(A309,Database!A:K,MATCH('Retail Sales'!$A$1,Database!$A$1:$K$1,),)</f>
        <v/>
      </c>
      <c r="C309" s="12">
        <f>(B309-B308)/B308</f>
        <v/>
      </c>
      <c r="D309" s="13">
        <f>(B309-B297)/B297</f>
        <v/>
      </c>
    </row>
    <row r="310">
      <c r="A310" s="11" t="n">
        <v>42826</v>
      </c>
      <c r="B310" s="15">
        <f>VLOOKUP(A310,Database!A:K,MATCH('Retail Sales'!$A$1,Database!$A$1:$K$1,),)</f>
        <v/>
      </c>
      <c r="C310" s="12">
        <f>(B310-B309)/B309</f>
        <v/>
      </c>
      <c r="D310" s="13">
        <f>(B310-B298)/B298</f>
        <v/>
      </c>
    </row>
    <row r="311">
      <c r="A311" s="10" t="n">
        <v>42856</v>
      </c>
      <c r="B311" s="15">
        <f>VLOOKUP(A311,Database!A:K,MATCH('Retail Sales'!$A$1,Database!$A$1:$K$1,),)</f>
        <v/>
      </c>
      <c r="C311" s="12">
        <f>(B311-B310)/B310</f>
        <v/>
      </c>
      <c r="D311" s="13">
        <f>(B311-B299)/B299</f>
        <v/>
      </c>
    </row>
    <row r="312">
      <c r="A312" s="11" t="n">
        <v>42887</v>
      </c>
      <c r="B312" s="15">
        <f>VLOOKUP(A312,Database!A:K,MATCH('Retail Sales'!$A$1,Database!$A$1:$K$1,),)</f>
        <v/>
      </c>
      <c r="C312" s="12">
        <f>(B312-B311)/B311</f>
        <v/>
      </c>
      <c r="D312" s="13">
        <f>(B312-B300)/B300</f>
        <v/>
      </c>
    </row>
    <row r="313">
      <c r="A313" s="10" t="n">
        <v>42917</v>
      </c>
      <c r="B313" s="15">
        <f>VLOOKUP(A313,Database!A:K,MATCH('Retail Sales'!$A$1,Database!$A$1:$K$1,),)</f>
        <v/>
      </c>
      <c r="C313" s="12">
        <f>(B313-B312)/B312</f>
        <v/>
      </c>
      <c r="D313" s="13">
        <f>(B313-B301)/B301</f>
        <v/>
      </c>
    </row>
    <row r="314">
      <c r="A314" s="11" t="n">
        <v>42948</v>
      </c>
      <c r="B314" s="15">
        <f>VLOOKUP(A314,Database!A:K,MATCH('Retail Sales'!$A$1,Database!$A$1:$K$1,),)</f>
        <v/>
      </c>
      <c r="C314" s="12">
        <f>(B314-B313)/B313</f>
        <v/>
      </c>
      <c r="D314" s="13">
        <f>(B314-B302)/B302</f>
        <v/>
      </c>
    </row>
    <row r="315">
      <c r="A315" s="10" t="n">
        <v>42979</v>
      </c>
      <c r="B315" s="15">
        <f>VLOOKUP(A315,Database!A:K,MATCH('Retail Sales'!$A$1,Database!$A$1:$K$1,),)</f>
        <v/>
      </c>
      <c r="C315" s="12">
        <f>(B315-B314)/B314</f>
        <v/>
      </c>
      <c r="D315" s="13">
        <f>(B315-B303)/B303</f>
        <v/>
      </c>
    </row>
    <row r="316">
      <c r="A316" s="11" t="n">
        <v>43009</v>
      </c>
      <c r="B316" s="15">
        <f>VLOOKUP(A316,Database!A:K,MATCH('Retail Sales'!$A$1,Database!$A$1:$K$1,),)</f>
        <v/>
      </c>
      <c r="C316" s="12">
        <f>(B316-B315)/B315</f>
        <v/>
      </c>
      <c r="D316" s="13">
        <f>(B316-B304)/B304</f>
        <v/>
      </c>
    </row>
    <row r="317">
      <c r="A317" s="10" t="n">
        <v>43040</v>
      </c>
      <c r="B317" s="15">
        <f>VLOOKUP(A317,Database!A:K,MATCH('Retail Sales'!$A$1,Database!$A$1:$K$1,),)</f>
        <v/>
      </c>
      <c r="C317" s="12">
        <f>(B317-B316)/B316</f>
        <v/>
      </c>
      <c r="D317" s="13">
        <f>(B317-B305)/B305</f>
        <v/>
      </c>
    </row>
    <row r="318">
      <c r="A318" s="11" t="n">
        <v>43070</v>
      </c>
      <c r="B318" s="15">
        <f>VLOOKUP(A318,Database!A:K,MATCH('Retail Sales'!$A$1,Database!$A$1:$K$1,),)</f>
        <v/>
      </c>
      <c r="C318" s="12">
        <f>(B318-B317)/B317</f>
        <v/>
      </c>
      <c r="D318" s="13">
        <f>(B318-B306)/B306</f>
        <v/>
      </c>
    </row>
    <row r="319">
      <c r="A319" s="10" t="n">
        <v>43101</v>
      </c>
      <c r="B319" s="15">
        <f>VLOOKUP(A319,Database!A:K,MATCH('Retail Sales'!$A$1,Database!$A$1:$K$1,),)</f>
        <v/>
      </c>
      <c r="C319" s="12">
        <f>(B319-B318)/B318</f>
        <v/>
      </c>
      <c r="D319" s="13">
        <f>(B319-B307)/B307</f>
        <v/>
      </c>
    </row>
    <row r="320">
      <c r="A320" s="11" t="n">
        <v>43132</v>
      </c>
      <c r="B320" s="15">
        <f>VLOOKUP(A320,Database!A:K,MATCH('Retail Sales'!$A$1,Database!$A$1:$K$1,),)</f>
        <v/>
      </c>
      <c r="C320" s="12">
        <f>(B320-B319)/B319</f>
        <v/>
      </c>
      <c r="D320" s="13">
        <f>(B320-B308)/B308</f>
        <v/>
      </c>
    </row>
    <row r="321">
      <c r="A321" s="10" t="n">
        <v>43160</v>
      </c>
      <c r="B321" s="15">
        <f>VLOOKUP(A321,Database!A:K,MATCH('Retail Sales'!$A$1,Database!$A$1:$K$1,),)</f>
        <v/>
      </c>
      <c r="C321" s="12">
        <f>(B321-B320)/B320</f>
        <v/>
      </c>
      <c r="D321" s="13">
        <f>(B321-B309)/B309</f>
        <v/>
      </c>
    </row>
    <row r="322">
      <c r="A322" s="11" t="n">
        <v>43191</v>
      </c>
      <c r="B322" s="15">
        <f>VLOOKUP(A322,Database!A:K,MATCH('Retail Sales'!$A$1,Database!$A$1:$K$1,),)</f>
        <v/>
      </c>
      <c r="C322" s="12">
        <f>(B322-B321)/B321</f>
        <v/>
      </c>
      <c r="D322" s="13">
        <f>(B322-B310)/B310</f>
        <v/>
      </c>
    </row>
    <row r="323">
      <c r="A323" s="10" t="n">
        <v>43221</v>
      </c>
      <c r="B323" s="15">
        <f>VLOOKUP(A323,Database!A:K,MATCH('Retail Sales'!$A$1,Database!$A$1:$K$1,),)</f>
        <v/>
      </c>
      <c r="C323" s="12">
        <f>(B323-B322)/B322</f>
        <v/>
      </c>
      <c r="D323" s="13">
        <f>(B323-B311)/B311</f>
        <v/>
      </c>
    </row>
    <row r="324">
      <c r="A324" s="11" t="n">
        <v>43252</v>
      </c>
      <c r="B324" s="15">
        <f>VLOOKUP(A324,Database!A:K,MATCH('Retail Sales'!$A$1,Database!$A$1:$K$1,),)</f>
        <v/>
      </c>
      <c r="C324" s="12">
        <f>(B324-B323)/B323</f>
        <v/>
      </c>
      <c r="D324" s="13">
        <f>(B324-B312)/B312</f>
        <v/>
      </c>
    </row>
    <row r="325">
      <c r="A325" s="10" t="n">
        <v>43282</v>
      </c>
      <c r="B325" s="15">
        <f>VLOOKUP(A325,Database!A:K,MATCH('Retail Sales'!$A$1,Database!$A$1:$K$1,),)</f>
        <v/>
      </c>
      <c r="C325" s="12">
        <f>(B325-B324)/B324</f>
        <v/>
      </c>
      <c r="D325" s="13">
        <f>(B325-B313)/B313</f>
        <v/>
      </c>
    </row>
    <row r="326">
      <c r="A326" s="11" t="n">
        <v>43313</v>
      </c>
      <c r="B326" s="15">
        <f>VLOOKUP(A326,Database!A:K,MATCH('Retail Sales'!$A$1,Database!$A$1:$K$1,),)</f>
        <v/>
      </c>
      <c r="C326" s="12">
        <f>(B326-B325)/B325</f>
        <v/>
      </c>
      <c r="D326" s="13">
        <f>(B326-B314)/B314</f>
        <v/>
      </c>
    </row>
    <row r="327">
      <c r="A327" s="10" t="n">
        <v>43344</v>
      </c>
      <c r="B327" s="15">
        <f>VLOOKUP(A327,Database!A:K,MATCH('Retail Sales'!$A$1,Database!$A$1:$K$1,),)</f>
        <v/>
      </c>
      <c r="C327" s="12">
        <f>(B327-B326)/B326</f>
        <v/>
      </c>
      <c r="D327" s="13">
        <f>(B327-B315)/B315</f>
        <v/>
      </c>
    </row>
    <row r="328">
      <c r="A328" s="11" t="n">
        <v>43374</v>
      </c>
      <c r="B328" s="15">
        <f>VLOOKUP(A328,Database!A:K,MATCH('Retail Sales'!$A$1,Database!$A$1:$K$1,),)</f>
        <v/>
      </c>
      <c r="C328" s="12">
        <f>(B328-B327)/B327</f>
        <v/>
      </c>
      <c r="D328" s="13">
        <f>(B328-B316)/B316</f>
        <v/>
      </c>
    </row>
    <row r="329">
      <c r="A329" s="10" t="n">
        <v>43405</v>
      </c>
      <c r="B329" s="15">
        <f>VLOOKUP(A329,Database!A:K,MATCH('Retail Sales'!$A$1,Database!$A$1:$K$1,),)</f>
        <v/>
      </c>
      <c r="C329" s="12">
        <f>(B329-B328)/B328</f>
        <v/>
      </c>
      <c r="D329" s="13">
        <f>(B329-B317)/B317</f>
        <v/>
      </c>
    </row>
    <row r="330">
      <c r="A330" s="11" t="n">
        <v>43435</v>
      </c>
      <c r="B330" s="15">
        <f>VLOOKUP(A330,Database!A:K,MATCH('Retail Sales'!$A$1,Database!$A$1:$K$1,),)</f>
        <v/>
      </c>
      <c r="C330" s="12">
        <f>(B330-B329)/B329</f>
        <v/>
      </c>
      <c r="D330" s="13">
        <f>(B330-B318)/B318</f>
        <v/>
      </c>
    </row>
    <row r="331">
      <c r="A331" s="10" t="n">
        <v>43466</v>
      </c>
      <c r="B331" s="15">
        <f>VLOOKUP(A331,Database!A:K,MATCH('Retail Sales'!$A$1,Database!$A$1:$K$1,),)</f>
        <v/>
      </c>
      <c r="C331" s="12">
        <f>(B331-B330)/B330</f>
        <v/>
      </c>
      <c r="D331" s="13">
        <f>(B331-B319)/B319</f>
        <v/>
      </c>
    </row>
    <row r="332">
      <c r="A332" s="11" t="n">
        <v>43497</v>
      </c>
      <c r="B332" s="15">
        <f>VLOOKUP(A332,Database!A:K,MATCH('Retail Sales'!$A$1,Database!$A$1:$K$1,),)</f>
        <v/>
      </c>
      <c r="C332" s="12">
        <f>(B332-B331)/B331</f>
        <v/>
      </c>
      <c r="D332" s="13">
        <f>(B332-B320)/B320</f>
        <v/>
      </c>
    </row>
    <row r="333">
      <c r="A333" s="10" t="n">
        <v>43525</v>
      </c>
      <c r="B333" s="15">
        <f>VLOOKUP(A333,Database!A:K,MATCH('Retail Sales'!$A$1,Database!$A$1:$K$1,),)</f>
        <v/>
      </c>
      <c r="C333" s="12">
        <f>(B333-B332)/B332</f>
        <v/>
      </c>
      <c r="D333" s="13">
        <f>(B333-B321)/B321</f>
        <v/>
      </c>
    </row>
    <row r="334">
      <c r="A334" s="11" t="n">
        <v>43556</v>
      </c>
      <c r="B334" s="15">
        <f>VLOOKUP(A334,Database!A:K,MATCH('Retail Sales'!$A$1,Database!$A$1:$K$1,),)</f>
        <v/>
      </c>
      <c r="C334" s="12">
        <f>(B334-B333)/B333</f>
        <v/>
      </c>
      <c r="D334" s="13">
        <f>(B334-B322)/B322</f>
        <v/>
      </c>
    </row>
    <row r="335">
      <c r="A335" s="10" t="n">
        <v>43586</v>
      </c>
      <c r="B335" s="15">
        <f>VLOOKUP(A335,Database!A:K,MATCH('Retail Sales'!$A$1,Database!$A$1:$K$1,),)</f>
        <v/>
      </c>
      <c r="C335" s="12">
        <f>(B335-B334)/B334</f>
        <v/>
      </c>
      <c r="D335" s="13">
        <f>(B335-B323)/B323</f>
        <v/>
      </c>
    </row>
    <row r="336">
      <c r="A336" s="11" t="n">
        <v>43617</v>
      </c>
      <c r="B336" s="15">
        <f>VLOOKUP(A336,Database!A:K,MATCH('Retail Sales'!$A$1,Database!$A$1:$K$1,),)</f>
        <v/>
      </c>
      <c r="C336" s="12">
        <f>(B336-B335)/B335</f>
        <v/>
      </c>
      <c r="D336" s="13">
        <f>(B336-B324)/B324</f>
        <v/>
      </c>
    </row>
    <row r="337">
      <c r="A337" s="10" t="n">
        <v>43647</v>
      </c>
      <c r="B337" s="15">
        <f>VLOOKUP(A337,Database!A:K,MATCH('Retail Sales'!$A$1,Database!$A$1:$K$1,),)</f>
        <v/>
      </c>
      <c r="C337" s="12">
        <f>(B337-B336)/B336</f>
        <v/>
      </c>
      <c r="D337" s="13">
        <f>(B337-B325)/B325</f>
        <v/>
      </c>
    </row>
    <row r="338" customFormat="1" s="122">
      <c r="A338" s="11" t="n">
        <v>43678</v>
      </c>
      <c r="B338" s="15">
        <f>VLOOKUP(A338,Database!A:K,MATCH('Retail Sales'!$A$1,Database!$A$1:$K$1,),)</f>
        <v/>
      </c>
      <c r="C338" s="12">
        <f>(B338-B337)/B337</f>
        <v/>
      </c>
      <c r="D338" s="13">
        <f>(B338-B326)/B326</f>
        <v/>
      </c>
    </row>
    <row r="339" customFormat="1" s="122">
      <c r="A339" s="10" t="n">
        <v>43709</v>
      </c>
      <c r="B339" s="15">
        <f>VLOOKUP(A339,Database!A:K,MATCH('Retail Sales'!$A$1,Database!$A$1:$K$1,),)</f>
        <v/>
      </c>
      <c r="C339" s="12">
        <f>(B339-B338)/B338</f>
        <v/>
      </c>
      <c r="D339" s="13">
        <f>(B339-B327)/B327</f>
        <v/>
      </c>
    </row>
    <row r="340" customFormat="1" s="122">
      <c r="A340" s="11" t="n">
        <v>43739</v>
      </c>
      <c r="B340" s="15">
        <f>VLOOKUP(A340,Database!A:K,MATCH('Retail Sales'!$A$1,Database!$A$1:$K$1,),)</f>
        <v/>
      </c>
      <c r="C340" s="12">
        <f>(B340-B339)/B339</f>
        <v/>
      </c>
      <c r="D340" s="13">
        <f>(B340-B328)/B328</f>
        <v/>
      </c>
    </row>
    <row r="341" customFormat="1" s="122">
      <c r="A341" s="10" t="n">
        <v>43770</v>
      </c>
      <c r="B341" s="15">
        <f>VLOOKUP(A341,Database!A:K,MATCH('Retail Sales'!$A$1,Database!$A$1:$K$1,),)</f>
        <v/>
      </c>
      <c r="C341" s="12">
        <f>(B341-B340)/B340</f>
        <v/>
      </c>
      <c r="D341" s="13">
        <f>(B341-B329)/B329</f>
        <v/>
      </c>
    </row>
    <row r="342" customFormat="1" s="122">
      <c r="A342" s="11" t="n">
        <v>43800</v>
      </c>
      <c r="B342" s="15">
        <f>VLOOKUP(A342,Database!A:K,MATCH('Retail Sales'!$A$1,Database!$A$1:$K$1,),)</f>
        <v/>
      </c>
      <c r="C342" s="12">
        <f>(B342-B341)/B341</f>
        <v/>
      </c>
      <c r="D342" s="13">
        <f>(B342-B330)/B330</f>
        <v/>
      </c>
    </row>
    <row r="343" customFormat="1" s="122">
      <c r="A343" s="10" t="n">
        <v>43831</v>
      </c>
      <c r="B343" s="15">
        <f>VLOOKUP(A343,Database!A:K,MATCH('Retail Sales'!$A$1,Database!$A$1:$K$1,),)</f>
        <v/>
      </c>
      <c r="C343" s="12">
        <f>(B343-B342)/B342</f>
        <v/>
      </c>
      <c r="D343" s="13">
        <f>(B343-B331)/B331</f>
        <v/>
      </c>
    </row>
    <row r="344" customFormat="1" s="122">
      <c r="A344" s="11" t="n">
        <v>43862</v>
      </c>
      <c r="B344" s="15">
        <f>VLOOKUP(A344,Database!A:K,MATCH('Retail Sales'!$A$1,Database!$A$1:$K$1,),)</f>
        <v/>
      </c>
      <c r="C344" s="12">
        <f>(B344-B343)/B343</f>
        <v/>
      </c>
      <c r="D344" s="13">
        <f>(B344-B332)/B332</f>
        <v/>
      </c>
    </row>
    <row r="345" customFormat="1" s="122">
      <c r="A345" s="10" t="n">
        <v>43891</v>
      </c>
      <c r="B345" s="15">
        <f>VLOOKUP(A345,Database!A:K,MATCH('Retail Sales'!$A$1,Database!$A$1:$K$1,),)</f>
        <v/>
      </c>
      <c r="C345" s="12">
        <f>(B345-B344)/B344</f>
        <v/>
      </c>
      <c r="D345" s="13">
        <f>(B345-B333)/B333</f>
        <v/>
      </c>
    </row>
    <row r="346" customFormat="1" s="122">
      <c r="A346" s="11" t="n">
        <v>43922</v>
      </c>
      <c r="B346" s="15">
        <f>VLOOKUP(A346,Database!A:K,MATCH('Retail Sales'!$A$1,Database!$A$1:$K$1,),)</f>
        <v/>
      </c>
      <c r="C346" s="12">
        <f>(B346-B345)/B345</f>
        <v/>
      </c>
      <c r="D346" s="13">
        <f>(B346-B334)/B334</f>
        <v/>
      </c>
    </row>
    <row r="347" customFormat="1" s="122">
      <c r="A347" s="10" t="n">
        <v>43952</v>
      </c>
      <c r="B347" s="15">
        <f>VLOOKUP(A347,Database!A:K,MATCH('Retail Sales'!$A$1,Database!$A$1:$K$1,),)</f>
        <v/>
      </c>
      <c r="C347" s="12">
        <f>(B347-B346)/B346</f>
        <v/>
      </c>
      <c r="D347" s="13">
        <f>(B347-B335)/B335</f>
        <v/>
      </c>
    </row>
    <row r="348" customFormat="1" s="122">
      <c r="A348" s="11" t="n">
        <v>43983</v>
      </c>
      <c r="B348" s="15">
        <f>VLOOKUP(A348,Database!A:K,MATCH('Retail Sales'!$A$1,Database!$A$1:$K$1,),)</f>
        <v/>
      </c>
      <c r="C348" s="12">
        <f>(B348-B347)/B347</f>
        <v/>
      </c>
      <c r="D348" s="13">
        <f>(B348-B336)/B336</f>
        <v/>
      </c>
    </row>
    <row r="349" customFormat="1" s="122">
      <c r="A349" s="10" t="n">
        <v>44013</v>
      </c>
      <c r="B349" s="15">
        <f>VLOOKUP(A349,Database!A:K,MATCH('Retail Sales'!$A$1,Database!$A$1:$K$1,),)</f>
        <v/>
      </c>
      <c r="C349" s="12">
        <f>(B349-B348)/B348</f>
        <v/>
      </c>
      <c r="D349" s="13">
        <f>(B349-B337)/B337</f>
        <v/>
      </c>
    </row>
    <row r="350" customFormat="1" s="122">
      <c r="A350" s="11" t="n">
        <v>44044</v>
      </c>
      <c r="B350" s="15">
        <f>VLOOKUP(A350,Database!A:K,MATCH('Retail Sales'!$A$1,Database!$A$1:$K$1,),)</f>
        <v/>
      </c>
      <c r="C350" s="12">
        <f>(B350-B349)/B349</f>
        <v/>
      </c>
      <c r="D350" s="13">
        <f>(B350-B338)/B338</f>
        <v/>
      </c>
    </row>
    <row r="351" customFormat="1" s="122">
      <c r="A351" s="10" t="n">
        <v>44075</v>
      </c>
      <c r="B351" s="15">
        <f>VLOOKUP(A351,Database!A:K,MATCH('Retail Sales'!$A$1,Database!$A$1:$K$1,),)</f>
        <v/>
      </c>
      <c r="C351" s="12">
        <f>(B351-B350)/B350</f>
        <v/>
      </c>
      <c r="D351" s="13">
        <f>(B351-B339)/B339</f>
        <v/>
      </c>
    </row>
    <row r="352" customFormat="1" s="122">
      <c r="A352" s="11" t="n">
        <v>44105</v>
      </c>
      <c r="B352" s="15">
        <f>VLOOKUP(A352,Database!A:K,MATCH('Retail Sales'!$A$1,Database!$A$1:$K$1,),)</f>
        <v/>
      </c>
      <c r="C352" s="12">
        <f>(B352-B351)/B351</f>
        <v/>
      </c>
      <c r="D352" s="13">
        <f>(B352-B340)/B340</f>
        <v/>
      </c>
    </row>
    <row r="353" customFormat="1" s="122">
      <c r="A353" s="10" t="n">
        <v>44136</v>
      </c>
      <c r="B353" s="15">
        <f>VLOOKUP(A353,Database!A:K,MATCH('Retail Sales'!$A$1,Database!$A$1:$K$1,),)</f>
        <v/>
      </c>
      <c r="C353" s="12">
        <f>(B353-B352)/B352</f>
        <v/>
      </c>
      <c r="D353" s="13">
        <f>(B353-B341)/B341</f>
        <v/>
      </c>
    </row>
    <row r="354" customFormat="1" s="122">
      <c r="A354" s="11" t="n">
        <v>44166</v>
      </c>
      <c r="B354" s="15">
        <f>VLOOKUP(A354,Database!A:K,MATCH('Retail Sales'!$A$1,Database!$A$1:$K$1,),)</f>
        <v/>
      </c>
      <c r="C354" s="12">
        <f>(B354-B353)/B353</f>
        <v/>
      </c>
      <c r="D354" s="13">
        <f>(B354-B342)/B342</f>
        <v/>
      </c>
    </row>
    <row r="355" customFormat="1" s="122">
      <c r="A355" s="10" t="n">
        <v>44197</v>
      </c>
      <c r="B355" s="15">
        <f>VLOOKUP(A355,Database!A:K,MATCH('Retail Sales'!$A$1,Database!$A$1:$K$1,),)</f>
        <v/>
      </c>
      <c r="C355" s="12">
        <f>(B355-B354)/B354</f>
        <v/>
      </c>
      <c r="D355" s="13">
        <f>(B355-B343)/B343</f>
        <v/>
      </c>
    </row>
    <row r="356" customFormat="1" s="122">
      <c r="A356" s="11" t="n">
        <v>44228</v>
      </c>
      <c r="B356" s="15">
        <f>VLOOKUP(A356,Database!A:K,MATCH('Retail Sales'!$A$1,Database!$A$1:$K$1,),)</f>
        <v/>
      </c>
      <c r="C356" s="12">
        <f>(B356-B355)/B355</f>
        <v/>
      </c>
      <c r="D356" s="13">
        <f>(B356-B344)/B344</f>
        <v/>
      </c>
    </row>
    <row r="357" customFormat="1" s="122">
      <c r="A357" s="10" t="n">
        <v>44256</v>
      </c>
      <c r="B357" s="15">
        <f>VLOOKUP(A357,Database!A:K,MATCH('Retail Sales'!$A$1,Database!$A$1:$K$1,),)</f>
        <v/>
      </c>
      <c r="C357" s="12">
        <f>(B357-B356)/B356</f>
        <v/>
      </c>
      <c r="D357" s="13">
        <f>(B357-B345)/B345</f>
        <v/>
      </c>
    </row>
    <row r="358" customFormat="1" s="122">
      <c r="A358" s="11" t="n">
        <v>44287</v>
      </c>
      <c r="B358" s="15">
        <f>VLOOKUP(A358,Database!A:K,MATCH('Retail Sales'!$A$1,Database!$A$1:$K$1,),)</f>
        <v/>
      </c>
      <c r="C358" s="12">
        <f>(B358-B357)/B357</f>
        <v/>
      </c>
      <c r="D358" s="13">
        <f>(B358-B346)/B346</f>
        <v/>
      </c>
    </row>
    <row r="359" customFormat="1" s="122">
      <c r="A359" s="10" t="n">
        <v>44317</v>
      </c>
      <c r="B359" s="15">
        <f>VLOOKUP(A359,Database!A:K,MATCH('Retail Sales'!$A$1,Database!$A$1:$K$1,),)</f>
        <v/>
      </c>
      <c r="C359" s="12">
        <f>(B359-B358)/B358</f>
        <v/>
      </c>
      <c r="D359" s="13">
        <f>(B359-B347)/B347</f>
        <v/>
      </c>
    </row>
    <row r="360" customFormat="1" s="122">
      <c r="A360" s="11" t="n">
        <v>44348</v>
      </c>
      <c r="B360" s="15">
        <f>VLOOKUP(A360,Database!A:K,MATCH('Retail Sales'!$A$1,Database!$A$1:$K$1,),)</f>
        <v/>
      </c>
      <c r="C360" s="12">
        <f>(B360-B359)/B359</f>
        <v/>
      </c>
      <c r="D360" s="13">
        <f>(B360-B348)/B348</f>
        <v/>
      </c>
    </row>
    <row r="361" customFormat="1" s="122">
      <c r="A361" s="10" t="n">
        <v>44378</v>
      </c>
      <c r="B361" s="15">
        <f>VLOOKUP(A361,Database!A:K,MATCH('Retail Sales'!$A$1,Database!$A$1:$K$1,),)</f>
        <v/>
      </c>
      <c r="C361" s="12">
        <f>(B361-B360)/B360</f>
        <v/>
      </c>
      <c r="D361" s="13">
        <f>(B361-B349)/B349</f>
        <v/>
      </c>
    </row>
    <row r="362" customFormat="1" s="122">
      <c r="A362" s="11" t="n">
        <v>44409</v>
      </c>
      <c r="B362" s="15">
        <f>VLOOKUP(A362,Database!A:K,MATCH('Retail Sales'!$A$1,Database!$A$1:$K$1,),)</f>
        <v/>
      </c>
      <c r="C362" s="12">
        <f>(B362-B361)/B361</f>
        <v/>
      </c>
      <c r="D362" s="13">
        <f>(B362-B350)/B350</f>
        <v/>
      </c>
    </row>
    <row r="363" customFormat="1" s="122">
      <c r="A363" s="11" t="n">
        <v>44440</v>
      </c>
      <c r="B363" s="15">
        <f>VLOOKUP(A363,Database!A:K,MATCH('Retail Sales'!$A$1,Database!$A$1:$K$1,),)</f>
        <v/>
      </c>
      <c r="C363" s="12">
        <f>(B363-B362)/B362</f>
        <v/>
      </c>
      <c r="D363" s="13">
        <f>(B363-B351)/B351</f>
        <v/>
      </c>
    </row>
    <row r="364" customFormat="1" s="122">
      <c r="A364" s="10" t="n">
        <v>44470</v>
      </c>
      <c r="B364" s="15">
        <f>VLOOKUP(A364,Database!A:K,MATCH('Retail Sales'!$A$1,Database!$A$1:$K$1,),)</f>
        <v/>
      </c>
      <c r="C364" s="12">
        <f>(B364-B363)/B363</f>
        <v/>
      </c>
      <c r="D364" s="13">
        <f>(B364-B352)/B352</f>
        <v/>
      </c>
    </row>
    <row r="365" customFormat="1" s="122">
      <c r="A365" s="11" t="n">
        <v>44501</v>
      </c>
      <c r="B365" s="15">
        <f>VLOOKUP(A365,Database!A:K,MATCH('Retail Sales'!$A$1,Database!$A$1:$K$1,),)</f>
        <v/>
      </c>
      <c r="C365" s="12">
        <f>(B365-B364)/B364</f>
        <v/>
      </c>
      <c r="D365" s="13">
        <f>(B365-B353)/B353</f>
        <v/>
      </c>
    </row>
    <row r="366" customFormat="1" s="122">
      <c r="A366" s="11" t="n">
        <v>44531</v>
      </c>
      <c r="B366" s="15">
        <f>VLOOKUP(A366,Database!A:K,MATCH('Retail Sales'!$A$1,Database!$A$1:$K$1,),)</f>
        <v/>
      </c>
      <c r="C366" s="12">
        <f>(B366-B365)/B365</f>
        <v/>
      </c>
      <c r="D366" s="13">
        <f>(B366-B354)/B354</f>
        <v/>
      </c>
    </row>
    <row r="367" customFormat="1" s="122">
      <c r="A367" s="11" t="n">
        <v>44562</v>
      </c>
      <c r="B367" s="15">
        <f>VLOOKUP(A367,Database!A:K,MATCH('Retail Sales'!$A$1,Database!$A$1:$K$1,),)</f>
        <v/>
      </c>
      <c r="C367" s="12">
        <f>(B367-B366)/B366</f>
        <v/>
      </c>
      <c r="D367" s="13">
        <f>(B367-B355)/B355</f>
        <v/>
      </c>
    </row>
    <row r="368" customFormat="1" s="122">
      <c r="A368" s="10" t="n">
        <v>44593</v>
      </c>
      <c r="B368" s="15">
        <f>VLOOKUP(A368,Database!A:K,MATCH('Retail Sales'!$A$1,Database!$A$1:$K$1,),)</f>
        <v/>
      </c>
      <c r="C368" s="12">
        <f>(B368-B367)/B367</f>
        <v/>
      </c>
      <c r="D368" s="13">
        <f>(B368-B356)/B356</f>
        <v/>
      </c>
    </row>
    <row r="369" customFormat="1" s="122">
      <c r="A369" s="11" t="n">
        <v>44621</v>
      </c>
      <c r="B369" s="15">
        <f>VLOOKUP(A369,Database!A:K,MATCH('Retail Sales'!$A$1,Database!$A$1:$K$1,),)</f>
        <v/>
      </c>
      <c r="C369" s="12">
        <f>(B369-B368)/B368</f>
        <v/>
      </c>
      <c r="D369" s="13">
        <f>(B369-B357)/B357</f>
        <v/>
      </c>
    </row>
    <row r="370" customFormat="1" s="122">
      <c r="A370" s="11" t="n">
        <v>44652</v>
      </c>
      <c r="B370" s="15">
        <f>VLOOKUP(A370,Database!A:K,MATCH('Retail Sales'!$A$1,Database!$A$1:$K$1,),)</f>
        <v/>
      </c>
      <c r="C370" s="12">
        <f>(B370-B369)/B369</f>
        <v/>
      </c>
      <c r="D370" s="13">
        <f>(B370-B358)/B358</f>
        <v/>
      </c>
    </row>
    <row r="371" customFormat="1" s="122">
      <c r="A371" s="10" t="n">
        <v>44682</v>
      </c>
      <c r="B371" s="15">
        <f>VLOOKUP(A371,Database!A:K,MATCH('Retail Sales'!$A$1,Database!$A$1:$K$1,),)</f>
        <v/>
      </c>
      <c r="C371" s="12">
        <f>(B371-B370)/B370</f>
        <v/>
      </c>
      <c r="D371" s="13">
        <f>(B371-B359)/B359</f>
        <v/>
      </c>
    </row>
    <row r="372" customFormat="1" s="122">
      <c r="A372" s="11" t="n">
        <v>44713</v>
      </c>
      <c r="B372" s="15">
        <f>VLOOKUP(A372,Database!A:K,MATCH('Retail Sales'!$A$1,Database!$A$1:$K$1,),)</f>
        <v/>
      </c>
      <c r="C372" s="12">
        <f>(B372-B371)/B371</f>
        <v/>
      </c>
      <c r="D372" s="13">
        <f>(B372-B360)/B360</f>
        <v/>
      </c>
    </row>
    <row r="373" customFormat="1" s="122">
      <c r="A373" s="11" t="n">
        <v>44743</v>
      </c>
      <c r="B373" s="15">
        <f>VLOOKUP(A373,Database!A:K,MATCH('Retail Sales'!$A$1,Database!$A$1:$K$1,),)</f>
        <v/>
      </c>
      <c r="C373" s="12">
        <f>(B373-B372)/B372</f>
        <v/>
      </c>
      <c r="D373" s="13">
        <f>(B373-B361)/B361</f>
        <v/>
      </c>
    </row>
    <row r="374" customFormat="1" s="122">
      <c r="A374" s="10" t="n">
        <v>44774</v>
      </c>
      <c r="B374" s="15">
        <f>VLOOKUP(A374,Database!A:K,MATCH('Retail Sales'!$A$1,Database!$A$1:$K$1,),)</f>
        <v/>
      </c>
      <c r="C374" s="12">
        <f>(B374-B373)/B373</f>
        <v/>
      </c>
      <c r="D374" s="13">
        <f>(B374-B362)/B362</f>
        <v/>
      </c>
    </row>
    <row r="375" customFormat="1" s="122">
      <c r="A375" s="10" t="n">
        <v>44805</v>
      </c>
      <c r="B375" s="15">
        <f>VLOOKUP(A375,Database!A:K,MATCH('Retail Sales'!$A$1,Database!$A$1:$K$1,),)</f>
        <v/>
      </c>
      <c r="C375" s="12">
        <f>(B375-B374)/B374</f>
        <v/>
      </c>
      <c r="D375" s="13">
        <f>(B375-B363)/B363</f>
        <v/>
      </c>
    </row>
    <row r="376" customFormat="1" s="122">
      <c r="A376" s="54" t="n"/>
      <c r="B376" s="14" t="n"/>
      <c r="C376" s="54" t="n"/>
      <c r="D376" s="54" t="n"/>
    </row>
    <row r="377" customFormat="1" s="122">
      <c r="A377" s="54" t="n"/>
      <c r="B377" s="14" t="n"/>
      <c r="C377" s="54" t="n"/>
      <c r="D377" s="54" t="n"/>
    </row>
    <row r="378" customFormat="1" s="122">
      <c r="A378" s="54" t="n"/>
      <c r="B378" s="14" t="n"/>
      <c r="C378" s="54" t="n"/>
      <c r="D378" s="54" t="n"/>
    </row>
    <row r="379" customFormat="1" s="122">
      <c r="A379" s="54" t="n"/>
      <c r="B379" s="14" t="n"/>
      <c r="C379" s="54" t="n"/>
      <c r="D379" s="54" t="n"/>
    </row>
    <row r="380" customFormat="1" s="122">
      <c r="A380" s="54" t="n"/>
      <c r="B380" s="14" t="n"/>
      <c r="C380" s="54" t="n"/>
      <c r="D380" s="54" t="n"/>
    </row>
    <row r="381" customFormat="1" s="122">
      <c r="A381" s="54" t="n"/>
      <c r="B381" s="14" t="n"/>
      <c r="C381" s="54" t="n"/>
      <c r="D381" s="54" t="n"/>
    </row>
    <row r="382" customFormat="1" s="122">
      <c r="A382" s="54" t="n"/>
      <c r="B382" s="14" t="n"/>
      <c r="C382" s="54" t="n"/>
      <c r="D382" s="54" t="n"/>
    </row>
    <row r="383" customFormat="1" s="122">
      <c r="A383" s="54" t="n"/>
      <c r="B383" s="14" t="n"/>
      <c r="C383" s="54" t="n"/>
      <c r="D383" s="54" t="n"/>
    </row>
    <row r="384" customFormat="1" s="122">
      <c r="A384" s="54" t="n"/>
      <c r="B384" s="14" t="n"/>
      <c r="C384" s="54" t="n"/>
      <c r="D384" s="54" t="n"/>
    </row>
    <row r="385" customFormat="1" s="122">
      <c r="A385" s="54" t="n"/>
      <c r="B385" s="14" t="n"/>
      <c r="C385" s="54" t="n"/>
      <c r="D385" s="54" t="n"/>
    </row>
    <row r="386" customFormat="1" s="122">
      <c r="A386" s="54" t="n"/>
      <c r="B386" s="14" t="n"/>
      <c r="C386" s="54" t="n"/>
      <c r="D386" s="54" t="n"/>
    </row>
    <row r="387" customFormat="1" s="122">
      <c r="A387" s="54" t="n"/>
      <c r="B387" s="14" t="n"/>
      <c r="C387" s="54" t="n"/>
      <c r="D387" s="54" t="n"/>
    </row>
    <row r="388" customFormat="1" s="122">
      <c r="A388" s="54" t="n"/>
      <c r="B388" s="14" t="n"/>
      <c r="C388" s="54" t="n"/>
      <c r="D388" s="54" t="n"/>
    </row>
    <row r="389" customFormat="1" s="122">
      <c r="A389" s="54" t="n"/>
      <c r="B389" s="14" t="n"/>
      <c r="C389" s="54" t="n"/>
      <c r="D389" s="54" t="n"/>
    </row>
    <row r="390" customFormat="1" s="122">
      <c r="A390" s="54" t="n"/>
      <c r="B390" s="14" t="n"/>
      <c r="C390" s="54" t="n"/>
      <c r="D390" s="54" t="n"/>
    </row>
    <row r="391" customFormat="1" s="122">
      <c r="A391" s="54" t="n"/>
      <c r="B391" s="14" t="n"/>
      <c r="C391" s="54" t="n"/>
      <c r="D391" s="54" t="n"/>
    </row>
    <row r="392" customFormat="1" s="122">
      <c r="A392" s="54" t="n"/>
      <c r="B392" s="14" t="n"/>
      <c r="C392" s="54" t="n"/>
      <c r="D392" s="54" t="n"/>
    </row>
    <row r="393" customFormat="1" s="122">
      <c r="A393" s="54" t="n"/>
      <c r="B393" s="14" t="n"/>
      <c r="C393" s="54" t="n"/>
      <c r="D393" s="54" t="n"/>
    </row>
    <row r="394" customFormat="1" s="122">
      <c r="A394" s="54" t="n"/>
      <c r="B394" s="14" t="n"/>
      <c r="C394" s="54" t="n"/>
      <c r="D394" s="54" t="n"/>
    </row>
    <row r="395" customFormat="1" s="122">
      <c r="A395" s="54" t="n"/>
      <c r="B395" s="14" t="n"/>
      <c r="C395" s="54" t="n"/>
      <c r="D395" s="54" t="n"/>
    </row>
    <row r="396" customFormat="1" s="122">
      <c r="A396" s="54" t="n"/>
      <c r="B396" s="14" t="n"/>
      <c r="C396" s="54" t="n"/>
      <c r="D396" s="54" t="n"/>
    </row>
    <row r="397" customFormat="1" s="122">
      <c r="A397" s="54" t="n"/>
      <c r="B397" s="14" t="n"/>
      <c r="C397" s="54" t="n"/>
      <c r="D397" s="54" t="n"/>
    </row>
    <row r="398" customFormat="1" s="122">
      <c r="A398" s="54" t="n"/>
      <c r="B398" s="14" t="n"/>
      <c r="C398" s="54" t="n"/>
      <c r="D398" s="54" t="n"/>
    </row>
    <row r="399" customFormat="1" s="122">
      <c r="A399" s="54" t="n"/>
      <c r="B399" s="14" t="n"/>
      <c r="C399" s="54" t="n"/>
      <c r="D399" s="54" t="n"/>
    </row>
    <row r="400" customFormat="1" s="122">
      <c r="A400" s="54" t="n"/>
      <c r="B400" s="14" t="n"/>
      <c r="C400" s="54" t="n"/>
      <c r="D400" s="54" t="n"/>
    </row>
    <row r="401" customFormat="1" s="122">
      <c r="A401" s="54" t="n"/>
      <c r="B401" s="14" t="n"/>
      <c r="C401" s="54" t="n"/>
      <c r="D401" s="54" t="n"/>
    </row>
    <row r="402" customFormat="1" s="122">
      <c r="A402" s="54" t="n"/>
      <c r="B402" s="14" t="n"/>
      <c r="C402" s="54" t="n"/>
      <c r="D402" s="54" t="n"/>
    </row>
    <row r="403" customFormat="1" s="122">
      <c r="A403" s="54" t="n"/>
      <c r="B403" s="14" t="n"/>
      <c r="C403" s="54" t="n"/>
      <c r="D403" s="54" t="n"/>
    </row>
    <row r="404" customFormat="1" s="122">
      <c r="A404" s="54" t="n"/>
      <c r="B404" s="14" t="n"/>
      <c r="C404" s="54" t="n"/>
      <c r="D404" s="54" t="n"/>
    </row>
    <row r="405" customFormat="1" s="122">
      <c r="A405" s="54" t="n"/>
      <c r="B405" s="14" t="n"/>
      <c r="C405" s="54" t="n"/>
      <c r="D405" s="54" t="n"/>
    </row>
    <row r="406" customFormat="1" s="122">
      <c r="A406" s="54" t="n"/>
      <c r="B406" s="14" t="n"/>
      <c r="C406" s="54" t="n"/>
      <c r="D406" s="54" t="n"/>
    </row>
    <row r="407" customFormat="1" s="122">
      <c r="A407" s="54" t="n"/>
      <c r="B407" s="14" t="n"/>
      <c r="C407" s="54" t="n"/>
      <c r="D407" s="54" t="n"/>
    </row>
    <row r="408" customFormat="1" s="122">
      <c r="A408" s="54" t="n"/>
      <c r="B408" s="14" t="n"/>
      <c r="C408" s="54" t="n"/>
      <c r="D408" s="54" t="n"/>
    </row>
    <row r="409" customFormat="1" s="122">
      <c r="A409" s="54" t="n"/>
      <c r="B409" s="14" t="n"/>
      <c r="C409" s="54" t="n"/>
      <c r="D409" s="54" t="n"/>
    </row>
    <row r="410" customFormat="1" s="122">
      <c r="A410" s="54" t="n"/>
      <c r="B410" s="14" t="n"/>
      <c r="C410" s="54" t="n"/>
      <c r="D410" s="54" t="n"/>
    </row>
    <row r="411" customFormat="1" s="122">
      <c r="A411" s="54" t="n"/>
      <c r="B411" s="14" t="n"/>
      <c r="C411" s="54" t="n"/>
      <c r="D411" s="54" t="n"/>
    </row>
    <row r="412" customFormat="1" s="122">
      <c r="A412" s="54" t="n"/>
      <c r="B412" s="14" t="n"/>
      <c r="C412" s="54" t="n"/>
      <c r="D412" s="54" t="n"/>
    </row>
    <row r="413" customFormat="1" s="122">
      <c r="A413" s="54" t="n"/>
      <c r="B413" s="14" t="n"/>
      <c r="C413" s="54" t="n"/>
      <c r="D413" s="54" t="n"/>
    </row>
    <row r="414" customFormat="1" s="122">
      <c r="A414" s="54" t="n"/>
      <c r="B414" s="14" t="n"/>
      <c r="C414" s="54" t="n"/>
      <c r="D414" s="54" t="n"/>
    </row>
    <row r="415" customFormat="1" s="122">
      <c r="A415" s="54" t="n"/>
      <c r="B415" s="14" t="n"/>
      <c r="C415" s="54" t="n"/>
      <c r="D415" s="54" t="n"/>
    </row>
    <row r="416" customFormat="1" s="122">
      <c r="A416" s="54" t="n"/>
      <c r="B416" s="14" t="n"/>
      <c r="C416" s="54" t="n"/>
      <c r="D416" s="54" t="n"/>
    </row>
    <row r="417" customFormat="1" s="122">
      <c r="A417" s="54" t="n"/>
      <c r="B417" s="14" t="n"/>
      <c r="C417" s="54" t="n"/>
      <c r="D417" s="54" t="n"/>
    </row>
    <row r="418" customFormat="1" s="122">
      <c r="A418" s="54" t="n"/>
      <c r="B418" s="14" t="n"/>
      <c r="C418" s="54" t="n"/>
      <c r="D418" s="54" t="n"/>
    </row>
    <row r="419" customFormat="1" s="122">
      <c r="A419" s="54" t="n"/>
      <c r="B419" s="14" t="n"/>
      <c r="C419" s="54" t="n"/>
      <c r="D419" s="54" t="n"/>
    </row>
    <row r="420" customFormat="1" s="122">
      <c r="A420" s="54" t="n"/>
      <c r="B420" s="14" t="n"/>
      <c r="C420" s="54" t="n"/>
      <c r="D420" s="54" t="n"/>
    </row>
    <row r="421" customFormat="1" s="122">
      <c r="A421" s="54" t="n"/>
      <c r="B421" s="14" t="n"/>
      <c r="C421" s="54" t="n"/>
      <c r="D421" s="54" t="n"/>
    </row>
    <row r="422" customFormat="1" s="122">
      <c r="A422" s="54" t="n"/>
      <c r="B422" s="14" t="n"/>
      <c r="C422" s="54" t="n"/>
      <c r="D422" s="54" t="n"/>
    </row>
    <row r="423" customFormat="1" s="122">
      <c r="A423" s="54" t="n"/>
      <c r="B423" s="14" t="n"/>
      <c r="C423" s="54" t="n"/>
      <c r="D423" s="54" t="n"/>
    </row>
    <row r="424" customFormat="1" s="122">
      <c r="A424" s="54" t="n"/>
      <c r="B424" s="14" t="n"/>
      <c r="C424" s="54" t="n"/>
      <c r="D424" s="54" t="n"/>
    </row>
    <row r="425" customFormat="1" s="122">
      <c r="A425" s="54" t="n"/>
      <c r="B425" s="14" t="n"/>
      <c r="C425" s="54" t="n"/>
      <c r="D425" s="54" t="n"/>
    </row>
    <row r="426" customFormat="1" s="122">
      <c r="A426" s="54" t="n"/>
      <c r="B426" s="14" t="n"/>
      <c r="C426" s="54" t="n"/>
      <c r="D426" s="54" t="n"/>
    </row>
    <row r="427" customFormat="1" s="122">
      <c r="A427" s="54" t="n"/>
      <c r="B427" s="14" t="n"/>
      <c r="C427" s="54" t="n"/>
      <c r="D427" s="54" t="n"/>
    </row>
    <row r="428" customFormat="1" s="122">
      <c r="A428" s="54" t="n"/>
      <c r="B428" s="14" t="n"/>
      <c r="C428" s="54" t="n"/>
      <c r="D428" s="54" t="n"/>
    </row>
    <row r="429" customFormat="1" s="122">
      <c r="A429" s="54" t="n"/>
      <c r="B429" s="14" t="n"/>
      <c r="C429" s="54" t="n"/>
      <c r="D429" s="54" t="n"/>
    </row>
    <row r="430" customFormat="1" s="122">
      <c r="A430" s="54" t="n"/>
      <c r="B430" s="14" t="n"/>
      <c r="C430" s="54" t="n"/>
      <c r="D430" s="54" t="n"/>
    </row>
    <row r="431" customFormat="1" s="122">
      <c r="A431" s="54" t="n"/>
      <c r="B431" s="14" t="n"/>
      <c r="C431" s="54" t="n"/>
      <c r="D431" s="54" t="n"/>
    </row>
    <row r="432" customFormat="1" s="122">
      <c r="A432" s="54" t="n"/>
      <c r="B432" s="14" t="n"/>
      <c r="C432" s="54" t="n"/>
      <c r="D432" s="54" t="n"/>
    </row>
    <row r="433" customFormat="1" s="122">
      <c r="A433" s="54" t="n"/>
      <c r="B433" s="14" t="n"/>
      <c r="C433" s="54" t="n"/>
      <c r="D433" s="54" t="n"/>
    </row>
    <row r="434" customFormat="1" s="122">
      <c r="A434" s="54" t="n"/>
      <c r="B434" s="14" t="n"/>
      <c r="C434" s="54" t="n"/>
      <c r="D434" s="54" t="n"/>
    </row>
    <row r="435" customFormat="1" s="122">
      <c r="A435" s="54" t="n"/>
      <c r="B435" s="14" t="n"/>
      <c r="C435" s="54" t="n"/>
      <c r="D435" s="54" t="n"/>
    </row>
    <row r="436" customFormat="1" s="122">
      <c r="A436" s="54" t="n"/>
      <c r="B436" s="14" t="n"/>
      <c r="C436" s="54" t="n"/>
      <c r="D436" s="54" t="n"/>
    </row>
    <row r="437" customFormat="1" s="122">
      <c r="A437" s="54" t="n"/>
      <c r="B437" s="14" t="n"/>
      <c r="C437" s="54" t="n"/>
      <c r="D437" s="54" t="n"/>
    </row>
    <row r="438" customFormat="1" s="122">
      <c r="A438" s="54" t="n"/>
      <c r="B438" s="14" t="n"/>
      <c r="C438" s="54" t="n"/>
      <c r="D438" s="54" t="n"/>
    </row>
    <row r="439" customFormat="1" s="122">
      <c r="A439" s="54" t="n"/>
      <c r="B439" s="14" t="n"/>
      <c r="C439" s="54" t="n"/>
      <c r="D439" s="54" t="n"/>
    </row>
    <row r="440" customFormat="1" s="122">
      <c r="A440" s="54" t="n"/>
      <c r="B440" s="14" t="n"/>
      <c r="C440" s="54" t="n"/>
      <c r="D440" s="54" t="n"/>
    </row>
    <row r="441" customFormat="1" s="122">
      <c r="A441" s="54" t="n"/>
      <c r="B441" s="14" t="n"/>
      <c r="C441" s="54" t="n"/>
      <c r="D441" s="54" t="n"/>
    </row>
    <row r="442" customFormat="1" s="122">
      <c r="A442" s="54" t="n"/>
      <c r="B442" s="14" t="n"/>
      <c r="C442" s="54" t="n"/>
      <c r="D442" s="54" t="n"/>
    </row>
    <row r="443" customFormat="1" s="122">
      <c r="A443" s="54" t="n"/>
      <c r="B443" s="14" t="n"/>
      <c r="C443" s="54" t="n"/>
      <c r="D443" s="54" t="n"/>
    </row>
    <row r="444" customFormat="1" s="122">
      <c r="A444" s="54" t="n"/>
      <c r="B444" s="14" t="n"/>
      <c r="C444" s="54" t="n"/>
      <c r="D444" s="54" t="n"/>
    </row>
    <row r="445" customFormat="1" s="122">
      <c r="A445" s="54" t="n"/>
      <c r="B445" s="14" t="n"/>
      <c r="C445" s="54" t="n"/>
      <c r="D445" s="54" t="n"/>
    </row>
    <row r="446" customFormat="1" s="122">
      <c r="A446" s="54" t="n"/>
      <c r="B446" s="14" t="n"/>
      <c r="C446" s="54" t="n"/>
      <c r="D446" s="54" t="n"/>
    </row>
    <row r="447" customFormat="1" s="122">
      <c r="A447" s="54" t="n"/>
      <c r="B447" s="14" t="n"/>
      <c r="C447" s="54" t="n"/>
      <c r="D447" s="54" t="n"/>
    </row>
    <row r="448" customFormat="1" s="122">
      <c r="A448" s="54" t="n"/>
      <c r="B448" s="14" t="n"/>
      <c r="C448" s="54" t="n"/>
      <c r="D448" s="54" t="n"/>
    </row>
    <row r="449" customFormat="1" s="122">
      <c r="A449" s="54" t="n"/>
      <c r="B449" s="14" t="n"/>
      <c r="C449" s="54" t="n"/>
      <c r="D449" s="54" t="n"/>
    </row>
    <row r="450" customFormat="1" s="122">
      <c r="A450" s="54" t="n"/>
      <c r="B450" s="14" t="n"/>
      <c r="C450" s="54" t="n"/>
      <c r="D450" s="54" t="n"/>
    </row>
    <row r="451" customFormat="1" s="122">
      <c r="A451" s="54" t="n"/>
      <c r="B451" s="14" t="n"/>
      <c r="C451" s="54" t="n"/>
      <c r="D451" s="54" t="n"/>
    </row>
    <row r="452" customFormat="1" s="122">
      <c r="A452" s="54" t="n"/>
      <c r="B452" s="14" t="n"/>
      <c r="C452" s="54" t="n"/>
      <c r="D452" s="54" t="n"/>
    </row>
    <row r="453" customFormat="1" s="122">
      <c r="A453" s="54" t="n"/>
      <c r="B453" s="14" t="n"/>
      <c r="C453" s="54" t="n"/>
      <c r="D453" s="54" t="n"/>
    </row>
    <row r="454" customFormat="1" s="122">
      <c r="A454" s="54" t="n"/>
      <c r="B454" s="14" t="n"/>
      <c r="C454" s="54" t="n"/>
      <c r="D454" s="54" t="n"/>
    </row>
    <row r="455" customFormat="1" s="122">
      <c r="A455" s="54" t="n"/>
      <c r="B455" s="14" t="n"/>
      <c r="C455" s="54" t="n"/>
      <c r="D455" s="54" t="n"/>
    </row>
    <row r="456" customFormat="1" s="122">
      <c r="A456" s="54" t="n"/>
      <c r="B456" s="14" t="n"/>
      <c r="C456" s="54" t="n"/>
      <c r="D456" s="54" t="n"/>
    </row>
    <row r="457" customFormat="1" s="122">
      <c r="A457" s="54" t="n"/>
      <c r="B457" s="14" t="n"/>
      <c r="C457" s="54" t="n"/>
      <c r="D457" s="54" t="n"/>
    </row>
    <row r="458" customFormat="1" s="122">
      <c r="A458" s="54" t="n"/>
      <c r="B458" s="14" t="n"/>
      <c r="C458" s="54" t="n"/>
      <c r="D458" s="54" t="n"/>
    </row>
    <row r="459" customFormat="1" s="122">
      <c r="A459" s="54" t="n"/>
      <c r="B459" s="14" t="n"/>
      <c r="C459" s="54" t="n"/>
      <c r="D459" s="54" t="n"/>
    </row>
    <row r="460" customFormat="1" s="122">
      <c r="A460" s="54" t="n"/>
      <c r="B460" s="14" t="n"/>
      <c r="C460" s="54" t="n"/>
      <c r="D460" s="54" t="n"/>
    </row>
    <row r="461" customFormat="1" s="122">
      <c r="A461" s="54" t="n"/>
      <c r="B461" s="14" t="n"/>
      <c r="C461" s="54" t="n"/>
      <c r="D461" s="54" t="n"/>
    </row>
    <row r="462" customFormat="1" s="122">
      <c r="A462" s="54" t="n"/>
      <c r="B462" s="14" t="n"/>
      <c r="C462" s="54" t="n"/>
      <c r="D462" s="54" t="n"/>
    </row>
    <row r="463" customFormat="1" s="122">
      <c r="A463" s="54" t="n"/>
      <c r="B463" s="14" t="n"/>
      <c r="C463" s="54" t="n"/>
      <c r="D463" s="54" t="n"/>
    </row>
    <row r="464" customFormat="1" s="122">
      <c r="A464" s="54" t="n"/>
      <c r="B464" s="14" t="n"/>
      <c r="C464" s="54" t="n"/>
      <c r="D464" s="54" t="n"/>
    </row>
    <row r="465" customFormat="1" s="122">
      <c r="A465" s="54" t="n"/>
      <c r="B465" s="14" t="n"/>
      <c r="C465" s="54" t="n"/>
      <c r="D465" s="54" t="n"/>
    </row>
    <row r="466" customFormat="1" s="122">
      <c r="A466" s="54" t="n"/>
      <c r="B466" s="14" t="n"/>
      <c r="C466" s="54" t="n"/>
      <c r="D466" s="54" t="n"/>
    </row>
    <row r="467" customFormat="1" s="122">
      <c r="A467" s="54" t="n"/>
      <c r="B467" s="14" t="n"/>
      <c r="C467" s="54" t="n"/>
      <c r="D467" s="54" t="n"/>
    </row>
    <row r="468" customFormat="1" s="122">
      <c r="A468" s="54" t="n"/>
      <c r="B468" s="14" t="n"/>
      <c r="C468" s="54" t="n"/>
      <c r="D468" s="54" t="n"/>
    </row>
    <row r="469" customFormat="1" s="122">
      <c r="A469" s="54" t="n"/>
      <c r="B469" s="14" t="n"/>
      <c r="C469" s="54" t="n"/>
      <c r="D469" s="54" t="n"/>
    </row>
    <row r="470" customFormat="1" s="122">
      <c r="A470" s="54" t="n"/>
      <c r="B470" s="14" t="n"/>
      <c r="C470" s="54" t="n"/>
      <c r="D470" s="54" t="n"/>
    </row>
    <row r="471" customFormat="1" s="122">
      <c r="A471" s="54" t="n"/>
      <c r="B471" s="14" t="n"/>
      <c r="C471" s="54" t="n"/>
      <c r="D471" s="54" t="n"/>
    </row>
    <row r="472" customFormat="1" s="122">
      <c r="A472" s="54" t="n"/>
      <c r="B472" s="14" t="n"/>
      <c r="C472" s="54" t="n"/>
      <c r="D472" s="54" t="n"/>
    </row>
    <row r="473" customFormat="1" s="122">
      <c r="A473" s="54" t="n"/>
      <c r="B473" s="14" t="n"/>
      <c r="C473" s="54" t="n"/>
      <c r="D473" s="54" t="n"/>
    </row>
    <row r="474" customFormat="1" s="122">
      <c r="A474" s="54" t="n"/>
      <c r="B474" s="14" t="n"/>
      <c r="C474" s="54" t="n"/>
      <c r="D474" s="54" t="n"/>
    </row>
    <row r="475" customFormat="1" s="122">
      <c r="A475" s="54" t="n"/>
      <c r="B475" s="14" t="n"/>
      <c r="C475" s="54" t="n"/>
      <c r="D475" s="54" t="n"/>
    </row>
    <row r="476" customFormat="1" s="122">
      <c r="A476" s="54" t="n"/>
      <c r="B476" s="14" t="n"/>
      <c r="C476" s="54" t="n"/>
      <c r="D476" s="54" t="n"/>
    </row>
    <row r="477" customFormat="1" s="122">
      <c r="A477" s="54" t="n"/>
      <c r="B477" s="14" t="n"/>
      <c r="C477" s="54" t="n"/>
      <c r="D477" s="54" t="n"/>
    </row>
    <row r="478" customFormat="1" s="122">
      <c r="A478" s="54" t="n"/>
      <c r="B478" s="14" t="n"/>
      <c r="C478" s="54" t="n"/>
      <c r="D478" s="54" t="n"/>
    </row>
    <row r="479" customFormat="1" s="122">
      <c r="A479" s="54" t="n"/>
      <c r="B479" s="14" t="n"/>
      <c r="C479" s="54" t="n"/>
      <c r="D479" s="54" t="n"/>
    </row>
    <row r="480" customFormat="1" s="122">
      <c r="A480" s="54" t="n"/>
      <c r="B480" s="14" t="n"/>
      <c r="C480" s="54" t="n"/>
      <c r="D480" s="54" t="n"/>
    </row>
    <row r="481" customFormat="1" s="122">
      <c r="A481" s="54" t="n"/>
      <c r="B481" s="14" t="n"/>
      <c r="C481" s="54" t="n"/>
      <c r="D481" s="54" t="n"/>
    </row>
    <row r="482" customFormat="1" s="122">
      <c r="A482" s="54" t="n"/>
      <c r="B482" s="14" t="n"/>
      <c r="C482" s="54" t="n"/>
      <c r="D482" s="54" t="n"/>
    </row>
    <row r="483" customFormat="1" s="122">
      <c r="A483" s="54" t="n"/>
      <c r="B483" s="14" t="n"/>
      <c r="C483" s="54" t="n"/>
      <c r="D483" s="54" t="n"/>
    </row>
    <row r="484" customFormat="1" s="122">
      <c r="A484" s="54" t="n"/>
      <c r="B484" s="14" t="n"/>
      <c r="C484" s="54" t="n"/>
      <c r="D484" s="54" t="n"/>
    </row>
    <row r="485" customFormat="1" s="122">
      <c r="A485" s="54" t="n"/>
      <c r="B485" s="14" t="n"/>
      <c r="C485" s="54" t="n"/>
      <c r="D485" s="54" t="n"/>
    </row>
    <row r="486" customFormat="1" s="122">
      <c r="A486" s="54" t="n"/>
      <c r="B486" s="14" t="n"/>
      <c r="C486" s="54" t="n"/>
      <c r="D486" s="54" t="n"/>
    </row>
    <row r="487" customFormat="1" s="122">
      <c r="A487" s="54" t="n"/>
      <c r="B487" s="14" t="n"/>
      <c r="C487" s="54" t="n"/>
      <c r="D487" s="54" t="n"/>
    </row>
    <row r="488" customFormat="1" s="122">
      <c r="A488" s="54" t="n"/>
      <c r="B488" s="14" t="n"/>
      <c r="C488" s="54" t="n"/>
      <c r="D488" s="54" t="n"/>
    </row>
    <row r="489" customFormat="1" s="122">
      <c r="A489" s="54" t="n"/>
      <c r="B489" s="14" t="n"/>
      <c r="C489" s="54" t="n"/>
      <c r="D489" s="54" t="n"/>
    </row>
    <row r="490" customFormat="1" s="122">
      <c r="A490" s="54" t="n"/>
      <c r="B490" s="14" t="n"/>
      <c r="C490" s="54" t="n"/>
      <c r="D490" s="54" t="n"/>
    </row>
    <row r="491" customFormat="1" s="122">
      <c r="A491" s="54" t="n"/>
      <c r="B491" s="14" t="n"/>
      <c r="C491" s="54" t="n"/>
      <c r="D491" s="54" t="n"/>
    </row>
    <row r="492" customFormat="1" s="122">
      <c r="A492" s="54" t="n"/>
      <c r="B492" s="14" t="n"/>
      <c r="C492" s="54" t="n"/>
      <c r="D492" s="54" t="n"/>
    </row>
    <row r="493" customFormat="1" s="122">
      <c r="A493" s="54" t="n"/>
      <c r="B493" s="14" t="n"/>
      <c r="C493" s="54" t="n"/>
      <c r="D493" s="54" t="n"/>
    </row>
    <row r="494" customFormat="1" s="122">
      <c r="A494" s="54" t="n"/>
      <c r="B494" s="14" t="n"/>
      <c r="C494" s="54" t="n"/>
      <c r="D494" s="54" t="n"/>
    </row>
    <row r="495" customFormat="1" s="122">
      <c r="A495" s="54" t="n"/>
      <c r="B495" s="14" t="n"/>
      <c r="C495" s="54" t="n"/>
      <c r="D495" s="54" t="n"/>
    </row>
    <row r="496" customFormat="1" s="122">
      <c r="A496" s="54" t="n"/>
      <c r="B496" s="14" t="n"/>
      <c r="C496" s="54" t="n"/>
      <c r="D496" s="54" t="n"/>
    </row>
    <row r="497" customFormat="1" s="122">
      <c r="A497" s="54" t="n"/>
      <c r="B497" s="14" t="n"/>
      <c r="C497" s="54" t="n"/>
      <c r="D497" s="54" t="n"/>
    </row>
    <row r="498" customFormat="1" s="122">
      <c r="A498" s="54" t="n"/>
      <c r="B498" s="14" t="n"/>
      <c r="C498" s="54" t="n"/>
      <c r="D498" s="54" t="n"/>
    </row>
    <row r="499" customFormat="1" s="122">
      <c r="A499" s="54" t="n"/>
      <c r="B499" s="14" t="n"/>
      <c r="C499" s="54" t="n"/>
      <c r="D499" s="54" t="n"/>
    </row>
    <row r="500" customFormat="1" s="122">
      <c r="A500" s="54" t="n"/>
      <c r="B500" s="14" t="n"/>
      <c r="C500" s="54" t="n"/>
      <c r="D500" s="54" t="n"/>
    </row>
    <row r="501" customFormat="1" s="122">
      <c r="A501" s="54" t="n"/>
      <c r="B501" s="14" t="n"/>
      <c r="C501" s="54" t="n"/>
      <c r="D501" s="54" t="n"/>
    </row>
    <row r="502" customFormat="1" s="122">
      <c r="A502" s="54" t="n"/>
      <c r="B502" s="14" t="n"/>
      <c r="C502" s="54" t="n"/>
      <c r="D502" s="54" t="n"/>
    </row>
    <row r="503" customFormat="1" s="122">
      <c r="A503" s="54" t="n"/>
      <c r="B503" s="14" t="n"/>
      <c r="C503" s="54" t="n"/>
      <c r="D503" s="54" t="n"/>
    </row>
    <row r="504" customFormat="1" s="122">
      <c r="A504" s="54" t="n"/>
      <c r="B504" s="14" t="n"/>
      <c r="C504" s="54" t="n"/>
      <c r="D504" s="54" t="n"/>
    </row>
    <row r="505" customFormat="1" s="122">
      <c r="A505" s="54" t="n"/>
      <c r="B505" s="14" t="n"/>
      <c r="C505" s="54" t="n"/>
      <c r="D505" s="54" t="n"/>
    </row>
    <row r="506" customFormat="1" s="122">
      <c r="A506" s="54" t="n"/>
      <c r="B506" s="14" t="n"/>
      <c r="C506" s="54" t="n"/>
      <c r="D506" s="54" t="n"/>
    </row>
    <row r="507" customFormat="1" s="122">
      <c r="A507" s="54" t="n"/>
      <c r="B507" s="14" t="n"/>
      <c r="C507" s="54" t="n"/>
      <c r="D507" s="54" t="n"/>
    </row>
    <row r="508" customFormat="1" s="122">
      <c r="A508" s="54" t="n"/>
      <c r="B508" s="14" t="n"/>
      <c r="C508" s="54" t="n"/>
      <c r="D508" s="54" t="n"/>
    </row>
    <row r="509" customFormat="1" s="122">
      <c r="A509" s="54" t="n"/>
      <c r="B509" s="14" t="n"/>
      <c r="C509" s="54" t="n"/>
      <c r="D509" s="54" t="n"/>
    </row>
    <row r="510">
      <c r="A510" s="54" t="n"/>
      <c r="B510" s="14" t="n"/>
      <c r="C510" s="54" t="n"/>
      <c r="D510" s="54" t="n"/>
    </row>
    <row r="511">
      <c r="A511" s="54" t="n"/>
      <c r="B511" s="14" t="n"/>
      <c r="C511" s="54" t="n"/>
      <c r="D511" s="54" t="n"/>
    </row>
    <row r="512">
      <c r="A512" s="54" t="n"/>
      <c r="B512" s="14" t="n"/>
      <c r="C512" s="54" t="n"/>
      <c r="D512" s="54" t="n"/>
    </row>
    <row r="513">
      <c r="A513" s="54" t="n"/>
      <c r="B513" s="14" t="n"/>
      <c r="C513" s="54" t="n"/>
      <c r="D513" s="54" t="n"/>
    </row>
    <row r="514">
      <c r="A514" s="54" t="n"/>
      <c r="B514" s="14" t="n"/>
      <c r="C514" s="54" t="n"/>
      <c r="D514" s="54" t="n"/>
    </row>
    <row r="515">
      <c r="A515" s="54" t="n"/>
      <c r="B515" s="14" t="n"/>
      <c r="C515" s="54" t="n"/>
      <c r="D515" s="54" t="n"/>
    </row>
    <row r="516">
      <c r="A516" s="54" t="n"/>
      <c r="B516" s="14" t="n"/>
      <c r="C516" s="54" t="n"/>
      <c r="D516" s="54" t="n"/>
    </row>
    <row r="517">
      <c r="A517" s="54" t="n"/>
      <c r="B517" s="14" t="n"/>
      <c r="C517" s="54" t="n"/>
      <c r="D517" s="54" t="n"/>
    </row>
    <row r="518">
      <c r="A518" s="54" t="n"/>
      <c r="B518" s="14" t="n"/>
      <c r="C518" s="54" t="n"/>
      <c r="D518" s="54" t="n"/>
    </row>
    <row r="519">
      <c r="A519" s="54" t="n"/>
      <c r="B519" s="14" t="n"/>
      <c r="C519" s="54" t="n"/>
      <c r="D519" s="54" t="n"/>
    </row>
    <row r="520">
      <c r="A520" s="54" t="n"/>
      <c r="B520" s="14" t="n"/>
      <c r="C520" s="54" t="n"/>
      <c r="D520" s="54" t="n"/>
    </row>
    <row r="521">
      <c r="A521" s="54" t="n"/>
      <c r="B521" s="14" t="n"/>
      <c r="C521" s="54" t="n"/>
      <c r="D521" s="54" t="n"/>
    </row>
    <row r="522">
      <c r="A522" s="54" t="n"/>
      <c r="B522" s="14" t="n"/>
      <c r="C522" s="54" t="n"/>
      <c r="D522" s="54" t="n"/>
    </row>
    <row r="523">
      <c r="A523" s="54" t="n"/>
      <c r="B523" s="14" t="n"/>
      <c r="C523" s="54" t="n"/>
      <c r="D523" s="54" t="n"/>
    </row>
    <row r="524">
      <c r="A524" s="54" t="n"/>
      <c r="B524" s="14" t="n"/>
      <c r="C524" s="54" t="n"/>
      <c r="D524" s="54" t="n"/>
    </row>
    <row r="525">
      <c r="A525" s="54" t="n"/>
      <c r="B525" s="14" t="n"/>
      <c r="C525" s="54" t="n"/>
      <c r="D525" s="54" t="n"/>
    </row>
    <row r="526">
      <c r="A526" s="54" t="n"/>
      <c r="B526" s="14" t="n"/>
      <c r="C526" s="54" t="n"/>
      <c r="D526" s="54" t="n"/>
    </row>
    <row r="527">
      <c r="A527" s="54" t="n"/>
      <c r="B527" s="14" t="n"/>
      <c r="C527" s="54" t="n"/>
      <c r="D527" s="54" t="n"/>
    </row>
    <row r="528">
      <c r="A528" s="54" t="n"/>
      <c r="B528" s="14" t="n"/>
      <c r="C528" s="54" t="n"/>
      <c r="D528" s="54" t="n"/>
    </row>
    <row r="529">
      <c r="A529" s="54" t="n"/>
      <c r="B529" s="14" t="n"/>
      <c r="C529" s="54" t="n"/>
      <c r="D529" s="54" t="n"/>
    </row>
    <row r="530">
      <c r="A530" s="54" t="n"/>
      <c r="B530" s="14" t="n"/>
      <c r="C530" s="54" t="n"/>
      <c r="D530" s="54" t="n"/>
    </row>
    <row r="531">
      <c r="A531" s="54" t="n"/>
      <c r="B531" s="14" t="n"/>
      <c r="C531" s="54" t="n"/>
      <c r="D531" s="54" t="n"/>
    </row>
    <row r="532">
      <c r="A532" s="54" t="n"/>
      <c r="B532" s="14" t="n"/>
      <c r="C532" s="54" t="n"/>
      <c r="D532" s="54" t="n"/>
    </row>
    <row r="533">
      <c r="A533" s="54" t="n"/>
      <c r="B533" s="14" t="n"/>
      <c r="C533" s="54" t="n"/>
      <c r="D533" s="54" t="n"/>
    </row>
    <row r="534">
      <c r="A534" s="54" t="n"/>
      <c r="B534" s="14" t="n"/>
      <c r="C534" s="54" t="n"/>
      <c r="D534" s="54" t="n"/>
    </row>
    <row r="535">
      <c r="A535" s="54" t="n"/>
      <c r="B535" s="14" t="n"/>
      <c r="C535" s="54" t="n"/>
      <c r="D535" s="54" t="n"/>
    </row>
    <row r="536">
      <c r="A536" s="54" t="n"/>
      <c r="B536" s="14" t="n"/>
      <c r="C536" s="54" t="n"/>
      <c r="D536" s="54" t="n"/>
    </row>
    <row r="537">
      <c r="A537" s="54" t="n"/>
      <c r="B537" s="14" t="n"/>
      <c r="C537" s="54" t="n"/>
      <c r="D537" s="54" t="n"/>
    </row>
    <row r="538">
      <c r="A538" s="54" t="n"/>
      <c r="B538" s="14" t="n"/>
      <c r="C538" s="54" t="n"/>
      <c r="D538" s="54" t="n"/>
    </row>
    <row r="539">
      <c r="A539" s="54" t="n"/>
      <c r="B539" s="14" t="n"/>
      <c r="C539" s="54" t="n"/>
      <c r="D539" s="54" t="n"/>
    </row>
    <row r="540">
      <c r="A540" s="54" t="n"/>
      <c r="B540" s="14" t="n"/>
      <c r="C540" s="54" t="n"/>
      <c r="D540" s="54" t="n"/>
    </row>
    <row r="541">
      <c r="A541" s="54" t="n"/>
      <c r="B541" s="14" t="n"/>
      <c r="C541" s="54" t="n"/>
      <c r="D541" s="54" t="n"/>
    </row>
    <row r="542">
      <c r="A542" s="54" t="n"/>
      <c r="B542" s="14" t="n"/>
      <c r="C542" s="54" t="n"/>
      <c r="D542" s="54" t="n"/>
    </row>
    <row r="543">
      <c r="A543" s="54" t="n"/>
      <c r="B543" s="14" t="n"/>
      <c r="C543" s="54" t="n"/>
      <c r="D543" s="54" t="n"/>
    </row>
    <row r="544">
      <c r="A544" s="54" t="n"/>
      <c r="B544" s="14" t="n"/>
      <c r="C544" s="54" t="n"/>
      <c r="D544" s="54" t="n"/>
    </row>
    <row r="545">
      <c r="A545" s="54" t="n"/>
      <c r="B545" s="14" t="n"/>
      <c r="C545" s="54" t="n"/>
      <c r="D545" s="54" t="n"/>
    </row>
    <row r="546">
      <c r="A546" s="54" t="n"/>
      <c r="B546" s="14" t="n"/>
      <c r="C546" s="54" t="n"/>
      <c r="D546" s="54" t="n"/>
    </row>
    <row r="547">
      <c r="A547" s="54" t="n"/>
      <c r="B547" s="14" t="n"/>
      <c r="C547" s="54" t="n"/>
      <c r="D547" s="54" t="n"/>
    </row>
  </sheetData>
  <conditionalFormatting sqref="C8:C375">
    <cfRule type="colorScale" priority="42">
      <colorScale>
        <cfvo type="min"/>
        <cfvo type="percentile" val="50"/>
        <cfvo type="max"/>
        <color rgb="FFF8696B"/>
        <color rgb="FFFFEB84"/>
        <color rgb="FF63BE7B"/>
      </colorScale>
    </cfRule>
  </conditionalFormatting>
  <conditionalFormatting sqref="D19:D375">
    <cfRule type="colorScale" priority="43">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pageSetup orientation="portrait" paperSize="9"/>
  <drawing xmlns:r="http://schemas.openxmlformats.org/officeDocument/2006/relationships" r:id="rId2"/>
  <tableParts count="1">
    <tablePart xmlns:r="http://schemas.openxmlformats.org/officeDocument/2006/relationships" r:id="rId3"/>
  </tableParts>
</worksheet>
</file>

<file path=xl/worksheets/sheet7.xml><?xml version="1.0" encoding="utf-8"?>
<worksheet xmlns="http://schemas.openxmlformats.org/spreadsheetml/2006/main">
  <sheetPr codeName="Sheet6">
    <outlinePr summaryBelow="1" summaryRight="1"/>
    <pageSetUpPr/>
  </sheetPr>
  <dimension ref="A1:J813"/>
  <sheetViews>
    <sheetView zoomScale="160" zoomScaleNormal="160" workbookViewId="0">
      <pane ySplit="6" topLeftCell="A364" activePane="bottomLeft" state="frozen"/>
      <selection pane="bottomLeft" activeCell="D381" sqref="D381"/>
    </sheetView>
  </sheetViews>
  <sheetFormatPr baseColWidth="10" defaultColWidth="8.83203125" defaultRowHeight="15"/>
  <cols>
    <col width="14" customWidth="1" style="95" min="1" max="1"/>
    <col width="23.6640625" customWidth="1" style="23" min="2" max="2"/>
    <col width="14.33203125" customWidth="1" style="95" min="3" max="3"/>
    <col width="14.1640625" customWidth="1" style="95" min="4" max="4"/>
    <col width="14.1640625" customWidth="1" style="122" min="5" max="5"/>
    <col width="9.1640625" customWidth="1" style="122" min="6" max="53"/>
  </cols>
  <sheetData>
    <row r="1" customFormat="1" s="122">
      <c r="A1" s="20" t="inlineStr">
        <is>
          <t>RSFSXMV</t>
        </is>
      </c>
      <c r="B1" s="24" t="inlineStr">
        <is>
          <t>Advance Retail Sales: Retail and Food Services Excluding Motor Vehicles and Parts Dealers</t>
        </is>
      </c>
      <c r="I1" s="21" t="n"/>
      <c r="J1" s="21" t="n"/>
    </row>
    <row r="2" customFormat="1" s="122">
      <c r="A2" s="128" t="inlineStr">
        <is>
          <t>https://fred.stlouisfed.org/series/RSFSXMV</t>
        </is>
      </c>
      <c r="B2" s="22" t="n"/>
    </row>
    <row r="3" customFormat="1" s="122">
      <c r="A3" s="128" t="n"/>
      <c r="B3" s="22" t="n"/>
    </row>
    <row r="4" customFormat="1" s="122">
      <c r="A4" s="128" t="n"/>
      <c r="B4" s="22" t="n"/>
    </row>
    <row r="5" ht="16" customFormat="1" customHeight="1" s="122" thickBot="1">
      <c r="B5" s="22" t="n"/>
      <c r="I5" s="21" t="n"/>
      <c r="J5" s="21" t="n"/>
    </row>
    <row r="6" ht="45.75" customHeight="1" s="95" thickBot="1">
      <c r="A6" s="78" t="inlineStr">
        <is>
          <t>Date</t>
        </is>
      </c>
      <c r="B6" s="79" t="inlineStr">
        <is>
          <t>Retail and Food Services Excluding Motor Vehicles and Parts Dealers, Retail Sales mil$</t>
        </is>
      </c>
      <c r="C6" s="80" t="inlineStr">
        <is>
          <t>mom %</t>
        </is>
      </c>
      <c r="D6" s="81" t="inlineStr">
        <is>
          <t>yoy %</t>
        </is>
      </c>
      <c r="I6" s="21" t="n"/>
      <c r="J6" s="21" t="n"/>
    </row>
    <row r="7">
      <c r="A7" s="17" t="n">
        <v>33604</v>
      </c>
      <c r="B7" s="18">
        <f>VLOOKUP(A7,Database!A:M,MATCH($A$1,Database!$A$1:$M$1,),)</f>
        <v/>
      </c>
      <c r="C7" s="19" t="n"/>
      <c r="D7" s="19" t="n"/>
    </row>
    <row r="8">
      <c r="A8" s="11" t="n">
        <v>33635</v>
      </c>
      <c r="B8" s="15">
        <f>VLOOKUP(A8,Database!A:M,MATCH($A$1,Database!$A$1:$M$1,),)</f>
        <v/>
      </c>
      <c r="C8" s="12">
        <f>(B8-B7)/B7</f>
        <v/>
      </c>
      <c r="D8" s="1" t="n"/>
    </row>
    <row r="9">
      <c r="A9" s="10" t="n">
        <v>33664</v>
      </c>
      <c r="B9" s="15">
        <f>VLOOKUP(A9,Database!A:M,MATCH($A$1,Database!$A$1:$M$1,),)</f>
        <v/>
      </c>
      <c r="C9" s="12">
        <f>(B9-B8)/B8</f>
        <v/>
      </c>
      <c r="D9" s="1" t="n"/>
    </row>
    <row r="10">
      <c r="A10" s="11" t="n">
        <v>33695</v>
      </c>
      <c r="B10" s="15">
        <f>VLOOKUP(A10,Database!A:M,MATCH($A$1,Database!$A$1:$M$1,),)</f>
        <v/>
      </c>
      <c r="C10" s="12">
        <f>(B10-B9)/B9</f>
        <v/>
      </c>
      <c r="D10" s="1" t="n"/>
    </row>
    <row r="11">
      <c r="A11" s="10" t="n">
        <v>33725</v>
      </c>
      <c r="B11" s="15">
        <f>VLOOKUP(A11,Database!A:M,MATCH($A$1,Database!$A$1:$M$1,),)</f>
        <v/>
      </c>
      <c r="C11" s="12">
        <f>(B11-B10)/B10</f>
        <v/>
      </c>
      <c r="D11" s="1" t="n"/>
    </row>
    <row r="12">
      <c r="A12" s="11" t="n">
        <v>33756</v>
      </c>
      <c r="B12" s="15">
        <f>VLOOKUP(A12,Database!A:M,MATCH($A$1,Database!$A$1:$M$1,),)</f>
        <v/>
      </c>
      <c r="C12" s="12">
        <f>(B12-B11)/B11</f>
        <v/>
      </c>
      <c r="D12" s="1" t="n"/>
    </row>
    <row r="13">
      <c r="A13" s="10" t="n">
        <v>33786</v>
      </c>
      <c r="B13" s="15">
        <f>VLOOKUP(A13,Database!A:M,MATCH($A$1,Database!$A$1:$M$1,),)</f>
        <v/>
      </c>
      <c r="C13" s="12">
        <f>(B13-B12)/B12</f>
        <v/>
      </c>
      <c r="D13" s="1" t="n"/>
    </row>
    <row r="14">
      <c r="A14" s="11" t="n">
        <v>33817</v>
      </c>
      <c r="B14" s="15">
        <f>VLOOKUP(A14,Database!A:M,MATCH($A$1,Database!$A$1:$M$1,),)</f>
        <v/>
      </c>
      <c r="C14" s="12">
        <f>(B14-B13)/B13</f>
        <v/>
      </c>
      <c r="D14" s="1" t="n"/>
    </row>
    <row r="15">
      <c r="A15" s="10" t="n">
        <v>33848</v>
      </c>
      <c r="B15" s="15">
        <f>VLOOKUP(A15,Database!A:M,MATCH($A$1,Database!$A$1:$M$1,),)</f>
        <v/>
      </c>
      <c r="C15" s="12">
        <f>(B15-B14)/B14</f>
        <v/>
      </c>
      <c r="D15" s="1" t="n"/>
    </row>
    <row r="16">
      <c r="A16" s="11" t="n">
        <v>33878</v>
      </c>
      <c r="B16" s="15">
        <f>VLOOKUP(A16,Database!A:M,MATCH($A$1,Database!$A$1:$M$1,),)</f>
        <v/>
      </c>
      <c r="C16" s="12">
        <f>(B16-B15)/B15</f>
        <v/>
      </c>
      <c r="D16" s="1" t="n"/>
    </row>
    <row r="17">
      <c r="A17" s="10" t="n">
        <v>33909</v>
      </c>
      <c r="B17" s="15">
        <f>VLOOKUP(A17,Database!A:M,MATCH($A$1,Database!$A$1:$M$1,),)</f>
        <v/>
      </c>
      <c r="C17" s="12">
        <f>(B17-B16)/B16</f>
        <v/>
      </c>
      <c r="D17" s="1" t="n"/>
    </row>
    <row r="18">
      <c r="A18" s="11" t="n">
        <v>33939</v>
      </c>
      <c r="B18" s="15">
        <f>VLOOKUP(A18,Database!A:M,MATCH($A$1,Database!$A$1:$M$1,),)</f>
        <v/>
      </c>
      <c r="C18" s="12">
        <f>(B18-B17)/B17</f>
        <v/>
      </c>
      <c r="D18" s="1" t="n"/>
    </row>
    <row r="19">
      <c r="A19" s="10" t="n">
        <v>33970</v>
      </c>
      <c r="B19" s="15">
        <f>VLOOKUP(A19,Database!A:M,MATCH($A$1,Database!$A$1:$M$1,),)</f>
        <v/>
      </c>
      <c r="C19" s="12">
        <f>(B19-B18)/B18</f>
        <v/>
      </c>
      <c r="D19" s="13">
        <f>(B19-B7)/B7</f>
        <v/>
      </c>
    </row>
    <row r="20">
      <c r="A20" s="11" t="n">
        <v>34001</v>
      </c>
      <c r="B20" s="15">
        <f>VLOOKUP(A20,Database!A:M,MATCH($A$1,Database!$A$1:$M$1,),)</f>
        <v/>
      </c>
      <c r="C20" s="12">
        <f>(B20-B19)/B19</f>
        <v/>
      </c>
      <c r="D20" s="13">
        <f>(B20-B8)/B8</f>
        <v/>
      </c>
    </row>
    <row r="21">
      <c r="A21" s="10" t="n">
        <v>34029</v>
      </c>
      <c r="B21" s="15">
        <f>VLOOKUP(A21,Database!A:M,MATCH($A$1,Database!$A$1:$M$1,),)</f>
        <v/>
      </c>
      <c r="C21" s="12">
        <f>(B21-B20)/B20</f>
        <v/>
      </c>
      <c r="D21" s="13">
        <f>(B21-B9)/B9</f>
        <v/>
      </c>
    </row>
    <row r="22">
      <c r="A22" s="11" t="n">
        <v>34060</v>
      </c>
      <c r="B22" s="15">
        <f>VLOOKUP(A22,Database!A:M,MATCH($A$1,Database!$A$1:$M$1,),)</f>
        <v/>
      </c>
      <c r="C22" s="12">
        <f>(B22-B21)/B21</f>
        <v/>
      </c>
      <c r="D22" s="13">
        <f>(B22-B10)/B10</f>
        <v/>
      </c>
    </row>
    <row r="23">
      <c r="A23" s="10" t="n">
        <v>34090</v>
      </c>
      <c r="B23" s="15">
        <f>VLOOKUP(A23,Database!A:M,MATCH($A$1,Database!$A$1:$M$1,),)</f>
        <v/>
      </c>
      <c r="C23" s="12">
        <f>(B23-B22)/B22</f>
        <v/>
      </c>
      <c r="D23" s="13">
        <f>(B23-B11)/B11</f>
        <v/>
      </c>
    </row>
    <row r="24">
      <c r="A24" s="11" t="n">
        <v>34121</v>
      </c>
      <c r="B24" s="15">
        <f>VLOOKUP(A24,Database!A:M,MATCH($A$1,Database!$A$1:$M$1,),)</f>
        <v/>
      </c>
      <c r="C24" s="12">
        <f>(B24-B23)/B23</f>
        <v/>
      </c>
      <c r="D24" s="13">
        <f>(B24-B12)/B12</f>
        <v/>
      </c>
    </row>
    <row r="25">
      <c r="A25" s="10" t="n">
        <v>34151</v>
      </c>
      <c r="B25" s="15">
        <f>VLOOKUP(A25,Database!A:M,MATCH($A$1,Database!$A$1:$M$1,),)</f>
        <v/>
      </c>
      <c r="C25" s="12">
        <f>(B25-B24)/B24</f>
        <v/>
      </c>
      <c r="D25" s="13">
        <f>(B25-B13)/B13</f>
        <v/>
      </c>
    </row>
    <row r="26">
      <c r="A26" s="11" t="n">
        <v>34182</v>
      </c>
      <c r="B26" s="15">
        <f>VLOOKUP(A26,Database!A:M,MATCH($A$1,Database!$A$1:$M$1,),)</f>
        <v/>
      </c>
      <c r="C26" s="12">
        <f>(B26-B25)/B25</f>
        <v/>
      </c>
      <c r="D26" s="13">
        <f>(B26-B14)/B14</f>
        <v/>
      </c>
    </row>
    <row r="27">
      <c r="A27" s="10" t="n">
        <v>34213</v>
      </c>
      <c r="B27" s="15">
        <f>VLOOKUP(A27,Database!A:M,MATCH($A$1,Database!$A$1:$M$1,),)</f>
        <v/>
      </c>
      <c r="C27" s="12">
        <f>(B27-B26)/B26</f>
        <v/>
      </c>
      <c r="D27" s="13">
        <f>(B27-B15)/B15</f>
        <v/>
      </c>
    </row>
    <row r="28">
      <c r="A28" s="11" t="n">
        <v>34243</v>
      </c>
      <c r="B28" s="15">
        <f>VLOOKUP(A28,Database!A:M,MATCH($A$1,Database!$A$1:$M$1,),)</f>
        <v/>
      </c>
      <c r="C28" s="12">
        <f>(B28-B27)/B27</f>
        <v/>
      </c>
      <c r="D28" s="13">
        <f>(B28-B16)/B16</f>
        <v/>
      </c>
    </row>
    <row r="29">
      <c r="A29" s="10" t="n">
        <v>34274</v>
      </c>
      <c r="B29" s="15">
        <f>VLOOKUP(A29,Database!A:M,MATCH($A$1,Database!$A$1:$M$1,),)</f>
        <v/>
      </c>
      <c r="C29" s="12">
        <f>(B29-B28)/B28</f>
        <v/>
      </c>
      <c r="D29" s="13">
        <f>(B29-B17)/B17</f>
        <v/>
      </c>
    </row>
    <row r="30">
      <c r="A30" s="11" t="n">
        <v>34304</v>
      </c>
      <c r="B30" s="15">
        <f>VLOOKUP(A30,Database!A:M,MATCH($A$1,Database!$A$1:$M$1,),)</f>
        <v/>
      </c>
      <c r="C30" s="12">
        <f>(B30-B29)/B29</f>
        <v/>
      </c>
      <c r="D30" s="13">
        <f>(B30-B18)/B18</f>
        <v/>
      </c>
    </row>
    <row r="31">
      <c r="A31" s="10" t="n">
        <v>34335</v>
      </c>
      <c r="B31" s="15">
        <f>VLOOKUP(A31,Database!A:M,MATCH($A$1,Database!$A$1:$M$1,),)</f>
        <v/>
      </c>
      <c r="C31" s="12">
        <f>(B31-B30)/B30</f>
        <v/>
      </c>
      <c r="D31" s="13">
        <f>(B31-B19)/B19</f>
        <v/>
      </c>
    </row>
    <row r="32">
      <c r="A32" s="11" t="n">
        <v>34366</v>
      </c>
      <c r="B32" s="15">
        <f>VLOOKUP(A32,Database!A:M,MATCH($A$1,Database!$A$1:$M$1,),)</f>
        <v/>
      </c>
      <c r="C32" s="12">
        <f>(B32-B31)/B31</f>
        <v/>
      </c>
      <c r="D32" s="13">
        <f>(B32-B20)/B20</f>
        <v/>
      </c>
    </row>
    <row r="33">
      <c r="A33" s="10" t="n">
        <v>34394</v>
      </c>
      <c r="B33" s="15">
        <f>VLOOKUP(A33,Database!A:M,MATCH($A$1,Database!$A$1:$M$1,),)</f>
        <v/>
      </c>
      <c r="C33" s="12">
        <f>(B33-B32)/B32</f>
        <v/>
      </c>
      <c r="D33" s="13">
        <f>(B33-B21)/B21</f>
        <v/>
      </c>
    </row>
    <row r="34">
      <c r="A34" s="11" t="n">
        <v>34425</v>
      </c>
      <c r="B34" s="15">
        <f>VLOOKUP(A34,Database!A:M,MATCH($A$1,Database!$A$1:$M$1,),)</f>
        <v/>
      </c>
      <c r="C34" s="12">
        <f>(B34-B33)/B33</f>
        <v/>
      </c>
      <c r="D34" s="13">
        <f>(B34-B22)/B22</f>
        <v/>
      </c>
    </row>
    <row r="35">
      <c r="A35" s="10" t="n">
        <v>34455</v>
      </c>
      <c r="B35" s="15">
        <f>VLOOKUP(A35,Database!A:M,MATCH($A$1,Database!$A$1:$M$1,),)</f>
        <v/>
      </c>
      <c r="C35" s="12">
        <f>(B35-B34)/B34</f>
        <v/>
      </c>
      <c r="D35" s="13">
        <f>(B35-B23)/B23</f>
        <v/>
      </c>
    </row>
    <row r="36">
      <c r="A36" s="11" t="n">
        <v>34486</v>
      </c>
      <c r="B36" s="15">
        <f>VLOOKUP(A36,Database!A:M,MATCH($A$1,Database!$A$1:$M$1,),)</f>
        <v/>
      </c>
      <c r="C36" s="12">
        <f>(B36-B35)/B35</f>
        <v/>
      </c>
      <c r="D36" s="13">
        <f>(B36-B24)/B24</f>
        <v/>
      </c>
    </row>
    <row r="37">
      <c r="A37" s="10" t="n">
        <v>34516</v>
      </c>
      <c r="B37" s="15">
        <f>VLOOKUP(A37,Database!A:M,MATCH($A$1,Database!$A$1:$M$1,),)</f>
        <v/>
      </c>
      <c r="C37" s="12">
        <f>(B37-B36)/B36</f>
        <v/>
      </c>
      <c r="D37" s="13">
        <f>(B37-B25)/B25</f>
        <v/>
      </c>
    </row>
    <row r="38">
      <c r="A38" s="11" t="n">
        <v>34547</v>
      </c>
      <c r="B38" s="15">
        <f>VLOOKUP(A38,Database!A:M,MATCH($A$1,Database!$A$1:$M$1,),)</f>
        <v/>
      </c>
      <c r="C38" s="12">
        <f>(B38-B37)/B37</f>
        <v/>
      </c>
      <c r="D38" s="13">
        <f>(B38-B26)/B26</f>
        <v/>
      </c>
    </row>
    <row r="39">
      <c r="A39" s="10" t="n">
        <v>34578</v>
      </c>
      <c r="B39" s="15">
        <f>VLOOKUP(A39,Database!A:M,MATCH($A$1,Database!$A$1:$M$1,),)</f>
        <v/>
      </c>
      <c r="C39" s="12">
        <f>(B39-B38)/B38</f>
        <v/>
      </c>
      <c r="D39" s="13">
        <f>(B39-B27)/B27</f>
        <v/>
      </c>
    </row>
    <row r="40">
      <c r="A40" s="11" t="n">
        <v>34608</v>
      </c>
      <c r="B40" s="15">
        <f>VLOOKUP(A40,Database!A:M,MATCH($A$1,Database!$A$1:$M$1,),)</f>
        <v/>
      </c>
      <c r="C40" s="12">
        <f>(B40-B39)/B39</f>
        <v/>
      </c>
      <c r="D40" s="13">
        <f>(B40-B28)/B28</f>
        <v/>
      </c>
    </row>
    <row r="41">
      <c r="A41" s="10" t="n">
        <v>34639</v>
      </c>
      <c r="B41" s="15">
        <f>VLOOKUP(A41,Database!A:M,MATCH($A$1,Database!$A$1:$M$1,),)</f>
        <v/>
      </c>
      <c r="C41" s="12">
        <f>(B41-B40)/B40</f>
        <v/>
      </c>
      <c r="D41" s="13">
        <f>(B41-B29)/B29</f>
        <v/>
      </c>
    </row>
    <row r="42">
      <c r="A42" s="11" t="n">
        <v>34669</v>
      </c>
      <c r="B42" s="15">
        <f>VLOOKUP(A42,Database!A:M,MATCH($A$1,Database!$A$1:$M$1,),)</f>
        <v/>
      </c>
      <c r="C42" s="12">
        <f>(B42-B41)/B41</f>
        <v/>
      </c>
      <c r="D42" s="13">
        <f>(B42-B30)/B30</f>
        <v/>
      </c>
    </row>
    <row r="43">
      <c r="A43" s="10" t="n">
        <v>34700</v>
      </c>
      <c r="B43" s="15">
        <f>VLOOKUP(A43,Database!A:M,MATCH($A$1,Database!$A$1:$M$1,),)</f>
        <v/>
      </c>
      <c r="C43" s="12">
        <f>(B43-B42)/B42</f>
        <v/>
      </c>
      <c r="D43" s="13">
        <f>(B43-B31)/B31</f>
        <v/>
      </c>
    </row>
    <row r="44">
      <c r="A44" s="11" t="n">
        <v>34731</v>
      </c>
      <c r="B44" s="15">
        <f>VLOOKUP(A44,Database!A:M,MATCH($A$1,Database!$A$1:$M$1,),)</f>
        <v/>
      </c>
      <c r="C44" s="12">
        <f>(B44-B43)/B43</f>
        <v/>
      </c>
      <c r="D44" s="13">
        <f>(B44-B32)/B32</f>
        <v/>
      </c>
    </row>
    <row r="45">
      <c r="A45" s="10" t="n">
        <v>34759</v>
      </c>
      <c r="B45" s="15">
        <f>VLOOKUP(A45,Database!A:M,MATCH($A$1,Database!$A$1:$M$1,),)</f>
        <v/>
      </c>
      <c r="C45" s="12">
        <f>(B45-B44)/B44</f>
        <v/>
      </c>
      <c r="D45" s="13">
        <f>(B45-B33)/B33</f>
        <v/>
      </c>
    </row>
    <row r="46">
      <c r="A46" s="11" t="n">
        <v>34790</v>
      </c>
      <c r="B46" s="15">
        <f>VLOOKUP(A46,Database!A:M,MATCH($A$1,Database!$A$1:$M$1,),)</f>
        <v/>
      </c>
      <c r="C46" s="12">
        <f>(B46-B45)/B45</f>
        <v/>
      </c>
      <c r="D46" s="13">
        <f>(B46-B34)/B34</f>
        <v/>
      </c>
    </row>
    <row r="47">
      <c r="A47" s="10" t="n">
        <v>34820</v>
      </c>
      <c r="B47" s="15">
        <f>VLOOKUP(A47,Database!A:M,MATCH($A$1,Database!$A$1:$M$1,),)</f>
        <v/>
      </c>
      <c r="C47" s="12">
        <f>(B47-B46)/B46</f>
        <v/>
      </c>
      <c r="D47" s="13">
        <f>(B47-B35)/B35</f>
        <v/>
      </c>
    </row>
    <row r="48">
      <c r="A48" s="11" t="n">
        <v>34851</v>
      </c>
      <c r="B48" s="15">
        <f>VLOOKUP(A48,Database!A:M,MATCH($A$1,Database!$A$1:$M$1,),)</f>
        <v/>
      </c>
      <c r="C48" s="12">
        <f>(B48-B47)/B47</f>
        <v/>
      </c>
      <c r="D48" s="13">
        <f>(B48-B36)/B36</f>
        <v/>
      </c>
    </row>
    <row r="49">
      <c r="A49" s="10" t="n">
        <v>34881</v>
      </c>
      <c r="B49" s="15">
        <f>VLOOKUP(A49,Database!A:M,MATCH($A$1,Database!$A$1:$M$1,),)</f>
        <v/>
      </c>
      <c r="C49" s="12">
        <f>(B49-B48)/B48</f>
        <v/>
      </c>
      <c r="D49" s="13">
        <f>(B49-B37)/B37</f>
        <v/>
      </c>
    </row>
    <row r="50">
      <c r="A50" s="11" t="n">
        <v>34912</v>
      </c>
      <c r="B50" s="15">
        <f>VLOOKUP(A50,Database!A:M,MATCH($A$1,Database!$A$1:$M$1,),)</f>
        <v/>
      </c>
      <c r="C50" s="12">
        <f>(B50-B49)/B49</f>
        <v/>
      </c>
      <c r="D50" s="13">
        <f>(B50-B38)/B38</f>
        <v/>
      </c>
    </row>
    <row r="51">
      <c r="A51" s="10" t="n">
        <v>34943</v>
      </c>
      <c r="B51" s="15">
        <f>VLOOKUP(A51,Database!A:M,MATCH($A$1,Database!$A$1:$M$1,),)</f>
        <v/>
      </c>
      <c r="C51" s="12">
        <f>(B51-B50)/B50</f>
        <v/>
      </c>
      <c r="D51" s="13">
        <f>(B51-B39)/B39</f>
        <v/>
      </c>
    </row>
    <row r="52">
      <c r="A52" s="11" t="n">
        <v>34973</v>
      </c>
      <c r="B52" s="15">
        <f>VLOOKUP(A52,Database!A:M,MATCH($A$1,Database!$A$1:$M$1,),)</f>
        <v/>
      </c>
      <c r="C52" s="12">
        <f>(B52-B51)/B51</f>
        <v/>
      </c>
      <c r="D52" s="13">
        <f>(B52-B40)/B40</f>
        <v/>
      </c>
    </row>
    <row r="53">
      <c r="A53" s="10" t="n">
        <v>35004</v>
      </c>
      <c r="B53" s="15">
        <f>VLOOKUP(A53,Database!A:M,MATCH($A$1,Database!$A$1:$M$1,),)</f>
        <v/>
      </c>
      <c r="C53" s="12">
        <f>(B53-B52)/B52</f>
        <v/>
      </c>
      <c r="D53" s="13">
        <f>(B53-B41)/B41</f>
        <v/>
      </c>
    </row>
    <row r="54">
      <c r="A54" s="11" t="n">
        <v>35034</v>
      </c>
      <c r="B54" s="15">
        <f>VLOOKUP(A54,Database!A:M,MATCH($A$1,Database!$A$1:$M$1,),)</f>
        <v/>
      </c>
      <c r="C54" s="12">
        <f>(B54-B53)/B53</f>
        <v/>
      </c>
      <c r="D54" s="13">
        <f>(B54-B42)/B42</f>
        <v/>
      </c>
    </row>
    <row r="55">
      <c r="A55" s="10" t="n">
        <v>35065</v>
      </c>
      <c r="B55" s="15">
        <f>VLOOKUP(A55,Database!A:M,MATCH($A$1,Database!$A$1:$M$1,),)</f>
        <v/>
      </c>
      <c r="C55" s="12">
        <f>(B55-B54)/B54</f>
        <v/>
      </c>
      <c r="D55" s="13">
        <f>(B55-B43)/B43</f>
        <v/>
      </c>
    </row>
    <row r="56">
      <c r="A56" s="11" t="n">
        <v>35096</v>
      </c>
      <c r="B56" s="15">
        <f>VLOOKUP(A56,Database!A:M,MATCH($A$1,Database!$A$1:$M$1,),)</f>
        <v/>
      </c>
      <c r="C56" s="12">
        <f>(B56-B55)/B55</f>
        <v/>
      </c>
      <c r="D56" s="13">
        <f>(B56-B44)/B44</f>
        <v/>
      </c>
    </row>
    <row r="57">
      <c r="A57" s="10" t="n">
        <v>35125</v>
      </c>
      <c r="B57" s="15">
        <f>VLOOKUP(A57,Database!A:M,MATCH($A$1,Database!$A$1:$M$1,),)</f>
        <v/>
      </c>
      <c r="C57" s="12">
        <f>(B57-B56)/B56</f>
        <v/>
      </c>
      <c r="D57" s="13">
        <f>(B57-B45)/B45</f>
        <v/>
      </c>
    </row>
    <row r="58">
      <c r="A58" s="11" t="n">
        <v>35156</v>
      </c>
      <c r="B58" s="15">
        <f>VLOOKUP(A58,Database!A:M,MATCH($A$1,Database!$A$1:$M$1,),)</f>
        <v/>
      </c>
      <c r="C58" s="12">
        <f>(B58-B57)/B57</f>
        <v/>
      </c>
      <c r="D58" s="13">
        <f>(B58-B46)/B46</f>
        <v/>
      </c>
    </row>
    <row r="59">
      <c r="A59" s="10" t="n">
        <v>35186</v>
      </c>
      <c r="B59" s="15">
        <f>VLOOKUP(A59,Database!A:M,MATCH($A$1,Database!$A$1:$M$1,),)</f>
        <v/>
      </c>
      <c r="C59" s="12">
        <f>(B59-B58)/B58</f>
        <v/>
      </c>
      <c r="D59" s="13">
        <f>(B59-B47)/B47</f>
        <v/>
      </c>
    </row>
    <row r="60">
      <c r="A60" s="11" t="n">
        <v>35217</v>
      </c>
      <c r="B60" s="15">
        <f>VLOOKUP(A60,Database!A:M,MATCH($A$1,Database!$A$1:$M$1,),)</f>
        <v/>
      </c>
      <c r="C60" s="12">
        <f>(B60-B59)/B59</f>
        <v/>
      </c>
      <c r="D60" s="13">
        <f>(B60-B48)/B48</f>
        <v/>
      </c>
    </row>
    <row r="61">
      <c r="A61" s="10" t="n">
        <v>35247</v>
      </c>
      <c r="B61" s="15">
        <f>VLOOKUP(A61,Database!A:M,MATCH($A$1,Database!$A$1:$M$1,),)</f>
        <v/>
      </c>
      <c r="C61" s="12">
        <f>(B61-B60)/B60</f>
        <v/>
      </c>
      <c r="D61" s="13">
        <f>(B61-B49)/B49</f>
        <v/>
      </c>
    </row>
    <row r="62">
      <c r="A62" s="11" t="n">
        <v>35278</v>
      </c>
      <c r="B62" s="15">
        <f>VLOOKUP(A62,Database!A:M,MATCH($A$1,Database!$A$1:$M$1,),)</f>
        <v/>
      </c>
      <c r="C62" s="12">
        <f>(B62-B61)/B61</f>
        <v/>
      </c>
      <c r="D62" s="13">
        <f>(B62-B50)/B50</f>
        <v/>
      </c>
    </row>
    <row r="63">
      <c r="A63" s="10" t="n">
        <v>35309</v>
      </c>
      <c r="B63" s="15">
        <f>VLOOKUP(A63,Database!A:M,MATCH($A$1,Database!$A$1:$M$1,),)</f>
        <v/>
      </c>
      <c r="C63" s="12">
        <f>(B63-B62)/B62</f>
        <v/>
      </c>
      <c r="D63" s="13">
        <f>(B63-B51)/B51</f>
        <v/>
      </c>
    </row>
    <row r="64">
      <c r="A64" s="11" t="n">
        <v>35339</v>
      </c>
      <c r="B64" s="15">
        <f>VLOOKUP(A64,Database!A:M,MATCH($A$1,Database!$A$1:$M$1,),)</f>
        <v/>
      </c>
      <c r="C64" s="12">
        <f>(B64-B63)/B63</f>
        <v/>
      </c>
      <c r="D64" s="13">
        <f>(B64-B52)/B52</f>
        <v/>
      </c>
    </row>
    <row r="65">
      <c r="A65" s="10" t="n">
        <v>35370</v>
      </c>
      <c r="B65" s="15">
        <f>VLOOKUP(A65,Database!A:M,MATCH($A$1,Database!$A$1:$M$1,),)</f>
        <v/>
      </c>
      <c r="C65" s="12">
        <f>(B65-B64)/B64</f>
        <v/>
      </c>
      <c r="D65" s="13">
        <f>(B65-B53)/B53</f>
        <v/>
      </c>
    </row>
    <row r="66">
      <c r="A66" s="11" t="n">
        <v>35400</v>
      </c>
      <c r="B66" s="15">
        <f>VLOOKUP(A66,Database!A:M,MATCH($A$1,Database!$A$1:$M$1,),)</f>
        <v/>
      </c>
      <c r="C66" s="12">
        <f>(B66-B65)/B65</f>
        <v/>
      </c>
      <c r="D66" s="13">
        <f>(B66-B54)/B54</f>
        <v/>
      </c>
    </row>
    <row r="67">
      <c r="A67" s="10" t="n">
        <v>35431</v>
      </c>
      <c r="B67" s="15">
        <f>VLOOKUP(A67,Database!A:M,MATCH($A$1,Database!$A$1:$M$1,),)</f>
        <v/>
      </c>
      <c r="C67" s="12">
        <f>(B67-B66)/B66</f>
        <v/>
      </c>
      <c r="D67" s="13">
        <f>(B67-B55)/B55</f>
        <v/>
      </c>
    </row>
    <row r="68">
      <c r="A68" s="11" t="n">
        <v>35462</v>
      </c>
      <c r="B68" s="15">
        <f>VLOOKUP(A68,Database!A:M,MATCH($A$1,Database!$A$1:$M$1,),)</f>
        <v/>
      </c>
      <c r="C68" s="12">
        <f>(B68-B67)/B67</f>
        <v/>
      </c>
      <c r="D68" s="13">
        <f>(B68-B56)/B56</f>
        <v/>
      </c>
    </row>
    <row r="69">
      <c r="A69" s="10" t="n">
        <v>35490</v>
      </c>
      <c r="B69" s="15">
        <f>VLOOKUP(A69,Database!A:M,MATCH($A$1,Database!$A$1:$M$1,),)</f>
        <v/>
      </c>
      <c r="C69" s="12">
        <f>(B69-B68)/B68</f>
        <v/>
      </c>
      <c r="D69" s="13">
        <f>(B69-B57)/B57</f>
        <v/>
      </c>
    </row>
    <row r="70">
      <c r="A70" s="11" t="n">
        <v>35521</v>
      </c>
      <c r="B70" s="15">
        <f>VLOOKUP(A70,Database!A:M,MATCH($A$1,Database!$A$1:$M$1,),)</f>
        <v/>
      </c>
      <c r="C70" s="12">
        <f>(B70-B69)/B69</f>
        <v/>
      </c>
      <c r="D70" s="13">
        <f>(B70-B58)/B58</f>
        <v/>
      </c>
    </row>
    <row r="71">
      <c r="A71" s="10" t="n">
        <v>35551</v>
      </c>
      <c r="B71" s="15">
        <f>VLOOKUP(A71,Database!A:M,MATCH($A$1,Database!$A$1:$M$1,),)</f>
        <v/>
      </c>
      <c r="C71" s="12">
        <f>(B71-B70)/B70</f>
        <v/>
      </c>
      <c r="D71" s="13">
        <f>(B71-B59)/B59</f>
        <v/>
      </c>
    </row>
    <row r="72">
      <c r="A72" s="11" t="n">
        <v>35582</v>
      </c>
      <c r="B72" s="15">
        <f>VLOOKUP(A72,Database!A:M,MATCH($A$1,Database!$A$1:$M$1,),)</f>
        <v/>
      </c>
      <c r="C72" s="12">
        <f>(B72-B71)/B71</f>
        <v/>
      </c>
      <c r="D72" s="13">
        <f>(B72-B60)/B60</f>
        <v/>
      </c>
    </row>
    <row r="73">
      <c r="A73" s="10" t="n">
        <v>35612</v>
      </c>
      <c r="B73" s="15">
        <f>VLOOKUP(A73,Database!A:M,MATCH($A$1,Database!$A$1:$M$1,),)</f>
        <v/>
      </c>
      <c r="C73" s="12">
        <f>(B73-B72)/B72</f>
        <v/>
      </c>
      <c r="D73" s="13">
        <f>(B73-B61)/B61</f>
        <v/>
      </c>
    </row>
    <row r="74">
      <c r="A74" s="11" t="n">
        <v>35643</v>
      </c>
      <c r="B74" s="15">
        <f>VLOOKUP(A74,Database!A:M,MATCH($A$1,Database!$A$1:$M$1,),)</f>
        <v/>
      </c>
      <c r="C74" s="12">
        <f>(B74-B73)/B73</f>
        <v/>
      </c>
      <c r="D74" s="13">
        <f>(B74-B62)/B62</f>
        <v/>
      </c>
    </row>
    <row r="75">
      <c r="A75" s="10" t="n">
        <v>35674</v>
      </c>
      <c r="B75" s="15">
        <f>VLOOKUP(A75,Database!A:M,MATCH($A$1,Database!$A$1:$M$1,),)</f>
        <v/>
      </c>
      <c r="C75" s="12">
        <f>(B75-B74)/B74</f>
        <v/>
      </c>
      <c r="D75" s="13">
        <f>(B75-B63)/B63</f>
        <v/>
      </c>
    </row>
    <row r="76">
      <c r="A76" s="11" t="n">
        <v>35704</v>
      </c>
      <c r="B76" s="15">
        <f>VLOOKUP(A76,Database!A:M,MATCH($A$1,Database!$A$1:$M$1,),)</f>
        <v/>
      </c>
      <c r="C76" s="12">
        <f>(B76-B75)/B75</f>
        <v/>
      </c>
      <c r="D76" s="13">
        <f>(B76-B64)/B64</f>
        <v/>
      </c>
    </row>
    <row r="77">
      <c r="A77" s="10" t="n">
        <v>35735</v>
      </c>
      <c r="B77" s="15">
        <f>VLOOKUP(A77,Database!A:M,MATCH($A$1,Database!$A$1:$M$1,),)</f>
        <v/>
      </c>
      <c r="C77" s="12">
        <f>(B77-B76)/B76</f>
        <v/>
      </c>
      <c r="D77" s="13">
        <f>(B77-B65)/B65</f>
        <v/>
      </c>
    </row>
    <row r="78">
      <c r="A78" s="11" t="n">
        <v>35765</v>
      </c>
      <c r="B78" s="15">
        <f>VLOOKUP(A78,Database!A:M,MATCH($A$1,Database!$A$1:$M$1,),)</f>
        <v/>
      </c>
      <c r="C78" s="12">
        <f>(B78-B77)/B77</f>
        <v/>
      </c>
      <c r="D78" s="13">
        <f>(B78-B66)/B66</f>
        <v/>
      </c>
    </row>
    <row r="79">
      <c r="A79" s="10" t="n">
        <v>35796</v>
      </c>
      <c r="B79" s="15">
        <f>VLOOKUP(A79,Database!A:M,MATCH($A$1,Database!$A$1:$M$1,),)</f>
        <v/>
      </c>
      <c r="C79" s="12">
        <f>(B79-B78)/B78</f>
        <v/>
      </c>
      <c r="D79" s="13">
        <f>(B79-B67)/B67</f>
        <v/>
      </c>
    </row>
    <row r="80">
      <c r="A80" s="11" t="n">
        <v>35827</v>
      </c>
      <c r="B80" s="15">
        <f>VLOOKUP(A80,Database!A:M,MATCH($A$1,Database!$A$1:$M$1,),)</f>
        <v/>
      </c>
      <c r="C80" s="12">
        <f>(B80-B79)/B79</f>
        <v/>
      </c>
      <c r="D80" s="13">
        <f>(B80-B68)/B68</f>
        <v/>
      </c>
    </row>
    <row r="81">
      <c r="A81" s="10" t="n">
        <v>35855</v>
      </c>
      <c r="B81" s="15">
        <f>VLOOKUP(A81,Database!A:M,MATCH($A$1,Database!$A$1:$M$1,),)</f>
        <v/>
      </c>
      <c r="C81" s="12">
        <f>(B81-B80)/B80</f>
        <v/>
      </c>
      <c r="D81" s="13">
        <f>(B81-B69)/B69</f>
        <v/>
      </c>
    </row>
    <row r="82">
      <c r="A82" s="11" t="n">
        <v>35886</v>
      </c>
      <c r="B82" s="15">
        <f>VLOOKUP(A82,Database!A:M,MATCH($A$1,Database!$A$1:$M$1,),)</f>
        <v/>
      </c>
      <c r="C82" s="12">
        <f>(B82-B81)/B81</f>
        <v/>
      </c>
      <c r="D82" s="13">
        <f>(B82-B70)/B70</f>
        <v/>
      </c>
    </row>
    <row r="83">
      <c r="A83" s="10" t="n">
        <v>35916</v>
      </c>
      <c r="B83" s="15">
        <f>VLOOKUP(A83,Database!A:M,MATCH($A$1,Database!$A$1:$M$1,),)</f>
        <v/>
      </c>
      <c r="C83" s="12">
        <f>(B83-B82)/B82</f>
        <v/>
      </c>
      <c r="D83" s="13">
        <f>(B83-B71)/B71</f>
        <v/>
      </c>
    </row>
    <row r="84">
      <c r="A84" s="11" t="n">
        <v>35947</v>
      </c>
      <c r="B84" s="15">
        <f>VLOOKUP(A84,Database!A:M,MATCH($A$1,Database!$A$1:$M$1,),)</f>
        <v/>
      </c>
      <c r="C84" s="12">
        <f>(B84-B83)/B83</f>
        <v/>
      </c>
      <c r="D84" s="13">
        <f>(B84-B72)/B72</f>
        <v/>
      </c>
    </row>
    <row r="85">
      <c r="A85" s="10" t="n">
        <v>35977</v>
      </c>
      <c r="B85" s="15">
        <f>VLOOKUP(A85,Database!A:M,MATCH($A$1,Database!$A$1:$M$1,),)</f>
        <v/>
      </c>
      <c r="C85" s="12">
        <f>(B85-B84)/B84</f>
        <v/>
      </c>
      <c r="D85" s="13">
        <f>(B85-B73)/B73</f>
        <v/>
      </c>
    </row>
    <row r="86">
      <c r="A86" s="11" t="n">
        <v>36008</v>
      </c>
      <c r="B86" s="15">
        <f>VLOOKUP(A86,Database!A:M,MATCH($A$1,Database!$A$1:$M$1,),)</f>
        <v/>
      </c>
      <c r="C86" s="12">
        <f>(B86-B85)/B85</f>
        <v/>
      </c>
      <c r="D86" s="13">
        <f>(B86-B74)/B74</f>
        <v/>
      </c>
    </row>
    <row r="87">
      <c r="A87" s="10" t="n">
        <v>36039</v>
      </c>
      <c r="B87" s="15">
        <f>VLOOKUP(A87,Database!A:M,MATCH($A$1,Database!$A$1:$M$1,),)</f>
        <v/>
      </c>
      <c r="C87" s="12">
        <f>(B87-B86)/B86</f>
        <v/>
      </c>
      <c r="D87" s="13">
        <f>(B87-B75)/B75</f>
        <v/>
      </c>
    </row>
    <row r="88">
      <c r="A88" s="11" t="n">
        <v>36069</v>
      </c>
      <c r="B88" s="15">
        <f>VLOOKUP(A88,Database!A:M,MATCH($A$1,Database!$A$1:$M$1,),)</f>
        <v/>
      </c>
      <c r="C88" s="12">
        <f>(B88-B87)/B87</f>
        <v/>
      </c>
      <c r="D88" s="13">
        <f>(B88-B76)/B76</f>
        <v/>
      </c>
    </row>
    <row r="89">
      <c r="A89" s="10" t="n">
        <v>36100</v>
      </c>
      <c r="B89" s="15">
        <f>VLOOKUP(A89,Database!A:M,MATCH($A$1,Database!$A$1:$M$1,),)</f>
        <v/>
      </c>
      <c r="C89" s="12">
        <f>(B89-B88)/B88</f>
        <v/>
      </c>
      <c r="D89" s="13">
        <f>(B89-B77)/B77</f>
        <v/>
      </c>
    </row>
    <row r="90">
      <c r="A90" s="11" t="n">
        <v>36130</v>
      </c>
      <c r="B90" s="15">
        <f>VLOOKUP(A90,Database!A:M,MATCH($A$1,Database!$A$1:$M$1,),)</f>
        <v/>
      </c>
      <c r="C90" s="12">
        <f>(B90-B89)/B89</f>
        <v/>
      </c>
      <c r="D90" s="13">
        <f>(B90-B78)/B78</f>
        <v/>
      </c>
    </row>
    <row r="91">
      <c r="A91" s="10" t="n">
        <v>36161</v>
      </c>
      <c r="B91" s="15">
        <f>VLOOKUP(A91,Database!A:M,MATCH($A$1,Database!$A$1:$M$1,),)</f>
        <v/>
      </c>
      <c r="C91" s="12">
        <f>(B91-B90)/B90</f>
        <v/>
      </c>
      <c r="D91" s="13">
        <f>(B91-B79)/B79</f>
        <v/>
      </c>
    </row>
    <row r="92">
      <c r="A92" s="11" t="n">
        <v>36192</v>
      </c>
      <c r="B92" s="15">
        <f>VLOOKUP(A92,Database!A:M,MATCH($A$1,Database!$A$1:$M$1,),)</f>
        <v/>
      </c>
      <c r="C92" s="12">
        <f>(B92-B91)/B91</f>
        <v/>
      </c>
      <c r="D92" s="13">
        <f>(B92-B80)/B80</f>
        <v/>
      </c>
    </row>
    <row r="93">
      <c r="A93" s="10" t="n">
        <v>36220</v>
      </c>
      <c r="B93" s="15">
        <f>VLOOKUP(A93,Database!A:M,MATCH($A$1,Database!$A$1:$M$1,),)</f>
        <v/>
      </c>
      <c r="C93" s="12">
        <f>(B93-B92)/B92</f>
        <v/>
      </c>
      <c r="D93" s="13">
        <f>(B93-B81)/B81</f>
        <v/>
      </c>
    </row>
    <row r="94">
      <c r="A94" s="11" t="n">
        <v>36251</v>
      </c>
      <c r="B94" s="15">
        <f>VLOOKUP(A94,Database!A:M,MATCH($A$1,Database!$A$1:$M$1,),)</f>
        <v/>
      </c>
      <c r="C94" s="12">
        <f>(B94-B93)/B93</f>
        <v/>
      </c>
      <c r="D94" s="13">
        <f>(B94-B82)/B82</f>
        <v/>
      </c>
    </row>
    <row r="95">
      <c r="A95" s="10" t="n">
        <v>36281</v>
      </c>
      <c r="B95" s="15">
        <f>VLOOKUP(A95,Database!A:M,MATCH($A$1,Database!$A$1:$M$1,),)</f>
        <v/>
      </c>
      <c r="C95" s="12">
        <f>(B95-B94)/B94</f>
        <v/>
      </c>
      <c r="D95" s="13">
        <f>(B95-B83)/B83</f>
        <v/>
      </c>
    </row>
    <row r="96">
      <c r="A96" s="11" t="n">
        <v>36312</v>
      </c>
      <c r="B96" s="15">
        <f>VLOOKUP(A96,Database!A:M,MATCH($A$1,Database!$A$1:$M$1,),)</f>
        <v/>
      </c>
      <c r="C96" s="12">
        <f>(B96-B95)/B95</f>
        <v/>
      </c>
      <c r="D96" s="13">
        <f>(B96-B84)/B84</f>
        <v/>
      </c>
    </row>
    <row r="97">
      <c r="A97" s="10" t="n">
        <v>36342</v>
      </c>
      <c r="B97" s="15">
        <f>VLOOKUP(A97,Database!A:M,MATCH($A$1,Database!$A$1:$M$1,),)</f>
        <v/>
      </c>
      <c r="C97" s="12">
        <f>(B97-B96)/B96</f>
        <v/>
      </c>
      <c r="D97" s="13">
        <f>(B97-B85)/B85</f>
        <v/>
      </c>
    </row>
    <row r="98">
      <c r="A98" s="11" t="n">
        <v>36373</v>
      </c>
      <c r="B98" s="15">
        <f>VLOOKUP(A98,Database!A:M,MATCH($A$1,Database!$A$1:$M$1,),)</f>
        <v/>
      </c>
      <c r="C98" s="12">
        <f>(B98-B97)/B97</f>
        <v/>
      </c>
      <c r="D98" s="13">
        <f>(B98-B86)/B86</f>
        <v/>
      </c>
    </row>
    <row r="99">
      <c r="A99" s="10" t="n">
        <v>36404</v>
      </c>
      <c r="B99" s="15">
        <f>VLOOKUP(A99,Database!A:M,MATCH($A$1,Database!$A$1:$M$1,),)</f>
        <v/>
      </c>
      <c r="C99" s="12">
        <f>(B99-B98)/B98</f>
        <v/>
      </c>
      <c r="D99" s="13">
        <f>(B99-B87)/B87</f>
        <v/>
      </c>
    </row>
    <row r="100">
      <c r="A100" s="11" t="n">
        <v>36434</v>
      </c>
      <c r="B100" s="15">
        <f>VLOOKUP(A100,Database!A:M,MATCH($A$1,Database!$A$1:$M$1,),)</f>
        <v/>
      </c>
      <c r="C100" s="12">
        <f>(B100-B99)/B99</f>
        <v/>
      </c>
      <c r="D100" s="13">
        <f>(B100-B88)/B88</f>
        <v/>
      </c>
    </row>
    <row r="101">
      <c r="A101" s="10" t="n">
        <v>36465</v>
      </c>
      <c r="B101" s="15">
        <f>VLOOKUP(A101,Database!A:M,MATCH($A$1,Database!$A$1:$M$1,),)</f>
        <v/>
      </c>
      <c r="C101" s="12">
        <f>(B101-B100)/B100</f>
        <v/>
      </c>
      <c r="D101" s="13">
        <f>(B101-B89)/B89</f>
        <v/>
      </c>
    </row>
    <row r="102">
      <c r="A102" s="11" t="n">
        <v>36495</v>
      </c>
      <c r="B102" s="15">
        <f>VLOOKUP(A102,Database!A:M,MATCH($A$1,Database!$A$1:$M$1,),)</f>
        <v/>
      </c>
      <c r="C102" s="12">
        <f>(B102-B101)/B101</f>
        <v/>
      </c>
      <c r="D102" s="13">
        <f>(B102-B90)/B90</f>
        <v/>
      </c>
    </row>
    <row r="103">
      <c r="A103" s="10" t="n">
        <v>36526</v>
      </c>
      <c r="B103" s="15">
        <f>VLOOKUP(A103,Database!A:M,MATCH($A$1,Database!$A$1:$M$1,),)</f>
        <v/>
      </c>
      <c r="C103" s="12">
        <f>(B103-B102)/B102</f>
        <v/>
      </c>
      <c r="D103" s="13">
        <f>(B103-B91)/B91</f>
        <v/>
      </c>
    </row>
    <row r="104">
      <c r="A104" s="11" t="n">
        <v>36557</v>
      </c>
      <c r="B104" s="15">
        <f>VLOOKUP(A104,Database!A:M,MATCH($A$1,Database!$A$1:$M$1,),)</f>
        <v/>
      </c>
      <c r="C104" s="12">
        <f>(B104-B103)/B103</f>
        <v/>
      </c>
      <c r="D104" s="13">
        <f>(B104-B92)/B92</f>
        <v/>
      </c>
    </row>
    <row r="105">
      <c r="A105" s="10" t="n">
        <v>36586</v>
      </c>
      <c r="B105" s="15">
        <f>VLOOKUP(A105,Database!A:M,MATCH($A$1,Database!$A$1:$M$1,),)</f>
        <v/>
      </c>
      <c r="C105" s="12">
        <f>(B105-B104)/B104</f>
        <v/>
      </c>
      <c r="D105" s="13">
        <f>(B105-B93)/B93</f>
        <v/>
      </c>
    </row>
    <row r="106">
      <c r="A106" s="11" t="n">
        <v>36617</v>
      </c>
      <c r="B106" s="15">
        <f>VLOOKUP(A106,Database!A:M,MATCH($A$1,Database!$A$1:$M$1,),)</f>
        <v/>
      </c>
      <c r="C106" s="12">
        <f>(B106-B105)/B105</f>
        <v/>
      </c>
      <c r="D106" s="13">
        <f>(B106-B94)/B94</f>
        <v/>
      </c>
    </row>
    <row r="107">
      <c r="A107" s="10" t="n">
        <v>36647</v>
      </c>
      <c r="B107" s="15">
        <f>VLOOKUP(A107,Database!A:M,MATCH($A$1,Database!$A$1:$M$1,),)</f>
        <v/>
      </c>
      <c r="C107" s="12">
        <f>(B107-B106)/B106</f>
        <v/>
      </c>
      <c r="D107" s="13">
        <f>(B107-B95)/B95</f>
        <v/>
      </c>
    </row>
    <row r="108">
      <c r="A108" s="11" t="n">
        <v>36678</v>
      </c>
      <c r="B108" s="15">
        <f>VLOOKUP(A108,Database!A:M,MATCH($A$1,Database!$A$1:$M$1,),)</f>
        <v/>
      </c>
      <c r="C108" s="12">
        <f>(B108-B107)/B107</f>
        <v/>
      </c>
      <c r="D108" s="13">
        <f>(B108-B96)/B96</f>
        <v/>
      </c>
    </row>
    <row r="109">
      <c r="A109" s="10" t="n">
        <v>36708</v>
      </c>
      <c r="B109" s="15">
        <f>VLOOKUP(A109,Database!A:M,MATCH($A$1,Database!$A$1:$M$1,),)</f>
        <v/>
      </c>
      <c r="C109" s="12">
        <f>(B109-B108)/B108</f>
        <v/>
      </c>
      <c r="D109" s="13">
        <f>(B109-B97)/B97</f>
        <v/>
      </c>
    </row>
    <row r="110">
      <c r="A110" s="11" t="n">
        <v>36739</v>
      </c>
      <c r="B110" s="15">
        <f>VLOOKUP(A110,Database!A:M,MATCH($A$1,Database!$A$1:$M$1,),)</f>
        <v/>
      </c>
      <c r="C110" s="12">
        <f>(B110-B109)/B109</f>
        <v/>
      </c>
      <c r="D110" s="13">
        <f>(B110-B98)/B98</f>
        <v/>
      </c>
    </row>
    <row r="111">
      <c r="A111" s="10" t="n">
        <v>36770</v>
      </c>
      <c r="B111" s="15">
        <f>VLOOKUP(A111,Database!A:M,MATCH($A$1,Database!$A$1:$M$1,),)</f>
        <v/>
      </c>
      <c r="C111" s="12">
        <f>(B111-B110)/B110</f>
        <v/>
      </c>
      <c r="D111" s="13">
        <f>(B111-B99)/B99</f>
        <v/>
      </c>
    </row>
    <row r="112">
      <c r="A112" s="11" t="n">
        <v>36800</v>
      </c>
      <c r="B112" s="15">
        <f>VLOOKUP(A112,Database!A:M,MATCH($A$1,Database!$A$1:$M$1,),)</f>
        <v/>
      </c>
      <c r="C112" s="12">
        <f>(B112-B111)/B111</f>
        <v/>
      </c>
      <c r="D112" s="13">
        <f>(B112-B100)/B100</f>
        <v/>
      </c>
    </row>
    <row r="113">
      <c r="A113" s="10" t="n">
        <v>36831</v>
      </c>
      <c r="B113" s="15">
        <f>VLOOKUP(A113,Database!A:M,MATCH($A$1,Database!$A$1:$M$1,),)</f>
        <v/>
      </c>
      <c r="C113" s="12">
        <f>(B113-B112)/B112</f>
        <v/>
      </c>
      <c r="D113" s="13">
        <f>(B113-B101)/B101</f>
        <v/>
      </c>
    </row>
    <row r="114">
      <c r="A114" s="11" t="n">
        <v>36861</v>
      </c>
      <c r="B114" s="15">
        <f>VLOOKUP(A114,Database!A:M,MATCH($A$1,Database!$A$1:$M$1,),)</f>
        <v/>
      </c>
      <c r="C114" s="12">
        <f>(B114-B113)/B113</f>
        <v/>
      </c>
      <c r="D114" s="13">
        <f>(B114-B102)/B102</f>
        <v/>
      </c>
    </row>
    <row r="115">
      <c r="A115" s="10" t="n">
        <v>36892</v>
      </c>
      <c r="B115" s="15">
        <f>VLOOKUP(A115,Database!A:M,MATCH($A$1,Database!$A$1:$M$1,),)</f>
        <v/>
      </c>
      <c r="C115" s="12">
        <f>(B115-B114)/B114</f>
        <v/>
      </c>
      <c r="D115" s="13">
        <f>(B115-B103)/B103</f>
        <v/>
      </c>
    </row>
    <row r="116">
      <c r="A116" s="11" t="n">
        <v>36923</v>
      </c>
      <c r="B116" s="15">
        <f>VLOOKUP(A116,Database!A:M,MATCH($A$1,Database!$A$1:$M$1,),)</f>
        <v/>
      </c>
      <c r="C116" s="12">
        <f>(B116-B115)/B115</f>
        <v/>
      </c>
      <c r="D116" s="13">
        <f>(B116-B104)/B104</f>
        <v/>
      </c>
    </row>
    <row r="117">
      <c r="A117" s="10" t="n">
        <v>36951</v>
      </c>
      <c r="B117" s="15">
        <f>VLOOKUP(A117,Database!A:M,MATCH($A$1,Database!$A$1:$M$1,),)</f>
        <v/>
      </c>
      <c r="C117" s="12">
        <f>(B117-B116)/B116</f>
        <v/>
      </c>
      <c r="D117" s="13">
        <f>(B117-B105)/B105</f>
        <v/>
      </c>
    </row>
    <row r="118">
      <c r="A118" s="11" t="n">
        <v>36982</v>
      </c>
      <c r="B118" s="15">
        <f>VLOOKUP(A118,Database!A:M,MATCH($A$1,Database!$A$1:$M$1,),)</f>
        <v/>
      </c>
      <c r="C118" s="12">
        <f>(B118-B117)/B117</f>
        <v/>
      </c>
      <c r="D118" s="13">
        <f>(B118-B106)/B106</f>
        <v/>
      </c>
    </row>
    <row r="119">
      <c r="A119" s="10" t="n">
        <v>37012</v>
      </c>
      <c r="B119" s="15">
        <f>VLOOKUP(A119,Database!A:M,MATCH($A$1,Database!$A$1:$M$1,),)</f>
        <v/>
      </c>
      <c r="C119" s="12">
        <f>(B119-B118)/B118</f>
        <v/>
      </c>
      <c r="D119" s="13">
        <f>(B119-B107)/B107</f>
        <v/>
      </c>
    </row>
    <row r="120">
      <c r="A120" s="11" t="n">
        <v>37043</v>
      </c>
      <c r="B120" s="15">
        <f>VLOOKUP(A120,Database!A:M,MATCH($A$1,Database!$A$1:$M$1,),)</f>
        <v/>
      </c>
      <c r="C120" s="12">
        <f>(B120-B119)/B119</f>
        <v/>
      </c>
      <c r="D120" s="13">
        <f>(B120-B108)/B108</f>
        <v/>
      </c>
    </row>
    <row r="121">
      <c r="A121" s="10" t="n">
        <v>37073</v>
      </c>
      <c r="B121" s="15">
        <f>VLOOKUP(A121,Database!A:M,MATCH($A$1,Database!$A$1:$M$1,),)</f>
        <v/>
      </c>
      <c r="C121" s="12">
        <f>(B121-B120)/B120</f>
        <v/>
      </c>
      <c r="D121" s="13">
        <f>(B121-B109)/B109</f>
        <v/>
      </c>
    </row>
    <row r="122">
      <c r="A122" s="11" t="n">
        <v>37104</v>
      </c>
      <c r="B122" s="15">
        <f>VLOOKUP(A122,Database!A:M,MATCH($A$1,Database!$A$1:$M$1,),)</f>
        <v/>
      </c>
      <c r="C122" s="12">
        <f>(B122-B121)/B121</f>
        <v/>
      </c>
      <c r="D122" s="13">
        <f>(B122-B110)/B110</f>
        <v/>
      </c>
    </row>
    <row r="123">
      <c r="A123" s="10" t="n">
        <v>37135</v>
      </c>
      <c r="B123" s="15">
        <f>VLOOKUP(A123,Database!A:M,MATCH($A$1,Database!$A$1:$M$1,),)</f>
        <v/>
      </c>
      <c r="C123" s="12">
        <f>(B123-B122)/B122</f>
        <v/>
      </c>
      <c r="D123" s="13">
        <f>(B123-B111)/B111</f>
        <v/>
      </c>
    </row>
    <row r="124">
      <c r="A124" s="11" t="n">
        <v>37165</v>
      </c>
      <c r="B124" s="15">
        <f>VLOOKUP(A124,Database!A:M,MATCH($A$1,Database!$A$1:$M$1,),)</f>
        <v/>
      </c>
      <c r="C124" s="12">
        <f>(B124-B123)/B123</f>
        <v/>
      </c>
      <c r="D124" s="13">
        <f>(B124-B112)/B112</f>
        <v/>
      </c>
    </row>
    <row r="125">
      <c r="A125" s="10" t="n">
        <v>37196</v>
      </c>
      <c r="B125" s="15">
        <f>VLOOKUP(A125,Database!A:M,MATCH($A$1,Database!$A$1:$M$1,),)</f>
        <v/>
      </c>
      <c r="C125" s="12">
        <f>(B125-B124)/B124</f>
        <v/>
      </c>
      <c r="D125" s="13">
        <f>(B125-B113)/B113</f>
        <v/>
      </c>
    </row>
    <row r="126">
      <c r="A126" s="11" t="n">
        <v>37226</v>
      </c>
      <c r="B126" s="15">
        <f>VLOOKUP(A126,Database!A:M,MATCH($A$1,Database!$A$1:$M$1,),)</f>
        <v/>
      </c>
      <c r="C126" s="12">
        <f>(B126-B125)/B125</f>
        <v/>
      </c>
      <c r="D126" s="13">
        <f>(B126-B114)/B114</f>
        <v/>
      </c>
    </row>
    <row r="127">
      <c r="A127" s="10" t="n">
        <v>37257</v>
      </c>
      <c r="B127" s="15">
        <f>VLOOKUP(A127,Database!A:M,MATCH($A$1,Database!$A$1:$M$1,),)</f>
        <v/>
      </c>
      <c r="C127" s="12">
        <f>(B127-B126)/B126</f>
        <v/>
      </c>
      <c r="D127" s="13">
        <f>(B127-B115)/B115</f>
        <v/>
      </c>
    </row>
    <row r="128">
      <c r="A128" s="11" t="n">
        <v>37288</v>
      </c>
      <c r="B128" s="15">
        <f>VLOOKUP(A128,Database!A:M,MATCH($A$1,Database!$A$1:$M$1,),)</f>
        <v/>
      </c>
      <c r="C128" s="12">
        <f>(B128-B127)/B127</f>
        <v/>
      </c>
      <c r="D128" s="13">
        <f>(B128-B116)/B116</f>
        <v/>
      </c>
    </row>
    <row r="129">
      <c r="A129" s="10" t="n">
        <v>37316</v>
      </c>
      <c r="B129" s="15">
        <f>VLOOKUP(A129,Database!A:M,MATCH($A$1,Database!$A$1:$M$1,),)</f>
        <v/>
      </c>
      <c r="C129" s="12">
        <f>(B129-B128)/B128</f>
        <v/>
      </c>
      <c r="D129" s="13">
        <f>(B129-B117)/B117</f>
        <v/>
      </c>
    </row>
    <row r="130">
      <c r="A130" s="11" t="n">
        <v>37347</v>
      </c>
      <c r="B130" s="15">
        <f>VLOOKUP(A130,Database!A:M,MATCH($A$1,Database!$A$1:$M$1,),)</f>
        <v/>
      </c>
      <c r="C130" s="12">
        <f>(B130-B129)/B129</f>
        <v/>
      </c>
      <c r="D130" s="13">
        <f>(B130-B118)/B118</f>
        <v/>
      </c>
    </row>
    <row r="131">
      <c r="A131" s="10" t="n">
        <v>37377</v>
      </c>
      <c r="B131" s="15">
        <f>VLOOKUP(A131,Database!A:M,MATCH($A$1,Database!$A$1:$M$1,),)</f>
        <v/>
      </c>
      <c r="C131" s="12">
        <f>(B131-B130)/B130</f>
        <v/>
      </c>
      <c r="D131" s="13">
        <f>(B131-B119)/B119</f>
        <v/>
      </c>
    </row>
    <row r="132">
      <c r="A132" s="11" t="n">
        <v>37408</v>
      </c>
      <c r="B132" s="15">
        <f>VLOOKUP(A132,Database!A:M,MATCH($A$1,Database!$A$1:$M$1,),)</f>
        <v/>
      </c>
      <c r="C132" s="12">
        <f>(B132-B131)/B131</f>
        <v/>
      </c>
      <c r="D132" s="13">
        <f>(B132-B120)/B120</f>
        <v/>
      </c>
    </row>
    <row r="133">
      <c r="A133" s="10" t="n">
        <v>37438</v>
      </c>
      <c r="B133" s="15">
        <f>VLOOKUP(A133,Database!A:M,MATCH($A$1,Database!$A$1:$M$1,),)</f>
        <v/>
      </c>
      <c r="C133" s="12">
        <f>(B133-B132)/B132</f>
        <v/>
      </c>
      <c r="D133" s="13">
        <f>(B133-B121)/B121</f>
        <v/>
      </c>
    </row>
    <row r="134">
      <c r="A134" s="11" t="n">
        <v>37469</v>
      </c>
      <c r="B134" s="15">
        <f>VLOOKUP(A134,Database!A:M,MATCH($A$1,Database!$A$1:$M$1,),)</f>
        <v/>
      </c>
      <c r="C134" s="12">
        <f>(B134-B133)/B133</f>
        <v/>
      </c>
      <c r="D134" s="13">
        <f>(B134-B122)/B122</f>
        <v/>
      </c>
    </row>
    <row r="135">
      <c r="A135" s="10" t="n">
        <v>37500</v>
      </c>
      <c r="B135" s="15">
        <f>VLOOKUP(A135,Database!A:M,MATCH($A$1,Database!$A$1:$M$1,),)</f>
        <v/>
      </c>
      <c r="C135" s="12">
        <f>(B135-B134)/B134</f>
        <v/>
      </c>
      <c r="D135" s="13">
        <f>(B135-B123)/B123</f>
        <v/>
      </c>
    </row>
    <row r="136">
      <c r="A136" s="11" t="n">
        <v>37530</v>
      </c>
      <c r="B136" s="15">
        <f>VLOOKUP(A136,Database!A:M,MATCH($A$1,Database!$A$1:$M$1,),)</f>
        <v/>
      </c>
      <c r="C136" s="12">
        <f>(B136-B135)/B135</f>
        <v/>
      </c>
      <c r="D136" s="13">
        <f>(B136-B124)/B124</f>
        <v/>
      </c>
    </row>
    <row r="137">
      <c r="A137" s="10" t="n">
        <v>37561</v>
      </c>
      <c r="B137" s="15">
        <f>VLOOKUP(A137,Database!A:M,MATCH($A$1,Database!$A$1:$M$1,),)</f>
        <v/>
      </c>
      <c r="C137" s="12">
        <f>(B137-B136)/B136</f>
        <v/>
      </c>
      <c r="D137" s="13">
        <f>(B137-B125)/B125</f>
        <v/>
      </c>
    </row>
    <row r="138">
      <c r="A138" s="11" t="n">
        <v>37591</v>
      </c>
      <c r="B138" s="15">
        <f>VLOOKUP(A138,Database!A:M,MATCH($A$1,Database!$A$1:$M$1,),)</f>
        <v/>
      </c>
      <c r="C138" s="12">
        <f>(B138-B137)/B137</f>
        <v/>
      </c>
      <c r="D138" s="13">
        <f>(B138-B126)/B126</f>
        <v/>
      </c>
    </row>
    <row r="139">
      <c r="A139" s="10" t="n">
        <v>37622</v>
      </c>
      <c r="B139" s="15">
        <f>VLOOKUP(A139,Database!A:M,MATCH($A$1,Database!$A$1:$M$1,),)</f>
        <v/>
      </c>
      <c r="C139" s="12">
        <f>(B139-B138)/B138</f>
        <v/>
      </c>
      <c r="D139" s="13">
        <f>(B139-B127)/B127</f>
        <v/>
      </c>
    </row>
    <row r="140">
      <c r="A140" s="11" t="n">
        <v>37653</v>
      </c>
      <c r="B140" s="15">
        <f>VLOOKUP(A140,Database!A:M,MATCH($A$1,Database!$A$1:$M$1,),)</f>
        <v/>
      </c>
      <c r="C140" s="12">
        <f>(B140-B139)/B139</f>
        <v/>
      </c>
      <c r="D140" s="13">
        <f>(B140-B128)/B128</f>
        <v/>
      </c>
    </row>
    <row r="141">
      <c r="A141" s="10" t="n">
        <v>37681</v>
      </c>
      <c r="B141" s="15">
        <f>VLOOKUP(A141,Database!A:M,MATCH($A$1,Database!$A$1:$M$1,),)</f>
        <v/>
      </c>
      <c r="C141" s="12">
        <f>(B141-B140)/B140</f>
        <v/>
      </c>
      <c r="D141" s="13">
        <f>(B141-B129)/B129</f>
        <v/>
      </c>
    </row>
    <row r="142">
      <c r="A142" s="11" t="n">
        <v>37712</v>
      </c>
      <c r="B142" s="15">
        <f>VLOOKUP(A142,Database!A:M,MATCH($A$1,Database!$A$1:$M$1,),)</f>
        <v/>
      </c>
      <c r="C142" s="12">
        <f>(B142-B141)/B141</f>
        <v/>
      </c>
      <c r="D142" s="13">
        <f>(B142-B130)/B130</f>
        <v/>
      </c>
    </row>
    <row r="143">
      <c r="A143" s="10" t="n">
        <v>37742</v>
      </c>
      <c r="B143" s="15">
        <f>VLOOKUP(A143,Database!A:M,MATCH($A$1,Database!$A$1:$M$1,),)</f>
        <v/>
      </c>
      <c r="C143" s="12">
        <f>(B143-B142)/B142</f>
        <v/>
      </c>
      <c r="D143" s="13">
        <f>(B143-B131)/B131</f>
        <v/>
      </c>
    </row>
    <row r="144">
      <c r="A144" s="11" t="n">
        <v>37773</v>
      </c>
      <c r="B144" s="15">
        <f>VLOOKUP(A144,Database!A:M,MATCH($A$1,Database!$A$1:$M$1,),)</f>
        <v/>
      </c>
      <c r="C144" s="12">
        <f>(B144-B143)/B143</f>
        <v/>
      </c>
      <c r="D144" s="13">
        <f>(B144-B132)/B132</f>
        <v/>
      </c>
    </row>
    <row r="145">
      <c r="A145" s="10" t="n">
        <v>37803</v>
      </c>
      <c r="B145" s="15">
        <f>VLOOKUP(A145,Database!A:M,MATCH($A$1,Database!$A$1:$M$1,),)</f>
        <v/>
      </c>
      <c r="C145" s="12">
        <f>(B145-B144)/B144</f>
        <v/>
      </c>
      <c r="D145" s="13">
        <f>(B145-B133)/B133</f>
        <v/>
      </c>
    </row>
    <row r="146">
      <c r="A146" s="11" t="n">
        <v>37834</v>
      </c>
      <c r="B146" s="15">
        <f>VLOOKUP(A146,Database!A:M,MATCH($A$1,Database!$A$1:$M$1,),)</f>
        <v/>
      </c>
      <c r="C146" s="12">
        <f>(B146-B145)/B145</f>
        <v/>
      </c>
      <c r="D146" s="13">
        <f>(B146-B134)/B134</f>
        <v/>
      </c>
    </row>
    <row r="147">
      <c r="A147" s="10" t="n">
        <v>37865</v>
      </c>
      <c r="B147" s="15">
        <f>VLOOKUP(A147,Database!A:M,MATCH($A$1,Database!$A$1:$M$1,),)</f>
        <v/>
      </c>
      <c r="C147" s="12">
        <f>(B147-B146)/B146</f>
        <v/>
      </c>
      <c r="D147" s="13">
        <f>(B147-B135)/B135</f>
        <v/>
      </c>
    </row>
    <row r="148">
      <c r="A148" s="11" t="n">
        <v>37895</v>
      </c>
      <c r="B148" s="15">
        <f>VLOOKUP(A148,Database!A:M,MATCH($A$1,Database!$A$1:$M$1,),)</f>
        <v/>
      </c>
      <c r="C148" s="12">
        <f>(B148-B147)/B147</f>
        <v/>
      </c>
      <c r="D148" s="13">
        <f>(B148-B136)/B136</f>
        <v/>
      </c>
    </row>
    <row r="149">
      <c r="A149" s="10" t="n">
        <v>37926</v>
      </c>
      <c r="B149" s="15">
        <f>VLOOKUP(A149,Database!A:M,MATCH($A$1,Database!$A$1:$M$1,),)</f>
        <v/>
      </c>
      <c r="C149" s="12">
        <f>(B149-B148)/B148</f>
        <v/>
      </c>
      <c r="D149" s="13">
        <f>(B149-B137)/B137</f>
        <v/>
      </c>
    </row>
    <row r="150">
      <c r="A150" s="11" t="n">
        <v>37956</v>
      </c>
      <c r="B150" s="15">
        <f>VLOOKUP(A150,Database!A:M,MATCH($A$1,Database!$A$1:$M$1,),)</f>
        <v/>
      </c>
      <c r="C150" s="12">
        <f>(B150-B149)/B149</f>
        <v/>
      </c>
      <c r="D150" s="13">
        <f>(B150-B138)/B138</f>
        <v/>
      </c>
    </row>
    <row r="151">
      <c r="A151" s="10" t="n">
        <v>37987</v>
      </c>
      <c r="B151" s="15">
        <f>VLOOKUP(A151,Database!A:M,MATCH($A$1,Database!$A$1:$M$1,),)</f>
        <v/>
      </c>
      <c r="C151" s="12">
        <f>(B151-B150)/B150</f>
        <v/>
      </c>
      <c r="D151" s="13">
        <f>(B151-B139)/B139</f>
        <v/>
      </c>
    </row>
    <row r="152">
      <c r="A152" s="11" t="n">
        <v>38018</v>
      </c>
      <c r="B152" s="15">
        <f>VLOOKUP(A152,Database!A:M,MATCH($A$1,Database!$A$1:$M$1,),)</f>
        <v/>
      </c>
      <c r="C152" s="12">
        <f>(B152-B151)/B151</f>
        <v/>
      </c>
      <c r="D152" s="13">
        <f>(B152-B140)/B140</f>
        <v/>
      </c>
    </row>
    <row r="153">
      <c r="A153" s="10" t="n">
        <v>38047</v>
      </c>
      <c r="B153" s="15">
        <f>VLOOKUP(A153,Database!A:M,MATCH($A$1,Database!$A$1:$M$1,),)</f>
        <v/>
      </c>
      <c r="C153" s="12">
        <f>(B153-B152)/B152</f>
        <v/>
      </c>
      <c r="D153" s="13">
        <f>(B153-B141)/B141</f>
        <v/>
      </c>
    </row>
    <row r="154">
      <c r="A154" s="11" t="n">
        <v>38078</v>
      </c>
      <c r="B154" s="15">
        <f>VLOOKUP(A154,Database!A:M,MATCH($A$1,Database!$A$1:$M$1,),)</f>
        <v/>
      </c>
      <c r="C154" s="12">
        <f>(B154-B153)/B153</f>
        <v/>
      </c>
      <c r="D154" s="13">
        <f>(B154-B142)/B142</f>
        <v/>
      </c>
    </row>
    <row r="155">
      <c r="A155" s="10" t="n">
        <v>38108</v>
      </c>
      <c r="B155" s="15">
        <f>VLOOKUP(A155,Database!A:M,MATCH($A$1,Database!$A$1:$M$1,),)</f>
        <v/>
      </c>
      <c r="C155" s="12">
        <f>(B155-B154)/B154</f>
        <v/>
      </c>
      <c r="D155" s="13">
        <f>(B155-B143)/B143</f>
        <v/>
      </c>
    </row>
    <row r="156">
      <c r="A156" s="11" t="n">
        <v>38139</v>
      </c>
      <c r="B156" s="15">
        <f>VLOOKUP(A156,Database!A:M,MATCH($A$1,Database!$A$1:$M$1,),)</f>
        <v/>
      </c>
      <c r="C156" s="12">
        <f>(B156-B155)/B155</f>
        <v/>
      </c>
      <c r="D156" s="13">
        <f>(B156-B144)/B144</f>
        <v/>
      </c>
    </row>
    <row r="157">
      <c r="A157" s="10" t="n">
        <v>38169</v>
      </c>
      <c r="B157" s="15">
        <f>VLOOKUP(A157,Database!A:M,MATCH($A$1,Database!$A$1:$M$1,),)</f>
        <v/>
      </c>
      <c r="C157" s="12">
        <f>(B157-B156)/B156</f>
        <v/>
      </c>
      <c r="D157" s="13">
        <f>(B157-B145)/B145</f>
        <v/>
      </c>
    </row>
    <row r="158">
      <c r="A158" s="11" t="n">
        <v>38200</v>
      </c>
      <c r="B158" s="15">
        <f>VLOOKUP(A158,Database!A:M,MATCH($A$1,Database!$A$1:$M$1,),)</f>
        <v/>
      </c>
      <c r="C158" s="12">
        <f>(B158-B157)/B157</f>
        <v/>
      </c>
      <c r="D158" s="13">
        <f>(B158-B146)/B146</f>
        <v/>
      </c>
    </row>
    <row r="159">
      <c r="A159" s="10" t="n">
        <v>38231</v>
      </c>
      <c r="B159" s="15">
        <f>VLOOKUP(A159,Database!A:M,MATCH($A$1,Database!$A$1:$M$1,),)</f>
        <v/>
      </c>
      <c r="C159" s="12">
        <f>(B159-B158)/B158</f>
        <v/>
      </c>
      <c r="D159" s="13">
        <f>(B159-B147)/B147</f>
        <v/>
      </c>
    </row>
    <row r="160">
      <c r="A160" s="11" t="n">
        <v>38261</v>
      </c>
      <c r="B160" s="15">
        <f>VLOOKUP(A160,Database!A:M,MATCH($A$1,Database!$A$1:$M$1,),)</f>
        <v/>
      </c>
      <c r="C160" s="12">
        <f>(B160-B159)/B159</f>
        <v/>
      </c>
      <c r="D160" s="13">
        <f>(B160-B148)/B148</f>
        <v/>
      </c>
    </row>
    <row r="161">
      <c r="A161" s="10" t="n">
        <v>38292</v>
      </c>
      <c r="B161" s="15">
        <f>VLOOKUP(A161,Database!A:M,MATCH($A$1,Database!$A$1:$M$1,),)</f>
        <v/>
      </c>
      <c r="C161" s="12">
        <f>(B161-B160)/B160</f>
        <v/>
      </c>
      <c r="D161" s="13">
        <f>(B161-B149)/B149</f>
        <v/>
      </c>
    </row>
    <row r="162">
      <c r="A162" s="11" t="n">
        <v>38322</v>
      </c>
      <c r="B162" s="15">
        <f>VLOOKUP(A162,Database!A:M,MATCH($A$1,Database!$A$1:$M$1,),)</f>
        <v/>
      </c>
      <c r="C162" s="12">
        <f>(B162-B161)/B161</f>
        <v/>
      </c>
      <c r="D162" s="13">
        <f>(B162-B150)/B150</f>
        <v/>
      </c>
    </row>
    <row r="163">
      <c r="A163" s="10" t="n">
        <v>38353</v>
      </c>
      <c r="B163" s="15">
        <f>VLOOKUP(A163,Database!A:M,MATCH($A$1,Database!$A$1:$M$1,),)</f>
        <v/>
      </c>
      <c r="C163" s="12">
        <f>(B163-B162)/B162</f>
        <v/>
      </c>
      <c r="D163" s="13">
        <f>(B163-B151)/B151</f>
        <v/>
      </c>
    </row>
    <row r="164">
      <c r="A164" s="11" t="n">
        <v>38384</v>
      </c>
      <c r="B164" s="15">
        <f>VLOOKUP(A164,Database!A:M,MATCH($A$1,Database!$A$1:$M$1,),)</f>
        <v/>
      </c>
      <c r="C164" s="12">
        <f>(B164-B163)/B163</f>
        <v/>
      </c>
      <c r="D164" s="13">
        <f>(B164-B152)/B152</f>
        <v/>
      </c>
    </row>
    <row r="165">
      <c r="A165" s="10" t="n">
        <v>38412</v>
      </c>
      <c r="B165" s="15">
        <f>VLOOKUP(A165,Database!A:M,MATCH($A$1,Database!$A$1:$M$1,),)</f>
        <v/>
      </c>
      <c r="C165" s="12">
        <f>(B165-B164)/B164</f>
        <v/>
      </c>
      <c r="D165" s="13">
        <f>(B165-B153)/B153</f>
        <v/>
      </c>
    </row>
    <row r="166">
      <c r="A166" s="11" t="n">
        <v>38443</v>
      </c>
      <c r="B166" s="15">
        <f>VLOOKUP(A166,Database!A:M,MATCH($A$1,Database!$A$1:$M$1,),)</f>
        <v/>
      </c>
      <c r="C166" s="12">
        <f>(B166-B165)/B165</f>
        <v/>
      </c>
      <c r="D166" s="13">
        <f>(B166-B154)/B154</f>
        <v/>
      </c>
    </row>
    <row r="167">
      <c r="A167" s="10" t="n">
        <v>38473</v>
      </c>
      <c r="B167" s="15">
        <f>VLOOKUP(A167,Database!A:M,MATCH($A$1,Database!$A$1:$M$1,),)</f>
        <v/>
      </c>
      <c r="C167" s="12">
        <f>(B167-B166)/B166</f>
        <v/>
      </c>
      <c r="D167" s="13">
        <f>(B167-B155)/B155</f>
        <v/>
      </c>
    </row>
    <row r="168">
      <c r="A168" s="11" t="n">
        <v>38504</v>
      </c>
      <c r="B168" s="15">
        <f>VLOOKUP(A168,Database!A:M,MATCH($A$1,Database!$A$1:$M$1,),)</f>
        <v/>
      </c>
      <c r="C168" s="12">
        <f>(B168-B167)/B167</f>
        <v/>
      </c>
      <c r="D168" s="13">
        <f>(B168-B156)/B156</f>
        <v/>
      </c>
    </row>
    <row r="169">
      <c r="A169" s="10" t="n">
        <v>38534</v>
      </c>
      <c r="B169" s="15">
        <f>VLOOKUP(A169,Database!A:M,MATCH($A$1,Database!$A$1:$M$1,),)</f>
        <v/>
      </c>
      <c r="C169" s="12">
        <f>(B169-B168)/B168</f>
        <v/>
      </c>
      <c r="D169" s="13">
        <f>(B169-B157)/B157</f>
        <v/>
      </c>
    </row>
    <row r="170">
      <c r="A170" s="11" t="n">
        <v>38565</v>
      </c>
      <c r="B170" s="15">
        <f>VLOOKUP(A170,Database!A:M,MATCH($A$1,Database!$A$1:$M$1,),)</f>
        <v/>
      </c>
      <c r="C170" s="12">
        <f>(B170-B169)/B169</f>
        <v/>
      </c>
      <c r="D170" s="13">
        <f>(B170-B158)/B158</f>
        <v/>
      </c>
    </row>
    <row r="171">
      <c r="A171" s="10" t="n">
        <v>38596</v>
      </c>
      <c r="B171" s="15">
        <f>VLOOKUP(A171,Database!A:M,MATCH($A$1,Database!$A$1:$M$1,),)</f>
        <v/>
      </c>
      <c r="C171" s="12">
        <f>(B171-B170)/B170</f>
        <v/>
      </c>
      <c r="D171" s="13">
        <f>(B171-B159)/B159</f>
        <v/>
      </c>
    </row>
    <row r="172">
      <c r="A172" s="11" t="n">
        <v>38626</v>
      </c>
      <c r="B172" s="15">
        <f>VLOOKUP(A172,Database!A:M,MATCH($A$1,Database!$A$1:$M$1,),)</f>
        <v/>
      </c>
      <c r="C172" s="12">
        <f>(B172-B171)/B171</f>
        <v/>
      </c>
      <c r="D172" s="13">
        <f>(B172-B160)/B160</f>
        <v/>
      </c>
    </row>
    <row r="173">
      <c r="A173" s="10" t="n">
        <v>38657</v>
      </c>
      <c r="B173" s="15">
        <f>VLOOKUP(A173,Database!A:M,MATCH($A$1,Database!$A$1:$M$1,),)</f>
        <v/>
      </c>
      <c r="C173" s="12">
        <f>(B173-B172)/B172</f>
        <v/>
      </c>
      <c r="D173" s="13">
        <f>(B173-B161)/B161</f>
        <v/>
      </c>
    </row>
    <row r="174">
      <c r="A174" s="11" t="n">
        <v>38687</v>
      </c>
      <c r="B174" s="15">
        <f>VLOOKUP(A174,Database!A:M,MATCH($A$1,Database!$A$1:$M$1,),)</f>
        <v/>
      </c>
      <c r="C174" s="12">
        <f>(B174-B173)/B173</f>
        <v/>
      </c>
      <c r="D174" s="13">
        <f>(B174-B162)/B162</f>
        <v/>
      </c>
    </row>
    <row r="175">
      <c r="A175" s="10" t="n">
        <v>38718</v>
      </c>
      <c r="B175" s="15">
        <f>VLOOKUP(A175,Database!A:M,MATCH($A$1,Database!$A$1:$M$1,),)</f>
        <v/>
      </c>
      <c r="C175" s="12">
        <f>(B175-B174)/B174</f>
        <v/>
      </c>
      <c r="D175" s="13">
        <f>(B175-B163)/B163</f>
        <v/>
      </c>
    </row>
    <row r="176">
      <c r="A176" s="11" t="n">
        <v>38749</v>
      </c>
      <c r="B176" s="15">
        <f>VLOOKUP(A176,Database!A:M,MATCH($A$1,Database!$A$1:$M$1,),)</f>
        <v/>
      </c>
      <c r="C176" s="12">
        <f>(B176-B175)/B175</f>
        <v/>
      </c>
      <c r="D176" s="13">
        <f>(B176-B164)/B164</f>
        <v/>
      </c>
    </row>
    <row r="177">
      <c r="A177" s="10" t="n">
        <v>38777</v>
      </c>
      <c r="B177" s="15">
        <f>VLOOKUP(A177,Database!A:M,MATCH($A$1,Database!$A$1:$M$1,),)</f>
        <v/>
      </c>
      <c r="C177" s="12">
        <f>(B177-B176)/B176</f>
        <v/>
      </c>
      <c r="D177" s="13">
        <f>(B177-B165)/B165</f>
        <v/>
      </c>
    </row>
    <row r="178">
      <c r="A178" s="11" t="n">
        <v>38808</v>
      </c>
      <c r="B178" s="15">
        <f>VLOOKUP(A178,Database!A:M,MATCH($A$1,Database!$A$1:$M$1,),)</f>
        <v/>
      </c>
      <c r="C178" s="12">
        <f>(B178-B177)/B177</f>
        <v/>
      </c>
      <c r="D178" s="13">
        <f>(B178-B166)/B166</f>
        <v/>
      </c>
    </row>
    <row r="179">
      <c r="A179" s="10" t="n">
        <v>38838</v>
      </c>
      <c r="B179" s="15">
        <f>VLOOKUP(A179,Database!A:M,MATCH($A$1,Database!$A$1:$M$1,),)</f>
        <v/>
      </c>
      <c r="C179" s="12">
        <f>(B179-B178)/B178</f>
        <v/>
      </c>
      <c r="D179" s="13">
        <f>(B179-B167)/B167</f>
        <v/>
      </c>
    </row>
    <row r="180">
      <c r="A180" s="11" t="n">
        <v>38869</v>
      </c>
      <c r="B180" s="15">
        <f>VLOOKUP(A180,Database!A:M,MATCH($A$1,Database!$A$1:$M$1,),)</f>
        <v/>
      </c>
      <c r="C180" s="12">
        <f>(B180-B179)/B179</f>
        <v/>
      </c>
      <c r="D180" s="13">
        <f>(B180-B168)/B168</f>
        <v/>
      </c>
    </row>
    <row r="181">
      <c r="A181" s="10" t="n">
        <v>38899</v>
      </c>
      <c r="B181" s="15">
        <f>VLOOKUP(A181,Database!A:M,MATCH($A$1,Database!$A$1:$M$1,),)</f>
        <v/>
      </c>
      <c r="C181" s="12">
        <f>(B181-B180)/B180</f>
        <v/>
      </c>
      <c r="D181" s="13">
        <f>(B181-B169)/B169</f>
        <v/>
      </c>
    </row>
    <row r="182">
      <c r="A182" s="11" t="n">
        <v>38930</v>
      </c>
      <c r="B182" s="15">
        <f>VLOOKUP(A182,Database!A:M,MATCH($A$1,Database!$A$1:$M$1,),)</f>
        <v/>
      </c>
      <c r="C182" s="12">
        <f>(B182-B181)/B181</f>
        <v/>
      </c>
      <c r="D182" s="13">
        <f>(B182-B170)/B170</f>
        <v/>
      </c>
    </row>
    <row r="183">
      <c r="A183" s="10" t="n">
        <v>38961</v>
      </c>
      <c r="B183" s="15">
        <f>VLOOKUP(A183,Database!A:M,MATCH($A$1,Database!$A$1:$M$1,),)</f>
        <v/>
      </c>
      <c r="C183" s="12">
        <f>(B183-B182)/B182</f>
        <v/>
      </c>
      <c r="D183" s="13">
        <f>(B183-B171)/B171</f>
        <v/>
      </c>
    </row>
    <row r="184">
      <c r="A184" s="11" t="n">
        <v>38991</v>
      </c>
      <c r="B184" s="15">
        <f>VLOOKUP(A184,Database!A:M,MATCH($A$1,Database!$A$1:$M$1,),)</f>
        <v/>
      </c>
      <c r="C184" s="12">
        <f>(B184-B183)/B183</f>
        <v/>
      </c>
      <c r="D184" s="13">
        <f>(B184-B172)/B172</f>
        <v/>
      </c>
    </row>
    <row r="185">
      <c r="A185" s="10" t="n">
        <v>39022</v>
      </c>
      <c r="B185" s="15">
        <f>VLOOKUP(A185,Database!A:M,MATCH($A$1,Database!$A$1:$M$1,),)</f>
        <v/>
      </c>
      <c r="C185" s="12">
        <f>(B185-B184)/B184</f>
        <v/>
      </c>
      <c r="D185" s="13">
        <f>(B185-B173)/B173</f>
        <v/>
      </c>
    </row>
    <row r="186">
      <c r="A186" s="11" t="n">
        <v>39052</v>
      </c>
      <c r="B186" s="15">
        <f>VLOOKUP(A186,Database!A:M,MATCH($A$1,Database!$A$1:$M$1,),)</f>
        <v/>
      </c>
      <c r="C186" s="12">
        <f>(B186-B185)/B185</f>
        <v/>
      </c>
      <c r="D186" s="13">
        <f>(B186-B174)/B174</f>
        <v/>
      </c>
    </row>
    <row r="187">
      <c r="A187" s="10" t="n">
        <v>39083</v>
      </c>
      <c r="B187" s="15">
        <f>VLOOKUP(A187,Database!A:M,MATCH($A$1,Database!$A$1:$M$1,),)</f>
        <v/>
      </c>
      <c r="C187" s="12">
        <f>(B187-B186)/B186</f>
        <v/>
      </c>
      <c r="D187" s="13">
        <f>(B187-B175)/B175</f>
        <v/>
      </c>
    </row>
    <row r="188">
      <c r="A188" s="11" t="n">
        <v>39114</v>
      </c>
      <c r="B188" s="15">
        <f>VLOOKUP(A188,Database!A:M,MATCH($A$1,Database!$A$1:$M$1,),)</f>
        <v/>
      </c>
      <c r="C188" s="12">
        <f>(B188-B187)/B187</f>
        <v/>
      </c>
      <c r="D188" s="13">
        <f>(B188-B176)/B176</f>
        <v/>
      </c>
    </row>
    <row r="189">
      <c r="A189" s="10" t="n">
        <v>39142</v>
      </c>
      <c r="B189" s="15">
        <f>VLOOKUP(A189,Database!A:M,MATCH($A$1,Database!$A$1:$M$1,),)</f>
        <v/>
      </c>
      <c r="C189" s="12">
        <f>(B189-B188)/B188</f>
        <v/>
      </c>
      <c r="D189" s="13">
        <f>(B189-B177)/B177</f>
        <v/>
      </c>
    </row>
    <row r="190">
      <c r="A190" s="11" t="n">
        <v>39173</v>
      </c>
      <c r="B190" s="15">
        <f>VLOOKUP(A190,Database!A:M,MATCH($A$1,Database!$A$1:$M$1,),)</f>
        <v/>
      </c>
      <c r="C190" s="12">
        <f>(B190-B189)/B189</f>
        <v/>
      </c>
      <c r="D190" s="13">
        <f>(B190-B178)/B178</f>
        <v/>
      </c>
    </row>
    <row r="191">
      <c r="A191" s="10" t="n">
        <v>39203</v>
      </c>
      <c r="B191" s="15">
        <f>VLOOKUP(A191,Database!A:M,MATCH($A$1,Database!$A$1:$M$1,),)</f>
        <v/>
      </c>
      <c r="C191" s="12">
        <f>(B191-B190)/B190</f>
        <v/>
      </c>
      <c r="D191" s="13">
        <f>(B191-B179)/B179</f>
        <v/>
      </c>
    </row>
    <row r="192">
      <c r="A192" s="11" t="n">
        <v>39234</v>
      </c>
      <c r="B192" s="15">
        <f>VLOOKUP(A192,Database!A:M,MATCH($A$1,Database!$A$1:$M$1,),)</f>
        <v/>
      </c>
      <c r="C192" s="12">
        <f>(B192-B191)/B191</f>
        <v/>
      </c>
      <c r="D192" s="13">
        <f>(B192-B180)/B180</f>
        <v/>
      </c>
    </row>
    <row r="193">
      <c r="A193" s="10" t="n">
        <v>39264</v>
      </c>
      <c r="B193" s="15">
        <f>VLOOKUP(A193,Database!A:M,MATCH($A$1,Database!$A$1:$M$1,),)</f>
        <v/>
      </c>
      <c r="C193" s="12">
        <f>(B193-B192)/B192</f>
        <v/>
      </c>
      <c r="D193" s="13">
        <f>(B193-B181)/B181</f>
        <v/>
      </c>
    </row>
    <row r="194">
      <c r="A194" s="11" t="n">
        <v>39295</v>
      </c>
      <c r="B194" s="15">
        <f>VLOOKUP(A194,Database!A:M,MATCH($A$1,Database!$A$1:$M$1,),)</f>
        <v/>
      </c>
      <c r="C194" s="12">
        <f>(B194-B193)/B193</f>
        <v/>
      </c>
      <c r="D194" s="13">
        <f>(B194-B182)/B182</f>
        <v/>
      </c>
    </row>
    <row r="195">
      <c r="A195" s="10" t="n">
        <v>39326</v>
      </c>
      <c r="B195" s="15">
        <f>VLOOKUP(A195,Database!A:M,MATCH($A$1,Database!$A$1:$M$1,),)</f>
        <v/>
      </c>
      <c r="C195" s="12">
        <f>(B195-B194)/B194</f>
        <v/>
      </c>
      <c r="D195" s="13">
        <f>(B195-B183)/B183</f>
        <v/>
      </c>
    </row>
    <row r="196">
      <c r="A196" s="11" t="n">
        <v>39356</v>
      </c>
      <c r="B196" s="15">
        <f>VLOOKUP(A196,Database!A:M,MATCH($A$1,Database!$A$1:$M$1,),)</f>
        <v/>
      </c>
      <c r="C196" s="12">
        <f>(B196-B195)/B195</f>
        <v/>
      </c>
      <c r="D196" s="13">
        <f>(B196-B184)/B184</f>
        <v/>
      </c>
    </row>
    <row r="197">
      <c r="A197" s="10" t="n">
        <v>39387</v>
      </c>
      <c r="B197" s="15">
        <f>VLOOKUP(A197,Database!A:M,MATCH($A$1,Database!$A$1:$M$1,),)</f>
        <v/>
      </c>
      <c r="C197" s="12">
        <f>(B197-B196)/B196</f>
        <v/>
      </c>
      <c r="D197" s="13">
        <f>(B197-B185)/B185</f>
        <v/>
      </c>
    </row>
    <row r="198">
      <c r="A198" s="11" t="n">
        <v>39417</v>
      </c>
      <c r="B198" s="15">
        <f>VLOOKUP(A198,Database!A:M,MATCH($A$1,Database!$A$1:$M$1,),)</f>
        <v/>
      </c>
      <c r="C198" s="12">
        <f>(B198-B197)/B197</f>
        <v/>
      </c>
      <c r="D198" s="13">
        <f>(B198-B186)/B186</f>
        <v/>
      </c>
    </row>
    <row r="199">
      <c r="A199" s="10" t="n">
        <v>39448</v>
      </c>
      <c r="B199" s="15">
        <f>VLOOKUP(A199,Database!A:M,MATCH($A$1,Database!$A$1:$M$1,),)</f>
        <v/>
      </c>
      <c r="C199" s="12">
        <f>(B199-B198)/B198</f>
        <v/>
      </c>
      <c r="D199" s="13">
        <f>(B199-B187)/B187</f>
        <v/>
      </c>
    </row>
    <row r="200">
      <c r="A200" s="11" t="n">
        <v>39479</v>
      </c>
      <c r="B200" s="15">
        <f>VLOOKUP(A200,Database!A:M,MATCH($A$1,Database!$A$1:$M$1,),)</f>
        <v/>
      </c>
      <c r="C200" s="12">
        <f>(B200-B199)/B199</f>
        <v/>
      </c>
      <c r="D200" s="13">
        <f>(B200-B188)/B188</f>
        <v/>
      </c>
    </row>
    <row r="201">
      <c r="A201" s="10" t="n">
        <v>39508</v>
      </c>
      <c r="B201" s="15">
        <f>VLOOKUP(A201,Database!A:M,MATCH($A$1,Database!$A$1:$M$1,),)</f>
        <v/>
      </c>
      <c r="C201" s="12">
        <f>(B201-B200)/B200</f>
        <v/>
      </c>
      <c r="D201" s="13">
        <f>(B201-B189)/B189</f>
        <v/>
      </c>
    </row>
    <row r="202">
      <c r="A202" s="11" t="n">
        <v>39539</v>
      </c>
      <c r="B202" s="15">
        <f>VLOOKUP(A202,Database!A:M,MATCH($A$1,Database!$A$1:$M$1,),)</f>
        <v/>
      </c>
      <c r="C202" s="12">
        <f>(B202-B201)/B201</f>
        <v/>
      </c>
      <c r="D202" s="13">
        <f>(B202-B190)/B190</f>
        <v/>
      </c>
    </row>
    <row r="203">
      <c r="A203" s="10" t="n">
        <v>39569</v>
      </c>
      <c r="B203" s="15">
        <f>VLOOKUP(A203,Database!A:M,MATCH($A$1,Database!$A$1:$M$1,),)</f>
        <v/>
      </c>
      <c r="C203" s="12">
        <f>(B203-B202)/B202</f>
        <v/>
      </c>
      <c r="D203" s="13">
        <f>(B203-B191)/B191</f>
        <v/>
      </c>
    </row>
    <row r="204">
      <c r="A204" s="11" t="n">
        <v>39600</v>
      </c>
      <c r="B204" s="15">
        <f>VLOOKUP(A204,Database!A:M,MATCH($A$1,Database!$A$1:$M$1,),)</f>
        <v/>
      </c>
      <c r="C204" s="12">
        <f>(B204-B203)/B203</f>
        <v/>
      </c>
      <c r="D204" s="13">
        <f>(B204-B192)/B192</f>
        <v/>
      </c>
    </row>
    <row r="205">
      <c r="A205" s="10" t="n">
        <v>39630</v>
      </c>
      <c r="B205" s="15">
        <f>VLOOKUP(A205,Database!A:M,MATCH($A$1,Database!$A$1:$M$1,),)</f>
        <v/>
      </c>
      <c r="C205" s="12">
        <f>(B205-B204)/B204</f>
        <v/>
      </c>
      <c r="D205" s="13">
        <f>(B205-B193)/B193</f>
        <v/>
      </c>
    </row>
    <row r="206">
      <c r="A206" s="11" t="n">
        <v>39661</v>
      </c>
      <c r="B206" s="15">
        <f>VLOOKUP(A206,Database!A:M,MATCH($A$1,Database!$A$1:$M$1,),)</f>
        <v/>
      </c>
      <c r="C206" s="12">
        <f>(B206-B205)/B205</f>
        <v/>
      </c>
      <c r="D206" s="13">
        <f>(B206-B194)/B194</f>
        <v/>
      </c>
    </row>
    <row r="207">
      <c r="A207" s="10" t="n">
        <v>39692</v>
      </c>
      <c r="B207" s="15">
        <f>VLOOKUP(A207,Database!A:M,MATCH($A$1,Database!$A$1:$M$1,),)</f>
        <v/>
      </c>
      <c r="C207" s="12">
        <f>(B207-B206)/B206</f>
        <v/>
      </c>
      <c r="D207" s="13">
        <f>(B207-B195)/B195</f>
        <v/>
      </c>
    </row>
    <row r="208">
      <c r="A208" s="11" t="n">
        <v>39722</v>
      </c>
      <c r="B208" s="15">
        <f>VLOOKUP(A208,Database!A:M,MATCH($A$1,Database!$A$1:$M$1,),)</f>
        <v/>
      </c>
      <c r="C208" s="12">
        <f>(B208-B207)/B207</f>
        <v/>
      </c>
      <c r="D208" s="13">
        <f>(B208-B196)/B196</f>
        <v/>
      </c>
    </row>
    <row r="209">
      <c r="A209" s="10" t="n">
        <v>39753</v>
      </c>
      <c r="B209" s="15">
        <f>VLOOKUP(A209,Database!A:M,MATCH($A$1,Database!$A$1:$M$1,),)</f>
        <v/>
      </c>
      <c r="C209" s="12">
        <f>(B209-B208)/B208</f>
        <v/>
      </c>
      <c r="D209" s="13">
        <f>(B209-B197)/B197</f>
        <v/>
      </c>
    </row>
    <row r="210">
      <c r="A210" s="11" t="n">
        <v>39783</v>
      </c>
      <c r="B210" s="15">
        <f>VLOOKUP(A210,Database!A:M,MATCH($A$1,Database!$A$1:$M$1,),)</f>
        <v/>
      </c>
      <c r="C210" s="12">
        <f>(B210-B209)/B209</f>
        <v/>
      </c>
      <c r="D210" s="13">
        <f>(B210-B198)/B198</f>
        <v/>
      </c>
    </row>
    <row r="211">
      <c r="A211" s="10" t="n">
        <v>39814</v>
      </c>
      <c r="B211" s="15">
        <f>VLOOKUP(A211,Database!A:M,MATCH($A$1,Database!$A$1:$M$1,),)</f>
        <v/>
      </c>
      <c r="C211" s="12">
        <f>(B211-B210)/B210</f>
        <v/>
      </c>
      <c r="D211" s="13">
        <f>(B211-B199)/B199</f>
        <v/>
      </c>
    </row>
    <row r="212">
      <c r="A212" s="11" t="n">
        <v>39845</v>
      </c>
      <c r="B212" s="15">
        <f>VLOOKUP(A212,Database!A:M,MATCH($A$1,Database!$A$1:$M$1,),)</f>
        <v/>
      </c>
      <c r="C212" s="12">
        <f>(B212-B211)/B211</f>
        <v/>
      </c>
      <c r="D212" s="13">
        <f>(B212-B200)/B200</f>
        <v/>
      </c>
    </row>
    <row r="213">
      <c r="A213" s="10" t="n">
        <v>39873</v>
      </c>
      <c r="B213" s="15">
        <f>VLOOKUP(A213,Database!A:M,MATCH($A$1,Database!$A$1:$M$1,),)</f>
        <v/>
      </c>
      <c r="C213" s="12">
        <f>(B213-B212)/B212</f>
        <v/>
      </c>
      <c r="D213" s="13">
        <f>(B213-B201)/B201</f>
        <v/>
      </c>
    </row>
    <row r="214">
      <c r="A214" s="11" t="n">
        <v>39904</v>
      </c>
      <c r="B214" s="15">
        <f>VLOOKUP(A214,Database!A:M,MATCH($A$1,Database!$A$1:$M$1,),)</f>
        <v/>
      </c>
      <c r="C214" s="12">
        <f>(B214-B213)/B213</f>
        <v/>
      </c>
      <c r="D214" s="13">
        <f>(B214-B202)/B202</f>
        <v/>
      </c>
    </row>
    <row r="215">
      <c r="A215" s="10" t="n">
        <v>39934</v>
      </c>
      <c r="B215" s="15">
        <f>VLOOKUP(A215,Database!A:M,MATCH($A$1,Database!$A$1:$M$1,),)</f>
        <v/>
      </c>
      <c r="C215" s="12">
        <f>(B215-B214)/B214</f>
        <v/>
      </c>
      <c r="D215" s="13">
        <f>(B215-B203)/B203</f>
        <v/>
      </c>
    </row>
    <row r="216">
      <c r="A216" s="11" t="n">
        <v>39965</v>
      </c>
      <c r="B216" s="15">
        <f>VLOOKUP(A216,Database!A:M,MATCH($A$1,Database!$A$1:$M$1,),)</f>
        <v/>
      </c>
      <c r="C216" s="12">
        <f>(B216-B215)/B215</f>
        <v/>
      </c>
      <c r="D216" s="13">
        <f>(B216-B204)/B204</f>
        <v/>
      </c>
    </row>
    <row r="217">
      <c r="A217" s="10" t="n">
        <v>39995</v>
      </c>
      <c r="B217" s="15">
        <f>VLOOKUP(A217,Database!A:M,MATCH($A$1,Database!$A$1:$M$1,),)</f>
        <v/>
      </c>
      <c r="C217" s="12">
        <f>(B217-B216)/B216</f>
        <v/>
      </c>
      <c r="D217" s="13">
        <f>(B217-B205)/B205</f>
        <v/>
      </c>
    </row>
    <row r="218">
      <c r="A218" s="11" t="n">
        <v>40026</v>
      </c>
      <c r="B218" s="15">
        <f>VLOOKUP(A218,Database!A:M,MATCH($A$1,Database!$A$1:$M$1,),)</f>
        <v/>
      </c>
      <c r="C218" s="12">
        <f>(B218-B217)/B217</f>
        <v/>
      </c>
      <c r="D218" s="13">
        <f>(B218-B206)/B206</f>
        <v/>
      </c>
    </row>
    <row r="219">
      <c r="A219" s="10" t="n">
        <v>40057</v>
      </c>
      <c r="B219" s="15">
        <f>VLOOKUP(A219,Database!A:M,MATCH($A$1,Database!$A$1:$M$1,),)</f>
        <v/>
      </c>
      <c r="C219" s="12">
        <f>(B219-B218)/B218</f>
        <v/>
      </c>
      <c r="D219" s="13">
        <f>(B219-B207)/B207</f>
        <v/>
      </c>
    </row>
    <row r="220">
      <c r="A220" s="11" t="n">
        <v>40087</v>
      </c>
      <c r="B220" s="15">
        <f>VLOOKUP(A220,Database!A:M,MATCH($A$1,Database!$A$1:$M$1,),)</f>
        <v/>
      </c>
      <c r="C220" s="12">
        <f>(B220-B219)/B219</f>
        <v/>
      </c>
      <c r="D220" s="13">
        <f>(B220-B208)/B208</f>
        <v/>
      </c>
    </row>
    <row r="221">
      <c r="A221" s="10" t="n">
        <v>40118</v>
      </c>
      <c r="B221" s="15">
        <f>VLOOKUP(A221,Database!A:M,MATCH($A$1,Database!$A$1:$M$1,),)</f>
        <v/>
      </c>
      <c r="C221" s="12">
        <f>(B221-B220)/B220</f>
        <v/>
      </c>
      <c r="D221" s="13">
        <f>(B221-B209)/B209</f>
        <v/>
      </c>
    </row>
    <row r="222">
      <c r="A222" s="11" t="n">
        <v>40148</v>
      </c>
      <c r="B222" s="15">
        <f>VLOOKUP(A222,Database!A:M,MATCH($A$1,Database!$A$1:$M$1,),)</f>
        <v/>
      </c>
      <c r="C222" s="12">
        <f>(B222-B221)/B221</f>
        <v/>
      </c>
      <c r="D222" s="13">
        <f>(B222-B210)/B210</f>
        <v/>
      </c>
    </row>
    <row r="223">
      <c r="A223" s="10" t="n">
        <v>40179</v>
      </c>
      <c r="B223" s="15">
        <f>VLOOKUP(A223,Database!A:M,MATCH($A$1,Database!$A$1:$M$1,),)</f>
        <v/>
      </c>
      <c r="C223" s="12">
        <f>(B223-B222)/B222</f>
        <v/>
      </c>
      <c r="D223" s="13">
        <f>(B223-B211)/B211</f>
        <v/>
      </c>
    </row>
    <row r="224">
      <c r="A224" s="11" t="n">
        <v>40210</v>
      </c>
      <c r="B224" s="15">
        <f>VLOOKUP(A224,Database!A:M,MATCH($A$1,Database!$A$1:$M$1,),)</f>
        <v/>
      </c>
      <c r="C224" s="12">
        <f>(B224-B223)/B223</f>
        <v/>
      </c>
      <c r="D224" s="13">
        <f>(B224-B212)/B212</f>
        <v/>
      </c>
    </row>
    <row r="225">
      <c r="A225" s="10" t="n">
        <v>40238</v>
      </c>
      <c r="B225" s="15">
        <f>VLOOKUP(A225,Database!A:M,MATCH($A$1,Database!$A$1:$M$1,),)</f>
        <v/>
      </c>
      <c r="C225" s="12">
        <f>(B225-B224)/B224</f>
        <v/>
      </c>
      <c r="D225" s="13">
        <f>(B225-B213)/B213</f>
        <v/>
      </c>
    </row>
    <row r="226">
      <c r="A226" s="11" t="n">
        <v>40269</v>
      </c>
      <c r="B226" s="15">
        <f>VLOOKUP(A226,Database!A:M,MATCH($A$1,Database!$A$1:$M$1,),)</f>
        <v/>
      </c>
      <c r="C226" s="12">
        <f>(B226-B225)/B225</f>
        <v/>
      </c>
      <c r="D226" s="13">
        <f>(B226-B214)/B214</f>
        <v/>
      </c>
    </row>
    <row r="227">
      <c r="A227" s="10" t="n">
        <v>40299</v>
      </c>
      <c r="B227" s="15">
        <f>VLOOKUP(A227,Database!A:M,MATCH($A$1,Database!$A$1:$M$1,),)</f>
        <v/>
      </c>
      <c r="C227" s="12">
        <f>(B227-B226)/B226</f>
        <v/>
      </c>
      <c r="D227" s="13">
        <f>(B227-B215)/B215</f>
        <v/>
      </c>
    </row>
    <row r="228">
      <c r="A228" s="11" t="n">
        <v>40330</v>
      </c>
      <c r="B228" s="15">
        <f>VLOOKUP(A228,Database!A:M,MATCH($A$1,Database!$A$1:$M$1,),)</f>
        <v/>
      </c>
      <c r="C228" s="12">
        <f>(B228-B227)/B227</f>
        <v/>
      </c>
      <c r="D228" s="13">
        <f>(B228-B216)/B216</f>
        <v/>
      </c>
    </row>
    <row r="229">
      <c r="A229" s="10" t="n">
        <v>40360</v>
      </c>
      <c r="B229" s="15">
        <f>VLOOKUP(A229,Database!A:M,MATCH($A$1,Database!$A$1:$M$1,),)</f>
        <v/>
      </c>
      <c r="C229" s="12">
        <f>(B229-B228)/B228</f>
        <v/>
      </c>
      <c r="D229" s="13">
        <f>(B229-B217)/B217</f>
        <v/>
      </c>
    </row>
    <row r="230">
      <c r="A230" s="11" t="n">
        <v>40391</v>
      </c>
      <c r="B230" s="15">
        <f>VLOOKUP(A230,Database!A:M,MATCH($A$1,Database!$A$1:$M$1,),)</f>
        <v/>
      </c>
      <c r="C230" s="12">
        <f>(B230-B229)/B229</f>
        <v/>
      </c>
      <c r="D230" s="13">
        <f>(B230-B218)/B218</f>
        <v/>
      </c>
    </row>
    <row r="231">
      <c r="A231" s="10" t="n">
        <v>40422</v>
      </c>
      <c r="B231" s="15">
        <f>VLOOKUP(A231,Database!A:M,MATCH($A$1,Database!$A$1:$M$1,),)</f>
        <v/>
      </c>
      <c r="C231" s="12">
        <f>(B231-B230)/B230</f>
        <v/>
      </c>
      <c r="D231" s="13">
        <f>(B231-B219)/B219</f>
        <v/>
      </c>
    </row>
    <row r="232">
      <c r="A232" s="11" t="n">
        <v>40452</v>
      </c>
      <c r="B232" s="15">
        <f>VLOOKUP(A232,Database!A:M,MATCH($A$1,Database!$A$1:$M$1,),)</f>
        <v/>
      </c>
      <c r="C232" s="12">
        <f>(B232-B231)/B231</f>
        <v/>
      </c>
      <c r="D232" s="13">
        <f>(B232-B220)/B220</f>
        <v/>
      </c>
    </row>
    <row r="233">
      <c r="A233" s="10" t="n">
        <v>40483</v>
      </c>
      <c r="B233" s="15">
        <f>VLOOKUP(A233,Database!A:M,MATCH($A$1,Database!$A$1:$M$1,),)</f>
        <v/>
      </c>
      <c r="C233" s="12">
        <f>(B233-B232)/B232</f>
        <v/>
      </c>
      <c r="D233" s="13">
        <f>(B233-B221)/B221</f>
        <v/>
      </c>
    </row>
    <row r="234">
      <c r="A234" s="11" t="n">
        <v>40513</v>
      </c>
      <c r="B234" s="15">
        <f>VLOOKUP(A234,Database!A:M,MATCH($A$1,Database!$A$1:$M$1,),)</f>
        <v/>
      </c>
      <c r="C234" s="12">
        <f>(B234-B233)/B233</f>
        <v/>
      </c>
      <c r="D234" s="13">
        <f>(B234-B222)/B222</f>
        <v/>
      </c>
    </row>
    <row r="235">
      <c r="A235" s="10" t="n">
        <v>40544</v>
      </c>
      <c r="B235" s="15">
        <f>VLOOKUP(A235,Database!A:M,MATCH($A$1,Database!$A$1:$M$1,),)</f>
        <v/>
      </c>
      <c r="C235" s="12">
        <f>(B235-B234)/B234</f>
        <v/>
      </c>
      <c r="D235" s="13">
        <f>(B235-B223)/B223</f>
        <v/>
      </c>
    </row>
    <row r="236">
      <c r="A236" s="11" t="n">
        <v>40575</v>
      </c>
      <c r="B236" s="15">
        <f>VLOOKUP(A236,Database!A:M,MATCH($A$1,Database!$A$1:$M$1,),)</f>
        <v/>
      </c>
      <c r="C236" s="12">
        <f>(B236-B235)/B235</f>
        <v/>
      </c>
      <c r="D236" s="13">
        <f>(B236-B224)/B224</f>
        <v/>
      </c>
    </row>
    <row r="237">
      <c r="A237" s="10" t="n">
        <v>40603</v>
      </c>
      <c r="B237" s="15">
        <f>VLOOKUP(A237,Database!A:M,MATCH($A$1,Database!$A$1:$M$1,),)</f>
        <v/>
      </c>
      <c r="C237" s="12">
        <f>(B237-B236)/B236</f>
        <v/>
      </c>
      <c r="D237" s="13">
        <f>(B237-B225)/B225</f>
        <v/>
      </c>
    </row>
    <row r="238">
      <c r="A238" s="11" t="n">
        <v>40634</v>
      </c>
      <c r="B238" s="15">
        <f>VLOOKUP(A238,Database!A:M,MATCH($A$1,Database!$A$1:$M$1,),)</f>
        <v/>
      </c>
      <c r="C238" s="12">
        <f>(B238-B237)/B237</f>
        <v/>
      </c>
      <c r="D238" s="13">
        <f>(B238-B226)/B226</f>
        <v/>
      </c>
    </row>
    <row r="239">
      <c r="A239" s="10" t="n">
        <v>40664</v>
      </c>
      <c r="B239" s="15">
        <f>VLOOKUP(A239,Database!A:M,MATCH($A$1,Database!$A$1:$M$1,),)</f>
        <v/>
      </c>
      <c r="C239" s="12">
        <f>(B239-B238)/B238</f>
        <v/>
      </c>
      <c r="D239" s="13">
        <f>(B239-B227)/B227</f>
        <v/>
      </c>
    </row>
    <row r="240">
      <c r="A240" s="11" t="n">
        <v>40695</v>
      </c>
      <c r="B240" s="15">
        <f>VLOOKUP(A240,Database!A:M,MATCH($A$1,Database!$A$1:$M$1,),)</f>
        <v/>
      </c>
      <c r="C240" s="12">
        <f>(B240-B239)/B239</f>
        <v/>
      </c>
      <c r="D240" s="13">
        <f>(B240-B228)/B228</f>
        <v/>
      </c>
    </row>
    <row r="241">
      <c r="A241" s="10" t="n">
        <v>40725</v>
      </c>
      <c r="B241" s="15">
        <f>VLOOKUP(A241,Database!A:M,MATCH($A$1,Database!$A$1:$M$1,),)</f>
        <v/>
      </c>
      <c r="C241" s="12">
        <f>(B241-B240)/B240</f>
        <v/>
      </c>
      <c r="D241" s="13">
        <f>(B241-B229)/B229</f>
        <v/>
      </c>
    </row>
    <row r="242">
      <c r="A242" s="11" t="n">
        <v>40756</v>
      </c>
      <c r="B242" s="15">
        <f>VLOOKUP(A242,Database!A:M,MATCH($A$1,Database!$A$1:$M$1,),)</f>
        <v/>
      </c>
      <c r="C242" s="12">
        <f>(B242-B241)/B241</f>
        <v/>
      </c>
      <c r="D242" s="13">
        <f>(B242-B230)/B230</f>
        <v/>
      </c>
    </row>
    <row r="243">
      <c r="A243" s="10" t="n">
        <v>40787</v>
      </c>
      <c r="B243" s="15">
        <f>VLOOKUP(A243,Database!A:M,MATCH($A$1,Database!$A$1:$M$1,),)</f>
        <v/>
      </c>
      <c r="C243" s="12">
        <f>(B243-B242)/B242</f>
        <v/>
      </c>
      <c r="D243" s="13">
        <f>(B243-B231)/B231</f>
        <v/>
      </c>
    </row>
    <row r="244">
      <c r="A244" s="11" t="n">
        <v>40817</v>
      </c>
      <c r="B244" s="15">
        <f>VLOOKUP(A244,Database!A:M,MATCH($A$1,Database!$A$1:$M$1,),)</f>
        <v/>
      </c>
      <c r="C244" s="12">
        <f>(B244-B243)/B243</f>
        <v/>
      </c>
      <c r="D244" s="13">
        <f>(B244-B232)/B232</f>
        <v/>
      </c>
    </row>
    <row r="245">
      <c r="A245" s="10" t="n">
        <v>40848</v>
      </c>
      <c r="B245" s="15">
        <f>VLOOKUP(A245,Database!A:M,MATCH($A$1,Database!$A$1:$M$1,),)</f>
        <v/>
      </c>
      <c r="C245" s="12">
        <f>(B245-B244)/B244</f>
        <v/>
      </c>
      <c r="D245" s="13">
        <f>(B245-B233)/B233</f>
        <v/>
      </c>
    </row>
    <row r="246">
      <c r="A246" s="11" t="n">
        <v>40878</v>
      </c>
      <c r="B246" s="15">
        <f>VLOOKUP(A246,Database!A:M,MATCH($A$1,Database!$A$1:$M$1,),)</f>
        <v/>
      </c>
      <c r="C246" s="12">
        <f>(B246-B245)/B245</f>
        <v/>
      </c>
      <c r="D246" s="13">
        <f>(B246-B234)/B234</f>
        <v/>
      </c>
    </row>
    <row r="247">
      <c r="A247" s="10" t="n">
        <v>40909</v>
      </c>
      <c r="B247" s="15">
        <f>VLOOKUP(A247,Database!A:M,MATCH($A$1,Database!$A$1:$M$1,),)</f>
        <v/>
      </c>
      <c r="C247" s="12">
        <f>(B247-B246)/B246</f>
        <v/>
      </c>
      <c r="D247" s="13">
        <f>(B247-B235)/B235</f>
        <v/>
      </c>
    </row>
    <row r="248">
      <c r="A248" s="11" t="n">
        <v>40940</v>
      </c>
      <c r="B248" s="15">
        <f>VLOOKUP(A248,Database!A:M,MATCH($A$1,Database!$A$1:$M$1,),)</f>
        <v/>
      </c>
      <c r="C248" s="12">
        <f>(B248-B247)/B247</f>
        <v/>
      </c>
      <c r="D248" s="13">
        <f>(B248-B236)/B236</f>
        <v/>
      </c>
    </row>
    <row r="249">
      <c r="A249" s="10" t="n">
        <v>40969</v>
      </c>
      <c r="B249" s="15">
        <f>VLOOKUP(A249,Database!A:M,MATCH($A$1,Database!$A$1:$M$1,),)</f>
        <v/>
      </c>
      <c r="C249" s="12">
        <f>(B249-B248)/B248</f>
        <v/>
      </c>
      <c r="D249" s="13">
        <f>(B249-B237)/B237</f>
        <v/>
      </c>
    </row>
    <row r="250">
      <c r="A250" s="11" t="n">
        <v>41000</v>
      </c>
      <c r="B250" s="15">
        <f>VLOOKUP(A250,Database!A:M,MATCH($A$1,Database!$A$1:$M$1,),)</f>
        <v/>
      </c>
      <c r="C250" s="12">
        <f>(B250-B249)/B249</f>
        <v/>
      </c>
      <c r="D250" s="13">
        <f>(B250-B238)/B238</f>
        <v/>
      </c>
    </row>
    <row r="251">
      <c r="A251" s="10" t="n">
        <v>41030</v>
      </c>
      <c r="B251" s="15">
        <f>VLOOKUP(A251,Database!A:M,MATCH($A$1,Database!$A$1:$M$1,),)</f>
        <v/>
      </c>
      <c r="C251" s="12">
        <f>(B251-B250)/B250</f>
        <v/>
      </c>
      <c r="D251" s="13">
        <f>(B251-B239)/B239</f>
        <v/>
      </c>
    </row>
    <row r="252">
      <c r="A252" s="11" t="n">
        <v>41061</v>
      </c>
      <c r="B252" s="15">
        <f>VLOOKUP(A252,Database!A:M,MATCH($A$1,Database!$A$1:$M$1,),)</f>
        <v/>
      </c>
      <c r="C252" s="12">
        <f>(B252-B251)/B251</f>
        <v/>
      </c>
      <c r="D252" s="13">
        <f>(B252-B240)/B240</f>
        <v/>
      </c>
    </row>
    <row r="253">
      <c r="A253" s="10" t="n">
        <v>41091</v>
      </c>
      <c r="B253" s="15">
        <f>VLOOKUP(A253,Database!A:M,MATCH($A$1,Database!$A$1:$M$1,),)</f>
        <v/>
      </c>
      <c r="C253" s="12">
        <f>(B253-B252)/B252</f>
        <v/>
      </c>
      <c r="D253" s="13">
        <f>(B253-B241)/B241</f>
        <v/>
      </c>
    </row>
    <row r="254">
      <c r="A254" s="11" t="n">
        <v>41122</v>
      </c>
      <c r="B254" s="15">
        <f>VLOOKUP(A254,Database!A:M,MATCH($A$1,Database!$A$1:$M$1,),)</f>
        <v/>
      </c>
      <c r="C254" s="12">
        <f>(B254-B253)/B253</f>
        <v/>
      </c>
      <c r="D254" s="13">
        <f>(B254-B242)/B242</f>
        <v/>
      </c>
    </row>
    <row r="255">
      <c r="A255" s="10" t="n">
        <v>41153</v>
      </c>
      <c r="B255" s="15">
        <f>VLOOKUP(A255,Database!A:M,MATCH($A$1,Database!$A$1:$M$1,),)</f>
        <v/>
      </c>
      <c r="C255" s="12">
        <f>(B255-B254)/B254</f>
        <v/>
      </c>
      <c r="D255" s="13">
        <f>(B255-B243)/B243</f>
        <v/>
      </c>
    </row>
    <row r="256">
      <c r="A256" s="11" t="n">
        <v>41183</v>
      </c>
      <c r="B256" s="15">
        <f>VLOOKUP(A256,Database!A:M,MATCH($A$1,Database!$A$1:$M$1,),)</f>
        <v/>
      </c>
      <c r="C256" s="12">
        <f>(B256-B255)/B255</f>
        <v/>
      </c>
      <c r="D256" s="13">
        <f>(B256-B244)/B244</f>
        <v/>
      </c>
    </row>
    <row r="257">
      <c r="A257" s="10" t="n">
        <v>41214</v>
      </c>
      <c r="B257" s="15">
        <f>VLOOKUP(A257,Database!A:M,MATCH($A$1,Database!$A$1:$M$1,),)</f>
        <v/>
      </c>
      <c r="C257" s="12">
        <f>(B257-B256)/B256</f>
        <v/>
      </c>
      <c r="D257" s="13">
        <f>(B257-B245)/B245</f>
        <v/>
      </c>
    </row>
    <row r="258">
      <c r="A258" s="11" t="n">
        <v>41244</v>
      </c>
      <c r="B258" s="15">
        <f>VLOOKUP(A258,Database!A:M,MATCH($A$1,Database!$A$1:$M$1,),)</f>
        <v/>
      </c>
      <c r="C258" s="12">
        <f>(B258-B257)/B257</f>
        <v/>
      </c>
      <c r="D258" s="13">
        <f>(B258-B246)/B246</f>
        <v/>
      </c>
    </row>
    <row r="259">
      <c r="A259" s="10" t="n">
        <v>41275</v>
      </c>
      <c r="B259" s="15">
        <f>VLOOKUP(A259,Database!A:M,MATCH($A$1,Database!$A$1:$M$1,),)</f>
        <v/>
      </c>
      <c r="C259" s="12">
        <f>(B259-B258)/B258</f>
        <v/>
      </c>
      <c r="D259" s="13">
        <f>(B259-B247)/B247</f>
        <v/>
      </c>
    </row>
    <row r="260">
      <c r="A260" s="11" t="n">
        <v>41306</v>
      </c>
      <c r="B260" s="15">
        <f>VLOOKUP(A260,Database!A:M,MATCH($A$1,Database!$A$1:$M$1,),)</f>
        <v/>
      </c>
      <c r="C260" s="12">
        <f>(B260-B259)/B259</f>
        <v/>
      </c>
      <c r="D260" s="13">
        <f>(B260-B248)/B248</f>
        <v/>
      </c>
    </row>
    <row r="261">
      <c r="A261" s="10" t="n">
        <v>41334</v>
      </c>
      <c r="B261" s="15">
        <f>VLOOKUP(A261,Database!A:M,MATCH($A$1,Database!$A$1:$M$1,),)</f>
        <v/>
      </c>
      <c r="C261" s="12">
        <f>(B261-B260)/B260</f>
        <v/>
      </c>
      <c r="D261" s="13">
        <f>(B261-B249)/B249</f>
        <v/>
      </c>
    </row>
    <row r="262">
      <c r="A262" s="11" t="n">
        <v>41365</v>
      </c>
      <c r="B262" s="15">
        <f>VLOOKUP(A262,Database!A:M,MATCH($A$1,Database!$A$1:$M$1,),)</f>
        <v/>
      </c>
      <c r="C262" s="12">
        <f>(B262-B261)/B261</f>
        <v/>
      </c>
      <c r="D262" s="13">
        <f>(B262-B250)/B250</f>
        <v/>
      </c>
    </row>
    <row r="263">
      <c r="A263" s="10" t="n">
        <v>41395</v>
      </c>
      <c r="B263" s="15">
        <f>VLOOKUP(A263,Database!A:M,MATCH($A$1,Database!$A$1:$M$1,),)</f>
        <v/>
      </c>
      <c r="C263" s="12">
        <f>(B263-B262)/B262</f>
        <v/>
      </c>
      <c r="D263" s="13">
        <f>(B263-B251)/B251</f>
        <v/>
      </c>
    </row>
    <row r="264">
      <c r="A264" s="11" t="n">
        <v>41426</v>
      </c>
      <c r="B264" s="15">
        <f>VLOOKUP(A264,Database!A:M,MATCH($A$1,Database!$A$1:$M$1,),)</f>
        <v/>
      </c>
      <c r="C264" s="12">
        <f>(B264-B263)/B263</f>
        <v/>
      </c>
      <c r="D264" s="13">
        <f>(B264-B252)/B252</f>
        <v/>
      </c>
    </row>
    <row r="265">
      <c r="A265" s="10" t="n">
        <v>41456</v>
      </c>
      <c r="B265" s="15">
        <f>VLOOKUP(A265,Database!A:M,MATCH($A$1,Database!$A$1:$M$1,),)</f>
        <v/>
      </c>
      <c r="C265" s="12">
        <f>(B265-B264)/B264</f>
        <v/>
      </c>
      <c r="D265" s="13">
        <f>(B265-B253)/B253</f>
        <v/>
      </c>
    </row>
    <row r="266">
      <c r="A266" s="11" t="n">
        <v>41487</v>
      </c>
      <c r="B266" s="15">
        <f>VLOOKUP(A266,Database!A:M,MATCH($A$1,Database!$A$1:$M$1,),)</f>
        <v/>
      </c>
      <c r="C266" s="12">
        <f>(B266-B265)/B265</f>
        <v/>
      </c>
      <c r="D266" s="13">
        <f>(B266-B254)/B254</f>
        <v/>
      </c>
    </row>
    <row r="267">
      <c r="A267" s="10" t="n">
        <v>41518</v>
      </c>
      <c r="B267" s="15">
        <f>VLOOKUP(A267,Database!A:M,MATCH($A$1,Database!$A$1:$M$1,),)</f>
        <v/>
      </c>
      <c r="C267" s="12">
        <f>(B267-B266)/B266</f>
        <v/>
      </c>
      <c r="D267" s="13">
        <f>(B267-B255)/B255</f>
        <v/>
      </c>
    </row>
    <row r="268">
      <c r="A268" s="11" t="n">
        <v>41548</v>
      </c>
      <c r="B268" s="15">
        <f>VLOOKUP(A268,Database!A:M,MATCH($A$1,Database!$A$1:$M$1,),)</f>
        <v/>
      </c>
      <c r="C268" s="12">
        <f>(B268-B267)/B267</f>
        <v/>
      </c>
      <c r="D268" s="13">
        <f>(B268-B256)/B256</f>
        <v/>
      </c>
    </row>
    <row r="269">
      <c r="A269" s="10" t="n">
        <v>41579</v>
      </c>
      <c r="B269" s="15">
        <f>VLOOKUP(A269,Database!A:M,MATCH($A$1,Database!$A$1:$M$1,),)</f>
        <v/>
      </c>
      <c r="C269" s="12">
        <f>(B269-B268)/B268</f>
        <v/>
      </c>
      <c r="D269" s="13">
        <f>(B269-B257)/B257</f>
        <v/>
      </c>
    </row>
    <row r="270">
      <c r="A270" s="11" t="n">
        <v>41609</v>
      </c>
      <c r="B270" s="15">
        <f>VLOOKUP(A270,Database!A:M,MATCH($A$1,Database!$A$1:$M$1,),)</f>
        <v/>
      </c>
      <c r="C270" s="12">
        <f>(B270-B269)/B269</f>
        <v/>
      </c>
      <c r="D270" s="13">
        <f>(B270-B258)/B258</f>
        <v/>
      </c>
    </row>
    <row r="271">
      <c r="A271" s="10" t="n">
        <v>41640</v>
      </c>
      <c r="B271" s="15">
        <f>VLOOKUP(A271,Database!A:M,MATCH($A$1,Database!$A$1:$M$1,),)</f>
        <v/>
      </c>
      <c r="C271" s="12">
        <f>(B271-B270)/B270</f>
        <v/>
      </c>
      <c r="D271" s="13">
        <f>(B271-B259)/B259</f>
        <v/>
      </c>
    </row>
    <row r="272">
      <c r="A272" s="11" t="n">
        <v>41671</v>
      </c>
      <c r="B272" s="15">
        <f>VLOOKUP(A272,Database!A:M,MATCH($A$1,Database!$A$1:$M$1,),)</f>
        <v/>
      </c>
      <c r="C272" s="12">
        <f>(B272-B271)/B271</f>
        <v/>
      </c>
      <c r="D272" s="13">
        <f>(B272-B260)/B260</f>
        <v/>
      </c>
    </row>
    <row r="273">
      <c r="A273" s="10" t="n">
        <v>41699</v>
      </c>
      <c r="B273" s="15">
        <f>VLOOKUP(A273,Database!A:M,MATCH($A$1,Database!$A$1:$M$1,),)</f>
        <v/>
      </c>
      <c r="C273" s="12">
        <f>(B273-B272)/B272</f>
        <v/>
      </c>
      <c r="D273" s="13">
        <f>(B273-B261)/B261</f>
        <v/>
      </c>
    </row>
    <row r="274">
      <c r="A274" s="11" t="n">
        <v>41730</v>
      </c>
      <c r="B274" s="15">
        <f>VLOOKUP(A274,Database!A:M,MATCH($A$1,Database!$A$1:$M$1,),)</f>
        <v/>
      </c>
      <c r="C274" s="12">
        <f>(B274-B273)/B273</f>
        <v/>
      </c>
      <c r="D274" s="13">
        <f>(B274-B262)/B262</f>
        <v/>
      </c>
    </row>
    <row r="275">
      <c r="A275" s="10" t="n">
        <v>41760</v>
      </c>
      <c r="B275" s="15">
        <f>VLOOKUP(A275,Database!A:M,MATCH($A$1,Database!$A$1:$M$1,),)</f>
        <v/>
      </c>
      <c r="C275" s="12">
        <f>(B275-B274)/B274</f>
        <v/>
      </c>
      <c r="D275" s="13">
        <f>(B275-B263)/B263</f>
        <v/>
      </c>
    </row>
    <row r="276">
      <c r="A276" s="11" t="n">
        <v>41791</v>
      </c>
      <c r="B276" s="15">
        <f>VLOOKUP(A276,Database!A:M,MATCH($A$1,Database!$A$1:$M$1,),)</f>
        <v/>
      </c>
      <c r="C276" s="12">
        <f>(B276-B275)/B275</f>
        <v/>
      </c>
      <c r="D276" s="13">
        <f>(B276-B264)/B264</f>
        <v/>
      </c>
    </row>
    <row r="277">
      <c r="A277" s="10" t="n">
        <v>41821</v>
      </c>
      <c r="B277" s="15">
        <f>VLOOKUP(A277,Database!A:M,MATCH($A$1,Database!$A$1:$M$1,),)</f>
        <v/>
      </c>
      <c r="C277" s="12">
        <f>(B277-B276)/B276</f>
        <v/>
      </c>
      <c r="D277" s="13">
        <f>(B277-B265)/B265</f>
        <v/>
      </c>
    </row>
    <row r="278">
      <c r="A278" s="11" t="n">
        <v>41852</v>
      </c>
      <c r="B278" s="15">
        <f>VLOOKUP(A278,Database!A:M,MATCH($A$1,Database!$A$1:$M$1,),)</f>
        <v/>
      </c>
      <c r="C278" s="12">
        <f>(B278-B277)/B277</f>
        <v/>
      </c>
      <c r="D278" s="13">
        <f>(B278-B266)/B266</f>
        <v/>
      </c>
    </row>
    <row r="279">
      <c r="A279" s="10" t="n">
        <v>41883</v>
      </c>
      <c r="B279" s="15">
        <f>VLOOKUP(A279,Database!A:M,MATCH($A$1,Database!$A$1:$M$1,),)</f>
        <v/>
      </c>
      <c r="C279" s="12">
        <f>(B279-B278)/B278</f>
        <v/>
      </c>
      <c r="D279" s="13">
        <f>(B279-B267)/B267</f>
        <v/>
      </c>
    </row>
    <row r="280">
      <c r="A280" s="11" t="n">
        <v>41913</v>
      </c>
      <c r="B280" s="15">
        <f>VLOOKUP(A280,Database!A:M,MATCH($A$1,Database!$A$1:$M$1,),)</f>
        <v/>
      </c>
      <c r="C280" s="12">
        <f>(B280-B279)/B279</f>
        <v/>
      </c>
      <c r="D280" s="13">
        <f>(B280-B268)/B268</f>
        <v/>
      </c>
    </row>
    <row r="281">
      <c r="A281" s="10" t="n">
        <v>41944</v>
      </c>
      <c r="B281" s="15">
        <f>VLOOKUP(A281,Database!A:M,MATCH($A$1,Database!$A$1:$M$1,),)</f>
        <v/>
      </c>
      <c r="C281" s="12">
        <f>(B281-B280)/B280</f>
        <v/>
      </c>
      <c r="D281" s="13">
        <f>(B281-B269)/B269</f>
        <v/>
      </c>
    </row>
    <row r="282">
      <c r="A282" s="11" t="n">
        <v>41974</v>
      </c>
      <c r="B282" s="15">
        <f>VLOOKUP(A282,Database!A:M,MATCH($A$1,Database!$A$1:$M$1,),)</f>
        <v/>
      </c>
      <c r="C282" s="12">
        <f>(B282-B281)/B281</f>
        <v/>
      </c>
      <c r="D282" s="13">
        <f>(B282-B270)/B270</f>
        <v/>
      </c>
    </row>
    <row r="283">
      <c r="A283" s="10" t="n">
        <v>42005</v>
      </c>
      <c r="B283" s="15">
        <f>VLOOKUP(A283,Database!A:M,MATCH($A$1,Database!$A$1:$M$1,),)</f>
        <v/>
      </c>
      <c r="C283" s="12">
        <f>(B283-B282)/B282</f>
        <v/>
      </c>
      <c r="D283" s="13">
        <f>(B283-B271)/B271</f>
        <v/>
      </c>
    </row>
    <row r="284">
      <c r="A284" s="11" t="n">
        <v>42036</v>
      </c>
      <c r="B284" s="15">
        <f>VLOOKUP(A284,Database!A:M,MATCH($A$1,Database!$A$1:$M$1,),)</f>
        <v/>
      </c>
      <c r="C284" s="12">
        <f>(B284-B283)/B283</f>
        <v/>
      </c>
      <c r="D284" s="13">
        <f>(B284-B272)/B272</f>
        <v/>
      </c>
    </row>
    <row r="285">
      <c r="A285" s="10" t="n">
        <v>42064</v>
      </c>
      <c r="B285" s="15">
        <f>VLOOKUP(A285,Database!A:M,MATCH($A$1,Database!$A$1:$M$1,),)</f>
        <v/>
      </c>
      <c r="C285" s="12">
        <f>(B285-B284)/B284</f>
        <v/>
      </c>
      <c r="D285" s="13">
        <f>(B285-B273)/B273</f>
        <v/>
      </c>
    </row>
    <row r="286">
      <c r="A286" s="11" t="n">
        <v>42095</v>
      </c>
      <c r="B286" s="15">
        <f>VLOOKUP(A286,Database!A:M,MATCH($A$1,Database!$A$1:$M$1,),)</f>
        <v/>
      </c>
      <c r="C286" s="12">
        <f>(B286-B285)/B285</f>
        <v/>
      </c>
      <c r="D286" s="13">
        <f>(B286-B274)/B274</f>
        <v/>
      </c>
    </row>
    <row r="287">
      <c r="A287" s="10" t="n">
        <v>42125</v>
      </c>
      <c r="B287" s="15">
        <f>VLOOKUP(A287,Database!A:M,MATCH($A$1,Database!$A$1:$M$1,),)</f>
        <v/>
      </c>
      <c r="C287" s="12">
        <f>(B287-B286)/B286</f>
        <v/>
      </c>
      <c r="D287" s="13">
        <f>(B287-B275)/B275</f>
        <v/>
      </c>
    </row>
    <row r="288">
      <c r="A288" s="11" t="n">
        <v>42156</v>
      </c>
      <c r="B288" s="15">
        <f>VLOOKUP(A288,Database!A:M,MATCH($A$1,Database!$A$1:$M$1,),)</f>
        <v/>
      </c>
      <c r="C288" s="12">
        <f>(B288-B287)/B287</f>
        <v/>
      </c>
      <c r="D288" s="13">
        <f>(B288-B276)/B276</f>
        <v/>
      </c>
    </row>
    <row r="289">
      <c r="A289" s="10" t="n">
        <v>42186</v>
      </c>
      <c r="B289" s="15">
        <f>VLOOKUP(A289,Database!A:M,MATCH($A$1,Database!$A$1:$M$1,),)</f>
        <v/>
      </c>
      <c r="C289" s="12">
        <f>(B289-B288)/B288</f>
        <v/>
      </c>
      <c r="D289" s="13">
        <f>(B289-B277)/B277</f>
        <v/>
      </c>
    </row>
    <row r="290">
      <c r="A290" s="11" t="n">
        <v>42217</v>
      </c>
      <c r="B290" s="15">
        <f>VLOOKUP(A290,Database!A:M,MATCH($A$1,Database!$A$1:$M$1,),)</f>
        <v/>
      </c>
      <c r="C290" s="12">
        <f>(B290-B289)/B289</f>
        <v/>
      </c>
      <c r="D290" s="13">
        <f>(B290-B278)/B278</f>
        <v/>
      </c>
    </row>
    <row r="291">
      <c r="A291" s="10" t="n">
        <v>42248</v>
      </c>
      <c r="B291" s="15">
        <f>VLOOKUP(A291,Database!A:M,MATCH($A$1,Database!$A$1:$M$1,),)</f>
        <v/>
      </c>
      <c r="C291" s="12">
        <f>(B291-B290)/B290</f>
        <v/>
      </c>
      <c r="D291" s="13">
        <f>(B291-B279)/B279</f>
        <v/>
      </c>
    </row>
    <row r="292">
      <c r="A292" s="11" t="n">
        <v>42278</v>
      </c>
      <c r="B292" s="15">
        <f>VLOOKUP(A292,Database!A:M,MATCH($A$1,Database!$A$1:$M$1,),)</f>
        <v/>
      </c>
      <c r="C292" s="12">
        <f>(B292-B291)/B291</f>
        <v/>
      </c>
      <c r="D292" s="13">
        <f>(B292-B280)/B280</f>
        <v/>
      </c>
    </row>
    <row r="293">
      <c r="A293" s="10" t="n">
        <v>42309</v>
      </c>
      <c r="B293" s="15">
        <f>VLOOKUP(A293,Database!A:M,MATCH($A$1,Database!$A$1:$M$1,),)</f>
        <v/>
      </c>
      <c r="C293" s="12">
        <f>(B293-B292)/B292</f>
        <v/>
      </c>
      <c r="D293" s="13">
        <f>(B293-B281)/B281</f>
        <v/>
      </c>
    </row>
    <row r="294">
      <c r="A294" s="11" t="n">
        <v>42339</v>
      </c>
      <c r="B294" s="15">
        <f>VLOOKUP(A294,Database!A:M,MATCH($A$1,Database!$A$1:$M$1,),)</f>
        <v/>
      </c>
      <c r="C294" s="12">
        <f>(B294-B293)/B293</f>
        <v/>
      </c>
      <c r="D294" s="13">
        <f>(B294-B282)/B282</f>
        <v/>
      </c>
    </row>
    <row r="295">
      <c r="A295" s="10" t="n">
        <v>42370</v>
      </c>
      <c r="B295" s="15">
        <f>VLOOKUP(A295,Database!A:M,MATCH($A$1,Database!$A$1:$M$1,),)</f>
        <v/>
      </c>
      <c r="C295" s="12">
        <f>(B295-B294)/B294</f>
        <v/>
      </c>
      <c r="D295" s="13">
        <f>(B295-B283)/B283</f>
        <v/>
      </c>
    </row>
    <row r="296">
      <c r="A296" s="11" t="n">
        <v>42401</v>
      </c>
      <c r="B296" s="15">
        <f>VLOOKUP(A296,Database!A:M,MATCH($A$1,Database!$A$1:$M$1,),)</f>
        <v/>
      </c>
      <c r="C296" s="12">
        <f>(B296-B295)/B295</f>
        <v/>
      </c>
      <c r="D296" s="13">
        <f>(B296-B284)/B284</f>
        <v/>
      </c>
    </row>
    <row r="297">
      <c r="A297" s="10" t="n">
        <v>42430</v>
      </c>
      <c r="B297" s="15">
        <f>VLOOKUP(A297,Database!A:M,MATCH($A$1,Database!$A$1:$M$1,),)</f>
        <v/>
      </c>
      <c r="C297" s="12">
        <f>(B297-B296)/B296</f>
        <v/>
      </c>
      <c r="D297" s="13">
        <f>(B297-B285)/B285</f>
        <v/>
      </c>
    </row>
    <row r="298">
      <c r="A298" s="11" t="n">
        <v>42461</v>
      </c>
      <c r="B298" s="15">
        <f>VLOOKUP(A298,Database!A:M,MATCH($A$1,Database!$A$1:$M$1,),)</f>
        <v/>
      </c>
      <c r="C298" s="12">
        <f>(B298-B297)/B297</f>
        <v/>
      </c>
      <c r="D298" s="13">
        <f>(B298-B286)/B286</f>
        <v/>
      </c>
    </row>
    <row r="299">
      <c r="A299" s="10" t="n">
        <v>42491</v>
      </c>
      <c r="B299" s="15">
        <f>VLOOKUP(A299,Database!A:M,MATCH($A$1,Database!$A$1:$M$1,),)</f>
        <v/>
      </c>
      <c r="C299" s="12">
        <f>(B299-B298)/B298</f>
        <v/>
      </c>
      <c r="D299" s="13">
        <f>(B299-B287)/B287</f>
        <v/>
      </c>
    </row>
    <row r="300">
      <c r="A300" s="11" t="n">
        <v>42522</v>
      </c>
      <c r="B300" s="15">
        <f>VLOOKUP(A300,Database!A:M,MATCH($A$1,Database!$A$1:$M$1,),)</f>
        <v/>
      </c>
      <c r="C300" s="12">
        <f>(B300-B299)/B299</f>
        <v/>
      </c>
      <c r="D300" s="13">
        <f>(B300-B288)/B288</f>
        <v/>
      </c>
    </row>
    <row r="301">
      <c r="A301" s="10" t="n">
        <v>42552</v>
      </c>
      <c r="B301" s="15">
        <f>VLOOKUP(A301,Database!A:M,MATCH($A$1,Database!$A$1:$M$1,),)</f>
        <v/>
      </c>
      <c r="C301" s="12">
        <f>(B301-B300)/B300</f>
        <v/>
      </c>
      <c r="D301" s="13">
        <f>(B301-B289)/B289</f>
        <v/>
      </c>
    </row>
    <row r="302">
      <c r="A302" s="11" t="n">
        <v>42583</v>
      </c>
      <c r="B302" s="15">
        <f>VLOOKUP(A302,Database!A:M,MATCH($A$1,Database!$A$1:$M$1,),)</f>
        <v/>
      </c>
      <c r="C302" s="12">
        <f>(B302-B301)/B301</f>
        <v/>
      </c>
      <c r="D302" s="13">
        <f>(B302-B290)/B290</f>
        <v/>
      </c>
    </row>
    <row r="303">
      <c r="A303" s="10" t="n">
        <v>42614</v>
      </c>
      <c r="B303" s="15">
        <f>VLOOKUP(A303,Database!A:M,MATCH($A$1,Database!$A$1:$M$1,),)</f>
        <v/>
      </c>
      <c r="C303" s="12">
        <f>(B303-B302)/B302</f>
        <v/>
      </c>
      <c r="D303" s="13">
        <f>(B303-B291)/B291</f>
        <v/>
      </c>
    </row>
    <row r="304">
      <c r="A304" s="11" t="n">
        <v>42644</v>
      </c>
      <c r="B304" s="15">
        <f>VLOOKUP(A304,Database!A:M,MATCH($A$1,Database!$A$1:$M$1,),)</f>
        <v/>
      </c>
      <c r="C304" s="12">
        <f>(B304-B303)/B303</f>
        <v/>
      </c>
      <c r="D304" s="13">
        <f>(B304-B292)/B292</f>
        <v/>
      </c>
    </row>
    <row r="305">
      <c r="A305" s="10" t="n">
        <v>42675</v>
      </c>
      <c r="B305" s="15">
        <f>VLOOKUP(A305,Database!A:M,MATCH($A$1,Database!$A$1:$M$1,),)</f>
        <v/>
      </c>
      <c r="C305" s="12">
        <f>(B305-B304)/B304</f>
        <v/>
      </c>
      <c r="D305" s="13">
        <f>(B305-B293)/B293</f>
        <v/>
      </c>
    </row>
    <row r="306">
      <c r="A306" s="11" t="n">
        <v>42705</v>
      </c>
      <c r="B306" s="15">
        <f>VLOOKUP(A306,Database!A:M,MATCH($A$1,Database!$A$1:$M$1,),)</f>
        <v/>
      </c>
      <c r="C306" s="12">
        <f>(B306-B305)/B305</f>
        <v/>
      </c>
      <c r="D306" s="13">
        <f>(B306-B294)/B294</f>
        <v/>
      </c>
    </row>
    <row r="307">
      <c r="A307" s="10" t="n">
        <v>42736</v>
      </c>
      <c r="B307" s="15">
        <f>VLOOKUP(A307,Database!A:M,MATCH($A$1,Database!$A$1:$M$1,),)</f>
        <v/>
      </c>
      <c r="C307" s="12">
        <f>(B307-B306)/B306</f>
        <v/>
      </c>
      <c r="D307" s="13">
        <f>(B307-B295)/B295</f>
        <v/>
      </c>
    </row>
    <row r="308">
      <c r="A308" s="11" t="n">
        <v>42767</v>
      </c>
      <c r="B308" s="15">
        <f>VLOOKUP(A308,Database!A:M,MATCH($A$1,Database!$A$1:$M$1,),)</f>
        <v/>
      </c>
      <c r="C308" s="12">
        <f>(B308-B307)/B307</f>
        <v/>
      </c>
      <c r="D308" s="13">
        <f>(B308-B296)/B296</f>
        <v/>
      </c>
    </row>
    <row r="309">
      <c r="A309" s="10" t="n">
        <v>42795</v>
      </c>
      <c r="B309" s="15">
        <f>VLOOKUP(A309,Database!A:M,MATCH($A$1,Database!$A$1:$M$1,),)</f>
        <v/>
      </c>
      <c r="C309" s="12">
        <f>(B309-B308)/B308</f>
        <v/>
      </c>
      <c r="D309" s="13">
        <f>(B309-B297)/B297</f>
        <v/>
      </c>
    </row>
    <row r="310">
      <c r="A310" s="11" t="n">
        <v>42826</v>
      </c>
      <c r="B310" s="15">
        <f>VLOOKUP(A310,Database!A:M,MATCH($A$1,Database!$A$1:$M$1,),)</f>
        <v/>
      </c>
      <c r="C310" s="12">
        <f>(B310-B309)/B309</f>
        <v/>
      </c>
      <c r="D310" s="13">
        <f>(B310-B298)/B298</f>
        <v/>
      </c>
    </row>
    <row r="311">
      <c r="A311" s="10" t="n">
        <v>42856</v>
      </c>
      <c r="B311" s="15">
        <f>VLOOKUP(A311,Database!A:M,MATCH($A$1,Database!$A$1:$M$1,),)</f>
        <v/>
      </c>
      <c r="C311" s="12">
        <f>(B311-B310)/B310</f>
        <v/>
      </c>
      <c r="D311" s="13">
        <f>(B311-B299)/B299</f>
        <v/>
      </c>
    </row>
    <row r="312">
      <c r="A312" s="11" t="n">
        <v>42887</v>
      </c>
      <c r="B312" s="15">
        <f>VLOOKUP(A312,Database!A:M,MATCH($A$1,Database!$A$1:$M$1,),)</f>
        <v/>
      </c>
      <c r="C312" s="12">
        <f>(B312-B311)/B311</f>
        <v/>
      </c>
      <c r="D312" s="13">
        <f>(B312-B300)/B300</f>
        <v/>
      </c>
    </row>
    <row r="313">
      <c r="A313" s="10" t="n">
        <v>42917</v>
      </c>
      <c r="B313" s="15">
        <f>VLOOKUP(A313,Database!A:M,MATCH($A$1,Database!$A$1:$M$1,),)</f>
        <v/>
      </c>
      <c r="C313" s="12">
        <f>(B313-B312)/B312</f>
        <v/>
      </c>
      <c r="D313" s="13">
        <f>(B313-B301)/B301</f>
        <v/>
      </c>
    </row>
    <row r="314">
      <c r="A314" s="11" t="n">
        <v>42948</v>
      </c>
      <c r="B314" s="15">
        <f>VLOOKUP(A314,Database!A:M,MATCH($A$1,Database!$A$1:$M$1,),)</f>
        <v/>
      </c>
      <c r="C314" s="12">
        <f>(B314-B313)/B313</f>
        <v/>
      </c>
      <c r="D314" s="13">
        <f>(B314-B302)/B302</f>
        <v/>
      </c>
    </row>
    <row r="315">
      <c r="A315" s="10" t="n">
        <v>42979</v>
      </c>
      <c r="B315" s="15">
        <f>VLOOKUP(A315,Database!A:M,MATCH($A$1,Database!$A$1:$M$1,),)</f>
        <v/>
      </c>
      <c r="C315" s="12">
        <f>(B315-B314)/B314</f>
        <v/>
      </c>
      <c r="D315" s="13">
        <f>(B315-B303)/B303</f>
        <v/>
      </c>
    </row>
    <row r="316">
      <c r="A316" s="11" t="n">
        <v>43009</v>
      </c>
      <c r="B316" s="15">
        <f>VLOOKUP(A316,Database!A:M,MATCH($A$1,Database!$A$1:$M$1,),)</f>
        <v/>
      </c>
      <c r="C316" s="12">
        <f>(B316-B315)/B315</f>
        <v/>
      </c>
      <c r="D316" s="13">
        <f>(B316-B304)/B304</f>
        <v/>
      </c>
    </row>
    <row r="317">
      <c r="A317" s="10" t="n">
        <v>43040</v>
      </c>
      <c r="B317" s="15">
        <f>VLOOKUP(A317,Database!A:M,MATCH($A$1,Database!$A$1:$M$1,),)</f>
        <v/>
      </c>
      <c r="C317" s="12">
        <f>(B317-B316)/B316</f>
        <v/>
      </c>
      <c r="D317" s="13">
        <f>(B317-B305)/B305</f>
        <v/>
      </c>
    </row>
    <row r="318">
      <c r="A318" s="11" t="n">
        <v>43070</v>
      </c>
      <c r="B318" s="15">
        <f>VLOOKUP(A318,Database!A:M,MATCH($A$1,Database!$A$1:$M$1,),)</f>
        <v/>
      </c>
      <c r="C318" s="12">
        <f>(B318-B317)/B317</f>
        <v/>
      </c>
      <c r="D318" s="13">
        <f>(B318-B306)/B306</f>
        <v/>
      </c>
    </row>
    <row r="319">
      <c r="A319" s="10" t="n">
        <v>43101</v>
      </c>
      <c r="B319" s="15">
        <f>VLOOKUP(A319,Database!A:M,MATCH($A$1,Database!$A$1:$M$1,),)</f>
        <v/>
      </c>
      <c r="C319" s="12">
        <f>(B319-B318)/B318</f>
        <v/>
      </c>
      <c r="D319" s="13">
        <f>(B319-B307)/B307</f>
        <v/>
      </c>
    </row>
    <row r="320">
      <c r="A320" s="11" t="n">
        <v>43132</v>
      </c>
      <c r="B320" s="15">
        <f>VLOOKUP(A320,Database!A:M,MATCH($A$1,Database!$A$1:$M$1,),)</f>
        <v/>
      </c>
      <c r="C320" s="12">
        <f>(B320-B319)/B319</f>
        <v/>
      </c>
      <c r="D320" s="13">
        <f>(B320-B308)/B308</f>
        <v/>
      </c>
    </row>
    <row r="321">
      <c r="A321" s="10" t="n">
        <v>43160</v>
      </c>
      <c r="B321" s="15">
        <f>VLOOKUP(A321,Database!A:M,MATCH($A$1,Database!$A$1:$M$1,),)</f>
        <v/>
      </c>
      <c r="C321" s="12">
        <f>(B321-B320)/B320</f>
        <v/>
      </c>
      <c r="D321" s="13">
        <f>(B321-B309)/B309</f>
        <v/>
      </c>
    </row>
    <row r="322">
      <c r="A322" s="11" t="n">
        <v>43191</v>
      </c>
      <c r="B322" s="15">
        <f>VLOOKUP(A322,Database!A:M,MATCH($A$1,Database!$A$1:$M$1,),)</f>
        <v/>
      </c>
      <c r="C322" s="12">
        <f>(B322-B321)/B321</f>
        <v/>
      </c>
      <c r="D322" s="13">
        <f>(B322-B310)/B310</f>
        <v/>
      </c>
    </row>
    <row r="323">
      <c r="A323" s="10" t="n">
        <v>43221</v>
      </c>
      <c r="B323" s="15">
        <f>VLOOKUP(A323,Database!A:M,MATCH($A$1,Database!$A$1:$M$1,),)</f>
        <v/>
      </c>
      <c r="C323" s="12">
        <f>(B323-B322)/B322</f>
        <v/>
      </c>
      <c r="D323" s="13">
        <f>(B323-B311)/B311</f>
        <v/>
      </c>
    </row>
    <row r="324">
      <c r="A324" s="11" t="n">
        <v>43252</v>
      </c>
      <c r="B324" s="15">
        <f>VLOOKUP(A324,Database!A:M,MATCH($A$1,Database!$A$1:$M$1,),)</f>
        <v/>
      </c>
      <c r="C324" s="12">
        <f>(B324-B323)/B323</f>
        <v/>
      </c>
      <c r="D324" s="13">
        <f>(B324-B312)/B312</f>
        <v/>
      </c>
    </row>
    <row r="325">
      <c r="A325" s="10" t="n">
        <v>43282</v>
      </c>
      <c r="B325" s="15">
        <f>VLOOKUP(A325,Database!A:M,MATCH($A$1,Database!$A$1:$M$1,),)</f>
        <v/>
      </c>
      <c r="C325" s="12">
        <f>(B325-B324)/B324</f>
        <v/>
      </c>
      <c r="D325" s="13">
        <f>(B325-B313)/B313</f>
        <v/>
      </c>
    </row>
    <row r="326">
      <c r="A326" s="11" t="n">
        <v>43313</v>
      </c>
      <c r="B326" s="15">
        <f>VLOOKUP(A326,Database!A:M,MATCH($A$1,Database!$A$1:$M$1,),)</f>
        <v/>
      </c>
      <c r="C326" s="12">
        <f>(B326-B325)/B325</f>
        <v/>
      </c>
      <c r="D326" s="13">
        <f>(B326-B314)/B314</f>
        <v/>
      </c>
    </row>
    <row r="327">
      <c r="A327" s="10" t="n">
        <v>43344</v>
      </c>
      <c r="B327" s="15">
        <f>VLOOKUP(A327,Database!A:M,MATCH($A$1,Database!$A$1:$M$1,),)</f>
        <v/>
      </c>
      <c r="C327" s="12">
        <f>(B327-B326)/B326</f>
        <v/>
      </c>
      <c r="D327" s="13">
        <f>(B327-B315)/B315</f>
        <v/>
      </c>
    </row>
    <row r="328">
      <c r="A328" s="11" t="n">
        <v>43374</v>
      </c>
      <c r="B328" s="15">
        <f>VLOOKUP(A328,Database!A:M,MATCH($A$1,Database!$A$1:$M$1,),)</f>
        <v/>
      </c>
      <c r="C328" s="12">
        <f>(B328-B327)/B327</f>
        <v/>
      </c>
      <c r="D328" s="13">
        <f>(B328-B316)/B316</f>
        <v/>
      </c>
    </row>
    <row r="329">
      <c r="A329" s="10" t="n">
        <v>43405</v>
      </c>
      <c r="B329" s="15">
        <f>VLOOKUP(A329,Database!A:M,MATCH($A$1,Database!$A$1:$M$1,),)</f>
        <v/>
      </c>
      <c r="C329" s="12">
        <f>(B329-B328)/B328</f>
        <v/>
      </c>
      <c r="D329" s="13">
        <f>(B329-B317)/B317</f>
        <v/>
      </c>
    </row>
    <row r="330">
      <c r="A330" s="11" t="n">
        <v>43435</v>
      </c>
      <c r="B330" s="15">
        <f>VLOOKUP(A330,Database!A:M,MATCH($A$1,Database!$A$1:$M$1,),)</f>
        <v/>
      </c>
      <c r="C330" s="12">
        <f>(B330-B329)/B329</f>
        <v/>
      </c>
      <c r="D330" s="13">
        <f>(B330-B318)/B318</f>
        <v/>
      </c>
    </row>
    <row r="331">
      <c r="A331" s="10" t="n">
        <v>43466</v>
      </c>
      <c r="B331" s="15">
        <f>VLOOKUP(A331,Database!A:M,MATCH($A$1,Database!$A$1:$M$1,),)</f>
        <v/>
      </c>
      <c r="C331" s="12">
        <f>(B331-B330)/B330</f>
        <v/>
      </c>
      <c r="D331" s="13">
        <f>(B331-B319)/B319</f>
        <v/>
      </c>
    </row>
    <row r="332">
      <c r="A332" s="11" t="n">
        <v>43497</v>
      </c>
      <c r="B332" s="15">
        <f>VLOOKUP(A332,Database!A:M,MATCH($A$1,Database!$A$1:$M$1,),)</f>
        <v/>
      </c>
      <c r="C332" s="12">
        <f>(B332-B331)/B331</f>
        <v/>
      </c>
      <c r="D332" s="13">
        <f>(B332-B320)/B320</f>
        <v/>
      </c>
    </row>
    <row r="333">
      <c r="A333" s="10" t="n">
        <v>43525</v>
      </c>
      <c r="B333" s="15">
        <f>VLOOKUP(A333,Database!A:M,MATCH($A$1,Database!$A$1:$M$1,),)</f>
        <v/>
      </c>
      <c r="C333" s="12">
        <f>(B333-B332)/B332</f>
        <v/>
      </c>
      <c r="D333" s="13">
        <f>(B333-B321)/B321</f>
        <v/>
      </c>
    </row>
    <row r="334">
      <c r="A334" s="11" t="n">
        <v>43556</v>
      </c>
      <c r="B334" s="15">
        <f>VLOOKUP(A334,Database!A:M,MATCH($A$1,Database!$A$1:$M$1,),)</f>
        <v/>
      </c>
      <c r="C334" s="12">
        <f>(B334-B333)/B333</f>
        <v/>
      </c>
      <c r="D334" s="13">
        <f>(B334-B322)/B322</f>
        <v/>
      </c>
    </row>
    <row r="335">
      <c r="A335" s="10" t="n">
        <v>43586</v>
      </c>
      <c r="B335" s="15">
        <f>VLOOKUP(A335,Database!A:M,MATCH($A$1,Database!$A$1:$M$1,),)</f>
        <v/>
      </c>
      <c r="C335" s="12">
        <f>(B335-B334)/B334</f>
        <v/>
      </c>
      <c r="D335" s="13">
        <f>(B335-B323)/B323</f>
        <v/>
      </c>
    </row>
    <row r="336" customFormat="1" s="122">
      <c r="A336" s="11" t="n">
        <v>43617</v>
      </c>
      <c r="B336" s="15">
        <f>VLOOKUP(A336,Database!A:M,MATCH($A$1,Database!$A$1:$M$1,),)</f>
        <v/>
      </c>
      <c r="C336" s="12">
        <f>(B336-B335)/B335</f>
        <v/>
      </c>
      <c r="D336" s="13">
        <f>(B336-B324)/B324</f>
        <v/>
      </c>
    </row>
    <row r="337" customFormat="1" s="122">
      <c r="A337" s="10" t="n">
        <v>43647</v>
      </c>
      <c r="B337" s="15">
        <f>VLOOKUP(A337,Database!A:M,MATCH($A$1,Database!$A$1:$M$1,),)</f>
        <v/>
      </c>
      <c r="C337" s="12">
        <f>(B337-B336)/B336</f>
        <v/>
      </c>
      <c r="D337" s="13">
        <f>(B337-B325)/B325</f>
        <v/>
      </c>
    </row>
    <row r="338" customFormat="1" s="122">
      <c r="A338" s="11" t="n">
        <v>43678</v>
      </c>
      <c r="B338" s="15">
        <f>VLOOKUP(A338,Database!A:M,MATCH($A$1,Database!$A$1:$M$1,),)</f>
        <v/>
      </c>
      <c r="C338" s="12">
        <f>(B338-B337)/B337</f>
        <v/>
      </c>
      <c r="D338" s="13">
        <f>(B338-B326)/B326</f>
        <v/>
      </c>
    </row>
    <row r="339" customFormat="1" s="122">
      <c r="A339" s="10" t="n">
        <v>43709</v>
      </c>
      <c r="B339" s="15">
        <f>VLOOKUP(A339,Database!A:M,MATCH($A$1,Database!$A$1:$M$1,),)</f>
        <v/>
      </c>
      <c r="C339" s="12">
        <f>(B339-B338)/B338</f>
        <v/>
      </c>
      <c r="D339" s="13">
        <f>(B339-B327)/B327</f>
        <v/>
      </c>
    </row>
    <row r="340" customFormat="1" s="122">
      <c r="A340" s="11" t="n">
        <v>43739</v>
      </c>
      <c r="B340" s="15">
        <f>VLOOKUP(A340,Database!A:M,MATCH($A$1,Database!$A$1:$M$1,),)</f>
        <v/>
      </c>
      <c r="C340" s="12">
        <f>(B340-B339)/B339</f>
        <v/>
      </c>
      <c r="D340" s="13">
        <f>(B340-B328)/B328</f>
        <v/>
      </c>
    </row>
    <row r="341" customFormat="1" s="122">
      <c r="A341" s="10" t="n">
        <v>43770</v>
      </c>
      <c r="B341" s="15">
        <f>VLOOKUP(A341,Database!A:M,MATCH($A$1,Database!$A$1:$M$1,),)</f>
        <v/>
      </c>
      <c r="C341" s="12">
        <f>(B341-B340)/B340</f>
        <v/>
      </c>
      <c r="D341" s="13">
        <f>(B341-B329)/B329</f>
        <v/>
      </c>
    </row>
    <row r="342" customFormat="1" s="122">
      <c r="A342" s="11" t="n">
        <v>43800</v>
      </c>
      <c r="B342" s="15">
        <f>VLOOKUP(A342,Database!A:M,MATCH($A$1,Database!$A$1:$M$1,),)</f>
        <v/>
      </c>
      <c r="C342" s="12">
        <f>(B342-B341)/B341</f>
        <v/>
      </c>
      <c r="D342" s="13">
        <f>(B342-B330)/B330</f>
        <v/>
      </c>
    </row>
    <row r="343" customFormat="1" s="122">
      <c r="A343" s="10" t="n">
        <v>43831</v>
      </c>
      <c r="B343" s="15">
        <f>VLOOKUP(A343,Database!A:M,MATCH($A$1,Database!$A$1:$M$1,),)</f>
        <v/>
      </c>
      <c r="C343" s="12">
        <f>(B343-B342)/B342</f>
        <v/>
      </c>
      <c r="D343" s="13">
        <f>(B343-B331)/B331</f>
        <v/>
      </c>
    </row>
    <row r="344" customFormat="1" s="122">
      <c r="A344" s="11" t="n">
        <v>43862</v>
      </c>
      <c r="B344" s="15">
        <f>VLOOKUP(A344,Database!A:M,MATCH($A$1,Database!$A$1:$M$1,),)</f>
        <v/>
      </c>
      <c r="C344" s="12">
        <f>(B344-B343)/B343</f>
        <v/>
      </c>
      <c r="D344" s="13">
        <f>(B344-B332)/B332</f>
        <v/>
      </c>
    </row>
    <row r="345" customFormat="1" s="122">
      <c r="A345" s="10" t="n">
        <v>43891</v>
      </c>
      <c r="B345" s="15">
        <f>VLOOKUP(A345,Database!A:M,MATCH($A$1,Database!$A$1:$M$1,),)</f>
        <v/>
      </c>
      <c r="C345" s="12">
        <f>(B345-B344)/B344</f>
        <v/>
      </c>
      <c r="D345" s="13">
        <f>(B345-B333)/B333</f>
        <v/>
      </c>
    </row>
    <row r="346" customFormat="1" s="122">
      <c r="A346" s="11" t="n">
        <v>43922</v>
      </c>
      <c r="B346" s="15">
        <f>VLOOKUP(A346,Database!A:M,MATCH($A$1,Database!$A$1:$M$1,),)</f>
        <v/>
      </c>
      <c r="C346" s="12">
        <f>(B346-B345)/B345</f>
        <v/>
      </c>
      <c r="D346" s="13">
        <f>(B346-B334)/B334</f>
        <v/>
      </c>
    </row>
    <row r="347" customFormat="1" s="122">
      <c r="A347" s="10" t="n">
        <v>43952</v>
      </c>
      <c r="B347" s="15">
        <f>VLOOKUP(A347,Database!A:M,MATCH($A$1,Database!$A$1:$M$1,),)</f>
        <v/>
      </c>
      <c r="C347" s="12">
        <f>(B347-B346)/B346</f>
        <v/>
      </c>
      <c r="D347" s="13">
        <f>(B347-B335)/B335</f>
        <v/>
      </c>
    </row>
    <row r="348" customFormat="1" s="122">
      <c r="A348" s="11" t="n">
        <v>43983</v>
      </c>
      <c r="B348" s="15">
        <f>VLOOKUP(A348,Database!A:M,MATCH($A$1,Database!$A$1:$M$1,),)</f>
        <v/>
      </c>
      <c r="C348" s="12">
        <f>(B348-B347)/B347</f>
        <v/>
      </c>
      <c r="D348" s="13">
        <f>(B348-B336)/B336</f>
        <v/>
      </c>
    </row>
    <row r="349" customFormat="1" s="122">
      <c r="A349" s="10" t="n">
        <v>44013</v>
      </c>
      <c r="B349" s="15">
        <f>VLOOKUP(A349,Database!A:M,MATCH($A$1,Database!$A$1:$M$1,),)</f>
        <v/>
      </c>
      <c r="C349" s="12">
        <f>(B349-B348)/B348</f>
        <v/>
      </c>
      <c r="D349" s="13">
        <f>(B349-B337)/B337</f>
        <v/>
      </c>
    </row>
    <row r="350" customFormat="1" s="122">
      <c r="A350" s="11" t="n">
        <v>44044</v>
      </c>
      <c r="B350" s="15">
        <f>VLOOKUP(A350,Database!A:M,MATCH($A$1,Database!$A$1:$M$1,),)</f>
        <v/>
      </c>
      <c r="C350" s="12">
        <f>(B350-B349)/B349</f>
        <v/>
      </c>
      <c r="D350" s="13">
        <f>(B350-B338)/B338</f>
        <v/>
      </c>
    </row>
    <row r="351" customFormat="1" s="122">
      <c r="A351" s="10" t="n">
        <v>44075</v>
      </c>
      <c r="B351" s="15">
        <f>VLOOKUP(A351,Database!A:M,MATCH($A$1,Database!$A$1:$M$1,),)</f>
        <v/>
      </c>
      <c r="C351" s="12">
        <f>(B351-B350)/B350</f>
        <v/>
      </c>
      <c r="D351" s="13">
        <f>(B351-B339)/B339</f>
        <v/>
      </c>
    </row>
    <row r="352" customFormat="1" s="122">
      <c r="A352" s="11" t="n">
        <v>44105</v>
      </c>
      <c r="B352" s="15">
        <f>VLOOKUP(A352,Database!A:M,MATCH($A$1,Database!$A$1:$M$1,),)</f>
        <v/>
      </c>
      <c r="C352" s="12">
        <f>(B352-B351)/B351</f>
        <v/>
      </c>
      <c r="D352" s="13">
        <f>(B352-B340)/B340</f>
        <v/>
      </c>
    </row>
    <row r="353" customFormat="1" s="122">
      <c r="A353" s="10" t="n">
        <v>44136</v>
      </c>
      <c r="B353" s="15">
        <f>VLOOKUP(A353,Database!A:M,MATCH($A$1,Database!$A$1:$M$1,),)</f>
        <v/>
      </c>
      <c r="C353" s="12">
        <f>(B353-B352)/B352</f>
        <v/>
      </c>
      <c r="D353" s="13">
        <f>(B353-B341)/B341</f>
        <v/>
      </c>
    </row>
    <row r="354" customFormat="1" s="122">
      <c r="A354" s="11" t="n">
        <v>44166</v>
      </c>
      <c r="B354" s="15">
        <f>VLOOKUP(A354,Database!A:M,MATCH($A$1,Database!$A$1:$M$1,),)</f>
        <v/>
      </c>
      <c r="C354" s="12">
        <f>(B354-B353)/B353</f>
        <v/>
      </c>
      <c r="D354" s="13">
        <f>(B354-B342)/B342</f>
        <v/>
      </c>
    </row>
    <row r="355" customFormat="1" s="122">
      <c r="A355" s="10" t="n">
        <v>44197</v>
      </c>
      <c r="B355" s="15">
        <f>VLOOKUP(A355,Database!A:M,MATCH($A$1,Database!$A$1:$M$1,),)</f>
        <v/>
      </c>
      <c r="C355" s="12">
        <f>(B355-B354)/B354</f>
        <v/>
      </c>
      <c r="D355" s="13">
        <f>(B355-B343)/B343</f>
        <v/>
      </c>
    </row>
    <row r="356" customFormat="1" s="122">
      <c r="A356" s="11" t="n">
        <v>44228</v>
      </c>
      <c r="B356" s="15">
        <f>VLOOKUP(A356,Database!A:M,MATCH($A$1,Database!$A$1:$M$1,),)</f>
        <v/>
      </c>
      <c r="C356" s="12">
        <f>(B356-B355)/B355</f>
        <v/>
      </c>
      <c r="D356" s="13">
        <f>(B356-B344)/B344</f>
        <v/>
      </c>
    </row>
    <row r="357" customFormat="1" s="122">
      <c r="A357" s="10" t="n">
        <v>44256</v>
      </c>
      <c r="B357" s="15">
        <f>VLOOKUP(A357,Database!A:M,MATCH($A$1,Database!$A$1:$M$1,),)</f>
        <v/>
      </c>
      <c r="C357" s="12">
        <f>(B357-B356)/B356</f>
        <v/>
      </c>
      <c r="D357" s="13">
        <f>(B357-B345)/B345</f>
        <v/>
      </c>
    </row>
    <row r="358" customFormat="1" s="122">
      <c r="A358" s="11" t="n">
        <v>44287</v>
      </c>
      <c r="B358" s="15">
        <f>VLOOKUP(A358,Database!A:M,MATCH($A$1,Database!$A$1:$M$1,),)</f>
        <v/>
      </c>
      <c r="C358" s="12">
        <f>(B358-B357)/B357</f>
        <v/>
      </c>
      <c r="D358" s="13">
        <f>(B358-B346)/B346</f>
        <v/>
      </c>
    </row>
    <row r="359" customFormat="1" s="122">
      <c r="A359" s="10" t="n">
        <v>44317</v>
      </c>
      <c r="B359" s="15">
        <f>VLOOKUP(A359,Database!A:M,MATCH($A$1,Database!$A$1:$M$1,),)</f>
        <v/>
      </c>
      <c r="C359" s="12">
        <f>(B359-B358)/B358</f>
        <v/>
      </c>
      <c r="D359" s="13">
        <f>(B359-B347)/B347</f>
        <v/>
      </c>
    </row>
    <row r="360" customFormat="1" s="122">
      <c r="A360" s="11" t="n">
        <v>44348</v>
      </c>
      <c r="B360" s="15">
        <f>VLOOKUP(A360,Database!A:M,MATCH($A$1,Database!$A$1:$M$1,),)</f>
        <v/>
      </c>
      <c r="C360" s="12">
        <f>(B360-B359)/B359</f>
        <v/>
      </c>
      <c r="D360" s="13">
        <f>(B360-B348)/B348</f>
        <v/>
      </c>
    </row>
    <row r="361" customFormat="1" s="122">
      <c r="A361" s="10" t="n">
        <v>44378</v>
      </c>
      <c r="B361" s="15">
        <f>VLOOKUP(A361,Database!A:M,MATCH($A$1,Database!$A$1:$M$1,),)</f>
        <v/>
      </c>
      <c r="C361" s="12">
        <f>(B361-B360)/B360</f>
        <v/>
      </c>
      <c r="D361" s="13">
        <f>(B361-B349)/B349</f>
        <v/>
      </c>
    </row>
    <row r="362" customFormat="1" s="122">
      <c r="A362" s="11" t="n">
        <v>44409</v>
      </c>
      <c r="B362" s="15">
        <f>VLOOKUP(A362,Database!A:M,MATCH($A$1,Database!$A$1:$M$1,),)</f>
        <v/>
      </c>
      <c r="C362" s="12">
        <f>(B362-B361)/B361</f>
        <v/>
      </c>
      <c r="D362" s="13">
        <f>(B362-B350)/B350</f>
        <v/>
      </c>
    </row>
    <row r="363" customFormat="1" s="122">
      <c r="A363" s="11" t="n">
        <v>44440</v>
      </c>
      <c r="B363" s="15">
        <f>VLOOKUP(A363,Database!A:M,MATCH($A$1,Database!$A$1:$M$1,),)</f>
        <v/>
      </c>
      <c r="C363" s="12">
        <f>(B363-B362)/B362</f>
        <v/>
      </c>
      <c r="D363" s="13">
        <f>(B363-B351)/B351</f>
        <v/>
      </c>
    </row>
    <row r="364" customFormat="1" s="122">
      <c r="A364" s="10" t="n">
        <v>44470</v>
      </c>
      <c r="B364" s="15">
        <f>VLOOKUP(A364,Database!A:M,MATCH($A$1,Database!$A$1:$M$1,),)</f>
        <v/>
      </c>
      <c r="C364" s="12">
        <f>(B364-B363)/B363</f>
        <v/>
      </c>
      <c r="D364" s="13">
        <f>(B364-B352)/B352</f>
        <v/>
      </c>
    </row>
    <row r="365" customFormat="1" s="122">
      <c r="A365" s="11" t="n">
        <v>44501</v>
      </c>
      <c r="B365" s="15">
        <f>VLOOKUP(A365,Database!A:M,MATCH($A$1,Database!$A$1:$M$1,),)</f>
        <v/>
      </c>
      <c r="C365" s="12">
        <f>(B365-B364)/B364</f>
        <v/>
      </c>
      <c r="D365" s="13">
        <f>(B365-B353)/B353</f>
        <v/>
      </c>
    </row>
    <row r="366" customFormat="1" s="122">
      <c r="A366" s="10" t="n">
        <v>44531</v>
      </c>
      <c r="B366" s="15">
        <f>VLOOKUP(A366,Database!A:M,MATCH($A$1,Database!$A$1:$M$1,),)</f>
        <v/>
      </c>
      <c r="C366" s="12">
        <f>(B366-B365)/B365</f>
        <v/>
      </c>
      <c r="D366" s="13">
        <f>(B366-B354)/B354</f>
        <v/>
      </c>
    </row>
    <row r="367" customFormat="1" s="122">
      <c r="A367" s="11" t="n">
        <v>44562</v>
      </c>
      <c r="B367" s="15">
        <f>VLOOKUP(A367,Database!A:M,MATCH($A$1,Database!$A$1:$M$1,),)</f>
        <v/>
      </c>
      <c r="C367" s="12">
        <f>(B367-B366)/B366</f>
        <v/>
      </c>
      <c r="D367" s="13">
        <f>(B367-B355)/B355</f>
        <v/>
      </c>
    </row>
    <row r="368" customFormat="1" s="122">
      <c r="A368" s="11" t="n">
        <v>44593</v>
      </c>
      <c r="B368" s="15">
        <f>VLOOKUP(A368,Database!A:M,MATCH($A$1,Database!$A$1:$M$1,),)</f>
        <v/>
      </c>
      <c r="C368" s="12">
        <f>(B368-B367)/B367</f>
        <v/>
      </c>
      <c r="D368" s="13">
        <f>(B368-B356)/B356</f>
        <v/>
      </c>
    </row>
    <row r="369" customFormat="1" s="122">
      <c r="A369" s="11" t="n">
        <v>44621</v>
      </c>
      <c r="B369" s="15">
        <f>VLOOKUP(A369,Database!A:M,MATCH($A$1,Database!$A$1:$M$1,),)</f>
        <v/>
      </c>
      <c r="C369" s="12">
        <f>(B369-B368)/B368</f>
        <v/>
      </c>
      <c r="D369" s="13">
        <f>(B369-B357)/B357</f>
        <v/>
      </c>
    </row>
    <row r="370" customFormat="1" s="122">
      <c r="A370" s="11" t="n">
        <v>44652</v>
      </c>
      <c r="B370" s="15">
        <f>VLOOKUP(A370,Database!A:M,MATCH($A$1,Database!$A$1:$M$1,),)</f>
        <v/>
      </c>
      <c r="C370" s="12">
        <f>(B370-B369)/B369</f>
        <v/>
      </c>
      <c r="D370" s="13">
        <f>(B370-B358)/B358</f>
        <v/>
      </c>
    </row>
    <row r="371" customFormat="1" s="122">
      <c r="A371" s="11" t="n">
        <v>44682</v>
      </c>
      <c r="B371" s="15">
        <f>VLOOKUP(A371,Database!A:M,MATCH($A$1,Database!$A$1:$M$1,),)</f>
        <v/>
      </c>
      <c r="C371" s="12">
        <f>(B371-B370)/B370</f>
        <v/>
      </c>
      <c r="D371" s="13">
        <f>(B371-B359)/B359</f>
        <v/>
      </c>
    </row>
    <row r="372" customFormat="1" s="122">
      <c r="A372" s="11" t="n">
        <v>44713</v>
      </c>
      <c r="B372" s="15">
        <f>VLOOKUP(A372,Database!A:M,MATCH($A$1,Database!$A$1:$M$1,),)</f>
        <v/>
      </c>
      <c r="C372" s="12">
        <f>(B372-B371)/B371</f>
        <v/>
      </c>
      <c r="D372" s="13">
        <f>(B372-B360)/B360</f>
        <v/>
      </c>
    </row>
    <row r="373" customFormat="1" s="122">
      <c r="A373" s="11" t="n">
        <v>44743</v>
      </c>
      <c r="B373" s="15">
        <f>VLOOKUP(A373,Database!A:M,MATCH($A$1,Database!$A$1:$M$1,),)</f>
        <v/>
      </c>
      <c r="C373" s="12">
        <f>(B373-B372)/B372</f>
        <v/>
      </c>
      <c r="D373" s="13">
        <f>(B373-B361)/B361</f>
        <v/>
      </c>
    </row>
    <row r="374" customFormat="1" s="122">
      <c r="A374" s="11" t="n">
        <v>44774</v>
      </c>
      <c r="B374" s="15">
        <f>VLOOKUP(A374,Database!A:M,MATCH($A$1,Database!$A$1:$M$1,),)</f>
        <v/>
      </c>
      <c r="C374" s="12">
        <f>(B374-B373)/B373</f>
        <v/>
      </c>
      <c r="D374" s="13">
        <f>(B374-B362)/B362</f>
        <v/>
      </c>
    </row>
    <row r="375" customFormat="1" s="122">
      <c r="A375" s="11" t="n">
        <v>44805</v>
      </c>
      <c r="B375" s="15">
        <f>VLOOKUP(A375,Database!A:M,MATCH($A$1,Database!$A$1:$M$1,),)</f>
        <v/>
      </c>
      <c r="C375" s="12">
        <f>(B375-B374)/B374</f>
        <v/>
      </c>
      <c r="D375" s="13">
        <f>(B375-B363)/B363</f>
        <v/>
      </c>
    </row>
    <row r="376" customFormat="1" s="122">
      <c r="B376" s="22" t="n"/>
    </row>
    <row r="377" customFormat="1" s="122">
      <c r="B377" s="22" t="n"/>
    </row>
    <row r="378" customFormat="1" s="122">
      <c r="B378" s="22" t="n"/>
    </row>
    <row r="379" customFormat="1" s="122">
      <c r="B379" s="22" t="n"/>
    </row>
    <row r="380" customFormat="1" s="122">
      <c r="B380" s="22" t="n"/>
    </row>
    <row r="381" customFormat="1" s="122">
      <c r="B381" s="22" t="n"/>
    </row>
    <row r="382" customFormat="1" s="122">
      <c r="B382" s="22" t="n"/>
    </row>
    <row r="383" customFormat="1" s="122">
      <c r="B383" s="22" t="n"/>
    </row>
    <row r="384" customFormat="1" s="122">
      <c r="B384" s="22" t="n"/>
    </row>
    <row r="385" customFormat="1" s="122">
      <c r="B385" s="22" t="n"/>
    </row>
    <row r="386" customFormat="1" s="122">
      <c r="B386" s="22" t="n"/>
    </row>
    <row r="387" customFormat="1" s="122">
      <c r="B387" s="22" t="n"/>
    </row>
    <row r="388" customFormat="1" s="122">
      <c r="B388" s="22" t="n"/>
    </row>
    <row r="389" customFormat="1" s="122">
      <c r="B389" s="22" t="n"/>
    </row>
    <row r="390" customFormat="1" s="122">
      <c r="B390" s="22" t="n"/>
    </row>
    <row r="391" customFormat="1" s="122">
      <c r="B391" s="22" t="n"/>
    </row>
    <row r="392" customFormat="1" s="122">
      <c r="B392" s="22" t="n"/>
    </row>
    <row r="393" customFormat="1" s="122">
      <c r="B393" s="22" t="n"/>
    </row>
    <row r="394" customFormat="1" s="122">
      <c r="B394" s="22" t="n"/>
    </row>
    <row r="395" customFormat="1" s="122">
      <c r="B395" s="22" t="n"/>
    </row>
    <row r="396" customFormat="1" s="122">
      <c r="B396" s="22" t="n"/>
    </row>
    <row r="397" customFormat="1" s="122">
      <c r="B397" s="22" t="n"/>
    </row>
    <row r="398" customFormat="1" s="122">
      <c r="B398" s="22" t="n"/>
    </row>
    <row r="399" customFormat="1" s="122">
      <c r="B399" s="22" t="n"/>
    </row>
    <row r="400" customFormat="1" s="122">
      <c r="B400" s="22" t="n"/>
    </row>
    <row r="401" customFormat="1" s="122">
      <c r="B401" s="22" t="n"/>
    </row>
    <row r="402" customFormat="1" s="122">
      <c r="B402" s="22" t="n"/>
    </row>
    <row r="403" customFormat="1" s="122">
      <c r="B403" s="22" t="n"/>
    </row>
    <row r="404" customFormat="1" s="122">
      <c r="B404" s="22" t="n"/>
    </row>
    <row r="405" customFormat="1" s="122">
      <c r="B405" s="22" t="n"/>
    </row>
    <row r="406" customFormat="1" s="122">
      <c r="B406" s="22" t="n"/>
    </row>
    <row r="407" customFormat="1" s="122">
      <c r="B407" s="22" t="n"/>
    </row>
    <row r="408" customFormat="1" s="122">
      <c r="B408" s="22" t="n"/>
    </row>
    <row r="409" customFormat="1" s="122">
      <c r="B409" s="22" t="n"/>
    </row>
    <row r="410" customFormat="1" s="122">
      <c r="B410" s="22" t="n"/>
    </row>
    <row r="411" customFormat="1" s="122">
      <c r="B411" s="22" t="n"/>
    </row>
    <row r="412" customFormat="1" s="122">
      <c r="B412" s="22" t="n"/>
    </row>
    <row r="413" customFormat="1" s="122">
      <c r="B413" s="22" t="n"/>
    </row>
    <row r="414" customFormat="1" s="122">
      <c r="B414" s="22" t="n"/>
    </row>
    <row r="415" customFormat="1" s="122">
      <c r="B415" s="22" t="n"/>
    </row>
    <row r="416" customFormat="1" s="122">
      <c r="B416" s="22" t="n"/>
    </row>
    <row r="417" customFormat="1" s="122">
      <c r="B417" s="22" t="n"/>
    </row>
    <row r="418" customFormat="1" s="122">
      <c r="B418" s="22" t="n"/>
    </row>
    <row r="419" customFormat="1" s="122">
      <c r="B419" s="22" t="n"/>
    </row>
    <row r="420" customFormat="1" s="122">
      <c r="B420" s="22" t="n"/>
    </row>
    <row r="421" customFormat="1" s="122">
      <c r="B421" s="22" t="n"/>
    </row>
    <row r="422" customFormat="1" s="122">
      <c r="B422" s="22" t="n"/>
    </row>
    <row r="423" customFormat="1" s="122">
      <c r="B423" s="22" t="n"/>
    </row>
    <row r="424" customFormat="1" s="122">
      <c r="B424" s="22" t="n"/>
    </row>
    <row r="425" customFormat="1" s="122">
      <c r="B425" s="22" t="n"/>
    </row>
    <row r="426" customFormat="1" s="122">
      <c r="B426" s="22" t="n"/>
    </row>
    <row r="427" customFormat="1" s="122">
      <c r="B427" s="22" t="n"/>
    </row>
    <row r="428" customFormat="1" s="122">
      <c r="B428" s="22" t="n"/>
    </row>
    <row r="429" customFormat="1" s="122">
      <c r="B429" s="22" t="n"/>
    </row>
    <row r="430" customFormat="1" s="122">
      <c r="B430" s="22" t="n"/>
    </row>
    <row r="431" customFormat="1" s="122">
      <c r="B431" s="22" t="n"/>
    </row>
    <row r="432" customFormat="1" s="122">
      <c r="B432" s="22" t="n"/>
    </row>
    <row r="433" customFormat="1" s="122">
      <c r="B433" s="22" t="n"/>
    </row>
    <row r="434" customFormat="1" s="122">
      <c r="B434" s="22" t="n"/>
    </row>
    <row r="435" customFormat="1" s="122">
      <c r="B435" s="22" t="n"/>
    </row>
    <row r="436" customFormat="1" s="122">
      <c r="B436" s="22" t="n"/>
    </row>
    <row r="437" customFormat="1" s="122">
      <c r="B437" s="22" t="n"/>
    </row>
    <row r="438" customFormat="1" s="122">
      <c r="B438" s="22" t="n"/>
    </row>
    <row r="439" customFormat="1" s="122">
      <c r="B439" s="22" t="n"/>
    </row>
    <row r="440" customFormat="1" s="122">
      <c r="B440" s="22" t="n"/>
    </row>
    <row r="441" customFormat="1" s="122">
      <c r="B441" s="22" t="n"/>
    </row>
    <row r="442" customFormat="1" s="122">
      <c r="B442" s="22" t="n"/>
    </row>
    <row r="443" customFormat="1" s="122">
      <c r="B443" s="22" t="n"/>
    </row>
    <row r="444" customFormat="1" s="122">
      <c r="B444" s="22" t="n"/>
    </row>
    <row r="445" customFormat="1" s="122">
      <c r="B445" s="22" t="n"/>
    </row>
    <row r="446" customFormat="1" s="122">
      <c r="B446" s="22" t="n"/>
    </row>
    <row r="447" customFormat="1" s="122">
      <c r="B447" s="22" t="n"/>
    </row>
    <row r="448" customFormat="1" s="122">
      <c r="B448" s="22" t="n"/>
    </row>
    <row r="449" customFormat="1" s="122">
      <c r="B449" s="22" t="n"/>
    </row>
    <row r="450" customFormat="1" s="122">
      <c r="B450" s="22" t="n"/>
    </row>
    <row r="451" customFormat="1" s="122">
      <c r="B451" s="22" t="n"/>
    </row>
    <row r="452" customFormat="1" s="122">
      <c r="B452" s="22" t="n"/>
    </row>
    <row r="453" customFormat="1" s="122">
      <c r="B453" s="22" t="n"/>
    </row>
    <row r="454" customFormat="1" s="122">
      <c r="B454" s="22" t="n"/>
    </row>
    <row r="455" customFormat="1" s="122">
      <c r="B455" s="22" t="n"/>
    </row>
    <row r="456" customFormat="1" s="122">
      <c r="B456" s="22" t="n"/>
    </row>
    <row r="457" customFormat="1" s="122">
      <c r="B457" s="22" t="n"/>
    </row>
    <row r="458" customFormat="1" s="122">
      <c r="B458" s="22" t="n"/>
    </row>
    <row r="459" customFormat="1" s="122">
      <c r="B459" s="22" t="n"/>
    </row>
    <row r="460" customFormat="1" s="122">
      <c r="B460" s="22" t="n"/>
    </row>
    <row r="461" customFormat="1" s="122">
      <c r="B461" s="22" t="n"/>
    </row>
    <row r="462" customFormat="1" s="122">
      <c r="B462" s="22" t="n"/>
    </row>
    <row r="463" customFormat="1" s="122">
      <c r="B463" s="22" t="n"/>
    </row>
    <row r="464" customFormat="1" s="122">
      <c r="B464" s="22" t="n"/>
    </row>
    <row r="465" customFormat="1" s="122">
      <c r="B465" s="22" t="n"/>
    </row>
    <row r="466" customFormat="1" s="122">
      <c r="B466" s="22" t="n"/>
    </row>
    <row r="467" customFormat="1" s="122">
      <c r="B467" s="22" t="n"/>
    </row>
    <row r="468" customFormat="1" s="122">
      <c r="B468" s="22" t="n"/>
    </row>
    <row r="469" customFormat="1" s="122">
      <c r="B469" s="22" t="n"/>
    </row>
    <row r="470" customFormat="1" s="122">
      <c r="B470" s="22" t="n"/>
    </row>
    <row r="471" customFormat="1" s="122">
      <c r="B471" s="22" t="n"/>
    </row>
    <row r="472" customFormat="1" s="122">
      <c r="B472" s="22" t="n"/>
    </row>
    <row r="473" customFormat="1" s="122">
      <c r="B473" s="22" t="n"/>
    </row>
    <row r="474" customFormat="1" s="122">
      <c r="B474" s="22" t="n"/>
    </row>
    <row r="475" customFormat="1" s="122">
      <c r="B475" s="22" t="n"/>
    </row>
    <row r="476" customFormat="1" s="122">
      <c r="B476" s="22" t="n"/>
    </row>
    <row r="477" customFormat="1" s="122">
      <c r="B477" s="22" t="n"/>
    </row>
    <row r="478" customFormat="1" s="122">
      <c r="B478" s="22" t="n"/>
    </row>
    <row r="479" customFormat="1" s="122">
      <c r="B479" s="22" t="n"/>
    </row>
    <row r="480" customFormat="1" s="122">
      <c r="B480" s="22" t="n"/>
    </row>
    <row r="481" customFormat="1" s="122">
      <c r="B481" s="22" t="n"/>
    </row>
    <row r="482" customFormat="1" s="122">
      <c r="B482" s="22" t="n"/>
    </row>
    <row r="483" customFormat="1" s="122">
      <c r="B483" s="22" t="n"/>
    </row>
    <row r="484" customFormat="1" s="122">
      <c r="B484" s="22" t="n"/>
    </row>
    <row r="485" customFormat="1" s="122">
      <c r="B485" s="22" t="n"/>
    </row>
    <row r="486" customFormat="1" s="122">
      <c r="B486" s="22" t="n"/>
    </row>
    <row r="487" customFormat="1" s="122">
      <c r="B487" s="22" t="n"/>
    </row>
    <row r="488" customFormat="1" s="122">
      <c r="B488" s="22" t="n"/>
    </row>
    <row r="489" customFormat="1" s="122">
      <c r="B489" s="22" t="n"/>
    </row>
    <row r="490" customFormat="1" s="122">
      <c r="B490" s="22" t="n"/>
    </row>
    <row r="491" customFormat="1" s="122">
      <c r="B491" s="22" t="n"/>
    </row>
    <row r="492" customFormat="1" s="122">
      <c r="B492" s="22" t="n"/>
    </row>
    <row r="493" customFormat="1" s="122">
      <c r="B493" s="22" t="n"/>
    </row>
    <row r="494" customFormat="1" s="122">
      <c r="B494" s="22" t="n"/>
    </row>
    <row r="495" customFormat="1" s="122">
      <c r="B495" s="22" t="n"/>
    </row>
    <row r="496" customFormat="1" s="122">
      <c r="B496" s="22" t="n"/>
    </row>
    <row r="497" customFormat="1" s="122">
      <c r="B497" s="22" t="n"/>
    </row>
    <row r="498" customFormat="1" s="122">
      <c r="B498" s="22" t="n"/>
    </row>
    <row r="499" customFormat="1" s="122">
      <c r="B499" s="22" t="n"/>
    </row>
    <row r="500" customFormat="1" s="122">
      <c r="B500" s="22" t="n"/>
    </row>
    <row r="501" customFormat="1" s="122">
      <c r="B501" s="22" t="n"/>
    </row>
    <row r="502" customFormat="1" s="122">
      <c r="B502" s="22" t="n"/>
    </row>
    <row r="503" customFormat="1" s="122">
      <c r="B503" s="22" t="n"/>
    </row>
    <row r="504" customFormat="1" s="122">
      <c r="B504" s="22" t="n"/>
    </row>
    <row r="505" customFormat="1" s="122">
      <c r="B505" s="22" t="n"/>
    </row>
    <row r="506" customFormat="1" s="122">
      <c r="B506" s="22" t="n"/>
    </row>
    <row r="507" customFormat="1" s="122">
      <c r="B507" s="22" t="n"/>
    </row>
    <row r="508" customFormat="1" s="122">
      <c r="B508" s="22" t="n"/>
    </row>
    <row r="509" customFormat="1" s="122">
      <c r="B509" s="22" t="n"/>
    </row>
    <row r="510" customFormat="1" s="122">
      <c r="B510" s="22" t="n"/>
    </row>
    <row r="511" customFormat="1" s="122">
      <c r="B511" s="22" t="n"/>
    </row>
    <row r="512" customFormat="1" s="122">
      <c r="B512" s="22" t="n"/>
    </row>
    <row r="513" customFormat="1" s="122">
      <c r="B513" s="22" t="n"/>
    </row>
    <row r="514" customFormat="1" s="122">
      <c r="B514" s="22" t="n"/>
    </row>
    <row r="515" customFormat="1" s="122">
      <c r="B515" s="22" t="n"/>
    </row>
    <row r="516" customFormat="1" s="122">
      <c r="B516" s="22" t="n"/>
    </row>
    <row r="517" customFormat="1" s="122">
      <c r="B517" s="22" t="n"/>
    </row>
    <row r="518" customFormat="1" s="122">
      <c r="B518" s="22" t="n"/>
    </row>
    <row r="519" customFormat="1" s="122">
      <c r="B519" s="22" t="n"/>
    </row>
    <row r="520" customFormat="1" s="122">
      <c r="B520" s="22" t="n"/>
    </row>
    <row r="521" customFormat="1" s="122">
      <c r="B521" s="22" t="n"/>
    </row>
    <row r="522" customFormat="1" s="122">
      <c r="B522" s="22" t="n"/>
    </row>
    <row r="523" customFormat="1" s="122">
      <c r="B523" s="22" t="n"/>
    </row>
    <row r="524" customFormat="1" s="122">
      <c r="B524" s="22" t="n"/>
    </row>
    <row r="525" customFormat="1" s="122">
      <c r="B525" s="22" t="n"/>
    </row>
    <row r="526" customFormat="1" s="122">
      <c r="B526" s="22" t="n"/>
    </row>
    <row r="527" customFormat="1" s="122">
      <c r="B527" s="22" t="n"/>
    </row>
    <row r="528" customFormat="1" s="122">
      <c r="B528" s="22" t="n"/>
    </row>
    <row r="529" customFormat="1" s="122">
      <c r="B529" s="22" t="n"/>
    </row>
    <row r="530" customFormat="1" s="122">
      <c r="B530" s="22" t="n"/>
    </row>
    <row r="531" customFormat="1" s="122">
      <c r="B531" s="22" t="n"/>
    </row>
    <row r="532" customFormat="1" s="122">
      <c r="B532" s="22" t="n"/>
    </row>
    <row r="533" customFormat="1" s="122">
      <c r="B533" s="22" t="n"/>
    </row>
    <row r="534" customFormat="1" s="122">
      <c r="B534" s="22" t="n"/>
    </row>
    <row r="535" customFormat="1" s="122">
      <c r="B535" s="22" t="n"/>
    </row>
    <row r="536" customFormat="1" s="122">
      <c r="B536" s="22" t="n"/>
    </row>
    <row r="537" customFormat="1" s="122">
      <c r="B537" s="22" t="n"/>
    </row>
    <row r="538" customFormat="1" s="122">
      <c r="B538" s="22" t="n"/>
    </row>
    <row r="539" customFormat="1" s="122">
      <c r="B539" s="22" t="n"/>
    </row>
    <row r="540" customFormat="1" s="122">
      <c r="B540" s="22" t="n"/>
    </row>
    <row r="541" customFormat="1" s="122">
      <c r="B541" s="22" t="n"/>
    </row>
    <row r="542" customFormat="1" s="122">
      <c r="B542" s="22" t="n"/>
    </row>
    <row r="543" customFormat="1" s="122">
      <c r="B543" s="22" t="n"/>
    </row>
    <row r="544" customFormat="1" s="122">
      <c r="B544" s="22" t="n"/>
    </row>
    <row r="545" customFormat="1" s="122">
      <c r="B545" s="22" t="n"/>
    </row>
    <row r="546" customFormat="1" s="122">
      <c r="B546" s="22" t="n"/>
    </row>
    <row r="547" customFormat="1" s="122">
      <c r="B547" s="22" t="n"/>
    </row>
    <row r="548" customFormat="1" s="122">
      <c r="B548" s="22" t="n"/>
    </row>
    <row r="549" customFormat="1" s="122">
      <c r="B549" s="22" t="n"/>
    </row>
    <row r="550" customFormat="1" s="122">
      <c r="B550" s="22" t="n"/>
    </row>
    <row r="551" customFormat="1" s="122">
      <c r="B551" s="22" t="n"/>
    </row>
    <row r="552" customFormat="1" s="122">
      <c r="B552" s="22" t="n"/>
    </row>
    <row r="553" customFormat="1" s="122">
      <c r="B553" s="22" t="n"/>
    </row>
    <row r="554" customFormat="1" s="122">
      <c r="B554" s="22" t="n"/>
    </row>
    <row r="555" customFormat="1" s="122">
      <c r="B555" s="22" t="n"/>
    </row>
    <row r="556" customFormat="1" s="122">
      <c r="B556" s="22" t="n"/>
    </row>
    <row r="557" customFormat="1" s="122">
      <c r="B557" s="22" t="n"/>
    </row>
    <row r="558" customFormat="1" s="122">
      <c r="B558" s="22" t="n"/>
    </row>
    <row r="559" customFormat="1" s="122">
      <c r="B559" s="22" t="n"/>
    </row>
    <row r="560" customFormat="1" s="122">
      <c r="B560" s="22" t="n"/>
    </row>
    <row r="561" customFormat="1" s="122">
      <c r="B561" s="22" t="n"/>
    </row>
    <row r="562" customFormat="1" s="122">
      <c r="B562" s="22" t="n"/>
    </row>
    <row r="563" customFormat="1" s="122">
      <c r="B563" s="22" t="n"/>
    </row>
    <row r="564" customFormat="1" s="122">
      <c r="B564" s="22" t="n"/>
    </row>
    <row r="565" customFormat="1" s="122">
      <c r="B565" s="22" t="n"/>
    </row>
    <row r="566" customFormat="1" s="122">
      <c r="B566" s="22" t="n"/>
    </row>
    <row r="567" customFormat="1" s="122">
      <c r="B567" s="22" t="n"/>
    </row>
    <row r="568" customFormat="1" s="122">
      <c r="B568" s="22" t="n"/>
    </row>
    <row r="569" customFormat="1" s="122">
      <c r="B569" s="22" t="n"/>
    </row>
    <row r="570" customFormat="1" s="122">
      <c r="B570" s="22" t="n"/>
    </row>
    <row r="571" customFormat="1" s="122">
      <c r="B571" s="22" t="n"/>
    </row>
    <row r="572" customFormat="1" s="122">
      <c r="B572" s="22" t="n"/>
    </row>
    <row r="573" customFormat="1" s="122">
      <c r="B573" s="22" t="n"/>
    </row>
    <row r="574" customFormat="1" s="122">
      <c r="B574" s="22" t="n"/>
    </row>
    <row r="575" customFormat="1" s="122">
      <c r="B575" s="22" t="n"/>
    </row>
    <row r="576" customFormat="1" s="122">
      <c r="B576" s="22" t="n"/>
    </row>
    <row r="577" customFormat="1" s="122">
      <c r="B577" s="22" t="n"/>
    </row>
    <row r="578" customFormat="1" s="122">
      <c r="B578" s="22" t="n"/>
    </row>
    <row r="579" customFormat="1" s="122">
      <c r="B579" s="22" t="n"/>
    </row>
    <row r="580" customFormat="1" s="122">
      <c r="B580" s="22" t="n"/>
    </row>
    <row r="581" customFormat="1" s="122">
      <c r="B581" s="22" t="n"/>
    </row>
    <row r="582" customFormat="1" s="122">
      <c r="B582" s="22" t="n"/>
    </row>
    <row r="583" customFormat="1" s="122">
      <c r="B583" s="22" t="n"/>
    </row>
    <row r="584" customFormat="1" s="122">
      <c r="B584" s="22" t="n"/>
    </row>
    <row r="585" customFormat="1" s="122">
      <c r="B585" s="22" t="n"/>
    </row>
    <row r="586" customFormat="1" s="122">
      <c r="B586" s="22" t="n"/>
    </row>
    <row r="587" customFormat="1" s="122">
      <c r="B587" s="22" t="n"/>
    </row>
    <row r="588" customFormat="1" s="122">
      <c r="B588" s="22" t="n"/>
    </row>
    <row r="589" customFormat="1" s="122">
      <c r="B589" s="22" t="n"/>
    </row>
    <row r="590" customFormat="1" s="122">
      <c r="B590" s="22" t="n"/>
    </row>
    <row r="591" customFormat="1" s="122">
      <c r="B591" s="22" t="n"/>
    </row>
    <row r="592" customFormat="1" s="122">
      <c r="B592" s="22" t="n"/>
    </row>
    <row r="593" customFormat="1" s="122">
      <c r="B593" s="22" t="n"/>
    </row>
    <row r="594" customFormat="1" s="122">
      <c r="B594" s="22" t="n"/>
    </row>
    <row r="595" customFormat="1" s="122">
      <c r="B595" s="22" t="n"/>
    </row>
    <row r="596" customFormat="1" s="122">
      <c r="B596" s="22" t="n"/>
    </row>
    <row r="597" customFormat="1" s="122">
      <c r="B597" s="22" t="n"/>
    </row>
    <row r="598" customFormat="1" s="122">
      <c r="B598" s="22" t="n"/>
    </row>
    <row r="599" customFormat="1" s="122">
      <c r="B599" s="22" t="n"/>
    </row>
    <row r="600" customFormat="1" s="122">
      <c r="B600" s="22" t="n"/>
    </row>
    <row r="601" customFormat="1" s="122">
      <c r="B601" s="22" t="n"/>
    </row>
    <row r="602" customFormat="1" s="122">
      <c r="B602" s="22" t="n"/>
    </row>
    <row r="603" customFormat="1" s="122">
      <c r="B603" s="22" t="n"/>
    </row>
    <row r="604" customFormat="1" s="122">
      <c r="B604" s="22" t="n"/>
    </row>
    <row r="605" customFormat="1" s="122">
      <c r="B605" s="22" t="n"/>
    </row>
    <row r="606" customFormat="1" s="122">
      <c r="B606" s="22" t="n"/>
    </row>
    <row r="607" customFormat="1" s="122">
      <c r="B607" s="22" t="n"/>
    </row>
    <row r="608" customFormat="1" s="122">
      <c r="B608" s="22" t="n"/>
    </row>
    <row r="609" customFormat="1" s="122">
      <c r="B609" s="22" t="n"/>
    </row>
    <row r="610" customFormat="1" s="122">
      <c r="B610" s="22" t="n"/>
    </row>
    <row r="611" customFormat="1" s="122">
      <c r="B611" s="22" t="n"/>
    </row>
    <row r="612" customFormat="1" s="122">
      <c r="B612" s="22" t="n"/>
    </row>
    <row r="613" customFormat="1" s="122">
      <c r="B613" s="22" t="n"/>
    </row>
    <row r="614" customFormat="1" s="122">
      <c r="B614" s="22" t="n"/>
    </row>
    <row r="615" customFormat="1" s="122">
      <c r="B615" s="22" t="n"/>
    </row>
    <row r="616" customFormat="1" s="122">
      <c r="B616" s="22" t="n"/>
    </row>
    <row r="617" customFormat="1" s="122">
      <c r="B617" s="22" t="n"/>
    </row>
    <row r="618" customFormat="1" s="122">
      <c r="B618" s="22" t="n"/>
    </row>
    <row r="619" customFormat="1" s="122">
      <c r="B619" s="22" t="n"/>
    </row>
    <row r="620" customFormat="1" s="122">
      <c r="B620" s="22" t="n"/>
    </row>
    <row r="621" customFormat="1" s="122">
      <c r="B621" s="22" t="n"/>
    </row>
    <row r="622" customFormat="1" s="122">
      <c r="B622" s="22" t="n"/>
    </row>
    <row r="623" customFormat="1" s="122">
      <c r="B623" s="22" t="n"/>
    </row>
    <row r="624" customFormat="1" s="122">
      <c r="B624" s="22" t="n"/>
    </row>
    <row r="625" customFormat="1" s="122">
      <c r="B625" s="22" t="n"/>
    </row>
    <row r="626" customFormat="1" s="122">
      <c r="B626" s="22" t="n"/>
    </row>
    <row r="627" customFormat="1" s="122">
      <c r="B627" s="22" t="n"/>
    </row>
    <row r="628" customFormat="1" s="122">
      <c r="B628" s="22" t="n"/>
    </row>
    <row r="629" customFormat="1" s="122">
      <c r="B629" s="22" t="n"/>
    </row>
    <row r="630" customFormat="1" s="122">
      <c r="B630" s="22" t="n"/>
    </row>
    <row r="631" customFormat="1" s="122">
      <c r="B631" s="22" t="n"/>
    </row>
    <row r="632" customFormat="1" s="122">
      <c r="B632" s="22" t="n"/>
    </row>
    <row r="633" customFormat="1" s="122">
      <c r="B633" s="22" t="n"/>
    </row>
    <row r="634" customFormat="1" s="122">
      <c r="B634" s="22" t="n"/>
    </row>
    <row r="635" customFormat="1" s="122">
      <c r="B635" s="22" t="n"/>
    </row>
    <row r="636" customFormat="1" s="122">
      <c r="B636" s="22" t="n"/>
    </row>
    <row r="637" customFormat="1" s="122">
      <c r="B637" s="22" t="n"/>
    </row>
    <row r="638" customFormat="1" s="122">
      <c r="B638" s="22" t="n"/>
    </row>
    <row r="639" customFormat="1" s="122">
      <c r="B639" s="22" t="n"/>
    </row>
    <row r="640" customFormat="1" s="122">
      <c r="B640" s="22" t="n"/>
    </row>
    <row r="641" customFormat="1" s="122">
      <c r="B641" s="22" t="n"/>
    </row>
    <row r="642" customFormat="1" s="122">
      <c r="B642" s="22" t="n"/>
    </row>
    <row r="643" customFormat="1" s="122">
      <c r="B643" s="22" t="n"/>
    </row>
    <row r="644" customFormat="1" s="122">
      <c r="B644" s="22" t="n"/>
    </row>
    <row r="645" customFormat="1" s="122">
      <c r="B645" s="22" t="n"/>
    </row>
    <row r="646" customFormat="1" s="122">
      <c r="B646" s="22" t="n"/>
    </row>
    <row r="647" customFormat="1" s="122">
      <c r="B647" s="22" t="n"/>
    </row>
    <row r="648" customFormat="1" s="122">
      <c r="B648" s="22" t="n"/>
    </row>
    <row r="649" customFormat="1" s="122">
      <c r="B649" s="22" t="n"/>
    </row>
    <row r="650" customFormat="1" s="122">
      <c r="B650" s="22" t="n"/>
    </row>
    <row r="651" customFormat="1" s="122">
      <c r="B651" s="22" t="n"/>
    </row>
    <row r="652" customFormat="1" s="122">
      <c r="B652" s="22" t="n"/>
    </row>
    <row r="653" customFormat="1" s="122">
      <c r="B653" s="22" t="n"/>
    </row>
    <row r="654" customFormat="1" s="122">
      <c r="B654" s="22" t="n"/>
    </row>
    <row r="655" customFormat="1" s="122">
      <c r="B655" s="22" t="n"/>
    </row>
    <row r="656" customFormat="1" s="122">
      <c r="B656" s="22" t="n"/>
    </row>
    <row r="657" customFormat="1" s="122">
      <c r="B657" s="22" t="n"/>
    </row>
    <row r="658" customFormat="1" s="122">
      <c r="B658" s="22" t="n"/>
    </row>
    <row r="659" customFormat="1" s="122">
      <c r="B659" s="22" t="n"/>
    </row>
    <row r="660" customFormat="1" s="122">
      <c r="B660" s="22" t="n"/>
    </row>
    <row r="661" customFormat="1" s="122">
      <c r="B661" s="22" t="n"/>
    </row>
    <row r="662" customFormat="1" s="122">
      <c r="B662" s="22" t="n"/>
    </row>
    <row r="663" customFormat="1" s="122">
      <c r="B663" s="22" t="n"/>
    </row>
    <row r="664" customFormat="1" s="122">
      <c r="B664" s="22" t="n"/>
    </row>
    <row r="665" customFormat="1" s="122">
      <c r="B665" s="22" t="n"/>
    </row>
    <row r="666" customFormat="1" s="122">
      <c r="B666" s="22" t="n"/>
    </row>
    <row r="667" customFormat="1" s="122">
      <c r="B667" s="22" t="n"/>
    </row>
    <row r="668" customFormat="1" s="122">
      <c r="B668" s="22" t="n"/>
    </row>
    <row r="669" customFormat="1" s="122">
      <c r="B669" s="22" t="n"/>
    </row>
    <row r="670" customFormat="1" s="122">
      <c r="B670" s="22" t="n"/>
    </row>
    <row r="671" customFormat="1" s="122">
      <c r="B671" s="22" t="n"/>
    </row>
    <row r="672" customFormat="1" s="122">
      <c r="B672" s="22" t="n"/>
    </row>
    <row r="673" customFormat="1" s="122">
      <c r="B673" s="22" t="n"/>
    </row>
    <row r="674" customFormat="1" s="122">
      <c r="B674" s="22" t="n"/>
    </row>
    <row r="675" customFormat="1" s="122">
      <c r="B675" s="22" t="n"/>
    </row>
    <row r="676" customFormat="1" s="122">
      <c r="B676" s="22" t="n"/>
    </row>
    <row r="677" customFormat="1" s="122">
      <c r="B677" s="22" t="n"/>
    </row>
    <row r="678" customFormat="1" s="122">
      <c r="B678" s="22" t="n"/>
    </row>
    <row r="679" customFormat="1" s="122">
      <c r="B679" s="22" t="n"/>
    </row>
    <row r="680" customFormat="1" s="122">
      <c r="B680" s="22" t="n"/>
    </row>
    <row r="681" customFormat="1" s="122">
      <c r="B681" s="22" t="n"/>
    </row>
    <row r="682" customFormat="1" s="122">
      <c r="B682" s="22" t="n"/>
    </row>
    <row r="683" customFormat="1" s="122">
      <c r="B683" s="22" t="n"/>
    </row>
    <row r="684" customFormat="1" s="122">
      <c r="B684" s="22" t="n"/>
    </row>
    <row r="685" customFormat="1" s="122">
      <c r="B685" s="22" t="n"/>
    </row>
    <row r="686" customFormat="1" s="122">
      <c r="B686" s="22" t="n"/>
    </row>
    <row r="687" customFormat="1" s="122">
      <c r="B687" s="22" t="n"/>
    </row>
    <row r="688" customFormat="1" s="122">
      <c r="B688" s="22" t="n"/>
    </row>
    <row r="689" customFormat="1" s="122">
      <c r="B689" s="22" t="n"/>
    </row>
    <row r="690" customFormat="1" s="122">
      <c r="B690" s="22" t="n"/>
    </row>
    <row r="691" customFormat="1" s="122">
      <c r="B691" s="22" t="n"/>
    </row>
    <row r="692" customFormat="1" s="122">
      <c r="B692" s="22" t="n"/>
    </row>
    <row r="693" customFormat="1" s="122">
      <c r="B693" s="22" t="n"/>
    </row>
    <row r="694" customFormat="1" s="122">
      <c r="B694" s="22" t="n"/>
    </row>
    <row r="695" customFormat="1" s="122">
      <c r="B695" s="22" t="n"/>
    </row>
    <row r="696" customFormat="1" s="122">
      <c r="B696" s="22" t="n"/>
    </row>
    <row r="697" customFormat="1" s="122">
      <c r="B697" s="22" t="n"/>
    </row>
    <row r="698" customFormat="1" s="122">
      <c r="B698" s="22" t="n"/>
    </row>
    <row r="699" customFormat="1" s="122">
      <c r="B699" s="22" t="n"/>
    </row>
    <row r="700" customFormat="1" s="122">
      <c r="B700" s="22" t="n"/>
    </row>
    <row r="701" customFormat="1" s="122">
      <c r="B701" s="22" t="n"/>
    </row>
    <row r="702" customFormat="1" s="122">
      <c r="B702" s="22" t="n"/>
    </row>
    <row r="703" customFormat="1" s="122">
      <c r="B703" s="22" t="n"/>
    </row>
    <row r="704" customFormat="1" s="122">
      <c r="B704" s="22" t="n"/>
    </row>
    <row r="705" customFormat="1" s="122">
      <c r="B705" s="22" t="n"/>
    </row>
    <row r="706" customFormat="1" s="122">
      <c r="B706" s="22" t="n"/>
    </row>
    <row r="707" customFormat="1" s="122">
      <c r="B707" s="22" t="n"/>
    </row>
    <row r="708" customFormat="1" s="122">
      <c r="B708" s="22" t="n"/>
    </row>
    <row r="709" customFormat="1" s="122">
      <c r="B709" s="22" t="n"/>
    </row>
    <row r="710" customFormat="1" s="122">
      <c r="B710" s="22" t="n"/>
    </row>
    <row r="711" customFormat="1" s="122">
      <c r="B711" s="22" t="n"/>
    </row>
    <row r="712" customFormat="1" s="122">
      <c r="B712" s="22" t="n"/>
    </row>
    <row r="713" customFormat="1" s="122">
      <c r="B713" s="22" t="n"/>
    </row>
    <row r="714" customFormat="1" s="122">
      <c r="B714" s="22" t="n"/>
    </row>
    <row r="715" customFormat="1" s="122">
      <c r="B715" s="22" t="n"/>
    </row>
    <row r="716" customFormat="1" s="122">
      <c r="B716" s="22" t="n"/>
    </row>
    <row r="717" customFormat="1" s="122">
      <c r="B717" s="22" t="n"/>
    </row>
    <row r="718" customFormat="1" s="122">
      <c r="B718" s="22" t="n"/>
    </row>
    <row r="719" customFormat="1" s="122">
      <c r="B719" s="22" t="n"/>
    </row>
    <row r="720" customFormat="1" s="122">
      <c r="B720" s="22" t="n"/>
    </row>
    <row r="721" customFormat="1" s="122">
      <c r="B721" s="22" t="n"/>
    </row>
    <row r="722" customFormat="1" s="122">
      <c r="B722" s="22" t="n"/>
    </row>
    <row r="723" customFormat="1" s="122">
      <c r="B723" s="22" t="n"/>
    </row>
    <row r="724" customFormat="1" s="122">
      <c r="B724" s="22" t="n"/>
    </row>
    <row r="725" customFormat="1" s="122">
      <c r="B725" s="22" t="n"/>
    </row>
    <row r="726" customFormat="1" s="122">
      <c r="B726" s="22" t="n"/>
    </row>
    <row r="727" customFormat="1" s="122">
      <c r="B727" s="22" t="n"/>
    </row>
    <row r="728" customFormat="1" s="122">
      <c r="B728" s="22" t="n"/>
    </row>
    <row r="729" customFormat="1" s="122">
      <c r="B729" s="22" t="n"/>
    </row>
    <row r="730" customFormat="1" s="122">
      <c r="B730" s="22" t="n"/>
    </row>
    <row r="731" customFormat="1" s="122">
      <c r="B731" s="22" t="n"/>
    </row>
    <row r="732" customFormat="1" s="122">
      <c r="B732" s="22" t="n"/>
    </row>
    <row r="733" customFormat="1" s="122">
      <c r="B733" s="22" t="n"/>
    </row>
    <row r="734" customFormat="1" s="122">
      <c r="B734" s="22" t="n"/>
    </row>
    <row r="735" customFormat="1" s="122">
      <c r="B735" s="22" t="n"/>
    </row>
    <row r="736" customFormat="1" s="122">
      <c r="B736" s="22" t="n"/>
    </row>
    <row r="737" customFormat="1" s="122">
      <c r="B737" s="22" t="n"/>
    </row>
    <row r="738" customFormat="1" s="122">
      <c r="B738" s="22" t="n"/>
    </row>
    <row r="739" customFormat="1" s="122">
      <c r="B739" s="22" t="n"/>
    </row>
    <row r="740" customFormat="1" s="122">
      <c r="B740" s="22" t="n"/>
    </row>
    <row r="741" customFormat="1" s="122">
      <c r="B741" s="22" t="n"/>
    </row>
    <row r="742" customFormat="1" s="122">
      <c r="B742" s="22" t="n"/>
    </row>
    <row r="743" customFormat="1" s="122">
      <c r="B743" s="22" t="n"/>
    </row>
    <row r="744" customFormat="1" s="122">
      <c r="B744" s="22" t="n"/>
    </row>
    <row r="745" customFormat="1" s="122">
      <c r="B745" s="22" t="n"/>
    </row>
    <row r="746" customFormat="1" s="122">
      <c r="B746" s="22" t="n"/>
    </row>
    <row r="747" customFormat="1" s="122">
      <c r="B747" s="22" t="n"/>
    </row>
    <row r="748" customFormat="1" s="122">
      <c r="B748" s="22" t="n"/>
    </row>
    <row r="749" customFormat="1" s="122">
      <c r="B749" s="22" t="n"/>
    </row>
    <row r="750" customFormat="1" s="122">
      <c r="B750" s="22" t="n"/>
    </row>
    <row r="751" customFormat="1" s="122">
      <c r="B751" s="22" t="n"/>
    </row>
    <row r="752" customFormat="1" s="122">
      <c r="B752" s="22" t="n"/>
    </row>
    <row r="753" customFormat="1" s="122">
      <c r="B753" s="22" t="n"/>
    </row>
    <row r="754" customFormat="1" s="122">
      <c r="B754" s="22" t="n"/>
    </row>
    <row r="755" customFormat="1" s="122">
      <c r="B755" s="22" t="n"/>
    </row>
    <row r="756" customFormat="1" s="122">
      <c r="B756" s="22" t="n"/>
    </row>
    <row r="757" customFormat="1" s="122">
      <c r="B757" s="22" t="n"/>
    </row>
    <row r="758" customFormat="1" s="122">
      <c r="B758" s="22" t="n"/>
    </row>
    <row r="759" customFormat="1" s="122">
      <c r="B759" s="22" t="n"/>
    </row>
    <row r="760" customFormat="1" s="122">
      <c r="B760" s="22" t="n"/>
    </row>
    <row r="761" customFormat="1" s="122">
      <c r="B761" s="22" t="n"/>
    </row>
    <row r="762" customFormat="1" s="122">
      <c r="B762" s="22" t="n"/>
    </row>
    <row r="763" customFormat="1" s="122">
      <c r="B763" s="22" t="n"/>
    </row>
    <row r="764" customFormat="1" s="122">
      <c r="B764" s="22" t="n"/>
    </row>
    <row r="765" customFormat="1" s="122">
      <c r="B765" s="22" t="n"/>
    </row>
    <row r="766" customFormat="1" s="122">
      <c r="B766" s="22" t="n"/>
    </row>
    <row r="767" customFormat="1" s="122">
      <c r="B767" s="22" t="n"/>
    </row>
    <row r="768" customFormat="1" s="122">
      <c r="B768" s="22" t="n"/>
    </row>
    <row r="769" customFormat="1" s="122">
      <c r="B769" s="22" t="n"/>
    </row>
    <row r="770" customFormat="1" s="122">
      <c r="B770" s="22" t="n"/>
    </row>
    <row r="771" customFormat="1" s="122">
      <c r="B771" s="22" t="n"/>
    </row>
    <row r="772" customFormat="1" s="122">
      <c r="B772" s="22" t="n"/>
    </row>
    <row r="773" customFormat="1" s="122">
      <c r="B773" s="22" t="n"/>
    </row>
    <row r="774">
      <c r="A774" s="122" t="n"/>
      <c r="B774" s="22" t="n"/>
      <c r="C774" s="122" t="n"/>
      <c r="D774" s="122" t="n"/>
    </row>
    <row r="775">
      <c r="A775" s="122" t="n"/>
      <c r="B775" s="22" t="n"/>
      <c r="C775" s="122" t="n"/>
      <c r="D775" s="122" t="n"/>
    </row>
    <row r="776">
      <c r="A776" s="122" t="n"/>
      <c r="B776" s="22" t="n"/>
      <c r="C776" s="122" t="n"/>
      <c r="D776" s="122" t="n"/>
    </row>
    <row r="777">
      <c r="A777" s="122" t="n"/>
      <c r="B777" s="22" t="n"/>
      <c r="C777" s="122" t="n"/>
      <c r="D777" s="122" t="n"/>
    </row>
    <row r="778">
      <c r="A778" s="122" t="n"/>
      <c r="B778" s="22" t="n"/>
      <c r="C778" s="122" t="n"/>
      <c r="D778" s="122" t="n"/>
    </row>
    <row r="779">
      <c r="A779" s="122" t="n"/>
      <c r="B779" s="22" t="n"/>
      <c r="C779" s="122" t="n"/>
      <c r="D779" s="122" t="n"/>
    </row>
    <row r="780">
      <c r="A780" s="122" t="n"/>
      <c r="B780" s="22" t="n"/>
      <c r="C780" s="122" t="n"/>
      <c r="D780" s="122" t="n"/>
    </row>
    <row r="781">
      <c r="A781" s="122" t="n"/>
      <c r="B781" s="22" t="n"/>
      <c r="C781" s="122" t="n"/>
      <c r="D781" s="122" t="n"/>
    </row>
    <row r="782">
      <c r="A782" s="122" t="n"/>
      <c r="B782" s="22" t="n"/>
      <c r="C782" s="122" t="n"/>
      <c r="D782" s="122" t="n"/>
    </row>
    <row r="783">
      <c r="A783" s="122" t="n"/>
      <c r="B783" s="22" t="n"/>
      <c r="C783" s="122" t="n"/>
      <c r="D783" s="122" t="n"/>
    </row>
    <row r="784">
      <c r="A784" s="122" t="n"/>
      <c r="B784" s="22" t="n"/>
      <c r="C784" s="122" t="n"/>
      <c r="D784" s="122" t="n"/>
    </row>
    <row r="785">
      <c r="A785" s="122" t="n"/>
      <c r="B785" s="22" t="n"/>
      <c r="C785" s="122" t="n"/>
      <c r="D785" s="122" t="n"/>
    </row>
    <row r="786">
      <c r="A786" s="122" t="n"/>
      <c r="B786" s="22" t="n"/>
      <c r="C786" s="122" t="n"/>
      <c r="D786" s="122" t="n"/>
    </row>
    <row r="787">
      <c r="A787" s="122" t="n"/>
      <c r="B787" s="22" t="n"/>
      <c r="C787" s="122" t="n"/>
      <c r="D787" s="122" t="n"/>
    </row>
    <row r="788">
      <c r="A788" s="122" t="n"/>
      <c r="B788" s="22" t="n"/>
      <c r="C788" s="122" t="n"/>
      <c r="D788" s="122" t="n"/>
    </row>
    <row r="789">
      <c r="A789" s="122" t="n"/>
      <c r="B789" s="22" t="n"/>
      <c r="C789" s="122" t="n"/>
      <c r="D789" s="122" t="n"/>
    </row>
    <row r="790">
      <c r="A790" s="122" t="n"/>
      <c r="B790" s="22" t="n"/>
      <c r="C790" s="122" t="n"/>
      <c r="D790" s="122" t="n"/>
    </row>
    <row r="791">
      <c r="A791" s="122" t="n"/>
      <c r="B791" s="22" t="n"/>
      <c r="C791" s="122" t="n"/>
      <c r="D791" s="122" t="n"/>
    </row>
    <row r="792">
      <c r="A792" s="122" t="n"/>
      <c r="B792" s="22" t="n"/>
      <c r="C792" s="122" t="n"/>
      <c r="D792" s="122" t="n"/>
    </row>
    <row r="793">
      <c r="A793" s="122" t="n"/>
      <c r="B793" s="22" t="n"/>
      <c r="C793" s="122" t="n"/>
      <c r="D793" s="122" t="n"/>
    </row>
    <row r="794">
      <c r="A794" s="122" t="n"/>
      <c r="B794" s="22" t="n"/>
      <c r="C794" s="122" t="n"/>
      <c r="D794" s="122" t="n"/>
    </row>
    <row r="795">
      <c r="A795" s="122" t="n"/>
      <c r="B795" s="22" t="n"/>
      <c r="C795" s="122" t="n"/>
      <c r="D795" s="122" t="n"/>
    </row>
    <row r="796">
      <c r="A796" s="122" t="n"/>
      <c r="B796" s="22" t="n"/>
      <c r="C796" s="122" t="n"/>
      <c r="D796" s="122" t="n"/>
    </row>
    <row r="797">
      <c r="A797" s="122" t="n"/>
      <c r="B797" s="22" t="n"/>
      <c r="C797" s="122" t="n"/>
      <c r="D797" s="122" t="n"/>
    </row>
    <row r="798">
      <c r="A798" s="122" t="n"/>
      <c r="B798" s="22" t="n"/>
      <c r="C798" s="122" t="n"/>
      <c r="D798" s="122" t="n"/>
    </row>
    <row r="799">
      <c r="A799" s="122" t="n"/>
      <c r="B799" s="22" t="n"/>
      <c r="C799" s="122" t="n"/>
      <c r="D799" s="122" t="n"/>
    </row>
    <row r="800">
      <c r="A800" s="122" t="n"/>
      <c r="B800" s="22" t="n"/>
      <c r="C800" s="122" t="n"/>
      <c r="D800" s="122" t="n"/>
    </row>
    <row r="801">
      <c r="A801" s="122" t="n"/>
      <c r="B801" s="22" t="n"/>
      <c r="C801" s="122" t="n"/>
      <c r="D801" s="122" t="n"/>
    </row>
    <row r="802">
      <c r="A802" s="122" t="n"/>
      <c r="B802" s="22" t="n"/>
      <c r="C802" s="122" t="n"/>
      <c r="D802" s="122" t="n"/>
    </row>
    <row r="803">
      <c r="A803" s="122" t="n"/>
      <c r="B803" s="22" t="n"/>
      <c r="C803" s="122" t="n"/>
      <c r="D803" s="122" t="n"/>
    </row>
    <row r="804">
      <c r="A804" s="122" t="n"/>
      <c r="B804" s="22" t="n"/>
      <c r="C804" s="122" t="n"/>
      <c r="D804" s="122" t="n"/>
    </row>
    <row r="805">
      <c r="A805" s="122" t="n"/>
      <c r="B805" s="22" t="n"/>
      <c r="C805" s="122" t="n"/>
      <c r="D805" s="122" t="n"/>
    </row>
    <row r="806">
      <c r="A806" s="122" t="n"/>
      <c r="B806" s="22" t="n"/>
      <c r="C806" s="122" t="n"/>
      <c r="D806" s="122" t="n"/>
    </row>
    <row r="807">
      <c r="A807" s="122" t="n"/>
      <c r="B807" s="22" t="n"/>
      <c r="C807" s="122" t="n"/>
      <c r="D807" s="122" t="n"/>
    </row>
    <row r="808">
      <c r="A808" s="122" t="n"/>
      <c r="B808" s="22" t="n"/>
      <c r="C808" s="122" t="n"/>
      <c r="D808" s="122" t="n"/>
    </row>
    <row r="809">
      <c r="A809" s="122" t="n"/>
      <c r="B809" s="22" t="n"/>
      <c r="C809" s="122" t="n"/>
      <c r="D809" s="122" t="n"/>
    </row>
    <row r="810">
      <c r="A810" s="122" t="n"/>
      <c r="B810" s="22" t="n"/>
      <c r="C810" s="122" t="n"/>
      <c r="D810" s="122" t="n"/>
    </row>
    <row r="811">
      <c r="A811" s="122" t="n"/>
      <c r="B811" s="22" t="n"/>
      <c r="C811" s="122" t="n"/>
      <c r="D811" s="122" t="n"/>
    </row>
    <row r="812">
      <c r="A812" s="122" t="n"/>
      <c r="B812" s="22" t="n"/>
      <c r="C812" s="122" t="n"/>
      <c r="D812" s="122" t="n"/>
    </row>
    <row r="813">
      <c r="A813" s="122" t="n"/>
      <c r="B813" s="22" t="n"/>
      <c r="C813" s="122" t="n"/>
      <c r="D813" s="122" t="n"/>
    </row>
  </sheetData>
  <conditionalFormatting sqref="C8:C375">
    <cfRule type="colorScale" priority="2">
      <colorScale>
        <cfvo type="min"/>
        <cfvo type="percentile" val="50"/>
        <cfvo type="max"/>
        <color rgb="FFF8696B"/>
        <color rgb="FFFFEB84"/>
        <color rgb="FF63BE7B"/>
      </colorScale>
    </cfRule>
  </conditionalFormatting>
  <conditionalFormatting sqref="D19:D375">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paperSize="9"/>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8">
    <outlinePr summaryBelow="1" summaryRight="1"/>
    <pageSetUpPr/>
  </sheetPr>
  <dimension ref="A1:D375"/>
  <sheetViews>
    <sheetView zoomScale="160" zoomScaleNormal="160" workbookViewId="0">
      <pane ySplit="6" topLeftCell="A363" activePane="bottomLeft" state="frozen"/>
      <selection pane="bottomLeft" activeCell="L380" sqref="L380"/>
    </sheetView>
  </sheetViews>
  <sheetFormatPr baseColWidth="10" defaultColWidth="8.83203125" defaultRowHeight="15"/>
  <cols>
    <col width="14" customWidth="1" style="54" min="1" max="1"/>
    <col width="23.1640625" customWidth="1" style="54" min="2" max="2"/>
    <col width="14.1640625" customWidth="1" style="54" min="3" max="4"/>
    <col width="9.1640625" customWidth="1" style="122" min="5" max="69"/>
  </cols>
  <sheetData>
    <row r="1" customFormat="1" s="122">
      <c r="A1" s="122" t="inlineStr">
        <is>
          <t>RSDBS</t>
        </is>
      </c>
      <c r="B1" s="29" t="inlineStr">
        <is>
          <t>Food and Beverage Stores (RSDBS), Millions of Dollars, Monthly, Seasonally Adjusted</t>
        </is>
      </c>
      <c r="C1" s="54" t="n"/>
      <c r="D1" s="54" t="n"/>
    </row>
    <row r="2" customFormat="1" s="122">
      <c r="A2" s="128" t="inlineStr">
        <is>
          <t>https://fred.stlouisfed.org/series/RSDBS</t>
        </is>
      </c>
      <c r="C2" s="54" t="n"/>
      <c r="D2" s="54" t="n"/>
    </row>
    <row r="3" customFormat="1" s="122">
      <c r="A3" s="9" t="n"/>
      <c r="B3" s="54" t="n"/>
      <c r="C3" s="54" t="n"/>
      <c r="D3" s="54" t="n"/>
    </row>
    <row r="4" customFormat="1" s="122">
      <c r="A4" s="9" t="n"/>
      <c r="B4" s="54" t="n"/>
      <c r="C4" s="54" t="n"/>
      <c r="D4" s="54" t="n"/>
    </row>
    <row r="5" ht="16" customFormat="1" customHeight="1" s="122" thickBot="1">
      <c r="A5" s="54" t="n"/>
      <c r="B5" s="54" t="n"/>
      <c r="C5" s="54" t="n"/>
      <c r="D5" s="54" t="n"/>
    </row>
    <row r="6" ht="43.5" customHeight="1" s="95">
      <c r="A6" s="82" t="inlineStr">
        <is>
          <t>Date</t>
        </is>
      </c>
      <c r="B6" s="83" t="inlineStr">
        <is>
          <t>Food and Beverage Stores, Millions of Dollars</t>
        </is>
      </c>
      <c r="C6" s="84" t="inlineStr">
        <is>
          <t>mom</t>
        </is>
      </c>
      <c r="D6" s="85" t="inlineStr">
        <is>
          <t>yoy</t>
        </is>
      </c>
    </row>
    <row r="7">
      <c r="A7" s="10" t="n">
        <v>33604</v>
      </c>
      <c r="B7" s="15">
        <f>VLOOKUP(A7,Database!A:K,MATCH($A$1,Database!$A$1:$K$1,),)</f>
        <v/>
      </c>
      <c r="C7" s="1" t="n"/>
      <c r="D7" s="1" t="n"/>
    </row>
    <row r="8">
      <c r="A8" s="11" t="n">
        <v>33635</v>
      </c>
      <c r="B8" s="15">
        <f>VLOOKUP(A8,Database!A:K,MATCH($A$1,Database!$A$1:$K$1,),)</f>
        <v/>
      </c>
      <c r="C8" s="12">
        <f>(B8-B7)/B7</f>
        <v/>
      </c>
      <c r="D8" s="1" t="n"/>
    </row>
    <row r="9">
      <c r="A9" s="10" t="n">
        <v>33664</v>
      </c>
      <c r="B9" s="15">
        <f>VLOOKUP(A9,Database!A:K,MATCH($A$1,Database!$A$1:$K$1,),)</f>
        <v/>
      </c>
      <c r="C9" s="12">
        <f>(B9-B8)/B8</f>
        <v/>
      </c>
      <c r="D9" s="1" t="n"/>
    </row>
    <row r="10">
      <c r="A10" s="11" t="n">
        <v>33695</v>
      </c>
      <c r="B10" s="15">
        <f>VLOOKUP(A10,Database!A:K,MATCH($A$1,Database!$A$1:$K$1,),)</f>
        <v/>
      </c>
      <c r="C10" s="12">
        <f>(B10-B9)/B9</f>
        <v/>
      </c>
      <c r="D10" s="1" t="n"/>
    </row>
    <row r="11">
      <c r="A11" s="10" t="n">
        <v>33725</v>
      </c>
      <c r="B11" s="15">
        <f>VLOOKUP(A11,Database!A:K,MATCH($A$1,Database!$A$1:$K$1,),)</f>
        <v/>
      </c>
      <c r="C11" s="12">
        <f>(B11-B10)/B10</f>
        <v/>
      </c>
      <c r="D11" s="1" t="n"/>
    </row>
    <row r="12">
      <c r="A12" s="11" t="n">
        <v>33756</v>
      </c>
      <c r="B12" s="15">
        <f>VLOOKUP(A12,Database!A:K,MATCH($A$1,Database!$A$1:$K$1,),)</f>
        <v/>
      </c>
      <c r="C12" s="12">
        <f>(B12-B11)/B11</f>
        <v/>
      </c>
      <c r="D12" s="1" t="n"/>
    </row>
    <row r="13">
      <c r="A13" s="10" t="n">
        <v>33786</v>
      </c>
      <c r="B13" s="15">
        <f>VLOOKUP(A13,Database!A:K,MATCH($A$1,Database!$A$1:$K$1,),)</f>
        <v/>
      </c>
      <c r="C13" s="12">
        <f>(B13-B12)/B12</f>
        <v/>
      </c>
      <c r="D13" s="1" t="n"/>
    </row>
    <row r="14">
      <c r="A14" s="11" t="n">
        <v>33817</v>
      </c>
      <c r="B14" s="15">
        <f>VLOOKUP(A14,Database!A:K,MATCH($A$1,Database!$A$1:$K$1,),)</f>
        <v/>
      </c>
      <c r="C14" s="12">
        <f>(B14-B13)/B13</f>
        <v/>
      </c>
      <c r="D14" s="1" t="n"/>
    </row>
    <row r="15">
      <c r="A15" s="10" t="n">
        <v>33848</v>
      </c>
      <c r="B15" s="15">
        <f>VLOOKUP(A15,Database!A:K,MATCH($A$1,Database!$A$1:$K$1,),)</f>
        <v/>
      </c>
      <c r="C15" s="12">
        <f>(B15-B14)/B14</f>
        <v/>
      </c>
      <c r="D15" s="1" t="n"/>
    </row>
    <row r="16">
      <c r="A16" s="11" t="n">
        <v>33878</v>
      </c>
      <c r="B16" s="15">
        <f>VLOOKUP(A16,Database!A:K,MATCH($A$1,Database!$A$1:$K$1,),)</f>
        <v/>
      </c>
      <c r="C16" s="12">
        <f>(B16-B15)/B15</f>
        <v/>
      </c>
      <c r="D16" s="1" t="n"/>
    </row>
    <row r="17">
      <c r="A17" s="10" t="n">
        <v>33909</v>
      </c>
      <c r="B17" s="15">
        <f>VLOOKUP(A17,Database!A:K,MATCH($A$1,Database!$A$1:$K$1,),)</f>
        <v/>
      </c>
      <c r="C17" s="12">
        <f>(B17-B16)/B16</f>
        <v/>
      </c>
      <c r="D17" s="1" t="n"/>
    </row>
    <row r="18">
      <c r="A18" s="11" t="n">
        <v>33939</v>
      </c>
      <c r="B18" s="15">
        <f>VLOOKUP(A18,Database!A:K,MATCH($A$1,Database!$A$1:$K$1,),)</f>
        <v/>
      </c>
      <c r="C18" s="12">
        <f>(B18-B17)/B17</f>
        <v/>
      </c>
      <c r="D18" s="1" t="n"/>
    </row>
    <row r="19">
      <c r="A19" s="10"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0"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0"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0"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0"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0"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0"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0"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0"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0"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0"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0"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0"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0"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0"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0"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0"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0"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0"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0"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0"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0"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0"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0"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0"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0"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0"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0"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0"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0"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0"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0"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0"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0"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0"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0"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0"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0"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0"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0"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0"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0"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0"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0"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0"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0"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0"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0"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0"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0"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0"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0"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0"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0"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0"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0"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0"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0"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0"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0"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0"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0"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0"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0"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0"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0"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0"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0"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0"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0"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0"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0"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0"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0"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0"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0"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0"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0"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0"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0"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0"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0"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0"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0"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0"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0"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0"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0"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0"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0"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0"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0"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0"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0"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0"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0"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0"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0"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0"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0"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0"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0"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0"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0"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0"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0"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0"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0"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0"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0"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0"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0"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0"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0"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0"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0"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0"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0"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0"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0"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0"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0"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0"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0"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0"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0"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0"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0"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0"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0"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0"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0"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0"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0"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0"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0"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0"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0"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0"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0"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0"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0"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0"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0"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0"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0"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0"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0"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0"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0"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0"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0"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0"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0"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0"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0"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0"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0" t="n">
        <v>43525</v>
      </c>
      <c r="B333" s="15">
        <f>VLOOKUP(A333,Database!A:K,MATCH($A$1,Database!$A$1:$K$1,),)</f>
        <v/>
      </c>
      <c r="C333" s="12">
        <f>(B333-B332)/B332</f>
        <v/>
      </c>
      <c r="D333" s="13">
        <f>(B333-B321)/B321</f>
        <v/>
      </c>
    </row>
    <row r="334">
      <c r="A334" s="11" t="n">
        <v>43556</v>
      </c>
      <c r="B334" s="15">
        <f>VLOOKUP(A334,Database!A:K,MATCH($A$1,Database!$A$1:$K$1,),)</f>
        <v/>
      </c>
      <c r="C334" s="12">
        <f>(B334-B333)/B333</f>
        <v/>
      </c>
      <c r="D334" s="13">
        <f>(B334-B322)/B322</f>
        <v/>
      </c>
    </row>
    <row r="335">
      <c r="A335" s="10" t="n">
        <v>43586</v>
      </c>
      <c r="B335" s="15">
        <f>VLOOKUP(A335,Database!A:K,MATCH($A$1,Database!$A$1:$K$1,),)</f>
        <v/>
      </c>
      <c r="C335" s="12">
        <f>(B335-B334)/B334</f>
        <v/>
      </c>
      <c r="D335" s="13">
        <f>(B335-B323)/B323</f>
        <v/>
      </c>
    </row>
    <row r="336">
      <c r="A336" s="11" t="n">
        <v>43617</v>
      </c>
      <c r="B336" s="15">
        <f>VLOOKUP(A336,Database!A:K,MATCH($A$1,Database!$A$1:$K$1,),)</f>
        <v/>
      </c>
      <c r="C336" s="12">
        <f>(B336-B335)/B335</f>
        <v/>
      </c>
      <c r="D336" s="13">
        <f>(B336-B324)/B324</f>
        <v/>
      </c>
    </row>
    <row r="337">
      <c r="A337" s="10" t="n">
        <v>43647</v>
      </c>
      <c r="B337" s="15">
        <f>VLOOKUP(A337,Database!A:K,MATCH($A$1,Database!$A$1:$K$1,),)</f>
        <v/>
      </c>
      <c r="C337" s="12">
        <f>(B337-B336)/B336</f>
        <v/>
      </c>
      <c r="D337" s="13">
        <f>(B337-B325)/B325</f>
        <v/>
      </c>
    </row>
    <row r="338">
      <c r="A338" s="11" t="n">
        <v>43678</v>
      </c>
      <c r="B338" s="15">
        <f>VLOOKUP(A338,Database!A:K,MATCH($A$1,Database!$A$1:$K$1,),)</f>
        <v/>
      </c>
      <c r="C338" s="12">
        <f>(B338-B337)/B337</f>
        <v/>
      </c>
      <c r="D338" s="13">
        <f>(B338-B326)/B326</f>
        <v/>
      </c>
    </row>
    <row r="339">
      <c r="A339" s="10" t="n">
        <v>43709</v>
      </c>
      <c r="B339" s="15">
        <f>VLOOKUP(A339,Database!A:K,MATCH($A$1,Database!$A$1:$K$1,),)</f>
        <v/>
      </c>
      <c r="C339" s="12">
        <f>(B339-B338)/B338</f>
        <v/>
      </c>
      <c r="D339" s="13">
        <f>(B339-B327)/B327</f>
        <v/>
      </c>
    </row>
    <row r="340">
      <c r="A340" s="11" t="n">
        <v>43739</v>
      </c>
      <c r="B340" s="15">
        <f>VLOOKUP(A340,Database!A:K,MATCH($A$1,Database!$A$1:$K$1,),)</f>
        <v/>
      </c>
      <c r="C340" s="12">
        <f>(B340-B339)/B339</f>
        <v/>
      </c>
      <c r="D340" s="13">
        <f>(B340-B328)/B328</f>
        <v/>
      </c>
    </row>
    <row r="341">
      <c r="A341" s="10" t="n">
        <v>43770</v>
      </c>
      <c r="B341" s="15">
        <f>VLOOKUP(A341,Database!A:K,MATCH($A$1,Database!$A$1:$K$1,),)</f>
        <v/>
      </c>
      <c r="C341" s="12">
        <f>(B341-B340)/B340</f>
        <v/>
      </c>
      <c r="D341" s="13">
        <f>(B341-B329)/B329</f>
        <v/>
      </c>
    </row>
    <row r="342">
      <c r="A342" s="11" t="n">
        <v>43800</v>
      </c>
      <c r="B342" s="15">
        <f>VLOOKUP(A342,Database!A:K,MATCH($A$1,Database!$A$1:$K$1,),)</f>
        <v/>
      </c>
      <c r="C342" s="12">
        <f>(B342-B341)/B341</f>
        <v/>
      </c>
      <c r="D342" s="13">
        <f>(B342-B330)/B330</f>
        <v/>
      </c>
    </row>
    <row r="343">
      <c r="A343" s="10" t="n">
        <v>43831</v>
      </c>
      <c r="B343" s="15">
        <f>VLOOKUP(A343,Database!A:K,MATCH($A$1,Database!$A$1:$K$1,),)</f>
        <v/>
      </c>
      <c r="C343" s="12">
        <f>(B343-B342)/B342</f>
        <v/>
      </c>
      <c r="D343" s="13">
        <f>(B343-B331)/B331</f>
        <v/>
      </c>
    </row>
    <row r="344">
      <c r="A344" s="11" t="n">
        <v>43862</v>
      </c>
      <c r="B344" s="15">
        <f>VLOOKUP(A344,Database!A:K,MATCH($A$1,Database!$A$1:$K$1,),)</f>
        <v/>
      </c>
      <c r="C344" s="12">
        <f>(B344-B343)/B343</f>
        <v/>
      </c>
      <c r="D344" s="13">
        <f>(B344-B332)/B332</f>
        <v/>
      </c>
    </row>
    <row r="345">
      <c r="A345" s="10" t="n">
        <v>43891</v>
      </c>
      <c r="B345" s="15">
        <f>VLOOKUP(A345,Database!A:K,MATCH($A$1,Database!$A$1:$K$1,),)</f>
        <v/>
      </c>
      <c r="C345" s="12">
        <f>(B345-B344)/B344</f>
        <v/>
      </c>
      <c r="D345" s="13">
        <f>(B345-B333)/B333</f>
        <v/>
      </c>
    </row>
    <row r="346">
      <c r="A346" s="11" t="n">
        <v>43922</v>
      </c>
      <c r="B346" s="15">
        <f>VLOOKUP(A346,Database!A:K,MATCH($A$1,Database!$A$1:$K$1,),)</f>
        <v/>
      </c>
      <c r="C346" s="12">
        <f>(B346-B345)/B345</f>
        <v/>
      </c>
      <c r="D346" s="13">
        <f>(B346-B334)/B334</f>
        <v/>
      </c>
    </row>
    <row r="347">
      <c r="A347" s="10" t="n">
        <v>43952</v>
      </c>
      <c r="B347" s="15">
        <f>VLOOKUP(A347,Database!A:K,MATCH($A$1,Database!$A$1:$K$1,),)</f>
        <v/>
      </c>
      <c r="C347" s="12">
        <f>(B347-B346)/B346</f>
        <v/>
      </c>
      <c r="D347" s="13">
        <f>(B347-B335)/B335</f>
        <v/>
      </c>
    </row>
    <row r="348">
      <c r="A348" s="11" t="n">
        <v>43983</v>
      </c>
      <c r="B348" s="15">
        <f>VLOOKUP(A348,Database!A:K,MATCH($A$1,Database!$A$1:$K$1,),)</f>
        <v/>
      </c>
      <c r="C348" s="12">
        <f>(B348-B347)/B347</f>
        <v/>
      </c>
      <c r="D348" s="13">
        <f>(B348-B336)/B336</f>
        <v/>
      </c>
    </row>
    <row r="349">
      <c r="A349" s="10" t="n">
        <v>44013</v>
      </c>
      <c r="B349" s="15">
        <f>VLOOKUP(A349,Database!A:K,MATCH($A$1,Database!$A$1:$K$1,),)</f>
        <v/>
      </c>
      <c r="C349" s="12">
        <f>(B349-B348)/B348</f>
        <v/>
      </c>
      <c r="D349" s="13">
        <f>(B349-B337)/B337</f>
        <v/>
      </c>
    </row>
    <row r="350">
      <c r="A350" s="11" t="n">
        <v>44044</v>
      </c>
      <c r="B350" s="15">
        <f>VLOOKUP(A350,Database!A:K,MATCH($A$1,Database!$A$1:$K$1,),)</f>
        <v/>
      </c>
      <c r="C350" s="12">
        <f>(B350-B349)/B349</f>
        <v/>
      </c>
      <c r="D350" s="13">
        <f>(B350-B338)/B338</f>
        <v/>
      </c>
    </row>
    <row r="351">
      <c r="A351" s="10" t="n">
        <v>44075</v>
      </c>
      <c r="B351" s="15">
        <f>VLOOKUP(A351,Database!A:K,MATCH($A$1,Database!$A$1:$K$1,),)</f>
        <v/>
      </c>
      <c r="C351" s="12">
        <f>(B351-B350)/B350</f>
        <v/>
      </c>
      <c r="D351" s="13">
        <f>(B351-B339)/B339</f>
        <v/>
      </c>
    </row>
    <row r="352">
      <c r="A352" s="11" t="n">
        <v>44105</v>
      </c>
      <c r="B352" s="15">
        <f>VLOOKUP(A352,Database!A:K,MATCH($A$1,Database!$A$1:$K$1,),)</f>
        <v/>
      </c>
      <c r="C352" s="12">
        <f>(B352-B351)/B351</f>
        <v/>
      </c>
      <c r="D352" s="13">
        <f>(B352-B340)/B340</f>
        <v/>
      </c>
    </row>
    <row r="353">
      <c r="A353" s="10" t="n">
        <v>44136</v>
      </c>
      <c r="B353" s="15">
        <f>VLOOKUP(A353,Database!A:K,MATCH($A$1,Database!$A$1:$K$1,),)</f>
        <v/>
      </c>
      <c r="C353" s="12">
        <f>(B353-B352)/B352</f>
        <v/>
      </c>
      <c r="D353" s="13">
        <f>(B353-B341)/B341</f>
        <v/>
      </c>
    </row>
    <row r="354">
      <c r="A354" s="11" t="n">
        <v>44166</v>
      </c>
      <c r="B354" s="15">
        <f>VLOOKUP(A354,Database!A:K,MATCH($A$1,Database!$A$1:$K$1,),)</f>
        <v/>
      </c>
      <c r="C354" s="12">
        <f>(B354-B353)/B353</f>
        <v/>
      </c>
      <c r="D354" s="13">
        <f>(B354-B342)/B342</f>
        <v/>
      </c>
    </row>
    <row r="355">
      <c r="A355" s="10" t="n">
        <v>44197</v>
      </c>
      <c r="B355" s="15">
        <f>VLOOKUP(A355,Database!A:K,MATCH($A$1,Database!$A$1:$K$1,),)</f>
        <v/>
      </c>
      <c r="C355" s="12">
        <f>(B355-B354)/B354</f>
        <v/>
      </c>
      <c r="D355" s="13">
        <f>(B355-B343)/B343</f>
        <v/>
      </c>
    </row>
    <row r="356">
      <c r="A356" s="11" t="n">
        <v>44228</v>
      </c>
      <c r="B356" s="15">
        <f>VLOOKUP(A356,Database!A:K,MATCH($A$1,Database!$A$1:$K$1,),)</f>
        <v/>
      </c>
      <c r="C356" s="12">
        <f>(B356-B355)/B355</f>
        <v/>
      </c>
      <c r="D356" s="13">
        <f>(B356-B344)/B344</f>
        <v/>
      </c>
    </row>
    <row r="357">
      <c r="A357" s="10" t="n">
        <v>44256</v>
      </c>
      <c r="B357" s="15">
        <f>VLOOKUP(A357,Database!A:K,MATCH($A$1,Database!$A$1:$K$1,),)</f>
        <v/>
      </c>
      <c r="C357" s="12">
        <f>(B357-B356)/B356</f>
        <v/>
      </c>
      <c r="D357" s="13">
        <f>(B357-B345)/B345</f>
        <v/>
      </c>
    </row>
    <row r="358">
      <c r="A358" s="11" t="n">
        <v>44287</v>
      </c>
      <c r="B358" s="15">
        <f>VLOOKUP(A358,Database!A:K,MATCH($A$1,Database!$A$1:$K$1,),)</f>
        <v/>
      </c>
      <c r="C358" s="12">
        <f>(B358-B357)/B357</f>
        <v/>
      </c>
      <c r="D358" s="13">
        <f>(B358-B346)/B346</f>
        <v/>
      </c>
    </row>
    <row r="359">
      <c r="A359" s="10" t="n">
        <v>44317</v>
      </c>
      <c r="B359" s="15">
        <f>VLOOKUP(A359,Database!A:K,MATCH($A$1,Database!$A$1:$K$1,),)</f>
        <v/>
      </c>
      <c r="C359" s="12">
        <f>(B359-B358)/B358</f>
        <v/>
      </c>
      <c r="D359" s="13">
        <f>(B359-B347)/B347</f>
        <v/>
      </c>
    </row>
    <row r="360">
      <c r="A360" s="11" t="n">
        <v>44348</v>
      </c>
      <c r="B360" s="15">
        <f>VLOOKUP(A360,Database!A:K,MATCH($A$1,Database!$A$1:$K$1,),)</f>
        <v/>
      </c>
      <c r="C360" s="12">
        <f>(B360-B359)/B359</f>
        <v/>
      </c>
      <c r="D360" s="13">
        <f>(B360-B348)/B348</f>
        <v/>
      </c>
    </row>
    <row r="361">
      <c r="A361" s="10" t="n">
        <v>44378</v>
      </c>
      <c r="B361" s="15">
        <f>VLOOKUP(A361,Database!A:K,MATCH($A$1,Database!$A$1:$K$1,),)</f>
        <v/>
      </c>
      <c r="C361" s="12">
        <f>(B361-B360)/B360</f>
        <v/>
      </c>
      <c r="D361" s="13">
        <f>(B361-B349)/B349</f>
        <v/>
      </c>
    </row>
    <row r="362">
      <c r="A362" s="11" t="n">
        <v>44409</v>
      </c>
      <c r="B362" s="15">
        <f>VLOOKUP(A362,Database!A:K,MATCH($A$1,Database!$A$1:$K$1,),)</f>
        <v/>
      </c>
      <c r="C362" s="12">
        <f>(B362-B361)/B361</f>
        <v/>
      </c>
      <c r="D362" s="13">
        <f>(B362-B350)/B350</f>
        <v/>
      </c>
    </row>
    <row r="363">
      <c r="A363" s="11" t="n">
        <v>44440</v>
      </c>
      <c r="B363" s="15">
        <f>VLOOKUP(A363,Database!A:K,MATCH($A$1,Database!$A$1:$K$1,),)</f>
        <v/>
      </c>
      <c r="C363" s="12">
        <f>(B363-B362)/B362</f>
        <v/>
      </c>
      <c r="D363" s="13">
        <f>(B363-B351)/B351</f>
        <v/>
      </c>
    </row>
    <row r="364">
      <c r="A364" s="10" t="n">
        <v>44470</v>
      </c>
      <c r="B364" s="15">
        <f>VLOOKUP(A364,Database!A:K,MATCH($A$1,Database!$A$1:$K$1,),)</f>
        <v/>
      </c>
      <c r="C364" s="12">
        <f>(B364-B363)/B363</f>
        <v/>
      </c>
      <c r="D364" s="13">
        <f>(B364-B352)/B352</f>
        <v/>
      </c>
    </row>
    <row r="365">
      <c r="A365" s="11" t="n">
        <v>44501</v>
      </c>
      <c r="B365" s="15">
        <f>VLOOKUP(A365,Database!A:K,MATCH($A$1,Database!$A$1:$K$1,),)</f>
        <v/>
      </c>
      <c r="C365" s="12">
        <f>(B365-B364)/B364</f>
        <v/>
      </c>
      <c r="D365" s="13">
        <f>(B365-B353)/B353</f>
        <v/>
      </c>
    </row>
    <row r="366">
      <c r="A366" s="11" t="n">
        <v>44531</v>
      </c>
      <c r="B366" s="15">
        <f>VLOOKUP(A366,Database!A:K,MATCH($A$1,Database!$A$1:$K$1,),)</f>
        <v/>
      </c>
      <c r="C366" s="12">
        <f>(B366-B365)/B365</f>
        <v/>
      </c>
      <c r="D366" s="13">
        <f>(B366-B354)/B354</f>
        <v/>
      </c>
    </row>
    <row r="367">
      <c r="A367" s="11" t="n">
        <v>44562</v>
      </c>
      <c r="B367" s="15">
        <f>VLOOKUP(A367,Database!A:K,MATCH($A$1,Database!$A$1:$K$1,),)</f>
        <v/>
      </c>
      <c r="C367" s="12">
        <f>(B367-B366)/B366</f>
        <v/>
      </c>
      <c r="D367" s="13">
        <f>(B367-B355)/B355</f>
        <v/>
      </c>
    </row>
    <row r="368">
      <c r="A368" s="11" t="n">
        <v>44593</v>
      </c>
      <c r="B368" s="15">
        <f>VLOOKUP(A368,Database!A:K,MATCH($A$1,Database!$A$1:$K$1,),)</f>
        <v/>
      </c>
      <c r="C368" s="12">
        <f>(B368-B367)/B367</f>
        <v/>
      </c>
      <c r="D368" s="13">
        <f>(B368-B356)/B356</f>
        <v/>
      </c>
    </row>
    <row r="369">
      <c r="A369" s="11" t="n">
        <v>44621</v>
      </c>
      <c r="B369" s="15">
        <f>VLOOKUP(A369,Database!A:K,MATCH($A$1,Database!$A$1:$K$1,),)</f>
        <v/>
      </c>
      <c r="C369" s="12">
        <f>(B369-B368)/B368</f>
        <v/>
      </c>
      <c r="D369" s="13">
        <f>(B369-B357)/B357</f>
        <v/>
      </c>
    </row>
    <row r="370">
      <c r="A370" s="10" t="n">
        <v>44652</v>
      </c>
      <c r="B370" s="15">
        <f>VLOOKUP(A370,Database!A:K,MATCH($A$1,Database!$A$1:$K$1,),)</f>
        <v/>
      </c>
      <c r="C370" s="12">
        <f>(B370-B369)/B369</f>
        <v/>
      </c>
      <c r="D370" s="13">
        <f>(B370-B358)/B358</f>
        <v/>
      </c>
    </row>
    <row r="371">
      <c r="A371" s="11" t="n">
        <v>44682</v>
      </c>
      <c r="B371" s="15">
        <f>VLOOKUP(A371,Database!A:K,MATCH($A$1,Database!$A$1:$K$1,),)</f>
        <v/>
      </c>
      <c r="C371" s="12">
        <f>(B371-B370)/B370</f>
        <v/>
      </c>
      <c r="D371" s="13">
        <f>(B371-B359)/B359</f>
        <v/>
      </c>
    </row>
    <row r="372">
      <c r="A372" s="11" t="n">
        <v>44713</v>
      </c>
      <c r="B372" s="15">
        <f>VLOOKUP(A372,Database!A:K,MATCH($A$1,Database!$A$1:$K$1,),)</f>
        <v/>
      </c>
      <c r="C372" s="12">
        <f>(B372-B371)/B371</f>
        <v/>
      </c>
      <c r="D372" s="13">
        <f>(B372-B360)/B360</f>
        <v/>
      </c>
    </row>
    <row r="373">
      <c r="A373" s="11" t="n">
        <v>44743</v>
      </c>
      <c r="B373" s="15">
        <f>VLOOKUP(A373,Database!A:K,MATCH($A$1,Database!$A$1:$K$1,),)</f>
        <v/>
      </c>
      <c r="C373" s="12">
        <f>(B373-B372)/B372</f>
        <v/>
      </c>
      <c r="D373" s="13">
        <f>(B373-B361)/B361</f>
        <v/>
      </c>
    </row>
    <row r="374">
      <c r="A374" s="10" t="n">
        <v>44774</v>
      </c>
      <c r="B374" s="15">
        <f>VLOOKUP(A374,Database!A:K,MATCH($A$1,Database!$A$1:$K$1,),)</f>
        <v/>
      </c>
      <c r="C374" s="12">
        <f>(B374-B373)/B373</f>
        <v/>
      </c>
      <c r="D374" s="13">
        <f>(B374-B362)/B362</f>
        <v/>
      </c>
    </row>
    <row r="375">
      <c r="A375" s="11" t="n">
        <v>44805</v>
      </c>
      <c r="B375" s="15">
        <f>VLOOKUP(A375,Database!A:K,MATCH($A$1,Database!$A$1:$K$1,),)</f>
        <v/>
      </c>
      <c r="C375" s="12">
        <f>(B375-B374)/B374</f>
        <v/>
      </c>
      <c r="D375" s="13">
        <f>(B375-B363)/B363</f>
        <v/>
      </c>
    </row>
  </sheetData>
  <conditionalFormatting sqref="C8:C375">
    <cfRule type="colorScale" priority="2">
      <colorScale>
        <cfvo type="min"/>
        <cfvo type="percentile" val="50"/>
        <cfvo type="max"/>
        <color rgb="FFF8696B"/>
        <color rgb="FFFFEB84"/>
        <color rgb="FF63BE7B"/>
      </colorScale>
    </cfRule>
  </conditionalFormatting>
  <conditionalFormatting sqref="D19:D375">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9.xml><?xml version="1.0" encoding="utf-8"?>
<worksheet xmlns="http://schemas.openxmlformats.org/spreadsheetml/2006/main">
  <sheetPr codeName="Sheet9">
    <outlinePr summaryBelow="1" summaryRight="1"/>
    <pageSetUpPr/>
  </sheetPr>
  <dimension ref="A1:D375"/>
  <sheetViews>
    <sheetView tabSelected="1" zoomScale="200" zoomScaleNormal="200" workbookViewId="0">
      <pane ySplit="6" topLeftCell="A368" activePane="bottomLeft" state="frozen"/>
      <selection pane="bottomLeft" activeCell="A368" sqref="A368:D375"/>
    </sheetView>
  </sheetViews>
  <sheetFormatPr baseColWidth="10" defaultColWidth="9.1640625" defaultRowHeight="15"/>
  <cols>
    <col width="14" customWidth="1" style="54" min="1" max="1"/>
    <col width="14.1640625" customWidth="1" style="54" min="2" max="4"/>
    <col width="9.1640625" customWidth="1" style="122" min="5" max="17"/>
    <col width="9.1640625" customWidth="1" style="122" min="18" max="16384"/>
  </cols>
  <sheetData>
    <row r="1">
      <c r="A1" s="122" t="inlineStr">
        <is>
          <t>RSNSR</t>
        </is>
      </c>
      <c r="B1" s="29" t="inlineStr">
        <is>
          <t>Retail Trade: Nonstore Retailers (RSNSR), Millions of Dollars, Monthly, Seasonally Adjusted</t>
        </is>
      </c>
    </row>
    <row r="2">
      <c r="A2" s="128" t="inlineStr">
        <is>
          <t>https://fred.stlouisfed.org/series/RSNSR</t>
        </is>
      </c>
      <c r="B2" s="122" t="n"/>
    </row>
    <row r="3">
      <c r="A3" s="9" t="n"/>
    </row>
    <row r="4">
      <c r="A4" s="9" t="n"/>
    </row>
    <row r="5" ht="16" customHeight="1" s="95" thickBot="1"/>
    <row r="6" ht="57" customHeight="1" s="95">
      <c r="A6" s="86" t="inlineStr">
        <is>
          <t>Date</t>
        </is>
      </c>
      <c r="B6" s="87" t="inlineStr">
        <is>
          <t>Nonstore Retailers,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1"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row r="369">
      <c r="A369" s="10" t="n">
        <v>44621</v>
      </c>
      <c r="B369" s="15">
        <f>VLOOKUP(A369,Database!A:Q,MATCH($A$1,Database!$A$1:$Q$1,),)</f>
        <v/>
      </c>
      <c r="C369" s="12">
        <f>(B369-B368)/B368</f>
        <v/>
      </c>
      <c r="D369" s="13">
        <f>(B369-B357)/B357</f>
        <v/>
      </c>
    </row>
    <row r="370">
      <c r="A370" s="11" t="n">
        <v>44652</v>
      </c>
      <c r="B370" s="15">
        <f>VLOOKUP(A370,Database!A:Q,MATCH($A$1,Database!$A$1:$Q$1,),)</f>
        <v/>
      </c>
      <c r="C370" s="12">
        <f>(B370-B369)/B369</f>
        <v/>
      </c>
      <c r="D370" s="13">
        <f>(B370-B358)/B358</f>
        <v/>
      </c>
    </row>
    <row r="371">
      <c r="A371" s="10" t="n">
        <v>44682</v>
      </c>
      <c r="B371" s="15">
        <f>VLOOKUP(A371,Database!A:Q,MATCH($A$1,Database!$A$1:$Q$1,),)</f>
        <v/>
      </c>
      <c r="C371" s="12">
        <f>(B371-B370)/B370</f>
        <v/>
      </c>
      <c r="D371" s="13">
        <f>(B371-B359)/B359</f>
        <v/>
      </c>
    </row>
    <row r="372">
      <c r="A372" s="11" t="n">
        <v>44713</v>
      </c>
      <c r="B372" s="15">
        <f>VLOOKUP(A372,Database!A:Q,MATCH($A$1,Database!$A$1:$Q$1,),)</f>
        <v/>
      </c>
      <c r="C372" s="12">
        <f>(B372-B371)/B371</f>
        <v/>
      </c>
      <c r="D372" s="13">
        <f>(B372-B360)/B360</f>
        <v/>
      </c>
    </row>
    <row r="373">
      <c r="A373" s="11" t="n">
        <v>44743</v>
      </c>
      <c r="B373" s="15">
        <f>VLOOKUP(A373,Database!A:Q,MATCH($A$1,Database!$A$1:$Q$1,),)</f>
        <v/>
      </c>
      <c r="C373" s="12">
        <f>(B373-B372)/B372</f>
        <v/>
      </c>
      <c r="D373" s="13">
        <f>(B373-B361)/B361</f>
        <v/>
      </c>
    </row>
    <row r="374">
      <c r="A374" s="11" t="n">
        <v>44774</v>
      </c>
      <c r="B374" s="15">
        <f>VLOOKUP(A374,Database!A:Q,MATCH($A$1,Database!$A$1:$Q$1,),)</f>
        <v/>
      </c>
      <c r="C374" s="12">
        <f>(B374-B373)/B373</f>
        <v/>
      </c>
      <c r="D374" s="13">
        <f>(B374-B362)/B362</f>
        <v/>
      </c>
    </row>
    <row r="375">
      <c r="A375" s="11" t="n">
        <v>44805</v>
      </c>
      <c r="B375" s="15">
        <f>VLOOKUP(A375,Database!A:Q,MATCH($A$1,Database!$A$1:$Q$1,),)</f>
        <v/>
      </c>
      <c r="C375" s="12">
        <f>(B375-B374)/B374</f>
        <v/>
      </c>
      <c r="D375" s="13">
        <f>(B375-B363)/B363</f>
        <v/>
      </c>
    </row>
  </sheetData>
  <conditionalFormatting sqref="C8:C375">
    <cfRule type="colorScale" priority="2">
      <colorScale>
        <cfvo type="min"/>
        <cfvo type="percentile" val="50"/>
        <cfvo type="max"/>
        <color rgb="FFF8696B"/>
        <color rgb="FFFFEB84"/>
        <color rgb="FF63BE7B"/>
      </colorScale>
    </cfRule>
  </conditionalFormatting>
  <conditionalFormatting sqref="D19:D375">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0.xml><?xml version="1.0" encoding="utf-8"?>
<worksheet xmlns="http://schemas.openxmlformats.org/spreadsheetml/2006/main">
  <sheetPr codeName="Sheet10">
    <outlinePr summaryBelow="1" summaryRight="1"/>
    <pageSetUpPr/>
  </sheetPr>
  <dimension ref="A1:D375"/>
  <sheetViews>
    <sheetView topLeftCell="F1" zoomScale="150" zoomScaleNormal="150" workbookViewId="0">
      <pane ySplit="6" topLeftCell="A359" activePane="bottomLeft" state="frozen"/>
      <selection pane="bottomLeft" activeCell="A361" sqref="A361:D375"/>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17"/>
    <col width="9.1640625" customWidth="1" style="122" min="18" max="16384"/>
  </cols>
  <sheetData>
    <row r="1">
      <c r="A1" s="122" t="inlineStr">
        <is>
          <t>RSHPCS</t>
        </is>
      </c>
      <c r="B1" s="29" t="inlineStr">
        <is>
          <t>Retail Trade: Health and Personal Care Stores (RSHPCS), Millions of Dollars, Monthly, Seasonally Adjusted</t>
        </is>
      </c>
    </row>
    <row r="2">
      <c r="A2" s="128" t="inlineStr">
        <is>
          <t>https://fred.stlouisfed.org/series/RSHPCS</t>
        </is>
      </c>
      <c r="B2" s="122" t="n"/>
    </row>
    <row r="3">
      <c r="A3" s="9" t="n"/>
    </row>
    <row r="4">
      <c r="A4" s="9" t="n"/>
    </row>
    <row r="5" ht="16" customHeight="1" s="95" thickBot="1"/>
    <row r="6" ht="44.25" customHeight="1" s="95">
      <c r="A6" s="86" t="inlineStr">
        <is>
          <t>Date</t>
        </is>
      </c>
      <c r="B6" s="83" t="inlineStr">
        <is>
          <t>Health and Personal Care Stores,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0"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row r="369">
      <c r="A369" s="11" t="n">
        <v>44621</v>
      </c>
      <c r="B369" s="15">
        <f>VLOOKUP(A369,Database!A:Q,MATCH($A$1,Database!$A$1:$Q$1,),)</f>
        <v/>
      </c>
      <c r="C369" s="12">
        <f>(B369-B368)/B368</f>
        <v/>
      </c>
      <c r="D369" s="13">
        <f>(B369-B357)/B357</f>
        <v/>
      </c>
    </row>
    <row r="370">
      <c r="A370" s="10" t="n">
        <v>44652</v>
      </c>
      <c r="B370" s="15">
        <f>VLOOKUP(A370,Database!A:Q,MATCH($A$1,Database!$A$1:$Q$1,),)</f>
        <v/>
      </c>
      <c r="C370" s="12">
        <f>(B370-B369)/B369</f>
        <v/>
      </c>
      <c r="D370" s="13">
        <f>(B370-B358)/B358</f>
        <v/>
      </c>
    </row>
    <row r="371">
      <c r="A371" s="11" t="n">
        <v>44682</v>
      </c>
      <c r="B371" s="15">
        <f>VLOOKUP(A371,Database!A:Q,MATCH($A$1,Database!$A$1:$Q$1,),)</f>
        <v/>
      </c>
      <c r="C371" s="12">
        <f>(B371-B370)/B370</f>
        <v/>
      </c>
      <c r="D371" s="13">
        <f>(B371-B359)/B359</f>
        <v/>
      </c>
    </row>
    <row r="372">
      <c r="A372" s="10" t="n">
        <v>44713</v>
      </c>
      <c r="B372" s="15">
        <f>VLOOKUP(A372,Database!A:Q,MATCH($A$1,Database!$A$1:$Q$1,),)</f>
        <v/>
      </c>
      <c r="C372" s="12">
        <f>(B372-B371)/B371</f>
        <v/>
      </c>
      <c r="D372" s="13">
        <f>(B372-B360)/B360</f>
        <v/>
      </c>
    </row>
    <row r="373">
      <c r="A373" s="11" t="n">
        <v>44743</v>
      </c>
      <c r="B373" s="15">
        <f>VLOOKUP(A373,Database!A:Q,MATCH($A$1,Database!$A$1:$Q$1,),)</f>
        <v/>
      </c>
      <c r="C373" s="12">
        <f>(B373-B372)/B372</f>
        <v/>
      </c>
      <c r="D373" s="13">
        <f>(B373-B361)/B361</f>
        <v/>
      </c>
    </row>
    <row r="374">
      <c r="A374" s="10" t="n">
        <v>44774</v>
      </c>
      <c r="B374" s="15">
        <f>VLOOKUP(A374,Database!A:Q,MATCH($A$1,Database!$A$1:$Q$1,),)</f>
        <v/>
      </c>
      <c r="C374" s="12">
        <f>(B374-B373)/B373</f>
        <v/>
      </c>
      <c r="D374" s="13">
        <f>(B374-B362)/B362</f>
        <v/>
      </c>
    </row>
    <row r="375">
      <c r="A375" s="10" t="n">
        <v>44805</v>
      </c>
      <c r="B375" s="15">
        <f>VLOOKUP(A375,Database!A:Q,MATCH($A$1,Database!$A$1:$Q$1,),)</f>
        <v/>
      </c>
      <c r="C375" s="12">
        <f>(B375-B374)/B374</f>
        <v/>
      </c>
      <c r="D375" s="13">
        <f>(B375-B363)/B363</f>
        <v/>
      </c>
    </row>
  </sheetData>
  <conditionalFormatting sqref="C8:C375">
    <cfRule type="colorScale" priority="2">
      <colorScale>
        <cfvo type="min"/>
        <cfvo type="percentile" val="50"/>
        <cfvo type="max"/>
        <color rgb="FFF8696B"/>
        <color rgb="FFFFEB84"/>
        <color rgb="FF63BE7B"/>
      </colorScale>
    </cfRule>
  </conditionalFormatting>
  <conditionalFormatting sqref="D19:D375">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1.xml><?xml version="1.0" encoding="utf-8"?>
<worksheet xmlns="http://schemas.openxmlformats.org/spreadsheetml/2006/main">
  <sheetPr codeName="Sheet11">
    <outlinePr summaryBelow="1" summaryRight="1"/>
    <pageSetUpPr/>
  </sheetPr>
  <dimension ref="A1:D375"/>
  <sheetViews>
    <sheetView zoomScale="130" zoomScaleNormal="130" workbookViewId="0">
      <pane ySplit="6" topLeftCell="A363" activePane="bottomLeft" state="frozen"/>
      <selection pane="bottomLeft" activeCell="A362" sqref="A362:D375"/>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17"/>
    <col width="9.1640625" customWidth="1" style="122" min="18" max="16384"/>
  </cols>
  <sheetData>
    <row r="1">
      <c r="A1" s="122" t="inlineStr">
        <is>
          <t>RSSGHBMS</t>
        </is>
      </c>
      <c r="B1" s="29" t="inlineStr">
        <is>
          <t>Retail Trade: Sporting Goods, Hobby, Book, and Music Stores (RSSGHBMS), Millions of Dollars, Monthly, Seasonally Adjusted</t>
        </is>
      </c>
    </row>
    <row r="2">
      <c r="A2" s="128" t="inlineStr">
        <is>
          <t>https://fred.stlouisfed.org/series/RSSGHBMS</t>
        </is>
      </c>
      <c r="B2" s="122" t="n"/>
    </row>
    <row r="3">
      <c r="A3" s="9" t="n"/>
    </row>
    <row r="4">
      <c r="A4" s="9" t="n"/>
    </row>
    <row r="5" ht="16" customHeight="1" s="95" thickBot="1"/>
    <row r="6" ht="44.25" customHeight="1" s="95">
      <c r="A6" s="86" t="inlineStr">
        <is>
          <t>Date</t>
        </is>
      </c>
      <c r="B6" s="83" t="inlineStr">
        <is>
          <t>Sporting Goods,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0" t="n">
        <v>43617</v>
      </c>
      <c r="B336" s="15">
        <f>VLOOKUP(A336,Database!A:Q,MATCH($A$1,Database!$A$1:$Q$1,),)</f>
        <v/>
      </c>
      <c r="C336" s="12">
        <f>(B336-B335)/B335</f>
        <v/>
      </c>
      <c r="D336" s="13">
        <f>(B336-B324)/B324</f>
        <v/>
      </c>
    </row>
    <row r="337">
      <c r="A337" s="11" t="n">
        <v>43647</v>
      </c>
      <c r="B337" s="15">
        <f>VLOOKUP(A337,Database!A:Q,MATCH($A$1,Database!$A$1:$Q$1,),)</f>
        <v/>
      </c>
      <c r="C337" s="12">
        <f>(B337-B336)/B336</f>
        <v/>
      </c>
      <c r="D337" s="13">
        <f>(B337-B325)/B325</f>
        <v/>
      </c>
    </row>
    <row r="338">
      <c r="A338" s="10"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0" t="n">
        <v>44531</v>
      </c>
      <c r="B366" s="15">
        <f>VLOOKUP(A366,Database!A:Q,MATCH($A$1,Database!$A$1:$Q$1,),)</f>
        <v/>
      </c>
      <c r="C366" s="12">
        <f>(B366-B365)/B365</f>
        <v/>
      </c>
      <c r="D366" s="13">
        <f>(B366-B354)/B354</f>
        <v/>
      </c>
    </row>
    <row r="367">
      <c r="A367" s="10" t="n">
        <v>44562</v>
      </c>
      <c r="B367" s="15">
        <f>VLOOKUP(A367,Database!A:Q,MATCH($A$1,Database!$A$1:$Q$1,),)</f>
        <v/>
      </c>
      <c r="C367" s="12">
        <f>(B367-B366)/B366</f>
        <v/>
      </c>
      <c r="D367" s="13">
        <f>(B367-B355)/B355</f>
        <v/>
      </c>
    </row>
    <row r="368">
      <c r="A368" s="10" t="n">
        <v>44593</v>
      </c>
      <c r="B368" s="15">
        <f>VLOOKUP(A368,Database!A:Q,MATCH($A$1,Database!$A$1:$Q$1,),)</f>
        <v/>
      </c>
      <c r="C368" s="12">
        <f>(B368-B367)/B367</f>
        <v/>
      </c>
      <c r="D368" s="13">
        <f>(B368-B356)/B356</f>
        <v/>
      </c>
    </row>
    <row r="369">
      <c r="A369" s="11" t="n">
        <v>44621</v>
      </c>
      <c r="B369" s="15">
        <f>VLOOKUP(A369,Database!A:Q,MATCH($A$1,Database!$A$1:$Q$1,),)</f>
        <v/>
      </c>
      <c r="C369" s="12">
        <f>(B369-B368)/B368</f>
        <v/>
      </c>
      <c r="D369" s="13">
        <f>(B369-B357)/B357</f>
        <v/>
      </c>
    </row>
    <row r="370">
      <c r="A370" s="10" t="n">
        <v>44652</v>
      </c>
      <c r="B370" s="15">
        <f>VLOOKUP(A370,Database!A:Q,MATCH($A$1,Database!$A$1:$Q$1,),)</f>
        <v/>
      </c>
      <c r="C370" s="12">
        <f>(B370-B369)/B369</f>
        <v/>
      </c>
      <c r="D370" s="13">
        <f>(B370-B358)/B358</f>
        <v/>
      </c>
    </row>
    <row r="371">
      <c r="A371" s="11" t="n">
        <v>44682</v>
      </c>
      <c r="B371" s="15">
        <f>VLOOKUP(A371,Database!A:Q,MATCH($A$1,Database!$A$1:$Q$1,),)</f>
        <v/>
      </c>
      <c r="C371" s="12">
        <f>(B371-B370)/B370</f>
        <v/>
      </c>
      <c r="D371" s="13">
        <f>(B371-B359)/B359</f>
        <v/>
      </c>
    </row>
    <row r="372">
      <c r="A372" s="11" t="n">
        <v>44713</v>
      </c>
      <c r="B372" s="15">
        <f>VLOOKUP(A372,Database!A:Q,MATCH($A$1,Database!$A$1:$Q$1,),)</f>
        <v/>
      </c>
      <c r="C372" s="12">
        <f>(B372-B371)/B371</f>
        <v/>
      </c>
      <c r="D372" s="13">
        <f>(B372-B360)/B360</f>
        <v/>
      </c>
    </row>
    <row r="373">
      <c r="A373" s="11" t="n">
        <v>44743</v>
      </c>
      <c r="B373" s="15">
        <f>VLOOKUP(A373,Database!A:Q,MATCH($A$1,Database!$A$1:$Q$1,),)</f>
        <v/>
      </c>
      <c r="C373" s="12">
        <f>(B373-B372)/B372</f>
        <v/>
      </c>
      <c r="D373" s="13">
        <f>(B373-B361)/B361</f>
        <v/>
      </c>
    </row>
    <row r="374">
      <c r="A374" s="11" t="n">
        <v>44774</v>
      </c>
      <c r="B374" s="15">
        <f>VLOOKUP(A374,Database!A:Q,MATCH($A$1,Database!$A$1:$Q$1,),)</f>
        <v/>
      </c>
      <c r="C374" s="12">
        <f>(B374-B373)/B373</f>
        <v/>
      </c>
      <c r="D374" s="13">
        <f>(B374-B362)/B362</f>
        <v/>
      </c>
    </row>
    <row r="375">
      <c r="A375" s="11" t="n">
        <v>44805</v>
      </c>
      <c r="B375" s="15">
        <f>VLOOKUP(A375,Database!A:Q,MATCH($A$1,Database!$A$1:$Q$1,),)</f>
        <v/>
      </c>
      <c r="C375" s="12">
        <f>(B375-B374)/B374</f>
        <v/>
      </c>
      <c r="D375" s="13">
        <f>(B375-B363)/B363</f>
        <v/>
      </c>
    </row>
  </sheetData>
  <conditionalFormatting sqref="D19:D375">
    <cfRule type="colorScale" priority="1">
      <colorScale>
        <cfvo type="min"/>
        <cfvo type="percentile" val="50"/>
        <cfvo type="max"/>
        <color rgb="FFF8696B"/>
        <color rgb="FFFFEB84"/>
        <color rgb="FF63BE7B"/>
      </colorScale>
    </cfRule>
  </conditionalFormatting>
  <conditionalFormatting sqref="C8:C375">
    <cfRule type="colorScale" priority="2">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2.xml><?xml version="1.0" encoding="utf-8"?>
<worksheet xmlns="http://schemas.openxmlformats.org/spreadsheetml/2006/main">
  <sheetPr codeName="Sheet12">
    <outlinePr summaryBelow="1" summaryRight="1"/>
    <pageSetUpPr/>
  </sheetPr>
  <dimension ref="A1:D375"/>
  <sheetViews>
    <sheetView topLeftCell="C1" zoomScale="150" zoomScaleNormal="150" workbookViewId="0">
      <pane ySplit="6" topLeftCell="A359" activePane="bottomLeft" state="frozen"/>
      <selection pane="bottomLeft" activeCell="A363" sqref="A363:D375"/>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17"/>
    <col width="9.1640625" customWidth="1" style="122" min="18" max="16384"/>
  </cols>
  <sheetData>
    <row r="1">
      <c r="A1" s="122" t="inlineStr">
        <is>
          <t>RSGMS</t>
        </is>
      </c>
      <c r="B1" s="29" t="inlineStr">
        <is>
          <t>Retail Trade: General Merchandise Stores (RSGMS), Millions of Dollars, Monthly, Seasonally Adjusted</t>
        </is>
      </c>
    </row>
    <row r="2">
      <c r="A2" s="128" t="inlineStr">
        <is>
          <t>https://fred.stlouisfed.org/series/RSGMS</t>
        </is>
      </c>
      <c r="B2" s="122" t="n"/>
    </row>
    <row r="3">
      <c r="A3" s="9" t="n"/>
    </row>
    <row r="4">
      <c r="A4" s="9" t="n"/>
    </row>
    <row r="5" ht="16" customHeight="1" s="95" thickBot="1"/>
    <row r="6" ht="44.25" customHeight="1" s="95">
      <c r="A6" s="86" t="inlineStr">
        <is>
          <t>Date</t>
        </is>
      </c>
      <c r="B6" s="83" t="inlineStr">
        <is>
          <t>General Merchandise Stores,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0"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row r="369">
      <c r="A369" s="11" t="n">
        <v>44621</v>
      </c>
      <c r="B369" s="15">
        <f>VLOOKUP(A369,Database!A:Q,MATCH($A$1,Database!$A$1:$Q$1,),)</f>
        <v/>
      </c>
      <c r="C369" s="12">
        <f>(B369-B368)/B368</f>
        <v/>
      </c>
      <c r="D369" s="13">
        <f>(B369-B357)/B357</f>
        <v/>
      </c>
    </row>
    <row r="370">
      <c r="A370" s="11" t="n">
        <v>44652</v>
      </c>
      <c r="B370" s="15">
        <f>VLOOKUP(A370,Database!A:Q,MATCH($A$1,Database!$A$1:$Q$1,),)</f>
        <v/>
      </c>
      <c r="C370" s="12">
        <f>(B370-B369)/B369</f>
        <v/>
      </c>
      <c r="D370" s="13">
        <f>(B370-B358)/B358</f>
        <v/>
      </c>
    </row>
    <row r="371">
      <c r="A371" s="10" t="n">
        <v>44682</v>
      </c>
      <c r="B371" s="15">
        <f>VLOOKUP(A371,Database!A:Q,MATCH($A$1,Database!$A$1:$Q$1,),)</f>
        <v/>
      </c>
      <c r="C371" s="12">
        <f>(B371-B370)/B370</f>
        <v/>
      </c>
      <c r="D371" s="13">
        <f>(B371-B359)/B359</f>
        <v/>
      </c>
    </row>
    <row r="372">
      <c r="A372" s="11" t="n">
        <v>44713</v>
      </c>
      <c r="B372" s="15">
        <f>VLOOKUP(A372,Database!A:Q,MATCH($A$1,Database!$A$1:$Q$1,),)</f>
        <v/>
      </c>
      <c r="C372" s="12">
        <f>(B372-B371)/B371</f>
        <v/>
      </c>
      <c r="D372" s="13">
        <f>(B372-B360)/B360</f>
        <v/>
      </c>
    </row>
    <row r="373">
      <c r="A373" s="11" t="n">
        <v>44743</v>
      </c>
      <c r="B373" s="15">
        <f>VLOOKUP(A373,Database!A:Q,MATCH($A$1,Database!$A$1:$Q$1,),)</f>
        <v/>
      </c>
      <c r="C373" s="12">
        <f>(B373-B372)/B372</f>
        <v/>
      </c>
      <c r="D373" s="13">
        <f>(B373-B361)/B361</f>
        <v/>
      </c>
    </row>
    <row r="374">
      <c r="A374" s="11" t="n">
        <v>44774</v>
      </c>
      <c r="B374" s="15">
        <f>VLOOKUP(A374,Database!A:Q,MATCH($A$1,Database!$A$1:$Q$1,),)</f>
        <v/>
      </c>
      <c r="C374" s="12">
        <f>(B374-B373)/B373</f>
        <v/>
      </c>
      <c r="D374" s="13">
        <f>(B374-B362)/B362</f>
        <v/>
      </c>
    </row>
    <row r="375">
      <c r="A375" s="11" t="n">
        <v>44805</v>
      </c>
      <c r="B375" s="15">
        <f>VLOOKUP(A375,Database!A:Q,MATCH($A$1,Database!$A$1:$Q$1,),)</f>
        <v/>
      </c>
      <c r="C375" s="12">
        <f>(B375-B374)/B374</f>
        <v/>
      </c>
      <c r="D375" s="13">
        <f>(B375-B363)/B363</f>
        <v/>
      </c>
    </row>
  </sheetData>
  <conditionalFormatting sqref="D19:D375">
    <cfRule type="colorScale" priority="1">
      <colorScale>
        <cfvo type="min"/>
        <cfvo type="percentile" val="50"/>
        <cfvo type="max"/>
        <color rgb="FFF8696B"/>
        <color rgb="FFFFEB84"/>
        <color rgb="FF63BE7B"/>
      </colorScale>
    </cfRule>
  </conditionalFormatting>
  <conditionalFormatting sqref="C8:C375">
    <cfRule type="colorScale" priority="2">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3.xml><?xml version="1.0" encoding="utf-8"?>
<worksheet xmlns="http://schemas.openxmlformats.org/spreadsheetml/2006/main">
  <sheetPr codeName="Sheet13">
    <outlinePr summaryBelow="1" summaryRight="1"/>
    <pageSetUpPr/>
  </sheetPr>
  <dimension ref="A1:D375"/>
  <sheetViews>
    <sheetView zoomScale="150" zoomScaleNormal="150" workbookViewId="0">
      <pane ySplit="6" topLeftCell="A362" activePane="bottomLeft" state="frozen"/>
      <selection pane="bottomLeft" activeCell="A369" sqref="A369:D375"/>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17"/>
    <col width="9.1640625" customWidth="1" style="122" min="18" max="16384"/>
  </cols>
  <sheetData>
    <row r="1">
      <c r="A1" s="122" t="inlineStr">
        <is>
          <t>RSFSDP</t>
        </is>
      </c>
      <c r="B1" s="29" t="inlineStr">
        <is>
          <t>Advance Retail Sales: Food Services and Drinking Places</t>
        </is>
      </c>
    </row>
    <row r="2">
      <c r="A2" s="128" t="n"/>
      <c r="B2" s="122" t="n"/>
    </row>
    <row r="3">
      <c r="A3" s="9" t="n"/>
    </row>
    <row r="4">
      <c r="A4" s="9" t="n"/>
    </row>
    <row r="5" ht="16" customHeight="1" s="95" thickBot="1"/>
    <row r="6" ht="44.25" customHeight="1" s="95">
      <c r="A6" s="86" t="inlineStr">
        <is>
          <t>Date</t>
        </is>
      </c>
      <c r="B6" s="83" t="inlineStr">
        <is>
          <t>Food Services and Drinking Places</t>
        </is>
      </c>
      <c r="C6" s="84" t="inlineStr">
        <is>
          <t>mom</t>
        </is>
      </c>
      <c r="D6" s="85" t="inlineStr">
        <is>
          <t>yoy</t>
        </is>
      </c>
    </row>
    <row r="7">
      <c r="A7" s="10" t="n">
        <v>33604</v>
      </c>
      <c r="B7" s="15">
        <f>VLOOKUP(A7,Database!A:K,MATCH($A$1,Database!$A$1:$K$1,),)</f>
        <v/>
      </c>
      <c r="C7" s="1" t="n"/>
      <c r="D7" s="1" t="n"/>
    </row>
    <row r="8">
      <c r="A8" s="11" t="n">
        <v>33635</v>
      </c>
      <c r="B8" s="15">
        <f>VLOOKUP(A8,Database!A:K,MATCH($A$1,Database!$A$1:$K$1,),)</f>
        <v/>
      </c>
      <c r="C8" s="12">
        <f>(B8-B7)/B7</f>
        <v/>
      </c>
      <c r="D8" s="1" t="n"/>
    </row>
    <row r="9">
      <c r="A9" s="10" t="n">
        <v>33664</v>
      </c>
      <c r="B9" s="15">
        <f>VLOOKUP(A9,Database!A:K,MATCH($A$1,Database!$A$1:$K$1,),)</f>
        <v/>
      </c>
      <c r="C9" s="12">
        <f>(B9-B8)/B8</f>
        <v/>
      </c>
      <c r="D9" s="1" t="n"/>
    </row>
    <row r="10">
      <c r="A10" s="11" t="n">
        <v>33695</v>
      </c>
      <c r="B10" s="15">
        <f>VLOOKUP(A10,Database!A:K,MATCH($A$1,Database!$A$1:$K$1,),)</f>
        <v/>
      </c>
      <c r="C10" s="12">
        <f>(B10-B9)/B9</f>
        <v/>
      </c>
      <c r="D10" s="1" t="n"/>
    </row>
    <row r="11">
      <c r="A11" s="10" t="n">
        <v>33725</v>
      </c>
      <c r="B11" s="15">
        <f>VLOOKUP(A11,Database!A:K,MATCH($A$1,Database!$A$1:$K$1,),)</f>
        <v/>
      </c>
      <c r="C11" s="12">
        <f>(B11-B10)/B10</f>
        <v/>
      </c>
      <c r="D11" s="1" t="n"/>
    </row>
    <row r="12">
      <c r="A12" s="11" t="n">
        <v>33756</v>
      </c>
      <c r="B12" s="15">
        <f>VLOOKUP(A12,Database!A:K,MATCH($A$1,Database!$A$1:$K$1,),)</f>
        <v/>
      </c>
      <c r="C12" s="12">
        <f>(B12-B11)/B11</f>
        <v/>
      </c>
      <c r="D12" s="1" t="n"/>
    </row>
    <row r="13">
      <c r="A13" s="10" t="n">
        <v>33786</v>
      </c>
      <c r="B13" s="15">
        <f>VLOOKUP(A13,Database!A:K,MATCH($A$1,Database!$A$1:$K$1,),)</f>
        <v/>
      </c>
      <c r="C13" s="12">
        <f>(B13-B12)/B12</f>
        <v/>
      </c>
      <c r="D13" s="1" t="n"/>
    </row>
    <row r="14">
      <c r="A14" s="11" t="n">
        <v>33817</v>
      </c>
      <c r="B14" s="15">
        <f>VLOOKUP(A14,Database!A:K,MATCH($A$1,Database!$A$1:$K$1,),)</f>
        <v/>
      </c>
      <c r="C14" s="12">
        <f>(B14-B13)/B13</f>
        <v/>
      </c>
      <c r="D14" s="1" t="n"/>
    </row>
    <row r="15">
      <c r="A15" s="10" t="n">
        <v>33848</v>
      </c>
      <c r="B15" s="15">
        <f>VLOOKUP(A15,Database!A:K,MATCH($A$1,Database!$A$1:$K$1,),)</f>
        <v/>
      </c>
      <c r="C15" s="12">
        <f>(B15-B14)/B14</f>
        <v/>
      </c>
      <c r="D15" s="1" t="n"/>
    </row>
    <row r="16">
      <c r="A16" s="11" t="n">
        <v>33878</v>
      </c>
      <c r="B16" s="15">
        <f>VLOOKUP(A16,Database!A:K,MATCH($A$1,Database!$A$1:$K$1,),)</f>
        <v/>
      </c>
      <c r="C16" s="12">
        <f>(B16-B15)/B15</f>
        <v/>
      </c>
      <c r="D16" s="1" t="n"/>
    </row>
    <row r="17">
      <c r="A17" s="10" t="n">
        <v>33909</v>
      </c>
      <c r="B17" s="15">
        <f>VLOOKUP(A17,Database!A:K,MATCH($A$1,Database!$A$1:$K$1,),)</f>
        <v/>
      </c>
      <c r="C17" s="12">
        <f>(B17-B16)/B16</f>
        <v/>
      </c>
      <c r="D17" s="1" t="n"/>
    </row>
    <row r="18">
      <c r="A18" s="11" t="n">
        <v>33939</v>
      </c>
      <c r="B18" s="15">
        <f>VLOOKUP(A18,Database!A:K,MATCH($A$1,Database!$A$1:$K$1,),)</f>
        <v/>
      </c>
      <c r="C18" s="12">
        <f>(B18-B17)/B17</f>
        <v/>
      </c>
      <c r="D18" s="1" t="n"/>
    </row>
    <row r="19">
      <c r="A19" s="10"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0"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0"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0"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0"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0"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0"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0"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0"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0"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0"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0"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0"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0"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0"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0"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0"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0"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0"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0"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0"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0"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0"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0"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0"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0"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0"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0"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0"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0"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0"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0"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0"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0"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0"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0"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0"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0"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0"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0"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0"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0"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0"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0"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0"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0"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0"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0"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0"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0"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0"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0"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0"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0"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0"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0"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0"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0"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0"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0"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0"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0"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0"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0"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0"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0"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0"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0"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0"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0"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0"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0"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0"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0"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0"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0"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0"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0"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0"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0"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0"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0"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0"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0"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0"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0"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0"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0"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0"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0"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0"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0"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0"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0"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0"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0"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0"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0"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0"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0"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0"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0"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0"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0"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0"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0"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0"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0"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0"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0"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0"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0"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0"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0"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0"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0"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0"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0"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0"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0"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0"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0"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0"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0"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0"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0"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0"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0"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0"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0"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0"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0"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0"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0"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0"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0"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0"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0"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0"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0"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0"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0"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0"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0"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0"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0"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0"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0"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0"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0"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0"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0"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0"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0"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0"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0"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0"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0" t="n">
        <v>43525</v>
      </c>
      <c r="B333" s="15">
        <f>VLOOKUP(A333,Database!A:K,MATCH($A$1,Database!$A$1:$K$1,),)</f>
        <v/>
      </c>
      <c r="C333" s="12">
        <f>(B333-B332)/B332</f>
        <v/>
      </c>
      <c r="D333" s="13">
        <f>(B333-B321)/B321</f>
        <v/>
      </c>
    </row>
    <row r="334">
      <c r="A334" s="11" t="n">
        <v>43556</v>
      </c>
      <c r="B334" s="15">
        <f>VLOOKUP(A334,Database!A:K,MATCH($A$1,Database!$A$1:$K$1,),)</f>
        <v/>
      </c>
      <c r="C334" s="12">
        <f>(B334-B333)/B333</f>
        <v/>
      </c>
      <c r="D334" s="13">
        <f>(B334-B322)/B322</f>
        <v/>
      </c>
    </row>
    <row r="335">
      <c r="A335" s="10" t="n">
        <v>43586</v>
      </c>
      <c r="B335" s="15">
        <f>VLOOKUP(A335,Database!A:K,MATCH($A$1,Database!$A$1:$K$1,),)</f>
        <v/>
      </c>
      <c r="C335" s="12">
        <f>(B335-B334)/B334</f>
        <v/>
      </c>
      <c r="D335" s="13">
        <f>(B335-B323)/B323</f>
        <v/>
      </c>
    </row>
    <row r="336">
      <c r="A336" s="11" t="n">
        <v>43617</v>
      </c>
      <c r="B336" s="15">
        <f>VLOOKUP(A336,Database!A:K,MATCH($A$1,Database!$A$1:$K$1,),)</f>
        <v/>
      </c>
      <c r="C336" s="12">
        <f>(B336-B335)/B335</f>
        <v/>
      </c>
      <c r="D336" s="13">
        <f>(B336-B324)/B324</f>
        <v/>
      </c>
    </row>
    <row r="337">
      <c r="A337" s="10" t="n">
        <v>43647</v>
      </c>
      <c r="B337" s="15">
        <f>VLOOKUP(A337,Database!A:K,MATCH($A$1,Database!$A$1:$K$1,),)</f>
        <v/>
      </c>
      <c r="C337" s="12">
        <f>(B337-B336)/B336</f>
        <v/>
      </c>
      <c r="D337" s="13">
        <f>(B337-B325)/B325</f>
        <v/>
      </c>
    </row>
    <row r="338">
      <c r="A338" s="11" t="n">
        <v>43678</v>
      </c>
      <c r="B338" s="15">
        <f>VLOOKUP(A338,Database!A:K,MATCH($A$1,Database!$A$1:$K$1,),)</f>
        <v/>
      </c>
      <c r="C338" s="12">
        <f>(B338-B337)/B337</f>
        <v/>
      </c>
      <c r="D338" s="13">
        <f>(B338-B326)/B326</f>
        <v/>
      </c>
    </row>
    <row r="339">
      <c r="A339" s="10" t="n">
        <v>43709</v>
      </c>
      <c r="B339" s="15">
        <f>VLOOKUP(A339,Database!A:K,MATCH($A$1,Database!$A$1:$K$1,),)</f>
        <v/>
      </c>
      <c r="C339" s="12">
        <f>(B339-B338)/B338</f>
        <v/>
      </c>
      <c r="D339" s="13">
        <f>(B339-B327)/B327</f>
        <v/>
      </c>
    </row>
    <row r="340">
      <c r="A340" s="11" t="n">
        <v>43739</v>
      </c>
      <c r="B340" s="15">
        <f>VLOOKUP(A340,Database!A:K,MATCH($A$1,Database!$A$1:$K$1,),)</f>
        <v/>
      </c>
      <c r="C340" s="12">
        <f>(B340-B339)/B339</f>
        <v/>
      </c>
      <c r="D340" s="13">
        <f>(B340-B328)/B328</f>
        <v/>
      </c>
    </row>
    <row r="341">
      <c r="A341" s="10" t="n">
        <v>43770</v>
      </c>
      <c r="B341" s="15">
        <f>VLOOKUP(A341,Database!A:K,MATCH($A$1,Database!$A$1:$K$1,),)</f>
        <v/>
      </c>
      <c r="C341" s="12">
        <f>(B341-B340)/B340</f>
        <v/>
      </c>
      <c r="D341" s="13">
        <f>(B341-B329)/B329</f>
        <v/>
      </c>
    </row>
    <row r="342">
      <c r="A342" s="11" t="n">
        <v>43800</v>
      </c>
      <c r="B342" s="15">
        <f>VLOOKUP(A342,Database!A:K,MATCH($A$1,Database!$A$1:$K$1,),)</f>
        <v/>
      </c>
      <c r="C342" s="12">
        <f>(B342-B341)/B341</f>
        <v/>
      </c>
      <c r="D342" s="13">
        <f>(B342-B330)/B330</f>
        <v/>
      </c>
    </row>
    <row r="343">
      <c r="A343" s="10" t="n">
        <v>43831</v>
      </c>
      <c r="B343" s="15">
        <f>VLOOKUP(A343,Database!A:K,MATCH($A$1,Database!$A$1:$K$1,),)</f>
        <v/>
      </c>
      <c r="C343" s="12">
        <f>(B343-B342)/B342</f>
        <v/>
      </c>
      <c r="D343" s="13">
        <f>(B343-B331)/B331</f>
        <v/>
      </c>
    </row>
    <row r="344">
      <c r="A344" s="11" t="n">
        <v>43862</v>
      </c>
      <c r="B344" s="15">
        <f>VLOOKUP(A344,Database!A:K,MATCH($A$1,Database!$A$1:$K$1,),)</f>
        <v/>
      </c>
      <c r="C344" s="12">
        <f>(B344-B343)/B343</f>
        <v/>
      </c>
      <c r="D344" s="13">
        <f>(B344-B332)/B332</f>
        <v/>
      </c>
    </row>
    <row r="345">
      <c r="A345" s="10" t="n">
        <v>43891</v>
      </c>
      <c r="B345" s="15">
        <f>VLOOKUP(A345,Database!A:K,MATCH($A$1,Database!$A$1:$K$1,),)</f>
        <v/>
      </c>
      <c r="C345" s="12">
        <f>(B345-B344)/B344</f>
        <v/>
      </c>
      <c r="D345" s="13">
        <f>(B345-B333)/B333</f>
        <v/>
      </c>
    </row>
    <row r="346">
      <c r="A346" s="11" t="n">
        <v>43922</v>
      </c>
      <c r="B346" s="15">
        <f>VLOOKUP(A346,Database!A:K,MATCH($A$1,Database!$A$1:$K$1,),)</f>
        <v/>
      </c>
      <c r="C346" s="12">
        <f>(B346-B345)/B345</f>
        <v/>
      </c>
      <c r="D346" s="13">
        <f>(B346-B334)/B334</f>
        <v/>
      </c>
    </row>
    <row r="347">
      <c r="A347" s="10" t="n">
        <v>43952</v>
      </c>
      <c r="B347" s="15">
        <f>VLOOKUP(A347,Database!A:K,MATCH($A$1,Database!$A$1:$K$1,),)</f>
        <v/>
      </c>
      <c r="C347" s="12">
        <f>(B347-B346)/B346</f>
        <v/>
      </c>
      <c r="D347" s="13">
        <f>(B347-B335)/B335</f>
        <v/>
      </c>
    </row>
    <row r="348">
      <c r="A348" s="11" t="n">
        <v>43983</v>
      </c>
      <c r="B348" s="15">
        <f>VLOOKUP(A348,Database!A:K,MATCH($A$1,Database!$A$1:$K$1,),)</f>
        <v/>
      </c>
      <c r="C348" s="12">
        <f>(B348-B347)/B347</f>
        <v/>
      </c>
      <c r="D348" s="13">
        <f>(B348-B336)/B336</f>
        <v/>
      </c>
    </row>
    <row r="349">
      <c r="A349" s="10" t="n">
        <v>44013</v>
      </c>
      <c r="B349" s="15">
        <f>VLOOKUP(A349,Database!A:K,MATCH($A$1,Database!$A$1:$K$1,),)</f>
        <v/>
      </c>
      <c r="C349" s="12">
        <f>(B349-B348)/B348</f>
        <v/>
      </c>
      <c r="D349" s="13">
        <f>(B349-B337)/B337</f>
        <v/>
      </c>
    </row>
    <row r="350">
      <c r="A350" s="11" t="n">
        <v>44044</v>
      </c>
      <c r="B350" s="15">
        <f>VLOOKUP(A350,Database!A:K,MATCH($A$1,Database!$A$1:$K$1,),)</f>
        <v/>
      </c>
      <c r="C350" s="12">
        <f>(B350-B349)/B349</f>
        <v/>
      </c>
      <c r="D350" s="13">
        <f>(B350-B338)/B338</f>
        <v/>
      </c>
    </row>
    <row r="351">
      <c r="A351" s="10" t="n">
        <v>44075</v>
      </c>
      <c r="B351" s="15">
        <f>VLOOKUP(A351,Database!A:K,MATCH($A$1,Database!$A$1:$K$1,),)</f>
        <v/>
      </c>
      <c r="C351" s="12">
        <f>(B351-B350)/B350</f>
        <v/>
      </c>
      <c r="D351" s="13">
        <f>(B351-B339)/B339</f>
        <v/>
      </c>
    </row>
    <row r="352">
      <c r="A352" s="11" t="n">
        <v>44105</v>
      </c>
      <c r="B352" s="15">
        <f>VLOOKUP(A352,Database!A:K,MATCH($A$1,Database!$A$1:$K$1,),)</f>
        <v/>
      </c>
      <c r="C352" s="12">
        <f>(B352-B351)/B351</f>
        <v/>
      </c>
      <c r="D352" s="13">
        <f>(B352-B340)/B340</f>
        <v/>
      </c>
    </row>
    <row r="353">
      <c r="A353" s="10" t="n">
        <v>44136</v>
      </c>
      <c r="B353" s="15">
        <f>VLOOKUP(A353,Database!A:K,MATCH($A$1,Database!$A$1:$K$1,),)</f>
        <v/>
      </c>
      <c r="C353" s="12">
        <f>(B353-B352)/B352</f>
        <v/>
      </c>
      <c r="D353" s="13">
        <f>(B353-B341)/B341</f>
        <v/>
      </c>
    </row>
    <row r="354">
      <c r="A354" s="11" t="n">
        <v>44166</v>
      </c>
      <c r="B354" s="15">
        <f>VLOOKUP(A354,Database!A:K,MATCH($A$1,Database!$A$1:$K$1,),)</f>
        <v/>
      </c>
      <c r="C354" s="12">
        <f>(B354-B353)/B353</f>
        <v/>
      </c>
      <c r="D354" s="13">
        <f>(B354-B342)/B342</f>
        <v/>
      </c>
    </row>
    <row r="355">
      <c r="A355" s="10" t="n">
        <v>44197</v>
      </c>
      <c r="B355" s="15">
        <f>VLOOKUP(A355,Database!A:K,MATCH($A$1,Database!$A$1:$K$1,),)</f>
        <v/>
      </c>
      <c r="C355" s="12">
        <f>(B355-B354)/B354</f>
        <v/>
      </c>
      <c r="D355" s="13">
        <f>(B355-B343)/B343</f>
        <v/>
      </c>
    </row>
    <row r="356">
      <c r="A356" s="11" t="n">
        <v>44228</v>
      </c>
      <c r="B356" s="15">
        <f>VLOOKUP(A356,Database!A:K,MATCH($A$1,Database!$A$1:$K$1,),)</f>
        <v/>
      </c>
      <c r="C356" s="12">
        <f>(B356-B355)/B355</f>
        <v/>
      </c>
      <c r="D356" s="13">
        <f>(B356-B344)/B344</f>
        <v/>
      </c>
    </row>
    <row r="357">
      <c r="A357" s="10" t="n">
        <v>44256</v>
      </c>
      <c r="B357" s="15">
        <f>VLOOKUP(A357,Database!A:K,MATCH($A$1,Database!$A$1:$K$1,),)</f>
        <v/>
      </c>
      <c r="C357" s="12">
        <f>(B357-B356)/B356</f>
        <v/>
      </c>
      <c r="D357" s="13">
        <f>(B357-B345)/B345</f>
        <v/>
      </c>
    </row>
    <row r="358">
      <c r="A358" s="11" t="n">
        <v>44287</v>
      </c>
      <c r="B358" s="15">
        <f>VLOOKUP(A358,Database!A:K,MATCH($A$1,Database!$A$1:$K$1,),)</f>
        <v/>
      </c>
      <c r="C358" s="12">
        <f>(B358-B357)/B357</f>
        <v/>
      </c>
      <c r="D358" s="13">
        <f>(B358-B346)/B346</f>
        <v/>
      </c>
    </row>
    <row r="359">
      <c r="A359" s="10" t="n">
        <v>44317</v>
      </c>
      <c r="B359" s="15">
        <f>VLOOKUP(A359,Database!A:K,MATCH($A$1,Database!$A$1:$K$1,),)</f>
        <v/>
      </c>
      <c r="C359" s="12">
        <f>(B359-B358)/B358</f>
        <v/>
      </c>
      <c r="D359" s="13">
        <f>(B359-B347)/B347</f>
        <v/>
      </c>
    </row>
    <row r="360">
      <c r="A360" s="11" t="n">
        <v>44348</v>
      </c>
      <c r="B360" s="15">
        <f>VLOOKUP(A360,Database!A:K,MATCH($A$1,Database!$A$1:$K$1,),)</f>
        <v/>
      </c>
      <c r="C360" s="12">
        <f>(B360-B359)/B359</f>
        <v/>
      </c>
      <c r="D360" s="13">
        <f>(B360-B348)/B348</f>
        <v/>
      </c>
    </row>
    <row r="361">
      <c r="A361" s="10" t="n">
        <v>44378</v>
      </c>
      <c r="B361" s="15">
        <f>VLOOKUP(A361,Database!A:K,MATCH($A$1,Database!$A$1:$K$1,),)</f>
        <v/>
      </c>
      <c r="C361" s="12">
        <f>(B361-B360)/B360</f>
        <v/>
      </c>
      <c r="D361" s="13">
        <f>(B361-B349)/B349</f>
        <v/>
      </c>
    </row>
    <row r="362">
      <c r="A362" s="11" t="n">
        <v>44409</v>
      </c>
      <c r="B362" s="15">
        <f>VLOOKUP(A362,Database!A:K,MATCH($A$1,Database!$A$1:$K$1,),)</f>
        <v/>
      </c>
      <c r="C362" s="12">
        <f>(B362-B361)/B361</f>
        <v/>
      </c>
      <c r="D362" s="13">
        <f>(B362-B350)/B350</f>
        <v/>
      </c>
    </row>
    <row r="363">
      <c r="A363" s="11" t="n">
        <v>44440</v>
      </c>
      <c r="B363" s="15">
        <f>VLOOKUP(A363,Database!A:K,MATCH($A$1,Database!$A$1:$K$1,),)</f>
        <v/>
      </c>
      <c r="C363" s="12">
        <f>(B363-B362)/B362</f>
        <v/>
      </c>
      <c r="D363" s="13">
        <f>(B363-B351)/B351</f>
        <v/>
      </c>
    </row>
    <row r="364">
      <c r="A364" s="10" t="n">
        <v>44470</v>
      </c>
      <c r="B364" s="15">
        <f>VLOOKUP(A364,Database!A:K,MATCH($A$1,Database!$A$1:$K$1,),)</f>
        <v/>
      </c>
      <c r="C364" s="12">
        <f>(B364-B363)/B363</f>
        <v/>
      </c>
      <c r="D364" s="13">
        <f>(B364-B352)/B352</f>
        <v/>
      </c>
    </row>
    <row r="365">
      <c r="A365" s="11" t="n">
        <v>44501</v>
      </c>
      <c r="B365" s="15">
        <f>VLOOKUP(A365,Database!A:K,MATCH($A$1,Database!$A$1:$K$1,),)</f>
        <v/>
      </c>
      <c r="C365" s="12">
        <f>(B365-B364)/B364</f>
        <v/>
      </c>
      <c r="D365" s="13">
        <f>(B365-B353)/B353</f>
        <v/>
      </c>
    </row>
    <row r="366">
      <c r="A366" s="11" t="n">
        <v>44531</v>
      </c>
      <c r="B366" s="15">
        <f>VLOOKUP(A366,Database!A:K,MATCH($A$1,Database!$A$1:$K$1,),)</f>
        <v/>
      </c>
      <c r="C366" s="12">
        <f>(B366-B365)/B365</f>
        <v/>
      </c>
      <c r="D366" s="13">
        <f>(B366-B354)/B354</f>
        <v/>
      </c>
    </row>
    <row r="367">
      <c r="A367" s="11" t="n">
        <v>44562</v>
      </c>
      <c r="B367" s="15">
        <f>VLOOKUP(A367,Database!A:K,MATCH($A$1,Database!$A$1:$K$1,),)</f>
        <v/>
      </c>
      <c r="C367" s="12">
        <f>(B367-B366)/B366</f>
        <v/>
      </c>
      <c r="D367" s="13">
        <f>(B367-B355)/B355</f>
        <v/>
      </c>
    </row>
    <row r="368">
      <c r="A368" s="11" t="n">
        <v>44593</v>
      </c>
      <c r="B368" s="15">
        <f>VLOOKUP(A368,Database!A:K,MATCH($A$1,Database!$A$1:$K$1,),)</f>
        <v/>
      </c>
      <c r="C368" s="12">
        <f>(B368-B367)/B367</f>
        <v/>
      </c>
      <c r="D368" s="13">
        <f>(B368-B356)/B356</f>
        <v/>
      </c>
    </row>
    <row r="369">
      <c r="A369" s="11" t="n">
        <v>44621</v>
      </c>
      <c r="B369" s="15">
        <f>VLOOKUP(A369,Database!A:K,MATCH($A$1,Database!$A$1:$K$1,),)</f>
        <v/>
      </c>
      <c r="C369" s="12">
        <f>(B369-B368)/B368</f>
        <v/>
      </c>
      <c r="D369" s="13">
        <f>(B369-B357)/B357</f>
        <v/>
      </c>
    </row>
    <row r="370">
      <c r="A370" s="10" t="n">
        <v>44652</v>
      </c>
      <c r="B370" s="15">
        <f>VLOOKUP(A370,Database!A:K,MATCH($A$1,Database!$A$1:$K$1,),)</f>
        <v/>
      </c>
      <c r="C370" s="12">
        <f>(B370-B369)/B369</f>
        <v/>
      </c>
      <c r="D370" s="13">
        <f>(B370-B358)/B358</f>
        <v/>
      </c>
    </row>
    <row r="371">
      <c r="A371" s="11" t="n">
        <v>44682</v>
      </c>
      <c r="B371" s="15">
        <f>VLOOKUP(A371,Database!A:K,MATCH($A$1,Database!$A$1:$K$1,),)</f>
        <v/>
      </c>
      <c r="C371" s="12">
        <f>(B371-B370)/B370</f>
        <v/>
      </c>
      <c r="D371" s="13">
        <f>(B371-B359)/B359</f>
        <v/>
      </c>
    </row>
    <row r="372">
      <c r="A372" s="10" t="n">
        <v>44713</v>
      </c>
      <c r="B372" s="15">
        <f>VLOOKUP(A372,Database!A:K,MATCH($A$1,Database!$A$1:$K$1,),)</f>
        <v/>
      </c>
      <c r="C372" s="12">
        <f>(B372-B371)/B371</f>
        <v/>
      </c>
      <c r="D372" s="13">
        <f>(B372-B360)/B360</f>
        <v/>
      </c>
    </row>
    <row r="373">
      <c r="A373" s="11" t="n">
        <v>44743</v>
      </c>
      <c r="B373" s="15">
        <f>VLOOKUP(A373,Database!A:K,MATCH($A$1,Database!$A$1:$K$1,),)</f>
        <v/>
      </c>
      <c r="C373" s="12">
        <f>(B373-B372)/B372</f>
        <v/>
      </c>
      <c r="D373" s="13">
        <f>(B373-B361)/B361</f>
        <v/>
      </c>
    </row>
    <row r="374">
      <c r="A374" s="11" t="n">
        <v>44774</v>
      </c>
      <c r="B374" s="15">
        <f>VLOOKUP(A374,Database!A:K,MATCH($A$1,Database!$A$1:$K$1,),)</f>
        <v/>
      </c>
      <c r="C374" s="12">
        <f>(B374-B373)/B373</f>
        <v/>
      </c>
      <c r="D374" s="13">
        <f>(B374-B362)/B362</f>
        <v/>
      </c>
    </row>
    <row r="375">
      <c r="A375" s="11" t="n">
        <v>44805</v>
      </c>
      <c r="B375" s="15">
        <f>VLOOKUP(A375,Database!A:K,MATCH($A$1,Database!$A$1:$K$1,),)</f>
        <v/>
      </c>
      <c r="C375" s="12">
        <f>(B375-B374)/B374</f>
        <v/>
      </c>
      <c r="D375" s="13">
        <f>(B375-B363)/B363</f>
        <v/>
      </c>
    </row>
  </sheetData>
  <conditionalFormatting sqref="D19:D375">
    <cfRule type="colorScale" priority="1">
      <colorScale>
        <cfvo type="min"/>
        <cfvo type="percentile" val="50"/>
        <cfvo type="max"/>
        <color rgb="FFF8696B"/>
        <color rgb="FFFFEB84"/>
        <color rgb="FF63BE7B"/>
      </colorScale>
    </cfRule>
  </conditionalFormatting>
  <conditionalFormatting sqref="C8:C375">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14.xml><?xml version="1.0" encoding="utf-8"?>
<worksheet xmlns="http://schemas.openxmlformats.org/spreadsheetml/2006/main">
  <sheetPr codeName="Sheet14">
    <outlinePr summaryBelow="1" summaryRight="1"/>
    <pageSetUpPr/>
  </sheetPr>
  <dimension ref="A1:D375"/>
  <sheetViews>
    <sheetView zoomScale="140" zoomScaleNormal="140" workbookViewId="0">
      <pane ySplit="6" topLeftCell="A354" activePane="bottomLeft" state="frozen"/>
      <selection pane="bottomLeft" activeCell="A365" sqref="A365:D375"/>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17"/>
    <col width="9.1640625" customWidth="1" style="122" min="18" max="16384"/>
  </cols>
  <sheetData>
    <row r="1">
      <c r="A1" s="122" t="inlineStr">
        <is>
          <t>RSGASS</t>
        </is>
      </c>
      <c r="B1" s="29" t="inlineStr">
        <is>
          <t>Retail Trade: Gasoline Stations (RSGASS), Millions of Dollars, Monthly, Seasonally Adjusted</t>
        </is>
      </c>
    </row>
    <row r="2">
      <c r="A2" s="128" t="inlineStr">
        <is>
          <t>https://fred.stlouisfed.org/series/RSGASS</t>
        </is>
      </c>
      <c r="B2" s="122" t="n"/>
    </row>
    <row r="3">
      <c r="A3" s="9" t="n"/>
    </row>
    <row r="4">
      <c r="A4" s="9" t="n"/>
    </row>
    <row r="5" ht="16" customHeight="1" s="95" thickBot="1"/>
    <row r="6" ht="44.25" customHeight="1" s="95">
      <c r="A6" s="86" t="inlineStr">
        <is>
          <t>Date</t>
        </is>
      </c>
      <c r="B6" s="83" t="inlineStr">
        <is>
          <t>Gasoline Stations, Millions of Dollars</t>
        </is>
      </c>
      <c r="C6" s="84" t="inlineStr">
        <is>
          <t>mom</t>
        </is>
      </c>
      <c r="D6" s="85" t="inlineStr">
        <is>
          <t>yoy</t>
        </is>
      </c>
    </row>
    <row r="7">
      <c r="A7" s="10" t="n">
        <v>33604</v>
      </c>
      <c r="B7" s="15">
        <f>VLOOKUP(A7,Database!A:K,MATCH($A$1,Database!$A$1:$K$1,),)</f>
        <v/>
      </c>
      <c r="C7" s="1" t="n"/>
      <c r="D7" s="1" t="n"/>
    </row>
    <row r="8">
      <c r="A8" s="11" t="n">
        <v>33635</v>
      </c>
      <c r="B8" s="15">
        <f>VLOOKUP(A8,Database!A:K,MATCH($A$1,Database!$A$1:$K$1,),)</f>
        <v/>
      </c>
      <c r="C8" s="12">
        <f>(B8-B7)/B7</f>
        <v/>
      </c>
      <c r="D8" s="1" t="n"/>
    </row>
    <row r="9">
      <c r="A9" s="10" t="n">
        <v>33664</v>
      </c>
      <c r="B9" s="15">
        <f>VLOOKUP(A9,Database!A:K,MATCH($A$1,Database!$A$1:$K$1,),)</f>
        <v/>
      </c>
      <c r="C9" s="12">
        <f>(B9-B8)/B8</f>
        <v/>
      </c>
      <c r="D9" s="1" t="n"/>
    </row>
    <row r="10">
      <c r="A10" s="11" t="n">
        <v>33695</v>
      </c>
      <c r="B10" s="15">
        <f>VLOOKUP(A10,Database!A:K,MATCH($A$1,Database!$A$1:$K$1,),)</f>
        <v/>
      </c>
      <c r="C10" s="12">
        <f>(B10-B9)/B9</f>
        <v/>
      </c>
      <c r="D10" s="1" t="n"/>
    </row>
    <row r="11">
      <c r="A11" s="10" t="n">
        <v>33725</v>
      </c>
      <c r="B11" s="15">
        <f>VLOOKUP(A11,Database!A:K,MATCH($A$1,Database!$A$1:$K$1,),)</f>
        <v/>
      </c>
      <c r="C11" s="12">
        <f>(B11-B10)/B10</f>
        <v/>
      </c>
      <c r="D11" s="1" t="n"/>
    </row>
    <row r="12">
      <c r="A12" s="11" t="n">
        <v>33756</v>
      </c>
      <c r="B12" s="15">
        <f>VLOOKUP(A12,Database!A:K,MATCH($A$1,Database!$A$1:$K$1,),)</f>
        <v/>
      </c>
      <c r="C12" s="12">
        <f>(B12-B11)/B11</f>
        <v/>
      </c>
      <c r="D12" s="1" t="n"/>
    </row>
    <row r="13">
      <c r="A13" s="10" t="n">
        <v>33786</v>
      </c>
      <c r="B13" s="15">
        <f>VLOOKUP(A13,Database!A:K,MATCH($A$1,Database!$A$1:$K$1,),)</f>
        <v/>
      </c>
      <c r="C13" s="12">
        <f>(B13-B12)/B12</f>
        <v/>
      </c>
      <c r="D13" s="1" t="n"/>
    </row>
    <row r="14">
      <c r="A14" s="11" t="n">
        <v>33817</v>
      </c>
      <c r="B14" s="15">
        <f>VLOOKUP(A14,Database!A:K,MATCH($A$1,Database!$A$1:$K$1,),)</f>
        <v/>
      </c>
      <c r="C14" s="12">
        <f>(B14-B13)/B13</f>
        <v/>
      </c>
      <c r="D14" s="1" t="n"/>
    </row>
    <row r="15">
      <c r="A15" s="10" t="n">
        <v>33848</v>
      </c>
      <c r="B15" s="15">
        <f>VLOOKUP(A15,Database!A:K,MATCH($A$1,Database!$A$1:$K$1,),)</f>
        <v/>
      </c>
      <c r="C15" s="12">
        <f>(B15-B14)/B14</f>
        <v/>
      </c>
      <c r="D15" s="1" t="n"/>
    </row>
    <row r="16">
      <c r="A16" s="11" t="n">
        <v>33878</v>
      </c>
      <c r="B16" s="15">
        <f>VLOOKUP(A16,Database!A:K,MATCH($A$1,Database!$A$1:$K$1,),)</f>
        <v/>
      </c>
      <c r="C16" s="12">
        <f>(B16-B15)/B15</f>
        <v/>
      </c>
      <c r="D16" s="1" t="n"/>
    </row>
    <row r="17">
      <c r="A17" s="10" t="n">
        <v>33909</v>
      </c>
      <c r="B17" s="15">
        <f>VLOOKUP(A17,Database!A:K,MATCH($A$1,Database!$A$1:$K$1,),)</f>
        <v/>
      </c>
      <c r="C17" s="12">
        <f>(B17-B16)/B16</f>
        <v/>
      </c>
      <c r="D17" s="1" t="n"/>
    </row>
    <row r="18">
      <c r="A18" s="11" t="n">
        <v>33939</v>
      </c>
      <c r="B18" s="15">
        <f>VLOOKUP(A18,Database!A:K,MATCH($A$1,Database!$A$1:$K$1,),)</f>
        <v/>
      </c>
      <c r="C18" s="12">
        <f>(B18-B17)/B17</f>
        <v/>
      </c>
      <c r="D18" s="1" t="n"/>
    </row>
    <row r="19">
      <c r="A19" s="10"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0"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0"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0"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0"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0"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0"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0"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0"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0"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0"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0"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0"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0"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0"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0"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0"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0"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0"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0"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0"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0"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0"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0"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0"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0"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0"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0"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0"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0"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0"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0"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0"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0"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0"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0"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0"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0"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0"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0"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0"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0"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0"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0"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0"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0"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0"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0"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0"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0"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0"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0"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0"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0"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0"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0"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0"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0"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0"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0"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0"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0"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0"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0"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0"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0"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0"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0"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0"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0"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0"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0"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0"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0"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0"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0"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0"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0"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0"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0"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0"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0"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0"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0"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0"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0"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0"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0"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0"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0"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0"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0"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0"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0"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0"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0"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0"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0"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0"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0"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0"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0"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0"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0"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0"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0"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0"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0"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0"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0"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0"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0"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0"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0"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0"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0"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0"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0"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0"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0"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0"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0"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0"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0"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0"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0"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0"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0"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0"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0"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0"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0"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0"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0"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0"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0"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0"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0"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0"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0"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0"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0"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0"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0"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0"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0"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0"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0"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0"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0"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0"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0"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0"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0"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0"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0"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0"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0" t="n">
        <v>43525</v>
      </c>
      <c r="B333" s="15">
        <f>VLOOKUP(A333,Database!A:K,MATCH($A$1,Database!$A$1:$K$1,),)</f>
        <v/>
      </c>
      <c r="C333" s="12">
        <f>(B333-B332)/B332</f>
        <v/>
      </c>
      <c r="D333" s="13">
        <f>(B333-B321)/B321</f>
        <v/>
      </c>
    </row>
    <row r="334">
      <c r="A334" s="11" t="n">
        <v>43556</v>
      </c>
      <c r="B334" s="15">
        <f>VLOOKUP(A334,Database!A:K,MATCH($A$1,Database!$A$1:$K$1,),)</f>
        <v/>
      </c>
      <c r="C334" s="12">
        <f>(B334-B333)/B333</f>
        <v/>
      </c>
      <c r="D334" s="13">
        <f>(B334-B322)/B322</f>
        <v/>
      </c>
    </row>
    <row r="335">
      <c r="A335" s="10" t="n">
        <v>43586</v>
      </c>
      <c r="B335" s="15">
        <f>VLOOKUP(A335,Database!A:K,MATCH($A$1,Database!$A$1:$K$1,),)</f>
        <v/>
      </c>
      <c r="C335" s="12">
        <f>(B335-B334)/B334</f>
        <v/>
      </c>
      <c r="D335" s="13">
        <f>(B335-B323)/B323</f>
        <v/>
      </c>
    </row>
    <row r="336">
      <c r="A336" s="11" t="n">
        <v>43617</v>
      </c>
      <c r="B336" s="15">
        <f>VLOOKUP(A336,Database!A:K,MATCH($A$1,Database!$A$1:$K$1,),)</f>
        <v/>
      </c>
      <c r="C336" s="12">
        <f>(B336-B335)/B335</f>
        <v/>
      </c>
      <c r="D336" s="13">
        <f>(B336-B324)/B324</f>
        <v/>
      </c>
    </row>
    <row r="337">
      <c r="A337" s="10" t="n">
        <v>43647</v>
      </c>
      <c r="B337" s="15">
        <f>VLOOKUP(A337,Database!A:K,MATCH($A$1,Database!$A$1:$K$1,),)</f>
        <v/>
      </c>
      <c r="C337" s="12">
        <f>(B337-B336)/B336</f>
        <v/>
      </c>
      <c r="D337" s="13">
        <f>(B337-B325)/B325</f>
        <v/>
      </c>
    </row>
    <row r="338">
      <c r="A338" s="11" t="n">
        <v>43678</v>
      </c>
      <c r="B338" s="15">
        <f>VLOOKUP(A338,Database!A:K,MATCH($A$1,Database!$A$1:$K$1,),)</f>
        <v/>
      </c>
      <c r="C338" s="12">
        <f>(B338-B337)/B337</f>
        <v/>
      </c>
      <c r="D338" s="13">
        <f>(B338-B326)/B326</f>
        <v/>
      </c>
    </row>
    <row r="339">
      <c r="A339" s="10" t="n">
        <v>43709</v>
      </c>
      <c r="B339" s="15">
        <f>VLOOKUP(A339,Database!A:K,MATCH($A$1,Database!$A$1:$K$1,),)</f>
        <v/>
      </c>
      <c r="C339" s="12">
        <f>(B339-B338)/B338</f>
        <v/>
      </c>
      <c r="D339" s="13">
        <f>(B339-B327)/B327</f>
        <v/>
      </c>
    </row>
    <row r="340">
      <c r="A340" s="11" t="n">
        <v>43739</v>
      </c>
      <c r="B340" s="15">
        <f>VLOOKUP(A340,Database!A:K,MATCH($A$1,Database!$A$1:$K$1,),)</f>
        <v/>
      </c>
      <c r="C340" s="12">
        <f>(B340-B339)/B339</f>
        <v/>
      </c>
      <c r="D340" s="13">
        <f>(B340-B328)/B328</f>
        <v/>
      </c>
    </row>
    <row r="341">
      <c r="A341" s="10" t="n">
        <v>43770</v>
      </c>
      <c r="B341" s="15">
        <f>VLOOKUP(A341,Database!A:K,MATCH($A$1,Database!$A$1:$K$1,),)</f>
        <v/>
      </c>
      <c r="C341" s="12">
        <f>(B341-B340)/B340</f>
        <v/>
      </c>
      <c r="D341" s="13">
        <f>(B341-B329)/B329</f>
        <v/>
      </c>
    </row>
    <row r="342">
      <c r="A342" s="11" t="n">
        <v>43800</v>
      </c>
      <c r="B342" s="15">
        <f>VLOOKUP(A342,Database!A:K,MATCH($A$1,Database!$A$1:$K$1,),)</f>
        <v/>
      </c>
      <c r="C342" s="12">
        <f>(B342-B341)/B341</f>
        <v/>
      </c>
      <c r="D342" s="13">
        <f>(B342-B330)/B330</f>
        <v/>
      </c>
    </row>
    <row r="343">
      <c r="A343" s="10" t="n">
        <v>43831</v>
      </c>
      <c r="B343" s="15">
        <f>VLOOKUP(A343,Database!A:K,MATCH($A$1,Database!$A$1:$K$1,),)</f>
        <v/>
      </c>
      <c r="C343" s="12">
        <f>(B343-B342)/B342</f>
        <v/>
      </c>
      <c r="D343" s="13">
        <f>(B343-B331)/B331</f>
        <v/>
      </c>
    </row>
    <row r="344">
      <c r="A344" s="11" t="n">
        <v>43862</v>
      </c>
      <c r="B344" s="15">
        <f>VLOOKUP(A344,Database!A:K,MATCH($A$1,Database!$A$1:$K$1,),)</f>
        <v/>
      </c>
      <c r="C344" s="12">
        <f>(B344-B343)/B343</f>
        <v/>
      </c>
      <c r="D344" s="13">
        <f>(B344-B332)/B332</f>
        <v/>
      </c>
    </row>
    <row r="345">
      <c r="A345" s="10" t="n">
        <v>43891</v>
      </c>
      <c r="B345" s="15">
        <f>VLOOKUP(A345,Database!A:K,MATCH($A$1,Database!$A$1:$K$1,),)</f>
        <v/>
      </c>
      <c r="C345" s="12">
        <f>(B345-B344)/B344</f>
        <v/>
      </c>
      <c r="D345" s="13">
        <f>(B345-B333)/B333</f>
        <v/>
      </c>
    </row>
    <row r="346">
      <c r="A346" s="11" t="n">
        <v>43922</v>
      </c>
      <c r="B346" s="15">
        <f>VLOOKUP(A346,Database!A:K,MATCH($A$1,Database!$A$1:$K$1,),)</f>
        <v/>
      </c>
      <c r="C346" s="12">
        <f>(B346-B345)/B345</f>
        <v/>
      </c>
      <c r="D346" s="13">
        <f>(B346-B334)/B334</f>
        <v/>
      </c>
    </row>
    <row r="347">
      <c r="A347" s="10" t="n">
        <v>43952</v>
      </c>
      <c r="B347" s="15">
        <f>VLOOKUP(A347,Database!A:K,MATCH($A$1,Database!$A$1:$K$1,),)</f>
        <v/>
      </c>
      <c r="C347" s="12">
        <f>(B347-B346)/B346</f>
        <v/>
      </c>
      <c r="D347" s="13">
        <f>(B347-B335)/B335</f>
        <v/>
      </c>
    </row>
    <row r="348">
      <c r="A348" s="11" t="n">
        <v>43983</v>
      </c>
      <c r="B348" s="15">
        <f>VLOOKUP(A348,Database!A:K,MATCH($A$1,Database!$A$1:$K$1,),)</f>
        <v/>
      </c>
      <c r="C348" s="12">
        <f>(B348-B347)/B347</f>
        <v/>
      </c>
      <c r="D348" s="13">
        <f>(B348-B336)/B336</f>
        <v/>
      </c>
    </row>
    <row r="349">
      <c r="A349" s="10" t="n">
        <v>44013</v>
      </c>
      <c r="B349" s="15">
        <f>VLOOKUP(A349,Database!A:K,MATCH($A$1,Database!$A$1:$K$1,),)</f>
        <v/>
      </c>
      <c r="C349" s="12">
        <f>(B349-B348)/B348</f>
        <v/>
      </c>
      <c r="D349" s="13">
        <f>(B349-B337)/B337</f>
        <v/>
      </c>
    </row>
    <row r="350">
      <c r="A350" s="11" t="n">
        <v>44044</v>
      </c>
      <c r="B350" s="15">
        <f>VLOOKUP(A350,Database!A:K,MATCH($A$1,Database!$A$1:$K$1,),)</f>
        <v/>
      </c>
      <c r="C350" s="12">
        <f>(B350-B349)/B349</f>
        <v/>
      </c>
      <c r="D350" s="13">
        <f>(B350-B338)/B338</f>
        <v/>
      </c>
    </row>
    <row r="351">
      <c r="A351" s="10" t="n">
        <v>44075</v>
      </c>
      <c r="B351" s="15">
        <f>VLOOKUP(A351,Database!A:K,MATCH($A$1,Database!$A$1:$K$1,),)</f>
        <v/>
      </c>
      <c r="C351" s="12">
        <f>(B351-B350)/B350</f>
        <v/>
      </c>
      <c r="D351" s="13">
        <f>(B351-B339)/B339</f>
        <v/>
      </c>
    </row>
    <row r="352">
      <c r="A352" s="11" t="n">
        <v>44105</v>
      </c>
      <c r="B352" s="15">
        <f>VLOOKUP(A352,Database!A:K,MATCH($A$1,Database!$A$1:$K$1,),)</f>
        <v/>
      </c>
      <c r="C352" s="12">
        <f>(B352-B351)/B351</f>
        <v/>
      </c>
      <c r="D352" s="13">
        <f>(B352-B340)/B340</f>
        <v/>
      </c>
    </row>
    <row r="353">
      <c r="A353" s="10" t="n">
        <v>44136</v>
      </c>
      <c r="B353" s="15">
        <f>VLOOKUP(A353,Database!A:K,MATCH($A$1,Database!$A$1:$K$1,),)</f>
        <v/>
      </c>
      <c r="C353" s="12">
        <f>(B353-B352)/B352</f>
        <v/>
      </c>
      <c r="D353" s="13">
        <f>(B353-B341)/B341</f>
        <v/>
      </c>
    </row>
    <row r="354">
      <c r="A354" s="11" t="n">
        <v>44166</v>
      </c>
      <c r="B354" s="15">
        <f>VLOOKUP(A354,Database!A:K,MATCH($A$1,Database!$A$1:$K$1,),)</f>
        <v/>
      </c>
      <c r="C354" s="12">
        <f>(B354-B353)/B353</f>
        <v/>
      </c>
      <c r="D354" s="13">
        <f>(B354-B342)/B342</f>
        <v/>
      </c>
    </row>
    <row r="355">
      <c r="A355" s="10" t="n">
        <v>44197</v>
      </c>
      <c r="B355" s="15">
        <f>VLOOKUP(A355,Database!A:K,MATCH($A$1,Database!$A$1:$K$1,),)</f>
        <v/>
      </c>
      <c r="C355" s="12">
        <f>(B355-B354)/B354</f>
        <v/>
      </c>
      <c r="D355" s="13">
        <f>(B355-B343)/B343</f>
        <v/>
      </c>
    </row>
    <row r="356">
      <c r="A356" s="11" t="n">
        <v>44228</v>
      </c>
      <c r="B356" s="15">
        <f>VLOOKUP(A356,Database!A:K,MATCH($A$1,Database!$A$1:$K$1,),)</f>
        <v/>
      </c>
      <c r="C356" s="12">
        <f>(B356-B355)/B355</f>
        <v/>
      </c>
      <c r="D356" s="13">
        <f>(B356-B344)/B344</f>
        <v/>
      </c>
    </row>
    <row r="357">
      <c r="A357" s="10" t="n">
        <v>44256</v>
      </c>
      <c r="B357" s="15">
        <f>VLOOKUP(A357,Database!A:K,MATCH($A$1,Database!$A$1:$K$1,),)</f>
        <v/>
      </c>
      <c r="C357" s="12">
        <f>(B357-B356)/B356</f>
        <v/>
      </c>
      <c r="D357" s="13">
        <f>(B357-B345)/B345</f>
        <v/>
      </c>
    </row>
    <row r="358">
      <c r="A358" s="11" t="n">
        <v>44287</v>
      </c>
      <c r="B358" s="15">
        <f>VLOOKUP(A358,Database!A:K,MATCH($A$1,Database!$A$1:$K$1,),)</f>
        <v/>
      </c>
      <c r="C358" s="12">
        <f>(B358-B357)/B357</f>
        <v/>
      </c>
      <c r="D358" s="13">
        <f>(B358-B346)/B346</f>
        <v/>
      </c>
    </row>
    <row r="359">
      <c r="A359" s="10" t="n">
        <v>44317</v>
      </c>
      <c r="B359" s="15">
        <f>VLOOKUP(A359,Database!A:K,MATCH($A$1,Database!$A$1:$K$1,),)</f>
        <v/>
      </c>
      <c r="C359" s="12">
        <f>(B359-B358)/B358</f>
        <v/>
      </c>
      <c r="D359" s="13">
        <f>(B359-B347)/B347</f>
        <v/>
      </c>
    </row>
    <row r="360">
      <c r="A360" s="11" t="n">
        <v>44348</v>
      </c>
      <c r="B360" s="15">
        <f>VLOOKUP(A360,Database!A:K,MATCH($A$1,Database!$A$1:$K$1,),)</f>
        <v/>
      </c>
      <c r="C360" s="12">
        <f>(B360-B359)/B359</f>
        <v/>
      </c>
      <c r="D360" s="13">
        <f>(B360-B348)/B348</f>
        <v/>
      </c>
    </row>
    <row r="361">
      <c r="A361" s="10" t="n">
        <v>44378</v>
      </c>
      <c r="B361" s="15">
        <f>VLOOKUP(A361,Database!A:K,MATCH($A$1,Database!$A$1:$K$1,),)</f>
        <v/>
      </c>
      <c r="C361" s="12">
        <f>(B361-B360)/B360</f>
        <v/>
      </c>
      <c r="D361" s="13">
        <f>(B361-B349)/B349</f>
        <v/>
      </c>
    </row>
    <row r="362">
      <c r="A362" s="11" t="n">
        <v>44409</v>
      </c>
      <c r="B362" s="15">
        <f>VLOOKUP(A362,Database!A:K,MATCH($A$1,Database!$A$1:$K$1,),)</f>
        <v/>
      </c>
      <c r="C362" s="12">
        <f>(B362-B361)/B361</f>
        <v/>
      </c>
      <c r="D362" s="13">
        <f>(B362-B350)/B350</f>
        <v/>
      </c>
    </row>
    <row r="363">
      <c r="A363" s="11" t="n">
        <v>44440</v>
      </c>
      <c r="B363" s="15">
        <f>VLOOKUP(A363,Database!A:K,MATCH($A$1,Database!$A$1:$K$1,),)</f>
        <v/>
      </c>
      <c r="C363" s="12">
        <f>(B363-B362)/B362</f>
        <v/>
      </c>
      <c r="D363" s="13">
        <f>(B363-B351)/B351</f>
        <v/>
      </c>
    </row>
    <row r="364">
      <c r="A364" s="10" t="n">
        <v>44470</v>
      </c>
      <c r="B364" s="15">
        <f>VLOOKUP(A364,Database!A:K,MATCH($A$1,Database!$A$1:$K$1,),)</f>
        <v/>
      </c>
      <c r="C364" s="12">
        <f>(B364-B363)/B363</f>
        <v/>
      </c>
      <c r="D364" s="13">
        <f>(B364-B352)/B352</f>
        <v/>
      </c>
    </row>
    <row r="365">
      <c r="A365" s="11" t="n">
        <v>44501</v>
      </c>
      <c r="B365" s="15">
        <f>VLOOKUP(A365,Database!A:K,MATCH($A$1,Database!$A$1:$K$1,),)</f>
        <v/>
      </c>
      <c r="C365" s="12">
        <f>(B365-B364)/B364</f>
        <v/>
      </c>
      <c r="D365" s="13">
        <f>(B365-B353)/B353</f>
        <v/>
      </c>
    </row>
    <row r="366">
      <c r="A366" s="10" t="n">
        <v>44531</v>
      </c>
      <c r="B366" s="15">
        <f>VLOOKUP(A366,Database!A:K,MATCH($A$1,Database!$A$1:$K$1,),)</f>
        <v/>
      </c>
      <c r="C366" s="12">
        <f>(B366-B365)/B365</f>
        <v/>
      </c>
      <c r="D366" s="13">
        <f>(B366-B354)/B354</f>
        <v/>
      </c>
    </row>
    <row r="367">
      <c r="A367" s="11" t="n">
        <v>44562</v>
      </c>
      <c r="B367" s="15">
        <f>VLOOKUP(A367,Database!A:K,MATCH($A$1,Database!$A$1:$K$1,),)</f>
        <v/>
      </c>
      <c r="C367" s="12">
        <f>(B367-B366)/B366</f>
        <v/>
      </c>
      <c r="D367" s="13">
        <f>(B367-B355)/B355</f>
        <v/>
      </c>
    </row>
    <row r="368">
      <c r="A368" s="11" t="n">
        <v>44593</v>
      </c>
      <c r="B368" s="15">
        <f>VLOOKUP(A368,Database!A:K,MATCH($A$1,Database!$A$1:$K$1,),)</f>
        <v/>
      </c>
      <c r="C368" s="12">
        <f>(B368-B367)/B367</f>
        <v/>
      </c>
      <c r="D368" s="13">
        <f>(B368-B356)/B356</f>
        <v/>
      </c>
    </row>
    <row r="369">
      <c r="A369" s="11" t="n">
        <v>44621</v>
      </c>
      <c r="B369" s="15">
        <f>VLOOKUP(A369,Database!A:K,MATCH($A$1,Database!$A$1:$K$1,),)</f>
        <v/>
      </c>
      <c r="C369" s="12">
        <f>(B369-B368)/B368</f>
        <v/>
      </c>
      <c r="D369" s="13">
        <f>(B369-B357)/B357</f>
        <v/>
      </c>
    </row>
    <row r="370">
      <c r="A370" s="10" t="n">
        <v>44652</v>
      </c>
      <c r="B370" s="15">
        <f>VLOOKUP(A370,Database!A:K,MATCH($A$1,Database!$A$1:$K$1,),)</f>
        <v/>
      </c>
      <c r="C370" s="12">
        <f>(B370-B369)/B369</f>
        <v/>
      </c>
      <c r="D370" s="13">
        <f>(B370-B358)/B358</f>
        <v/>
      </c>
    </row>
    <row r="371">
      <c r="A371" s="11" t="n">
        <v>44682</v>
      </c>
      <c r="B371" s="15">
        <f>VLOOKUP(A371,Database!A:K,MATCH($A$1,Database!$A$1:$K$1,),)</f>
        <v/>
      </c>
      <c r="C371" s="12">
        <f>(B371-B370)/B370</f>
        <v/>
      </c>
      <c r="D371" s="13">
        <f>(B371-B359)/B359</f>
        <v/>
      </c>
    </row>
    <row r="372">
      <c r="A372" s="11" t="n">
        <v>44713</v>
      </c>
      <c r="B372" s="15">
        <f>VLOOKUP(A372,Database!A:K,MATCH($A$1,Database!$A$1:$K$1,),)</f>
        <v/>
      </c>
      <c r="C372" s="12">
        <f>(B372-B371)/B371</f>
        <v/>
      </c>
      <c r="D372" s="13">
        <f>(B372-B360)/B360</f>
        <v/>
      </c>
    </row>
    <row r="373">
      <c r="A373" s="10" t="n">
        <v>44743</v>
      </c>
      <c r="B373" s="15">
        <f>VLOOKUP(A373,Database!A:K,MATCH($A$1,Database!$A$1:$K$1,),)</f>
        <v/>
      </c>
      <c r="C373" s="12">
        <f>(B373-B372)/B372</f>
        <v/>
      </c>
      <c r="D373" s="13">
        <f>(B373-B361)/B361</f>
        <v/>
      </c>
    </row>
    <row r="374">
      <c r="A374" s="11" t="n">
        <v>44774</v>
      </c>
      <c r="B374" s="15">
        <f>VLOOKUP(A374,Database!A:K,MATCH($A$1,Database!$A$1:$K$1,),)</f>
        <v/>
      </c>
      <c r="C374" s="12">
        <f>(B374-B373)/B373</f>
        <v/>
      </c>
      <c r="D374" s="13">
        <f>(B374-B362)/B362</f>
        <v/>
      </c>
    </row>
    <row r="375">
      <c r="A375" s="11" t="n">
        <v>44805</v>
      </c>
      <c r="B375" s="15">
        <f>VLOOKUP(A375,Database!A:K,MATCH($A$1,Database!$A$1:$K$1,),)</f>
        <v/>
      </c>
      <c r="C375" s="12">
        <f>(B375-B374)/B374</f>
        <v/>
      </c>
      <c r="D375" s="13">
        <f>(B375-B363)/B363</f>
        <v/>
      </c>
    </row>
  </sheetData>
  <conditionalFormatting sqref="D19:D375">
    <cfRule type="colorScale" priority="1">
      <colorScale>
        <cfvo type="min"/>
        <cfvo type="percentile" val="50"/>
        <cfvo type="max"/>
        <color rgb="FFF8696B"/>
        <color rgb="FFFFEB84"/>
        <color rgb="FF63BE7B"/>
      </colorScale>
    </cfRule>
  </conditionalFormatting>
  <conditionalFormatting sqref="C8:C375">
    <cfRule type="colorScale" priority="2">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5.xml><?xml version="1.0" encoding="utf-8"?>
<worksheet xmlns="http://schemas.openxmlformats.org/spreadsheetml/2006/main">
  <sheetPr codeName="Sheet15">
    <outlinePr summaryBelow="1" summaryRight="1"/>
    <pageSetUpPr/>
  </sheetPr>
  <dimension ref="A1:D375"/>
  <sheetViews>
    <sheetView topLeftCell="B1" zoomScale="140" zoomScaleNormal="140" workbookViewId="0">
      <pane ySplit="6" topLeftCell="A360" activePane="bottomLeft" state="frozen"/>
      <selection pane="bottomLeft" activeCell="A364" sqref="A364:D375"/>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17"/>
    <col width="9.1640625" customWidth="1" style="122" min="18" max="16384"/>
  </cols>
  <sheetData>
    <row r="1">
      <c r="A1" s="122" t="inlineStr">
        <is>
          <t>RSMVPD</t>
        </is>
      </c>
      <c r="B1" s="29" t="inlineStr">
        <is>
          <t>Retail Trade: Motor Vehicle and Parts Dealers (RSMVPD), Millions of Dollars, Monthly, Seasonally Adjusted</t>
        </is>
      </c>
    </row>
    <row r="2">
      <c r="A2" s="128" t="inlineStr">
        <is>
          <t>https://fred.stlouisfed.org/series/RSMVPD</t>
        </is>
      </c>
      <c r="B2" s="122" t="n"/>
    </row>
    <row r="3">
      <c r="A3" s="9" t="n"/>
    </row>
    <row r="4">
      <c r="A4" s="9" t="n"/>
    </row>
    <row r="5" ht="16" customHeight="1" s="95" thickBot="1"/>
    <row r="6" ht="44.25" customHeight="1" s="95">
      <c r="A6" s="86" t="inlineStr">
        <is>
          <t>Date</t>
        </is>
      </c>
      <c r="B6" s="83" t="inlineStr">
        <is>
          <t>Motor Vehicles, mil$</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1"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row r="369">
      <c r="A369" s="11" t="n">
        <v>44621</v>
      </c>
      <c r="B369" s="15">
        <f>VLOOKUP(A369,Database!A:Q,MATCH($A$1,Database!$A$1:$Q$1,),)</f>
        <v/>
      </c>
      <c r="C369" s="12">
        <f>(B369-B368)/B368</f>
        <v/>
      </c>
      <c r="D369" s="13">
        <f>(B369-B357)/B357</f>
        <v/>
      </c>
    </row>
    <row r="370">
      <c r="A370" s="11" t="n">
        <v>44652</v>
      </c>
      <c r="B370" s="15">
        <f>VLOOKUP(A370,Database!A:Q,MATCH($A$1,Database!$A$1:$Q$1,),)</f>
        <v/>
      </c>
      <c r="C370" s="12">
        <f>(B370-B369)/B369</f>
        <v/>
      </c>
      <c r="D370" s="13">
        <f>(B370-B358)/B358</f>
        <v/>
      </c>
    </row>
    <row r="371">
      <c r="A371" s="10" t="n">
        <v>44682</v>
      </c>
      <c r="B371" s="15">
        <f>VLOOKUP(A371,Database!A:Q,MATCH($A$1,Database!$A$1:$Q$1,),)</f>
        <v/>
      </c>
      <c r="C371" s="12">
        <f>(B371-B370)/B370</f>
        <v/>
      </c>
      <c r="D371" s="13">
        <f>(B371-B359)/B359</f>
        <v/>
      </c>
    </row>
    <row r="372">
      <c r="A372" s="11" t="n">
        <v>44713</v>
      </c>
      <c r="B372" s="15">
        <f>VLOOKUP(A372,Database!A:Q,MATCH($A$1,Database!$A$1:$Q$1,),)</f>
        <v/>
      </c>
      <c r="C372" s="12">
        <f>(B372-B371)/B371</f>
        <v/>
      </c>
      <c r="D372" s="13">
        <f>(B372-B360)/B360</f>
        <v/>
      </c>
    </row>
    <row r="373">
      <c r="A373" s="10" t="n">
        <v>44743</v>
      </c>
      <c r="B373" s="15">
        <f>VLOOKUP(A373,Database!A:Q,MATCH($A$1,Database!$A$1:$Q$1,),)</f>
        <v/>
      </c>
      <c r="C373" s="12">
        <f>(B373-B372)/B372</f>
        <v/>
      </c>
      <c r="D373" s="13">
        <f>(B373-B361)/B361</f>
        <v/>
      </c>
    </row>
    <row r="374">
      <c r="A374" s="10" t="n">
        <v>44774</v>
      </c>
      <c r="B374" s="15">
        <f>VLOOKUP(A374,Database!A:Q,MATCH($A$1,Database!$A$1:$Q$1,),)</f>
        <v/>
      </c>
      <c r="C374" s="12">
        <f>(B374-B373)/B373</f>
        <v/>
      </c>
      <c r="D374" s="13">
        <f>(B374-B362)/B362</f>
        <v/>
      </c>
    </row>
    <row r="375">
      <c r="A375" s="10" t="n">
        <v>44805</v>
      </c>
      <c r="B375" s="15">
        <f>VLOOKUP(A375,Database!A:Q,MATCH($A$1,Database!$A$1:$Q$1,),)</f>
        <v/>
      </c>
      <c r="C375" s="12">
        <f>(B375-B374)/B374</f>
        <v/>
      </c>
      <c r="D375" s="13">
        <f>(B375-B363)/B363</f>
        <v/>
      </c>
    </row>
  </sheetData>
  <conditionalFormatting sqref="D19:D375">
    <cfRule type="colorScale" priority="50">
      <colorScale>
        <cfvo type="min"/>
        <cfvo type="percentile" val="50"/>
        <cfvo type="max"/>
        <color rgb="FFF8696B"/>
        <color rgb="FFFFEB84"/>
        <color rgb="FF63BE7B"/>
      </colorScale>
    </cfRule>
  </conditionalFormatting>
  <conditionalFormatting sqref="C8:C375">
    <cfRule type="colorScale" priority="5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6.xml><?xml version="1.0" encoding="utf-8"?>
<worksheet xmlns="http://schemas.openxmlformats.org/spreadsheetml/2006/main">
  <sheetPr codeName="Sheet22">
    <outlinePr summaryBelow="1" summaryRight="1"/>
    <pageSetUpPr/>
  </sheetPr>
  <dimension ref="A1:D375"/>
  <sheetViews>
    <sheetView topLeftCell="B1" zoomScale="150" zoomScaleNormal="150" workbookViewId="0">
      <pane ySplit="6" topLeftCell="A355" activePane="bottomLeft" state="frozen"/>
      <selection pane="bottomLeft" activeCell="A362" sqref="A362:D375"/>
    </sheetView>
  </sheetViews>
  <sheetFormatPr baseColWidth="10" defaultColWidth="9.1640625" defaultRowHeight="15"/>
  <cols>
    <col width="14" customWidth="1" style="54" min="1" max="1"/>
    <col width="20.6640625" customWidth="1" style="54" min="2" max="2"/>
    <col width="14.33203125" customWidth="1" style="54" min="3" max="3"/>
    <col width="14.1640625" customWidth="1" style="54" min="4" max="4"/>
    <col width="9.1640625" customWidth="1" style="122" min="5" max="17"/>
    <col width="9.1640625" customWidth="1" style="122" min="18" max="16384"/>
  </cols>
  <sheetData>
    <row r="1">
      <c r="A1" s="122" t="inlineStr">
        <is>
          <t>RSBMGESD</t>
        </is>
      </c>
      <c r="B1" s="29" t="inlineStr">
        <is>
          <t>Retail Trade: Building Materials, Garden Equipment and Supplies Dealers (RSBMGESD), Millions of Dollars, Monthly, Seasonally Adjusted</t>
        </is>
      </c>
    </row>
    <row r="2">
      <c r="A2" s="128" t="inlineStr">
        <is>
          <t>https://fred.stlouisfed.org/series/RSBMGESD</t>
        </is>
      </c>
      <c r="B2" s="122" t="n"/>
    </row>
    <row r="3">
      <c r="A3" s="9" t="n"/>
    </row>
    <row r="4">
      <c r="A4" s="9" t="n"/>
    </row>
    <row r="5" ht="16" customHeight="1" s="95" thickBot="1">
      <c r="A5" s="9" t="n"/>
    </row>
    <row r="6" ht="16" customHeight="1" s="95" thickBot="1">
      <c r="A6" s="88" t="inlineStr">
        <is>
          <t>Date</t>
        </is>
      </c>
      <c r="B6" s="89" t="inlineStr">
        <is>
          <t>Building Materials. mil$</t>
        </is>
      </c>
      <c r="C6" s="89" t="inlineStr">
        <is>
          <t>Change m/m</t>
        </is>
      </c>
      <c r="D6" s="90" t="inlineStr">
        <is>
          <t xml:space="preserve">Change y/y </t>
        </is>
      </c>
    </row>
    <row r="7">
      <c r="A7" s="17" t="n">
        <v>33604</v>
      </c>
      <c r="B7" s="18">
        <f>VLOOKUP(A7,Database!A:K,MATCH($A$1,Database!$A$1:$K$1,),)</f>
        <v/>
      </c>
      <c r="C7" s="19" t="n"/>
      <c r="D7" s="19" t="n"/>
    </row>
    <row r="8">
      <c r="A8" s="11" t="n">
        <v>33635</v>
      </c>
      <c r="B8" s="15">
        <f>VLOOKUP(A8,Database!A:K,MATCH($A$1,Database!$A$1:$K$1,),)</f>
        <v/>
      </c>
      <c r="C8" s="12">
        <f>(B8-B7)/B7</f>
        <v/>
      </c>
      <c r="D8" s="1" t="n"/>
    </row>
    <row r="9">
      <c r="A9" s="17" t="n">
        <v>33664</v>
      </c>
      <c r="B9" s="15">
        <f>VLOOKUP(A9,Database!A:K,MATCH($A$1,Database!$A$1:$K$1,),)</f>
        <v/>
      </c>
      <c r="C9" s="12">
        <f>(B9-B8)/B8</f>
        <v/>
      </c>
      <c r="D9" s="1" t="n"/>
    </row>
    <row r="10">
      <c r="A10" s="11" t="n">
        <v>33695</v>
      </c>
      <c r="B10" s="15">
        <f>VLOOKUP(A10,Database!A:K,MATCH($A$1,Database!$A$1:$K$1,),)</f>
        <v/>
      </c>
      <c r="C10" s="12">
        <f>(B10-B9)/B9</f>
        <v/>
      </c>
      <c r="D10" s="1" t="n"/>
    </row>
    <row r="11">
      <c r="A11" s="17" t="n">
        <v>33725</v>
      </c>
      <c r="B11" s="15">
        <f>VLOOKUP(A11,Database!A:K,MATCH($A$1,Database!$A$1:$K$1,),)</f>
        <v/>
      </c>
      <c r="C11" s="12">
        <f>(B11-B10)/B10</f>
        <v/>
      </c>
      <c r="D11" s="1" t="n"/>
    </row>
    <row r="12">
      <c r="A12" s="11" t="n">
        <v>33756</v>
      </c>
      <c r="B12" s="15">
        <f>VLOOKUP(A12,Database!A:K,MATCH($A$1,Database!$A$1:$K$1,),)</f>
        <v/>
      </c>
      <c r="C12" s="12">
        <f>(B12-B11)/B11</f>
        <v/>
      </c>
      <c r="D12" s="1" t="n"/>
    </row>
    <row r="13">
      <c r="A13" s="17" t="n">
        <v>33786</v>
      </c>
      <c r="B13" s="15">
        <f>VLOOKUP(A13,Database!A:K,MATCH($A$1,Database!$A$1:$K$1,),)</f>
        <v/>
      </c>
      <c r="C13" s="12">
        <f>(B13-B12)/B12</f>
        <v/>
      </c>
      <c r="D13" s="1" t="n"/>
    </row>
    <row r="14">
      <c r="A14" s="11" t="n">
        <v>33817</v>
      </c>
      <c r="B14" s="15">
        <f>VLOOKUP(A14,Database!A:K,MATCH($A$1,Database!$A$1:$K$1,),)</f>
        <v/>
      </c>
      <c r="C14" s="12">
        <f>(B14-B13)/B13</f>
        <v/>
      </c>
      <c r="D14" s="1" t="n"/>
    </row>
    <row r="15">
      <c r="A15" s="17" t="n">
        <v>33848</v>
      </c>
      <c r="B15" s="15">
        <f>VLOOKUP(A15,Database!A:K,MATCH($A$1,Database!$A$1:$K$1,),)</f>
        <v/>
      </c>
      <c r="C15" s="12">
        <f>(B15-B14)/B14</f>
        <v/>
      </c>
      <c r="D15" s="1" t="n"/>
    </row>
    <row r="16">
      <c r="A16" s="11" t="n">
        <v>33878</v>
      </c>
      <c r="B16" s="15">
        <f>VLOOKUP(A16,Database!A:K,MATCH($A$1,Database!$A$1:$K$1,),)</f>
        <v/>
      </c>
      <c r="C16" s="12">
        <f>(B16-B15)/B15</f>
        <v/>
      </c>
      <c r="D16" s="1" t="n"/>
    </row>
    <row r="17">
      <c r="A17" s="17" t="n">
        <v>33909</v>
      </c>
      <c r="B17" s="15">
        <f>VLOOKUP(A17,Database!A:K,MATCH($A$1,Database!$A$1:$K$1,),)</f>
        <v/>
      </c>
      <c r="C17" s="12">
        <f>(B17-B16)/B16</f>
        <v/>
      </c>
      <c r="D17" s="1" t="n"/>
    </row>
    <row r="18">
      <c r="A18" s="11" t="n">
        <v>33939</v>
      </c>
      <c r="B18" s="15">
        <f>VLOOKUP(A18,Database!A:K,MATCH($A$1,Database!$A$1:$K$1,),)</f>
        <v/>
      </c>
      <c r="C18" s="12">
        <f>(B18-B17)/B17</f>
        <v/>
      </c>
      <c r="D18" s="1" t="n"/>
    </row>
    <row r="19">
      <c r="A19" s="17"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7"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7"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7"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7"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7"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7"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7"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7"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7"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7"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7"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7"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7"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7"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7"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7"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7"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7"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7"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7"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7"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7"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7"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7"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7"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7"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7"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7"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7"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7"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7"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7"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7"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7"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7"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7"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7"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7"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7"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7"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7"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7"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7"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7"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7"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7"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7"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7"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7"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7"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7"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7"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7"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7"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7"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7"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7"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7"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7"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7"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7"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7"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7"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7"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7"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7"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7"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7"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7"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7"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7"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7"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7"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7"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7"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7"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7"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7"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7"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7"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7"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7"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7"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7"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7"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7"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7"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7"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7"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7"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7"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7"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7"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7"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7"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7"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7"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7"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7"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7"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7"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7"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7"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7"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7"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7"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7"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7"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7"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7"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7"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7"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7"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7"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7"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7"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7"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7"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7"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7"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7"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7"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7"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7"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7"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7"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7"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7"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7"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7"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7"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7"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7"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7"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7"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7"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7"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7"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7"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7"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7"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7"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7"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7"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7"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7"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7"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7"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7"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7"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7"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7"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7"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7"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7"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7"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7" t="n">
        <v>43525</v>
      </c>
      <c r="B333" s="15">
        <f>VLOOKUP(A333,Database!A:K,MATCH($A$1,Database!$A$1:$K$1,),)</f>
        <v/>
      </c>
      <c r="C333" s="12">
        <f>(B333-B332)/B332</f>
        <v/>
      </c>
      <c r="D333" s="13">
        <f>(B333-B321)/B321</f>
        <v/>
      </c>
    </row>
    <row r="334">
      <c r="A334" s="11" t="n">
        <v>43556</v>
      </c>
      <c r="B334" s="31">
        <f>VLOOKUP(A334,Database!A:K,MATCH($A$1,Database!$A$1:$K$1,),)</f>
        <v/>
      </c>
      <c r="C334" s="32">
        <f>(B334-B333)/B333</f>
        <v/>
      </c>
      <c r="D334" s="33">
        <f>(B334-B322)/B322</f>
        <v/>
      </c>
    </row>
    <row r="335">
      <c r="A335" s="17" t="n">
        <v>43586</v>
      </c>
      <c r="B335" s="15">
        <f>VLOOKUP(A335,Database!A:K,MATCH($A$1,Database!$A$1:$K$1,),)</f>
        <v/>
      </c>
      <c r="C335" s="12">
        <f>(B335-B334)/B334</f>
        <v/>
      </c>
      <c r="D335" s="13">
        <f>(B335-B323)/B323</f>
        <v/>
      </c>
    </row>
    <row r="336">
      <c r="A336" s="11" t="n">
        <v>43617</v>
      </c>
      <c r="B336" s="31">
        <f>VLOOKUP(A336,Database!A:K,MATCH($A$1,Database!$A$1:$K$1,),)</f>
        <v/>
      </c>
      <c r="C336" s="32">
        <f>(B336-B335)/B335</f>
        <v/>
      </c>
      <c r="D336" s="33">
        <f>(B336-B324)/B324</f>
        <v/>
      </c>
    </row>
    <row r="337">
      <c r="A337" s="17" t="n">
        <v>43647</v>
      </c>
      <c r="B337" s="15">
        <f>VLOOKUP(A337,Database!A:K,MATCH($A$1,Database!$A$1:$K$1,),)</f>
        <v/>
      </c>
      <c r="C337" s="12">
        <f>(B337-B336)/B336</f>
        <v/>
      </c>
      <c r="D337" s="13">
        <f>(B337-B325)/B325</f>
        <v/>
      </c>
    </row>
    <row r="338">
      <c r="A338" s="11" t="n">
        <v>43678</v>
      </c>
      <c r="B338" s="31">
        <f>VLOOKUP(A338,Database!A:K,MATCH($A$1,Database!$A$1:$K$1,),)</f>
        <v/>
      </c>
      <c r="C338" s="32">
        <f>(B338-B337)/B337</f>
        <v/>
      </c>
      <c r="D338" s="33">
        <f>(B338-B326)/B326</f>
        <v/>
      </c>
    </row>
    <row r="339">
      <c r="A339" s="17" t="n">
        <v>43709</v>
      </c>
      <c r="B339" s="15">
        <f>VLOOKUP(A339,Database!A:K,MATCH($A$1,Database!$A$1:$K$1,),)</f>
        <v/>
      </c>
      <c r="C339" s="12">
        <f>(B339-B338)/B338</f>
        <v/>
      </c>
      <c r="D339" s="13">
        <f>(B339-B327)/B327</f>
        <v/>
      </c>
    </row>
    <row r="340">
      <c r="A340" s="11" t="n">
        <v>43739</v>
      </c>
      <c r="B340" s="31">
        <f>VLOOKUP(A340,Database!A:K,MATCH($A$1,Database!$A$1:$K$1,),)</f>
        <v/>
      </c>
      <c r="C340" s="32">
        <f>(B340-B339)/B339</f>
        <v/>
      </c>
      <c r="D340" s="33">
        <f>(B340-B328)/B328</f>
        <v/>
      </c>
    </row>
    <row r="341">
      <c r="A341" s="17" t="n">
        <v>43770</v>
      </c>
      <c r="B341" s="15">
        <f>VLOOKUP(A341,Database!A:K,MATCH($A$1,Database!$A$1:$K$1,),)</f>
        <v/>
      </c>
      <c r="C341" s="12">
        <f>(B341-B340)/B340</f>
        <v/>
      </c>
      <c r="D341" s="13">
        <f>(B341-B329)/B329</f>
        <v/>
      </c>
    </row>
    <row r="342">
      <c r="A342" s="11" t="n">
        <v>43800</v>
      </c>
      <c r="B342" s="31">
        <f>VLOOKUP(A342,Database!A:K,MATCH($A$1,Database!$A$1:$K$1,),)</f>
        <v/>
      </c>
      <c r="C342" s="32">
        <f>(B342-B341)/B341</f>
        <v/>
      </c>
      <c r="D342" s="33">
        <f>(B342-B330)/B330</f>
        <v/>
      </c>
    </row>
    <row r="343">
      <c r="A343" s="17" t="n">
        <v>43831</v>
      </c>
      <c r="B343" s="15">
        <f>VLOOKUP(A343,Database!A:K,MATCH($A$1,Database!$A$1:$K$1,),)</f>
        <v/>
      </c>
      <c r="C343" s="12">
        <f>(B343-B342)/B342</f>
        <v/>
      </c>
      <c r="D343" s="13">
        <f>(B343-B331)/B331</f>
        <v/>
      </c>
    </row>
    <row r="344">
      <c r="A344" s="11" t="n">
        <v>43862</v>
      </c>
      <c r="B344" s="31">
        <f>VLOOKUP(A344,Database!A:K,MATCH($A$1,Database!$A$1:$K$1,),)</f>
        <v/>
      </c>
      <c r="C344" s="32">
        <f>(B344-B343)/B343</f>
        <v/>
      </c>
      <c r="D344" s="33">
        <f>(B344-B332)/B332</f>
        <v/>
      </c>
    </row>
    <row r="345">
      <c r="A345" s="17" t="n">
        <v>43891</v>
      </c>
      <c r="B345" s="15">
        <f>VLOOKUP(A345,Database!A:K,MATCH($A$1,Database!$A$1:$K$1,),)</f>
        <v/>
      </c>
      <c r="C345" s="12">
        <f>(B345-B344)/B344</f>
        <v/>
      </c>
      <c r="D345" s="13">
        <f>(B345-B333)/B333</f>
        <v/>
      </c>
    </row>
    <row r="346">
      <c r="A346" s="11" t="n">
        <v>43922</v>
      </c>
      <c r="B346" s="31">
        <f>VLOOKUP(A346,Database!A:K,MATCH($A$1,Database!$A$1:$K$1,),)</f>
        <v/>
      </c>
      <c r="C346" s="32">
        <f>(B346-B345)/B345</f>
        <v/>
      </c>
      <c r="D346" s="33">
        <f>(B346-B334)/B334</f>
        <v/>
      </c>
    </row>
    <row r="347">
      <c r="A347" s="17" t="n">
        <v>43952</v>
      </c>
      <c r="B347" s="15">
        <f>VLOOKUP(A347,Database!A:K,MATCH($A$1,Database!$A$1:$K$1,),)</f>
        <v/>
      </c>
      <c r="C347" s="12">
        <f>(B347-B346)/B346</f>
        <v/>
      </c>
      <c r="D347" s="13">
        <f>(B347-B335)/B335</f>
        <v/>
      </c>
    </row>
    <row r="348">
      <c r="A348" s="11" t="n">
        <v>43983</v>
      </c>
      <c r="B348" s="31">
        <f>VLOOKUP(A348,Database!A:K,MATCH($A$1,Database!$A$1:$K$1,),)</f>
        <v/>
      </c>
      <c r="C348" s="32">
        <f>(B348-B347)/B347</f>
        <v/>
      </c>
      <c r="D348" s="33">
        <f>(B348-B336)/B336</f>
        <v/>
      </c>
    </row>
    <row r="349">
      <c r="A349" s="17" t="n">
        <v>44013</v>
      </c>
      <c r="B349" s="15">
        <f>VLOOKUP(A349,Database!A:K,MATCH($A$1,Database!$A$1:$K$1,),)</f>
        <v/>
      </c>
      <c r="C349" s="12">
        <f>(B349-B348)/B348</f>
        <v/>
      </c>
      <c r="D349" s="13">
        <f>(B349-B337)/B337</f>
        <v/>
      </c>
    </row>
    <row r="350">
      <c r="A350" s="11" t="n">
        <v>44044</v>
      </c>
      <c r="B350" s="31">
        <f>VLOOKUP(A350,Database!A:K,MATCH($A$1,Database!$A$1:$K$1,),)</f>
        <v/>
      </c>
      <c r="C350" s="32">
        <f>(B350-B349)/B349</f>
        <v/>
      </c>
      <c r="D350" s="33">
        <f>(B350-B338)/B338</f>
        <v/>
      </c>
    </row>
    <row r="351">
      <c r="A351" s="17" t="n">
        <v>44075</v>
      </c>
      <c r="B351" s="15">
        <f>VLOOKUP(A351,Database!A:K,MATCH($A$1,Database!$A$1:$K$1,),)</f>
        <v/>
      </c>
      <c r="C351" s="12">
        <f>(B351-B350)/B350</f>
        <v/>
      </c>
      <c r="D351" s="13">
        <f>(B351-B339)/B339</f>
        <v/>
      </c>
    </row>
    <row r="352">
      <c r="A352" s="11" t="n">
        <v>44105</v>
      </c>
      <c r="B352" s="31">
        <f>VLOOKUP(A352,Database!A:K,MATCH($A$1,Database!$A$1:$K$1,),)</f>
        <v/>
      </c>
      <c r="C352" s="32">
        <f>(B352-B351)/B351</f>
        <v/>
      </c>
      <c r="D352" s="33">
        <f>(B352-B340)/B340</f>
        <v/>
      </c>
    </row>
    <row r="353">
      <c r="A353" s="17" t="n">
        <v>44136</v>
      </c>
      <c r="B353" s="15">
        <f>VLOOKUP(A353,Database!A:K,MATCH($A$1,Database!$A$1:$K$1,),)</f>
        <v/>
      </c>
      <c r="C353" s="12">
        <f>(B353-B352)/B352</f>
        <v/>
      </c>
      <c r="D353" s="13">
        <f>(B353-B341)/B341</f>
        <v/>
      </c>
    </row>
    <row r="354">
      <c r="A354" s="11" t="n">
        <v>44166</v>
      </c>
      <c r="B354" s="31">
        <f>VLOOKUP(A354,Database!A:K,MATCH($A$1,Database!$A$1:$K$1,),)</f>
        <v/>
      </c>
      <c r="C354" s="32">
        <f>(B354-B353)/B353</f>
        <v/>
      </c>
      <c r="D354" s="33">
        <f>(B354-B342)/B342</f>
        <v/>
      </c>
    </row>
    <row r="355">
      <c r="A355" s="17" t="n">
        <v>44197</v>
      </c>
      <c r="B355" s="15">
        <f>VLOOKUP(A355,Database!A:K,MATCH($A$1,Database!$A$1:$K$1,),)</f>
        <v/>
      </c>
      <c r="C355" s="12">
        <f>(B355-B354)/B354</f>
        <v/>
      </c>
      <c r="D355" s="13">
        <f>(B355-B343)/B343</f>
        <v/>
      </c>
    </row>
    <row r="356">
      <c r="A356" s="11" t="n">
        <v>44228</v>
      </c>
      <c r="B356" s="31">
        <f>VLOOKUP(A356,Database!A:K,MATCH($A$1,Database!$A$1:$K$1,),)</f>
        <v/>
      </c>
      <c r="C356" s="32">
        <f>(B356-B355)/B355</f>
        <v/>
      </c>
      <c r="D356" s="33">
        <f>(B356-B344)/B344</f>
        <v/>
      </c>
    </row>
    <row r="357">
      <c r="A357" s="17" t="n">
        <v>44256</v>
      </c>
      <c r="B357" s="15">
        <f>VLOOKUP(A357,Database!A:K,MATCH($A$1,Database!$A$1:$K$1,),)</f>
        <v/>
      </c>
      <c r="C357" s="12">
        <f>(B357-B356)/B356</f>
        <v/>
      </c>
      <c r="D357" s="13">
        <f>(B357-B345)/B345</f>
        <v/>
      </c>
    </row>
    <row r="358">
      <c r="A358" s="11" t="n">
        <v>44287</v>
      </c>
      <c r="B358" s="31">
        <f>VLOOKUP(A358,Database!A:K,MATCH($A$1,Database!$A$1:$K$1,),)</f>
        <v/>
      </c>
      <c r="C358" s="32">
        <f>(B358-B357)/B357</f>
        <v/>
      </c>
      <c r="D358" s="33">
        <f>(B358-B346)/B346</f>
        <v/>
      </c>
    </row>
    <row r="359">
      <c r="A359" s="17" t="n">
        <v>44317</v>
      </c>
      <c r="B359" s="15">
        <f>VLOOKUP(A359,Database!A:K,MATCH($A$1,Database!$A$1:$K$1,),)</f>
        <v/>
      </c>
      <c r="C359" s="12">
        <f>(B359-B358)/B358</f>
        <v/>
      </c>
      <c r="D359" s="13">
        <f>(B359-B347)/B347</f>
        <v/>
      </c>
    </row>
    <row r="360">
      <c r="A360" s="11" t="n">
        <v>44348</v>
      </c>
      <c r="B360" s="31">
        <f>VLOOKUP(A360,Database!A:K,MATCH($A$1,Database!$A$1:$K$1,),)</f>
        <v/>
      </c>
      <c r="C360" s="32">
        <f>(B360-B359)/B359</f>
        <v/>
      </c>
      <c r="D360" s="33">
        <f>(B360-B348)/B348</f>
        <v/>
      </c>
    </row>
    <row r="361">
      <c r="A361" s="17" t="n">
        <v>44378</v>
      </c>
      <c r="B361" s="15">
        <f>VLOOKUP(A361,Database!A:K,MATCH($A$1,Database!$A$1:$K$1,),)</f>
        <v/>
      </c>
      <c r="C361" s="12">
        <f>(B361-B360)/B360</f>
        <v/>
      </c>
      <c r="D361" s="13">
        <f>(B361-B349)/B349</f>
        <v/>
      </c>
    </row>
    <row r="362">
      <c r="A362" s="11" t="n">
        <v>44409</v>
      </c>
      <c r="B362" s="31">
        <f>VLOOKUP(A362,Database!A:K,MATCH($A$1,Database!$A$1:$K$1,),)</f>
        <v/>
      </c>
      <c r="C362" s="32">
        <f>(B362-B361)/B361</f>
        <v/>
      </c>
      <c r="D362" s="33">
        <f>(B362-B350)/B350</f>
        <v/>
      </c>
    </row>
    <row r="363">
      <c r="A363" s="11" t="n">
        <v>44440</v>
      </c>
      <c r="B363" s="31">
        <f>VLOOKUP(A363,Database!A:K,MATCH($A$1,Database!$A$1:$K$1,),)</f>
        <v/>
      </c>
      <c r="C363" s="32">
        <f>(B363-B362)/B362</f>
        <v/>
      </c>
      <c r="D363" s="33">
        <f>(B363-B351)/B351</f>
        <v/>
      </c>
    </row>
    <row r="364">
      <c r="A364" s="17" t="n">
        <v>44470</v>
      </c>
      <c r="B364" s="15">
        <f>VLOOKUP(A364,Database!A:K,MATCH($A$1,Database!$A$1:$K$1,),)</f>
        <v/>
      </c>
      <c r="C364" s="12">
        <f>(B364-B363)/B363</f>
        <v/>
      </c>
      <c r="D364" s="13">
        <f>(B364-B352)/B352</f>
        <v/>
      </c>
    </row>
    <row r="365">
      <c r="A365" s="11" t="n">
        <v>44501</v>
      </c>
      <c r="B365" s="31">
        <f>VLOOKUP(A365,Database!A:K,MATCH($A$1,Database!$A$1:$K$1,),)</f>
        <v/>
      </c>
      <c r="C365" s="32">
        <f>(B365-B364)/B364</f>
        <v/>
      </c>
      <c r="D365" s="33">
        <f>(B365-B353)/B353</f>
        <v/>
      </c>
    </row>
    <row r="366">
      <c r="A366" s="11" t="n">
        <v>44531</v>
      </c>
      <c r="B366" s="31">
        <f>VLOOKUP(A366,Database!A:K,MATCH($A$1,Database!$A$1:$K$1,),)</f>
        <v/>
      </c>
      <c r="C366" s="32">
        <f>(B366-B365)/B365</f>
        <v/>
      </c>
      <c r="D366" s="33">
        <f>(B366-B354)/B354</f>
        <v/>
      </c>
    </row>
    <row r="367">
      <c r="A367" s="11" t="n">
        <v>44562</v>
      </c>
      <c r="B367" s="31">
        <f>VLOOKUP(A367,Database!A:K,MATCH($A$1,Database!$A$1:$K$1,),)</f>
        <v/>
      </c>
      <c r="C367" s="32">
        <f>(B367-B366)/B366</f>
        <v/>
      </c>
      <c r="D367" s="33">
        <f>(B367-B355)/B355</f>
        <v/>
      </c>
    </row>
    <row r="368">
      <c r="A368" s="11" t="n">
        <v>44593</v>
      </c>
      <c r="B368" s="31">
        <f>VLOOKUP(A368,Database!A:K,MATCH($A$1,Database!$A$1:$K$1,),)</f>
        <v/>
      </c>
      <c r="C368" s="32">
        <f>(B368-B367)/B367</f>
        <v/>
      </c>
      <c r="D368" s="33">
        <f>(B368-B356)/B356</f>
        <v/>
      </c>
    </row>
    <row r="369">
      <c r="A369" s="11" t="n">
        <v>44621</v>
      </c>
      <c r="B369" s="31">
        <f>VLOOKUP(A369,Database!A:K,MATCH($A$1,Database!$A$1:$K$1,),)</f>
        <v/>
      </c>
      <c r="C369" s="32">
        <f>(B369-B368)/B368</f>
        <v/>
      </c>
      <c r="D369" s="33">
        <f>(B369-B357)/B357</f>
        <v/>
      </c>
    </row>
    <row r="370">
      <c r="A370" s="17" t="n">
        <v>44652</v>
      </c>
      <c r="B370" s="15">
        <f>VLOOKUP(A370,Database!A:K,MATCH($A$1,Database!$A$1:$K$1,),)</f>
        <v/>
      </c>
      <c r="C370" s="12">
        <f>(B370-B369)/B369</f>
        <v/>
      </c>
      <c r="D370" s="13">
        <f>(B370-B358)/B358</f>
        <v/>
      </c>
    </row>
    <row r="371">
      <c r="A371" s="11" t="n">
        <v>44682</v>
      </c>
      <c r="B371" s="31">
        <f>VLOOKUP(A371,Database!A:K,MATCH($A$1,Database!$A$1:$K$1,),)</f>
        <v/>
      </c>
      <c r="C371" s="32">
        <f>(B371-B370)/B370</f>
        <v/>
      </c>
      <c r="D371" s="33">
        <f>(B371-B359)/B359</f>
        <v/>
      </c>
    </row>
    <row r="372">
      <c r="A372" s="11" t="n">
        <v>44713</v>
      </c>
      <c r="B372" s="31">
        <f>VLOOKUP(A372,Database!A:K,MATCH($A$1,Database!$A$1:$K$1,),)</f>
        <v/>
      </c>
      <c r="C372" s="32">
        <f>(B372-B371)/B371</f>
        <v/>
      </c>
      <c r="D372" s="33">
        <f>(B372-B360)/B360</f>
        <v/>
      </c>
    </row>
    <row r="373">
      <c r="A373" s="11" t="n">
        <v>44743</v>
      </c>
      <c r="B373" s="31">
        <f>VLOOKUP(A373,Database!A:K,MATCH($A$1,Database!$A$1:$K$1,),)</f>
        <v/>
      </c>
      <c r="C373" s="32">
        <f>(B373-B372)/B372</f>
        <v/>
      </c>
      <c r="D373" s="33">
        <f>(B373-B361)/B361</f>
        <v/>
      </c>
    </row>
    <row r="374">
      <c r="A374" s="11" t="n">
        <v>44774</v>
      </c>
      <c r="B374" s="31">
        <f>VLOOKUP(A374,Database!A:K,MATCH($A$1,Database!$A$1:$K$1,),)</f>
        <v/>
      </c>
      <c r="C374" s="32">
        <f>(B374-B373)/B373</f>
        <v/>
      </c>
      <c r="D374" s="33">
        <f>(B374-B362)/B362</f>
        <v/>
      </c>
    </row>
    <row r="375">
      <c r="A375" s="11" t="n">
        <v>44805</v>
      </c>
      <c r="B375" s="31">
        <f>VLOOKUP(A375,Database!A:K,MATCH($A$1,Database!$A$1:$K$1,),)</f>
        <v/>
      </c>
      <c r="C375" s="32">
        <f>(B375-B374)/B374</f>
        <v/>
      </c>
      <c r="D375" s="33">
        <f>(B375-B363)/B363</f>
        <v/>
      </c>
    </row>
  </sheetData>
  <conditionalFormatting sqref="D19:D375">
    <cfRule type="colorScale" priority="48">
      <colorScale>
        <cfvo type="min"/>
        <cfvo type="percentile" val="50"/>
        <cfvo type="max"/>
        <color rgb="FFF8696B"/>
        <color rgb="FFFFEB84"/>
        <color rgb="FF63BE7B"/>
      </colorScale>
    </cfRule>
  </conditionalFormatting>
  <conditionalFormatting sqref="C8:C375">
    <cfRule type="colorScale" priority="49">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17.xml><?xml version="1.0" encoding="utf-8"?>
<worksheet xmlns="http://schemas.openxmlformats.org/spreadsheetml/2006/main">
  <sheetPr codeName="Sheet18">
    <outlinePr summaryBelow="1" summaryRight="1"/>
    <pageSetUpPr/>
  </sheetPr>
  <dimension ref="A1:D375"/>
  <sheetViews>
    <sheetView zoomScale="140" zoomScaleNormal="140" workbookViewId="0">
      <pane ySplit="6" topLeftCell="A360" activePane="bottomLeft" state="frozen"/>
      <selection pane="bottomLeft" activeCell="A365" sqref="A365:D375"/>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17"/>
    <col width="9.1640625" customWidth="1" style="122" min="18" max="16384"/>
  </cols>
  <sheetData>
    <row r="1">
      <c r="A1" s="122" t="inlineStr">
        <is>
          <t>RSFHFS</t>
        </is>
      </c>
      <c r="B1" s="29" t="inlineStr">
        <is>
          <t>RSEAS</t>
        </is>
      </c>
    </row>
    <row r="2">
      <c r="A2" s="128" t="n"/>
      <c r="B2" s="122" t="n"/>
    </row>
    <row r="3">
      <c r="A3" s="9" t="n"/>
    </row>
    <row r="4">
      <c r="A4" s="9" t="n"/>
    </row>
    <row r="5" ht="16" customHeight="1" s="95" thickBot="1"/>
    <row r="6" ht="44.25" customHeight="1" s="95">
      <c r="A6" s="91" t="inlineStr">
        <is>
          <t>Date</t>
        </is>
      </c>
      <c r="B6" s="92" t="inlineStr">
        <is>
          <t>Retail Sales mil$</t>
        </is>
      </c>
      <c r="C6" s="84" t="inlineStr">
        <is>
          <t>mom</t>
        </is>
      </c>
      <c r="D6" s="85" t="inlineStr">
        <is>
          <t>yoy</t>
        </is>
      </c>
    </row>
    <row r="7">
      <c r="A7" s="10" t="n">
        <v>33604</v>
      </c>
      <c r="B7" s="15">
        <f>VLOOKUP(A7,Database!A:K,MATCH($A$1,Database!$A$1:$K$1,),)+VLOOKUP(A7,Database!A:K,MATCH($B$1,Database!$A$1:$K$1,),)</f>
        <v/>
      </c>
      <c r="C7" s="1" t="n"/>
      <c r="D7" s="1" t="n"/>
    </row>
    <row r="8">
      <c r="A8" s="11" t="n">
        <v>33635</v>
      </c>
      <c r="B8" s="15">
        <f>VLOOKUP(A8,Database!A:K,MATCH($A$1,Database!$A$1:$K$1,),)+VLOOKUP(A8,Database!A:K,MATCH($B$1,Database!$A$1:$K$1,),)</f>
        <v/>
      </c>
      <c r="C8" s="12">
        <f>(B8-B7)/B7</f>
        <v/>
      </c>
      <c r="D8" s="1" t="n"/>
    </row>
    <row r="9">
      <c r="A9" s="10" t="n">
        <v>33664</v>
      </c>
      <c r="B9" s="15">
        <f>VLOOKUP(A9,Database!A:K,MATCH($A$1,Database!$A$1:$K$1,),)+VLOOKUP(A9,Database!A:K,MATCH($B$1,Database!$A$1:$K$1,),)</f>
        <v/>
      </c>
      <c r="C9" s="12">
        <f>(B9-B8)/B8</f>
        <v/>
      </c>
      <c r="D9" s="1" t="n"/>
    </row>
    <row r="10">
      <c r="A10" s="11" t="n">
        <v>33695</v>
      </c>
      <c r="B10" s="15">
        <f>VLOOKUP(A10,Database!A:K,MATCH($A$1,Database!$A$1:$K$1,),)+VLOOKUP(A10,Database!A:K,MATCH($B$1,Database!$A$1:$K$1,),)</f>
        <v/>
      </c>
      <c r="C10" s="12">
        <f>(B10-B9)/B9</f>
        <v/>
      </c>
      <c r="D10" s="1" t="n"/>
    </row>
    <row r="11">
      <c r="A11" s="10" t="n">
        <v>33725</v>
      </c>
      <c r="B11" s="15">
        <f>VLOOKUP(A11,Database!A:K,MATCH($A$1,Database!$A$1:$K$1,),)+VLOOKUP(A11,Database!A:K,MATCH($B$1,Database!$A$1:$K$1,),)</f>
        <v/>
      </c>
      <c r="C11" s="12">
        <f>(B11-B10)/B10</f>
        <v/>
      </c>
      <c r="D11" s="1" t="n"/>
    </row>
    <row r="12">
      <c r="A12" s="11" t="n">
        <v>33756</v>
      </c>
      <c r="B12" s="15">
        <f>VLOOKUP(A12,Database!A:K,MATCH($A$1,Database!$A$1:$K$1,),)+VLOOKUP(A12,Database!A:K,MATCH($B$1,Database!$A$1:$K$1,),)</f>
        <v/>
      </c>
      <c r="C12" s="12">
        <f>(B12-B11)/B11</f>
        <v/>
      </c>
      <c r="D12" s="1" t="n"/>
    </row>
    <row r="13">
      <c r="A13" s="10" t="n">
        <v>33786</v>
      </c>
      <c r="B13" s="15">
        <f>VLOOKUP(A13,Database!A:K,MATCH($A$1,Database!$A$1:$K$1,),)+VLOOKUP(A13,Database!A:K,MATCH($B$1,Database!$A$1:$K$1,),)</f>
        <v/>
      </c>
      <c r="C13" s="12">
        <f>(B13-B12)/B12</f>
        <v/>
      </c>
      <c r="D13" s="1" t="n"/>
    </row>
    <row r="14">
      <c r="A14" s="11" t="n">
        <v>33817</v>
      </c>
      <c r="B14" s="15">
        <f>VLOOKUP(A14,Database!A:K,MATCH($A$1,Database!$A$1:$K$1,),)+VLOOKUP(A14,Database!A:K,MATCH($B$1,Database!$A$1:$K$1,),)</f>
        <v/>
      </c>
      <c r="C14" s="12">
        <f>(B14-B13)/B13</f>
        <v/>
      </c>
      <c r="D14" s="1" t="n"/>
    </row>
    <row r="15">
      <c r="A15" s="10" t="n">
        <v>33848</v>
      </c>
      <c r="B15" s="15">
        <f>VLOOKUP(A15,Database!A:K,MATCH($A$1,Database!$A$1:$K$1,),)+VLOOKUP(A15,Database!A:K,MATCH($B$1,Database!$A$1:$K$1,),)</f>
        <v/>
      </c>
      <c r="C15" s="12">
        <f>(B15-B14)/B14</f>
        <v/>
      </c>
      <c r="D15" s="1" t="n"/>
    </row>
    <row r="16">
      <c r="A16" s="11" t="n">
        <v>33878</v>
      </c>
      <c r="B16" s="15">
        <f>VLOOKUP(A16,Database!A:K,MATCH($A$1,Database!$A$1:$K$1,),)+VLOOKUP(A16,Database!A:K,MATCH($B$1,Database!$A$1:$K$1,),)</f>
        <v/>
      </c>
      <c r="C16" s="12">
        <f>(B16-B15)/B15</f>
        <v/>
      </c>
      <c r="D16" s="1" t="n"/>
    </row>
    <row r="17">
      <c r="A17" s="10" t="n">
        <v>33909</v>
      </c>
      <c r="B17" s="15">
        <f>VLOOKUP(A17,Database!A:K,MATCH($A$1,Database!$A$1:$K$1,),)+VLOOKUP(A17,Database!A:K,MATCH($B$1,Database!$A$1:$K$1,),)</f>
        <v/>
      </c>
      <c r="C17" s="12">
        <f>(B17-B16)/B16</f>
        <v/>
      </c>
      <c r="D17" s="1" t="n"/>
    </row>
    <row r="18">
      <c r="A18" s="11" t="n">
        <v>33939</v>
      </c>
      <c r="B18" s="15">
        <f>VLOOKUP(A18,Database!A:K,MATCH($A$1,Database!$A$1:$K$1,),)+VLOOKUP(A18,Database!A:K,MATCH($B$1,Database!$A$1:$K$1,),)</f>
        <v/>
      </c>
      <c r="C18" s="12">
        <f>(B18-B17)/B17</f>
        <v/>
      </c>
      <c r="D18" s="1" t="n"/>
    </row>
    <row r="19">
      <c r="A19" s="10" t="n">
        <v>33970</v>
      </c>
      <c r="B19" s="15">
        <f>VLOOKUP(A19,Database!A:K,MATCH($A$1,Database!$A$1:$K$1,),)+VLOOKUP(A19,Database!A:K,MATCH($B$1,Database!$A$1:$K$1,),)</f>
        <v/>
      </c>
      <c r="C19" s="12">
        <f>(B19-B18)/B18</f>
        <v/>
      </c>
      <c r="D19" s="13">
        <f>(B19-B7)/B7</f>
        <v/>
      </c>
    </row>
    <row r="20">
      <c r="A20" s="11" t="n">
        <v>34001</v>
      </c>
      <c r="B20" s="15">
        <f>VLOOKUP(A20,Database!A:K,MATCH($A$1,Database!$A$1:$K$1,),)+VLOOKUP(A20,Database!A:K,MATCH($B$1,Database!$A$1:$K$1,),)</f>
        <v/>
      </c>
      <c r="C20" s="12">
        <f>(B20-B19)/B19</f>
        <v/>
      </c>
      <c r="D20" s="13">
        <f>(B20-B8)/B8</f>
        <v/>
      </c>
    </row>
    <row r="21">
      <c r="A21" s="10" t="n">
        <v>34029</v>
      </c>
      <c r="B21" s="15">
        <f>VLOOKUP(A21,Database!A:K,MATCH($A$1,Database!$A$1:$K$1,),)+VLOOKUP(A21,Database!A:K,MATCH($B$1,Database!$A$1:$K$1,),)</f>
        <v/>
      </c>
      <c r="C21" s="12">
        <f>(B21-B20)/B20</f>
        <v/>
      </c>
      <c r="D21" s="13">
        <f>(B21-B9)/B9</f>
        <v/>
      </c>
    </row>
    <row r="22">
      <c r="A22" s="11" t="n">
        <v>34060</v>
      </c>
      <c r="B22" s="15">
        <f>VLOOKUP(A22,Database!A:K,MATCH($A$1,Database!$A$1:$K$1,),)+VLOOKUP(A22,Database!A:K,MATCH($B$1,Database!$A$1:$K$1,),)</f>
        <v/>
      </c>
      <c r="C22" s="12">
        <f>(B22-B21)/B21</f>
        <v/>
      </c>
      <c r="D22" s="13">
        <f>(B22-B10)/B10</f>
        <v/>
      </c>
    </row>
    <row r="23">
      <c r="A23" s="10" t="n">
        <v>34090</v>
      </c>
      <c r="B23" s="15">
        <f>VLOOKUP(A23,Database!A:K,MATCH($A$1,Database!$A$1:$K$1,),)+VLOOKUP(A23,Database!A:K,MATCH($B$1,Database!$A$1:$K$1,),)</f>
        <v/>
      </c>
      <c r="C23" s="12">
        <f>(B23-B22)/B22</f>
        <v/>
      </c>
      <c r="D23" s="13">
        <f>(B23-B11)/B11</f>
        <v/>
      </c>
    </row>
    <row r="24">
      <c r="A24" s="11" t="n">
        <v>34121</v>
      </c>
      <c r="B24" s="15">
        <f>VLOOKUP(A24,Database!A:K,MATCH($A$1,Database!$A$1:$K$1,),)+VLOOKUP(A24,Database!A:K,MATCH($B$1,Database!$A$1:$K$1,),)</f>
        <v/>
      </c>
      <c r="C24" s="12">
        <f>(B24-B23)/B23</f>
        <v/>
      </c>
      <c r="D24" s="13">
        <f>(B24-B12)/B12</f>
        <v/>
      </c>
    </row>
    <row r="25">
      <c r="A25" s="10" t="n">
        <v>34151</v>
      </c>
      <c r="B25" s="15">
        <f>VLOOKUP(A25,Database!A:K,MATCH($A$1,Database!$A$1:$K$1,),)+VLOOKUP(A25,Database!A:K,MATCH($B$1,Database!$A$1:$K$1,),)</f>
        <v/>
      </c>
      <c r="C25" s="12">
        <f>(B25-B24)/B24</f>
        <v/>
      </c>
      <c r="D25" s="13">
        <f>(B25-B13)/B13</f>
        <v/>
      </c>
    </row>
    <row r="26">
      <c r="A26" s="11" t="n">
        <v>34182</v>
      </c>
      <c r="B26" s="15">
        <f>VLOOKUP(A26,Database!A:K,MATCH($A$1,Database!$A$1:$K$1,),)+VLOOKUP(A26,Database!A:K,MATCH($B$1,Database!$A$1:$K$1,),)</f>
        <v/>
      </c>
      <c r="C26" s="12">
        <f>(B26-B25)/B25</f>
        <v/>
      </c>
      <c r="D26" s="13">
        <f>(B26-B14)/B14</f>
        <v/>
      </c>
    </row>
    <row r="27">
      <c r="A27" s="10" t="n">
        <v>34213</v>
      </c>
      <c r="B27" s="15">
        <f>VLOOKUP(A27,Database!A:K,MATCH($A$1,Database!$A$1:$K$1,),)+VLOOKUP(A27,Database!A:K,MATCH($B$1,Database!$A$1:$K$1,),)</f>
        <v/>
      </c>
      <c r="C27" s="12">
        <f>(B27-B26)/B26</f>
        <v/>
      </c>
      <c r="D27" s="13">
        <f>(B27-B15)/B15</f>
        <v/>
      </c>
    </row>
    <row r="28">
      <c r="A28" s="11" t="n">
        <v>34243</v>
      </c>
      <c r="B28" s="15">
        <f>VLOOKUP(A28,Database!A:K,MATCH($A$1,Database!$A$1:$K$1,),)+VLOOKUP(A28,Database!A:K,MATCH($B$1,Database!$A$1:$K$1,),)</f>
        <v/>
      </c>
      <c r="C28" s="12">
        <f>(B28-B27)/B27</f>
        <v/>
      </c>
      <c r="D28" s="13">
        <f>(B28-B16)/B16</f>
        <v/>
      </c>
    </row>
    <row r="29">
      <c r="A29" s="10" t="n">
        <v>34274</v>
      </c>
      <c r="B29" s="15">
        <f>VLOOKUP(A29,Database!A:K,MATCH($A$1,Database!$A$1:$K$1,),)+VLOOKUP(A29,Database!A:K,MATCH($B$1,Database!$A$1:$K$1,),)</f>
        <v/>
      </c>
      <c r="C29" s="12">
        <f>(B29-B28)/B28</f>
        <v/>
      </c>
      <c r="D29" s="13">
        <f>(B29-B17)/B17</f>
        <v/>
      </c>
    </row>
    <row r="30">
      <c r="A30" s="11" t="n">
        <v>34304</v>
      </c>
      <c r="B30" s="15">
        <f>VLOOKUP(A30,Database!A:K,MATCH($A$1,Database!$A$1:$K$1,),)+VLOOKUP(A30,Database!A:K,MATCH($B$1,Database!$A$1:$K$1,),)</f>
        <v/>
      </c>
      <c r="C30" s="12">
        <f>(B30-B29)/B29</f>
        <v/>
      </c>
      <c r="D30" s="13">
        <f>(B30-B18)/B18</f>
        <v/>
      </c>
    </row>
    <row r="31">
      <c r="A31" s="10" t="n">
        <v>34335</v>
      </c>
      <c r="B31" s="15">
        <f>VLOOKUP(A31,Database!A:K,MATCH($A$1,Database!$A$1:$K$1,),)+VLOOKUP(A31,Database!A:K,MATCH($B$1,Database!$A$1:$K$1,),)</f>
        <v/>
      </c>
      <c r="C31" s="12">
        <f>(B31-B30)/B30</f>
        <v/>
      </c>
      <c r="D31" s="13">
        <f>(B31-B19)/B19</f>
        <v/>
      </c>
    </row>
    <row r="32">
      <c r="A32" s="11" t="n">
        <v>34366</v>
      </c>
      <c r="B32" s="15">
        <f>VLOOKUP(A32,Database!A:K,MATCH($A$1,Database!$A$1:$K$1,),)+VLOOKUP(A32,Database!A:K,MATCH($B$1,Database!$A$1:$K$1,),)</f>
        <v/>
      </c>
      <c r="C32" s="12">
        <f>(B32-B31)/B31</f>
        <v/>
      </c>
      <c r="D32" s="13">
        <f>(B32-B20)/B20</f>
        <v/>
      </c>
    </row>
    <row r="33">
      <c r="A33" s="10" t="n">
        <v>34394</v>
      </c>
      <c r="B33" s="15">
        <f>VLOOKUP(A33,Database!A:K,MATCH($A$1,Database!$A$1:$K$1,),)+VLOOKUP(A33,Database!A:K,MATCH($B$1,Database!$A$1:$K$1,),)</f>
        <v/>
      </c>
      <c r="C33" s="12">
        <f>(B33-B32)/B32</f>
        <v/>
      </c>
      <c r="D33" s="13">
        <f>(B33-B21)/B21</f>
        <v/>
      </c>
    </row>
    <row r="34">
      <c r="A34" s="11" t="n">
        <v>34425</v>
      </c>
      <c r="B34" s="15">
        <f>VLOOKUP(A34,Database!A:K,MATCH($A$1,Database!$A$1:$K$1,),)+VLOOKUP(A34,Database!A:K,MATCH($B$1,Database!$A$1:$K$1,),)</f>
        <v/>
      </c>
      <c r="C34" s="12">
        <f>(B34-B33)/B33</f>
        <v/>
      </c>
      <c r="D34" s="13">
        <f>(B34-B22)/B22</f>
        <v/>
      </c>
    </row>
    <row r="35">
      <c r="A35" s="10" t="n">
        <v>34455</v>
      </c>
      <c r="B35" s="15">
        <f>VLOOKUP(A35,Database!A:K,MATCH($A$1,Database!$A$1:$K$1,),)+VLOOKUP(A35,Database!A:K,MATCH($B$1,Database!$A$1:$K$1,),)</f>
        <v/>
      </c>
      <c r="C35" s="12">
        <f>(B35-B34)/B34</f>
        <v/>
      </c>
      <c r="D35" s="13">
        <f>(B35-B23)/B23</f>
        <v/>
      </c>
    </row>
    <row r="36">
      <c r="A36" s="11" t="n">
        <v>34486</v>
      </c>
      <c r="B36" s="15">
        <f>VLOOKUP(A36,Database!A:K,MATCH($A$1,Database!$A$1:$K$1,),)+VLOOKUP(A36,Database!A:K,MATCH($B$1,Database!$A$1:$K$1,),)</f>
        <v/>
      </c>
      <c r="C36" s="12">
        <f>(B36-B35)/B35</f>
        <v/>
      </c>
      <c r="D36" s="13">
        <f>(B36-B24)/B24</f>
        <v/>
      </c>
    </row>
    <row r="37">
      <c r="A37" s="10" t="n">
        <v>34516</v>
      </c>
      <c r="B37" s="15">
        <f>VLOOKUP(A37,Database!A:K,MATCH($A$1,Database!$A$1:$K$1,),)+VLOOKUP(A37,Database!A:K,MATCH($B$1,Database!$A$1:$K$1,),)</f>
        <v/>
      </c>
      <c r="C37" s="12">
        <f>(B37-B36)/B36</f>
        <v/>
      </c>
      <c r="D37" s="13">
        <f>(B37-B25)/B25</f>
        <v/>
      </c>
    </row>
    <row r="38">
      <c r="A38" s="11" t="n">
        <v>34547</v>
      </c>
      <c r="B38" s="15">
        <f>VLOOKUP(A38,Database!A:K,MATCH($A$1,Database!$A$1:$K$1,),)+VLOOKUP(A38,Database!A:K,MATCH($B$1,Database!$A$1:$K$1,),)</f>
        <v/>
      </c>
      <c r="C38" s="12">
        <f>(B38-B37)/B37</f>
        <v/>
      </c>
      <c r="D38" s="13">
        <f>(B38-B26)/B26</f>
        <v/>
      </c>
    </row>
    <row r="39">
      <c r="A39" s="10" t="n">
        <v>34578</v>
      </c>
      <c r="B39" s="15">
        <f>VLOOKUP(A39,Database!A:K,MATCH($A$1,Database!$A$1:$K$1,),)+VLOOKUP(A39,Database!A:K,MATCH($B$1,Database!$A$1:$K$1,),)</f>
        <v/>
      </c>
      <c r="C39" s="12">
        <f>(B39-B38)/B38</f>
        <v/>
      </c>
      <c r="D39" s="13">
        <f>(B39-B27)/B27</f>
        <v/>
      </c>
    </row>
    <row r="40">
      <c r="A40" s="11" t="n">
        <v>34608</v>
      </c>
      <c r="B40" s="15">
        <f>VLOOKUP(A40,Database!A:K,MATCH($A$1,Database!$A$1:$K$1,),)+VLOOKUP(A40,Database!A:K,MATCH($B$1,Database!$A$1:$K$1,),)</f>
        <v/>
      </c>
      <c r="C40" s="12">
        <f>(B40-B39)/B39</f>
        <v/>
      </c>
      <c r="D40" s="13">
        <f>(B40-B28)/B28</f>
        <v/>
      </c>
    </row>
    <row r="41">
      <c r="A41" s="10" t="n">
        <v>34639</v>
      </c>
      <c r="B41" s="15">
        <f>VLOOKUP(A41,Database!A:K,MATCH($A$1,Database!$A$1:$K$1,),)+VLOOKUP(A41,Database!A:K,MATCH($B$1,Database!$A$1:$K$1,),)</f>
        <v/>
      </c>
      <c r="C41" s="12">
        <f>(B41-B40)/B40</f>
        <v/>
      </c>
      <c r="D41" s="13">
        <f>(B41-B29)/B29</f>
        <v/>
      </c>
    </row>
    <row r="42">
      <c r="A42" s="11" t="n">
        <v>34669</v>
      </c>
      <c r="B42" s="15">
        <f>VLOOKUP(A42,Database!A:K,MATCH($A$1,Database!$A$1:$K$1,),)+VLOOKUP(A42,Database!A:K,MATCH($B$1,Database!$A$1:$K$1,),)</f>
        <v/>
      </c>
      <c r="C42" s="12">
        <f>(B42-B41)/B41</f>
        <v/>
      </c>
      <c r="D42" s="13">
        <f>(B42-B30)/B30</f>
        <v/>
      </c>
    </row>
    <row r="43">
      <c r="A43" s="10" t="n">
        <v>34700</v>
      </c>
      <c r="B43" s="15">
        <f>VLOOKUP(A43,Database!A:K,MATCH($A$1,Database!$A$1:$K$1,),)+VLOOKUP(A43,Database!A:K,MATCH($B$1,Database!$A$1:$K$1,),)</f>
        <v/>
      </c>
      <c r="C43" s="12">
        <f>(B43-B42)/B42</f>
        <v/>
      </c>
      <c r="D43" s="13">
        <f>(B43-B31)/B31</f>
        <v/>
      </c>
    </row>
    <row r="44">
      <c r="A44" s="11" t="n">
        <v>34731</v>
      </c>
      <c r="B44" s="15">
        <f>VLOOKUP(A44,Database!A:K,MATCH($A$1,Database!$A$1:$K$1,),)+VLOOKUP(A44,Database!A:K,MATCH($B$1,Database!$A$1:$K$1,),)</f>
        <v/>
      </c>
      <c r="C44" s="12">
        <f>(B44-B43)/B43</f>
        <v/>
      </c>
      <c r="D44" s="13">
        <f>(B44-B32)/B32</f>
        <v/>
      </c>
    </row>
    <row r="45">
      <c r="A45" s="10" t="n">
        <v>34759</v>
      </c>
      <c r="B45" s="15">
        <f>VLOOKUP(A45,Database!A:K,MATCH($A$1,Database!$A$1:$K$1,),)+VLOOKUP(A45,Database!A:K,MATCH($B$1,Database!$A$1:$K$1,),)</f>
        <v/>
      </c>
      <c r="C45" s="12">
        <f>(B45-B44)/B44</f>
        <v/>
      </c>
      <c r="D45" s="13">
        <f>(B45-B33)/B33</f>
        <v/>
      </c>
    </row>
    <row r="46">
      <c r="A46" s="11" t="n">
        <v>34790</v>
      </c>
      <c r="B46" s="15">
        <f>VLOOKUP(A46,Database!A:K,MATCH($A$1,Database!$A$1:$K$1,),)+VLOOKUP(A46,Database!A:K,MATCH($B$1,Database!$A$1:$K$1,),)</f>
        <v/>
      </c>
      <c r="C46" s="12">
        <f>(B46-B45)/B45</f>
        <v/>
      </c>
      <c r="D46" s="13">
        <f>(B46-B34)/B34</f>
        <v/>
      </c>
    </row>
    <row r="47">
      <c r="A47" s="10" t="n">
        <v>34820</v>
      </c>
      <c r="B47" s="15">
        <f>VLOOKUP(A47,Database!A:K,MATCH($A$1,Database!$A$1:$K$1,),)+VLOOKUP(A47,Database!A:K,MATCH($B$1,Database!$A$1:$K$1,),)</f>
        <v/>
      </c>
      <c r="C47" s="12">
        <f>(B47-B46)/B46</f>
        <v/>
      </c>
      <c r="D47" s="13">
        <f>(B47-B35)/B35</f>
        <v/>
      </c>
    </row>
    <row r="48">
      <c r="A48" s="11" t="n">
        <v>34851</v>
      </c>
      <c r="B48" s="15">
        <f>VLOOKUP(A48,Database!A:K,MATCH($A$1,Database!$A$1:$K$1,),)+VLOOKUP(A48,Database!A:K,MATCH($B$1,Database!$A$1:$K$1,),)</f>
        <v/>
      </c>
      <c r="C48" s="12">
        <f>(B48-B47)/B47</f>
        <v/>
      </c>
      <c r="D48" s="13">
        <f>(B48-B36)/B36</f>
        <v/>
      </c>
    </row>
    <row r="49">
      <c r="A49" s="10" t="n">
        <v>34881</v>
      </c>
      <c r="B49" s="15">
        <f>VLOOKUP(A49,Database!A:K,MATCH($A$1,Database!$A$1:$K$1,),)+VLOOKUP(A49,Database!A:K,MATCH($B$1,Database!$A$1:$K$1,),)</f>
        <v/>
      </c>
      <c r="C49" s="12">
        <f>(B49-B48)/B48</f>
        <v/>
      </c>
      <c r="D49" s="13">
        <f>(B49-B37)/B37</f>
        <v/>
      </c>
    </row>
    <row r="50">
      <c r="A50" s="11" t="n">
        <v>34912</v>
      </c>
      <c r="B50" s="15">
        <f>VLOOKUP(A50,Database!A:K,MATCH($A$1,Database!$A$1:$K$1,),)+VLOOKUP(A50,Database!A:K,MATCH($B$1,Database!$A$1:$K$1,),)</f>
        <v/>
      </c>
      <c r="C50" s="12">
        <f>(B50-B49)/B49</f>
        <v/>
      </c>
      <c r="D50" s="13">
        <f>(B50-B38)/B38</f>
        <v/>
      </c>
    </row>
    <row r="51">
      <c r="A51" s="10" t="n">
        <v>34943</v>
      </c>
      <c r="B51" s="15">
        <f>VLOOKUP(A51,Database!A:K,MATCH($A$1,Database!$A$1:$K$1,),)+VLOOKUP(A51,Database!A:K,MATCH($B$1,Database!$A$1:$K$1,),)</f>
        <v/>
      </c>
      <c r="C51" s="12">
        <f>(B51-B50)/B50</f>
        <v/>
      </c>
      <c r="D51" s="13">
        <f>(B51-B39)/B39</f>
        <v/>
      </c>
    </row>
    <row r="52">
      <c r="A52" s="11" t="n">
        <v>34973</v>
      </c>
      <c r="B52" s="15">
        <f>VLOOKUP(A52,Database!A:K,MATCH($A$1,Database!$A$1:$K$1,),)+VLOOKUP(A52,Database!A:K,MATCH($B$1,Database!$A$1:$K$1,),)</f>
        <v/>
      </c>
      <c r="C52" s="12">
        <f>(B52-B51)/B51</f>
        <v/>
      </c>
      <c r="D52" s="13">
        <f>(B52-B40)/B40</f>
        <v/>
      </c>
    </row>
    <row r="53">
      <c r="A53" s="10" t="n">
        <v>35004</v>
      </c>
      <c r="B53" s="15">
        <f>VLOOKUP(A53,Database!A:K,MATCH($A$1,Database!$A$1:$K$1,),)+VLOOKUP(A53,Database!A:K,MATCH($B$1,Database!$A$1:$K$1,),)</f>
        <v/>
      </c>
      <c r="C53" s="12">
        <f>(B53-B52)/B52</f>
        <v/>
      </c>
      <c r="D53" s="13">
        <f>(B53-B41)/B41</f>
        <v/>
      </c>
    </row>
    <row r="54">
      <c r="A54" s="11" t="n">
        <v>35034</v>
      </c>
      <c r="B54" s="15">
        <f>VLOOKUP(A54,Database!A:K,MATCH($A$1,Database!$A$1:$K$1,),)+VLOOKUP(A54,Database!A:K,MATCH($B$1,Database!$A$1:$K$1,),)</f>
        <v/>
      </c>
      <c r="C54" s="12">
        <f>(B54-B53)/B53</f>
        <v/>
      </c>
      <c r="D54" s="13">
        <f>(B54-B42)/B42</f>
        <v/>
      </c>
    </row>
    <row r="55">
      <c r="A55" s="10" t="n">
        <v>35065</v>
      </c>
      <c r="B55" s="15">
        <f>VLOOKUP(A55,Database!A:K,MATCH($A$1,Database!$A$1:$K$1,),)+VLOOKUP(A55,Database!A:K,MATCH($B$1,Database!$A$1:$K$1,),)</f>
        <v/>
      </c>
      <c r="C55" s="12">
        <f>(B55-B54)/B54</f>
        <v/>
      </c>
      <c r="D55" s="13">
        <f>(B55-B43)/B43</f>
        <v/>
      </c>
    </row>
    <row r="56">
      <c r="A56" s="11" t="n">
        <v>35096</v>
      </c>
      <c r="B56" s="15">
        <f>VLOOKUP(A56,Database!A:K,MATCH($A$1,Database!$A$1:$K$1,),)+VLOOKUP(A56,Database!A:K,MATCH($B$1,Database!$A$1:$K$1,),)</f>
        <v/>
      </c>
      <c r="C56" s="12">
        <f>(B56-B55)/B55</f>
        <v/>
      </c>
      <c r="D56" s="13">
        <f>(B56-B44)/B44</f>
        <v/>
      </c>
    </row>
    <row r="57">
      <c r="A57" s="10" t="n">
        <v>35125</v>
      </c>
      <c r="B57" s="15">
        <f>VLOOKUP(A57,Database!A:K,MATCH($A$1,Database!$A$1:$K$1,),)+VLOOKUP(A57,Database!A:K,MATCH($B$1,Database!$A$1:$K$1,),)</f>
        <v/>
      </c>
      <c r="C57" s="12">
        <f>(B57-B56)/B56</f>
        <v/>
      </c>
      <c r="D57" s="13">
        <f>(B57-B45)/B45</f>
        <v/>
      </c>
    </row>
    <row r="58">
      <c r="A58" s="11" t="n">
        <v>35156</v>
      </c>
      <c r="B58" s="15">
        <f>VLOOKUP(A58,Database!A:K,MATCH($A$1,Database!$A$1:$K$1,),)+VLOOKUP(A58,Database!A:K,MATCH($B$1,Database!$A$1:$K$1,),)</f>
        <v/>
      </c>
      <c r="C58" s="12">
        <f>(B58-B57)/B57</f>
        <v/>
      </c>
      <c r="D58" s="13">
        <f>(B58-B46)/B46</f>
        <v/>
      </c>
    </row>
    <row r="59">
      <c r="A59" s="10" t="n">
        <v>35186</v>
      </c>
      <c r="B59" s="15">
        <f>VLOOKUP(A59,Database!A:K,MATCH($A$1,Database!$A$1:$K$1,),)+VLOOKUP(A59,Database!A:K,MATCH($B$1,Database!$A$1:$K$1,),)</f>
        <v/>
      </c>
      <c r="C59" s="12">
        <f>(B59-B58)/B58</f>
        <v/>
      </c>
      <c r="D59" s="13">
        <f>(B59-B47)/B47</f>
        <v/>
      </c>
    </row>
    <row r="60">
      <c r="A60" s="11" t="n">
        <v>35217</v>
      </c>
      <c r="B60" s="15">
        <f>VLOOKUP(A60,Database!A:K,MATCH($A$1,Database!$A$1:$K$1,),)+VLOOKUP(A60,Database!A:K,MATCH($B$1,Database!$A$1:$K$1,),)</f>
        <v/>
      </c>
      <c r="C60" s="12">
        <f>(B60-B59)/B59</f>
        <v/>
      </c>
      <c r="D60" s="13">
        <f>(B60-B48)/B48</f>
        <v/>
      </c>
    </row>
    <row r="61">
      <c r="A61" s="10" t="n">
        <v>35247</v>
      </c>
      <c r="B61" s="15">
        <f>VLOOKUP(A61,Database!A:K,MATCH($A$1,Database!$A$1:$K$1,),)+VLOOKUP(A61,Database!A:K,MATCH($B$1,Database!$A$1:$K$1,),)</f>
        <v/>
      </c>
      <c r="C61" s="12">
        <f>(B61-B60)/B60</f>
        <v/>
      </c>
      <c r="D61" s="13">
        <f>(B61-B49)/B49</f>
        <v/>
      </c>
    </row>
    <row r="62">
      <c r="A62" s="11" t="n">
        <v>35278</v>
      </c>
      <c r="B62" s="15">
        <f>VLOOKUP(A62,Database!A:K,MATCH($A$1,Database!$A$1:$K$1,),)+VLOOKUP(A62,Database!A:K,MATCH($B$1,Database!$A$1:$K$1,),)</f>
        <v/>
      </c>
      <c r="C62" s="12">
        <f>(B62-B61)/B61</f>
        <v/>
      </c>
      <c r="D62" s="13">
        <f>(B62-B50)/B50</f>
        <v/>
      </c>
    </row>
    <row r="63">
      <c r="A63" s="10" t="n">
        <v>35309</v>
      </c>
      <c r="B63" s="15">
        <f>VLOOKUP(A63,Database!A:K,MATCH($A$1,Database!$A$1:$K$1,),)+VLOOKUP(A63,Database!A:K,MATCH($B$1,Database!$A$1:$K$1,),)</f>
        <v/>
      </c>
      <c r="C63" s="12">
        <f>(B63-B62)/B62</f>
        <v/>
      </c>
      <c r="D63" s="13">
        <f>(B63-B51)/B51</f>
        <v/>
      </c>
    </row>
    <row r="64">
      <c r="A64" s="11" t="n">
        <v>35339</v>
      </c>
      <c r="B64" s="15">
        <f>VLOOKUP(A64,Database!A:K,MATCH($A$1,Database!$A$1:$K$1,),)+VLOOKUP(A64,Database!A:K,MATCH($B$1,Database!$A$1:$K$1,),)</f>
        <v/>
      </c>
      <c r="C64" s="12">
        <f>(B64-B63)/B63</f>
        <v/>
      </c>
      <c r="D64" s="13">
        <f>(B64-B52)/B52</f>
        <v/>
      </c>
    </row>
    <row r="65">
      <c r="A65" s="10" t="n">
        <v>35370</v>
      </c>
      <c r="B65" s="15">
        <f>VLOOKUP(A65,Database!A:K,MATCH($A$1,Database!$A$1:$K$1,),)+VLOOKUP(A65,Database!A:K,MATCH($B$1,Database!$A$1:$K$1,),)</f>
        <v/>
      </c>
      <c r="C65" s="12">
        <f>(B65-B64)/B64</f>
        <v/>
      </c>
      <c r="D65" s="13">
        <f>(B65-B53)/B53</f>
        <v/>
      </c>
    </row>
    <row r="66">
      <c r="A66" s="11" t="n">
        <v>35400</v>
      </c>
      <c r="B66" s="15">
        <f>VLOOKUP(A66,Database!A:K,MATCH($A$1,Database!$A$1:$K$1,),)+VLOOKUP(A66,Database!A:K,MATCH($B$1,Database!$A$1:$K$1,),)</f>
        <v/>
      </c>
      <c r="C66" s="12">
        <f>(B66-B65)/B65</f>
        <v/>
      </c>
      <c r="D66" s="13">
        <f>(B66-B54)/B54</f>
        <v/>
      </c>
    </row>
    <row r="67">
      <c r="A67" s="10" t="n">
        <v>35431</v>
      </c>
      <c r="B67" s="15">
        <f>VLOOKUP(A67,Database!A:K,MATCH($A$1,Database!$A$1:$K$1,),)+VLOOKUP(A67,Database!A:K,MATCH($B$1,Database!$A$1:$K$1,),)</f>
        <v/>
      </c>
      <c r="C67" s="12">
        <f>(B67-B66)/B66</f>
        <v/>
      </c>
      <c r="D67" s="13">
        <f>(B67-B55)/B55</f>
        <v/>
      </c>
    </row>
    <row r="68">
      <c r="A68" s="11" t="n">
        <v>35462</v>
      </c>
      <c r="B68" s="15">
        <f>VLOOKUP(A68,Database!A:K,MATCH($A$1,Database!$A$1:$K$1,),)+VLOOKUP(A68,Database!A:K,MATCH($B$1,Database!$A$1:$K$1,),)</f>
        <v/>
      </c>
      <c r="C68" s="12">
        <f>(B68-B67)/B67</f>
        <v/>
      </c>
      <c r="D68" s="13">
        <f>(B68-B56)/B56</f>
        <v/>
      </c>
    </row>
    <row r="69">
      <c r="A69" s="10" t="n">
        <v>35490</v>
      </c>
      <c r="B69" s="15">
        <f>VLOOKUP(A69,Database!A:K,MATCH($A$1,Database!$A$1:$K$1,),)+VLOOKUP(A69,Database!A:K,MATCH($B$1,Database!$A$1:$K$1,),)</f>
        <v/>
      </c>
      <c r="C69" s="12">
        <f>(B69-B68)/B68</f>
        <v/>
      </c>
      <c r="D69" s="13">
        <f>(B69-B57)/B57</f>
        <v/>
      </c>
    </row>
    <row r="70">
      <c r="A70" s="11" t="n">
        <v>35521</v>
      </c>
      <c r="B70" s="15">
        <f>VLOOKUP(A70,Database!A:K,MATCH($A$1,Database!$A$1:$K$1,),)+VLOOKUP(A70,Database!A:K,MATCH($B$1,Database!$A$1:$K$1,),)</f>
        <v/>
      </c>
      <c r="C70" s="12">
        <f>(B70-B69)/B69</f>
        <v/>
      </c>
      <c r="D70" s="13">
        <f>(B70-B58)/B58</f>
        <v/>
      </c>
    </row>
    <row r="71">
      <c r="A71" s="10" t="n">
        <v>35551</v>
      </c>
      <c r="B71" s="15">
        <f>VLOOKUP(A71,Database!A:K,MATCH($A$1,Database!$A$1:$K$1,),)+VLOOKUP(A71,Database!A:K,MATCH($B$1,Database!$A$1:$K$1,),)</f>
        <v/>
      </c>
      <c r="C71" s="12">
        <f>(B71-B70)/B70</f>
        <v/>
      </c>
      <c r="D71" s="13">
        <f>(B71-B59)/B59</f>
        <v/>
      </c>
    </row>
    <row r="72">
      <c r="A72" s="11" t="n">
        <v>35582</v>
      </c>
      <c r="B72" s="15">
        <f>VLOOKUP(A72,Database!A:K,MATCH($A$1,Database!$A$1:$K$1,),)+VLOOKUP(A72,Database!A:K,MATCH($B$1,Database!$A$1:$K$1,),)</f>
        <v/>
      </c>
      <c r="C72" s="12">
        <f>(B72-B71)/B71</f>
        <v/>
      </c>
      <c r="D72" s="13">
        <f>(B72-B60)/B60</f>
        <v/>
      </c>
    </row>
    <row r="73">
      <c r="A73" s="10" t="n">
        <v>35612</v>
      </c>
      <c r="B73" s="15">
        <f>VLOOKUP(A73,Database!A:K,MATCH($A$1,Database!$A$1:$K$1,),)+VLOOKUP(A73,Database!A:K,MATCH($B$1,Database!$A$1:$K$1,),)</f>
        <v/>
      </c>
      <c r="C73" s="12">
        <f>(B73-B72)/B72</f>
        <v/>
      </c>
      <c r="D73" s="13">
        <f>(B73-B61)/B61</f>
        <v/>
      </c>
    </row>
    <row r="74">
      <c r="A74" s="11" t="n">
        <v>35643</v>
      </c>
      <c r="B74" s="15">
        <f>VLOOKUP(A74,Database!A:K,MATCH($A$1,Database!$A$1:$K$1,),)+VLOOKUP(A74,Database!A:K,MATCH($B$1,Database!$A$1:$K$1,),)</f>
        <v/>
      </c>
      <c r="C74" s="12">
        <f>(B74-B73)/B73</f>
        <v/>
      </c>
      <c r="D74" s="13">
        <f>(B74-B62)/B62</f>
        <v/>
      </c>
    </row>
    <row r="75">
      <c r="A75" s="10" t="n">
        <v>35674</v>
      </c>
      <c r="B75" s="15">
        <f>VLOOKUP(A75,Database!A:K,MATCH($A$1,Database!$A$1:$K$1,),)+VLOOKUP(A75,Database!A:K,MATCH($B$1,Database!$A$1:$K$1,),)</f>
        <v/>
      </c>
      <c r="C75" s="12">
        <f>(B75-B74)/B74</f>
        <v/>
      </c>
      <c r="D75" s="13">
        <f>(B75-B63)/B63</f>
        <v/>
      </c>
    </row>
    <row r="76">
      <c r="A76" s="11" t="n">
        <v>35704</v>
      </c>
      <c r="B76" s="15">
        <f>VLOOKUP(A76,Database!A:K,MATCH($A$1,Database!$A$1:$K$1,),)+VLOOKUP(A76,Database!A:K,MATCH($B$1,Database!$A$1:$K$1,),)</f>
        <v/>
      </c>
      <c r="C76" s="12">
        <f>(B76-B75)/B75</f>
        <v/>
      </c>
      <c r="D76" s="13">
        <f>(B76-B64)/B64</f>
        <v/>
      </c>
    </row>
    <row r="77">
      <c r="A77" s="10" t="n">
        <v>35735</v>
      </c>
      <c r="B77" s="15">
        <f>VLOOKUP(A77,Database!A:K,MATCH($A$1,Database!$A$1:$K$1,),)+VLOOKUP(A77,Database!A:K,MATCH($B$1,Database!$A$1:$K$1,),)</f>
        <v/>
      </c>
      <c r="C77" s="12">
        <f>(B77-B76)/B76</f>
        <v/>
      </c>
      <c r="D77" s="13">
        <f>(B77-B65)/B65</f>
        <v/>
      </c>
    </row>
    <row r="78">
      <c r="A78" s="11" t="n">
        <v>35765</v>
      </c>
      <c r="B78" s="15">
        <f>VLOOKUP(A78,Database!A:K,MATCH($A$1,Database!$A$1:$K$1,),)+VLOOKUP(A78,Database!A:K,MATCH($B$1,Database!$A$1:$K$1,),)</f>
        <v/>
      </c>
      <c r="C78" s="12">
        <f>(B78-B77)/B77</f>
        <v/>
      </c>
      <c r="D78" s="13">
        <f>(B78-B66)/B66</f>
        <v/>
      </c>
    </row>
    <row r="79">
      <c r="A79" s="10" t="n">
        <v>35796</v>
      </c>
      <c r="B79" s="15">
        <f>VLOOKUP(A79,Database!A:K,MATCH($A$1,Database!$A$1:$K$1,),)+VLOOKUP(A79,Database!A:K,MATCH($B$1,Database!$A$1:$K$1,),)</f>
        <v/>
      </c>
      <c r="C79" s="12">
        <f>(B79-B78)/B78</f>
        <v/>
      </c>
      <c r="D79" s="13">
        <f>(B79-B67)/B67</f>
        <v/>
      </c>
    </row>
    <row r="80">
      <c r="A80" s="11" t="n">
        <v>35827</v>
      </c>
      <c r="B80" s="15">
        <f>VLOOKUP(A80,Database!A:K,MATCH($A$1,Database!$A$1:$K$1,),)+VLOOKUP(A80,Database!A:K,MATCH($B$1,Database!$A$1:$K$1,),)</f>
        <v/>
      </c>
      <c r="C80" s="12">
        <f>(B80-B79)/B79</f>
        <v/>
      </c>
      <c r="D80" s="13">
        <f>(B80-B68)/B68</f>
        <v/>
      </c>
    </row>
    <row r="81">
      <c r="A81" s="10" t="n">
        <v>35855</v>
      </c>
      <c r="B81" s="15">
        <f>VLOOKUP(A81,Database!A:K,MATCH($A$1,Database!$A$1:$K$1,),)+VLOOKUP(A81,Database!A:K,MATCH($B$1,Database!$A$1:$K$1,),)</f>
        <v/>
      </c>
      <c r="C81" s="12">
        <f>(B81-B80)/B80</f>
        <v/>
      </c>
      <c r="D81" s="13">
        <f>(B81-B69)/B69</f>
        <v/>
      </c>
    </row>
    <row r="82">
      <c r="A82" s="11" t="n">
        <v>35886</v>
      </c>
      <c r="B82" s="15">
        <f>VLOOKUP(A82,Database!A:K,MATCH($A$1,Database!$A$1:$K$1,),)+VLOOKUP(A82,Database!A:K,MATCH($B$1,Database!$A$1:$K$1,),)</f>
        <v/>
      </c>
      <c r="C82" s="12">
        <f>(B82-B81)/B81</f>
        <v/>
      </c>
      <c r="D82" s="13">
        <f>(B82-B70)/B70</f>
        <v/>
      </c>
    </row>
    <row r="83">
      <c r="A83" s="10" t="n">
        <v>35916</v>
      </c>
      <c r="B83" s="15">
        <f>VLOOKUP(A83,Database!A:K,MATCH($A$1,Database!$A$1:$K$1,),)+VLOOKUP(A83,Database!A:K,MATCH($B$1,Database!$A$1:$K$1,),)</f>
        <v/>
      </c>
      <c r="C83" s="12">
        <f>(B83-B82)/B82</f>
        <v/>
      </c>
      <c r="D83" s="13">
        <f>(B83-B71)/B71</f>
        <v/>
      </c>
    </row>
    <row r="84">
      <c r="A84" s="11" t="n">
        <v>35947</v>
      </c>
      <c r="B84" s="15">
        <f>VLOOKUP(A84,Database!A:K,MATCH($A$1,Database!$A$1:$K$1,),)+VLOOKUP(A84,Database!A:K,MATCH($B$1,Database!$A$1:$K$1,),)</f>
        <v/>
      </c>
      <c r="C84" s="12">
        <f>(B84-B83)/B83</f>
        <v/>
      </c>
      <c r="D84" s="13">
        <f>(B84-B72)/B72</f>
        <v/>
      </c>
    </row>
    <row r="85">
      <c r="A85" s="10" t="n">
        <v>35977</v>
      </c>
      <c r="B85" s="15">
        <f>VLOOKUP(A85,Database!A:K,MATCH($A$1,Database!$A$1:$K$1,),)+VLOOKUP(A85,Database!A:K,MATCH($B$1,Database!$A$1:$K$1,),)</f>
        <v/>
      </c>
      <c r="C85" s="12">
        <f>(B85-B84)/B84</f>
        <v/>
      </c>
      <c r="D85" s="13">
        <f>(B85-B73)/B73</f>
        <v/>
      </c>
    </row>
    <row r="86">
      <c r="A86" s="11" t="n">
        <v>36008</v>
      </c>
      <c r="B86" s="15">
        <f>VLOOKUP(A86,Database!A:K,MATCH($A$1,Database!$A$1:$K$1,),)+VLOOKUP(A86,Database!A:K,MATCH($B$1,Database!$A$1:$K$1,),)</f>
        <v/>
      </c>
      <c r="C86" s="12">
        <f>(B86-B85)/B85</f>
        <v/>
      </c>
      <c r="D86" s="13">
        <f>(B86-B74)/B74</f>
        <v/>
      </c>
    </row>
    <row r="87">
      <c r="A87" s="10" t="n">
        <v>36039</v>
      </c>
      <c r="B87" s="15">
        <f>VLOOKUP(A87,Database!A:K,MATCH($A$1,Database!$A$1:$K$1,),)+VLOOKUP(A87,Database!A:K,MATCH($B$1,Database!$A$1:$K$1,),)</f>
        <v/>
      </c>
      <c r="C87" s="12">
        <f>(B87-B86)/B86</f>
        <v/>
      </c>
      <c r="D87" s="13">
        <f>(B87-B75)/B75</f>
        <v/>
      </c>
    </row>
    <row r="88">
      <c r="A88" s="11" t="n">
        <v>36069</v>
      </c>
      <c r="B88" s="15">
        <f>VLOOKUP(A88,Database!A:K,MATCH($A$1,Database!$A$1:$K$1,),)+VLOOKUP(A88,Database!A:K,MATCH($B$1,Database!$A$1:$K$1,),)</f>
        <v/>
      </c>
      <c r="C88" s="12">
        <f>(B88-B87)/B87</f>
        <v/>
      </c>
      <c r="D88" s="13">
        <f>(B88-B76)/B76</f>
        <v/>
      </c>
    </row>
    <row r="89">
      <c r="A89" s="10" t="n">
        <v>36100</v>
      </c>
      <c r="B89" s="15">
        <f>VLOOKUP(A89,Database!A:K,MATCH($A$1,Database!$A$1:$K$1,),)+VLOOKUP(A89,Database!A:K,MATCH($B$1,Database!$A$1:$K$1,),)</f>
        <v/>
      </c>
      <c r="C89" s="12">
        <f>(B89-B88)/B88</f>
        <v/>
      </c>
      <c r="D89" s="13">
        <f>(B89-B77)/B77</f>
        <v/>
      </c>
    </row>
    <row r="90">
      <c r="A90" s="11" t="n">
        <v>36130</v>
      </c>
      <c r="B90" s="15">
        <f>VLOOKUP(A90,Database!A:K,MATCH($A$1,Database!$A$1:$K$1,),)+VLOOKUP(A90,Database!A:K,MATCH($B$1,Database!$A$1:$K$1,),)</f>
        <v/>
      </c>
      <c r="C90" s="12">
        <f>(B90-B89)/B89</f>
        <v/>
      </c>
      <c r="D90" s="13">
        <f>(B90-B78)/B78</f>
        <v/>
      </c>
    </row>
    <row r="91">
      <c r="A91" s="10" t="n">
        <v>36161</v>
      </c>
      <c r="B91" s="15">
        <f>VLOOKUP(A91,Database!A:K,MATCH($A$1,Database!$A$1:$K$1,),)+VLOOKUP(A91,Database!A:K,MATCH($B$1,Database!$A$1:$K$1,),)</f>
        <v/>
      </c>
      <c r="C91" s="12">
        <f>(B91-B90)/B90</f>
        <v/>
      </c>
      <c r="D91" s="13">
        <f>(B91-B79)/B79</f>
        <v/>
      </c>
    </row>
    <row r="92">
      <c r="A92" s="11" t="n">
        <v>36192</v>
      </c>
      <c r="B92" s="15">
        <f>VLOOKUP(A92,Database!A:K,MATCH($A$1,Database!$A$1:$K$1,),)+VLOOKUP(A92,Database!A:K,MATCH($B$1,Database!$A$1:$K$1,),)</f>
        <v/>
      </c>
      <c r="C92" s="12">
        <f>(B92-B91)/B91</f>
        <v/>
      </c>
      <c r="D92" s="13">
        <f>(B92-B80)/B80</f>
        <v/>
      </c>
    </row>
    <row r="93">
      <c r="A93" s="10" t="n">
        <v>36220</v>
      </c>
      <c r="B93" s="15">
        <f>VLOOKUP(A93,Database!A:K,MATCH($A$1,Database!$A$1:$K$1,),)+VLOOKUP(A93,Database!A:K,MATCH($B$1,Database!$A$1:$K$1,),)</f>
        <v/>
      </c>
      <c r="C93" s="12">
        <f>(B93-B92)/B92</f>
        <v/>
      </c>
      <c r="D93" s="13">
        <f>(B93-B81)/B81</f>
        <v/>
      </c>
    </row>
    <row r="94">
      <c r="A94" s="11" t="n">
        <v>36251</v>
      </c>
      <c r="B94" s="15">
        <f>VLOOKUP(A94,Database!A:K,MATCH($A$1,Database!$A$1:$K$1,),)+VLOOKUP(A94,Database!A:K,MATCH($B$1,Database!$A$1:$K$1,),)</f>
        <v/>
      </c>
      <c r="C94" s="12">
        <f>(B94-B93)/B93</f>
        <v/>
      </c>
      <c r="D94" s="13">
        <f>(B94-B82)/B82</f>
        <v/>
      </c>
    </row>
    <row r="95">
      <c r="A95" s="10" t="n">
        <v>36281</v>
      </c>
      <c r="B95" s="15">
        <f>VLOOKUP(A95,Database!A:K,MATCH($A$1,Database!$A$1:$K$1,),)+VLOOKUP(A95,Database!A:K,MATCH($B$1,Database!$A$1:$K$1,),)</f>
        <v/>
      </c>
      <c r="C95" s="12">
        <f>(B95-B94)/B94</f>
        <v/>
      </c>
      <c r="D95" s="13">
        <f>(B95-B83)/B83</f>
        <v/>
      </c>
    </row>
    <row r="96">
      <c r="A96" s="11" t="n">
        <v>36312</v>
      </c>
      <c r="B96" s="15">
        <f>VLOOKUP(A96,Database!A:K,MATCH($A$1,Database!$A$1:$K$1,),)+VLOOKUP(A96,Database!A:K,MATCH($B$1,Database!$A$1:$K$1,),)</f>
        <v/>
      </c>
      <c r="C96" s="12">
        <f>(B96-B95)/B95</f>
        <v/>
      </c>
      <c r="D96" s="13">
        <f>(B96-B84)/B84</f>
        <v/>
      </c>
    </row>
    <row r="97">
      <c r="A97" s="10" t="n">
        <v>36342</v>
      </c>
      <c r="B97" s="15">
        <f>VLOOKUP(A97,Database!A:K,MATCH($A$1,Database!$A$1:$K$1,),)+VLOOKUP(A97,Database!A:K,MATCH($B$1,Database!$A$1:$K$1,),)</f>
        <v/>
      </c>
      <c r="C97" s="12">
        <f>(B97-B96)/B96</f>
        <v/>
      </c>
      <c r="D97" s="13">
        <f>(B97-B85)/B85</f>
        <v/>
      </c>
    </row>
    <row r="98">
      <c r="A98" s="11" t="n">
        <v>36373</v>
      </c>
      <c r="B98" s="15">
        <f>VLOOKUP(A98,Database!A:K,MATCH($A$1,Database!$A$1:$K$1,),)+VLOOKUP(A98,Database!A:K,MATCH($B$1,Database!$A$1:$K$1,),)</f>
        <v/>
      </c>
      <c r="C98" s="12">
        <f>(B98-B97)/B97</f>
        <v/>
      </c>
      <c r="D98" s="13">
        <f>(B98-B86)/B86</f>
        <v/>
      </c>
    </row>
    <row r="99">
      <c r="A99" s="10" t="n">
        <v>36404</v>
      </c>
      <c r="B99" s="15">
        <f>VLOOKUP(A99,Database!A:K,MATCH($A$1,Database!$A$1:$K$1,),)+VLOOKUP(A99,Database!A:K,MATCH($B$1,Database!$A$1:$K$1,),)</f>
        <v/>
      </c>
      <c r="C99" s="12">
        <f>(B99-B98)/B98</f>
        <v/>
      </c>
      <c r="D99" s="13">
        <f>(B99-B87)/B87</f>
        <v/>
      </c>
    </row>
    <row r="100">
      <c r="A100" s="11" t="n">
        <v>36434</v>
      </c>
      <c r="B100" s="15">
        <f>VLOOKUP(A100,Database!A:K,MATCH($A$1,Database!$A$1:$K$1,),)+VLOOKUP(A100,Database!A:K,MATCH($B$1,Database!$A$1:$K$1,),)</f>
        <v/>
      </c>
      <c r="C100" s="12">
        <f>(B100-B99)/B99</f>
        <v/>
      </c>
      <c r="D100" s="13">
        <f>(B100-B88)/B88</f>
        <v/>
      </c>
    </row>
    <row r="101">
      <c r="A101" s="10" t="n">
        <v>36465</v>
      </c>
      <c r="B101" s="15">
        <f>VLOOKUP(A101,Database!A:K,MATCH($A$1,Database!$A$1:$K$1,),)+VLOOKUP(A101,Database!A:K,MATCH($B$1,Database!$A$1:$K$1,),)</f>
        <v/>
      </c>
      <c r="C101" s="12">
        <f>(B101-B100)/B100</f>
        <v/>
      </c>
      <c r="D101" s="13">
        <f>(B101-B89)/B89</f>
        <v/>
      </c>
    </row>
    <row r="102">
      <c r="A102" s="11" t="n">
        <v>36495</v>
      </c>
      <c r="B102" s="15">
        <f>VLOOKUP(A102,Database!A:K,MATCH($A$1,Database!$A$1:$K$1,),)+VLOOKUP(A102,Database!A:K,MATCH($B$1,Database!$A$1:$K$1,),)</f>
        <v/>
      </c>
      <c r="C102" s="12">
        <f>(B102-B101)/B101</f>
        <v/>
      </c>
      <c r="D102" s="13">
        <f>(B102-B90)/B90</f>
        <v/>
      </c>
    </row>
    <row r="103">
      <c r="A103" s="10" t="n">
        <v>36526</v>
      </c>
      <c r="B103" s="15">
        <f>VLOOKUP(A103,Database!A:K,MATCH($A$1,Database!$A$1:$K$1,),)+VLOOKUP(A103,Database!A:K,MATCH($B$1,Database!$A$1:$K$1,),)</f>
        <v/>
      </c>
      <c r="C103" s="12">
        <f>(B103-B102)/B102</f>
        <v/>
      </c>
      <c r="D103" s="13">
        <f>(B103-B91)/B91</f>
        <v/>
      </c>
    </row>
    <row r="104">
      <c r="A104" s="11" t="n">
        <v>36557</v>
      </c>
      <c r="B104" s="15">
        <f>VLOOKUP(A104,Database!A:K,MATCH($A$1,Database!$A$1:$K$1,),)+VLOOKUP(A104,Database!A:K,MATCH($B$1,Database!$A$1:$K$1,),)</f>
        <v/>
      </c>
      <c r="C104" s="12">
        <f>(B104-B103)/B103</f>
        <v/>
      </c>
      <c r="D104" s="13">
        <f>(B104-B92)/B92</f>
        <v/>
      </c>
    </row>
    <row r="105">
      <c r="A105" s="10" t="n">
        <v>36586</v>
      </c>
      <c r="B105" s="15">
        <f>VLOOKUP(A105,Database!A:K,MATCH($A$1,Database!$A$1:$K$1,),)+VLOOKUP(A105,Database!A:K,MATCH($B$1,Database!$A$1:$K$1,),)</f>
        <v/>
      </c>
      <c r="C105" s="12">
        <f>(B105-B104)/B104</f>
        <v/>
      </c>
      <c r="D105" s="13">
        <f>(B105-B93)/B93</f>
        <v/>
      </c>
    </row>
    <row r="106">
      <c r="A106" s="11" t="n">
        <v>36617</v>
      </c>
      <c r="B106" s="15">
        <f>VLOOKUP(A106,Database!A:K,MATCH($A$1,Database!$A$1:$K$1,),)+VLOOKUP(A106,Database!A:K,MATCH($B$1,Database!$A$1:$K$1,),)</f>
        <v/>
      </c>
      <c r="C106" s="12">
        <f>(B106-B105)/B105</f>
        <v/>
      </c>
      <c r="D106" s="13">
        <f>(B106-B94)/B94</f>
        <v/>
      </c>
    </row>
    <row r="107">
      <c r="A107" s="10" t="n">
        <v>36647</v>
      </c>
      <c r="B107" s="15">
        <f>VLOOKUP(A107,Database!A:K,MATCH($A$1,Database!$A$1:$K$1,),)+VLOOKUP(A107,Database!A:K,MATCH($B$1,Database!$A$1:$K$1,),)</f>
        <v/>
      </c>
      <c r="C107" s="12">
        <f>(B107-B106)/B106</f>
        <v/>
      </c>
      <c r="D107" s="13">
        <f>(B107-B95)/B95</f>
        <v/>
      </c>
    </row>
    <row r="108">
      <c r="A108" s="11" t="n">
        <v>36678</v>
      </c>
      <c r="B108" s="15">
        <f>VLOOKUP(A108,Database!A:K,MATCH($A$1,Database!$A$1:$K$1,),)+VLOOKUP(A108,Database!A:K,MATCH($B$1,Database!$A$1:$K$1,),)</f>
        <v/>
      </c>
      <c r="C108" s="12">
        <f>(B108-B107)/B107</f>
        <v/>
      </c>
      <c r="D108" s="13">
        <f>(B108-B96)/B96</f>
        <v/>
      </c>
    </row>
    <row r="109">
      <c r="A109" s="10" t="n">
        <v>36708</v>
      </c>
      <c r="B109" s="15">
        <f>VLOOKUP(A109,Database!A:K,MATCH($A$1,Database!$A$1:$K$1,),)+VLOOKUP(A109,Database!A:K,MATCH($B$1,Database!$A$1:$K$1,),)</f>
        <v/>
      </c>
      <c r="C109" s="12">
        <f>(B109-B108)/B108</f>
        <v/>
      </c>
      <c r="D109" s="13">
        <f>(B109-B97)/B97</f>
        <v/>
      </c>
    </row>
    <row r="110">
      <c r="A110" s="11" t="n">
        <v>36739</v>
      </c>
      <c r="B110" s="15">
        <f>VLOOKUP(A110,Database!A:K,MATCH($A$1,Database!$A$1:$K$1,),)+VLOOKUP(A110,Database!A:K,MATCH($B$1,Database!$A$1:$K$1,),)</f>
        <v/>
      </c>
      <c r="C110" s="12">
        <f>(B110-B109)/B109</f>
        <v/>
      </c>
      <c r="D110" s="13">
        <f>(B110-B98)/B98</f>
        <v/>
      </c>
    </row>
    <row r="111">
      <c r="A111" s="10" t="n">
        <v>36770</v>
      </c>
      <c r="B111" s="15">
        <f>VLOOKUP(A111,Database!A:K,MATCH($A$1,Database!$A$1:$K$1,),)+VLOOKUP(A111,Database!A:K,MATCH($B$1,Database!$A$1:$K$1,),)</f>
        <v/>
      </c>
      <c r="C111" s="12">
        <f>(B111-B110)/B110</f>
        <v/>
      </c>
      <c r="D111" s="13">
        <f>(B111-B99)/B99</f>
        <v/>
      </c>
    </row>
    <row r="112">
      <c r="A112" s="11" t="n">
        <v>36800</v>
      </c>
      <c r="B112" s="15">
        <f>VLOOKUP(A112,Database!A:K,MATCH($A$1,Database!$A$1:$K$1,),)+VLOOKUP(A112,Database!A:K,MATCH($B$1,Database!$A$1:$K$1,),)</f>
        <v/>
      </c>
      <c r="C112" s="12">
        <f>(B112-B111)/B111</f>
        <v/>
      </c>
      <c r="D112" s="13">
        <f>(B112-B100)/B100</f>
        <v/>
      </c>
    </row>
    <row r="113">
      <c r="A113" s="10" t="n">
        <v>36831</v>
      </c>
      <c r="B113" s="15">
        <f>VLOOKUP(A113,Database!A:K,MATCH($A$1,Database!$A$1:$K$1,),)+VLOOKUP(A113,Database!A:K,MATCH($B$1,Database!$A$1:$K$1,),)</f>
        <v/>
      </c>
      <c r="C113" s="12">
        <f>(B113-B112)/B112</f>
        <v/>
      </c>
      <c r="D113" s="13">
        <f>(B113-B101)/B101</f>
        <v/>
      </c>
    </row>
    <row r="114">
      <c r="A114" s="11" t="n">
        <v>36861</v>
      </c>
      <c r="B114" s="15">
        <f>VLOOKUP(A114,Database!A:K,MATCH($A$1,Database!$A$1:$K$1,),)+VLOOKUP(A114,Database!A:K,MATCH($B$1,Database!$A$1:$K$1,),)</f>
        <v/>
      </c>
      <c r="C114" s="12">
        <f>(B114-B113)/B113</f>
        <v/>
      </c>
      <c r="D114" s="13">
        <f>(B114-B102)/B102</f>
        <v/>
      </c>
    </row>
    <row r="115">
      <c r="A115" s="10" t="n">
        <v>36892</v>
      </c>
      <c r="B115" s="15">
        <f>VLOOKUP(A115,Database!A:K,MATCH($A$1,Database!$A$1:$K$1,),)+VLOOKUP(A115,Database!A:K,MATCH($B$1,Database!$A$1:$K$1,),)</f>
        <v/>
      </c>
      <c r="C115" s="12">
        <f>(B115-B114)/B114</f>
        <v/>
      </c>
      <c r="D115" s="13">
        <f>(B115-B103)/B103</f>
        <v/>
      </c>
    </row>
    <row r="116">
      <c r="A116" s="11" t="n">
        <v>36923</v>
      </c>
      <c r="B116" s="15">
        <f>VLOOKUP(A116,Database!A:K,MATCH($A$1,Database!$A$1:$K$1,),)+VLOOKUP(A116,Database!A:K,MATCH($B$1,Database!$A$1:$K$1,),)</f>
        <v/>
      </c>
      <c r="C116" s="12">
        <f>(B116-B115)/B115</f>
        <v/>
      </c>
      <c r="D116" s="13">
        <f>(B116-B104)/B104</f>
        <v/>
      </c>
    </row>
    <row r="117">
      <c r="A117" s="10" t="n">
        <v>36951</v>
      </c>
      <c r="B117" s="15">
        <f>VLOOKUP(A117,Database!A:K,MATCH($A$1,Database!$A$1:$K$1,),)+VLOOKUP(A117,Database!A:K,MATCH($B$1,Database!$A$1:$K$1,),)</f>
        <v/>
      </c>
      <c r="C117" s="12">
        <f>(B117-B116)/B116</f>
        <v/>
      </c>
      <c r="D117" s="13">
        <f>(B117-B105)/B105</f>
        <v/>
      </c>
    </row>
    <row r="118">
      <c r="A118" s="11" t="n">
        <v>36982</v>
      </c>
      <c r="B118" s="15">
        <f>VLOOKUP(A118,Database!A:K,MATCH($A$1,Database!$A$1:$K$1,),)+VLOOKUP(A118,Database!A:K,MATCH($B$1,Database!$A$1:$K$1,),)</f>
        <v/>
      </c>
      <c r="C118" s="12">
        <f>(B118-B117)/B117</f>
        <v/>
      </c>
      <c r="D118" s="13">
        <f>(B118-B106)/B106</f>
        <v/>
      </c>
    </row>
    <row r="119">
      <c r="A119" s="10" t="n">
        <v>37012</v>
      </c>
      <c r="B119" s="15">
        <f>VLOOKUP(A119,Database!A:K,MATCH($A$1,Database!$A$1:$K$1,),)+VLOOKUP(A119,Database!A:K,MATCH($B$1,Database!$A$1:$K$1,),)</f>
        <v/>
      </c>
      <c r="C119" s="12">
        <f>(B119-B118)/B118</f>
        <v/>
      </c>
      <c r="D119" s="13">
        <f>(B119-B107)/B107</f>
        <v/>
      </c>
    </row>
    <row r="120">
      <c r="A120" s="11" t="n">
        <v>37043</v>
      </c>
      <c r="B120" s="15">
        <f>VLOOKUP(A120,Database!A:K,MATCH($A$1,Database!$A$1:$K$1,),)+VLOOKUP(A120,Database!A:K,MATCH($B$1,Database!$A$1:$K$1,),)</f>
        <v/>
      </c>
      <c r="C120" s="12">
        <f>(B120-B119)/B119</f>
        <v/>
      </c>
      <c r="D120" s="13">
        <f>(B120-B108)/B108</f>
        <v/>
      </c>
    </row>
    <row r="121">
      <c r="A121" s="10" t="n">
        <v>37073</v>
      </c>
      <c r="B121" s="15">
        <f>VLOOKUP(A121,Database!A:K,MATCH($A$1,Database!$A$1:$K$1,),)+VLOOKUP(A121,Database!A:K,MATCH($B$1,Database!$A$1:$K$1,),)</f>
        <v/>
      </c>
      <c r="C121" s="12">
        <f>(B121-B120)/B120</f>
        <v/>
      </c>
      <c r="D121" s="13">
        <f>(B121-B109)/B109</f>
        <v/>
      </c>
    </row>
    <row r="122">
      <c r="A122" s="11" t="n">
        <v>37104</v>
      </c>
      <c r="B122" s="15">
        <f>VLOOKUP(A122,Database!A:K,MATCH($A$1,Database!$A$1:$K$1,),)+VLOOKUP(A122,Database!A:K,MATCH($B$1,Database!$A$1:$K$1,),)</f>
        <v/>
      </c>
      <c r="C122" s="12">
        <f>(B122-B121)/B121</f>
        <v/>
      </c>
      <c r="D122" s="13">
        <f>(B122-B110)/B110</f>
        <v/>
      </c>
    </row>
    <row r="123">
      <c r="A123" s="10" t="n">
        <v>37135</v>
      </c>
      <c r="B123" s="15">
        <f>VLOOKUP(A123,Database!A:K,MATCH($A$1,Database!$A$1:$K$1,),)+VLOOKUP(A123,Database!A:K,MATCH($B$1,Database!$A$1:$K$1,),)</f>
        <v/>
      </c>
      <c r="C123" s="12">
        <f>(B123-B122)/B122</f>
        <v/>
      </c>
      <c r="D123" s="13">
        <f>(B123-B111)/B111</f>
        <v/>
      </c>
    </row>
    <row r="124">
      <c r="A124" s="11" t="n">
        <v>37165</v>
      </c>
      <c r="B124" s="15">
        <f>VLOOKUP(A124,Database!A:K,MATCH($A$1,Database!$A$1:$K$1,),)+VLOOKUP(A124,Database!A:K,MATCH($B$1,Database!$A$1:$K$1,),)</f>
        <v/>
      </c>
      <c r="C124" s="12">
        <f>(B124-B123)/B123</f>
        <v/>
      </c>
      <c r="D124" s="13">
        <f>(B124-B112)/B112</f>
        <v/>
      </c>
    </row>
    <row r="125">
      <c r="A125" s="10" t="n">
        <v>37196</v>
      </c>
      <c r="B125" s="15">
        <f>VLOOKUP(A125,Database!A:K,MATCH($A$1,Database!$A$1:$K$1,),)+VLOOKUP(A125,Database!A:K,MATCH($B$1,Database!$A$1:$K$1,),)</f>
        <v/>
      </c>
      <c r="C125" s="12">
        <f>(B125-B124)/B124</f>
        <v/>
      </c>
      <c r="D125" s="13">
        <f>(B125-B113)/B113</f>
        <v/>
      </c>
    </row>
    <row r="126">
      <c r="A126" s="11" t="n">
        <v>37226</v>
      </c>
      <c r="B126" s="15">
        <f>VLOOKUP(A126,Database!A:K,MATCH($A$1,Database!$A$1:$K$1,),)+VLOOKUP(A126,Database!A:K,MATCH($B$1,Database!$A$1:$K$1,),)</f>
        <v/>
      </c>
      <c r="C126" s="12">
        <f>(B126-B125)/B125</f>
        <v/>
      </c>
      <c r="D126" s="13">
        <f>(B126-B114)/B114</f>
        <v/>
      </c>
    </row>
    <row r="127">
      <c r="A127" s="10" t="n">
        <v>37257</v>
      </c>
      <c r="B127" s="15">
        <f>VLOOKUP(A127,Database!A:K,MATCH($A$1,Database!$A$1:$K$1,),)+VLOOKUP(A127,Database!A:K,MATCH($B$1,Database!$A$1:$K$1,),)</f>
        <v/>
      </c>
      <c r="C127" s="12">
        <f>(B127-B126)/B126</f>
        <v/>
      </c>
      <c r="D127" s="13">
        <f>(B127-B115)/B115</f>
        <v/>
      </c>
    </row>
    <row r="128">
      <c r="A128" s="11" t="n">
        <v>37288</v>
      </c>
      <c r="B128" s="15">
        <f>VLOOKUP(A128,Database!A:K,MATCH($A$1,Database!$A$1:$K$1,),)+VLOOKUP(A128,Database!A:K,MATCH($B$1,Database!$A$1:$K$1,),)</f>
        <v/>
      </c>
      <c r="C128" s="12">
        <f>(B128-B127)/B127</f>
        <v/>
      </c>
      <c r="D128" s="13">
        <f>(B128-B116)/B116</f>
        <v/>
      </c>
    </row>
    <row r="129">
      <c r="A129" s="10" t="n">
        <v>37316</v>
      </c>
      <c r="B129" s="15">
        <f>VLOOKUP(A129,Database!A:K,MATCH($A$1,Database!$A$1:$K$1,),)+VLOOKUP(A129,Database!A:K,MATCH($B$1,Database!$A$1:$K$1,),)</f>
        <v/>
      </c>
      <c r="C129" s="12">
        <f>(B129-B128)/B128</f>
        <v/>
      </c>
      <c r="D129" s="13">
        <f>(B129-B117)/B117</f>
        <v/>
      </c>
    </row>
    <row r="130">
      <c r="A130" s="11" t="n">
        <v>37347</v>
      </c>
      <c r="B130" s="15">
        <f>VLOOKUP(A130,Database!A:K,MATCH($A$1,Database!$A$1:$K$1,),)+VLOOKUP(A130,Database!A:K,MATCH($B$1,Database!$A$1:$K$1,),)</f>
        <v/>
      </c>
      <c r="C130" s="12">
        <f>(B130-B129)/B129</f>
        <v/>
      </c>
      <c r="D130" s="13">
        <f>(B130-B118)/B118</f>
        <v/>
      </c>
    </row>
    <row r="131">
      <c r="A131" s="10" t="n">
        <v>37377</v>
      </c>
      <c r="B131" s="15">
        <f>VLOOKUP(A131,Database!A:K,MATCH($A$1,Database!$A$1:$K$1,),)+VLOOKUP(A131,Database!A:K,MATCH($B$1,Database!$A$1:$K$1,),)</f>
        <v/>
      </c>
      <c r="C131" s="12">
        <f>(B131-B130)/B130</f>
        <v/>
      </c>
      <c r="D131" s="13">
        <f>(B131-B119)/B119</f>
        <v/>
      </c>
    </row>
    <row r="132">
      <c r="A132" s="11" t="n">
        <v>37408</v>
      </c>
      <c r="B132" s="15">
        <f>VLOOKUP(A132,Database!A:K,MATCH($A$1,Database!$A$1:$K$1,),)+VLOOKUP(A132,Database!A:K,MATCH($B$1,Database!$A$1:$K$1,),)</f>
        <v/>
      </c>
      <c r="C132" s="12">
        <f>(B132-B131)/B131</f>
        <v/>
      </c>
      <c r="D132" s="13">
        <f>(B132-B120)/B120</f>
        <v/>
      </c>
    </row>
    <row r="133">
      <c r="A133" s="10" t="n">
        <v>37438</v>
      </c>
      <c r="B133" s="15">
        <f>VLOOKUP(A133,Database!A:K,MATCH($A$1,Database!$A$1:$K$1,),)+VLOOKUP(A133,Database!A:K,MATCH($B$1,Database!$A$1:$K$1,),)</f>
        <v/>
      </c>
      <c r="C133" s="12">
        <f>(B133-B132)/B132</f>
        <v/>
      </c>
      <c r="D133" s="13">
        <f>(B133-B121)/B121</f>
        <v/>
      </c>
    </row>
    <row r="134">
      <c r="A134" s="11" t="n">
        <v>37469</v>
      </c>
      <c r="B134" s="15">
        <f>VLOOKUP(A134,Database!A:K,MATCH($A$1,Database!$A$1:$K$1,),)+VLOOKUP(A134,Database!A:K,MATCH($B$1,Database!$A$1:$K$1,),)</f>
        <v/>
      </c>
      <c r="C134" s="12">
        <f>(B134-B133)/B133</f>
        <v/>
      </c>
      <c r="D134" s="13">
        <f>(B134-B122)/B122</f>
        <v/>
      </c>
    </row>
    <row r="135">
      <c r="A135" s="10" t="n">
        <v>37500</v>
      </c>
      <c r="B135" s="15">
        <f>VLOOKUP(A135,Database!A:K,MATCH($A$1,Database!$A$1:$K$1,),)+VLOOKUP(A135,Database!A:K,MATCH($B$1,Database!$A$1:$K$1,),)</f>
        <v/>
      </c>
      <c r="C135" s="12">
        <f>(B135-B134)/B134</f>
        <v/>
      </c>
      <c r="D135" s="13">
        <f>(B135-B123)/B123</f>
        <v/>
      </c>
    </row>
    <row r="136">
      <c r="A136" s="11" t="n">
        <v>37530</v>
      </c>
      <c r="B136" s="15">
        <f>VLOOKUP(A136,Database!A:K,MATCH($A$1,Database!$A$1:$K$1,),)+VLOOKUP(A136,Database!A:K,MATCH($B$1,Database!$A$1:$K$1,),)</f>
        <v/>
      </c>
      <c r="C136" s="12">
        <f>(B136-B135)/B135</f>
        <v/>
      </c>
      <c r="D136" s="13">
        <f>(B136-B124)/B124</f>
        <v/>
      </c>
    </row>
    <row r="137">
      <c r="A137" s="10" t="n">
        <v>37561</v>
      </c>
      <c r="B137" s="15">
        <f>VLOOKUP(A137,Database!A:K,MATCH($A$1,Database!$A$1:$K$1,),)+VLOOKUP(A137,Database!A:K,MATCH($B$1,Database!$A$1:$K$1,),)</f>
        <v/>
      </c>
      <c r="C137" s="12">
        <f>(B137-B136)/B136</f>
        <v/>
      </c>
      <c r="D137" s="13">
        <f>(B137-B125)/B125</f>
        <v/>
      </c>
    </row>
    <row r="138">
      <c r="A138" s="11" t="n">
        <v>37591</v>
      </c>
      <c r="B138" s="15">
        <f>VLOOKUP(A138,Database!A:K,MATCH($A$1,Database!$A$1:$K$1,),)+VLOOKUP(A138,Database!A:K,MATCH($B$1,Database!$A$1:$K$1,),)</f>
        <v/>
      </c>
      <c r="C138" s="12">
        <f>(B138-B137)/B137</f>
        <v/>
      </c>
      <c r="D138" s="13">
        <f>(B138-B126)/B126</f>
        <v/>
      </c>
    </row>
    <row r="139">
      <c r="A139" s="10" t="n">
        <v>37622</v>
      </c>
      <c r="B139" s="15">
        <f>VLOOKUP(A139,Database!A:K,MATCH($A$1,Database!$A$1:$K$1,),)+VLOOKUP(A139,Database!A:K,MATCH($B$1,Database!$A$1:$K$1,),)</f>
        <v/>
      </c>
      <c r="C139" s="12">
        <f>(B139-B138)/B138</f>
        <v/>
      </c>
      <c r="D139" s="13">
        <f>(B139-B127)/B127</f>
        <v/>
      </c>
    </row>
    <row r="140">
      <c r="A140" s="11" t="n">
        <v>37653</v>
      </c>
      <c r="B140" s="15">
        <f>VLOOKUP(A140,Database!A:K,MATCH($A$1,Database!$A$1:$K$1,),)+VLOOKUP(A140,Database!A:K,MATCH($B$1,Database!$A$1:$K$1,),)</f>
        <v/>
      </c>
      <c r="C140" s="12">
        <f>(B140-B139)/B139</f>
        <v/>
      </c>
      <c r="D140" s="13">
        <f>(B140-B128)/B128</f>
        <v/>
      </c>
    </row>
    <row r="141">
      <c r="A141" s="10" t="n">
        <v>37681</v>
      </c>
      <c r="B141" s="15">
        <f>VLOOKUP(A141,Database!A:K,MATCH($A$1,Database!$A$1:$K$1,),)+VLOOKUP(A141,Database!A:K,MATCH($B$1,Database!$A$1:$K$1,),)</f>
        <v/>
      </c>
      <c r="C141" s="12">
        <f>(B141-B140)/B140</f>
        <v/>
      </c>
      <c r="D141" s="13">
        <f>(B141-B129)/B129</f>
        <v/>
      </c>
    </row>
    <row r="142">
      <c r="A142" s="11" t="n">
        <v>37712</v>
      </c>
      <c r="B142" s="15">
        <f>VLOOKUP(A142,Database!A:K,MATCH($A$1,Database!$A$1:$K$1,),)+VLOOKUP(A142,Database!A:K,MATCH($B$1,Database!$A$1:$K$1,),)</f>
        <v/>
      </c>
      <c r="C142" s="12">
        <f>(B142-B141)/B141</f>
        <v/>
      </c>
      <c r="D142" s="13">
        <f>(B142-B130)/B130</f>
        <v/>
      </c>
    </row>
    <row r="143">
      <c r="A143" s="10" t="n">
        <v>37742</v>
      </c>
      <c r="B143" s="15">
        <f>VLOOKUP(A143,Database!A:K,MATCH($A$1,Database!$A$1:$K$1,),)+VLOOKUP(A143,Database!A:K,MATCH($B$1,Database!$A$1:$K$1,),)</f>
        <v/>
      </c>
      <c r="C143" s="12">
        <f>(B143-B142)/B142</f>
        <v/>
      </c>
      <c r="D143" s="13">
        <f>(B143-B131)/B131</f>
        <v/>
      </c>
    </row>
    <row r="144">
      <c r="A144" s="11" t="n">
        <v>37773</v>
      </c>
      <c r="B144" s="15">
        <f>VLOOKUP(A144,Database!A:K,MATCH($A$1,Database!$A$1:$K$1,),)+VLOOKUP(A144,Database!A:K,MATCH($B$1,Database!$A$1:$K$1,),)</f>
        <v/>
      </c>
      <c r="C144" s="12">
        <f>(B144-B143)/B143</f>
        <v/>
      </c>
      <c r="D144" s="13">
        <f>(B144-B132)/B132</f>
        <v/>
      </c>
    </row>
    <row r="145">
      <c r="A145" s="10" t="n">
        <v>37803</v>
      </c>
      <c r="B145" s="15">
        <f>VLOOKUP(A145,Database!A:K,MATCH($A$1,Database!$A$1:$K$1,),)+VLOOKUP(A145,Database!A:K,MATCH($B$1,Database!$A$1:$K$1,),)</f>
        <v/>
      </c>
      <c r="C145" s="12">
        <f>(B145-B144)/B144</f>
        <v/>
      </c>
      <c r="D145" s="13">
        <f>(B145-B133)/B133</f>
        <v/>
      </c>
    </row>
    <row r="146">
      <c r="A146" s="11" t="n">
        <v>37834</v>
      </c>
      <c r="B146" s="15">
        <f>VLOOKUP(A146,Database!A:K,MATCH($A$1,Database!$A$1:$K$1,),)+VLOOKUP(A146,Database!A:K,MATCH($B$1,Database!$A$1:$K$1,),)</f>
        <v/>
      </c>
      <c r="C146" s="12">
        <f>(B146-B145)/B145</f>
        <v/>
      </c>
      <c r="D146" s="13">
        <f>(B146-B134)/B134</f>
        <v/>
      </c>
    </row>
    <row r="147">
      <c r="A147" s="10" t="n">
        <v>37865</v>
      </c>
      <c r="B147" s="15">
        <f>VLOOKUP(A147,Database!A:K,MATCH($A$1,Database!$A$1:$K$1,),)+VLOOKUP(A147,Database!A:K,MATCH($B$1,Database!$A$1:$K$1,),)</f>
        <v/>
      </c>
      <c r="C147" s="12">
        <f>(B147-B146)/B146</f>
        <v/>
      </c>
      <c r="D147" s="13">
        <f>(B147-B135)/B135</f>
        <v/>
      </c>
    </row>
    <row r="148">
      <c r="A148" s="11" t="n">
        <v>37895</v>
      </c>
      <c r="B148" s="15">
        <f>VLOOKUP(A148,Database!A:K,MATCH($A$1,Database!$A$1:$K$1,),)+VLOOKUP(A148,Database!A:K,MATCH($B$1,Database!$A$1:$K$1,),)</f>
        <v/>
      </c>
      <c r="C148" s="12">
        <f>(B148-B147)/B147</f>
        <v/>
      </c>
      <c r="D148" s="13">
        <f>(B148-B136)/B136</f>
        <v/>
      </c>
    </row>
    <row r="149">
      <c r="A149" s="10" t="n">
        <v>37926</v>
      </c>
      <c r="B149" s="15">
        <f>VLOOKUP(A149,Database!A:K,MATCH($A$1,Database!$A$1:$K$1,),)+VLOOKUP(A149,Database!A:K,MATCH($B$1,Database!$A$1:$K$1,),)</f>
        <v/>
      </c>
      <c r="C149" s="12">
        <f>(B149-B148)/B148</f>
        <v/>
      </c>
      <c r="D149" s="13">
        <f>(B149-B137)/B137</f>
        <v/>
      </c>
    </row>
    <row r="150">
      <c r="A150" s="11" t="n">
        <v>37956</v>
      </c>
      <c r="B150" s="15">
        <f>VLOOKUP(A150,Database!A:K,MATCH($A$1,Database!$A$1:$K$1,),)+VLOOKUP(A150,Database!A:K,MATCH($B$1,Database!$A$1:$K$1,),)</f>
        <v/>
      </c>
      <c r="C150" s="12">
        <f>(B150-B149)/B149</f>
        <v/>
      </c>
      <c r="D150" s="13">
        <f>(B150-B138)/B138</f>
        <v/>
      </c>
    </row>
    <row r="151">
      <c r="A151" s="10" t="n">
        <v>37987</v>
      </c>
      <c r="B151" s="15">
        <f>VLOOKUP(A151,Database!A:K,MATCH($A$1,Database!$A$1:$K$1,),)+VLOOKUP(A151,Database!A:K,MATCH($B$1,Database!$A$1:$K$1,),)</f>
        <v/>
      </c>
      <c r="C151" s="12">
        <f>(B151-B150)/B150</f>
        <v/>
      </c>
      <c r="D151" s="13">
        <f>(B151-B139)/B139</f>
        <v/>
      </c>
    </row>
    <row r="152">
      <c r="A152" s="11" t="n">
        <v>38018</v>
      </c>
      <c r="B152" s="15">
        <f>VLOOKUP(A152,Database!A:K,MATCH($A$1,Database!$A$1:$K$1,),)+VLOOKUP(A152,Database!A:K,MATCH($B$1,Database!$A$1:$K$1,),)</f>
        <v/>
      </c>
      <c r="C152" s="12">
        <f>(B152-B151)/B151</f>
        <v/>
      </c>
      <c r="D152" s="13">
        <f>(B152-B140)/B140</f>
        <v/>
      </c>
    </row>
    <row r="153">
      <c r="A153" s="10" t="n">
        <v>38047</v>
      </c>
      <c r="B153" s="15">
        <f>VLOOKUP(A153,Database!A:K,MATCH($A$1,Database!$A$1:$K$1,),)+VLOOKUP(A153,Database!A:K,MATCH($B$1,Database!$A$1:$K$1,),)</f>
        <v/>
      </c>
      <c r="C153" s="12">
        <f>(B153-B152)/B152</f>
        <v/>
      </c>
      <c r="D153" s="13">
        <f>(B153-B141)/B141</f>
        <v/>
      </c>
    </row>
    <row r="154">
      <c r="A154" s="11" t="n">
        <v>38078</v>
      </c>
      <c r="B154" s="15">
        <f>VLOOKUP(A154,Database!A:K,MATCH($A$1,Database!$A$1:$K$1,),)+VLOOKUP(A154,Database!A:K,MATCH($B$1,Database!$A$1:$K$1,),)</f>
        <v/>
      </c>
      <c r="C154" s="12">
        <f>(B154-B153)/B153</f>
        <v/>
      </c>
      <c r="D154" s="13">
        <f>(B154-B142)/B142</f>
        <v/>
      </c>
    </row>
    <row r="155">
      <c r="A155" s="10" t="n">
        <v>38108</v>
      </c>
      <c r="B155" s="15">
        <f>VLOOKUP(A155,Database!A:K,MATCH($A$1,Database!$A$1:$K$1,),)+VLOOKUP(A155,Database!A:K,MATCH($B$1,Database!$A$1:$K$1,),)</f>
        <v/>
      </c>
      <c r="C155" s="12">
        <f>(B155-B154)/B154</f>
        <v/>
      </c>
      <c r="D155" s="13">
        <f>(B155-B143)/B143</f>
        <v/>
      </c>
    </row>
    <row r="156">
      <c r="A156" s="11" t="n">
        <v>38139</v>
      </c>
      <c r="B156" s="15">
        <f>VLOOKUP(A156,Database!A:K,MATCH($A$1,Database!$A$1:$K$1,),)+VLOOKUP(A156,Database!A:K,MATCH($B$1,Database!$A$1:$K$1,),)</f>
        <v/>
      </c>
      <c r="C156" s="12">
        <f>(B156-B155)/B155</f>
        <v/>
      </c>
      <c r="D156" s="13">
        <f>(B156-B144)/B144</f>
        <v/>
      </c>
    </row>
    <row r="157">
      <c r="A157" s="10" t="n">
        <v>38169</v>
      </c>
      <c r="B157" s="15">
        <f>VLOOKUP(A157,Database!A:K,MATCH($A$1,Database!$A$1:$K$1,),)+VLOOKUP(A157,Database!A:K,MATCH($B$1,Database!$A$1:$K$1,),)</f>
        <v/>
      </c>
      <c r="C157" s="12">
        <f>(B157-B156)/B156</f>
        <v/>
      </c>
      <c r="D157" s="13">
        <f>(B157-B145)/B145</f>
        <v/>
      </c>
    </row>
    <row r="158">
      <c r="A158" s="11" t="n">
        <v>38200</v>
      </c>
      <c r="B158" s="15">
        <f>VLOOKUP(A158,Database!A:K,MATCH($A$1,Database!$A$1:$K$1,),)+VLOOKUP(A158,Database!A:K,MATCH($B$1,Database!$A$1:$K$1,),)</f>
        <v/>
      </c>
      <c r="C158" s="12">
        <f>(B158-B157)/B157</f>
        <v/>
      </c>
      <c r="D158" s="13">
        <f>(B158-B146)/B146</f>
        <v/>
      </c>
    </row>
    <row r="159">
      <c r="A159" s="10" t="n">
        <v>38231</v>
      </c>
      <c r="B159" s="15">
        <f>VLOOKUP(A159,Database!A:K,MATCH($A$1,Database!$A$1:$K$1,),)+VLOOKUP(A159,Database!A:K,MATCH($B$1,Database!$A$1:$K$1,),)</f>
        <v/>
      </c>
      <c r="C159" s="12">
        <f>(B159-B158)/B158</f>
        <v/>
      </c>
      <c r="D159" s="13">
        <f>(B159-B147)/B147</f>
        <v/>
      </c>
    </row>
    <row r="160">
      <c r="A160" s="11" t="n">
        <v>38261</v>
      </c>
      <c r="B160" s="15">
        <f>VLOOKUP(A160,Database!A:K,MATCH($A$1,Database!$A$1:$K$1,),)+VLOOKUP(A160,Database!A:K,MATCH($B$1,Database!$A$1:$K$1,),)</f>
        <v/>
      </c>
      <c r="C160" s="12">
        <f>(B160-B159)/B159</f>
        <v/>
      </c>
      <c r="D160" s="13">
        <f>(B160-B148)/B148</f>
        <v/>
      </c>
    </row>
    <row r="161">
      <c r="A161" s="10" t="n">
        <v>38292</v>
      </c>
      <c r="B161" s="15">
        <f>VLOOKUP(A161,Database!A:K,MATCH($A$1,Database!$A$1:$K$1,),)+VLOOKUP(A161,Database!A:K,MATCH($B$1,Database!$A$1:$K$1,),)</f>
        <v/>
      </c>
      <c r="C161" s="12">
        <f>(B161-B160)/B160</f>
        <v/>
      </c>
      <c r="D161" s="13">
        <f>(B161-B149)/B149</f>
        <v/>
      </c>
    </row>
    <row r="162">
      <c r="A162" s="11" t="n">
        <v>38322</v>
      </c>
      <c r="B162" s="15">
        <f>VLOOKUP(A162,Database!A:K,MATCH($A$1,Database!$A$1:$K$1,),)+VLOOKUP(A162,Database!A:K,MATCH($B$1,Database!$A$1:$K$1,),)</f>
        <v/>
      </c>
      <c r="C162" s="12">
        <f>(B162-B161)/B161</f>
        <v/>
      </c>
      <c r="D162" s="13">
        <f>(B162-B150)/B150</f>
        <v/>
      </c>
    </row>
    <row r="163">
      <c r="A163" s="10" t="n">
        <v>38353</v>
      </c>
      <c r="B163" s="15">
        <f>VLOOKUP(A163,Database!A:K,MATCH($A$1,Database!$A$1:$K$1,),)+VLOOKUP(A163,Database!A:K,MATCH($B$1,Database!$A$1:$K$1,),)</f>
        <v/>
      </c>
      <c r="C163" s="12">
        <f>(B163-B162)/B162</f>
        <v/>
      </c>
      <c r="D163" s="13">
        <f>(B163-B151)/B151</f>
        <v/>
      </c>
    </row>
    <row r="164">
      <c r="A164" s="11" t="n">
        <v>38384</v>
      </c>
      <c r="B164" s="15">
        <f>VLOOKUP(A164,Database!A:K,MATCH($A$1,Database!$A$1:$K$1,),)+VLOOKUP(A164,Database!A:K,MATCH($B$1,Database!$A$1:$K$1,),)</f>
        <v/>
      </c>
      <c r="C164" s="12">
        <f>(B164-B163)/B163</f>
        <v/>
      </c>
      <c r="D164" s="13">
        <f>(B164-B152)/B152</f>
        <v/>
      </c>
    </row>
    <row r="165">
      <c r="A165" s="10" t="n">
        <v>38412</v>
      </c>
      <c r="B165" s="15">
        <f>VLOOKUP(A165,Database!A:K,MATCH($A$1,Database!$A$1:$K$1,),)+VLOOKUP(A165,Database!A:K,MATCH($B$1,Database!$A$1:$K$1,),)</f>
        <v/>
      </c>
      <c r="C165" s="12">
        <f>(B165-B164)/B164</f>
        <v/>
      </c>
      <c r="D165" s="13">
        <f>(B165-B153)/B153</f>
        <v/>
      </c>
    </row>
    <row r="166">
      <c r="A166" s="11" t="n">
        <v>38443</v>
      </c>
      <c r="B166" s="15">
        <f>VLOOKUP(A166,Database!A:K,MATCH($A$1,Database!$A$1:$K$1,),)+VLOOKUP(A166,Database!A:K,MATCH($B$1,Database!$A$1:$K$1,),)</f>
        <v/>
      </c>
      <c r="C166" s="12">
        <f>(B166-B165)/B165</f>
        <v/>
      </c>
      <c r="D166" s="13">
        <f>(B166-B154)/B154</f>
        <v/>
      </c>
    </row>
    <row r="167">
      <c r="A167" s="10" t="n">
        <v>38473</v>
      </c>
      <c r="B167" s="15">
        <f>VLOOKUP(A167,Database!A:K,MATCH($A$1,Database!$A$1:$K$1,),)+VLOOKUP(A167,Database!A:K,MATCH($B$1,Database!$A$1:$K$1,),)</f>
        <v/>
      </c>
      <c r="C167" s="12">
        <f>(B167-B166)/B166</f>
        <v/>
      </c>
      <c r="D167" s="13">
        <f>(B167-B155)/B155</f>
        <v/>
      </c>
    </row>
    <row r="168">
      <c r="A168" s="11" t="n">
        <v>38504</v>
      </c>
      <c r="B168" s="15">
        <f>VLOOKUP(A168,Database!A:K,MATCH($A$1,Database!$A$1:$K$1,),)+VLOOKUP(A168,Database!A:K,MATCH($B$1,Database!$A$1:$K$1,),)</f>
        <v/>
      </c>
      <c r="C168" s="12">
        <f>(B168-B167)/B167</f>
        <v/>
      </c>
      <c r="D168" s="13">
        <f>(B168-B156)/B156</f>
        <v/>
      </c>
    </row>
    <row r="169">
      <c r="A169" s="10" t="n">
        <v>38534</v>
      </c>
      <c r="B169" s="15">
        <f>VLOOKUP(A169,Database!A:K,MATCH($A$1,Database!$A$1:$K$1,),)+VLOOKUP(A169,Database!A:K,MATCH($B$1,Database!$A$1:$K$1,),)</f>
        <v/>
      </c>
      <c r="C169" s="12">
        <f>(B169-B168)/B168</f>
        <v/>
      </c>
      <c r="D169" s="13">
        <f>(B169-B157)/B157</f>
        <v/>
      </c>
    </row>
    <row r="170">
      <c r="A170" s="11" t="n">
        <v>38565</v>
      </c>
      <c r="B170" s="15">
        <f>VLOOKUP(A170,Database!A:K,MATCH($A$1,Database!$A$1:$K$1,),)+VLOOKUP(A170,Database!A:K,MATCH($B$1,Database!$A$1:$K$1,),)</f>
        <v/>
      </c>
      <c r="C170" s="12">
        <f>(B170-B169)/B169</f>
        <v/>
      </c>
      <c r="D170" s="13">
        <f>(B170-B158)/B158</f>
        <v/>
      </c>
    </row>
    <row r="171">
      <c r="A171" s="10" t="n">
        <v>38596</v>
      </c>
      <c r="B171" s="15">
        <f>VLOOKUP(A171,Database!A:K,MATCH($A$1,Database!$A$1:$K$1,),)+VLOOKUP(A171,Database!A:K,MATCH($B$1,Database!$A$1:$K$1,),)</f>
        <v/>
      </c>
      <c r="C171" s="12">
        <f>(B171-B170)/B170</f>
        <v/>
      </c>
      <c r="D171" s="13">
        <f>(B171-B159)/B159</f>
        <v/>
      </c>
    </row>
    <row r="172">
      <c r="A172" s="11" t="n">
        <v>38626</v>
      </c>
      <c r="B172" s="15">
        <f>VLOOKUP(A172,Database!A:K,MATCH($A$1,Database!$A$1:$K$1,),)+VLOOKUP(A172,Database!A:K,MATCH($B$1,Database!$A$1:$K$1,),)</f>
        <v/>
      </c>
      <c r="C172" s="12">
        <f>(B172-B171)/B171</f>
        <v/>
      </c>
      <c r="D172" s="13">
        <f>(B172-B160)/B160</f>
        <v/>
      </c>
    </row>
    <row r="173">
      <c r="A173" s="10" t="n">
        <v>38657</v>
      </c>
      <c r="B173" s="15">
        <f>VLOOKUP(A173,Database!A:K,MATCH($A$1,Database!$A$1:$K$1,),)+VLOOKUP(A173,Database!A:K,MATCH($B$1,Database!$A$1:$K$1,),)</f>
        <v/>
      </c>
      <c r="C173" s="12">
        <f>(B173-B172)/B172</f>
        <v/>
      </c>
      <c r="D173" s="13">
        <f>(B173-B161)/B161</f>
        <v/>
      </c>
    </row>
    <row r="174">
      <c r="A174" s="11" t="n">
        <v>38687</v>
      </c>
      <c r="B174" s="15">
        <f>VLOOKUP(A174,Database!A:K,MATCH($A$1,Database!$A$1:$K$1,),)+VLOOKUP(A174,Database!A:K,MATCH($B$1,Database!$A$1:$K$1,),)</f>
        <v/>
      </c>
      <c r="C174" s="12">
        <f>(B174-B173)/B173</f>
        <v/>
      </c>
      <c r="D174" s="13">
        <f>(B174-B162)/B162</f>
        <v/>
      </c>
    </row>
    <row r="175">
      <c r="A175" s="10" t="n">
        <v>38718</v>
      </c>
      <c r="B175" s="15">
        <f>VLOOKUP(A175,Database!A:K,MATCH($A$1,Database!$A$1:$K$1,),)+VLOOKUP(A175,Database!A:K,MATCH($B$1,Database!$A$1:$K$1,),)</f>
        <v/>
      </c>
      <c r="C175" s="12">
        <f>(B175-B174)/B174</f>
        <v/>
      </c>
      <c r="D175" s="13">
        <f>(B175-B163)/B163</f>
        <v/>
      </c>
    </row>
    <row r="176">
      <c r="A176" s="11" t="n">
        <v>38749</v>
      </c>
      <c r="B176" s="15">
        <f>VLOOKUP(A176,Database!A:K,MATCH($A$1,Database!$A$1:$K$1,),)+VLOOKUP(A176,Database!A:K,MATCH($B$1,Database!$A$1:$K$1,),)</f>
        <v/>
      </c>
      <c r="C176" s="12">
        <f>(B176-B175)/B175</f>
        <v/>
      </c>
      <c r="D176" s="13">
        <f>(B176-B164)/B164</f>
        <v/>
      </c>
    </row>
    <row r="177">
      <c r="A177" s="10" t="n">
        <v>38777</v>
      </c>
      <c r="B177" s="15">
        <f>VLOOKUP(A177,Database!A:K,MATCH($A$1,Database!$A$1:$K$1,),)+VLOOKUP(A177,Database!A:K,MATCH($B$1,Database!$A$1:$K$1,),)</f>
        <v/>
      </c>
      <c r="C177" s="12">
        <f>(B177-B176)/B176</f>
        <v/>
      </c>
      <c r="D177" s="13">
        <f>(B177-B165)/B165</f>
        <v/>
      </c>
    </row>
    <row r="178">
      <c r="A178" s="11" t="n">
        <v>38808</v>
      </c>
      <c r="B178" s="15">
        <f>VLOOKUP(A178,Database!A:K,MATCH($A$1,Database!$A$1:$K$1,),)+VLOOKUP(A178,Database!A:K,MATCH($B$1,Database!$A$1:$K$1,),)</f>
        <v/>
      </c>
      <c r="C178" s="12">
        <f>(B178-B177)/B177</f>
        <v/>
      </c>
      <c r="D178" s="13">
        <f>(B178-B166)/B166</f>
        <v/>
      </c>
    </row>
    <row r="179">
      <c r="A179" s="10" t="n">
        <v>38838</v>
      </c>
      <c r="B179" s="15">
        <f>VLOOKUP(A179,Database!A:K,MATCH($A$1,Database!$A$1:$K$1,),)+VLOOKUP(A179,Database!A:K,MATCH($B$1,Database!$A$1:$K$1,),)</f>
        <v/>
      </c>
      <c r="C179" s="12">
        <f>(B179-B178)/B178</f>
        <v/>
      </c>
      <c r="D179" s="13">
        <f>(B179-B167)/B167</f>
        <v/>
      </c>
    </row>
    <row r="180">
      <c r="A180" s="11" t="n">
        <v>38869</v>
      </c>
      <c r="B180" s="15">
        <f>VLOOKUP(A180,Database!A:K,MATCH($A$1,Database!$A$1:$K$1,),)+VLOOKUP(A180,Database!A:K,MATCH($B$1,Database!$A$1:$K$1,),)</f>
        <v/>
      </c>
      <c r="C180" s="12">
        <f>(B180-B179)/B179</f>
        <v/>
      </c>
      <c r="D180" s="13">
        <f>(B180-B168)/B168</f>
        <v/>
      </c>
    </row>
    <row r="181">
      <c r="A181" s="10" t="n">
        <v>38899</v>
      </c>
      <c r="B181" s="15">
        <f>VLOOKUP(A181,Database!A:K,MATCH($A$1,Database!$A$1:$K$1,),)+VLOOKUP(A181,Database!A:K,MATCH($B$1,Database!$A$1:$K$1,),)</f>
        <v/>
      </c>
      <c r="C181" s="12">
        <f>(B181-B180)/B180</f>
        <v/>
      </c>
      <c r="D181" s="13">
        <f>(B181-B169)/B169</f>
        <v/>
      </c>
    </row>
    <row r="182">
      <c r="A182" s="11" t="n">
        <v>38930</v>
      </c>
      <c r="B182" s="15">
        <f>VLOOKUP(A182,Database!A:K,MATCH($A$1,Database!$A$1:$K$1,),)+VLOOKUP(A182,Database!A:K,MATCH($B$1,Database!$A$1:$K$1,),)</f>
        <v/>
      </c>
      <c r="C182" s="12">
        <f>(B182-B181)/B181</f>
        <v/>
      </c>
      <c r="D182" s="13">
        <f>(B182-B170)/B170</f>
        <v/>
      </c>
    </row>
    <row r="183">
      <c r="A183" s="10" t="n">
        <v>38961</v>
      </c>
      <c r="B183" s="15">
        <f>VLOOKUP(A183,Database!A:K,MATCH($A$1,Database!$A$1:$K$1,),)+VLOOKUP(A183,Database!A:K,MATCH($B$1,Database!$A$1:$K$1,),)</f>
        <v/>
      </c>
      <c r="C183" s="12">
        <f>(B183-B182)/B182</f>
        <v/>
      </c>
      <c r="D183" s="13">
        <f>(B183-B171)/B171</f>
        <v/>
      </c>
    </row>
    <row r="184">
      <c r="A184" s="11" t="n">
        <v>38991</v>
      </c>
      <c r="B184" s="15">
        <f>VLOOKUP(A184,Database!A:K,MATCH($A$1,Database!$A$1:$K$1,),)+VLOOKUP(A184,Database!A:K,MATCH($B$1,Database!$A$1:$K$1,),)</f>
        <v/>
      </c>
      <c r="C184" s="12">
        <f>(B184-B183)/B183</f>
        <v/>
      </c>
      <c r="D184" s="13">
        <f>(B184-B172)/B172</f>
        <v/>
      </c>
    </row>
    <row r="185">
      <c r="A185" s="10" t="n">
        <v>39022</v>
      </c>
      <c r="B185" s="15">
        <f>VLOOKUP(A185,Database!A:K,MATCH($A$1,Database!$A$1:$K$1,),)+VLOOKUP(A185,Database!A:K,MATCH($B$1,Database!$A$1:$K$1,),)</f>
        <v/>
      </c>
      <c r="C185" s="12">
        <f>(B185-B184)/B184</f>
        <v/>
      </c>
      <c r="D185" s="13">
        <f>(B185-B173)/B173</f>
        <v/>
      </c>
    </row>
    <row r="186">
      <c r="A186" s="11" t="n">
        <v>39052</v>
      </c>
      <c r="B186" s="15">
        <f>VLOOKUP(A186,Database!A:K,MATCH($A$1,Database!$A$1:$K$1,),)+VLOOKUP(A186,Database!A:K,MATCH($B$1,Database!$A$1:$K$1,),)</f>
        <v/>
      </c>
      <c r="C186" s="12">
        <f>(B186-B185)/B185</f>
        <v/>
      </c>
      <c r="D186" s="13">
        <f>(B186-B174)/B174</f>
        <v/>
      </c>
    </row>
    <row r="187">
      <c r="A187" s="10" t="n">
        <v>39083</v>
      </c>
      <c r="B187" s="15">
        <f>VLOOKUP(A187,Database!A:K,MATCH($A$1,Database!$A$1:$K$1,),)+VLOOKUP(A187,Database!A:K,MATCH($B$1,Database!$A$1:$K$1,),)</f>
        <v/>
      </c>
      <c r="C187" s="12">
        <f>(B187-B186)/B186</f>
        <v/>
      </c>
      <c r="D187" s="13">
        <f>(B187-B175)/B175</f>
        <v/>
      </c>
    </row>
    <row r="188">
      <c r="A188" s="11" t="n">
        <v>39114</v>
      </c>
      <c r="B188" s="15">
        <f>VLOOKUP(A188,Database!A:K,MATCH($A$1,Database!$A$1:$K$1,),)+VLOOKUP(A188,Database!A:K,MATCH($B$1,Database!$A$1:$K$1,),)</f>
        <v/>
      </c>
      <c r="C188" s="12">
        <f>(B188-B187)/B187</f>
        <v/>
      </c>
      <c r="D188" s="13">
        <f>(B188-B176)/B176</f>
        <v/>
      </c>
    </row>
    <row r="189">
      <c r="A189" s="10" t="n">
        <v>39142</v>
      </c>
      <c r="B189" s="15">
        <f>VLOOKUP(A189,Database!A:K,MATCH($A$1,Database!$A$1:$K$1,),)+VLOOKUP(A189,Database!A:K,MATCH($B$1,Database!$A$1:$K$1,),)</f>
        <v/>
      </c>
      <c r="C189" s="12">
        <f>(B189-B188)/B188</f>
        <v/>
      </c>
      <c r="D189" s="13">
        <f>(B189-B177)/B177</f>
        <v/>
      </c>
    </row>
    <row r="190">
      <c r="A190" s="11" t="n">
        <v>39173</v>
      </c>
      <c r="B190" s="15">
        <f>VLOOKUP(A190,Database!A:K,MATCH($A$1,Database!$A$1:$K$1,),)+VLOOKUP(A190,Database!A:K,MATCH($B$1,Database!$A$1:$K$1,),)</f>
        <v/>
      </c>
      <c r="C190" s="12">
        <f>(B190-B189)/B189</f>
        <v/>
      </c>
      <c r="D190" s="13">
        <f>(B190-B178)/B178</f>
        <v/>
      </c>
    </row>
    <row r="191">
      <c r="A191" s="10" t="n">
        <v>39203</v>
      </c>
      <c r="B191" s="15">
        <f>VLOOKUP(A191,Database!A:K,MATCH($A$1,Database!$A$1:$K$1,),)+VLOOKUP(A191,Database!A:K,MATCH($B$1,Database!$A$1:$K$1,),)</f>
        <v/>
      </c>
      <c r="C191" s="12">
        <f>(B191-B190)/B190</f>
        <v/>
      </c>
      <c r="D191" s="13">
        <f>(B191-B179)/B179</f>
        <v/>
      </c>
    </row>
    <row r="192">
      <c r="A192" s="11" t="n">
        <v>39234</v>
      </c>
      <c r="B192" s="15">
        <f>VLOOKUP(A192,Database!A:K,MATCH($A$1,Database!$A$1:$K$1,),)+VLOOKUP(A192,Database!A:K,MATCH($B$1,Database!$A$1:$K$1,),)</f>
        <v/>
      </c>
      <c r="C192" s="12">
        <f>(B192-B191)/B191</f>
        <v/>
      </c>
      <c r="D192" s="13">
        <f>(B192-B180)/B180</f>
        <v/>
      </c>
    </row>
    <row r="193">
      <c r="A193" s="10" t="n">
        <v>39264</v>
      </c>
      <c r="B193" s="15">
        <f>VLOOKUP(A193,Database!A:K,MATCH($A$1,Database!$A$1:$K$1,),)+VLOOKUP(A193,Database!A:K,MATCH($B$1,Database!$A$1:$K$1,),)</f>
        <v/>
      </c>
      <c r="C193" s="12">
        <f>(B193-B192)/B192</f>
        <v/>
      </c>
      <c r="D193" s="13">
        <f>(B193-B181)/B181</f>
        <v/>
      </c>
    </row>
    <row r="194">
      <c r="A194" s="11" t="n">
        <v>39295</v>
      </c>
      <c r="B194" s="15">
        <f>VLOOKUP(A194,Database!A:K,MATCH($A$1,Database!$A$1:$K$1,),)+VLOOKUP(A194,Database!A:K,MATCH($B$1,Database!$A$1:$K$1,),)</f>
        <v/>
      </c>
      <c r="C194" s="12">
        <f>(B194-B193)/B193</f>
        <v/>
      </c>
      <c r="D194" s="13">
        <f>(B194-B182)/B182</f>
        <v/>
      </c>
    </row>
    <row r="195">
      <c r="A195" s="10" t="n">
        <v>39326</v>
      </c>
      <c r="B195" s="15">
        <f>VLOOKUP(A195,Database!A:K,MATCH($A$1,Database!$A$1:$K$1,),)+VLOOKUP(A195,Database!A:K,MATCH($B$1,Database!$A$1:$K$1,),)</f>
        <v/>
      </c>
      <c r="C195" s="12">
        <f>(B195-B194)/B194</f>
        <v/>
      </c>
      <c r="D195" s="13">
        <f>(B195-B183)/B183</f>
        <v/>
      </c>
    </row>
    <row r="196">
      <c r="A196" s="11" t="n">
        <v>39356</v>
      </c>
      <c r="B196" s="15">
        <f>VLOOKUP(A196,Database!A:K,MATCH($A$1,Database!$A$1:$K$1,),)+VLOOKUP(A196,Database!A:K,MATCH($B$1,Database!$A$1:$K$1,),)</f>
        <v/>
      </c>
      <c r="C196" s="12">
        <f>(B196-B195)/B195</f>
        <v/>
      </c>
      <c r="D196" s="13">
        <f>(B196-B184)/B184</f>
        <v/>
      </c>
    </row>
    <row r="197">
      <c r="A197" s="10" t="n">
        <v>39387</v>
      </c>
      <c r="B197" s="15">
        <f>VLOOKUP(A197,Database!A:K,MATCH($A$1,Database!$A$1:$K$1,),)+VLOOKUP(A197,Database!A:K,MATCH($B$1,Database!$A$1:$K$1,),)</f>
        <v/>
      </c>
      <c r="C197" s="12">
        <f>(B197-B196)/B196</f>
        <v/>
      </c>
      <c r="D197" s="13">
        <f>(B197-B185)/B185</f>
        <v/>
      </c>
    </row>
    <row r="198">
      <c r="A198" s="11" t="n">
        <v>39417</v>
      </c>
      <c r="B198" s="15">
        <f>VLOOKUP(A198,Database!A:K,MATCH($A$1,Database!$A$1:$K$1,),)+VLOOKUP(A198,Database!A:K,MATCH($B$1,Database!$A$1:$K$1,),)</f>
        <v/>
      </c>
      <c r="C198" s="12">
        <f>(B198-B197)/B197</f>
        <v/>
      </c>
      <c r="D198" s="13">
        <f>(B198-B186)/B186</f>
        <v/>
      </c>
    </row>
    <row r="199">
      <c r="A199" s="10" t="n">
        <v>39448</v>
      </c>
      <c r="B199" s="15">
        <f>VLOOKUP(A199,Database!A:K,MATCH($A$1,Database!$A$1:$K$1,),)+VLOOKUP(A199,Database!A:K,MATCH($B$1,Database!$A$1:$K$1,),)</f>
        <v/>
      </c>
      <c r="C199" s="12">
        <f>(B199-B198)/B198</f>
        <v/>
      </c>
      <c r="D199" s="13">
        <f>(B199-B187)/B187</f>
        <v/>
      </c>
    </row>
    <row r="200">
      <c r="A200" s="11" t="n">
        <v>39479</v>
      </c>
      <c r="B200" s="15">
        <f>VLOOKUP(A200,Database!A:K,MATCH($A$1,Database!$A$1:$K$1,),)+VLOOKUP(A200,Database!A:K,MATCH($B$1,Database!$A$1:$K$1,),)</f>
        <v/>
      </c>
      <c r="C200" s="12">
        <f>(B200-B199)/B199</f>
        <v/>
      </c>
      <c r="D200" s="13">
        <f>(B200-B188)/B188</f>
        <v/>
      </c>
    </row>
    <row r="201">
      <c r="A201" s="10" t="n">
        <v>39508</v>
      </c>
      <c r="B201" s="15">
        <f>VLOOKUP(A201,Database!A:K,MATCH($A$1,Database!$A$1:$K$1,),)+VLOOKUP(A201,Database!A:K,MATCH($B$1,Database!$A$1:$K$1,),)</f>
        <v/>
      </c>
      <c r="C201" s="12">
        <f>(B201-B200)/B200</f>
        <v/>
      </c>
      <c r="D201" s="13">
        <f>(B201-B189)/B189</f>
        <v/>
      </c>
    </row>
    <row r="202">
      <c r="A202" s="11" t="n">
        <v>39539</v>
      </c>
      <c r="B202" s="15">
        <f>VLOOKUP(A202,Database!A:K,MATCH($A$1,Database!$A$1:$K$1,),)+VLOOKUP(A202,Database!A:K,MATCH($B$1,Database!$A$1:$K$1,),)</f>
        <v/>
      </c>
      <c r="C202" s="12">
        <f>(B202-B201)/B201</f>
        <v/>
      </c>
      <c r="D202" s="13">
        <f>(B202-B190)/B190</f>
        <v/>
      </c>
    </row>
    <row r="203">
      <c r="A203" s="10" t="n">
        <v>39569</v>
      </c>
      <c r="B203" s="15">
        <f>VLOOKUP(A203,Database!A:K,MATCH($A$1,Database!$A$1:$K$1,),)+VLOOKUP(A203,Database!A:K,MATCH($B$1,Database!$A$1:$K$1,),)</f>
        <v/>
      </c>
      <c r="C203" s="12">
        <f>(B203-B202)/B202</f>
        <v/>
      </c>
      <c r="D203" s="13">
        <f>(B203-B191)/B191</f>
        <v/>
      </c>
    </row>
    <row r="204">
      <c r="A204" s="11" t="n">
        <v>39600</v>
      </c>
      <c r="B204" s="15">
        <f>VLOOKUP(A204,Database!A:K,MATCH($A$1,Database!$A$1:$K$1,),)+VLOOKUP(A204,Database!A:K,MATCH($B$1,Database!$A$1:$K$1,),)</f>
        <v/>
      </c>
      <c r="C204" s="12">
        <f>(B204-B203)/B203</f>
        <v/>
      </c>
      <c r="D204" s="13">
        <f>(B204-B192)/B192</f>
        <v/>
      </c>
    </row>
    <row r="205">
      <c r="A205" s="10" t="n">
        <v>39630</v>
      </c>
      <c r="B205" s="15">
        <f>VLOOKUP(A205,Database!A:K,MATCH($A$1,Database!$A$1:$K$1,),)+VLOOKUP(A205,Database!A:K,MATCH($B$1,Database!$A$1:$K$1,),)</f>
        <v/>
      </c>
      <c r="C205" s="12">
        <f>(B205-B204)/B204</f>
        <v/>
      </c>
      <c r="D205" s="13">
        <f>(B205-B193)/B193</f>
        <v/>
      </c>
    </row>
    <row r="206">
      <c r="A206" s="11" t="n">
        <v>39661</v>
      </c>
      <c r="B206" s="15">
        <f>VLOOKUP(A206,Database!A:K,MATCH($A$1,Database!$A$1:$K$1,),)+VLOOKUP(A206,Database!A:K,MATCH($B$1,Database!$A$1:$K$1,),)</f>
        <v/>
      </c>
      <c r="C206" s="12">
        <f>(B206-B205)/B205</f>
        <v/>
      </c>
      <c r="D206" s="13">
        <f>(B206-B194)/B194</f>
        <v/>
      </c>
    </row>
    <row r="207">
      <c r="A207" s="10" t="n">
        <v>39692</v>
      </c>
      <c r="B207" s="15">
        <f>VLOOKUP(A207,Database!A:K,MATCH($A$1,Database!$A$1:$K$1,),)+VLOOKUP(A207,Database!A:K,MATCH($B$1,Database!$A$1:$K$1,),)</f>
        <v/>
      </c>
      <c r="C207" s="12">
        <f>(B207-B206)/B206</f>
        <v/>
      </c>
      <c r="D207" s="13">
        <f>(B207-B195)/B195</f>
        <v/>
      </c>
    </row>
    <row r="208">
      <c r="A208" s="11" t="n">
        <v>39722</v>
      </c>
      <c r="B208" s="15">
        <f>VLOOKUP(A208,Database!A:K,MATCH($A$1,Database!$A$1:$K$1,),)+VLOOKUP(A208,Database!A:K,MATCH($B$1,Database!$A$1:$K$1,),)</f>
        <v/>
      </c>
      <c r="C208" s="12">
        <f>(B208-B207)/B207</f>
        <v/>
      </c>
      <c r="D208" s="13">
        <f>(B208-B196)/B196</f>
        <v/>
      </c>
    </row>
    <row r="209">
      <c r="A209" s="10" t="n">
        <v>39753</v>
      </c>
      <c r="B209" s="15">
        <f>VLOOKUP(A209,Database!A:K,MATCH($A$1,Database!$A$1:$K$1,),)+VLOOKUP(A209,Database!A:K,MATCH($B$1,Database!$A$1:$K$1,),)</f>
        <v/>
      </c>
      <c r="C209" s="12">
        <f>(B209-B208)/B208</f>
        <v/>
      </c>
      <c r="D209" s="13">
        <f>(B209-B197)/B197</f>
        <v/>
      </c>
    </row>
    <row r="210">
      <c r="A210" s="11" t="n">
        <v>39783</v>
      </c>
      <c r="B210" s="15">
        <f>VLOOKUP(A210,Database!A:K,MATCH($A$1,Database!$A$1:$K$1,),)+VLOOKUP(A210,Database!A:K,MATCH($B$1,Database!$A$1:$K$1,),)</f>
        <v/>
      </c>
      <c r="C210" s="12">
        <f>(B210-B209)/B209</f>
        <v/>
      </c>
      <c r="D210" s="13">
        <f>(B210-B198)/B198</f>
        <v/>
      </c>
    </row>
    <row r="211">
      <c r="A211" s="10" t="n">
        <v>39814</v>
      </c>
      <c r="B211" s="15">
        <f>VLOOKUP(A211,Database!A:K,MATCH($A$1,Database!$A$1:$K$1,),)+VLOOKUP(A211,Database!A:K,MATCH($B$1,Database!$A$1:$K$1,),)</f>
        <v/>
      </c>
      <c r="C211" s="12">
        <f>(B211-B210)/B210</f>
        <v/>
      </c>
      <c r="D211" s="13">
        <f>(B211-B199)/B199</f>
        <v/>
      </c>
    </row>
    <row r="212">
      <c r="A212" s="11" t="n">
        <v>39845</v>
      </c>
      <c r="B212" s="15">
        <f>VLOOKUP(A212,Database!A:K,MATCH($A$1,Database!$A$1:$K$1,),)+VLOOKUP(A212,Database!A:K,MATCH($B$1,Database!$A$1:$K$1,),)</f>
        <v/>
      </c>
      <c r="C212" s="12">
        <f>(B212-B211)/B211</f>
        <v/>
      </c>
      <c r="D212" s="13">
        <f>(B212-B200)/B200</f>
        <v/>
      </c>
    </row>
    <row r="213">
      <c r="A213" s="10" t="n">
        <v>39873</v>
      </c>
      <c r="B213" s="15">
        <f>VLOOKUP(A213,Database!A:K,MATCH($A$1,Database!$A$1:$K$1,),)+VLOOKUP(A213,Database!A:K,MATCH($B$1,Database!$A$1:$K$1,),)</f>
        <v/>
      </c>
      <c r="C213" s="12">
        <f>(B213-B212)/B212</f>
        <v/>
      </c>
      <c r="D213" s="13">
        <f>(B213-B201)/B201</f>
        <v/>
      </c>
    </row>
    <row r="214">
      <c r="A214" s="11" t="n">
        <v>39904</v>
      </c>
      <c r="B214" s="15">
        <f>VLOOKUP(A214,Database!A:K,MATCH($A$1,Database!$A$1:$K$1,),)+VLOOKUP(A214,Database!A:K,MATCH($B$1,Database!$A$1:$K$1,),)</f>
        <v/>
      </c>
      <c r="C214" s="12">
        <f>(B214-B213)/B213</f>
        <v/>
      </c>
      <c r="D214" s="13">
        <f>(B214-B202)/B202</f>
        <v/>
      </c>
    </row>
    <row r="215">
      <c r="A215" s="10" t="n">
        <v>39934</v>
      </c>
      <c r="B215" s="15">
        <f>VLOOKUP(A215,Database!A:K,MATCH($A$1,Database!$A$1:$K$1,),)+VLOOKUP(A215,Database!A:K,MATCH($B$1,Database!$A$1:$K$1,),)</f>
        <v/>
      </c>
      <c r="C215" s="12">
        <f>(B215-B214)/B214</f>
        <v/>
      </c>
      <c r="D215" s="13">
        <f>(B215-B203)/B203</f>
        <v/>
      </c>
    </row>
    <row r="216">
      <c r="A216" s="11" t="n">
        <v>39965</v>
      </c>
      <c r="B216" s="15">
        <f>VLOOKUP(A216,Database!A:K,MATCH($A$1,Database!$A$1:$K$1,),)+VLOOKUP(A216,Database!A:K,MATCH($B$1,Database!$A$1:$K$1,),)</f>
        <v/>
      </c>
      <c r="C216" s="12">
        <f>(B216-B215)/B215</f>
        <v/>
      </c>
      <c r="D216" s="13">
        <f>(B216-B204)/B204</f>
        <v/>
      </c>
    </row>
    <row r="217">
      <c r="A217" s="10" t="n">
        <v>39995</v>
      </c>
      <c r="B217" s="15">
        <f>VLOOKUP(A217,Database!A:K,MATCH($A$1,Database!$A$1:$K$1,),)+VLOOKUP(A217,Database!A:K,MATCH($B$1,Database!$A$1:$K$1,),)</f>
        <v/>
      </c>
      <c r="C217" s="12">
        <f>(B217-B216)/B216</f>
        <v/>
      </c>
      <c r="D217" s="13">
        <f>(B217-B205)/B205</f>
        <v/>
      </c>
    </row>
    <row r="218">
      <c r="A218" s="11" t="n">
        <v>40026</v>
      </c>
      <c r="B218" s="15">
        <f>VLOOKUP(A218,Database!A:K,MATCH($A$1,Database!$A$1:$K$1,),)+VLOOKUP(A218,Database!A:K,MATCH($B$1,Database!$A$1:$K$1,),)</f>
        <v/>
      </c>
      <c r="C218" s="12">
        <f>(B218-B217)/B217</f>
        <v/>
      </c>
      <c r="D218" s="13">
        <f>(B218-B206)/B206</f>
        <v/>
      </c>
    </row>
    <row r="219">
      <c r="A219" s="10" t="n">
        <v>40057</v>
      </c>
      <c r="B219" s="15">
        <f>VLOOKUP(A219,Database!A:K,MATCH($A$1,Database!$A$1:$K$1,),)+VLOOKUP(A219,Database!A:K,MATCH($B$1,Database!$A$1:$K$1,),)</f>
        <v/>
      </c>
      <c r="C219" s="12">
        <f>(B219-B218)/B218</f>
        <v/>
      </c>
      <c r="D219" s="13">
        <f>(B219-B207)/B207</f>
        <v/>
      </c>
    </row>
    <row r="220">
      <c r="A220" s="11" t="n">
        <v>40087</v>
      </c>
      <c r="B220" s="15">
        <f>VLOOKUP(A220,Database!A:K,MATCH($A$1,Database!$A$1:$K$1,),)+VLOOKUP(A220,Database!A:K,MATCH($B$1,Database!$A$1:$K$1,),)</f>
        <v/>
      </c>
      <c r="C220" s="12">
        <f>(B220-B219)/B219</f>
        <v/>
      </c>
      <c r="D220" s="13">
        <f>(B220-B208)/B208</f>
        <v/>
      </c>
    </row>
    <row r="221">
      <c r="A221" s="10" t="n">
        <v>40118</v>
      </c>
      <c r="B221" s="15">
        <f>VLOOKUP(A221,Database!A:K,MATCH($A$1,Database!$A$1:$K$1,),)+VLOOKUP(A221,Database!A:K,MATCH($B$1,Database!$A$1:$K$1,),)</f>
        <v/>
      </c>
      <c r="C221" s="12">
        <f>(B221-B220)/B220</f>
        <v/>
      </c>
      <c r="D221" s="13">
        <f>(B221-B209)/B209</f>
        <v/>
      </c>
    </row>
    <row r="222">
      <c r="A222" s="11" t="n">
        <v>40148</v>
      </c>
      <c r="B222" s="15">
        <f>VLOOKUP(A222,Database!A:K,MATCH($A$1,Database!$A$1:$K$1,),)+VLOOKUP(A222,Database!A:K,MATCH($B$1,Database!$A$1:$K$1,),)</f>
        <v/>
      </c>
      <c r="C222" s="12">
        <f>(B222-B221)/B221</f>
        <v/>
      </c>
      <c r="D222" s="13">
        <f>(B222-B210)/B210</f>
        <v/>
      </c>
    </row>
    <row r="223">
      <c r="A223" s="10" t="n">
        <v>40179</v>
      </c>
      <c r="B223" s="15">
        <f>VLOOKUP(A223,Database!A:K,MATCH($A$1,Database!$A$1:$K$1,),)+VLOOKUP(A223,Database!A:K,MATCH($B$1,Database!$A$1:$K$1,),)</f>
        <v/>
      </c>
      <c r="C223" s="12">
        <f>(B223-B222)/B222</f>
        <v/>
      </c>
      <c r="D223" s="13">
        <f>(B223-B211)/B211</f>
        <v/>
      </c>
    </row>
    <row r="224">
      <c r="A224" s="11" t="n">
        <v>40210</v>
      </c>
      <c r="B224" s="15">
        <f>VLOOKUP(A224,Database!A:K,MATCH($A$1,Database!$A$1:$K$1,),)+VLOOKUP(A224,Database!A:K,MATCH($B$1,Database!$A$1:$K$1,),)</f>
        <v/>
      </c>
      <c r="C224" s="12">
        <f>(B224-B223)/B223</f>
        <v/>
      </c>
      <c r="D224" s="13">
        <f>(B224-B212)/B212</f>
        <v/>
      </c>
    </row>
    <row r="225">
      <c r="A225" s="10" t="n">
        <v>40238</v>
      </c>
      <c r="B225" s="15">
        <f>VLOOKUP(A225,Database!A:K,MATCH($A$1,Database!$A$1:$K$1,),)+VLOOKUP(A225,Database!A:K,MATCH($B$1,Database!$A$1:$K$1,),)</f>
        <v/>
      </c>
      <c r="C225" s="12">
        <f>(B225-B224)/B224</f>
        <v/>
      </c>
      <c r="D225" s="13">
        <f>(B225-B213)/B213</f>
        <v/>
      </c>
    </row>
    <row r="226">
      <c r="A226" s="11" t="n">
        <v>40269</v>
      </c>
      <c r="B226" s="15">
        <f>VLOOKUP(A226,Database!A:K,MATCH($A$1,Database!$A$1:$K$1,),)+VLOOKUP(A226,Database!A:K,MATCH($B$1,Database!$A$1:$K$1,),)</f>
        <v/>
      </c>
      <c r="C226" s="12">
        <f>(B226-B225)/B225</f>
        <v/>
      </c>
      <c r="D226" s="13">
        <f>(B226-B214)/B214</f>
        <v/>
      </c>
    </row>
    <row r="227">
      <c r="A227" s="10" t="n">
        <v>40299</v>
      </c>
      <c r="B227" s="15">
        <f>VLOOKUP(A227,Database!A:K,MATCH($A$1,Database!$A$1:$K$1,),)+VLOOKUP(A227,Database!A:K,MATCH($B$1,Database!$A$1:$K$1,),)</f>
        <v/>
      </c>
      <c r="C227" s="12">
        <f>(B227-B226)/B226</f>
        <v/>
      </c>
      <c r="D227" s="13">
        <f>(B227-B215)/B215</f>
        <v/>
      </c>
    </row>
    <row r="228">
      <c r="A228" s="11" t="n">
        <v>40330</v>
      </c>
      <c r="B228" s="15">
        <f>VLOOKUP(A228,Database!A:K,MATCH($A$1,Database!$A$1:$K$1,),)+VLOOKUP(A228,Database!A:K,MATCH($B$1,Database!$A$1:$K$1,),)</f>
        <v/>
      </c>
      <c r="C228" s="12">
        <f>(B228-B227)/B227</f>
        <v/>
      </c>
      <c r="D228" s="13">
        <f>(B228-B216)/B216</f>
        <v/>
      </c>
    </row>
    <row r="229">
      <c r="A229" s="10" t="n">
        <v>40360</v>
      </c>
      <c r="B229" s="15">
        <f>VLOOKUP(A229,Database!A:K,MATCH($A$1,Database!$A$1:$K$1,),)+VLOOKUP(A229,Database!A:K,MATCH($B$1,Database!$A$1:$K$1,),)</f>
        <v/>
      </c>
      <c r="C229" s="12">
        <f>(B229-B228)/B228</f>
        <v/>
      </c>
      <c r="D229" s="13">
        <f>(B229-B217)/B217</f>
        <v/>
      </c>
    </row>
    <row r="230">
      <c r="A230" s="11" t="n">
        <v>40391</v>
      </c>
      <c r="B230" s="15">
        <f>VLOOKUP(A230,Database!A:K,MATCH($A$1,Database!$A$1:$K$1,),)+VLOOKUP(A230,Database!A:K,MATCH($B$1,Database!$A$1:$K$1,),)</f>
        <v/>
      </c>
      <c r="C230" s="12">
        <f>(B230-B229)/B229</f>
        <v/>
      </c>
      <c r="D230" s="13">
        <f>(B230-B218)/B218</f>
        <v/>
      </c>
    </row>
    <row r="231">
      <c r="A231" s="10" t="n">
        <v>40422</v>
      </c>
      <c r="B231" s="15">
        <f>VLOOKUP(A231,Database!A:K,MATCH($A$1,Database!$A$1:$K$1,),)+VLOOKUP(A231,Database!A:K,MATCH($B$1,Database!$A$1:$K$1,),)</f>
        <v/>
      </c>
      <c r="C231" s="12">
        <f>(B231-B230)/B230</f>
        <v/>
      </c>
      <c r="D231" s="13">
        <f>(B231-B219)/B219</f>
        <v/>
      </c>
    </row>
    <row r="232">
      <c r="A232" s="11" t="n">
        <v>40452</v>
      </c>
      <c r="B232" s="15">
        <f>VLOOKUP(A232,Database!A:K,MATCH($A$1,Database!$A$1:$K$1,),)+VLOOKUP(A232,Database!A:K,MATCH($B$1,Database!$A$1:$K$1,),)</f>
        <v/>
      </c>
      <c r="C232" s="12">
        <f>(B232-B231)/B231</f>
        <v/>
      </c>
      <c r="D232" s="13">
        <f>(B232-B220)/B220</f>
        <v/>
      </c>
    </row>
    <row r="233">
      <c r="A233" s="10" t="n">
        <v>40483</v>
      </c>
      <c r="B233" s="15">
        <f>VLOOKUP(A233,Database!A:K,MATCH($A$1,Database!$A$1:$K$1,),)+VLOOKUP(A233,Database!A:K,MATCH($B$1,Database!$A$1:$K$1,),)</f>
        <v/>
      </c>
      <c r="C233" s="12">
        <f>(B233-B232)/B232</f>
        <v/>
      </c>
      <c r="D233" s="13">
        <f>(B233-B221)/B221</f>
        <v/>
      </c>
    </row>
    <row r="234">
      <c r="A234" s="11" t="n">
        <v>40513</v>
      </c>
      <c r="B234" s="15">
        <f>VLOOKUP(A234,Database!A:K,MATCH($A$1,Database!$A$1:$K$1,),)+VLOOKUP(A234,Database!A:K,MATCH($B$1,Database!$A$1:$K$1,),)</f>
        <v/>
      </c>
      <c r="C234" s="12">
        <f>(B234-B233)/B233</f>
        <v/>
      </c>
      <c r="D234" s="13">
        <f>(B234-B222)/B222</f>
        <v/>
      </c>
    </row>
    <row r="235">
      <c r="A235" s="10" t="n">
        <v>40544</v>
      </c>
      <c r="B235" s="15">
        <f>VLOOKUP(A235,Database!A:K,MATCH($A$1,Database!$A$1:$K$1,),)+VLOOKUP(A235,Database!A:K,MATCH($B$1,Database!$A$1:$K$1,),)</f>
        <v/>
      </c>
      <c r="C235" s="12">
        <f>(B235-B234)/B234</f>
        <v/>
      </c>
      <c r="D235" s="13">
        <f>(B235-B223)/B223</f>
        <v/>
      </c>
    </row>
    <row r="236">
      <c r="A236" s="11" t="n">
        <v>40575</v>
      </c>
      <c r="B236" s="15">
        <f>VLOOKUP(A236,Database!A:K,MATCH($A$1,Database!$A$1:$K$1,),)+VLOOKUP(A236,Database!A:K,MATCH($B$1,Database!$A$1:$K$1,),)</f>
        <v/>
      </c>
      <c r="C236" s="12">
        <f>(B236-B235)/B235</f>
        <v/>
      </c>
      <c r="D236" s="13">
        <f>(B236-B224)/B224</f>
        <v/>
      </c>
    </row>
    <row r="237">
      <c r="A237" s="10" t="n">
        <v>40603</v>
      </c>
      <c r="B237" s="15">
        <f>VLOOKUP(A237,Database!A:K,MATCH($A$1,Database!$A$1:$K$1,),)+VLOOKUP(A237,Database!A:K,MATCH($B$1,Database!$A$1:$K$1,),)</f>
        <v/>
      </c>
      <c r="C237" s="12">
        <f>(B237-B236)/B236</f>
        <v/>
      </c>
      <c r="D237" s="13">
        <f>(B237-B225)/B225</f>
        <v/>
      </c>
    </row>
    <row r="238">
      <c r="A238" s="11" t="n">
        <v>40634</v>
      </c>
      <c r="B238" s="15">
        <f>VLOOKUP(A238,Database!A:K,MATCH($A$1,Database!$A$1:$K$1,),)+VLOOKUP(A238,Database!A:K,MATCH($B$1,Database!$A$1:$K$1,),)</f>
        <v/>
      </c>
      <c r="C238" s="12">
        <f>(B238-B237)/B237</f>
        <v/>
      </c>
      <c r="D238" s="13">
        <f>(B238-B226)/B226</f>
        <v/>
      </c>
    </row>
    <row r="239">
      <c r="A239" s="10" t="n">
        <v>40664</v>
      </c>
      <c r="B239" s="15">
        <f>VLOOKUP(A239,Database!A:K,MATCH($A$1,Database!$A$1:$K$1,),)+VLOOKUP(A239,Database!A:K,MATCH($B$1,Database!$A$1:$K$1,),)</f>
        <v/>
      </c>
      <c r="C239" s="12">
        <f>(B239-B238)/B238</f>
        <v/>
      </c>
      <c r="D239" s="13">
        <f>(B239-B227)/B227</f>
        <v/>
      </c>
    </row>
    <row r="240">
      <c r="A240" s="11" t="n">
        <v>40695</v>
      </c>
      <c r="B240" s="15">
        <f>VLOOKUP(A240,Database!A:K,MATCH($A$1,Database!$A$1:$K$1,),)+VLOOKUP(A240,Database!A:K,MATCH($B$1,Database!$A$1:$K$1,),)</f>
        <v/>
      </c>
      <c r="C240" s="12">
        <f>(B240-B239)/B239</f>
        <v/>
      </c>
      <c r="D240" s="13">
        <f>(B240-B228)/B228</f>
        <v/>
      </c>
    </row>
    <row r="241">
      <c r="A241" s="10" t="n">
        <v>40725</v>
      </c>
      <c r="B241" s="15">
        <f>VLOOKUP(A241,Database!A:K,MATCH($A$1,Database!$A$1:$K$1,),)+VLOOKUP(A241,Database!A:K,MATCH($B$1,Database!$A$1:$K$1,),)</f>
        <v/>
      </c>
      <c r="C241" s="12">
        <f>(B241-B240)/B240</f>
        <v/>
      </c>
      <c r="D241" s="13">
        <f>(B241-B229)/B229</f>
        <v/>
      </c>
    </row>
    <row r="242">
      <c r="A242" s="11" t="n">
        <v>40756</v>
      </c>
      <c r="B242" s="15">
        <f>VLOOKUP(A242,Database!A:K,MATCH($A$1,Database!$A$1:$K$1,),)+VLOOKUP(A242,Database!A:K,MATCH($B$1,Database!$A$1:$K$1,),)</f>
        <v/>
      </c>
      <c r="C242" s="12">
        <f>(B242-B241)/B241</f>
        <v/>
      </c>
      <c r="D242" s="13">
        <f>(B242-B230)/B230</f>
        <v/>
      </c>
    </row>
    <row r="243">
      <c r="A243" s="10" t="n">
        <v>40787</v>
      </c>
      <c r="B243" s="15">
        <f>VLOOKUP(A243,Database!A:K,MATCH($A$1,Database!$A$1:$K$1,),)+VLOOKUP(A243,Database!A:K,MATCH($B$1,Database!$A$1:$K$1,),)</f>
        <v/>
      </c>
      <c r="C243" s="12">
        <f>(B243-B242)/B242</f>
        <v/>
      </c>
      <c r="D243" s="13">
        <f>(B243-B231)/B231</f>
        <v/>
      </c>
    </row>
    <row r="244">
      <c r="A244" s="11" t="n">
        <v>40817</v>
      </c>
      <c r="B244" s="15">
        <f>VLOOKUP(A244,Database!A:K,MATCH($A$1,Database!$A$1:$K$1,),)+VLOOKUP(A244,Database!A:K,MATCH($B$1,Database!$A$1:$K$1,),)</f>
        <v/>
      </c>
      <c r="C244" s="12">
        <f>(B244-B243)/B243</f>
        <v/>
      </c>
      <c r="D244" s="13">
        <f>(B244-B232)/B232</f>
        <v/>
      </c>
    </row>
    <row r="245">
      <c r="A245" s="10" t="n">
        <v>40848</v>
      </c>
      <c r="B245" s="15">
        <f>VLOOKUP(A245,Database!A:K,MATCH($A$1,Database!$A$1:$K$1,),)+VLOOKUP(A245,Database!A:K,MATCH($B$1,Database!$A$1:$K$1,),)</f>
        <v/>
      </c>
      <c r="C245" s="12">
        <f>(B245-B244)/B244</f>
        <v/>
      </c>
      <c r="D245" s="13">
        <f>(B245-B233)/B233</f>
        <v/>
      </c>
    </row>
    <row r="246">
      <c r="A246" s="11" t="n">
        <v>40878</v>
      </c>
      <c r="B246" s="15">
        <f>VLOOKUP(A246,Database!A:K,MATCH($A$1,Database!$A$1:$K$1,),)+VLOOKUP(A246,Database!A:K,MATCH($B$1,Database!$A$1:$K$1,),)</f>
        <v/>
      </c>
      <c r="C246" s="12">
        <f>(B246-B245)/B245</f>
        <v/>
      </c>
      <c r="D246" s="13">
        <f>(B246-B234)/B234</f>
        <v/>
      </c>
    </row>
    <row r="247">
      <c r="A247" s="10" t="n">
        <v>40909</v>
      </c>
      <c r="B247" s="15">
        <f>VLOOKUP(A247,Database!A:K,MATCH($A$1,Database!$A$1:$K$1,),)+VLOOKUP(A247,Database!A:K,MATCH($B$1,Database!$A$1:$K$1,),)</f>
        <v/>
      </c>
      <c r="C247" s="12">
        <f>(B247-B246)/B246</f>
        <v/>
      </c>
      <c r="D247" s="13">
        <f>(B247-B235)/B235</f>
        <v/>
      </c>
    </row>
    <row r="248">
      <c r="A248" s="11" t="n">
        <v>40940</v>
      </c>
      <c r="B248" s="15">
        <f>VLOOKUP(A248,Database!A:K,MATCH($A$1,Database!$A$1:$K$1,),)+VLOOKUP(A248,Database!A:K,MATCH($B$1,Database!$A$1:$K$1,),)</f>
        <v/>
      </c>
      <c r="C248" s="12">
        <f>(B248-B247)/B247</f>
        <v/>
      </c>
      <c r="D248" s="13">
        <f>(B248-B236)/B236</f>
        <v/>
      </c>
    </row>
    <row r="249">
      <c r="A249" s="10" t="n">
        <v>40969</v>
      </c>
      <c r="B249" s="15">
        <f>VLOOKUP(A249,Database!A:K,MATCH($A$1,Database!$A$1:$K$1,),)+VLOOKUP(A249,Database!A:K,MATCH($B$1,Database!$A$1:$K$1,),)</f>
        <v/>
      </c>
      <c r="C249" s="12">
        <f>(B249-B248)/B248</f>
        <v/>
      </c>
      <c r="D249" s="13">
        <f>(B249-B237)/B237</f>
        <v/>
      </c>
    </row>
    <row r="250">
      <c r="A250" s="11" t="n">
        <v>41000</v>
      </c>
      <c r="B250" s="15">
        <f>VLOOKUP(A250,Database!A:K,MATCH($A$1,Database!$A$1:$K$1,),)+VLOOKUP(A250,Database!A:K,MATCH($B$1,Database!$A$1:$K$1,),)</f>
        <v/>
      </c>
      <c r="C250" s="12">
        <f>(B250-B249)/B249</f>
        <v/>
      </c>
      <c r="D250" s="13">
        <f>(B250-B238)/B238</f>
        <v/>
      </c>
    </row>
    <row r="251">
      <c r="A251" s="10" t="n">
        <v>41030</v>
      </c>
      <c r="B251" s="15">
        <f>VLOOKUP(A251,Database!A:K,MATCH($A$1,Database!$A$1:$K$1,),)+VLOOKUP(A251,Database!A:K,MATCH($B$1,Database!$A$1:$K$1,),)</f>
        <v/>
      </c>
      <c r="C251" s="12">
        <f>(B251-B250)/B250</f>
        <v/>
      </c>
      <c r="D251" s="13">
        <f>(B251-B239)/B239</f>
        <v/>
      </c>
    </row>
    <row r="252">
      <c r="A252" s="11" t="n">
        <v>41061</v>
      </c>
      <c r="B252" s="15">
        <f>VLOOKUP(A252,Database!A:K,MATCH($A$1,Database!$A$1:$K$1,),)+VLOOKUP(A252,Database!A:K,MATCH($B$1,Database!$A$1:$K$1,),)</f>
        <v/>
      </c>
      <c r="C252" s="12">
        <f>(B252-B251)/B251</f>
        <v/>
      </c>
      <c r="D252" s="13">
        <f>(B252-B240)/B240</f>
        <v/>
      </c>
    </row>
    <row r="253">
      <c r="A253" s="10" t="n">
        <v>41091</v>
      </c>
      <c r="B253" s="15">
        <f>VLOOKUP(A253,Database!A:K,MATCH($A$1,Database!$A$1:$K$1,),)+VLOOKUP(A253,Database!A:K,MATCH($B$1,Database!$A$1:$K$1,),)</f>
        <v/>
      </c>
      <c r="C253" s="12">
        <f>(B253-B252)/B252</f>
        <v/>
      </c>
      <c r="D253" s="13">
        <f>(B253-B241)/B241</f>
        <v/>
      </c>
    </row>
    <row r="254">
      <c r="A254" s="11" t="n">
        <v>41122</v>
      </c>
      <c r="B254" s="15">
        <f>VLOOKUP(A254,Database!A:K,MATCH($A$1,Database!$A$1:$K$1,),)+VLOOKUP(A254,Database!A:K,MATCH($B$1,Database!$A$1:$K$1,),)</f>
        <v/>
      </c>
      <c r="C254" s="12">
        <f>(B254-B253)/B253</f>
        <v/>
      </c>
      <c r="D254" s="13">
        <f>(B254-B242)/B242</f>
        <v/>
      </c>
    </row>
    <row r="255">
      <c r="A255" s="10" t="n">
        <v>41153</v>
      </c>
      <c r="B255" s="15">
        <f>VLOOKUP(A255,Database!A:K,MATCH($A$1,Database!$A$1:$K$1,),)+VLOOKUP(A255,Database!A:K,MATCH($B$1,Database!$A$1:$K$1,),)</f>
        <v/>
      </c>
      <c r="C255" s="12">
        <f>(B255-B254)/B254</f>
        <v/>
      </c>
      <c r="D255" s="13">
        <f>(B255-B243)/B243</f>
        <v/>
      </c>
    </row>
    <row r="256">
      <c r="A256" s="11" t="n">
        <v>41183</v>
      </c>
      <c r="B256" s="15">
        <f>VLOOKUP(A256,Database!A:K,MATCH($A$1,Database!$A$1:$K$1,),)+VLOOKUP(A256,Database!A:K,MATCH($B$1,Database!$A$1:$K$1,),)</f>
        <v/>
      </c>
      <c r="C256" s="12">
        <f>(B256-B255)/B255</f>
        <v/>
      </c>
      <c r="D256" s="13">
        <f>(B256-B244)/B244</f>
        <v/>
      </c>
    </row>
    <row r="257">
      <c r="A257" s="10" t="n">
        <v>41214</v>
      </c>
      <c r="B257" s="15">
        <f>VLOOKUP(A257,Database!A:K,MATCH($A$1,Database!$A$1:$K$1,),)+VLOOKUP(A257,Database!A:K,MATCH($B$1,Database!$A$1:$K$1,),)</f>
        <v/>
      </c>
      <c r="C257" s="12">
        <f>(B257-B256)/B256</f>
        <v/>
      </c>
      <c r="D257" s="13">
        <f>(B257-B245)/B245</f>
        <v/>
      </c>
    </row>
    <row r="258">
      <c r="A258" s="11" t="n">
        <v>41244</v>
      </c>
      <c r="B258" s="15">
        <f>VLOOKUP(A258,Database!A:K,MATCH($A$1,Database!$A$1:$K$1,),)+VLOOKUP(A258,Database!A:K,MATCH($B$1,Database!$A$1:$K$1,),)</f>
        <v/>
      </c>
      <c r="C258" s="12">
        <f>(B258-B257)/B257</f>
        <v/>
      </c>
      <c r="D258" s="13">
        <f>(B258-B246)/B246</f>
        <v/>
      </c>
    </row>
    <row r="259">
      <c r="A259" s="10" t="n">
        <v>41275</v>
      </c>
      <c r="B259" s="15">
        <f>VLOOKUP(A259,Database!A:K,MATCH($A$1,Database!$A$1:$K$1,),)+VLOOKUP(A259,Database!A:K,MATCH($B$1,Database!$A$1:$K$1,),)</f>
        <v/>
      </c>
      <c r="C259" s="12">
        <f>(B259-B258)/B258</f>
        <v/>
      </c>
      <c r="D259" s="13">
        <f>(B259-B247)/B247</f>
        <v/>
      </c>
    </row>
    <row r="260">
      <c r="A260" s="11" t="n">
        <v>41306</v>
      </c>
      <c r="B260" s="15">
        <f>VLOOKUP(A260,Database!A:K,MATCH($A$1,Database!$A$1:$K$1,),)+VLOOKUP(A260,Database!A:K,MATCH($B$1,Database!$A$1:$K$1,),)</f>
        <v/>
      </c>
      <c r="C260" s="12">
        <f>(B260-B259)/B259</f>
        <v/>
      </c>
      <c r="D260" s="13">
        <f>(B260-B248)/B248</f>
        <v/>
      </c>
    </row>
    <row r="261">
      <c r="A261" s="10" t="n">
        <v>41334</v>
      </c>
      <c r="B261" s="15">
        <f>VLOOKUP(A261,Database!A:K,MATCH($A$1,Database!$A$1:$K$1,),)+VLOOKUP(A261,Database!A:K,MATCH($B$1,Database!$A$1:$K$1,),)</f>
        <v/>
      </c>
      <c r="C261" s="12">
        <f>(B261-B260)/B260</f>
        <v/>
      </c>
      <c r="D261" s="13">
        <f>(B261-B249)/B249</f>
        <v/>
      </c>
    </row>
    <row r="262">
      <c r="A262" s="11" t="n">
        <v>41365</v>
      </c>
      <c r="B262" s="15">
        <f>VLOOKUP(A262,Database!A:K,MATCH($A$1,Database!$A$1:$K$1,),)+VLOOKUP(A262,Database!A:K,MATCH($B$1,Database!$A$1:$K$1,),)</f>
        <v/>
      </c>
      <c r="C262" s="12">
        <f>(B262-B261)/B261</f>
        <v/>
      </c>
      <c r="D262" s="13">
        <f>(B262-B250)/B250</f>
        <v/>
      </c>
    </row>
    <row r="263">
      <c r="A263" s="10" t="n">
        <v>41395</v>
      </c>
      <c r="B263" s="15">
        <f>VLOOKUP(A263,Database!A:K,MATCH($A$1,Database!$A$1:$K$1,),)+VLOOKUP(A263,Database!A:K,MATCH($B$1,Database!$A$1:$K$1,),)</f>
        <v/>
      </c>
      <c r="C263" s="12">
        <f>(B263-B262)/B262</f>
        <v/>
      </c>
      <c r="D263" s="13">
        <f>(B263-B251)/B251</f>
        <v/>
      </c>
    </row>
    <row r="264">
      <c r="A264" s="11" t="n">
        <v>41426</v>
      </c>
      <c r="B264" s="15">
        <f>VLOOKUP(A264,Database!A:K,MATCH($A$1,Database!$A$1:$K$1,),)+VLOOKUP(A264,Database!A:K,MATCH($B$1,Database!$A$1:$K$1,),)</f>
        <v/>
      </c>
      <c r="C264" s="12">
        <f>(B264-B263)/B263</f>
        <v/>
      </c>
      <c r="D264" s="13">
        <f>(B264-B252)/B252</f>
        <v/>
      </c>
    </row>
    <row r="265">
      <c r="A265" s="10" t="n">
        <v>41456</v>
      </c>
      <c r="B265" s="15">
        <f>VLOOKUP(A265,Database!A:K,MATCH($A$1,Database!$A$1:$K$1,),)+VLOOKUP(A265,Database!A:K,MATCH($B$1,Database!$A$1:$K$1,),)</f>
        <v/>
      </c>
      <c r="C265" s="12">
        <f>(B265-B264)/B264</f>
        <v/>
      </c>
      <c r="D265" s="13">
        <f>(B265-B253)/B253</f>
        <v/>
      </c>
    </row>
    <row r="266">
      <c r="A266" s="11" t="n">
        <v>41487</v>
      </c>
      <c r="B266" s="15">
        <f>VLOOKUP(A266,Database!A:K,MATCH($A$1,Database!$A$1:$K$1,),)+VLOOKUP(A266,Database!A:K,MATCH($B$1,Database!$A$1:$K$1,),)</f>
        <v/>
      </c>
      <c r="C266" s="12">
        <f>(B266-B265)/B265</f>
        <v/>
      </c>
      <c r="D266" s="13">
        <f>(B266-B254)/B254</f>
        <v/>
      </c>
    </row>
    <row r="267">
      <c r="A267" s="10" t="n">
        <v>41518</v>
      </c>
      <c r="B267" s="15">
        <f>VLOOKUP(A267,Database!A:K,MATCH($A$1,Database!$A$1:$K$1,),)+VLOOKUP(A267,Database!A:K,MATCH($B$1,Database!$A$1:$K$1,),)</f>
        <v/>
      </c>
      <c r="C267" s="12">
        <f>(B267-B266)/B266</f>
        <v/>
      </c>
      <c r="D267" s="13">
        <f>(B267-B255)/B255</f>
        <v/>
      </c>
    </row>
    <row r="268">
      <c r="A268" s="11" t="n">
        <v>41548</v>
      </c>
      <c r="B268" s="15">
        <f>VLOOKUP(A268,Database!A:K,MATCH($A$1,Database!$A$1:$K$1,),)+VLOOKUP(A268,Database!A:K,MATCH($B$1,Database!$A$1:$K$1,),)</f>
        <v/>
      </c>
      <c r="C268" s="12">
        <f>(B268-B267)/B267</f>
        <v/>
      </c>
      <c r="D268" s="13">
        <f>(B268-B256)/B256</f>
        <v/>
      </c>
    </row>
    <row r="269">
      <c r="A269" s="10" t="n">
        <v>41579</v>
      </c>
      <c r="B269" s="15">
        <f>VLOOKUP(A269,Database!A:K,MATCH($A$1,Database!$A$1:$K$1,),)+VLOOKUP(A269,Database!A:K,MATCH($B$1,Database!$A$1:$K$1,),)</f>
        <v/>
      </c>
      <c r="C269" s="12">
        <f>(B269-B268)/B268</f>
        <v/>
      </c>
      <c r="D269" s="13">
        <f>(B269-B257)/B257</f>
        <v/>
      </c>
    </row>
    <row r="270">
      <c r="A270" s="11" t="n">
        <v>41609</v>
      </c>
      <c r="B270" s="15">
        <f>VLOOKUP(A270,Database!A:K,MATCH($A$1,Database!$A$1:$K$1,),)+VLOOKUP(A270,Database!A:K,MATCH($B$1,Database!$A$1:$K$1,),)</f>
        <v/>
      </c>
      <c r="C270" s="12">
        <f>(B270-B269)/B269</f>
        <v/>
      </c>
      <c r="D270" s="13">
        <f>(B270-B258)/B258</f>
        <v/>
      </c>
    </row>
    <row r="271">
      <c r="A271" s="10" t="n">
        <v>41640</v>
      </c>
      <c r="B271" s="15">
        <f>VLOOKUP(A271,Database!A:K,MATCH($A$1,Database!$A$1:$K$1,),)+VLOOKUP(A271,Database!A:K,MATCH($B$1,Database!$A$1:$K$1,),)</f>
        <v/>
      </c>
      <c r="C271" s="12">
        <f>(B271-B270)/B270</f>
        <v/>
      </c>
      <c r="D271" s="13">
        <f>(B271-B259)/B259</f>
        <v/>
      </c>
    </row>
    <row r="272">
      <c r="A272" s="11" t="n">
        <v>41671</v>
      </c>
      <c r="B272" s="15">
        <f>VLOOKUP(A272,Database!A:K,MATCH($A$1,Database!$A$1:$K$1,),)+VLOOKUP(A272,Database!A:K,MATCH($B$1,Database!$A$1:$K$1,),)</f>
        <v/>
      </c>
      <c r="C272" s="12">
        <f>(B272-B271)/B271</f>
        <v/>
      </c>
      <c r="D272" s="13">
        <f>(B272-B260)/B260</f>
        <v/>
      </c>
    </row>
    <row r="273">
      <c r="A273" s="10" t="n">
        <v>41699</v>
      </c>
      <c r="B273" s="15">
        <f>VLOOKUP(A273,Database!A:K,MATCH($A$1,Database!$A$1:$K$1,),)+VLOOKUP(A273,Database!A:K,MATCH($B$1,Database!$A$1:$K$1,),)</f>
        <v/>
      </c>
      <c r="C273" s="12">
        <f>(B273-B272)/B272</f>
        <v/>
      </c>
      <c r="D273" s="13">
        <f>(B273-B261)/B261</f>
        <v/>
      </c>
    </row>
    <row r="274">
      <c r="A274" s="11" t="n">
        <v>41730</v>
      </c>
      <c r="B274" s="15">
        <f>VLOOKUP(A274,Database!A:K,MATCH($A$1,Database!$A$1:$K$1,),)+VLOOKUP(A274,Database!A:K,MATCH($B$1,Database!$A$1:$K$1,),)</f>
        <v/>
      </c>
      <c r="C274" s="12">
        <f>(B274-B273)/B273</f>
        <v/>
      </c>
      <c r="D274" s="13">
        <f>(B274-B262)/B262</f>
        <v/>
      </c>
    </row>
    <row r="275">
      <c r="A275" s="10" t="n">
        <v>41760</v>
      </c>
      <c r="B275" s="15">
        <f>VLOOKUP(A275,Database!A:K,MATCH($A$1,Database!$A$1:$K$1,),)+VLOOKUP(A275,Database!A:K,MATCH($B$1,Database!$A$1:$K$1,),)</f>
        <v/>
      </c>
      <c r="C275" s="12">
        <f>(B275-B274)/B274</f>
        <v/>
      </c>
      <c r="D275" s="13">
        <f>(B275-B263)/B263</f>
        <v/>
      </c>
    </row>
    <row r="276">
      <c r="A276" s="11" t="n">
        <v>41791</v>
      </c>
      <c r="B276" s="15">
        <f>VLOOKUP(A276,Database!A:K,MATCH($A$1,Database!$A$1:$K$1,),)+VLOOKUP(A276,Database!A:K,MATCH($B$1,Database!$A$1:$K$1,),)</f>
        <v/>
      </c>
      <c r="C276" s="12">
        <f>(B276-B275)/B275</f>
        <v/>
      </c>
      <c r="D276" s="13">
        <f>(B276-B264)/B264</f>
        <v/>
      </c>
    </row>
    <row r="277">
      <c r="A277" s="10" t="n">
        <v>41821</v>
      </c>
      <c r="B277" s="15">
        <f>VLOOKUP(A277,Database!A:K,MATCH($A$1,Database!$A$1:$K$1,),)+VLOOKUP(A277,Database!A:K,MATCH($B$1,Database!$A$1:$K$1,),)</f>
        <v/>
      </c>
      <c r="C277" s="12">
        <f>(B277-B276)/B276</f>
        <v/>
      </c>
      <c r="D277" s="13">
        <f>(B277-B265)/B265</f>
        <v/>
      </c>
    </row>
    <row r="278">
      <c r="A278" s="11" t="n">
        <v>41852</v>
      </c>
      <c r="B278" s="15">
        <f>VLOOKUP(A278,Database!A:K,MATCH($A$1,Database!$A$1:$K$1,),)+VLOOKUP(A278,Database!A:K,MATCH($B$1,Database!$A$1:$K$1,),)</f>
        <v/>
      </c>
      <c r="C278" s="12">
        <f>(B278-B277)/B277</f>
        <v/>
      </c>
      <c r="D278" s="13">
        <f>(B278-B266)/B266</f>
        <v/>
      </c>
    </row>
    <row r="279">
      <c r="A279" s="10" t="n">
        <v>41883</v>
      </c>
      <c r="B279" s="15">
        <f>VLOOKUP(A279,Database!A:K,MATCH($A$1,Database!$A$1:$K$1,),)+VLOOKUP(A279,Database!A:K,MATCH($B$1,Database!$A$1:$K$1,),)</f>
        <v/>
      </c>
      <c r="C279" s="12">
        <f>(B279-B278)/B278</f>
        <v/>
      </c>
      <c r="D279" s="13">
        <f>(B279-B267)/B267</f>
        <v/>
      </c>
    </row>
    <row r="280">
      <c r="A280" s="11" t="n">
        <v>41913</v>
      </c>
      <c r="B280" s="15">
        <f>VLOOKUP(A280,Database!A:K,MATCH($A$1,Database!$A$1:$K$1,),)+VLOOKUP(A280,Database!A:K,MATCH($B$1,Database!$A$1:$K$1,),)</f>
        <v/>
      </c>
      <c r="C280" s="12">
        <f>(B280-B279)/B279</f>
        <v/>
      </c>
      <c r="D280" s="13">
        <f>(B280-B268)/B268</f>
        <v/>
      </c>
    </row>
    <row r="281">
      <c r="A281" s="10" t="n">
        <v>41944</v>
      </c>
      <c r="B281" s="15">
        <f>VLOOKUP(A281,Database!A:K,MATCH($A$1,Database!$A$1:$K$1,),)+VLOOKUP(A281,Database!A:K,MATCH($B$1,Database!$A$1:$K$1,),)</f>
        <v/>
      </c>
      <c r="C281" s="12">
        <f>(B281-B280)/B280</f>
        <v/>
      </c>
      <c r="D281" s="13">
        <f>(B281-B269)/B269</f>
        <v/>
      </c>
    </row>
    <row r="282">
      <c r="A282" s="11" t="n">
        <v>41974</v>
      </c>
      <c r="B282" s="15">
        <f>VLOOKUP(A282,Database!A:K,MATCH($A$1,Database!$A$1:$K$1,),)+VLOOKUP(A282,Database!A:K,MATCH($B$1,Database!$A$1:$K$1,),)</f>
        <v/>
      </c>
      <c r="C282" s="12">
        <f>(B282-B281)/B281</f>
        <v/>
      </c>
      <c r="D282" s="13">
        <f>(B282-B270)/B270</f>
        <v/>
      </c>
    </row>
    <row r="283">
      <c r="A283" s="10" t="n">
        <v>42005</v>
      </c>
      <c r="B283" s="15">
        <f>VLOOKUP(A283,Database!A:K,MATCH($A$1,Database!$A$1:$K$1,),)+VLOOKUP(A283,Database!A:K,MATCH($B$1,Database!$A$1:$K$1,),)</f>
        <v/>
      </c>
      <c r="C283" s="12">
        <f>(B283-B282)/B282</f>
        <v/>
      </c>
      <c r="D283" s="13">
        <f>(B283-B271)/B271</f>
        <v/>
      </c>
    </row>
    <row r="284">
      <c r="A284" s="11" t="n">
        <v>42036</v>
      </c>
      <c r="B284" s="15">
        <f>VLOOKUP(A284,Database!A:K,MATCH($A$1,Database!$A$1:$K$1,),)+VLOOKUP(A284,Database!A:K,MATCH($B$1,Database!$A$1:$K$1,),)</f>
        <v/>
      </c>
      <c r="C284" s="12">
        <f>(B284-B283)/B283</f>
        <v/>
      </c>
      <c r="D284" s="13">
        <f>(B284-B272)/B272</f>
        <v/>
      </c>
    </row>
    <row r="285">
      <c r="A285" s="10" t="n">
        <v>42064</v>
      </c>
      <c r="B285" s="15">
        <f>VLOOKUP(A285,Database!A:K,MATCH($A$1,Database!$A$1:$K$1,),)+VLOOKUP(A285,Database!A:K,MATCH($B$1,Database!$A$1:$K$1,),)</f>
        <v/>
      </c>
      <c r="C285" s="12">
        <f>(B285-B284)/B284</f>
        <v/>
      </c>
      <c r="D285" s="13">
        <f>(B285-B273)/B273</f>
        <v/>
      </c>
    </row>
    <row r="286">
      <c r="A286" s="11" t="n">
        <v>42095</v>
      </c>
      <c r="B286" s="15">
        <f>VLOOKUP(A286,Database!A:K,MATCH($A$1,Database!$A$1:$K$1,),)+VLOOKUP(A286,Database!A:K,MATCH($B$1,Database!$A$1:$K$1,),)</f>
        <v/>
      </c>
      <c r="C286" s="12">
        <f>(B286-B285)/B285</f>
        <v/>
      </c>
      <c r="D286" s="13">
        <f>(B286-B274)/B274</f>
        <v/>
      </c>
    </row>
    <row r="287">
      <c r="A287" s="10" t="n">
        <v>42125</v>
      </c>
      <c r="B287" s="15">
        <f>VLOOKUP(A287,Database!A:K,MATCH($A$1,Database!$A$1:$K$1,),)+VLOOKUP(A287,Database!A:K,MATCH($B$1,Database!$A$1:$K$1,),)</f>
        <v/>
      </c>
      <c r="C287" s="12">
        <f>(B287-B286)/B286</f>
        <v/>
      </c>
      <c r="D287" s="13">
        <f>(B287-B275)/B275</f>
        <v/>
      </c>
    </row>
    <row r="288">
      <c r="A288" s="11" t="n">
        <v>42156</v>
      </c>
      <c r="B288" s="15">
        <f>VLOOKUP(A288,Database!A:K,MATCH($A$1,Database!$A$1:$K$1,),)+VLOOKUP(A288,Database!A:K,MATCH($B$1,Database!$A$1:$K$1,),)</f>
        <v/>
      </c>
      <c r="C288" s="12">
        <f>(B288-B287)/B287</f>
        <v/>
      </c>
      <c r="D288" s="13">
        <f>(B288-B276)/B276</f>
        <v/>
      </c>
    </row>
    <row r="289">
      <c r="A289" s="10" t="n">
        <v>42186</v>
      </c>
      <c r="B289" s="15">
        <f>VLOOKUP(A289,Database!A:K,MATCH($A$1,Database!$A$1:$K$1,),)+VLOOKUP(A289,Database!A:K,MATCH($B$1,Database!$A$1:$K$1,),)</f>
        <v/>
      </c>
      <c r="C289" s="12">
        <f>(B289-B288)/B288</f>
        <v/>
      </c>
      <c r="D289" s="13">
        <f>(B289-B277)/B277</f>
        <v/>
      </c>
    </row>
    <row r="290">
      <c r="A290" s="11" t="n">
        <v>42217</v>
      </c>
      <c r="B290" s="15">
        <f>VLOOKUP(A290,Database!A:K,MATCH($A$1,Database!$A$1:$K$1,),)+VLOOKUP(A290,Database!A:K,MATCH($B$1,Database!$A$1:$K$1,),)</f>
        <v/>
      </c>
      <c r="C290" s="12">
        <f>(B290-B289)/B289</f>
        <v/>
      </c>
      <c r="D290" s="13">
        <f>(B290-B278)/B278</f>
        <v/>
      </c>
    </row>
    <row r="291">
      <c r="A291" s="10" t="n">
        <v>42248</v>
      </c>
      <c r="B291" s="15">
        <f>VLOOKUP(A291,Database!A:K,MATCH($A$1,Database!$A$1:$K$1,),)+VLOOKUP(A291,Database!A:K,MATCH($B$1,Database!$A$1:$K$1,),)</f>
        <v/>
      </c>
      <c r="C291" s="12">
        <f>(B291-B290)/B290</f>
        <v/>
      </c>
      <c r="D291" s="13">
        <f>(B291-B279)/B279</f>
        <v/>
      </c>
    </row>
    <row r="292">
      <c r="A292" s="11" t="n">
        <v>42278</v>
      </c>
      <c r="B292" s="15">
        <f>VLOOKUP(A292,Database!A:K,MATCH($A$1,Database!$A$1:$K$1,),)+VLOOKUP(A292,Database!A:K,MATCH($B$1,Database!$A$1:$K$1,),)</f>
        <v/>
      </c>
      <c r="C292" s="12">
        <f>(B292-B291)/B291</f>
        <v/>
      </c>
      <c r="D292" s="13">
        <f>(B292-B280)/B280</f>
        <v/>
      </c>
    </row>
    <row r="293">
      <c r="A293" s="10" t="n">
        <v>42309</v>
      </c>
      <c r="B293" s="15">
        <f>VLOOKUP(A293,Database!A:K,MATCH($A$1,Database!$A$1:$K$1,),)+VLOOKUP(A293,Database!A:K,MATCH($B$1,Database!$A$1:$K$1,),)</f>
        <v/>
      </c>
      <c r="C293" s="12">
        <f>(B293-B292)/B292</f>
        <v/>
      </c>
      <c r="D293" s="13">
        <f>(B293-B281)/B281</f>
        <v/>
      </c>
    </row>
    <row r="294">
      <c r="A294" s="11" t="n">
        <v>42339</v>
      </c>
      <c r="B294" s="15">
        <f>VLOOKUP(A294,Database!A:K,MATCH($A$1,Database!$A$1:$K$1,),)+VLOOKUP(A294,Database!A:K,MATCH($B$1,Database!$A$1:$K$1,),)</f>
        <v/>
      </c>
      <c r="C294" s="12">
        <f>(B294-B293)/B293</f>
        <v/>
      </c>
      <c r="D294" s="13">
        <f>(B294-B282)/B282</f>
        <v/>
      </c>
    </row>
    <row r="295">
      <c r="A295" s="10" t="n">
        <v>42370</v>
      </c>
      <c r="B295" s="15">
        <f>VLOOKUP(A295,Database!A:K,MATCH($A$1,Database!$A$1:$K$1,),)+VLOOKUP(A295,Database!A:K,MATCH($B$1,Database!$A$1:$K$1,),)</f>
        <v/>
      </c>
      <c r="C295" s="12">
        <f>(B295-B294)/B294</f>
        <v/>
      </c>
      <c r="D295" s="13">
        <f>(B295-B283)/B283</f>
        <v/>
      </c>
    </row>
    <row r="296">
      <c r="A296" s="11" t="n">
        <v>42401</v>
      </c>
      <c r="B296" s="15">
        <f>VLOOKUP(A296,Database!A:K,MATCH($A$1,Database!$A$1:$K$1,),)+VLOOKUP(A296,Database!A:K,MATCH($B$1,Database!$A$1:$K$1,),)</f>
        <v/>
      </c>
      <c r="C296" s="12">
        <f>(B296-B295)/B295</f>
        <v/>
      </c>
      <c r="D296" s="13">
        <f>(B296-B284)/B284</f>
        <v/>
      </c>
    </row>
    <row r="297">
      <c r="A297" s="10" t="n">
        <v>42430</v>
      </c>
      <c r="B297" s="15">
        <f>VLOOKUP(A297,Database!A:K,MATCH($A$1,Database!$A$1:$K$1,),)+VLOOKUP(A297,Database!A:K,MATCH($B$1,Database!$A$1:$K$1,),)</f>
        <v/>
      </c>
      <c r="C297" s="12">
        <f>(B297-B296)/B296</f>
        <v/>
      </c>
      <c r="D297" s="13">
        <f>(B297-B285)/B285</f>
        <v/>
      </c>
    </row>
    <row r="298">
      <c r="A298" s="11" t="n">
        <v>42461</v>
      </c>
      <c r="B298" s="15">
        <f>VLOOKUP(A298,Database!A:K,MATCH($A$1,Database!$A$1:$K$1,),)+VLOOKUP(A298,Database!A:K,MATCH($B$1,Database!$A$1:$K$1,),)</f>
        <v/>
      </c>
      <c r="C298" s="12">
        <f>(B298-B297)/B297</f>
        <v/>
      </c>
      <c r="D298" s="13">
        <f>(B298-B286)/B286</f>
        <v/>
      </c>
    </row>
    <row r="299">
      <c r="A299" s="10" t="n">
        <v>42491</v>
      </c>
      <c r="B299" s="15">
        <f>VLOOKUP(A299,Database!A:K,MATCH($A$1,Database!$A$1:$K$1,),)+VLOOKUP(A299,Database!A:K,MATCH($B$1,Database!$A$1:$K$1,),)</f>
        <v/>
      </c>
      <c r="C299" s="12">
        <f>(B299-B298)/B298</f>
        <v/>
      </c>
      <c r="D299" s="13">
        <f>(B299-B287)/B287</f>
        <v/>
      </c>
    </row>
    <row r="300">
      <c r="A300" s="11" t="n">
        <v>42522</v>
      </c>
      <c r="B300" s="15">
        <f>VLOOKUP(A300,Database!A:K,MATCH($A$1,Database!$A$1:$K$1,),)+VLOOKUP(A300,Database!A:K,MATCH($B$1,Database!$A$1:$K$1,),)</f>
        <v/>
      </c>
      <c r="C300" s="12">
        <f>(B300-B299)/B299</f>
        <v/>
      </c>
      <c r="D300" s="13">
        <f>(B300-B288)/B288</f>
        <v/>
      </c>
    </row>
    <row r="301">
      <c r="A301" s="10" t="n">
        <v>42552</v>
      </c>
      <c r="B301" s="15">
        <f>VLOOKUP(A301,Database!A:K,MATCH($A$1,Database!$A$1:$K$1,),)+VLOOKUP(A301,Database!A:K,MATCH($B$1,Database!$A$1:$K$1,),)</f>
        <v/>
      </c>
      <c r="C301" s="12">
        <f>(B301-B300)/B300</f>
        <v/>
      </c>
      <c r="D301" s="13">
        <f>(B301-B289)/B289</f>
        <v/>
      </c>
    </row>
    <row r="302">
      <c r="A302" s="11" t="n">
        <v>42583</v>
      </c>
      <c r="B302" s="15">
        <f>VLOOKUP(A302,Database!A:K,MATCH($A$1,Database!$A$1:$K$1,),)+VLOOKUP(A302,Database!A:K,MATCH($B$1,Database!$A$1:$K$1,),)</f>
        <v/>
      </c>
      <c r="C302" s="12">
        <f>(B302-B301)/B301</f>
        <v/>
      </c>
      <c r="D302" s="13">
        <f>(B302-B290)/B290</f>
        <v/>
      </c>
    </row>
    <row r="303">
      <c r="A303" s="10" t="n">
        <v>42614</v>
      </c>
      <c r="B303" s="15">
        <f>VLOOKUP(A303,Database!A:K,MATCH($A$1,Database!$A$1:$K$1,),)+VLOOKUP(A303,Database!A:K,MATCH($B$1,Database!$A$1:$K$1,),)</f>
        <v/>
      </c>
      <c r="C303" s="12">
        <f>(B303-B302)/B302</f>
        <v/>
      </c>
      <c r="D303" s="13">
        <f>(B303-B291)/B291</f>
        <v/>
      </c>
    </row>
    <row r="304">
      <c r="A304" s="11" t="n">
        <v>42644</v>
      </c>
      <c r="B304" s="15">
        <f>VLOOKUP(A304,Database!A:K,MATCH($A$1,Database!$A$1:$K$1,),)+VLOOKUP(A304,Database!A:K,MATCH($B$1,Database!$A$1:$K$1,),)</f>
        <v/>
      </c>
      <c r="C304" s="12">
        <f>(B304-B303)/B303</f>
        <v/>
      </c>
      <c r="D304" s="13">
        <f>(B304-B292)/B292</f>
        <v/>
      </c>
    </row>
    <row r="305">
      <c r="A305" s="10" t="n">
        <v>42675</v>
      </c>
      <c r="B305" s="15">
        <f>VLOOKUP(A305,Database!A:K,MATCH($A$1,Database!$A$1:$K$1,),)+VLOOKUP(A305,Database!A:K,MATCH($B$1,Database!$A$1:$K$1,),)</f>
        <v/>
      </c>
      <c r="C305" s="12">
        <f>(B305-B304)/B304</f>
        <v/>
      </c>
      <c r="D305" s="13">
        <f>(B305-B293)/B293</f>
        <v/>
      </c>
    </row>
    <row r="306">
      <c r="A306" s="11" t="n">
        <v>42705</v>
      </c>
      <c r="B306" s="15">
        <f>VLOOKUP(A306,Database!A:K,MATCH($A$1,Database!$A$1:$K$1,),)+VLOOKUP(A306,Database!A:K,MATCH($B$1,Database!$A$1:$K$1,),)</f>
        <v/>
      </c>
      <c r="C306" s="12">
        <f>(B306-B305)/B305</f>
        <v/>
      </c>
      <c r="D306" s="13">
        <f>(B306-B294)/B294</f>
        <v/>
      </c>
    </row>
    <row r="307">
      <c r="A307" s="10" t="n">
        <v>42736</v>
      </c>
      <c r="B307" s="15">
        <f>VLOOKUP(A307,Database!A:K,MATCH($A$1,Database!$A$1:$K$1,),)+VLOOKUP(A307,Database!A:K,MATCH($B$1,Database!$A$1:$K$1,),)</f>
        <v/>
      </c>
      <c r="C307" s="12">
        <f>(B307-B306)/B306</f>
        <v/>
      </c>
      <c r="D307" s="13">
        <f>(B307-B295)/B295</f>
        <v/>
      </c>
    </row>
    <row r="308">
      <c r="A308" s="11" t="n">
        <v>42767</v>
      </c>
      <c r="B308" s="15">
        <f>VLOOKUP(A308,Database!A:K,MATCH($A$1,Database!$A$1:$K$1,),)+VLOOKUP(A308,Database!A:K,MATCH($B$1,Database!$A$1:$K$1,),)</f>
        <v/>
      </c>
      <c r="C308" s="12">
        <f>(B308-B307)/B307</f>
        <v/>
      </c>
      <c r="D308" s="13">
        <f>(B308-B296)/B296</f>
        <v/>
      </c>
    </row>
    <row r="309">
      <c r="A309" s="10" t="n">
        <v>42795</v>
      </c>
      <c r="B309" s="15">
        <f>VLOOKUP(A309,Database!A:K,MATCH($A$1,Database!$A$1:$K$1,),)+VLOOKUP(A309,Database!A:K,MATCH($B$1,Database!$A$1:$K$1,),)</f>
        <v/>
      </c>
      <c r="C309" s="12">
        <f>(B309-B308)/B308</f>
        <v/>
      </c>
      <c r="D309" s="13">
        <f>(B309-B297)/B297</f>
        <v/>
      </c>
    </row>
    <row r="310">
      <c r="A310" s="11" t="n">
        <v>42826</v>
      </c>
      <c r="B310" s="15">
        <f>VLOOKUP(A310,Database!A:K,MATCH($A$1,Database!$A$1:$K$1,),)+VLOOKUP(A310,Database!A:K,MATCH($B$1,Database!$A$1:$K$1,),)</f>
        <v/>
      </c>
      <c r="C310" s="12">
        <f>(B310-B309)/B309</f>
        <v/>
      </c>
      <c r="D310" s="13">
        <f>(B310-B298)/B298</f>
        <v/>
      </c>
    </row>
    <row r="311">
      <c r="A311" s="10" t="n">
        <v>42856</v>
      </c>
      <c r="B311" s="15">
        <f>VLOOKUP(A311,Database!A:K,MATCH($A$1,Database!$A$1:$K$1,),)+VLOOKUP(A311,Database!A:K,MATCH($B$1,Database!$A$1:$K$1,),)</f>
        <v/>
      </c>
      <c r="C311" s="12">
        <f>(B311-B310)/B310</f>
        <v/>
      </c>
      <c r="D311" s="13">
        <f>(B311-B299)/B299</f>
        <v/>
      </c>
    </row>
    <row r="312">
      <c r="A312" s="11" t="n">
        <v>42887</v>
      </c>
      <c r="B312" s="15">
        <f>VLOOKUP(A312,Database!A:K,MATCH($A$1,Database!$A$1:$K$1,),)+VLOOKUP(A312,Database!A:K,MATCH($B$1,Database!$A$1:$K$1,),)</f>
        <v/>
      </c>
      <c r="C312" s="12">
        <f>(B312-B311)/B311</f>
        <v/>
      </c>
      <c r="D312" s="13">
        <f>(B312-B300)/B300</f>
        <v/>
      </c>
    </row>
    <row r="313">
      <c r="A313" s="10" t="n">
        <v>42917</v>
      </c>
      <c r="B313" s="15">
        <f>VLOOKUP(A313,Database!A:K,MATCH($A$1,Database!$A$1:$K$1,),)+VLOOKUP(A313,Database!A:K,MATCH($B$1,Database!$A$1:$K$1,),)</f>
        <v/>
      </c>
      <c r="C313" s="12">
        <f>(B313-B312)/B312</f>
        <v/>
      </c>
      <c r="D313" s="13">
        <f>(B313-B301)/B301</f>
        <v/>
      </c>
    </row>
    <row r="314">
      <c r="A314" s="11" t="n">
        <v>42948</v>
      </c>
      <c r="B314" s="15">
        <f>VLOOKUP(A314,Database!A:K,MATCH($A$1,Database!$A$1:$K$1,),)+VLOOKUP(A314,Database!A:K,MATCH($B$1,Database!$A$1:$K$1,),)</f>
        <v/>
      </c>
      <c r="C314" s="12">
        <f>(B314-B313)/B313</f>
        <v/>
      </c>
      <c r="D314" s="13">
        <f>(B314-B302)/B302</f>
        <v/>
      </c>
    </row>
    <row r="315">
      <c r="A315" s="10" t="n">
        <v>42979</v>
      </c>
      <c r="B315" s="15">
        <f>VLOOKUP(A315,Database!A:K,MATCH($A$1,Database!$A$1:$K$1,),)+VLOOKUP(A315,Database!A:K,MATCH($B$1,Database!$A$1:$K$1,),)</f>
        <v/>
      </c>
      <c r="C315" s="12">
        <f>(B315-B314)/B314</f>
        <v/>
      </c>
      <c r="D315" s="13">
        <f>(B315-B303)/B303</f>
        <v/>
      </c>
    </row>
    <row r="316">
      <c r="A316" s="11" t="n">
        <v>43009</v>
      </c>
      <c r="B316" s="15">
        <f>VLOOKUP(A316,Database!A:K,MATCH($A$1,Database!$A$1:$K$1,),)+VLOOKUP(A316,Database!A:K,MATCH($B$1,Database!$A$1:$K$1,),)</f>
        <v/>
      </c>
      <c r="C316" s="12">
        <f>(B316-B315)/B315</f>
        <v/>
      </c>
      <c r="D316" s="13">
        <f>(B316-B304)/B304</f>
        <v/>
      </c>
    </row>
    <row r="317">
      <c r="A317" s="10" t="n">
        <v>43040</v>
      </c>
      <c r="B317" s="15">
        <f>VLOOKUP(A317,Database!A:K,MATCH($A$1,Database!$A$1:$K$1,),)+VLOOKUP(A317,Database!A:K,MATCH($B$1,Database!$A$1:$K$1,),)</f>
        <v/>
      </c>
      <c r="C317" s="12">
        <f>(B317-B316)/B316</f>
        <v/>
      </c>
      <c r="D317" s="13">
        <f>(B317-B305)/B305</f>
        <v/>
      </c>
    </row>
    <row r="318">
      <c r="A318" s="11" t="n">
        <v>43070</v>
      </c>
      <c r="B318" s="15">
        <f>VLOOKUP(A318,Database!A:K,MATCH($A$1,Database!$A$1:$K$1,),)+VLOOKUP(A318,Database!A:K,MATCH($B$1,Database!$A$1:$K$1,),)</f>
        <v/>
      </c>
      <c r="C318" s="12">
        <f>(B318-B317)/B317</f>
        <v/>
      </c>
      <c r="D318" s="13">
        <f>(B318-B306)/B306</f>
        <v/>
      </c>
    </row>
    <row r="319">
      <c r="A319" s="10" t="n">
        <v>43101</v>
      </c>
      <c r="B319" s="15">
        <f>VLOOKUP(A319,Database!A:K,MATCH($A$1,Database!$A$1:$K$1,),)+VLOOKUP(A319,Database!A:K,MATCH($B$1,Database!$A$1:$K$1,),)</f>
        <v/>
      </c>
      <c r="C319" s="12">
        <f>(B319-B318)/B318</f>
        <v/>
      </c>
      <c r="D319" s="13">
        <f>(B319-B307)/B307</f>
        <v/>
      </c>
    </row>
    <row r="320">
      <c r="A320" s="11" t="n">
        <v>43132</v>
      </c>
      <c r="B320" s="15">
        <f>VLOOKUP(A320,Database!A:K,MATCH($A$1,Database!$A$1:$K$1,),)+VLOOKUP(A320,Database!A:K,MATCH($B$1,Database!$A$1:$K$1,),)</f>
        <v/>
      </c>
      <c r="C320" s="12">
        <f>(B320-B319)/B319</f>
        <v/>
      </c>
      <c r="D320" s="13">
        <f>(B320-B308)/B308</f>
        <v/>
      </c>
    </row>
    <row r="321">
      <c r="A321" s="10" t="n">
        <v>43160</v>
      </c>
      <c r="B321" s="15">
        <f>VLOOKUP(A321,Database!A:K,MATCH($A$1,Database!$A$1:$K$1,),)+VLOOKUP(A321,Database!A:K,MATCH($B$1,Database!$A$1:$K$1,),)</f>
        <v/>
      </c>
      <c r="C321" s="12">
        <f>(B321-B320)/B320</f>
        <v/>
      </c>
      <c r="D321" s="13">
        <f>(B321-B309)/B309</f>
        <v/>
      </c>
    </row>
    <row r="322">
      <c r="A322" s="11" t="n">
        <v>43191</v>
      </c>
      <c r="B322" s="15">
        <f>VLOOKUP(A322,Database!A:K,MATCH($A$1,Database!$A$1:$K$1,),)+VLOOKUP(A322,Database!A:K,MATCH($B$1,Database!$A$1:$K$1,),)</f>
        <v/>
      </c>
      <c r="C322" s="12">
        <f>(B322-B321)/B321</f>
        <v/>
      </c>
      <c r="D322" s="13">
        <f>(B322-B310)/B310</f>
        <v/>
      </c>
    </row>
    <row r="323">
      <c r="A323" s="10" t="n">
        <v>43221</v>
      </c>
      <c r="B323" s="15">
        <f>VLOOKUP(A323,Database!A:K,MATCH($A$1,Database!$A$1:$K$1,),)+VLOOKUP(A323,Database!A:K,MATCH($B$1,Database!$A$1:$K$1,),)</f>
        <v/>
      </c>
      <c r="C323" s="12">
        <f>(B323-B322)/B322</f>
        <v/>
      </c>
      <c r="D323" s="13">
        <f>(B323-B311)/B311</f>
        <v/>
      </c>
    </row>
    <row r="324">
      <c r="A324" s="11" t="n">
        <v>43252</v>
      </c>
      <c r="B324" s="15">
        <f>VLOOKUP(A324,Database!A:K,MATCH($A$1,Database!$A$1:$K$1,),)+VLOOKUP(A324,Database!A:K,MATCH($B$1,Database!$A$1:$K$1,),)</f>
        <v/>
      </c>
      <c r="C324" s="12">
        <f>(B324-B323)/B323</f>
        <v/>
      </c>
      <c r="D324" s="13">
        <f>(B324-B312)/B312</f>
        <v/>
      </c>
    </row>
    <row r="325">
      <c r="A325" s="10" t="n">
        <v>43282</v>
      </c>
      <c r="B325" s="15">
        <f>VLOOKUP(A325,Database!A:K,MATCH($A$1,Database!$A$1:$K$1,),)+VLOOKUP(A325,Database!A:K,MATCH($B$1,Database!$A$1:$K$1,),)</f>
        <v/>
      </c>
      <c r="C325" s="12">
        <f>(B325-B324)/B324</f>
        <v/>
      </c>
      <c r="D325" s="13">
        <f>(B325-B313)/B313</f>
        <v/>
      </c>
    </row>
    <row r="326">
      <c r="A326" s="11" t="n">
        <v>43313</v>
      </c>
      <c r="B326" s="15">
        <f>VLOOKUP(A326,Database!A:K,MATCH($A$1,Database!$A$1:$K$1,),)+VLOOKUP(A326,Database!A:K,MATCH($B$1,Database!$A$1:$K$1,),)</f>
        <v/>
      </c>
      <c r="C326" s="12">
        <f>(B326-B325)/B325</f>
        <v/>
      </c>
      <c r="D326" s="13">
        <f>(B326-B314)/B314</f>
        <v/>
      </c>
    </row>
    <row r="327">
      <c r="A327" s="10" t="n">
        <v>43344</v>
      </c>
      <c r="B327" s="15">
        <f>VLOOKUP(A327,Database!A:K,MATCH($A$1,Database!$A$1:$K$1,),)+VLOOKUP(A327,Database!A:K,MATCH($B$1,Database!$A$1:$K$1,),)</f>
        <v/>
      </c>
      <c r="C327" s="12">
        <f>(B327-B326)/B326</f>
        <v/>
      </c>
      <c r="D327" s="13">
        <f>(B327-B315)/B315</f>
        <v/>
      </c>
    </row>
    <row r="328">
      <c r="A328" s="11" t="n">
        <v>43374</v>
      </c>
      <c r="B328" s="15">
        <f>VLOOKUP(A328,Database!A:K,MATCH($A$1,Database!$A$1:$K$1,),)+VLOOKUP(A328,Database!A:K,MATCH($B$1,Database!$A$1:$K$1,),)</f>
        <v/>
      </c>
      <c r="C328" s="12">
        <f>(B328-B327)/B327</f>
        <v/>
      </c>
      <c r="D328" s="13">
        <f>(B328-B316)/B316</f>
        <v/>
      </c>
    </row>
    <row r="329">
      <c r="A329" s="10" t="n">
        <v>43405</v>
      </c>
      <c r="B329" s="15">
        <f>VLOOKUP(A329,Database!A:K,MATCH($A$1,Database!$A$1:$K$1,),)+VLOOKUP(A329,Database!A:K,MATCH($B$1,Database!$A$1:$K$1,),)</f>
        <v/>
      </c>
      <c r="C329" s="12">
        <f>(B329-B328)/B328</f>
        <v/>
      </c>
      <c r="D329" s="13">
        <f>(B329-B317)/B317</f>
        <v/>
      </c>
    </row>
    <row r="330">
      <c r="A330" s="11" t="n">
        <v>43435</v>
      </c>
      <c r="B330" s="15">
        <f>VLOOKUP(A330,Database!A:K,MATCH($A$1,Database!$A$1:$K$1,),)+VLOOKUP(A330,Database!A:K,MATCH($B$1,Database!$A$1:$K$1,),)</f>
        <v/>
      </c>
      <c r="C330" s="12">
        <f>(B330-B329)/B329</f>
        <v/>
      </c>
      <c r="D330" s="13">
        <f>(B330-B318)/B318</f>
        <v/>
      </c>
    </row>
    <row r="331">
      <c r="A331" s="10" t="n">
        <v>43466</v>
      </c>
      <c r="B331" s="15">
        <f>VLOOKUP(A331,Database!A:K,MATCH($A$1,Database!$A$1:$K$1,),)+VLOOKUP(A331,Database!A:K,MATCH($B$1,Database!$A$1:$K$1,),)</f>
        <v/>
      </c>
      <c r="C331" s="12">
        <f>(B331-B330)/B330</f>
        <v/>
      </c>
      <c r="D331" s="13">
        <f>(B331-B319)/B319</f>
        <v/>
      </c>
    </row>
    <row r="332">
      <c r="A332" s="11" t="n">
        <v>43497</v>
      </c>
      <c r="B332" s="15">
        <f>VLOOKUP(A332,Database!A:K,MATCH($A$1,Database!$A$1:$K$1,),)+VLOOKUP(A332,Database!A:K,MATCH($B$1,Database!$A$1:$K$1,),)</f>
        <v/>
      </c>
      <c r="C332" s="12">
        <f>(B332-B331)/B331</f>
        <v/>
      </c>
      <c r="D332" s="13">
        <f>(B332-B320)/B320</f>
        <v/>
      </c>
    </row>
    <row r="333">
      <c r="A333" s="10" t="n">
        <v>43525</v>
      </c>
      <c r="B333" s="15">
        <f>VLOOKUP(A333,Database!A:K,MATCH($A$1,Database!$A$1:$K$1,),)+VLOOKUP(A333,Database!A:K,MATCH($B$1,Database!$A$1:$K$1,),)</f>
        <v/>
      </c>
      <c r="C333" s="12">
        <f>(B333-B332)/B332</f>
        <v/>
      </c>
      <c r="D333" s="13">
        <f>(B333-B321)/B321</f>
        <v/>
      </c>
    </row>
    <row r="334">
      <c r="A334" s="11" t="n">
        <v>43556</v>
      </c>
      <c r="B334" s="15">
        <f>VLOOKUP(A334,Database!A:K,MATCH($A$1,Database!$A$1:$K$1,),)+VLOOKUP(A334,Database!A:K,MATCH($B$1,Database!$A$1:$K$1,),)</f>
        <v/>
      </c>
      <c r="C334" s="12">
        <f>(B334-B333)/B333</f>
        <v/>
      </c>
      <c r="D334" s="13">
        <f>(B334-B322)/B322</f>
        <v/>
      </c>
    </row>
    <row r="335">
      <c r="A335" s="30" t="n">
        <v>43586</v>
      </c>
      <c r="B335" s="31">
        <f>VLOOKUP(A335,Database!A:K,MATCH($A$1,Database!$A$1:$K$1,),)+VLOOKUP(A335,Database!A:K,MATCH($B$1,Database!$A$1:$K$1,),)</f>
        <v/>
      </c>
      <c r="C335" s="32">
        <f>(B335-B334)/B334</f>
        <v/>
      </c>
      <c r="D335" s="33">
        <f>(B335-B323)/B323</f>
        <v/>
      </c>
    </row>
    <row r="336">
      <c r="A336" s="11" t="n">
        <v>43617</v>
      </c>
      <c r="B336" s="15">
        <f>VLOOKUP(A336,Database!A:K,MATCH($A$1,Database!$A$1:$K$1,),)+VLOOKUP(A336,Database!A:K,MATCH($B$1,Database!$A$1:$K$1,),)</f>
        <v/>
      </c>
      <c r="C336" s="12">
        <f>(B336-B335)/B335</f>
        <v/>
      </c>
      <c r="D336" s="13">
        <f>(B336-B324)/B324</f>
        <v/>
      </c>
    </row>
    <row r="337">
      <c r="A337" s="30" t="n">
        <v>43647</v>
      </c>
      <c r="B337" s="31">
        <f>VLOOKUP(A337,Database!A:K,MATCH($A$1,Database!$A$1:$K$1,),)+VLOOKUP(A337,Database!A:K,MATCH($B$1,Database!$A$1:$K$1,),)</f>
        <v/>
      </c>
      <c r="C337" s="32">
        <f>(B337-B336)/B336</f>
        <v/>
      </c>
      <c r="D337" s="33">
        <f>(B337-B325)/B325</f>
        <v/>
      </c>
    </row>
    <row r="338">
      <c r="A338" s="11" t="n">
        <v>43678</v>
      </c>
      <c r="B338" s="15">
        <f>VLOOKUP(A338,Database!A:K,MATCH($A$1,Database!$A$1:$K$1,),)+VLOOKUP(A338,Database!A:K,MATCH($B$1,Database!$A$1:$K$1,),)</f>
        <v/>
      </c>
      <c r="C338" s="12">
        <f>(B338-B337)/B337</f>
        <v/>
      </c>
      <c r="D338" s="13">
        <f>(B338-B326)/B326</f>
        <v/>
      </c>
    </row>
    <row r="339">
      <c r="A339" s="30" t="n">
        <v>43709</v>
      </c>
      <c r="B339" s="31">
        <f>VLOOKUP(A339,Database!A:K,MATCH($A$1,Database!$A$1:$K$1,),)+VLOOKUP(A339,Database!A:K,MATCH($B$1,Database!$A$1:$K$1,),)</f>
        <v/>
      </c>
      <c r="C339" s="32">
        <f>(B339-B338)/B338</f>
        <v/>
      </c>
      <c r="D339" s="33">
        <f>(B339-B327)/B327</f>
        <v/>
      </c>
    </row>
    <row r="340">
      <c r="A340" s="11" t="n">
        <v>43739</v>
      </c>
      <c r="B340" s="15">
        <f>VLOOKUP(A340,Database!A:K,MATCH($A$1,Database!$A$1:$K$1,),)+VLOOKUP(A340,Database!A:K,MATCH($B$1,Database!$A$1:$K$1,),)</f>
        <v/>
      </c>
      <c r="C340" s="12">
        <f>(B340-B339)/B339</f>
        <v/>
      </c>
      <c r="D340" s="13">
        <f>(B340-B328)/B328</f>
        <v/>
      </c>
    </row>
    <row r="341">
      <c r="A341" s="30" t="n">
        <v>43770</v>
      </c>
      <c r="B341" s="31">
        <f>VLOOKUP(A341,Database!A:K,MATCH($A$1,Database!$A$1:$K$1,),)+VLOOKUP(A341,Database!A:K,MATCH($B$1,Database!$A$1:$K$1,),)</f>
        <v/>
      </c>
      <c r="C341" s="32">
        <f>(B341-B340)/B340</f>
        <v/>
      </c>
      <c r="D341" s="33">
        <f>(B341-B329)/B329</f>
        <v/>
      </c>
    </row>
    <row r="342">
      <c r="A342" s="11" t="n">
        <v>43800</v>
      </c>
      <c r="B342" s="15">
        <f>VLOOKUP(A342,Database!A:K,MATCH($A$1,Database!$A$1:$K$1,),)+VLOOKUP(A342,Database!A:K,MATCH($B$1,Database!$A$1:$K$1,),)</f>
        <v/>
      </c>
      <c r="C342" s="12">
        <f>(B342-B341)/B341</f>
        <v/>
      </c>
      <c r="D342" s="13">
        <f>(B342-B330)/B330</f>
        <v/>
      </c>
    </row>
    <row r="343">
      <c r="A343" s="30" t="n">
        <v>43831</v>
      </c>
      <c r="B343" s="31">
        <f>VLOOKUP(A343,Database!A:K,MATCH($A$1,Database!$A$1:$K$1,),)+VLOOKUP(A343,Database!A:K,MATCH($B$1,Database!$A$1:$K$1,),)</f>
        <v/>
      </c>
      <c r="C343" s="32">
        <f>(B343-B342)/B342</f>
        <v/>
      </c>
      <c r="D343" s="33">
        <f>(B343-B331)/B331</f>
        <v/>
      </c>
    </row>
    <row r="344">
      <c r="A344" s="11" t="n">
        <v>43862</v>
      </c>
      <c r="B344" s="15">
        <f>VLOOKUP(A344,Database!A:K,MATCH($A$1,Database!$A$1:$K$1,),)+VLOOKUP(A344,Database!A:K,MATCH($B$1,Database!$A$1:$K$1,),)</f>
        <v/>
      </c>
      <c r="C344" s="12">
        <f>(B344-B343)/B343</f>
        <v/>
      </c>
      <c r="D344" s="13">
        <f>(B344-B332)/B332</f>
        <v/>
      </c>
    </row>
    <row r="345">
      <c r="A345" s="30" t="n">
        <v>43891</v>
      </c>
      <c r="B345" s="31">
        <f>VLOOKUP(A345,Database!A:K,MATCH($A$1,Database!$A$1:$K$1,),)+VLOOKUP(A345,Database!A:K,MATCH($B$1,Database!$A$1:$K$1,),)</f>
        <v/>
      </c>
      <c r="C345" s="32">
        <f>(B345-B344)/B344</f>
        <v/>
      </c>
      <c r="D345" s="33">
        <f>(B345-B333)/B333</f>
        <v/>
      </c>
    </row>
    <row r="346">
      <c r="A346" s="11" t="n">
        <v>43922</v>
      </c>
      <c r="B346" s="15">
        <f>VLOOKUP(A346,Database!A:K,MATCH($A$1,Database!$A$1:$K$1,),)+VLOOKUP(A346,Database!A:K,MATCH($B$1,Database!$A$1:$K$1,),)</f>
        <v/>
      </c>
      <c r="C346" s="12">
        <f>(B346-B345)/B345</f>
        <v/>
      </c>
      <c r="D346" s="13">
        <f>(B346-B334)/B334</f>
        <v/>
      </c>
    </row>
    <row r="347">
      <c r="A347" s="30" t="n">
        <v>43952</v>
      </c>
      <c r="B347" s="31">
        <f>VLOOKUP(A347,Database!A:K,MATCH($A$1,Database!$A$1:$K$1,),)+VLOOKUP(A347,Database!A:K,MATCH($B$1,Database!$A$1:$K$1,),)</f>
        <v/>
      </c>
      <c r="C347" s="32">
        <f>(B347-B346)/B346</f>
        <v/>
      </c>
      <c r="D347" s="33">
        <f>(B347-B335)/B335</f>
        <v/>
      </c>
    </row>
    <row r="348">
      <c r="A348" s="11" t="n">
        <v>43983</v>
      </c>
      <c r="B348" s="15">
        <f>VLOOKUP(A348,Database!A:K,MATCH($A$1,Database!$A$1:$K$1,),)+VLOOKUP(A348,Database!A:K,MATCH($B$1,Database!$A$1:$K$1,),)</f>
        <v/>
      </c>
      <c r="C348" s="12">
        <f>(B348-B347)/B347</f>
        <v/>
      </c>
      <c r="D348" s="13">
        <f>(B348-B336)/B336</f>
        <v/>
      </c>
    </row>
    <row r="349">
      <c r="A349" s="30" t="n">
        <v>44013</v>
      </c>
      <c r="B349" s="31">
        <f>VLOOKUP(A349,Database!A:K,MATCH($A$1,Database!$A$1:$K$1,),)+VLOOKUP(A349,Database!A:K,MATCH($B$1,Database!$A$1:$K$1,),)</f>
        <v/>
      </c>
      <c r="C349" s="32">
        <f>(B349-B348)/B348</f>
        <v/>
      </c>
      <c r="D349" s="33">
        <f>(B349-B337)/B337</f>
        <v/>
      </c>
    </row>
    <row r="350">
      <c r="A350" s="11" t="n">
        <v>44044</v>
      </c>
      <c r="B350" s="15">
        <f>VLOOKUP(A350,Database!A:K,MATCH($A$1,Database!$A$1:$K$1,),)+VLOOKUP(A350,Database!A:K,MATCH($B$1,Database!$A$1:$K$1,),)</f>
        <v/>
      </c>
      <c r="C350" s="12">
        <f>(B350-B349)/B349</f>
        <v/>
      </c>
      <c r="D350" s="13">
        <f>(B350-B338)/B338</f>
        <v/>
      </c>
    </row>
    <row r="351">
      <c r="A351" s="30" t="n">
        <v>44075</v>
      </c>
      <c r="B351" s="31">
        <f>VLOOKUP(A351,Database!A:K,MATCH($A$1,Database!$A$1:$K$1,),)+VLOOKUP(A351,Database!A:K,MATCH($B$1,Database!$A$1:$K$1,),)</f>
        <v/>
      </c>
      <c r="C351" s="32">
        <f>(B351-B350)/B350</f>
        <v/>
      </c>
      <c r="D351" s="33">
        <f>(B351-B339)/B339</f>
        <v/>
      </c>
    </row>
    <row r="352">
      <c r="A352" s="11" t="n">
        <v>44105</v>
      </c>
      <c r="B352" s="15">
        <f>VLOOKUP(A352,Database!A:K,MATCH($A$1,Database!$A$1:$K$1,),)+VLOOKUP(A352,Database!A:K,MATCH($B$1,Database!$A$1:$K$1,),)</f>
        <v/>
      </c>
      <c r="C352" s="12">
        <f>(B352-B351)/B351</f>
        <v/>
      </c>
      <c r="D352" s="13">
        <f>(B352-B340)/B340</f>
        <v/>
      </c>
    </row>
    <row r="353">
      <c r="A353" s="30" t="n">
        <v>44136</v>
      </c>
      <c r="B353" s="31">
        <f>VLOOKUP(A353,Database!A:K,MATCH($A$1,Database!$A$1:$K$1,),)+VLOOKUP(A353,Database!A:K,MATCH($B$1,Database!$A$1:$K$1,),)</f>
        <v/>
      </c>
      <c r="C353" s="32">
        <f>(B353-B352)/B352</f>
        <v/>
      </c>
      <c r="D353" s="33">
        <f>(B353-B341)/B341</f>
        <v/>
      </c>
    </row>
    <row r="354">
      <c r="A354" s="11" t="n">
        <v>44166</v>
      </c>
      <c r="B354" s="15">
        <f>VLOOKUP(A354,Database!A:K,MATCH($A$1,Database!$A$1:$K$1,),)+VLOOKUP(A354,Database!A:K,MATCH($B$1,Database!$A$1:$K$1,),)</f>
        <v/>
      </c>
      <c r="C354" s="12">
        <f>(B354-B353)/B353</f>
        <v/>
      </c>
      <c r="D354" s="13">
        <f>(B354-B342)/B342</f>
        <v/>
      </c>
    </row>
    <row r="355">
      <c r="A355" s="30" t="n">
        <v>44197</v>
      </c>
      <c r="B355" s="31">
        <f>VLOOKUP(A355,Database!A:K,MATCH($A$1,Database!$A$1:$K$1,),)+VLOOKUP(A355,Database!A:K,MATCH($B$1,Database!$A$1:$K$1,),)</f>
        <v/>
      </c>
      <c r="C355" s="32">
        <f>(B355-B354)/B354</f>
        <v/>
      </c>
      <c r="D355" s="33">
        <f>(B355-B343)/B343</f>
        <v/>
      </c>
    </row>
    <row r="356">
      <c r="A356" s="11" t="n">
        <v>44228</v>
      </c>
      <c r="B356" s="15">
        <f>VLOOKUP(A356,Database!A:K,MATCH($A$1,Database!$A$1:$K$1,),)+VLOOKUP(A356,Database!A:K,MATCH($B$1,Database!$A$1:$K$1,),)</f>
        <v/>
      </c>
      <c r="C356" s="12">
        <f>(B356-B355)/B355</f>
        <v/>
      </c>
      <c r="D356" s="13">
        <f>(B356-B344)/B344</f>
        <v/>
      </c>
    </row>
    <row r="357">
      <c r="A357" s="30" t="n">
        <v>44256</v>
      </c>
      <c r="B357" s="31">
        <f>VLOOKUP(A357,Database!A:K,MATCH($A$1,Database!$A$1:$K$1,),)+VLOOKUP(A357,Database!A:K,MATCH($B$1,Database!$A$1:$K$1,),)</f>
        <v/>
      </c>
      <c r="C357" s="32">
        <f>(B357-B356)/B356</f>
        <v/>
      </c>
      <c r="D357" s="33">
        <f>(B357-B345)/B345</f>
        <v/>
      </c>
    </row>
    <row r="358">
      <c r="A358" s="11" t="n">
        <v>44287</v>
      </c>
      <c r="B358" s="15">
        <f>VLOOKUP(A358,Database!A:K,MATCH($A$1,Database!$A$1:$K$1,),)+VLOOKUP(A358,Database!A:K,MATCH($B$1,Database!$A$1:$K$1,),)</f>
        <v/>
      </c>
      <c r="C358" s="12">
        <f>(B358-B357)/B357</f>
        <v/>
      </c>
      <c r="D358" s="13">
        <f>(B358-B346)/B346</f>
        <v/>
      </c>
    </row>
    <row r="359">
      <c r="A359" s="30" t="n">
        <v>44317</v>
      </c>
      <c r="B359" s="31">
        <f>VLOOKUP(A359,Database!A:K,MATCH($A$1,Database!$A$1:$K$1,),)+VLOOKUP(A359,Database!A:K,MATCH($B$1,Database!$A$1:$K$1,),)</f>
        <v/>
      </c>
      <c r="C359" s="32">
        <f>(B359-B358)/B358</f>
        <v/>
      </c>
      <c r="D359" s="33">
        <f>(B359-B347)/B347</f>
        <v/>
      </c>
    </row>
    <row r="360">
      <c r="A360" s="11" t="n">
        <v>44348</v>
      </c>
      <c r="B360" s="15">
        <f>VLOOKUP(A360,Database!A:K,MATCH($A$1,Database!$A$1:$K$1,),)+VLOOKUP(A360,Database!A:K,MATCH($B$1,Database!$A$1:$K$1,),)</f>
        <v/>
      </c>
      <c r="C360" s="12">
        <f>(B360-B359)/B359</f>
        <v/>
      </c>
      <c r="D360" s="13">
        <f>(B360-B348)/B348</f>
        <v/>
      </c>
    </row>
    <row r="361">
      <c r="A361" s="30" t="n">
        <v>44378</v>
      </c>
      <c r="B361" s="31">
        <f>VLOOKUP(A361,Database!A:K,MATCH($A$1,Database!$A$1:$K$1,),)+VLOOKUP(A361,Database!A:K,MATCH($B$1,Database!$A$1:$K$1,),)</f>
        <v/>
      </c>
      <c r="C361" s="32">
        <f>(B361-B360)/B360</f>
        <v/>
      </c>
      <c r="D361" s="33">
        <f>(B361-B349)/B349</f>
        <v/>
      </c>
    </row>
    <row r="362">
      <c r="A362" s="11" t="n">
        <v>44409</v>
      </c>
      <c r="B362" s="15">
        <f>VLOOKUP(A362,Database!A:K,MATCH($A$1,Database!$A$1:$K$1,),)+VLOOKUP(A362,Database!A:K,MATCH($B$1,Database!$A$1:$K$1,),)</f>
        <v/>
      </c>
      <c r="C362" s="12">
        <f>(B362-B361)/B361</f>
        <v/>
      </c>
      <c r="D362" s="13">
        <f>(B362-B350)/B350</f>
        <v/>
      </c>
    </row>
    <row r="363">
      <c r="A363" s="11" t="n">
        <v>44440</v>
      </c>
      <c r="B363" s="15">
        <f>VLOOKUP(A363,Database!A:K,MATCH($A$1,Database!$A$1:$K$1,),)+VLOOKUP(A363,Database!A:K,MATCH($B$1,Database!$A$1:$K$1,),)</f>
        <v/>
      </c>
      <c r="C363" s="12">
        <f>(B363-B362)/B362</f>
        <v/>
      </c>
      <c r="D363" s="13">
        <f>(B363-B351)/B351</f>
        <v/>
      </c>
    </row>
    <row r="364">
      <c r="A364" s="30" t="n">
        <v>44470</v>
      </c>
      <c r="B364" s="31">
        <f>VLOOKUP(A364,Database!A:K,MATCH($A$1,Database!$A$1:$K$1,),)+VLOOKUP(A364,Database!A:K,MATCH($B$1,Database!$A$1:$K$1,),)</f>
        <v/>
      </c>
      <c r="C364" s="32">
        <f>(B364-B363)/B363</f>
        <v/>
      </c>
      <c r="D364" s="33">
        <f>(B364-B352)/B352</f>
        <v/>
      </c>
    </row>
    <row r="365">
      <c r="A365" s="11" t="n">
        <v>44501</v>
      </c>
      <c r="B365" s="15">
        <f>VLOOKUP(A365,Database!A:K,MATCH($A$1,Database!$A$1:$K$1,),)+VLOOKUP(A365,Database!A:K,MATCH($B$1,Database!$A$1:$K$1,),)</f>
        <v/>
      </c>
      <c r="C365" s="12">
        <f>(B365-B364)/B364</f>
        <v/>
      </c>
      <c r="D365" s="13">
        <f>(B365-B353)/B353</f>
        <v/>
      </c>
    </row>
    <row r="366">
      <c r="A366" s="11" t="n">
        <v>44531</v>
      </c>
      <c r="B366" s="15">
        <f>VLOOKUP(A366,Database!A:K,MATCH($A$1,Database!$A$1:$K$1,),)+VLOOKUP(A366,Database!A:K,MATCH($B$1,Database!$A$1:$K$1,),)</f>
        <v/>
      </c>
      <c r="C366" s="12">
        <f>(B366-B365)/B365</f>
        <v/>
      </c>
      <c r="D366" s="13">
        <f>(B366-B354)/B354</f>
        <v/>
      </c>
    </row>
    <row r="367">
      <c r="A367" s="11" t="n">
        <v>44562</v>
      </c>
      <c r="B367" s="15">
        <f>VLOOKUP(A367,Database!A:K,MATCH($A$1,Database!$A$1:$K$1,),)+VLOOKUP(A367,Database!A:K,MATCH($B$1,Database!$A$1:$K$1,),)</f>
        <v/>
      </c>
      <c r="C367" s="12">
        <f>(B367-B366)/B366</f>
        <v/>
      </c>
      <c r="D367" s="13">
        <f>(B367-B355)/B355</f>
        <v/>
      </c>
    </row>
    <row r="368">
      <c r="A368" s="11" t="n">
        <v>44593</v>
      </c>
      <c r="B368" s="15">
        <f>VLOOKUP(A368,Database!A:K,MATCH($A$1,Database!$A$1:$K$1,),)+VLOOKUP(A368,Database!A:K,MATCH($B$1,Database!$A$1:$K$1,),)</f>
        <v/>
      </c>
      <c r="C368" s="12">
        <f>(B368-B367)/B367</f>
        <v/>
      </c>
      <c r="D368" s="13">
        <f>(B368-B356)/B356</f>
        <v/>
      </c>
    </row>
    <row r="369">
      <c r="A369" s="11" t="n">
        <v>44621</v>
      </c>
      <c r="B369" s="15">
        <f>VLOOKUP(A369,Database!A:K,MATCH($A$1,Database!$A$1:$K$1,),)+VLOOKUP(A369,Database!A:K,MATCH($B$1,Database!$A$1:$K$1,),)</f>
        <v/>
      </c>
      <c r="C369" s="12">
        <f>(B369-B368)/B368</f>
        <v/>
      </c>
      <c r="D369" s="13">
        <f>(B369-B357)/B357</f>
        <v/>
      </c>
    </row>
    <row r="370">
      <c r="A370" s="30" t="n">
        <v>44652</v>
      </c>
      <c r="B370" s="31">
        <f>VLOOKUP(A370,Database!A:K,MATCH($A$1,Database!$A$1:$K$1,),)+VLOOKUP(A370,Database!A:K,MATCH($B$1,Database!$A$1:$K$1,),)</f>
        <v/>
      </c>
      <c r="C370" s="32">
        <f>(B370-B369)/B369</f>
        <v/>
      </c>
      <c r="D370" s="33">
        <f>(B370-B358)/B358</f>
        <v/>
      </c>
    </row>
    <row r="371">
      <c r="A371" s="11" t="n">
        <v>44682</v>
      </c>
      <c r="B371" s="15">
        <f>VLOOKUP(A371,Database!A:K,MATCH($A$1,Database!$A$1:$K$1,),)+VLOOKUP(A371,Database!A:K,MATCH($B$1,Database!$A$1:$K$1,),)</f>
        <v/>
      </c>
      <c r="C371" s="12">
        <f>(B371-B370)/B370</f>
        <v/>
      </c>
      <c r="D371" s="13">
        <f>(B371-B359)/B359</f>
        <v/>
      </c>
    </row>
    <row r="372">
      <c r="A372" s="11" t="n">
        <v>44713</v>
      </c>
      <c r="B372" s="15">
        <f>VLOOKUP(A372,Database!A:K,MATCH($A$1,Database!$A$1:$K$1,),)+VLOOKUP(A372,Database!A:K,MATCH($B$1,Database!$A$1:$K$1,),)</f>
        <v/>
      </c>
      <c r="C372" s="12">
        <f>(B372-B371)/B371</f>
        <v/>
      </c>
      <c r="D372" s="13">
        <f>(B372-B360)/B360</f>
        <v/>
      </c>
    </row>
    <row r="373">
      <c r="A373" s="11" t="n">
        <v>44743</v>
      </c>
      <c r="B373" s="15">
        <f>VLOOKUP(A373,Database!A:K,MATCH($A$1,Database!$A$1:$K$1,),)+VLOOKUP(A373,Database!A:K,MATCH($B$1,Database!$A$1:$K$1,),)</f>
        <v/>
      </c>
      <c r="C373" s="12">
        <f>(B373-B372)/B372</f>
        <v/>
      </c>
      <c r="D373" s="13">
        <f>(B373-B361)/B361</f>
        <v/>
      </c>
    </row>
    <row r="374">
      <c r="A374" s="30" t="n">
        <v>44774</v>
      </c>
      <c r="B374" s="31">
        <f>VLOOKUP(A374,Database!A:K,MATCH($A$1,Database!$A$1:$K$1,),)+VLOOKUP(A374,Database!A:K,MATCH($B$1,Database!$A$1:$K$1,),)</f>
        <v/>
      </c>
      <c r="C374" s="32">
        <f>(B374-B373)/B373</f>
        <v/>
      </c>
      <c r="D374" s="33">
        <f>(B374-B362)/B362</f>
        <v/>
      </c>
    </row>
    <row r="375">
      <c r="A375" s="11" t="n">
        <v>44805</v>
      </c>
      <c r="B375" s="15">
        <f>VLOOKUP(A375,Database!A:K,MATCH($A$1,Database!$A$1:$K$1,),)+VLOOKUP(A375,Database!A:K,MATCH($B$1,Database!$A$1:$K$1,),)</f>
        <v/>
      </c>
      <c r="C375" s="12">
        <f>(B375-B374)/B374</f>
        <v/>
      </c>
      <c r="D375" s="13">
        <f>(B375-B363)/B363</f>
        <v/>
      </c>
    </row>
  </sheetData>
  <conditionalFormatting sqref="D19:D375">
    <cfRule type="colorScale" priority="46">
      <colorScale>
        <cfvo type="min"/>
        <cfvo type="percentile" val="50"/>
        <cfvo type="max"/>
        <color rgb="FFF8696B"/>
        <color rgb="FFFFEB84"/>
        <color rgb="FF63BE7B"/>
      </colorScale>
    </cfRule>
  </conditionalFormatting>
  <conditionalFormatting sqref="C8:C375">
    <cfRule type="colorScale" priority="47">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codeName="Sheet19">
    <outlinePr summaryBelow="1" summaryRight="1"/>
    <pageSetUpPr/>
  </sheetPr>
  <dimension ref="A1:D375"/>
  <sheetViews>
    <sheetView topLeftCell="B1" zoomScale="170" zoomScaleNormal="170" workbookViewId="0">
      <pane ySplit="6" topLeftCell="A363" activePane="bottomLeft" state="frozen"/>
      <selection pane="bottomLeft" activeCell="A370" sqref="A370:D375"/>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17"/>
    <col width="9.1640625" customWidth="1" style="122" min="18" max="16384"/>
  </cols>
  <sheetData>
    <row r="1">
      <c r="A1" s="122" t="inlineStr">
        <is>
          <t>RSMSR</t>
        </is>
      </c>
      <c r="B1" s="29" t="inlineStr">
        <is>
          <t>Miscellaneous stores retailers</t>
        </is>
      </c>
    </row>
    <row r="2">
      <c r="A2" s="128" t="n"/>
      <c r="B2" s="122" t="n"/>
    </row>
    <row r="3">
      <c r="A3" s="9" t="n"/>
    </row>
    <row r="4">
      <c r="A4" s="9" t="n"/>
    </row>
    <row r="5" ht="16" customHeight="1" s="95" thickBot="1"/>
    <row r="6" ht="44.25" customHeight="1" s="95" thickBot="1">
      <c r="A6" s="78" t="inlineStr">
        <is>
          <t>Date</t>
        </is>
      </c>
      <c r="B6" s="80" t="inlineStr">
        <is>
          <t xml:space="preserve"> Miscellaneous stores retailers, mil$</t>
        </is>
      </c>
      <c r="C6" s="93" t="inlineStr">
        <is>
          <t>mom</t>
        </is>
      </c>
      <c r="D6" s="94" t="inlineStr">
        <is>
          <t>yoy</t>
        </is>
      </c>
    </row>
    <row r="7">
      <c r="A7" s="17" t="n">
        <v>33604</v>
      </c>
      <c r="B7" s="18">
        <f>VLOOKUP(A7,Database!A:Q,MATCH($A$1,Database!$A$1:$Q$1,),)</f>
        <v/>
      </c>
      <c r="C7" s="19" t="n"/>
      <c r="D7" s="19"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30" t="n">
        <v>43586</v>
      </c>
      <c r="B335" s="31">
        <f>VLOOKUP(A335,Database!A:Q,MATCH($A$1,Database!$A$1:$Q$1,),)</f>
        <v/>
      </c>
      <c r="C335" s="32">
        <f>(B335-B334)/B334</f>
        <v/>
      </c>
      <c r="D335" s="33">
        <f>(B335-B323)/B323</f>
        <v/>
      </c>
    </row>
    <row r="336">
      <c r="A336" s="11" t="n">
        <v>43617</v>
      </c>
      <c r="B336" s="15">
        <f>VLOOKUP(A336,Database!A:Q,MATCH($A$1,Database!$A$1:$Q$1,),)</f>
        <v/>
      </c>
      <c r="C336" s="12">
        <f>(B336-B335)/B335</f>
        <v/>
      </c>
      <c r="D336" s="13">
        <f>(B336-B324)/B324</f>
        <v/>
      </c>
    </row>
    <row r="337">
      <c r="A337" s="30" t="n">
        <v>43647</v>
      </c>
      <c r="B337" s="31">
        <f>VLOOKUP(A337,Database!A:Q,MATCH($A$1,Database!$A$1:$Q$1,),)</f>
        <v/>
      </c>
      <c r="C337" s="32">
        <f>(B337-B336)/B336</f>
        <v/>
      </c>
      <c r="D337" s="33">
        <f>(B337-B325)/B325</f>
        <v/>
      </c>
    </row>
    <row r="338">
      <c r="A338" s="11" t="n">
        <v>43678</v>
      </c>
      <c r="B338" s="15">
        <f>VLOOKUP(A338,Database!A:Q,MATCH($A$1,Database!$A$1:$Q$1,),)</f>
        <v/>
      </c>
      <c r="C338" s="12">
        <f>(B338-B337)/B337</f>
        <v/>
      </c>
      <c r="D338" s="13">
        <f>(B338-B326)/B326</f>
        <v/>
      </c>
    </row>
    <row r="339">
      <c r="A339" s="30" t="n">
        <v>43709</v>
      </c>
      <c r="B339" s="31">
        <f>VLOOKUP(A339,Database!A:Q,MATCH($A$1,Database!$A$1:$Q$1,),)</f>
        <v/>
      </c>
      <c r="C339" s="32">
        <f>(B339-B338)/B338</f>
        <v/>
      </c>
      <c r="D339" s="33">
        <f>(B339-B327)/B327</f>
        <v/>
      </c>
    </row>
    <row r="340">
      <c r="A340" s="11" t="n">
        <v>43739</v>
      </c>
      <c r="B340" s="15">
        <f>VLOOKUP(A340,Database!A:Q,MATCH($A$1,Database!$A$1:$Q$1,),)</f>
        <v/>
      </c>
      <c r="C340" s="12">
        <f>(B340-B339)/B339</f>
        <v/>
      </c>
      <c r="D340" s="13">
        <f>(B340-B328)/B328</f>
        <v/>
      </c>
    </row>
    <row r="341">
      <c r="A341" s="30" t="n">
        <v>43770</v>
      </c>
      <c r="B341" s="31">
        <f>VLOOKUP(A341,Database!A:Q,MATCH($A$1,Database!$A$1:$Q$1,),)</f>
        <v/>
      </c>
      <c r="C341" s="32">
        <f>(B341-B340)/B340</f>
        <v/>
      </c>
      <c r="D341" s="33">
        <f>(B341-B329)/B329</f>
        <v/>
      </c>
    </row>
    <row r="342">
      <c r="A342" s="11" t="n">
        <v>43800</v>
      </c>
      <c r="B342" s="15">
        <f>VLOOKUP(A342,Database!A:Q,MATCH($A$1,Database!$A$1:$Q$1,),)</f>
        <v/>
      </c>
      <c r="C342" s="12">
        <f>(B342-B341)/B341</f>
        <v/>
      </c>
      <c r="D342" s="13">
        <f>(B342-B330)/B330</f>
        <v/>
      </c>
    </row>
    <row r="343">
      <c r="A343" s="30" t="n">
        <v>43831</v>
      </c>
      <c r="B343" s="31">
        <f>VLOOKUP(A343,Database!A:Q,MATCH($A$1,Database!$A$1:$Q$1,),)</f>
        <v/>
      </c>
      <c r="C343" s="32">
        <f>(B343-B342)/B342</f>
        <v/>
      </c>
      <c r="D343" s="33">
        <f>(B343-B331)/B331</f>
        <v/>
      </c>
    </row>
    <row r="344">
      <c r="A344" s="11" t="n">
        <v>43862</v>
      </c>
      <c r="B344" s="15">
        <f>VLOOKUP(A344,Database!A:Q,MATCH($A$1,Database!$A$1:$Q$1,),)</f>
        <v/>
      </c>
      <c r="C344" s="12">
        <f>(B344-B343)/B343</f>
        <v/>
      </c>
      <c r="D344" s="13">
        <f>(B344-B332)/B332</f>
        <v/>
      </c>
    </row>
    <row r="345">
      <c r="A345" s="30" t="n">
        <v>43891</v>
      </c>
      <c r="B345" s="31">
        <f>VLOOKUP(A345,Database!A:Q,MATCH($A$1,Database!$A$1:$Q$1,),)</f>
        <v/>
      </c>
      <c r="C345" s="32">
        <f>(B345-B344)/B344</f>
        <v/>
      </c>
      <c r="D345" s="33">
        <f>(B345-B333)/B333</f>
        <v/>
      </c>
    </row>
    <row r="346">
      <c r="A346" s="11" t="n">
        <v>43922</v>
      </c>
      <c r="B346" s="15">
        <f>VLOOKUP(A346,Database!A:Q,MATCH($A$1,Database!$A$1:$Q$1,),)</f>
        <v/>
      </c>
      <c r="C346" s="12">
        <f>(B346-B345)/B345</f>
        <v/>
      </c>
      <c r="D346" s="13">
        <f>(B346-B334)/B334</f>
        <v/>
      </c>
    </row>
    <row r="347">
      <c r="A347" s="30" t="n">
        <v>43952</v>
      </c>
      <c r="B347" s="31">
        <f>VLOOKUP(A347,Database!A:Q,MATCH($A$1,Database!$A$1:$Q$1,),)</f>
        <v/>
      </c>
      <c r="C347" s="32">
        <f>(B347-B346)/B346</f>
        <v/>
      </c>
      <c r="D347" s="33">
        <f>(B347-B335)/B335</f>
        <v/>
      </c>
    </row>
    <row r="348">
      <c r="A348" s="11" t="n">
        <v>43983</v>
      </c>
      <c r="B348" s="15">
        <f>VLOOKUP(A348,Database!A:Q,MATCH($A$1,Database!$A$1:$Q$1,),)</f>
        <v/>
      </c>
      <c r="C348" s="12">
        <f>(B348-B347)/B347</f>
        <v/>
      </c>
      <c r="D348" s="13">
        <f>(B348-B336)/B336</f>
        <v/>
      </c>
    </row>
    <row r="349">
      <c r="A349" s="30" t="n">
        <v>44013</v>
      </c>
      <c r="B349" s="31">
        <f>VLOOKUP(A349,Database!A:Q,MATCH($A$1,Database!$A$1:$Q$1,),)</f>
        <v/>
      </c>
      <c r="C349" s="32">
        <f>(B349-B348)/B348</f>
        <v/>
      </c>
      <c r="D349" s="33">
        <f>(B349-B337)/B337</f>
        <v/>
      </c>
    </row>
    <row r="350">
      <c r="A350" s="11" t="n">
        <v>44044</v>
      </c>
      <c r="B350" s="15">
        <f>VLOOKUP(A350,Database!A:Q,MATCH($A$1,Database!$A$1:$Q$1,),)</f>
        <v/>
      </c>
      <c r="C350" s="12">
        <f>(B350-B349)/B349</f>
        <v/>
      </c>
      <c r="D350" s="13">
        <f>(B350-B338)/B338</f>
        <v/>
      </c>
    </row>
    <row r="351">
      <c r="A351" s="30" t="n">
        <v>44075</v>
      </c>
      <c r="B351" s="31">
        <f>VLOOKUP(A351,Database!A:Q,MATCH($A$1,Database!$A$1:$Q$1,),)</f>
        <v/>
      </c>
      <c r="C351" s="32">
        <f>(B351-B350)/B350</f>
        <v/>
      </c>
      <c r="D351" s="33">
        <f>(B351-B339)/B339</f>
        <v/>
      </c>
    </row>
    <row r="352">
      <c r="A352" s="11" t="n">
        <v>44105</v>
      </c>
      <c r="B352" s="15">
        <f>VLOOKUP(A352,Database!A:Q,MATCH($A$1,Database!$A$1:$Q$1,),)</f>
        <v/>
      </c>
      <c r="C352" s="12">
        <f>(B352-B351)/B351</f>
        <v/>
      </c>
      <c r="D352" s="13">
        <f>(B352-B340)/B340</f>
        <v/>
      </c>
    </row>
    <row r="353">
      <c r="A353" s="30" t="n">
        <v>44136</v>
      </c>
      <c r="B353" s="31">
        <f>VLOOKUP(A353,Database!A:Q,MATCH($A$1,Database!$A$1:$Q$1,),)</f>
        <v/>
      </c>
      <c r="C353" s="32">
        <f>(B353-B352)/B352</f>
        <v/>
      </c>
      <c r="D353" s="33">
        <f>(B353-B341)/B341</f>
        <v/>
      </c>
    </row>
    <row r="354">
      <c r="A354" s="11" t="n">
        <v>44166</v>
      </c>
      <c r="B354" s="15">
        <f>VLOOKUP(A354,Database!A:Q,MATCH($A$1,Database!$A$1:$Q$1,),)</f>
        <v/>
      </c>
      <c r="C354" s="12">
        <f>(B354-B353)/B353</f>
        <v/>
      </c>
      <c r="D354" s="13">
        <f>(B354-B342)/B342</f>
        <v/>
      </c>
    </row>
    <row r="355">
      <c r="A355" s="30" t="n">
        <v>44197</v>
      </c>
      <c r="B355" s="31">
        <f>VLOOKUP(A355,Database!A:Q,MATCH($A$1,Database!$A$1:$Q$1,),)</f>
        <v/>
      </c>
      <c r="C355" s="32">
        <f>(B355-B354)/B354</f>
        <v/>
      </c>
      <c r="D355" s="33">
        <f>(B355-B343)/B343</f>
        <v/>
      </c>
    </row>
    <row r="356">
      <c r="A356" s="11" t="n">
        <v>44228</v>
      </c>
      <c r="B356" s="15">
        <f>VLOOKUP(A356,Database!A:Q,MATCH($A$1,Database!$A$1:$Q$1,),)</f>
        <v/>
      </c>
      <c r="C356" s="12">
        <f>(B356-B355)/B355</f>
        <v/>
      </c>
      <c r="D356" s="13">
        <f>(B356-B344)/B344</f>
        <v/>
      </c>
    </row>
    <row r="357">
      <c r="A357" s="30" t="n">
        <v>44256</v>
      </c>
      <c r="B357" s="31">
        <f>VLOOKUP(A357,Database!A:Q,MATCH($A$1,Database!$A$1:$Q$1,),)</f>
        <v/>
      </c>
      <c r="C357" s="32">
        <f>(B357-B356)/B356</f>
        <v/>
      </c>
      <c r="D357" s="33">
        <f>(B357-B345)/B345</f>
        <v/>
      </c>
    </row>
    <row r="358">
      <c r="A358" s="11" t="n">
        <v>44287</v>
      </c>
      <c r="B358" s="15">
        <f>VLOOKUP(A358,Database!A:Q,MATCH($A$1,Database!$A$1:$Q$1,),)</f>
        <v/>
      </c>
      <c r="C358" s="12">
        <f>(B358-B357)/B357</f>
        <v/>
      </c>
      <c r="D358" s="13">
        <f>(B358-B346)/B346</f>
        <v/>
      </c>
    </row>
    <row r="359">
      <c r="A359" s="30" t="n">
        <v>44317</v>
      </c>
      <c r="B359" s="31">
        <f>VLOOKUP(A359,Database!A:Q,MATCH($A$1,Database!$A$1:$Q$1,),)</f>
        <v/>
      </c>
      <c r="C359" s="32">
        <f>(B359-B358)/B358</f>
        <v/>
      </c>
      <c r="D359" s="33">
        <f>(B359-B347)/B347</f>
        <v/>
      </c>
    </row>
    <row r="360">
      <c r="A360" s="11" t="n">
        <v>44348</v>
      </c>
      <c r="B360" s="15">
        <f>VLOOKUP(A360,Database!A:Q,MATCH($A$1,Database!$A$1:$Q$1,),)</f>
        <v/>
      </c>
      <c r="C360" s="12">
        <f>(B360-B359)/B359</f>
        <v/>
      </c>
      <c r="D360" s="13">
        <f>(B360-B348)/B348</f>
        <v/>
      </c>
    </row>
    <row r="361">
      <c r="A361" s="30" t="n">
        <v>44378</v>
      </c>
      <c r="B361" s="31">
        <f>VLOOKUP(A361,Database!A:Q,MATCH($A$1,Database!$A$1:$Q$1,),)</f>
        <v/>
      </c>
      <c r="C361" s="32">
        <f>(B361-B360)/B360</f>
        <v/>
      </c>
      <c r="D361" s="3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30" t="n">
        <v>44470</v>
      </c>
      <c r="B364" s="31">
        <f>VLOOKUP(A364,Database!A:Q,MATCH($A$1,Database!$A$1:$Q$1,),)</f>
        <v/>
      </c>
      <c r="C364" s="32">
        <f>(B364-B363)/B363</f>
        <v/>
      </c>
      <c r="D364" s="33">
        <f>(B364-B352)/B352</f>
        <v/>
      </c>
    </row>
    <row r="365">
      <c r="A365" s="11" t="n">
        <v>44501</v>
      </c>
      <c r="B365" s="15">
        <f>VLOOKUP(A365,Database!A:Q,MATCH($A$1,Database!$A$1:$Q$1,),)</f>
        <v/>
      </c>
      <c r="C365" s="12">
        <f>(B365-B364)/B364</f>
        <v/>
      </c>
      <c r="D365" s="13">
        <f>(B365-B353)/B353</f>
        <v/>
      </c>
    </row>
    <row r="366">
      <c r="A366" s="11"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row r="369">
      <c r="A369" s="11" t="n">
        <v>44621</v>
      </c>
      <c r="B369" s="15">
        <f>VLOOKUP(A369,Database!A:Q,MATCH($A$1,Database!$A$1:$Q$1,),)</f>
        <v/>
      </c>
      <c r="C369" s="12">
        <f>(B369-B368)/B368</f>
        <v/>
      </c>
      <c r="D369" s="13">
        <f>(B369-B357)/B357</f>
        <v/>
      </c>
    </row>
    <row r="370">
      <c r="A370" s="30" t="n">
        <v>44652</v>
      </c>
      <c r="B370" s="31">
        <f>VLOOKUP(A370,Database!A:Q,MATCH($A$1,Database!$A$1:$Q$1,),)</f>
        <v/>
      </c>
      <c r="C370" s="32">
        <f>(B370-B369)/B369</f>
        <v/>
      </c>
      <c r="D370" s="33">
        <f>(B370-B358)/B358</f>
        <v/>
      </c>
    </row>
    <row r="371">
      <c r="A371" s="11" t="n">
        <v>44682</v>
      </c>
      <c r="B371" s="15">
        <f>VLOOKUP(A371,Database!A:Q,MATCH($A$1,Database!$A$1:$Q$1,),)</f>
        <v/>
      </c>
      <c r="C371" s="12">
        <f>(B371-B370)/B370</f>
        <v/>
      </c>
      <c r="D371" s="13">
        <f>(B371-B359)/B359</f>
        <v/>
      </c>
    </row>
    <row r="372">
      <c r="A372" s="11" t="n">
        <v>44713</v>
      </c>
      <c r="B372" s="15">
        <f>VLOOKUP(A372,Database!A:Q,MATCH($A$1,Database!$A$1:$Q$1,),)</f>
        <v/>
      </c>
      <c r="C372" s="12">
        <f>(B372-B371)/B371</f>
        <v/>
      </c>
      <c r="D372" s="13">
        <f>(B372-B360)/B360</f>
        <v/>
      </c>
    </row>
    <row r="373">
      <c r="A373" s="11" t="n">
        <v>44743</v>
      </c>
      <c r="B373" s="15">
        <f>VLOOKUP(A373,Database!A:Q,MATCH($A$1,Database!$A$1:$Q$1,),)</f>
        <v/>
      </c>
      <c r="C373" s="12">
        <f>(B373-B372)/B372</f>
        <v/>
      </c>
      <c r="D373" s="13">
        <f>(B373-B361)/B361</f>
        <v/>
      </c>
    </row>
    <row r="374">
      <c r="A374" s="11" t="n">
        <v>44774</v>
      </c>
      <c r="B374" s="15">
        <f>VLOOKUP(A374,Database!A:Q,MATCH($A$1,Database!$A$1:$Q$1,),)</f>
        <v/>
      </c>
      <c r="C374" s="12">
        <f>(B374-B373)/B373</f>
        <v/>
      </c>
      <c r="D374" s="13">
        <f>(B374-B362)/B362</f>
        <v/>
      </c>
    </row>
    <row r="375">
      <c r="A375" s="30" t="n">
        <v>44805</v>
      </c>
      <c r="B375" s="31">
        <f>VLOOKUP(A375,Database!A:Q,MATCH($A$1,Database!$A$1:$Q$1,),)</f>
        <v/>
      </c>
      <c r="C375" s="32">
        <f>(B375-B374)/B374</f>
        <v/>
      </c>
      <c r="D375" s="33">
        <f>(B375-B363)/B363</f>
        <v/>
      </c>
    </row>
  </sheetData>
  <conditionalFormatting sqref="D19:D375">
    <cfRule type="colorScale" priority="44">
      <colorScale>
        <cfvo type="min"/>
        <cfvo type="percentile" val="50"/>
        <cfvo type="max"/>
        <color rgb="FFF8696B"/>
        <color rgb="FFFFEB84"/>
        <color rgb="FF63BE7B"/>
      </colorScale>
    </cfRule>
  </conditionalFormatting>
  <conditionalFormatting sqref="C8:C375">
    <cfRule type="colorScale" priority="4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9.xml><?xml version="1.0" encoding="utf-8"?>
<worksheet xmlns="http://schemas.openxmlformats.org/spreadsheetml/2006/main">
  <sheetPr codeName="Sheet20">
    <outlinePr summaryBelow="1" summaryRight="1"/>
    <pageSetUpPr/>
  </sheetPr>
  <dimension ref="A1:D375"/>
  <sheetViews>
    <sheetView zoomScale="190" zoomScaleNormal="190" workbookViewId="0">
      <pane ySplit="6" topLeftCell="A366" activePane="bottomLeft" state="frozen"/>
      <selection activeCell="P14" sqref="P14"/>
      <selection pane="bottomLeft" activeCell="A369" sqref="A369:D375"/>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17"/>
    <col width="9.1640625" customWidth="1" style="122" min="18" max="16384"/>
  </cols>
  <sheetData>
    <row r="1">
      <c r="A1" s="122" t="inlineStr">
        <is>
          <t>RSCCAS</t>
        </is>
      </c>
      <c r="B1" s="29" t="inlineStr">
        <is>
          <t>Clothing and clothing access. stores</t>
        </is>
      </c>
    </row>
    <row r="2">
      <c r="A2" s="128" t="n"/>
      <c r="B2" s="122" t="n"/>
    </row>
    <row r="3">
      <c r="A3" s="9" t="n"/>
    </row>
    <row r="4">
      <c r="A4" s="9" t="n"/>
    </row>
    <row r="5" ht="16" customHeight="1" s="95" thickBot="1"/>
    <row r="6" ht="44.25" customHeight="1" s="95" thickBot="1">
      <c r="A6" s="78" t="inlineStr">
        <is>
          <t>Date</t>
        </is>
      </c>
      <c r="B6" s="80" t="inlineStr">
        <is>
          <t>Clothing and clothing access. Stores, mil$</t>
        </is>
      </c>
      <c r="C6" s="93" t="inlineStr">
        <is>
          <t>mom</t>
        </is>
      </c>
      <c r="D6" s="94" t="inlineStr">
        <is>
          <t>yoy</t>
        </is>
      </c>
    </row>
    <row r="7">
      <c r="A7" s="17" t="n">
        <v>33604</v>
      </c>
      <c r="B7" s="18">
        <f>VLOOKUP(A7,Database!A:Q,MATCH($A$1,Database!$A$1:$Q$1,),)</f>
        <v/>
      </c>
      <c r="C7" s="19" t="n"/>
      <c r="D7" s="19"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30" t="n">
        <v>43586</v>
      </c>
      <c r="B335" s="31">
        <f>VLOOKUP(A335,Database!A:Q,MATCH($A$1,Database!$A$1:$Q$1,),)</f>
        <v/>
      </c>
      <c r="C335" s="32">
        <f>(B335-B334)/B334</f>
        <v/>
      </c>
      <c r="D335" s="33">
        <f>(B335-B323)/B323</f>
        <v/>
      </c>
    </row>
    <row r="336">
      <c r="A336" s="11" t="n">
        <v>43617</v>
      </c>
      <c r="B336" s="15">
        <f>VLOOKUP(A336,Database!A:Q,MATCH($A$1,Database!$A$1:$Q$1,),)</f>
        <v/>
      </c>
      <c r="C336" s="12">
        <f>(B336-B335)/B335</f>
        <v/>
      </c>
      <c r="D336" s="13">
        <f>(B336-B324)/B324</f>
        <v/>
      </c>
    </row>
    <row r="337">
      <c r="A337" s="30" t="n">
        <v>43647</v>
      </c>
      <c r="B337" s="31">
        <f>VLOOKUP(A337,Database!A:Q,MATCH($A$1,Database!$A$1:$Q$1,),)</f>
        <v/>
      </c>
      <c r="C337" s="32">
        <f>(B337-B336)/B336</f>
        <v/>
      </c>
      <c r="D337" s="33">
        <f>(B337-B325)/B325</f>
        <v/>
      </c>
    </row>
    <row r="338">
      <c r="A338" s="11" t="n">
        <v>43678</v>
      </c>
      <c r="B338" s="15">
        <f>VLOOKUP(A338,Database!A:Q,MATCH($A$1,Database!$A$1:$Q$1,),)</f>
        <v/>
      </c>
      <c r="C338" s="12">
        <f>(B338-B337)/B337</f>
        <v/>
      </c>
      <c r="D338" s="13">
        <f>(B338-B326)/B326</f>
        <v/>
      </c>
    </row>
    <row r="339">
      <c r="A339" s="30" t="n">
        <v>43709</v>
      </c>
      <c r="B339" s="31">
        <f>VLOOKUP(A339,Database!A:Q,MATCH($A$1,Database!$A$1:$Q$1,),)</f>
        <v/>
      </c>
      <c r="C339" s="32">
        <f>(B339-B338)/B338</f>
        <v/>
      </c>
      <c r="D339" s="33">
        <f>(B339-B327)/B327</f>
        <v/>
      </c>
    </row>
    <row r="340">
      <c r="A340" s="11" t="n">
        <v>43739</v>
      </c>
      <c r="B340" s="15">
        <f>VLOOKUP(A340,Database!A:Q,MATCH($A$1,Database!$A$1:$Q$1,),)</f>
        <v/>
      </c>
      <c r="C340" s="12">
        <f>(B340-B339)/B339</f>
        <v/>
      </c>
      <c r="D340" s="13">
        <f>(B340-B328)/B328</f>
        <v/>
      </c>
    </row>
    <row r="341">
      <c r="A341" s="30" t="n">
        <v>43770</v>
      </c>
      <c r="B341" s="31">
        <f>VLOOKUP(A341,Database!A:Q,MATCH($A$1,Database!$A$1:$Q$1,),)</f>
        <v/>
      </c>
      <c r="C341" s="32">
        <f>(B341-B340)/B340</f>
        <v/>
      </c>
      <c r="D341" s="33">
        <f>(B341-B329)/B329</f>
        <v/>
      </c>
    </row>
    <row r="342">
      <c r="A342" s="11" t="n">
        <v>43800</v>
      </c>
      <c r="B342" s="15">
        <f>VLOOKUP(A342,Database!A:Q,MATCH($A$1,Database!$A$1:$Q$1,),)</f>
        <v/>
      </c>
      <c r="C342" s="12">
        <f>(B342-B341)/B341</f>
        <v/>
      </c>
      <c r="D342" s="13">
        <f>(B342-B330)/B330</f>
        <v/>
      </c>
    </row>
    <row r="343">
      <c r="A343" s="30" t="n">
        <v>43831</v>
      </c>
      <c r="B343" s="31">
        <f>VLOOKUP(A343,Database!A:Q,MATCH($A$1,Database!$A$1:$Q$1,),)</f>
        <v/>
      </c>
      <c r="C343" s="32">
        <f>(B343-B342)/B342</f>
        <v/>
      </c>
      <c r="D343" s="33">
        <f>(B343-B331)/B331</f>
        <v/>
      </c>
    </row>
    <row r="344">
      <c r="A344" s="11" t="n">
        <v>43862</v>
      </c>
      <c r="B344" s="15">
        <f>VLOOKUP(A344,Database!A:Q,MATCH($A$1,Database!$A$1:$Q$1,),)</f>
        <v/>
      </c>
      <c r="C344" s="12">
        <f>(B344-B343)/B343</f>
        <v/>
      </c>
      <c r="D344" s="13">
        <f>(B344-B332)/B332</f>
        <v/>
      </c>
    </row>
    <row r="345">
      <c r="A345" s="30" t="n">
        <v>43891</v>
      </c>
      <c r="B345" s="31">
        <f>VLOOKUP(A345,Database!A:Q,MATCH($A$1,Database!$A$1:$Q$1,),)</f>
        <v/>
      </c>
      <c r="C345" s="32">
        <f>(B345-B344)/B344</f>
        <v/>
      </c>
      <c r="D345" s="33">
        <f>(B345-B333)/B333</f>
        <v/>
      </c>
    </row>
    <row r="346">
      <c r="A346" s="11" t="n">
        <v>43922</v>
      </c>
      <c r="B346" s="15">
        <f>VLOOKUP(A346,Database!A:Q,MATCH($A$1,Database!$A$1:$Q$1,),)</f>
        <v/>
      </c>
      <c r="C346" s="12">
        <f>(B346-B345)/B345</f>
        <v/>
      </c>
      <c r="D346" s="13">
        <f>(B346-B334)/B334</f>
        <v/>
      </c>
    </row>
    <row r="347">
      <c r="A347" s="30" t="n">
        <v>43952</v>
      </c>
      <c r="B347" s="31">
        <f>VLOOKUP(A347,Database!A:Q,MATCH($A$1,Database!$A$1:$Q$1,),)</f>
        <v/>
      </c>
      <c r="C347" s="32">
        <f>(B347-B346)/B346</f>
        <v/>
      </c>
      <c r="D347" s="33">
        <f>(B347-B335)/B335</f>
        <v/>
      </c>
    </row>
    <row r="348">
      <c r="A348" s="11" t="n">
        <v>43983</v>
      </c>
      <c r="B348" s="15">
        <f>VLOOKUP(A348,Database!A:Q,MATCH($A$1,Database!$A$1:$Q$1,),)</f>
        <v/>
      </c>
      <c r="C348" s="12">
        <f>(B348-B347)/B347</f>
        <v/>
      </c>
      <c r="D348" s="13">
        <f>(B348-B336)/B336</f>
        <v/>
      </c>
    </row>
    <row r="349">
      <c r="A349" s="30" t="n">
        <v>44013</v>
      </c>
      <c r="B349" s="31">
        <f>VLOOKUP(A349,Database!A:Q,MATCH($A$1,Database!$A$1:$Q$1,),)</f>
        <v/>
      </c>
      <c r="C349" s="32">
        <f>(B349-B348)/B348</f>
        <v/>
      </c>
      <c r="D349" s="33">
        <f>(B349-B337)/B337</f>
        <v/>
      </c>
    </row>
    <row r="350">
      <c r="A350" s="11" t="n">
        <v>44044</v>
      </c>
      <c r="B350" s="15">
        <f>VLOOKUP(A350,Database!A:Q,MATCH($A$1,Database!$A$1:$Q$1,),)</f>
        <v/>
      </c>
      <c r="C350" s="12">
        <f>(B350-B349)/B349</f>
        <v/>
      </c>
      <c r="D350" s="13">
        <f>(B350-B338)/B338</f>
        <v/>
      </c>
    </row>
    <row r="351">
      <c r="A351" s="30" t="n">
        <v>44075</v>
      </c>
      <c r="B351" s="31">
        <f>VLOOKUP(A351,Database!A:Q,MATCH($A$1,Database!$A$1:$Q$1,),)</f>
        <v/>
      </c>
      <c r="C351" s="32">
        <f>(B351-B350)/B350</f>
        <v/>
      </c>
      <c r="D351" s="33">
        <f>(B351-B339)/B339</f>
        <v/>
      </c>
    </row>
    <row r="352">
      <c r="A352" s="11" t="n">
        <v>44105</v>
      </c>
      <c r="B352" s="15">
        <f>VLOOKUP(A352,Database!A:Q,MATCH($A$1,Database!$A$1:$Q$1,),)</f>
        <v/>
      </c>
      <c r="C352" s="12">
        <f>(B352-B351)/B351</f>
        <v/>
      </c>
      <c r="D352" s="13">
        <f>(B352-B340)/B340</f>
        <v/>
      </c>
    </row>
    <row r="353">
      <c r="A353" s="30" t="n">
        <v>44136</v>
      </c>
      <c r="B353" s="31">
        <f>VLOOKUP(A353,Database!A:Q,MATCH($A$1,Database!$A$1:$Q$1,),)</f>
        <v/>
      </c>
      <c r="C353" s="32">
        <f>(B353-B352)/B352</f>
        <v/>
      </c>
      <c r="D353" s="33">
        <f>(B353-B341)/B341</f>
        <v/>
      </c>
    </row>
    <row r="354">
      <c r="A354" s="11" t="n">
        <v>44166</v>
      </c>
      <c r="B354" s="15">
        <f>VLOOKUP(A354,Database!A:Q,MATCH($A$1,Database!$A$1:$Q$1,),)</f>
        <v/>
      </c>
      <c r="C354" s="12">
        <f>(B354-B353)/B353</f>
        <v/>
      </c>
      <c r="D354" s="13">
        <f>(B354-B342)/B342</f>
        <v/>
      </c>
    </row>
    <row r="355">
      <c r="A355" s="30" t="n">
        <v>44197</v>
      </c>
      <c r="B355" s="31">
        <f>VLOOKUP(A355,Database!A:Q,MATCH($A$1,Database!$A$1:$Q$1,),)</f>
        <v/>
      </c>
      <c r="C355" s="32">
        <f>(B355-B354)/B354</f>
        <v/>
      </c>
      <c r="D355" s="33">
        <f>(B355-B343)/B343</f>
        <v/>
      </c>
    </row>
    <row r="356">
      <c r="A356" s="11" t="n">
        <v>44228</v>
      </c>
      <c r="B356" s="15">
        <f>VLOOKUP(A356,Database!A:Q,MATCH($A$1,Database!$A$1:$Q$1,),)</f>
        <v/>
      </c>
      <c r="C356" s="12">
        <f>(B356-B355)/B355</f>
        <v/>
      </c>
      <c r="D356" s="13">
        <f>(B356-B344)/B344</f>
        <v/>
      </c>
    </row>
    <row r="357">
      <c r="A357" s="30" t="n">
        <v>44256</v>
      </c>
      <c r="B357" s="31">
        <f>VLOOKUP(A357,Database!A:Q,MATCH($A$1,Database!$A$1:$Q$1,),)</f>
        <v/>
      </c>
      <c r="C357" s="32">
        <f>(B357-B356)/B356</f>
        <v/>
      </c>
      <c r="D357" s="33">
        <f>(B357-B345)/B345</f>
        <v/>
      </c>
    </row>
    <row r="358">
      <c r="A358" s="11" t="n">
        <v>44287</v>
      </c>
      <c r="B358" s="15">
        <f>VLOOKUP(A358,Database!A:Q,MATCH($A$1,Database!$A$1:$Q$1,),)</f>
        <v/>
      </c>
      <c r="C358" s="12">
        <f>(B358-B357)/B357</f>
        <v/>
      </c>
      <c r="D358" s="13">
        <f>(B358-B346)/B346</f>
        <v/>
      </c>
    </row>
    <row r="359">
      <c r="A359" s="30" t="n">
        <v>44317</v>
      </c>
      <c r="B359" s="31">
        <f>VLOOKUP(A359,Database!A:Q,MATCH($A$1,Database!$A$1:$Q$1,),)</f>
        <v/>
      </c>
      <c r="C359" s="32">
        <f>(B359-B358)/B358</f>
        <v/>
      </c>
      <c r="D359" s="33">
        <f>(B359-B347)/B347</f>
        <v/>
      </c>
    </row>
    <row r="360">
      <c r="A360" s="11" t="n">
        <v>44348</v>
      </c>
      <c r="B360" s="15">
        <f>VLOOKUP(A360,Database!A:Q,MATCH($A$1,Database!$A$1:$Q$1,),)</f>
        <v/>
      </c>
      <c r="C360" s="12">
        <f>(B360-B359)/B359</f>
        <v/>
      </c>
      <c r="D360" s="13">
        <f>(B360-B348)/B348</f>
        <v/>
      </c>
    </row>
    <row r="361">
      <c r="A361" s="30" t="n">
        <v>44378</v>
      </c>
      <c r="B361" s="31">
        <f>VLOOKUP(A361,Database!A:Q,MATCH($A$1,Database!$A$1:$Q$1,),)</f>
        <v/>
      </c>
      <c r="C361" s="32">
        <f>(B361-B360)/B360</f>
        <v/>
      </c>
      <c r="D361" s="3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30" t="n">
        <v>44470</v>
      </c>
      <c r="B364" s="31">
        <f>VLOOKUP(A364,Database!A:Q,MATCH($A$1,Database!$A$1:$Q$1,),)</f>
        <v/>
      </c>
      <c r="C364" s="32">
        <f>(B364-B363)/B363</f>
        <v/>
      </c>
      <c r="D364" s="33">
        <f>(B364-B352)/B352</f>
        <v/>
      </c>
    </row>
    <row r="365">
      <c r="A365" s="11" t="n">
        <v>44501</v>
      </c>
      <c r="B365" s="15">
        <f>VLOOKUP(A365,Database!A:Q,MATCH($A$1,Database!$A$1:$Q$1,),)</f>
        <v/>
      </c>
      <c r="C365" s="12">
        <f>(B365-B364)/B364</f>
        <v/>
      </c>
      <c r="D365" s="13">
        <f>(B365-B353)/B353</f>
        <v/>
      </c>
    </row>
    <row r="366">
      <c r="A366" s="30" t="n">
        <v>44531</v>
      </c>
      <c r="B366" s="31">
        <f>VLOOKUP(A366,Database!A:Q,MATCH($A$1,Database!$A$1:$Q$1,),)</f>
        <v/>
      </c>
      <c r="C366" s="32">
        <f>(B366-B365)/B365</f>
        <v/>
      </c>
      <c r="D366" s="3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row r="369">
      <c r="A369" s="11" t="n">
        <v>44621</v>
      </c>
      <c r="B369" s="15">
        <f>VLOOKUP(A369,Database!A:Q,MATCH($A$1,Database!$A$1:$Q$1,),)</f>
        <v/>
      </c>
      <c r="C369" s="12">
        <f>(B369-B368)/B368</f>
        <v/>
      </c>
      <c r="D369" s="13">
        <f>(B369-B357)/B357</f>
        <v/>
      </c>
    </row>
    <row r="370">
      <c r="A370" s="30" t="n">
        <v>44652</v>
      </c>
      <c r="B370" s="31">
        <f>VLOOKUP(A370,Database!A:Q,MATCH($A$1,Database!$A$1:$Q$1,),)</f>
        <v/>
      </c>
      <c r="C370" s="32">
        <f>(B370-B369)/B369</f>
        <v/>
      </c>
      <c r="D370" s="33">
        <f>(B370-B358)/B358</f>
        <v/>
      </c>
    </row>
    <row r="371">
      <c r="A371" s="11" t="n">
        <v>44682</v>
      </c>
      <c r="B371" s="15">
        <f>VLOOKUP(A371,Database!A:Q,MATCH($A$1,Database!$A$1:$Q$1,),)</f>
        <v/>
      </c>
      <c r="C371" s="12">
        <f>(B371-B370)/B370</f>
        <v/>
      </c>
      <c r="D371" s="13">
        <f>(B371-B359)/B359</f>
        <v/>
      </c>
    </row>
    <row r="372">
      <c r="A372" s="11" t="n">
        <v>44713</v>
      </c>
      <c r="B372" s="15">
        <f>VLOOKUP(A372,Database!A:Q,MATCH($A$1,Database!$A$1:$Q$1,),)</f>
        <v/>
      </c>
      <c r="C372" s="12">
        <f>(B372-B371)/B371</f>
        <v/>
      </c>
      <c r="D372" s="13">
        <f>(B372-B360)/B360</f>
        <v/>
      </c>
    </row>
    <row r="373">
      <c r="A373" s="11" t="n">
        <v>44743</v>
      </c>
      <c r="B373" s="15">
        <f>VLOOKUP(A373,Database!A:Q,MATCH($A$1,Database!$A$1:$Q$1,),)</f>
        <v/>
      </c>
      <c r="C373" s="12">
        <f>(B373-B372)/B372</f>
        <v/>
      </c>
      <c r="D373" s="13">
        <f>(B373-B361)/B361</f>
        <v/>
      </c>
    </row>
    <row r="374">
      <c r="A374" s="30" t="n">
        <v>44774</v>
      </c>
      <c r="B374" s="31">
        <f>VLOOKUP(A374,Database!A:Q,MATCH($A$1,Database!$A$1:$Q$1,),)</f>
        <v/>
      </c>
      <c r="C374" s="32">
        <f>(B374-B373)/B373</f>
        <v/>
      </c>
      <c r="D374" s="33">
        <f>(B374-B362)/B362</f>
        <v/>
      </c>
    </row>
    <row r="375">
      <c r="A375" s="11" t="n">
        <v>44805</v>
      </c>
      <c r="B375" s="15">
        <f>VLOOKUP(A375,Database!A:Q,MATCH($A$1,Database!$A$1:$Q$1,),)</f>
        <v/>
      </c>
      <c r="C375" s="12">
        <f>(B375-B374)/B374</f>
        <v/>
      </c>
      <c r="D375" s="13">
        <f>(B375-B363)/B363</f>
        <v/>
      </c>
    </row>
  </sheetData>
  <conditionalFormatting sqref="C8:C375">
    <cfRule type="colorScale" priority="2">
      <colorScale>
        <cfvo type="min"/>
        <cfvo type="percentile" val="50"/>
        <cfvo type="max"/>
        <color rgb="FFF8696B"/>
        <color rgb="FFFFEB84"/>
        <color rgb="FF63BE7B"/>
      </colorScale>
    </cfRule>
  </conditionalFormatting>
  <conditionalFormatting sqref="D19:D375">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2018-03-27T13:16:34Z</dcterms:created>
  <dcterms:modified xmlns:dcterms="http://purl.org/dc/terms/" xmlns:xsi="http://www.w3.org/2001/XMLSchema-instance" xsi:type="dcterms:W3CDTF">2022-10-31T13:41:48Z</dcterms:modified>
  <cp:lastModifiedBy>Mark Mukherjee</cp:lastModifiedBy>
</cp:coreProperties>
</file>