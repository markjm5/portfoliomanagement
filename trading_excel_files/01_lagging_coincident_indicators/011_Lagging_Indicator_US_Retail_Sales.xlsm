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Gas'!$A$8:$A$379</f>
              <numCache>
                <formatCode>[$-409]mmm\-yy;@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'Retail Sales ex Auto and Gas'!$C$8:$C$379</f>
              <numCache>
                <formatCode>0.00%</formatCode>
                <ptCount val="372"/>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-0.01425796613595715</v>
                </pt>
                <pt idx="354">
                  <v>0.01649261632766787</v>
                </pt>
                <pt idx="355">
                  <v>0.006365893023174219</v>
                </pt>
                <pt idx="356">
                  <v>0.01160533156689408</v>
                </pt>
                <pt idx="357">
                  <v>0.003463628667989222</v>
                </pt>
                <pt idx="358">
                  <v>-0.01756961840549005</v>
                </pt>
                <pt idx="359">
                  <v>0.02031131193245877</v>
                </pt>
                <pt idx="360">
                  <v>0.01184011032781409</v>
                </pt>
                <pt idx="361">
                  <v>0.009056065489808487</v>
                </pt>
                <pt idx="362">
                  <v>0.006940307898821259</v>
                </pt>
                <pt idx="363">
                  <v>0.007598591094567882</v>
                </pt>
                <pt idx="364">
                  <v>0.006549013203455596</v>
                </pt>
                <pt idx="365">
                  <v>0.007233443895626457</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Gas'!$A$8:$A$376</f>
              <numCache>
                <formatCode>[$-409]mmm\-yy;@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numCache>
            </numRef>
          </cat>
          <val>
            <numRef>
              <f>'Retail Sales ex Auto and Gas'!$C$8:$C$376</f>
              <numCache>
                <formatCode>0.00%</formatCode>
                <ptCount val="369"/>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-0.01425796613595715</v>
                </pt>
                <pt idx="354">
                  <v>0.01649261632766787</v>
                </pt>
                <pt idx="355">
                  <v>0.006365893023174219</v>
                </pt>
                <pt idx="356">
                  <v>0.01160533156689408</v>
                </pt>
                <pt idx="357">
                  <v>0.003463628667989222</v>
                </pt>
                <pt idx="358">
                  <v>-0.01756961840549005</v>
                </pt>
                <pt idx="359">
                  <v>0.02031131193245877</v>
                </pt>
                <pt idx="360">
                  <v>0.01184011032781409</v>
                </pt>
                <pt idx="361">
                  <v>0.009056065489808487</v>
                </pt>
                <pt idx="362">
                  <v>0.006940307898821259</v>
                </pt>
                <pt idx="363">
                  <v>0.007598591094567882</v>
                </pt>
                <pt idx="364">
                  <v>0.006549013203455596</v>
                </pt>
                <pt idx="365">
                  <v>0.007233443895626457</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Gas'!$A$19:$A$376</f>
              <numCache>
                <formatCode>[$-409]mmm\-yy;@</formatCode>
                <ptCount val="358"/>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numCache>
            </numRef>
          </cat>
          <val>
            <numRef>
              <f>'Retail Sales ex Auto and Gas'!$D$19:$D$376</f>
              <numCache>
                <formatCode>0.00%</formatCode>
                <ptCount val="358"/>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0.1363147056663129</v>
                </pt>
                <pt idx="343">
                  <v>0.1496915408837536</v>
                </pt>
                <pt idx="344">
                  <v>0.135595317336791</v>
                </pt>
                <pt idx="345">
                  <v>0.1529624175174651</v>
                </pt>
                <pt idx="346">
                  <v>0.1684089347251413</v>
                </pt>
                <pt idx="347">
                  <v>0.1658663704933985</v>
                </pt>
                <pt idx="348">
                  <v>0.1206808004108609</v>
                </pt>
                <pt idx="349">
                  <v>0.1576111855628428</v>
                </pt>
                <pt idx="350">
                  <v>0.06310203353549768</v>
                </pt>
                <pt idx="351">
                  <v>0.07545132580806305</v>
                </pt>
                <pt idx="352">
                  <v>0.08566125560799787</v>
                </pt>
                <pt idx="353">
                  <v>0.06985282808263424</v>
                </pt>
                <pt idx="354">
                  <v>0.09317804402340485</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'Retail Sales ex Auto and Gas'!$B$7:$B$376</f>
              <numCache>
                <formatCode>#,##0</formatCode>
                <ptCount val="370"/>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448625</v>
                </pt>
                <pt idx="355">
                  <v>456024</v>
                </pt>
                <pt idx="356">
                  <v>458927</v>
                </pt>
                <pt idx="357">
                  <v>464253</v>
                </pt>
                <pt idx="358">
                  <v>465861</v>
                </pt>
                <pt idx="359">
                  <v>457676</v>
                </pt>
                <pt idx="360">
                  <v>466972</v>
                </pt>
                <pt idx="361">
                  <v>472501</v>
                </pt>
                <pt idx="362">
                  <v>476780</v>
                </pt>
                <pt idx="363">
                  <v>480089</v>
                </pt>
                <pt idx="364">
                  <v>483737</v>
                </pt>
                <pt idx="365">
                  <v>486905</v>
                </pt>
                <pt idx="366">
                  <v>490427</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'Retail Sales'!$D$7:$D$378</f>
              <numCache>
                <formatCode>General</formatCode>
                <ptCount val="372"/>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0.1549990952960993</v>
                </pt>
                <pt idx="355">
                  <formatCode>0.00%</formatCode>
                  <v>0.1567551353693356</v>
                </pt>
                <pt idx="356">
                  <formatCode>0.00%</formatCode>
                  <v>0.1432110040208672</v>
                </pt>
                <pt idx="357">
                  <formatCode>0.00%</formatCode>
                  <v>0.1651671032944338</v>
                </pt>
                <pt idx="358">
                  <formatCode>0.00%</formatCode>
                  <v>0.1855474280754789</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0.08539612422700002</v>
                </pt>
                <pt idx="366">
                  <formatCode>0.00%</formatCode>
                  <v>0.1027730223844439</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'Retail Sales'!$B$7:$B$381</f>
              <numCache>
                <formatCode>#,##0</formatCode>
                <ptCount val="375"/>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619180</v>
                </pt>
                <pt idx="355">
                  <v>624738</v>
                </pt>
                <pt idx="356">
                  <v>630905</v>
                </pt>
                <pt idx="357">
                  <v>640899</v>
                </pt>
                <pt idx="358">
                  <v>644741</v>
                </pt>
                <pt idx="359">
                  <v>634393</v>
                </pt>
                <pt idx="360">
                  <v>651557</v>
                </pt>
                <pt idx="361">
                  <v>662321</v>
                </pt>
                <pt idx="362">
                  <v>669958</v>
                </pt>
                <pt idx="363">
                  <v>674719</v>
                </pt>
                <pt idx="364">
                  <v>677115</v>
                </pt>
                <pt idx="365">
                  <v>682585</v>
                </pt>
                <pt idx="366">
                  <v>682815</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Auto'!$A$19:$A$378</f>
              <numCache>
                <formatCode>[$-409]mmm\-yy;@</formatCode>
                <ptCount val="360"/>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numCache>
            </numRef>
          </cat>
          <val>
            <numRef>
              <f>'Retail Sales ex Auto'!$C$19:$C$378</f>
              <numCache>
                <formatCode>0.00%</formatCode>
                <ptCount val="360"/>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-0.009904265410399279</v>
                </pt>
                <pt idx="343">
                  <v>0.01753704456619314</v>
                </pt>
                <pt idx="344">
                  <v>0.009915991984919305</v>
                </pt>
                <pt idx="345">
                  <v>0.01502467878408023</v>
                </pt>
                <pt idx="346">
                  <v>0.005478251976435219</v>
                </pt>
                <pt idx="347">
                  <v>-0.01436275356478016</v>
                </pt>
                <pt idx="348">
                  <v>0.01617061212727761</v>
                </pt>
                <pt idx="349">
                  <v>0.01724881249149727</v>
                </pt>
                <pt idx="350">
                  <v>0.01985899230165024</v>
                </pt>
                <pt idx="351">
                  <v>0.004565636566463996</v>
                </pt>
                <pt idx="352">
                  <v>0.01253336961397883</v>
                </pt>
                <pt idx="353">
                  <v>0.008784783694221254</v>
                </pt>
                <pt idx="354">
                  <v>0.004147144428264661</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'Retail Sales ex Auto'!$B$7:$B$380</f>
              <numCache>
                <formatCode>#,##0</formatCode>
                <ptCount val="374"/>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496834</v>
                </pt>
                <pt idx="355">
                  <v>505547</v>
                </pt>
                <pt idx="356">
                  <v>510560</v>
                </pt>
                <pt idx="357">
                  <v>518231</v>
                </pt>
                <pt idx="358">
                  <v>521070</v>
                </pt>
                <pt idx="359">
                  <v>513586</v>
                </pt>
                <pt idx="360">
                  <v>521891</v>
                </pt>
                <pt idx="361">
                  <v>530893</v>
                </pt>
                <pt idx="362">
                  <v>541436</v>
                </pt>
                <pt idx="363">
                  <v>543908</v>
                </pt>
                <pt idx="364">
                  <v>550725</v>
                </pt>
                <pt idx="365">
                  <v>555563</v>
                </pt>
                <pt idx="366">
                  <v>557867</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'Retail Sales ex Auto'!$D$7:$D$381</f>
              <numCache>
                <formatCode>General</formatCode>
                <ptCount val="375"/>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0.1547431174536031</v>
                </pt>
                <pt idx="355">
                  <formatCode>0.00%</formatCode>
                  <v>0.16796852438413</v>
                </pt>
                <pt idx="356">
                  <formatCode>0.00%</formatCode>
                  <v>0.1581447363347042</v>
                </pt>
                <pt idx="357">
                  <formatCode>0.00%</formatCode>
                  <v>0.1789042897082944</v>
                </pt>
                <pt idx="358">
                  <formatCode>0.00%</formatCode>
                  <v>0.1981182183777221</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0.1071314696574758</v>
                </pt>
                <pt idx="366">
                  <formatCode>0.00%</formatCode>
                  <v>0.1228438472407283</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0.01949778847768882</v>
                </pt>
                <pt idx="343">
                  <v>0.05927511415525114</v>
                </pt>
                <pt idx="344">
                  <v>0.06754885586627268</v>
                </pt>
                <pt idx="345">
                  <v>0.08394919997129942</v>
                </pt>
                <pt idx="346">
                  <v>0.07548535422343325</v>
                </pt>
                <pt idx="347">
                  <v>0.08865010073875083</v>
                </pt>
                <pt idx="348">
                  <v>0.08011731363065946</v>
                </pt>
                <pt idx="349">
                  <v>0.07840042835604277</v>
                </pt>
                <pt idx="350">
                  <v>0.083565889298686</v>
                </pt>
                <pt idx="351">
                  <v>0.07343298510780173</v>
                </pt>
                <pt idx="352">
                  <v>0.07694747001240866</v>
                </pt>
                <pt idx="353">
                  <v>0.07778051315717489</v>
                </pt>
                <pt idx="354">
                  <v>0.08411933495338908</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72837</v>
                </pt>
                <pt idx="355">
                  <v>74234</v>
                </pt>
                <pt idx="356">
                  <v>74785</v>
                </pt>
                <pt idx="357">
                  <v>75535</v>
                </pt>
                <pt idx="358">
                  <v>75783</v>
                </pt>
                <pt idx="359">
                  <v>76187</v>
                </pt>
                <pt idx="360">
                  <v>76603</v>
                </pt>
                <pt idx="361">
                  <v>76533</v>
                </pt>
                <pt idx="362">
                  <v>77268</v>
                </pt>
                <pt idx="363">
                  <v>77270</v>
                </pt>
                <pt idx="364">
                  <v>78111</v>
                </pt>
                <pt idx="365">
                  <v>78803</v>
                </pt>
                <pt idx="366">
                  <v>78964</v>
                </pt>
              </numCache>
            </numRef>
          </val>
          <smooth val="0"/>
        </ser>
        <dLbls>
          <showLegendKey val="0"/>
          <showVal val="0"/>
          <showCatName val="0"/>
          <showSerName val="0"/>
          <showPercent val="0"/>
          <showBubbleSize val="0"/>
        </dLbls>
        <smooth val="0"/>
        <axId val="644217568"/>
        <axId val="644219216"/>
      </lineChart>
      <dateAx>
        <axId val="644217568"/>
        <scaling>
          <orientation val="minMax"/>
          <max val="44713"/>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92068</v>
                </pt>
                <pt idx="355">
                  <v>96886</v>
                </pt>
                <pt idx="356">
                  <v>97724</v>
                </pt>
                <pt idx="357">
                  <v>99837</v>
                </pt>
                <pt idx="358">
                  <v>100341</v>
                </pt>
                <pt idx="359">
                  <v>95958</v>
                </pt>
                <pt idx="360">
                  <v>102773</v>
                </pt>
                <pt idx="361">
                  <v>104095</v>
                </pt>
                <pt idx="362">
                  <v>102895</v>
                </pt>
                <pt idx="363">
                  <v>104003</v>
                </pt>
                <pt idx="364">
                  <v>106789</v>
                </pt>
                <pt idx="365">
                  <v>107765</v>
                </pt>
                <pt idx="366">
                  <v>110624</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0.05514807004675897</v>
                </pt>
                <pt idx="355">
                  <formatCode>0.00%</formatCode>
                  <v>0.1036108896229639</v>
                </pt>
                <pt idx="356">
                  <formatCode>0.00%</formatCode>
                  <v>0.1102224443889028</v>
                </pt>
                <pt idx="357">
                  <formatCode>0.00%</formatCode>
                  <v>0.1256468943434093</v>
                </pt>
                <pt idx="358">
                  <formatCode>0.00%</formatCode>
                  <v>0.1342451817102809</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0.09387212359288245</v>
                </pt>
                <pt idx="366">
                  <formatCode>0.00%</formatCode>
                  <v>0.2015466828865621</v>
                </pt>
              </numCache>
            </numRef>
          </val>
          <smooth val="0"/>
        </ser>
        <dLbls>
          <showLegendKey val="0"/>
          <showVal val="0"/>
          <showCatName val="0"/>
          <showSerName val="0"/>
          <showPercent val="0"/>
          <showBubbleSize val="0"/>
        </dLbls>
        <smooth val="0"/>
        <axId val="721545464"/>
        <axId val="721548088"/>
      </lineChart>
      <dateAx>
        <axId val="721545464"/>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32866</v>
                </pt>
                <pt idx="356">
                  <v>32710</v>
                </pt>
                <pt idx="357">
                  <v>32444</v>
                </pt>
                <pt idx="358">
                  <v>32793</v>
                </pt>
                <pt idx="359">
                  <v>32797</v>
                </pt>
                <pt idx="360">
                  <v>32815</v>
                </pt>
                <pt idx="361">
                  <v>32445</v>
                </pt>
                <pt idx="362">
                  <v>32763</v>
                </pt>
                <pt idx="363">
                  <v>32962</v>
                </pt>
                <pt idx="364">
                  <v>32985</v>
                </pt>
                <pt idx="365">
                  <v>33485</v>
                </pt>
                <pt idx="366">
                  <v>33623</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0.102811891819341</v>
                </pt>
                <pt idx="356">
                  <formatCode>0.00%</formatCode>
                  <v>0.08046508555195878</v>
                </pt>
                <pt idx="357">
                  <formatCode>0.00%</formatCode>
                  <v>0.07537288697381504</v>
                </pt>
                <pt idx="358">
                  <formatCode>0.00%</formatCode>
                  <v>0.1042157721058657</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0.02353660400427938</v>
                </pt>
                <pt idx="366">
                  <formatCode>0.00%</formatCode>
                  <v>0.03417199803149606</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8876</v>
                </pt>
                <pt idx="355">
                  <v>8951</v>
                </pt>
                <pt idx="356">
                  <v>8951</v>
                </pt>
                <pt idx="357">
                  <v>9020</v>
                </pt>
                <pt idx="358">
                  <v>9194</v>
                </pt>
                <pt idx="359">
                  <v>8968</v>
                </pt>
                <pt idx="360">
                  <v>8877</v>
                </pt>
                <pt idx="361">
                  <v>8916</v>
                </pt>
                <pt idx="362">
                  <v>9009</v>
                </pt>
                <pt idx="363">
                  <v>9069</v>
                </pt>
                <pt idx="364">
                  <v>9153</v>
                </pt>
                <pt idx="365">
                  <v>9206</v>
                </pt>
                <pt idx="366">
                  <v>9218</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0.1251109139307897</v>
                </pt>
                <pt idx="355">
                  <formatCode>0.00%</formatCode>
                  <v>0.1987411276282309</v>
                </pt>
                <pt idx="356">
                  <formatCode>0.00%</formatCode>
                  <v>0.139528962444303</v>
                </pt>
                <pt idx="357">
                  <formatCode>0.00%</formatCode>
                  <v>0.1617722823286966</v>
                </pt>
                <pt idx="358">
                  <formatCode>0.00%</formatCode>
                  <v>0.1996346555323591</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0.02779948643519035</v>
                </pt>
                <pt idx="366">
                  <formatCode>0.00%</formatCode>
                  <v>0.03853086976115367</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'General Merchandising'!$B$7:$B$375</f>
              <numCache>
                <formatCode>#,##0</formatCode>
                <ptCount val="369"/>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67006</v>
                </pt>
                <pt idx="355">
                  <v>67257</v>
                </pt>
                <pt idx="356">
                  <v>67760</v>
                </pt>
                <pt idx="357">
                  <v>68516</v>
                </pt>
                <pt idx="358">
                  <v>68402</v>
                </pt>
                <pt idx="359">
                  <v>67197</v>
                </pt>
                <pt idx="360">
                  <v>69233</v>
                </pt>
                <pt idx="361">
                  <v>67568</v>
                </pt>
                <pt idx="362">
                  <v>68468</v>
                </pt>
                <pt idx="363">
                  <v>68026</v>
                </pt>
                <pt idx="364">
                  <v>68053</v>
                </pt>
                <pt idx="365">
                  <v>67806</v>
                </pt>
                <pt idx="366">
                  <v>67334</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0.09520929700397182</v>
                </pt>
                <pt idx="355">
                  <formatCode>0.00%</formatCode>
                  <v>0.1210994799306574</v>
                </pt>
                <pt idx="356">
                  <formatCode>0.00%</formatCode>
                  <v>0.08783252259628506</v>
                </pt>
                <pt idx="357">
                  <formatCode>0.00%</formatCode>
                  <v>0.1147156918571545</v>
                </pt>
                <pt idx="358">
                  <formatCode>0.00%</formatCode>
                  <v>0.1132775625793431</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0.01373959065289219</v>
                </pt>
                <pt idx="366">
                  <formatCode>0.00%</formatCode>
                  <v>0.004895084022326359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'Food Services'!$B$7:$B$375</f>
              <numCache>
                <formatCode>#,##0</formatCode>
                <ptCount val="369"/>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77074</v>
                </pt>
                <pt idx="355">
                  <v>77792</v>
                </pt>
                <pt idx="356">
                  <v>78288</v>
                </pt>
                <pt idx="357">
                  <v>78603</v>
                </pt>
                <pt idx="358">
                  <v>79051</v>
                </pt>
                <pt idx="359">
                  <v>77583</v>
                </pt>
                <pt idx="360">
                  <v>75557</v>
                </pt>
                <pt idx="361">
                  <v>80553</v>
                </pt>
                <pt idx="362">
                  <v>82388</v>
                </pt>
                <pt idx="363">
                  <v>84481</v>
                </pt>
                <pt idx="364">
                  <v>85322</v>
                </pt>
                <pt idx="365">
                  <v>85991</v>
                </pt>
                <pt idx="366">
                  <v>86050</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0.4034378527987181</v>
                </pt>
                <pt idx="355">
                  <formatCode>0.00%</formatCode>
                  <v>0.3485187303898625</v>
                </pt>
                <pt idx="356">
                  <formatCode>0.00%</formatCode>
                  <v>0.3230805631136874</v>
                </pt>
                <pt idx="357">
                  <formatCode>0.00%</formatCode>
                  <v>0.3272377285851781</v>
                </pt>
                <pt idx="358">
                  <formatCode>0.00%</formatCode>
                  <v>0.3868353186786197</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0.1338924271793452</v>
                </pt>
                <pt idx="366">
                  <formatCode>0.00%</formatCode>
                  <v>0.1164595064483483</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'Gas Station'!$B$7:$B$376</f>
              <numCache>
                <formatCode>#,##0</formatCode>
                <ptCount val="37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48209</v>
                </pt>
                <pt idx="355">
                  <v>49523</v>
                </pt>
                <pt idx="356">
                  <v>51633</v>
                </pt>
                <pt idx="357">
                  <v>53978</v>
                </pt>
                <pt idx="358">
                  <v>55209</v>
                </pt>
                <pt idx="359">
                  <v>55910</v>
                </pt>
                <pt idx="360">
                  <v>54919</v>
                </pt>
                <pt idx="361">
                  <v>58392</v>
                </pt>
                <pt idx="362">
                  <v>64656</v>
                </pt>
                <pt idx="363">
                  <v>63819</v>
                </pt>
                <pt idx="364">
                  <v>66988</v>
                </pt>
                <pt idx="365">
                  <v>68658</v>
                </pt>
                <pt idx="366">
                  <v>67440</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0.3599921011058452</v>
                </pt>
                <pt idx="355">
                  <formatCode>0.00%</formatCode>
                  <v>0.3682654583632646</v>
                </pt>
                <pt idx="356">
                  <formatCode>0.00%</formatCode>
                  <v>0.4063572479163262</v>
                </pt>
                <pt idx="357">
                  <formatCode>0.00%</formatCode>
                  <v>0.4617884417483616</v>
                </pt>
                <pt idx="358">
                  <formatCode>0.00%</formatCode>
                  <v>0.5254054651451938</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0.4705076033411866</v>
                </pt>
                <pt idx="366">
                  <formatCode>0.00%</formatCode>
                  <v>0.3989089174220581</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Motor!$B$7:$B$376</f>
              <numCache>
                <formatCode>#,##0</formatCode>
                <ptCount val="37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122346</v>
                </pt>
                <pt idx="355">
                  <v>119191</v>
                </pt>
                <pt idx="356">
                  <v>120345</v>
                </pt>
                <pt idx="357">
                  <v>122668</v>
                </pt>
                <pt idx="358">
                  <v>123671</v>
                </pt>
                <pt idx="359">
                  <v>120807</v>
                </pt>
                <pt idx="360">
                  <v>129666</v>
                </pt>
                <pt idx="361">
                  <v>131428</v>
                </pt>
                <pt idx="362">
                  <v>128522</v>
                </pt>
                <pt idx="363">
                  <v>130811</v>
                </pt>
                <pt idx="364">
                  <v>126390</v>
                </pt>
                <pt idx="365">
                  <v>127022</v>
                </pt>
                <pt idx="366">
                  <v>124948</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0.1560397611308489</v>
                </pt>
                <pt idx="355">
                  <formatCode>0.00%</formatCode>
                  <v>0.1114934489672215</v>
                </pt>
                <pt idx="356">
                  <formatCode>0.00%</formatCode>
                  <v>0.08391576899520842</v>
                </pt>
                <pt idx="357">
                  <formatCode>0.00%</formatCode>
                  <v>0.1104995383027648</v>
                </pt>
                <pt idx="358">
                  <formatCode>0.00%</formatCode>
                  <v>0.1353567067852782</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-0.0004328084547164318</v>
                </pt>
                <pt idx="366">
                  <formatCode>0.00%</formatCode>
                  <v>0.02126755267846926</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Housing!$B$7:$B$381</f>
              <numCache>
                <formatCode>#,##0</formatCode>
                <ptCount val="375"/>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38759</v>
                </pt>
                <pt idx="355">
                  <v>39079</v>
                </pt>
                <pt idx="356">
                  <v>39167</v>
                </pt>
                <pt idx="357">
                  <v>40093</v>
                </pt>
                <pt idx="358">
                  <v>40880</v>
                </pt>
                <pt idx="359">
                  <v>41207</v>
                </pt>
                <pt idx="360">
                  <v>42170</v>
                </pt>
                <pt idx="361">
                  <v>42307</v>
                </pt>
                <pt idx="362">
                  <v>42572</v>
                </pt>
                <pt idx="363">
                  <v>42168</v>
                </pt>
                <pt idx="364">
                  <v>42257</v>
                </pt>
                <pt idx="365">
                  <v>42042</v>
                </pt>
                <pt idx="366">
                  <v>42655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Housing!$D$7:$D$380</f>
              <numCache>
                <formatCode>General</formatCode>
                <ptCount val="374"/>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0.0756230227007826</v>
                </pt>
                <pt idx="355">
                  <formatCode>0.00%</formatCode>
                  <v>0.06363463161046243</v>
                </pt>
                <pt idx="356">
                  <formatCode>0.00%</formatCode>
                  <v>0.06114874017881333</v>
                </pt>
                <pt idx="357">
                  <formatCode>0.00%</formatCode>
                  <v>0.09849854786563647</v>
                </pt>
                <pt idx="358">
                  <formatCode>0.00%</formatCode>
                  <v>0.1182536860245644</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0.07116104868913857</v>
                </pt>
                <pt idx="366">
                  <formatCode>0.00%</formatCode>
                  <v>0.1005185892308883</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'Furniture Home'!$B$7:$B$379</f>
              <numCache>
                <formatCode>#,##0</formatCode>
                <ptCount val="373"/>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20326</v>
                </pt>
                <pt idx="355">
                  <v>19879</v>
                </pt>
                <pt idx="356">
                  <v>19842</v>
                </pt>
                <pt idx="357">
                  <v>20255</v>
                </pt>
                <pt idx="358">
                  <v>19252</v>
                </pt>
                <pt idx="359">
                  <v>18443</v>
                </pt>
                <pt idx="360">
                  <v>19257</v>
                </pt>
                <pt idx="361">
                  <v>19617</v>
                </pt>
                <pt idx="362">
                  <v>19770</v>
                </pt>
                <pt idx="363">
                  <v>20080</v>
                </pt>
                <pt idx="364">
                  <v>19740</v>
                </pt>
                <pt idx="365">
                  <v>19685</v>
                </pt>
                <pt idx="366">
                  <v>19741</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'Furniture Home'!$D$7:$D$380</f>
              <numCache>
                <formatCode>General</formatCode>
                <ptCount val="374"/>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0.1954360995118508</v>
                </pt>
                <pt idx="355">
                  <formatCode>0.00%</formatCode>
                  <v>0.1349052295044531</v>
                </pt>
                <pt idx="356">
                  <formatCode>0.00%</formatCode>
                  <v>0.1318881916714204</v>
                </pt>
                <pt idx="357">
                  <formatCode>0.00%</formatCode>
                  <v>0.147722121486854</v>
                </pt>
                <pt idx="358">
                  <formatCode>0.00%</formatCode>
                  <v>0.1208010711998603</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-0.03736124015844296</v>
                </pt>
                <pt idx="366">
                  <formatCode>0.00%</formatCode>
                  <v>-0.02878087178982584</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'Miscellaneous stores retailers'!$B$7:$B$378</f>
              <numCache>
                <formatCode>#,##0</formatCode>
                <ptCount val="372"/>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13864</v>
                </pt>
                <pt idx="355">
                  <v>14060</v>
                </pt>
                <pt idx="356">
                  <v>14324</v>
                </pt>
                <pt idx="357">
                  <v>14463</v>
                </pt>
                <pt idx="358">
                  <v>14381</v>
                </pt>
                <pt idx="359">
                  <v>14285</v>
                </pt>
                <pt idx="360">
                  <v>14527</v>
                </pt>
                <pt idx="361">
                  <v>14986</v>
                </pt>
                <pt idx="362">
                  <v>15490</v>
                </pt>
                <pt idx="363">
                  <v>15864</v>
                </pt>
                <pt idx="364">
                  <v>15515</v>
                </pt>
                <pt idx="365">
                  <v>16082</v>
                </pt>
                <pt idx="366">
                  <v>16327</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'Miscellaneous stores retailers'!$D$7:$D$378</f>
              <numCache>
                <formatCode>General</formatCode>
                <ptCount val="372"/>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0.2607074656724561</v>
                </pt>
                <pt idx="355">
                  <formatCode>0.00%</formatCode>
                  <v>0.2582781456953642</v>
                </pt>
                <pt idx="356">
                  <formatCode>0.00%</formatCode>
                  <v>0.2791569923200571</v>
                </pt>
                <pt idx="357">
                  <formatCode>0.00%</formatCode>
                  <v>0.2899571887263646</v>
                </pt>
                <pt idx="358">
                  <formatCode>0.00%</formatCode>
                  <v>0.2807017543859649</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0.1835443037974684</v>
                </pt>
                <pt idx="366">
                  <formatCode>0.00%</formatCode>
                  <v>0.1776543566070398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numCache>
            </numRef>
          </cat>
          <val>
            <numRef>
              <f>'Clothing and clothing access'!$B$7:$B$379</f>
              <numCache>
                <formatCode>#,##0</formatCode>
                <ptCount val="373"/>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25303</v>
                </pt>
                <pt idx="355">
                  <v>25020</v>
                </pt>
                <pt idx="356">
                  <v>25376</v>
                </pt>
                <pt idx="357">
                  <v>25487</v>
                </pt>
                <pt idx="358">
                  <v>25784</v>
                </pt>
                <pt idx="359">
                  <v>25051</v>
                </pt>
                <pt idx="360">
                  <v>25160</v>
                </pt>
                <pt idx="361">
                  <v>25481</v>
                </pt>
                <pt idx="362">
                  <v>26157</v>
                </pt>
                <pt idx="363">
                  <v>26166</v>
                </pt>
                <pt idx="364">
                  <v>25812</v>
                </pt>
                <pt idx="365">
                  <v>26040</v>
                </pt>
                <pt idx="366">
                  <v>25891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access'!$A$19:$A$380</f>
              <numCache>
                <formatCode>[$-409]mmm\-yy;@</formatCode>
                <ptCount val="36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numCache>
            </numRef>
          </cat>
          <val>
            <numRef>
              <f>'Clothing and clothing access'!$D$19:$D$380</f>
              <numCache>
                <formatCode>0.00%</formatCode>
                <ptCount val="362"/>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0.4126284055381867</v>
                </pt>
                <pt idx="343">
                  <v>0.3597826086956522</v>
                </pt>
                <pt idx="344">
                  <v>0.2184183991933548</v>
                </pt>
                <pt idx="345">
                  <v>0.255331724375708</v>
                </pt>
                <pt idx="346">
                  <v>0.355839512015565</v>
                </pt>
                <pt idx="347">
                  <v>0.2521117608836907</v>
                </pt>
                <pt idx="348">
                  <v>0.1928127814914901</v>
                </pt>
                <pt idx="349">
                  <v>0.2801949356913183</v>
                </pt>
                <pt idx="350">
                  <v>0.08901286481535452</v>
                </pt>
                <pt idx="351">
                  <v>0.0870793518903199</v>
                </pt>
                <pt idx="352">
                  <v>0.04126830448989471</v>
                </pt>
                <pt idx="353">
                  <v>0.009341447342920268</v>
                </pt>
                <pt idx="354">
                  <v>0.02323835118365411</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80960</rowOff>
    </from>
    <to>
      <col>16</col>
      <colOff>333375</colOff>
      <row>371</row>
      <rowOff>119061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409574</colOff>
      <row>318</row>
      <rowOff>87312</rowOff>
    </from>
    <to>
      <col>16</col>
      <colOff>365125</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14</col>
      <colOff>500063</colOff>
      <row>371</row>
      <rowOff>174625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138904</colOff>
      <row>324</row>
      <rowOff>39687</rowOff>
    </from>
    <to>
      <col>14</col>
      <colOff>515937</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322</row>
      <rowOff>114300</rowOff>
    </from>
    <to>
      <col>16</col>
      <colOff>19050</colOff>
      <row>348</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16</col>
      <colOff>25400</colOff>
      <row>372</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328</row>
      <rowOff>127000</rowOff>
    </from>
    <to>
      <col>15</col>
      <colOff>404813</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15</col>
      <colOff>404813</colOff>
      <row>373</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180974</colOff>
      <row>322</row>
      <rowOff>1</rowOff>
    </from>
    <to>
      <col>16</col>
      <colOff>683846</colOff>
      <row>350</row>
      <rowOff>76202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68384</colOff>
      <row>377</row>
      <rowOff>9769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333</row>
      <rowOff>160868</rowOff>
    </from>
    <to>
      <col>14</col>
      <colOff>8467</colOff>
      <row>352</row>
      <rowOff>168276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223309</colOff>
      <row>353</row>
      <rowOff>118534</rowOff>
    </from>
    <to>
      <col>14</col>
      <colOff>0</colOff>
      <row>374</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13</col>
      <colOff>372533</colOff>
      <row>353</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191615</colOff>
      <row>354</row>
      <rowOff>190778</rowOff>
    </from>
    <to>
      <col>13</col>
      <colOff>338667</colOff>
      <row>375</row>
      <rowOff>25401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92073</colOff>
      <row>326</row>
      <rowOff>108857</rowOff>
    </from>
    <to>
      <col>14</col>
      <colOff>435429</colOff>
      <row>348</row>
      <rowOff>116474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55144</rowOff>
    </from>
    <to>
      <col>14</col>
      <colOff>408214</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98424</colOff>
      <row>322</row>
      <rowOff>72572</rowOff>
    </from>
    <to>
      <col>15</col>
      <colOff>498929</colOff>
      <row>349</row>
      <rowOff>161926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107948</colOff>
      <row>350</row>
      <rowOff>85724</rowOff>
    </from>
    <to>
      <col>15</col>
      <colOff>544286</colOff>
      <row>375</row>
      <rowOff>18143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101599</colOff>
      <row>329</row>
      <rowOff>186268</rowOff>
    </from>
    <to>
      <col>13</col>
      <colOff>516466</colOff>
      <row>349</row>
      <rowOff>158751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114299</colOff>
      <row>350</row>
      <rowOff>88899</rowOff>
    </from>
    <to>
      <col>13</col>
      <colOff>465666</colOff>
      <row>373</row>
      <rowOff>33865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135390</colOff>
      <row>329</row>
      <rowOff>181429</rowOff>
    </from>
    <to>
      <col>13</col>
      <colOff>535213</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139246</colOff>
      <row>349</row>
      <rowOff>42635</rowOff>
    </from>
    <to>
      <col>13</col>
      <colOff>526143</colOff>
      <row>372</row>
      <rowOff>136070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227106</colOff>
      <row>341</row>
      <rowOff>73585</rowOff>
    </from>
    <to>
      <col>11</col>
      <colOff>624541</colOff>
      <row>355</row>
      <rowOff>153520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163980</colOff>
      <row>357</row>
      <rowOff>68169</rowOff>
    </from>
    <to>
      <col>11</col>
      <colOff>561415</colOff>
      <row>371</row>
      <rowOff>148104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169528</colOff>
      <row>347</row>
      <rowOff>86894</rowOff>
    </from>
    <to>
      <col>13</col>
      <colOff>461211</colOff>
      <row>369</row>
      <rowOff>66842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150394</colOff>
      <row>370</row>
      <rowOff>115637</rowOff>
    </from>
    <to>
      <col>13</col>
      <colOff>514685</colOff>
      <row>392</row>
      <rowOff>113632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3" headerRowCount="1" totalsRowShown="0" headerRowDxfId="64" dataDxfId="62" headerRowBorderDxfId="63" tableBorderDxfId="61">
  <autoFilter ref="A6:D373"/>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3" headerRowCount="1" totalsRowShown="0" headerRowDxfId="56" dataDxfId="54" headerRowBorderDxfId="55" tableBorderDxfId="53">
  <autoFilter ref="A6:D373"/>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3" headerRowCount="1" totalsRowShown="0" headerRowDxfId="48" dataDxfId="46" headerRowBorderDxfId="47" tableBorderDxfId="45">
  <autoFilter ref="A6:D373"/>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3" headerRowCount="1" totalsRowShown="0" headerRowDxfId="40" headerRowBorderDxfId="39" tableBorderDxfId="38">
  <autoFilter ref="A6:D373"/>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3" headerRowCount="1" totalsRowShown="0" headerRowDxfId="33" tableBorderDxfId="32">
  <autoFilter ref="A6:D373"/>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3" headerRowCount="1" totalsRowShown="0" headerRowDxfId="27" headerRowBorderDxfId="26" tableBorderDxfId="25">
  <autoFilter ref="A6:D373"/>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3" headerRowCount="1" totalsRowShown="0" headerRowDxfId="20" headerRowBorderDxfId="19" tableBorderDxfId="18">
  <autoFilter ref="A6:D373"/>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zoomScale="140" zoomScaleNormal="140" workbookViewId="0">
      <selection activeCell="P14" sqref="P14"/>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28"/>
    <col width="9.1640625" customWidth="1" style="122" min="29"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44713</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9"/>
  <sheetViews>
    <sheetView topLeftCell="A354" zoomScale="150" zoomScaleNormal="150" workbookViewId="0">
      <selection activeCell="P14" sqref="P14"/>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5"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5"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5"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5"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5"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5"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5"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5"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5"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5"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5"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5"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5"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5"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5"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5"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5"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5"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5"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5"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5"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5"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5"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5"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5"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5"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5"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5"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5"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5"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5"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5"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5"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5"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5"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5"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5"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5"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5"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5"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5"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5"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5"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5"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5"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5"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5"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5"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5"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5"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5"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5"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5"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5"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5"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5"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5"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5"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5"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5"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5"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5"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5"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5"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5"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5"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5"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5"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5"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5"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5"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5"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5"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5"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5"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5"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5"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5"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5"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5"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5"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5"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5"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5"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5"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5"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5"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5"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5"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5"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5"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5"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5"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5"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5"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5"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5"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5"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5"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5"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5"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5"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5"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5"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5"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5"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5"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5"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5"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5"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5"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5"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5"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5"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5"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5"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5"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5"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5"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5"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5"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5"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5"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5"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5"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5"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5"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5"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5"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5"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5"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5"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5"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5"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5"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5"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5"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5"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5" t="n">
        <v>44409</v>
      </c>
      <c r="B357" t="n">
        <v>456295</v>
      </c>
      <c r="C357" t="n">
        <v>626026</v>
      </c>
      <c r="D357" t="n">
        <v>39054</v>
      </c>
      <c r="E357" t="n">
        <v>25023</v>
      </c>
      <c r="F357" t="n">
        <v>74107</v>
      </c>
      <c r="G357" t="n">
        <v>8047</v>
      </c>
      <c r="H357" t="n">
        <v>11971</v>
      </c>
      <c r="I357" t="n">
        <v>77716</v>
      </c>
      <c r="J357" t="n">
        <v>506098</v>
      </c>
      <c r="K357" t="n">
        <v>49803</v>
      </c>
      <c r="L357" t="n">
        <v>67256</v>
      </c>
      <c r="M357" t="n">
        <v>32866</v>
      </c>
      <c r="N357" t="n">
        <v>14042</v>
      </c>
      <c r="O357" t="n">
        <v>119928</v>
      </c>
      <c r="P357" t="n">
        <v>97420</v>
      </c>
      <c r="Q357" t="n">
        <v>8793</v>
      </c>
    </row>
    <row r="358">
      <c r="A358" s="135" t="n">
        <v>44440</v>
      </c>
      <c r="B358" t="n">
        <v>458927</v>
      </c>
      <c r="C358" t="n">
        <v>630905</v>
      </c>
      <c r="D358" t="n">
        <v>39167</v>
      </c>
      <c r="E358" t="n">
        <v>25376</v>
      </c>
      <c r="F358" t="n">
        <v>74785</v>
      </c>
      <c r="G358" t="n">
        <v>7987</v>
      </c>
      <c r="H358" t="n">
        <v>11855</v>
      </c>
      <c r="I358" t="n">
        <v>78288</v>
      </c>
      <c r="J358" t="n">
        <v>510560</v>
      </c>
      <c r="K358" t="n">
        <v>51633</v>
      </c>
      <c r="L358" t="n">
        <v>67760</v>
      </c>
      <c r="M358" t="n">
        <v>32710</v>
      </c>
      <c r="N358" t="n">
        <v>14324</v>
      </c>
      <c r="O358" t="n">
        <v>120345</v>
      </c>
      <c r="P358" t="n">
        <v>97724</v>
      </c>
      <c r="Q358" t="n">
        <v>8951</v>
      </c>
    </row>
    <row r="359">
      <c r="A359" s="135" t="n">
        <v>44470</v>
      </c>
      <c r="B359" t="n">
        <v>464253</v>
      </c>
      <c r="C359" t="n">
        <v>640899</v>
      </c>
      <c r="D359" t="n">
        <v>40093</v>
      </c>
      <c r="E359" t="n">
        <v>25487</v>
      </c>
      <c r="F359" t="n">
        <v>75535</v>
      </c>
      <c r="G359" t="n">
        <v>8191</v>
      </c>
      <c r="H359" t="n">
        <v>12064</v>
      </c>
      <c r="I359" t="n">
        <v>78603</v>
      </c>
      <c r="J359" t="n">
        <v>518231</v>
      </c>
      <c r="K359" t="n">
        <v>53978</v>
      </c>
      <c r="L359" t="n">
        <v>68516</v>
      </c>
      <c r="M359" t="n">
        <v>32444</v>
      </c>
      <c r="N359" t="n">
        <v>14463</v>
      </c>
      <c r="O359" t="n">
        <v>122668</v>
      </c>
      <c r="P359" t="n">
        <v>99837</v>
      </c>
      <c r="Q359" t="n">
        <v>9020</v>
      </c>
    </row>
    <row r="360">
      <c r="A360" s="135" t="n">
        <v>44501</v>
      </c>
      <c r="B360" t="n">
        <v>465861</v>
      </c>
      <c r="C360" t="n">
        <v>644741</v>
      </c>
      <c r="D360" t="n">
        <v>40880</v>
      </c>
      <c r="E360" t="n">
        <v>25784</v>
      </c>
      <c r="F360" t="n">
        <v>75783</v>
      </c>
      <c r="G360" t="n">
        <v>7227</v>
      </c>
      <c r="H360" t="n">
        <v>12025</v>
      </c>
      <c r="I360" t="n">
        <v>79051</v>
      </c>
      <c r="J360" t="n">
        <v>521070</v>
      </c>
      <c r="K360" t="n">
        <v>55209</v>
      </c>
      <c r="L360" t="n">
        <v>68402</v>
      </c>
      <c r="M360" t="n">
        <v>32793</v>
      </c>
      <c r="N360" t="n">
        <v>14381</v>
      </c>
      <c r="O360" t="n">
        <v>123671</v>
      </c>
      <c r="P360" t="n">
        <v>100341</v>
      </c>
      <c r="Q360" t="n">
        <v>9194</v>
      </c>
    </row>
    <row r="361">
      <c r="A361" s="135"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5"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5"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5"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5"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5"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5"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5" t="n">
        <v>44743</v>
      </c>
      <c r="B368" t="n">
        <v>489508</v>
      </c>
      <c r="C368" t="n">
        <v>681300</v>
      </c>
      <c r="D368" t="n">
        <v>42684</v>
      </c>
      <c r="E368" t="n">
        <v>25788</v>
      </c>
      <c r="F368" t="n">
        <v>79083</v>
      </c>
      <c r="G368" t="n">
        <v>7600</v>
      </c>
      <c r="H368" t="n">
        <v>11936</v>
      </c>
      <c r="I368" t="n">
        <v>85229</v>
      </c>
      <c r="J368" t="n">
        <v>556730</v>
      </c>
      <c r="K368" t="n">
        <v>67222</v>
      </c>
      <c r="L368" t="n">
        <v>69349</v>
      </c>
      <c r="M368" t="n">
        <v>33571</v>
      </c>
      <c r="N368" t="n">
        <v>15929</v>
      </c>
      <c r="O368" t="n">
        <v>124570</v>
      </c>
      <c r="P368" t="n">
        <v>109103</v>
      </c>
      <c r="Q368" t="n">
        <v>9236</v>
      </c>
    </row>
    <row r="369">
      <c r="A369" s="135" t="n">
        <v>44774</v>
      </c>
      <c r="B369" t="n">
        <v>490909</v>
      </c>
      <c r="C369" t="n">
        <v>683291</v>
      </c>
      <c r="D369" t="n">
        <v>43165</v>
      </c>
      <c r="E369" t="n">
        <v>25898</v>
      </c>
      <c r="F369" t="n">
        <v>79466</v>
      </c>
      <c r="G369" t="n">
        <v>7589</v>
      </c>
      <c r="H369" t="n">
        <v>11783</v>
      </c>
      <c r="I369" t="n">
        <v>86161</v>
      </c>
      <c r="J369" t="n">
        <v>555292</v>
      </c>
      <c r="K369" t="n">
        <v>64383</v>
      </c>
      <c r="L369" t="n">
        <v>69700</v>
      </c>
      <c r="M369" t="n">
        <v>33362</v>
      </c>
      <c r="N369" t="n">
        <v>16189</v>
      </c>
      <c r="O369" t="n">
        <v>127999</v>
      </c>
      <c r="P369" t="n">
        <v>108315</v>
      </c>
      <c r="Q369" t="n">
        <v>9281</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topLeftCell="A2" zoomScale="130" zoomScaleNormal="130" workbookViewId="0">
      <selection activeCell="E4" sqref="E4"/>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22"/>
    <col width="9.1640625" customWidth="1" style="122" min="23" max="16384"/>
  </cols>
  <sheetData>
    <row r="1" ht="16" customHeight="1" s="95" thickBot="1"/>
    <row r="2">
      <c r="D2" s="4" t="inlineStr">
        <is>
          <t>Previous</t>
        </is>
      </c>
      <c r="E2" s="6">
        <f>DATE(YEAR(E3),MONTH(E3)-1,DAY(E3))</f>
        <v/>
      </c>
    </row>
    <row r="3" ht="16" customHeight="1" s="95" thickBot="1">
      <c r="D3" s="5" t="inlineStr">
        <is>
          <t>Latest</t>
        </is>
      </c>
      <c r="E3" s="7" t="n">
        <v>44743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3"/>
  <sheetViews>
    <sheetView tabSelected="1" zoomScale="140" zoomScaleNormal="140" workbookViewId="0">
      <pane ySplit="3" topLeftCell="A48" activePane="bottomLeft" state="frozen"/>
      <selection activeCell="B1" sqref="B1"/>
      <selection pane="bottomLeft" activeCell="O68" sqref="O68"/>
    </sheetView>
  </sheetViews>
  <sheetFormatPr baseColWidth="10" defaultColWidth="9.1640625" defaultRowHeight="15"/>
  <cols>
    <col width="3" customWidth="1" style="122" min="1" max="1"/>
    <col width="7.6640625" customWidth="1" style="122" min="2" max="32"/>
    <col width="9.1640625" customWidth="1" style="122" min="33" max="41"/>
    <col width="9.1640625" customWidth="1" style="122" min="42"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3">
    <cfRule type="colorScale" priority="243">
      <colorScale>
        <cfvo type="min"/>
        <cfvo type="percentile" val="50"/>
        <cfvo type="max"/>
        <color rgb="FFF8696B"/>
        <color rgb="FFFFEB84"/>
        <color rgb="FF63BE7B"/>
      </colorScale>
    </cfRule>
  </conditionalFormatting>
  <conditionalFormatting sqref="D4:D63">
    <cfRule type="colorScale" priority="244">
      <colorScale>
        <cfvo type="min"/>
        <cfvo type="percentile" val="50"/>
        <cfvo type="max"/>
        <color rgb="FFF8696B"/>
        <color rgb="FFFFEB84"/>
        <color rgb="FF63BE7B"/>
      </colorScale>
    </cfRule>
  </conditionalFormatting>
  <conditionalFormatting sqref="E4:E63">
    <cfRule type="colorScale" priority="245">
      <colorScale>
        <cfvo type="min"/>
        <cfvo type="percentile" val="50"/>
        <cfvo type="max"/>
        <color rgb="FFF8696B"/>
        <color rgb="FFFFEB84"/>
        <color rgb="FF63BE7B"/>
      </colorScale>
    </cfRule>
  </conditionalFormatting>
  <conditionalFormatting sqref="F4:F63">
    <cfRule type="colorScale" priority="246">
      <colorScale>
        <cfvo type="min"/>
        <cfvo type="percentile" val="50"/>
        <cfvo type="max"/>
        <color rgb="FFF8696B"/>
        <color rgb="FFFFEB84"/>
        <color rgb="FF63BE7B"/>
      </colorScale>
    </cfRule>
  </conditionalFormatting>
  <conditionalFormatting sqref="G4:G63">
    <cfRule type="colorScale" priority="247">
      <colorScale>
        <cfvo type="min"/>
        <cfvo type="percentile" val="50"/>
        <cfvo type="max"/>
        <color rgb="FFF8696B"/>
        <color rgb="FFFFEB84"/>
        <color rgb="FF63BE7B"/>
      </colorScale>
    </cfRule>
  </conditionalFormatting>
  <conditionalFormatting sqref="H4:H63">
    <cfRule type="colorScale" priority="248">
      <colorScale>
        <cfvo type="min"/>
        <cfvo type="percentile" val="50"/>
        <cfvo type="max"/>
        <color rgb="FFF8696B"/>
        <color rgb="FFFFEB84"/>
        <color rgb="FF63BE7B"/>
      </colorScale>
    </cfRule>
  </conditionalFormatting>
  <conditionalFormatting sqref="I4:I63">
    <cfRule type="colorScale" priority="249">
      <colorScale>
        <cfvo type="min"/>
        <cfvo type="percentile" val="50"/>
        <cfvo type="max"/>
        <color rgb="FFF8696B"/>
        <color rgb="FFFFEB84"/>
        <color rgb="FF63BE7B"/>
      </colorScale>
    </cfRule>
  </conditionalFormatting>
  <conditionalFormatting sqref="J4:J63">
    <cfRule type="colorScale" priority="250">
      <colorScale>
        <cfvo type="min"/>
        <cfvo type="percentile" val="50"/>
        <cfvo type="max"/>
        <color rgb="FFF8696B"/>
        <color rgb="FFFFEB84"/>
        <color rgb="FF63BE7B"/>
      </colorScale>
    </cfRule>
  </conditionalFormatting>
  <conditionalFormatting sqref="K4:K63">
    <cfRule type="colorScale" priority="251">
      <colorScale>
        <cfvo type="min"/>
        <cfvo type="percentile" val="50"/>
        <cfvo type="max"/>
        <color rgb="FFF8696B"/>
        <color rgb="FFFFEB84"/>
        <color rgb="FF63BE7B"/>
      </colorScale>
    </cfRule>
  </conditionalFormatting>
  <conditionalFormatting sqref="L4:L63">
    <cfRule type="colorScale" priority="252">
      <colorScale>
        <cfvo type="min"/>
        <cfvo type="percentile" val="50"/>
        <cfvo type="max"/>
        <color rgb="FFF8696B"/>
        <color rgb="FFFFEB84"/>
        <color rgb="FF63BE7B"/>
      </colorScale>
    </cfRule>
  </conditionalFormatting>
  <conditionalFormatting sqref="M4:M63">
    <cfRule type="colorScale" priority="253">
      <colorScale>
        <cfvo type="min"/>
        <cfvo type="percentile" val="50"/>
        <cfvo type="max"/>
        <color rgb="FFF8696B"/>
        <color rgb="FFFFEB84"/>
        <color rgb="FF63BE7B"/>
      </colorScale>
    </cfRule>
  </conditionalFormatting>
  <conditionalFormatting sqref="O4:O63">
    <cfRule type="colorScale" priority="254">
      <colorScale>
        <cfvo type="min"/>
        <cfvo type="percentile" val="50"/>
        <cfvo type="max"/>
        <color rgb="FFF8696B"/>
        <color rgb="FFFFEB84"/>
        <color rgb="FF63BE7B"/>
      </colorScale>
    </cfRule>
  </conditionalFormatting>
  <conditionalFormatting sqref="P4:P63">
    <cfRule type="colorScale" priority="255">
      <colorScale>
        <cfvo type="min"/>
        <cfvo type="percentile" val="50"/>
        <cfvo type="max"/>
        <color rgb="FFF8696B"/>
        <color rgb="FFFFEB84"/>
        <color rgb="FF63BE7B"/>
      </colorScale>
    </cfRule>
  </conditionalFormatting>
  <conditionalFormatting sqref="Q4:Q63">
    <cfRule type="colorScale" priority="256">
      <colorScale>
        <cfvo type="min"/>
        <cfvo type="percentile" val="50"/>
        <cfvo type="max"/>
        <color rgb="FFF8696B"/>
        <color rgb="FFFFEB84"/>
        <color rgb="FF63BE7B"/>
      </colorScale>
    </cfRule>
  </conditionalFormatting>
  <conditionalFormatting sqref="R4:R63">
    <cfRule type="colorScale" priority="257">
      <colorScale>
        <cfvo type="min"/>
        <cfvo type="percentile" val="50"/>
        <cfvo type="max"/>
        <color rgb="FFF8696B"/>
        <color rgb="FFFFEB84"/>
        <color rgb="FF63BE7B"/>
      </colorScale>
    </cfRule>
  </conditionalFormatting>
  <conditionalFormatting sqref="S4:S63">
    <cfRule type="colorScale" priority="258">
      <colorScale>
        <cfvo type="min"/>
        <cfvo type="percentile" val="50"/>
        <cfvo type="max"/>
        <color rgb="FFF8696B"/>
        <color rgb="FFFFEB84"/>
        <color rgb="FF63BE7B"/>
      </colorScale>
    </cfRule>
  </conditionalFormatting>
  <conditionalFormatting sqref="T4:T63">
    <cfRule type="colorScale" priority="259">
      <colorScale>
        <cfvo type="min"/>
        <cfvo type="percentile" val="50"/>
        <cfvo type="max"/>
        <color rgb="FFF8696B"/>
        <color rgb="FFFFEB84"/>
        <color rgb="FF63BE7B"/>
      </colorScale>
    </cfRule>
  </conditionalFormatting>
  <conditionalFormatting sqref="U4:U63">
    <cfRule type="colorScale" priority="260">
      <colorScale>
        <cfvo type="min"/>
        <cfvo type="percentile" val="50"/>
        <cfvo type="max"/>
        <color rgb="FFF8696B"/>
        <color rgb="FFFFEB84"/>
        <color rgb="FF63BE7B"/>
      </colorScale>
    </cfRule>
  </conditionalFormatting>
  <conditionalFormatting sqref="V4:V63">
    <cfRule type="colorScale" priority="261">
      <colorScale>
        <cfvo type="min"/>
        <cfvo type="percentile" val="50"/>
        <cfvo type="max"/>
        <color rgb="FFF8696B"/>
        <color rgb="FFFFEB84"/>
        <color rgb="FF63BE7B"/>
      </colorScale>
    </cfRule>
  </conditionalFormatting>
  <conditionalFormatting sqref="W4:W63">
    <cfRule type="colorScale" priority="262">
      <colorScale>
        <cfvo type="min"/>
        <cfvo type="percentile" val="50"/>
        <cfvo type="max"/>
        <color rgb="FFF8696B"/>
        <color rgb="FFFFEB84"/>
        <color rgb="FF63BE7B"/>
      </colorScale>
    </cfRule>
  </conditionalFormatting>
  <conditionalFormatting sqref="X4:X63">
    <cfRule type="colorScale" priority="265">
      <colorScale>
        <cfvo type="min"/>
        <cfvo type="percentile" val="50"/>
        <cfvo type="max"/>
        <color rgb="FFF8696B"/>
        <color rgb="FFFFEB84"/>
        <color rgb="FF63BE7B"/>
      </colorScale>
    </cfRule>
  </conditionalFormatting>
  <conditionalFormatting sqref="Y4:Y63">
    <cfRule type="colorScale" priority="268">
      <colorScale>
        <cfvo type="min"/>
        <cfvo type="percentile" val="50"/>
        <cfvo type="max"/>
        <color rgb="FFF8696B"/>
        <color rgb="FFFFEB84"/>
        <color rgb="FF63BE7B"/>
      </colorScale>
    </cfRule>
  </conditionalFormatting>
  <conditionalFormatting sqref="Z4:Z63">
    <cfRule type="colorScale" priority="269">
      <colorScale>
        <cfvo type="min"/>
        <cfvo type="percentile" val="50"/>
        <cfvo type="max"/>
        <color rgb="FFF8696B"/>
        <color rgb="FFFFEB84"/>
        <color rgb="FF63BE7B"/>
      </colorScale>
    </cfRule>
  </conditionalFormatting>
  <conditionalFormatting sqref="AA4:AA63">
    <cfRule type="colorScale" priority="270">
      <colorScale>
        <cfvo type="min"/>
        <cfvo type="percentile" val="50"/>
        <cfvo type="max"/>
        <color rgb="FFF8696B"/>
        <color rgb="FFFFEB84"/>
        <color rgb="FF63BE7B"/>
      </colorScale>
    </cfRule>
  </conditionalFormatting>
  <conditionalFormatting sqref="AB4:AB63">
    <cfRule type="colorScale" priority="271">
      <colorScale>
        <cfvo type="min"/>
        <cfvo type="percentile" val="50"/>
        <cfvo type="max"/>
        <color rgb="FFF8696B"/>
        <color rgb="FFFFEB84"/>
        <color rgb="FF63BE7B"/>
      </colorScale>
    </cfRule>
  </conditionalFormatting>
  <conditionalFormatting sqref="AC4:AC63">
    <cfRule type="colorScale" priority="272">
      <colorScale>
        <cfvo type="min"/>
        <cfvo type="percentile" val="50"/>
        <cfvo type="max"/>
        <color rgb="FFF8696B"/>
        <color rgb="FFFFEB84"/>
        <color rgb="FF63BE7B"/>
      </colorScale>
    </cfRule>
  </conditionalFormatting>
  <conditionalFormatting sqref="AD4:AD63">
    <cfRule type="colorScale" priority="273">
      <colorScale>
        <cfvo type="min"/>
        <cfvo type="percentile" val="50"/>
        <cfvo type="max"/>
        <color rgb="FFF8696B"/>
        <color rgb="FFFFEB84"/>
        <color rgb="FF63BE7B"/>
      </colorScale>
    </cfRule>
  </conditionalFormatting>
  <conditionalFormatting sqref="AE4:AE63">
    <cfRule type="colorScale" priority="274">
      <colorScale>
        <cfvo type="min"/>
        <cfvo type="percentile" val="50"/>
        <cfvo type="max"/>
        <color rgb="FFF8696B"/>
        <color rgb="FFFFEB84"/>
        <color rgb="FF63BE7B"/>
      </colorScale>
    </cfRule>
  </conditionalFormatting>
  <conditionalFormatting sqref="AF4:AF63">
    <cfRule type="colorScale" priority="275">
      <colorScale>
        <cfvo type="min"/>
        <cfvo type="percentile" val="50"/>
        <cfvo type="max"/>
        <color rgb="FFF8696B"/>
        <color rgb="FFFFEB84"/>
        <color rgb="FF63BE7B"/>
      </colorScale>
    </cfRule>
  </conditionalFormatting>
  <conditionalFormatting sqref="N4:N63">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0"/>
  <sheetViews>
    <sheetView zoomScale="170" zoomScaleNormal="170" workbookViewId="0">
      <pane ySplit="6" topLeftCell="A360" activePane="bottomLeft" state="frozen"/>
      <selection pane="bottomLeft" activeCell="A365" sqref="A365:D373"/>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A369" s="11" t="n">
        <v>44621</v>
      </c>
      <c r="B369" s="15">
        <f>VLOOKUP(A369,Database!A:M,MATCH($A$1,Database!$A$1:$M$1,),)</f>
        <v/>
      </c>
      <c r="C369" s="12">
        <f>(B369-B368)/B368</f>
        <v/>
      </c>
      <c r="D369" s="13">
        <f>(B369-B357)/B357</f>
        <v/>
      </c>
    </row>
    <row r="370" customFormat="1" s="122">
      <c r="A370" s="10" t="n">
        <v>44652</v>
      </c>
      <c r="B370" s="15">
        <f>VLOOKUP(A370,Database!A:M,MATCH($A$1,Database!$A$1:$M$1,),)</f>
        <v/>
      </c>
      <c r="C370" s="12">
        <f>(B370-B369)/B369</f>
        <v/>
      </c>
      <c r="D370" s="13">
        <f>(B370-B358)/B358</f>
        <v/>
      </c>
    </row>
    <row r="371" customFormat="1" s="122">
      <c r="A371" s="11" t="n">
        <v>44682</v>
      </c>
      <c r="B371" s="15">
        <f>VLOOKUP(A371,Database!A:M,MATCH($A$1,Database!$A$1:$M$1,),)</f>
        <v/>
      </c>
      <c r="C371" s="12">
        <f>(B371-B370)/B370</f>
        <v/>
      </c>
      <c r="D371" s="13">
        <f>(B371-B359)/B359</f>
        <v/>
      </c>
    </row>
    <row r="372" customFormat="1" s="122">
      <c r="A372" s="11" t="n">
        <v>44713</v>
      </c>
      <c r="B372" s="15">
        <f>VLOOKUP(A372,Database!A:M,MATCH($A$1,Database!$A$1:$M$1,),)</f>
        <v/>
      </c>
      <c r="C372" s="12">
        <f>(B372-B371)/B371</f>
        <v/>
      </c>
      <c r="D372" s="13">
        <f>(B372-B360)/B360</f>
        <v/>
      </c>
    </row>
    <row r="373" customFormat="1" s="122">
      <c r="A373" s="11" t="n">
        <v>44743</v>
      </c>
      <c r="B373" s="15">
        <f>VLOOKUP(A373,Database!A:M,MATCH($A$1,Database!$A$1:$M$1,),)</f>
        <v/>
      </c>
      <c r="C373" s="12">
        <f>(B373-B372)/B372</f>
        <v/>
      </c>
      <c r="D373" s="13">
        <f>(B373-B361)/B361</f>
        <v/>
      </c>
    </row>
    <row r="374" customFormat="1" s="122"/>
    <row r="375" customFormat="1" s="122"/>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row r="665">
      <c r="A665" s="122" t="n"/>
      <c r="B665" s="122" t="n"/>
      <c r="C665" s="122" t="n"/>
      <c r="D665" s="122" t="n"/>
    </row>
    <row r="666">
      <c r="A666" s="122" t="n"/>
      <c r="B666" s="122" t="n"/>
      <c r="C666" s="122" t="n"/>
      <c r="D666" s="122" t="n"/>
    </row>
    <row r="667">
      <c r="A667" s="122" t="n"/>
      <c r="B667" s="122" t="n"/>
      <c r="C667" s="122" t="n"/>
      <c r="D667" s="122" t="n"/>
    </row>
    <row r="668">
      <c r="A668" s="122" t="n"/>
      <c r="B668" s="122" t="n"/>
      <c r="C668" s="122" t="n"/>
      <c r="D668" s="122" t="n"/>
    </row>
    <row r="669">
      <c r="A669" s="122" t="n"/>
      <c r="B669" s="122" t="n"/>
      <c r="C669" s="122" t="n"/>
      <c r="D669" s="122" t="n"/>
    </row>
    <row r="670">
      <c r="A670" s="122" t="n"/>
      <c r="B670" s="122" t="n"/>
      <c r="C670" s="122" t="n"/>
      <c r="D670" s="122" t="n"/>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5"/>
  <sheetViews>
    <sheetView zoomScale="160" zoomScaleNormal="160" workbookViewId="0">
      <pane ySplit="6" topLeftCell="A356" activePane="bottomLeft" state="frozen"/>
      <selection pane="bottomLeft" activeCell="R333" sqref="R333"/>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11" t="n">
        <v>44621</v>
      </c>
      <c r="B369" s="15">
        <f>VLOOKUP(A369,Database!A:K,MATCH('Retail Sales'!$A$1,Database!$A$1:$K$1,),)</f>
        <v/>
      </c>
      <c r="C369" s="12">
        <f>(B369-B368)/B368</f>
        <v/>
      </c>
      <c r="D369" s="13">
        <f>(B369-B357)/B357</f>
        <v/>
      </c>
    </row>
    <row r="370" customFormat="1" s="122">
      <c r="A370" s="11" t="n">
        <v>44652</v>
      </c>
      <c r="B370" s="15">
        <f>VLOOKUP(A370,Database!A:K,MATCH('Retail Sales'!$A$1,Database!$A$1:$K$1,),)</f>
        <v/>
      </c>
      <c r="C370" s="12">
        <f>(B370-B369)/B369</f>
        <v/>
      </c>
      <c r="D370" s="13">
        <f>(B370-B358)/B358</f>
        <v/>
      </c>
    </row>
    <row r="371" customFormat="1" s="122">
      <c r="A371" s="10" t="n">
        <v>44682</v>
      </c>
      <c r="B371" s="15">
        <f>VLOOKUP(A371,Database!A:K,MATCH('Retail Sales'!$A$1,Database!$A$1:$K$1,),)</f>
        <v/>
      </c>
      <c r="C371" s="12">
        <f>(B371-B370)/B370</f>
        <v/>
      </c>
      <c r="D371" s="13">
        <f>(B371-B359)/B359</f>
        <v/>
      </c>
    </row>
    <row r="372" customFormat="1" s="122">
      <c r="A372" s="11" t="n">
        <v>44713</v>
      </c>
      <c r="B372" s="15">
        <f>VLOOKUP(A372,Database!A:K,MATCH('Retail Sales'!$A$1,Database!$A$1:$K$1,),)</f>
        <v/>
      </c>
      <c r="C372" s="12">
        <f>(B372-B371)/B371</f>
        <v/>
      </c>
      <c r="D372" s="13">
        <f>(B372-B360)/B360</f>
        <v/>
      </c>
    </row>
    <row r="373" customFormat="1" s="122">
      <c r="A373" s="11" t="n">
        <v>44743</v>
      </c>
      <c r="B373" s="15">
        <f>VLOOKUP(A373,Database!A:K,MATCH('Retail Sales'!$A$1,Database!$A$1:$K$1,),)</f>
        <v/>
      </c>
      <c r="C373" s="12">
        <f>(B373-B372)/B372</f>
        <v/>
      </c>
      <c r="D373" s="13">
        <f>(B373-B361)/B361</f>
        <v/>
      </c>
    </row>
    <row r="374" customFormat="1" s="122">
      <c r="A374" s="54" t="n"/>
      <c r="B374" s="14" t="n"/>
      <c r="C374" s="54" t="n"/>
      <c r="D374" s="54" t="n"/>
    </row>
    <row r="375" customFormat="1" s="122">
      <c r="A375" s="54" t="n"/>
      <c r="B375" s="14" t="n"/>
      <c r="C375" s="54" t="n"/>
      <c r="D375" s="54" t="n"/>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sheetData>
  <conditionalFormatting sqref="C8:C373">
    <cfRule type="colorScale" priority="42">
      <colorScale>
        <cfvo type="min"/>
        <cfvo type="percentile" val="50"/>
        <cfvo type="max"/>
        <color rgb="FFF8696B"/>
        <color rgb="FFFFEB84"/>
        <color rgb="FF63BE7B"/>
      </colorScale>
    </cfRule>
  </conditionalFormatting>
  <conditionalFormatting sqref="D19:D373">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1"/>
  <sheetViews>
    <sheetView zoomScale="160" zoomScaleNormal="160" workbookViewId="0">
      <pane ySplit="6" topLeftCell="A365" activePane="bottomLeft" state="frozen"/>
      <selection pane="bottomLeft" activeCell="A373" sqref="A373"/>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A369" s="11" t="n">
        <v>44621</v>
      </c>
      <c r="B369" s="15">
        <f>VLOOKUP(A369,Database!A:M,MATCH($A$1,Database!$A$1:$M$1,),)</f>
        <v/>
      </c>
      <c r="C369" s="12">
        <f>(B369-B368)/B368</f>
        <v/>
      </c>
      <c r="D369" s="13">
        <f>(B369-B357)/B357</f>
        <v/>
      </c>
    </row>
    <row r="370" customFormat="1" s="122">
      <c r="A370" s="11" t="n">
        <v>44652</v>
      </c>
      <c r="B370" s="15">
        <f>VLOOKUP(A370,Database!A:M,MATCH($A$1,Database!$A$1:$M$1,),)</f>
        <v/>
      </c>
      <c r="C370" s="12">
        <f>(B370-B369)/B369</f>
        <v/>
      </c>
      <c r="D370" s="13">
        <f>(B370-B358)/B358</f>
        <v/>
      </c>
    </row>
    <row r="371" customFormat="1" s="122">
      <c r="A371" s="11" t="n">
        <v>44682</v>
      </c>
      <c r="B371" s="15">
        <f>VLOOKUP(A371,Database!A:M,MATCH($A$1,Database!$A$1:$M$1,),)</f>
        <v/>
      </c>
      <c r="C371" s="12">
        <f>(B371-B370)/B370</f>
        <v/>
      </c>
      <c r="D371" s="13">
        <f>(B371-B359)/B359</f>
        <v/>
      </c>
    </row>
    <row r="372" customFormat="1" s="122">
      <c r="A372" s="11" t="n">
        <v>44713</v>
      </c>
      <c r="B372" s="15">
        <f>VLOOKUP(A372,Database!A:M,MATCH($A$1,Database!$A$1:$M$1,),)</f>
        <v/>
      </c>
      <c r="C372" s="12">
        <f>(B372-B371)/B371</f>
        <v/>
      </c>
      <c r="D372" s="13">
        <f>(B372-B360)/B360</f>
        <v/>
      </c>
    </row>
    <row r="373" customFormat="1" s="122">
      <c r="A373" s="11" t="n">
        <v>44743</v>
      </c>
      <c r="B373" s="15">
        <f>VLOOKUP(A373,Database!A:M,MATCH($A$1,Database!$A$1:$M$1,),)</f>
        <v/>
      </c>
      <c r="C373" s="12">
        <f>(B373-B372)/B372</f>
        <v/>
      </c>
      <c r="D373" s="13">
        <f>(B373-B361)/B361</f>
        <v/>
      </c>
    </row>
    <row r="374" customFormat="1" s="122">
      <c r="B374" s="22" t="n"/>
    </row>
    <row r="375" customFormat="1" s="122">
      <c r="B375" s="22" t="n"/>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row r="807">
      <c r="A807" s="122" t="n"/>
      <c r="B807" s="22" t="n"/>
      <c r="C807" s="122" t="n"/>
      <c r="D807" s="122" t="n"/>
    </row>
    <row r="808">
      <c r="A808" s="122" t="n"/>
      <c r="B808" s="22" t="n"/>
      <c r="C808" s="122" t="n"/>
      <c r="D808" s="122" t="n"/>
    </row>
    <row r="809">
      <c r="A809" s="122" t="n"/>
      <c r="B809" s="22" t="n"/>
      <c r="C809" s="122" t="n"/>
      <c r="D809" s="122" t="n"/>
    </row>
    <row r="810">
      <c r="A810" s="122" t="n"/>
      <c r="B810" s="22" t="n"/>
      <c r="C810" s="122" t="n"/>
      <c r="D810" s="122" t="n"/>
    </row>
    <row r="811">
      <c r="A811" s="122" t="n"/>
      <c r="B811" s="22" t="n"/>
      <c r="C811" s="122" t="n"/>
      <c r="D811" s="122" t="n"/>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3"/>
  <sheetViews>
    <sheetView zoomScale="160" zoomScaleNormal="160" workbookViewId="0">
      <pane ySplit="6" topLeftCell="A364" activePane="bottomLeft" state="frozen"/>
      <selection pane="bottomLeft" activeCell="P362" sqref="P362"/>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3"/>
  <sheetViews>
    <sheetView zoomScale="200" zoomScaleNormal="200" workbookViewId="0">
      <pane ySplit="6" topLeftCell="A368" activePane="bottomLeft" state="frozen"/>
      <selection pane="bottomLeft" activeCell="A368" sqref="A368:D373"/>
    </sheetView>
  </sheetViews>
  <sheetFormatPr baseColWidth="10" defaultColWidth="9.1640625" defaultRowHeight="15"/>
  <cols>
    <col width="14" customWidth="1" style="54" min="1" max="1"/>
    <col width="14.1640625" customWidth="1" style="54" min="2" max="4"/>
    <col width="9.1640625" customWidth="1" style="122" min="5" max="13"/>
    <col width="9.1640625" customWidth="1" style="122" min="14"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3"/>
  <sheetViews>
    <sheetView zoomScale="90" zoomScaleNormal="90" workbookViewId="0">
      <pane ySplit="6" topLeftCell="A343" activePane="bottomLeft" state="frozen"/>
      <selection pane="bottomLeft" activeCell="S371" sqref="S371"/>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3"/>
    <col width="9.1640625" customWidth="1" style="122" min="14"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3"/>
  <sheetViews>
    <sheetView zoomScale="130" zoomScaleNormal="130" workbookViewId="0">
      <pane ySplit="6" topLeftCell="A355" activePane="bottomLeft" state="frozen"/>
      <selection pane="bottomLeft" activeCell="A362" sqref="A362:D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3"/>
    <col width="9.1640625" customWidth="1" style="122" min="14"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sheetData>
  <conditionalFormatting sqref="D19:D373">
    <cfRule type="colorScale" priority="1">
      <colorScale>
        <cfvo type="min"/>
        <cfvo type="percentile" val="50"/>
        <cfvo type="max"/>
        <color rgb="FFF8696B"/>
        <color rgb="FFFFEB84"/>
        <color rgb="FF63BE7B"/>
      </colorScale>
    </cfRule>
  </conditionalFormatting>
  <conditionalFormatting sqref="C8:C373">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3"/>
  <sheetViews>
    <sheetView zoomScale="150" zoomScaleNormal="150" workbookViewId="0">
      <pane ySplit="6" topLeftCell="A362" activePane="bottomLeft" state="frozen"/>
      <selection pane="bottomLeft" activeCell="C378" sqref="C37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3"/>
    <col width="9.1640625" customWidth="1" style="122" min="14"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sheetData>
  <conditionalFormatting sqref="D19:D373">
    <cfRule type="colorScale" priority="1">
      <colorScale>
        <cfvo type="min"/>
        <cfvo type="percentile" val="50"/>
        <cfvo type="max"/>
        <color rgb="FFF8696B"/>
        <color rgb="FFFFEB84"/>
        <color rgb="FF63BE7B"/>
      </colorScale>
    </cfRule>
  </conditionalFormatting>
  <conditionalFormatting sqref="C8:C373">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3"/>
  <sheetViews>
    <sheetView zoomScale="150" zoomScaleNormal="150" workbookViewId="0">
      <pane ySplit="6" topLeftCell="A362" activePane="bottomLeft" state="frozen"/>
      <selection pane="bottomLeft" activeCell="A369" sqref="A369:D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3"/>
    <col width="9.1640625" customWidth="1" style="122" min="14"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sheetData>
  <conditionalFormatting sqref="D19:D373">
    <cfRule type="colorScale" priority="1">
      <colorScale>
        <cfvo type="min"/>
        <cfvo type="percentile" val="50"/>
        <cfvo type="max"/>
        <color rgb="FFF8696B"/>
        <color rgb="FFFFEB84"/>
        <color rgb="FF63BE7B"/>
      </colorScale>
    </cfRule>
  </conditionalFormatting>
  <conditionalFormatting sqref="C8:C37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3"/>
  <sheetViews>
    <sheetView zoomScale="140" zoomScaleNormal="140" workbookViewId="0">
      <pane ySplit="6" topLeftCell="A362" activePane="bottomLeft" state="frozen"/>
      <selection pane="bottomLeft" activeCell="D376" sqref="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3"/>
    <col width="9.1640625" customWidth="1" style="122" min="14"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sheetData>
  <conditionalFormatting sqref="D19:D373">
    <cfRule type="colorScale" priority="1">
      <colorScale>
        <cfvo type="min"/>
        <cfvo type="percentile" val="50"/>
        <cfvo type="max"/>
        <color rgb="FFF8696B"/>
        <color rgb="FFFFEB84"/>
        <color rgb="FF63BE7B"/>
      </colorScale>
    </cfRule>
  </conditionalFormatting>
  <conditionalFormatting sqref="C8:C373">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3"/>
  <sheetViews>
    <sheetView zoomScale="140" zoomScaleNormal="140" workbookViewId="0">
      <pane ySplit="6" topLeftCell="A359" activePane="bottomLeft" state="frozen"/>
      <selection pane="bottomLeft" activeCell="A364" sqref="A364:D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3"/>
    <col width="9.1640625" customWidth="1" style="122" min="14"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sheetData>
  <conditionalFormatting sqref="D19:D373">
    <cfRule type="colorScale" priority="50">
      <colorScale>
        <cfvo type="min"/>
        <cfvo type="percentile" val="50"/>
        <cfvo type="max"/>
        <color rgb="FFF8696B"/>
        <color rgb="FFFFEB84"/>
        <color rgb="FF63BE7B"/>
      </colorScale>
    </cfRule>
  </conditionalFormatting>
  <conditionalFormatting sqref="C8:C373">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3"/>
  <sheetViews>
    <sheetView zoomScale="150" zoomScaleNormal="150" workbookViewId="0">
      <pane ySplit="6" topLeftCell="A356" activePane="bottomLeft" state="frozen"/>
      <selection pane="bottomLeft" activeCell="N377" sqref="N377"/>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3"/>
    <col width="9.1640625" customWidth="1" style="122" min="14"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sheetData>
  <conditionalFormatting sqref="D19:D373">
    <cfRule type="colorScale" priority="48">
      <colorScale>
        <cfvo type="min"/>
        <cfvo type="percentile" val="50"/>
        <cfvo type="max"/>
        <color rgb="FFF8696B"/>
        <color rgb="FFFFEB84"/>
        <color rgb="FF63BE7B"/>
      </colorScale>
    </cfRule>
  </conditionalFormatting>
  <conditionalFormatting sqref="C8:C373">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3"/>
  <sheetViews>
    <sheetView zoomScale="140" zoomScaleNormal="140" workbookViewId="0">
      <pane ySplit="6" topLeftCell="A355" activePane="bottomLeft" state="frozen"/>
      <selection pane="bottomLeft" activeCell="O366" sqref="O36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3"/>
    <col width="9.1640625" customWidth="1" style="122" min="14"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sheetData>
  <conditionalFormatting sqref="D19:D373">
    <cfRule type="colorScale" priority="46">
      <colorScale>
        <cfvo type="min"/>
        <cfvo type="percentile" val="50"/>
        <cfvo type="max"/>
        <color rgb="FFF8696B"/>
        <color rgb="FFFFEB84"/>
        <color rgb="FF63BE7B"/>
      </colorScale>
    </cfRule>
  </conditionalFormatting>
  <conditionalFormatting sqref="C8:C373">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3"/>
  <sheetViews>
    <sheetView zoomScale="170" zoomScaleNormal="170" workbookViewId="0">
      <pane ySplit="6" topLeftCell="A365" activePane="bottomLeft" state="frozen"/>
      <selection pane="bottomLeft" activeCell="A367" sqref="A367:D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3"/>
    <col width="9.1640625" customWidth="1" style="122" min="14"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sheetData>
  <conditionalFormatting sqref="D19:D373">
    <cfRule type="colorScale" priority="44">
      <colorScale>
        <cfvo type="min"/>
        <cfvo type="percentile" val="50"/>
        <cfvo type="max"/>
        <color rgb="FFF8696B"/>
        <color rgb="FFFFEB84"/>
        <color rgb="FF63BE7B"/>
      </colorScale>
    </cfRule>
  </conditionalFormatting>
  <conditionalFormatting sqref="C8:C373">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3"/>
  <sheetViews>
    <sheetView zoomScale="190" zoomScaleNormal="190" workbookViewId="0">
      <pane ySplit="6" topLeftCell="A364" activePane="bottomLeft" state="frozen"/>
      <selection activeCell="P14" sqref="P14"/>
      <selection pane="bottomLeft" activeCell="O380" sqref="O380"/>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3"/>
    <col width="9.1640625" customWidth="1" style="122" min="14"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sheetData>
  <conditionalFormatting sqref="C8:C373">
    <cfRule type="colorScale" priority="2">
      <colorScale>
        <cfvo type="min"/>
        <cfvo type="percentile" val="50"/>
        <cfvo type="max"/>
        <color rgb="FFF8696B"/>
        <color rgb="FFFFEB84"/>
        <color rgb="FF63BE7B"/>
      </colorScale>
    </cfRule>
  </conditionalFormatting>
  <conditionalFormatting sqref="D19:D3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2022-09-03T05:21:01Z</dcterms:modified>
  <cp:lastModifiedBy>Mark Mukherjee</cp:lastModifiedBy>
</cp:coreProperties>
</file>